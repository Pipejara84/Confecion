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225" windowWidth="20115" windowHeight="8835" activeTab="4"/>
  </bookViews>
  <sheets>
    <sheet name="Clientes" sheetId="10" r:id="rId1"/>
    <sheet name="Productos" sheetId="1" r:id="rId2"/>
    <sheet name="Materiales" sheetId="2" r:id="rId3"/>
    <sheet name="Pedidos" sheetId="3" r:id="rId4"/>
    <sheet name="Inv" sheetId="6" r:id="rId5"/>
    <sheet name="Cierres" sheetId="5" r:id="rId6"/>
    <sheet name="Compras" sheetId="8" r:id="rId7"/>
  </sheets>
  <definedNames>
    <definedName name="_4C">Pedidos!$AA$2:$AA$1048576</definedName>
    <definedName name="_6C">Pedidos!$AB$2:$AB$1048576</definedName>
    <definedName name="_xlnm._FilterDatabase" localSheetId="1" hidden="1">Productos!#REF!</definedName>
    <definedName name="Acc">Pedidos!$AM$2:$AM$1048576</definedName>
    <definedName name="Cierre">Pedidos!$R$2:$R$1048576</definedName>
    <definedName name="Clothes">Pedidos!$N$2:$N$1048576</definedName>
    <definedName name="Color">Compras!$G$2:$G$1048576</definedName>
    <definedName name="Color_Fajon">Compras!$I$2:$I$1048576</definedName>
    <definedName name="ColorCordon">Inv!$B$16:$B$24</definedName>
    <definedName name="Compra">Compras!$A$2:$A$1048576</definedName>
    <definedName name="Fabric">Pedidos!$O$2:$O$1048576</definedName>
    <definedName name="Fecha">Compras!$B$2:$B$1048576</definedName>
    <definedName name="Forro">Pedidos!$Q$2:$Q$1048576</definedName>
    <definedName name="Hilo">Pedidos!$P$2:$P$1048576</definedName>
    <definedName name="L">Pedidos!$AJ$2:$AJ$1048576</definedName>
    <definedName name="Linea21">OFFSET(Cierres!$K$4,1,0,COUNTA(Cierres!$K$5:$K$20),1)</definedName>
    <definedName name="Linea5U">OFFSET(Cierres!$S$4,1,0,COUNTA(Cierres!$S$5:$S$20),1)</definedName>
    <definedName name="Linea72">OFFSET(Cierres!$Y$4,1,0,COUNTA(Cierres!$Y$5:$Y$20),1)</definedName>
    <definedName name="LineaBombai">OFFSET(Cierres!$W$4,1,0,COUNTA(Cierres!$W$5:$W$20),1)</definedName>
    <definedName name="LineaHF">OFFSET(Cierres!$Q$4,1,0,COUNTA(Cierres!$Q$5:$Q$20),1)</definedName>
    <definedName name="LineaN25">OFFSET(Cierres!$AA$4,1,0,COUNTA(Cierres!$AA$5:$AA$20),1)</definedName>
    <definedName name="LineaN3U">OFFSET(Cierres!$N$4,1,0,COUNTA(Cierres!$N$5:$N$20),1)</definedName>
    <definedName name="LineaN3Z">OFFSET(Cierres!$H$4,1,0,COUNTA(Cierres!$H$5:$H$40),1)</definedName>
    <definedName name="LineaQX">OFFSET(Cierres!$U$4,1,0,COUNTA(Cierres!$U$5:$U$20),1)</definedName>
    <definedName name="ListaClothes">OFFSET(TablaClothes[[#Headers],[Style]],MATCH(Productos!$M$3,TablaClothes[[#All],[Style]],0)-1,1,COUNTIF(TablaClothes[[#All],[Style]],Productos!$M$3),2)</definedName>
    <definedName name="ListaLineaC">IF(Productos!$M$9,Cierres!XEZ1048562:XEZ12,Cierres!XFC1048562:XFC1048563)</definedName>
    <definedName name="ListaRefInsu">OFFSET(Productos!$O$1,MATCH(Productos!$M$8,TablaInsu[[#All],[Insumo]],0)-1,1,COUNTIF(TablaInsu[[#All],[Insumo]],Productos!$M$8),2)</definedName>
    <definedName name="ListaStyle">OFFSET(TablaStyle[[#Headers],[Collection]],MATCH(Productos!$M$2,TablaStyle[[#All],[Collection]],0)-1,1,COUNTIF(TablaStyle[[#All],[Collection]],Productos!$M$2),1)</definedName>
    <definedName name="M">Pedidos!$AI$2:$AI$1048576</definedName>
    <definedName name="Material">Compras!$D$2:$D$1048576</definedName>
    <definedName name="PO">Pedidos!$A$2:$A$1048576</definedName>
    <definedName name="Ref">Compras!$E$2:$E$1048576</definedName>
    <definedName name="RM">Pedidos!$B$2:$B$1048576</definedName>
    <definedName name="S">Pedidos!$AH$2:$AH$1048576</definedName>
    <definedName name="SKU">Pedidos!$L$2:$L$1048576</definedName>
    <definedName name="Talla">Compras!$H$2:$H$1048576</definedName>
    <definedName name="Tamaño">Compras!$F$2:$F$1048576</definedName>
    <definedName name="UndCompra">Compras!$C$2:$C$1048576</definedName>
    <definedName name="UndV">Pedidos!$M:$M</definedName>
    <definedName name="XL">Pedidos!$AK$2:$AK$1048576</definedName>
    <definedName name="XS">Pedidos!$AG$2:$AG$1048576</definedName>
    <definedName name="XXL">Pedidos!$AL$2:$AL$1048576</definedName>
    <definedName name="YL">Pedidos!$AF$2:$AF$1048576</definedName>
    <definedName name="YM">Pedidos!$AE$2:$AE$1048576</definedName>
    <definedName name="YS">Pedidos!$AD$2:$AD$1048576</definedName>
    <definedName name="YXS">Pedidos!$AC$2:$AC$1048576</definedName>
  </definedNames>
  <calcPr calcId="144525"/>
</workbook>
</file>

<file path=xl/calcChain.xml><?xml version="1.0" encoding="utf-8"?>
<calcChain xmlns="http://schemas.openxmlformats.org/spreadsheetml/2006/main">
  <c r="BC6" i="6" l="1"/>
  <c r="AX6" i="5" s="1"/>
  <c r="BC5" i="6"/>
  <c r="BA16" i="6"/>
  <c r="BI242" i="6" s="1"/>
  <c r="BA15" i="6"/>
  <c r="BI241" i="6" s="1"/>
  <c r="BA14" i="6"/>
  <c r="BA13" i="6"/>
  <c r="BI239" i="6" s="1"/>
  <c r="BA12" i="6"/>
  <c r="BA11" i="6"/>
  <c r="BI237" i="6" s="1"/>
  <c r="BA10" i="6"/>
  <c r="BI236" i="6" s="1"/>
  <c r="BA9" i="6"/>
  <c r="BI235" i="6" s="1"/>
  <c r="BA8" i="6"/>
  <c r="BA7" i="6"/>
  <c r="BA6" i="6"/>
  <c r="BA5" i="6"/>
  <c r="BI231" i="6" s="1"/>
  <c r="AY7" i="6"/>
  <c r="AT7" i="5" s="1"/>
  <c r="AY6" i="6"/>
  <c r="BI222" i="6" s="1"/>
  <c r="AY5" i="6"/>
  <c r="AW9" i="6"/>
  <c r="BI211" i="6" s="1"/>
  <c r="AW8" i="6"/>
  <c r="BI209" i="6" s="1"/>
  <c r="AW7" i="6"/>
  <c r="BI207" i="6" s="1"/>
  <c r="AW6" i="6"/>
  <c r="BI205" i="6" s="1"/>
  <c r="AW5" i="6"/>
  <c r="AU14" i="6"/>
  <c r="AP14" i="5" s="1"/>
  <c r="AU13" i="6"/>
  <c r="AP13" i="5" s="1"/>
  <c r="AU12" i="6"/>
  <c r="AP12" i="5" s="1"/>
  <c r="AU11" i="6"/>
  <c r="AP11" i="5" s="1"/>
  <c r="AU10" i="6"/>
  <c r="AP10" i="5" s="1"/>
  <c r="AU9" i="6"/>
  <c r="AP9" i="5" s="1"/>
  <c r="AU8" i="6"/>
  <c r="BI176" i="6" s="1"/>
  <c r="AU7" i="6"/>
  <c r="AP7" i="5" s="1"/>
  <c r="AU6" i="6"/>
  <c r="AP6" i="5" s="1"/>
  <c r="AU5" i="6"/>
  <c r="AS8" i="6"/>
  <c r="AS9" i="6"/>
  <c r="AS10" i="6"/>
  <c r="AS7" i="6"/>
  <c r="AS6" i="6"/>
  <c r="AS5" i="6"/>
  <c r="BI143" i="6" s="1"/>
  <c r="AN2" i="6"/>
  <c r="AP2" i="6"/>
  <c r="AQ2" i="6"/>
  <c r="AM2" i="6"/>
  <c r="AK2" i="6"/>
  <c r="AJ2" i="6"/>
  <c r="AG5" i="5"/>
  <c r="AJ5" i="5"/>
  <c r="AM5" i="5"/>
  <c r="AO5" i="5"/>
  <c r="AQ5" i="5"/>
  <c r="AS5" i="5"/>
  <c r="AU5" i="5"/>
  <c r="AW5" i="5"/>
  <c r="AG6" i="5"/>
  <c r="AJ6" i="5"/>
  <c r="AM6" i="5"/>
  <c r="AO6" i="5"/>
  <c r="AQ6" i="5"/>
  <c r="AS6" i="5"/>
  <c r="AU6" i="5"/>
  <c r="AW6" i="5"/>
  <c r="AG7" i="5"/>
  <c r="AH7" i="5"/>
  <c r="AI7" i="5"/>
  <c r="AJ7" i="5"/>
  <c r="AM7" i="5"/>
  <c r="AO7" i="5"/>
  <c r="AQ7" i="5"/>
  <c r="AS7" i="5"/>
  <c r="AU7" i="5"/>
  <c r="AW7" i="5"/>
  <c r="AX7" i="5"/>
  <c r="AG8" i="5"/>
  <c r="AH8" i="5"/>
  <c r="AI8" i="5"/>
  <c r="AJ8" i="5"/>
  <c r="AM8" i="5"/>
  <c r="AO8" i="5"/>
  <c r="AQ8" i="5"/>
  <c r="AS8" i="5"/>
  <c r="AT8" i="5"/>
  <c r="AU8" i="5"/>
  <c r="AW8" i="5"/>
  <c r="AX8" i="5"/>
  <c r="AG9" i="5"/>
  <c r="AH9" i="5"/>
  <c r="AI9" i="5"/>
  <c r="AJ9" i="5"/>
  <c r="AK9" i="5"/>
  <c r="AL9" i="5"/>
  <c r="AM9" i="5"/>
  <c r="AO9" i="5"/>
  <c r="AQ9" i="5"/>
  <c r="AS9" i="5"/>
  <c r="AT9" i="5"/>
  <c r="AU9" i="5"/>
  <c r="AW9" i="5"/>
  <c r="AX9" i="5"/>
  <c r="AG10" i="5"/>
  <c r="AH10" i="5"/>
  <c r="AI10" i="5"/>
  <c r="AJ10" i="5"/>
  <c r="AK10" i="5"/>
  <c r="AL10" i="5"/>
  <c r="AM10" i="5"/>
  <c r="AO10" i="5"/>
  <c r="AQ10" i="5"/>
  <c r="AR10" i="5"/>
  <c r="AS10" i="5"/>
  <c r="AT10" i="5"/>
  <c r="AU10" i="5"/>
  <c r="AW10" i="5"/>
  <c r="AX10" i="5"/>
  <c r="AG11" i="5"/>
  <c r="AH11" i="5"/>
  <c r="AI11" i="5"/>
  <c r="AJ11" i="5"/>
  <c r="AK11" i="5"/>
  <c r="AL11" i="5"/>
  <c r="AM11" i="5"/>
  <c r="AN11" i="5"/>
  <c r="AO11" i="5"/>
  <c r="AQ11" i="5"/>
  <c r="AR11" i="5"/>
  <c r="AS11" i="5"/>
  <c r="AT11" i="5"/>
  <c r="AU11" i="5"/>
  <c r="AW11" i="5"/>
  <c r="AX11" i="5"/>
  <c r="AG12" i="5"/>
  <c r="AH12" i="5"/>
  <c r="AI12" i="5"/>
  <c r="AJ12" i="5"/>
  <c r="AK12" i="5"/>
  <c r="AL12" i="5"/>
  <c r="AM12" i="5"/>
  <c r="AN12" i="5"/>
  <c r="AO12" i="5"/>
  <c r="AQ12" i="5"/>
  <c r="AR12" i="5"/>
  <c r="AS12" i="5"/>
  <c r="AT12" i="5"/>
  <c r="AU12" i="5"/>
  <c r="AW12" i="5"/>
  <c r="AX12" i="5"/>
  <c r="AG13" i="5"/>
  <c r="AH13" i="5"/>
  <c r="AI13" i="5"/>
  <c r="AJ13" i="5"/>
  <c r="AK13" i="5"/>
  <c r="AL13" i="5"/>
  <c r="AM13" i="5"/>
  <c r="AN13" i="5"/>
  <c r="AO13" i="5"/>
  <c r="AQ13" i="5"/>
  <c r="AR13" i="5"/>
  <c r="AS13" i="5"/>
  <c r="AT13" i="5"/>
  <c r="AU13" i="5"/>
  <c r="AW13" i="5"/>
  <c r="AX13" i="5"/>
  <c r="AG14" i="5"/>
  <c r="AH14" i="5"/>
  <c r="AI14" i="5"/>
  <c r="AJ14" i="5"/>
  <c r="AK14" i="5"/>
  <c r="AL14" i="5"/>
  <c r="AM14" i="5"/>
  <c r="AN14" i="5"/>
  <c r="AO14" i="5"/>
  <c r="AQ14" i="5"/>
  <c r="AR14" i="5"/>
  <c r="AS14" i="5"/>
  <c r="AT14" i="5"/>
  <c r="AU14" i="5"/>
  <c r="AW14" i="5"/>
  <c r="AX14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W15" i="5"/>
  <c r="AX15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W16" i="5"/>
  <c r="AX16" i="5"/>
  <c r="AQ5" i="6"/>
  <c r="AL5" i="5" s="1"/>
  <c r="AP8" i="6"/>
  <c r="AK8" i="5" s="1"/>
  <c r="AP7" i="6"/>
  <c r="AK7" i="5" s="1"/>
  <c r="AP6" i="6"/>
  <c r="AK6" i="5" s="1"/>
  <c r="AP5" i="6"/>
  <c r="AK5" i="5" s="1"/>
  <c r="AM5" i="6"/>
  <c r="BI101" i="6" s="1"/>
  <c r="AM6" i="6"/>
  <c r="AH6" i="5" s="1"/>
  <c r="AJ31" i="6"/>
  <c r="AE31" i="5" s="1"/>
  <c r="AJ30" i="6"/>
  <c r="AE30" i="5" s="1"/>
  <c r="AJ29" i="6"/>
  <c r="AE29" i="5" s="1"/>
  <c r="AJ28" i="6"/>
  <c r="AE28" i="5" s="1"/>
  <c r="AJ26" i="6"/>
  <c r="AE26" i="5" s="1"/>
  <c r="AJ25" i="6"/>
  <c r="AE25" i="5" s="1"/>
  <c r="AJ24" i="6"/>
  <c r="AE24" i="5" s="1"/>
  <c r="AJ22" i="6"/>
  <c r="AE22" i="5" s="1"/>
  <c r="AJ21" i="6"/>
  <c r="AE21" i="5" s="1"/>
  <c r="AJ15" i="6"/>
  <c r="AE15" i="5" s="1"/>
  <c r="AJ13" i="6"/>
  <c r="BG5" i="6" s="1"/>
  <c r="AQ8" i="6"/>
  <c r="AL8" i="5" s="1"/>
  <c r="AQ7" i="6"/>
  <c r="AL7" i="5" s="1"/>
  <c r="AQ6" i="6"/>
  <c r="AL6" i="5" s="1"/>
  <c r="AK5" i="6"/>
  <c r="AF5" i="5" s="1"/>
  <c r="AK6" i="6"/>
  <c r="AF6" i="5" s="1"/>
  <c r="AK7" i="6"/>
  <c r="AF7" i="5" s="1"/>
  <c r="AK8" i="6"/>
  <c r="AF8" i="5" s="1"/>
  <c r="AK9" i="6"/>
  <c r="AF9" i="5" s="1"/>
  <c r="AK10" i="6"/>
  <c r="AF10" i="5" s="1"/>
  <c r="AK11" i="6"/>
  <c r="AF11" i="5" s="1"/>
  <c r="AK12" i="6"/>
  <c r="AF12" i="5" s="1"/>
  <c r="AK13" i="6"/>
  <c r="AF13" i="5" s="1"/>
  <c r="AK14" i="6"/>
  <c r="AF14" i="5" s="1"/>
  <c r="AK15" i="6"/>
  <c r="AF15" i="5" s="1"/>
  <c r="AK16" i="6"/>
  <c r="AF16" i="5" s="1"/>
  <c r="AK17" i="6"/>
  <c r="AF17" i="5" s="1"/>
  <c r="AK18" i="6"/>
  <c r="AF18" i="5" s="1"/>
  <c r="AK19" i="6"/>
  <c r="AF19" i="5" s="1"/>
  <c r="AK20" i="6"/>
  <c r="AF20" i="5" s="1"/>
  <c r="AK21" i="6"/>
  <c r="AF21" i="5" s="1"/>
  <c r="AK22" i="6"/>
  <c r="AF22" i="5" s="1"/>
  <c r="AK23" i="6"/>
  <c r="AF23" i="5" s="1"/>
  <c r="AK24" i="6"/>
  <c r="AF24" i="5" s="1"/>
  <c r="AK25" i="6"/>
  <c r="AF25" i="5" s="1"/>
  <c r="AK26" i="6"/>
  <c r="AF26" i="5" s="1"/>
  <c r="AK27" i="6"/>
  <c r="AF27" i="5" s="1"/>
  <c r="AK28" i="6"/>
  <c r="AF28" i="5" s="1"/>
  <c r="AK29" i="6"/>
  <c r="AF29" i="5" s="1"/>
  <c r="AK30" i="6"/>
  <c r="AF30" i="5" s="1"/>
  <c r="AK31" i="6"/>
  <c r="AF31" i="5" s="1"/>
  <c r="E5" i="2"/>
  <c r="AJ8" i="6"/>
  <c r="AE8" i="5" s="1"/>
  <c r="BI5" i="6"/>
  <c r="AJ27" i="6"/>
  <c r="AE27" i="5" s="1"/>
  <c r="AJ23" i="6"/>
  <c r="AE23" i="5" s="1"/>
  <c r="AJ20" i="6"/>
  <c r="AE20" i="5" s="1"/>
  <c r="AJ19" i="6"/>
  <c r="AE19" i="5" s="1"/>
  <c r="AJ18" i="6"/>
  <c r="AE18" i="5" s="1"/>
  <c r="AJ17" i="6"/>
  <c r="AE17" i="5" s="1"/>
  <c r="AJ16" i="6"/>
  <c r="BG6" i="6" s="1"/>
  <c r="AJ14" i="6"/>
  <c r="AE14" i="5" s="1"/>
  <c r="AJ12" i="6"/>
  <c r="AE12" i="5" s="1"/>
  <c r="AJ11" i="6"/>
  <c r="AE11" i="5" s="1"/>
  <c r="AJ10" i="6"/>
  <c r="AE10" i="5" s="1"/>
  <c r="AJ9" i="6"/>
  <c r="AE9" i="5" s="1"/>
  <c r="AJ7" i="6"/>
  <c r="AE7" i="5" s="1"/>
  <c r="AJ6" i="6"/>
  <c r="AE6" i="5" s="1"/>
  <c r="AJ5" i="6"/>
  <c r="AE5" i="5" s="1"/>
  <c r="BI240" i="6"/>
  <c r="BI238" i="6"/>
  <c r="BI234" i="6"/>
  <c r="BI233" i="6"/>
  <c r="BI232" i="6"/>
  <c r="BC2" i="6" l="1"/>
  <c r="BI247" i="6"/>
  <c r="BA2" i="6"/>
  <c r="AY2" i="6"/>
  <c r="BI220" i="6"/>
  <c r="AW2" i="6"/>
  <c r="BI202" i="6"/>
  <c r="AU2" i="6"/>
  <c r="AP5" i="5"/>
  <c r="AS2" i="6"/>
  <c r="AN5" i="5"/>
  <c r="AV15" i="5"/>
  <c r="AE13" i="5"/>
  <c r="AV16" i="5"/>
  <c r="AV14" i="5"/>
  <c r="AV13" i="5"/>
  <c r="AE16" i="5"/>
  <c r="AV12" i="5"/>
  <c r="AV11" i="5"/>
  <c r="AV10" i="5"/>
  <c r="AV9" i="5"/>
  <c r="AR9" i="5"/>
  <c r="AV8" i="5"/>
  <c r="AR8" i="5"/>
  <c r="AP8" i="5"/>
  <c r="AV7" i="5"/>
  <c r="AR7" i="5"/>
  <c r="AV6" i="5"/>
  <c r="AT6" i="5"/>
  <c r="AR6" i="5"/>
  <c r="AX5" i="5"/>
  <c r="AV5" i="5"/>
  <c r="AT5" i="5"/>
  <c r="AR5" i="5"/>
  <c r="AH5" i="5"/>
  <c r="BG88" i="6"/>
  <c r="BI102" i="6"/>
  <c r="BI203" i="6"/>
  <c r="BI210" i="6"/>
  <c r="BI250" i="6"/>
  <c r="BG86" i="6"/>
  <c r="BI99" i="6"/>
  <c r="BI100" i="6"/>
  <c r="BI206" i="6"/>
  <c r="BI212" i="6"/>
  <c r="BI221" i="6"/>
  <c r="BI248" i="6"/>
  <c r="BI217" i="6"/>
  <c r="BI219" i="6"/>
  <c r="BI216" i="6"/>
  <c r="BI225" i="6"/>
  <c r="BI227" i="6"/>
  <c r="BI224" i="6"/>
  <c r="BI226" i="6"/>
  <c r="BI223" i="6"/>
  <c r="BI253" i="6"/>
  <c r="BI255" i="6"/>
  <c r="BI257" i="6"/>
  <c r="BI252" i="6"/>
  <c r="BI254" i="6"/>
  <c r="BI256" i="6"/>
  <c r="BI251" i="6"/>
  <c r="BI204" i="6"/>
  <c r="BI208" i="6"/>
  <c r="BI218" i="6"/>
  <c r="BG87" i="6"/>
  <c r="BG89" i="6"/>
  <c r="BG85" i="6"/>
  <c r="BI103" i="6"/>
  <c r="BI201" i="6"/>
  <c r="BI246" i="6"/>
  <c r="BI249" i="6"/>
  <c r="AN9" i="5"/>
  <c r="AN8" i="5"/>
  <c r="AN7" i="5"/>
  <c r="AN6" i="5"/>
  <c r="AN6" i="6"/>
  <c r="AI6" i="5" s="1"/>
  <c r="AN5" i="6"/>
  <c r="AI5" i="5" s="1"/>
  <c r="BI168" i="6" l="1"/>
  <c r="AN10" i="5"/>
  <c r="BI105" i="6"/>
  <c r="BI107" i="6"/>
  <c r="BI109" i="6"/>
  <c r="BI104" i="6"/>
  <c r="BG92" i="6"/>
  <c r="BG94" i="6"/>
  <c r="BG96" i="6"/>
  <c r="BI108" i="6"/>
  <c r="BG93" i="6"/>
  <c r="BG90" i="6"/>
  <c r="BI106" i="6"/>
  <c r="BI110" i="6"/>
  <c r="BG91" i="6"/>
  <c r="BG95" i="6"/>
  <c r="BI92" i="6"/>
  <c r="BI94" i="6"/>
  <c r="BI96" i="6"/>
  <c r="BI93" i="6"/>
  <c r="BI90" i="6"/>
  <c r="BI91" i="6"/>
  <c r="BI95" i="6"/>
  <c r="BI132" i="6"/>
  <c r="BG118" i="6"/>
  <c r="BI131" i="6"/>
  <c r="BG117" i="6"/>
  <c r="BI130" i="6"/>
  <c r="BG116" i="6"/>
  <c r="BI136" i="6"/>
  <c r="BI138" i="6"/>
  <c r="BI135" i="6"/>
  <c r="BG122" i="6"/>
  <c r="BG124" i="6"/>
  <c r="BG121" i="6"/>
  <c r="BI139" i="6"/>
  <c r="BG125" i="6"/>
  <c r="BI137" i="6"/>
  <c r="BG123" i="6"/>
  <c r="BI118" i="6"/>
  <c r="BI117" i="6"/>
  <c r="BI116" i="6"/>
  <c r="BI115" i="6"/>
  <c r="BI114" i="6"/>
  <c r="BI158" i="6"/>
  <c r="BI147" i="6"/>
  <c r="BI146" i="6"/>
  <c r="BI157" i="6"/>
  <c r="BI148" i="6"/>
  <c r="BI162" i="6"/>
  <c r="BI153" i="6"/>
  <c r="BI151" i="6"/>
  <c r="BI161" i="6"/>
  <c r="BI154" i="6"/>
  <c r="BI152" i="6"/>
  <c r="BI86" i="6"/>
  <c r="BI88" i="6"/>
  <c r="BI85" i="6"/>
  <c r="BI89" i="6"/>
  <c r="BI87" i="6"/>
  <c r="BI129" i="6"/>
  <c r="BG115" i="6"/>
  <c r="BI128" i="6"/>
  <c r="BG114" i="6"/>
  <c r="BI133" i="6"/>
  <c r="BG119" i="6"/>
  <c r="BI134" i="6"/>
  <c r="BG120" i="6"/>
  <c r="BI122" i="6"/>
  <c r="BI124" i="6"/>
  <c r="BI121" i="6"/>
  <c r="BI125" i="6"/>
  <c r="BI123" i="6"/>
  <c r="BI119" i="6"/>
  <c r="BI120" i="6"/>
  <c r="BI145" i="6"/>
  <c r="BI144" i="6"/>
  <c r="BI160" i="6"/>
  <c r="BI149" i="6"/>
  <c r="BI159" i="6"/>
  <c r="BI150" i="6"/>
  <c r="BI165" i="6"/>
  <c r="BI167" i="6"/>
  <c r="BI166" i="6"/>
  <c r="BI164" i="6"/>
  <c r="BI163" i="6"/>
  <c r="BI67" i="6"/>
  <c r="BI66" i="6"/>
  <c r="BI65" i="6"/>
  <c r="BI63" i="6"/>
  <c r="BI41" i="6"/>
  <c r="BI29" i="6"/>
  <c r="BI40" i="6"/>
  <c r="BI39" i="6"/>
  <c r="BI25" i="6"/>
  <c r="BI24" i="6"/>
  <c r="BI38" i="6"/>
  <c r="BI183" i="6"/>
  <c r="BI23" i="6"/>
  <c r="BI182" i="6"/>
  <c r="BI37" i="6"/>
  <c r="BI181" i="6"/>
  <c r="BI22" i="6"/>
  <c r="BI179" i="6"/>
  <c r="BI36" i="6"/>
  <c r="BI178" i="6"/>
  <c r="BI21" i="6"/>
  <c r="BI177" i="6"/>
  <c r="BI20" i="6"/>
  <c r="BI19" i="6"/>
  <c r="BI175" i="6"/>
  <c r="BI35" i="6"/>
  <c r="BI7" i="6"/>
  <c r="BI173" i="6"/>
  <c r="BI34" i="6"/>
  <c r="BI6" i="6"/>
  <c r="BI33" i="6"/>
  <c r="P29" i="1"/>
  <c r="P28" i="1"/>
  <c r="P27" i="1"/>
  <c r="P21" i="1"/>
  <c r="P25" i="1"/>
  <c r="P24" i="1"/>
  <c r="P23" i="1"/>
  <c r="P22" i="1"/>
  <c r="P20" i="1"/>
  <c r="P19" i="1"/>
  <c r="P18" i="1"/>
  <c r="P17" i="1"/>
  <c r="P16" i="1"/>
  <c r="N6" i="1"/>
  <c r="O18" i="1" s="1"/>
  <c r="N8" i="1"/>
  <c r="O28" i="1" s="1"/>
  <c r="X4" i="6"/>
  <c r="Y4" i="6"/>
  <c r="Z4" i="6"/>
  <c r="AA4" i="6"/>
  <c r="AB4" i="6"/>
  <c r="AC4" i="6"/>
  <c r="AD4" i="6"/>
  <c r="AE4" i="6"/>
  <c r="AF4" i="6"/>
  <c r="X5" i="6"/>
  <c r="Y5" i="6"/>
  <c r="Z5" i="6"/>
  <c r="AA5" i="6"/>
  <c r="AB5" i="6"/>
  <c r="AC5" i="6"/>
  <c r="AD5" i="6"/>
  <c r="AE5" i="6"/>
  <c r="AF5" i="6"/>
  <c r="X6" i="6"/>
  <c r="Y6" i="6"/>
  <c r="Z6" i="6"/>
  <c r="AA6" i="6"/>
  <c r="AB6" i="6"/>
  <c r="AC6" i="6"/>
  <c r="AD6" i="6"/>
  <c r="AE6" i="6"/>
  <c r="AF6" i="6"/>
  <c r="X7" i="6"/>
  <c r="Y7" i="6"/>
  <c r="Z7" i="6"/>
  <c r="AA7" i="6"/>
  <c r="AB7" i="6"/>
  <c r="AC7" i="6"/>
  <c r="AD7" i="6"/>
  <c r="AE7" i="6"/>
  <c r="AF7" i="6"/>
  <c r="X8" i="6"/>
  <c r="Y8" i="6"/>
  <c r="Z8" i="6"/>
  <c r="AA8" i="6"/>
  <c r="AB8" i="6"/>
  <c r="AC8" i="6"/>
  <c r="AD8" i="6"/>
  <c r="AE8" i="6"/>
  <c r="AF8" i="6"/>
  <c r="X9" i="6"/>
  <c r="X16" i="6" s="1"/>
  <c r="Y9" i="6"/>
  <c r="Z9" i="6"/>
  <c r="AA9" i="6"/>
  <c r="AB9" i="6"/>
  <c r="AB16" i="6" s="1"/>
  <c r="AC9" i="6"/>
  <c r="AD9" i="6"/>
  <c r="AE9" i="6"/>
  <c r="AF9" i="6"/>
  <c r="X10" i="6"/>
  <c r="Y10" i="6"/>
  <c r="Z10" i="6"/>
  <c r="AA10" i="6"/>
  <c r="AB10" i="6"/>
  <c r="AC10" i="6"/>
  <c r="AD10" i="6"/>
  <c r="AE10" i="6"/>
  <c r="AF10" i="6"/>
  <c r="X11" i="6"/>
  <c r="Y11" i="6"/>
  <c r="Z11" i="6"/>
  <c r="AA11" i="6"/>
  <c r="AB11" i="6"/>
  <c r="AC11" i="6"/>
  <c r="AD11" i="6"/>
  <c r="AE11" i="6"/>
  <c r="AF11" i="6"/>
  <c r="X12" i="6"/>
  <c r="Y12" i="6"/>
  <c r="Z12" i="6"/>
  <c r="AA12" i="6"/>
  <c r="AB12" i="6"/>
  <c r="AC12" i="6"/>
  <c r="AD12" i="6"/>
  <c r="AE12" i="6"/>
  <c r="AF12" i="6"/>
  <c r="X13" i="6"/>
  <c r="Y13" i="6"/>
  <c r="Z13" i="6"/>
  <c r="AA13" i="6"/>
  <c r="AB13" i="6"/>
  <c r="AC13" i="6"/>
  <c r="AD13" i="6"/>
  <c r="AE13" i="6"/>
  <c r="AF13" i="6"/>
  <c r="X14" i="6"/>
  <c r="Y14" i="6"/>
  <c r="Z14" i="6"/>
  <c r="AA14" i="6"/>
  <c r="AB14" i="6"/>
  <c r="AC14" i="6"/>
  <c r="AD14" i="6"/>
  <c r="AE14" i="6"/>
  <c r="AF14" i="6"/>
  <c r="X15" i="6"/>
  <c r="Y15" i="6"/>
  <c r="Z15" i="6"/>
  <c r="AA15" i="6"/>
  <c r="AB15" i="6"/>
  <c r="AC15" i="6"/>
  <c r="AD15" i="6"/>
  <c r="AE15" i="6"/>
  <c r="AF15" i="6"/>
  <c r="W5" i="6"/>
  <c r="W6" i="6"/>
  <c r="W7" i="6"/>
  <c r="W8" i="6"/>
  <c r="W9" i="6"/>
  <c r="W10" i="6"/>
  <c r="W11" i="6"/>
  <c r="W12" i="6"/>
  <c r="W13" i="6"/>
  <c r="W14" i="6"/>
  <c r="W15" i="6"/>
  <c r="W4" i="6"/>
  <c r="R4" i="6"/>
  <c r="S4" i="6"/>
  <c r="R5" i="6"/>
  <c r="S5" i="6"/>
  <c r="R6" i="6"/>
  <c r="S6" i="6"/>
  <c r="R7" i="6"/>
  <c r="S7" i="6"/>
  <c r="R8" i="6"/>
  <c r="S8" i="6"/>
  <c r="R9" i="6"/>
  <c r="S9" i="6"/>
  <c r="R10" i="6"/>
  <c r="S10" i="6"/>
  <c r="R11" i="6"/>
  <c r="S11" i="6"/>
  <c r="R12" i="6"/>
  <c r="S12" i="6"/>
  <c r="R13" i="6"/>
  <c r="S13" i="6"/>
  <c r="R14" i="6"/>
  <c r="S14" i="6"/>
  <c r="R15" i="6"/>
  <c r="S15" i="6"/>
  <c r="R16" i="6"/>
  <c r="S16" i="6"/>
  <c r="R17" i="6"/>
  <c r="S17" i="6"/>
  <c r="R18" i="6"/>
  <c r="S18" i="6"/>
  <c r="R19" i="6"/>
  <c r="S19" i="6"/>
  <c r="R20" i="6"/>
  <c r="S20" i="6"/>
  <c r="R21" i="6"/>
  <c r="S21" i="6"/>
  <c r="R22" i="6"/>
  <c r="S22" i="6"/>
  <c r="R23" i="6"/>
  <c r="S23" i="6"/>
  <c r="R24" i="6"/>
  <c r="S2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4" i="6"/>
  <c r="AD16" i="6"/>
  <c r="Z16" i="6"/>
  <c r="AA16" i="6" l="1"/>
  <c r="Y16" i="6"/>
  <c r="AE16" i="6"/>
  <c r="AC16" i="6"/>
  <c r="T20" i="6"/>
  <c r="O29" i="1"/>
  <c r="BI180" i="6"/>
  <c r="O25" i="1"/>
  <c r="O23" i="1"/>
  <c r="O21" i="1"/>
  <c r="O19" i="1"/>
  <c r="O17" i="1"/>
  <c r="O16" i="1"/>
  <c r="O24" i="1"/>
  <c r="O22" i="1"/>
  <c r="O20" i="1"/>
  <c r="O27" i="1"/>
  <c r="BI62" i="6"/>
  <c r="BI172" i="6"/>
  <c r="BI174" i="6"/>
  <c r="BI26" i="6"/>
  <c r="BI27" i="6"/>
  <c r="S25" i="6"/>
  <c r="Q25" i="6"/>
  <c r="AF16" i="6"/>
  <c r="W16" i="6"/>
  <c r="T24" i="6"/>
  <c r="T22" i="6"/>
  <c r="T18" i="6"/>
  <c r="R25" i="6"/>
  <c r="AG15" i="6"/>
  <c r="AG11" i="6"/>
  <c r="AG13" i="6"/>
  <c r="T5" i="6"/>
  <c r="AG6" i="6"/>
  <c r="T7" i="6"/>
  <c r="T9" i="6"/>
  <c r="AG8" i="6"/>
  <c r="AG10" i="6"/>
  <c r="T11" i="6"/>
  <c r="AG12" i="6"/>
  <c r="T13" i="6"/>
  <c r="AG14" i="6"/>
  <c r="T6" i="6"/>
  <c r="T15" i="6"/>
  <c r="T8" i="6"/>
  <c r="T17" i="6"/>
  <c r="T10" i="6"/>
  <c r="T19" i="6"/>
  <c r="T12" i="6"/>
  <c r="T14" i="6"/>
  <c r="T16" i="6"/>
  <c r="T21" i="6"/>
  <c r="T23" i="6"/>
  <c r="AG5" i="6"/>
  <c r="AG7" i="6"/>
  <c r="AG9" i="6"/>
  <c r="T4" i="6"/>
  <c r="AG4" i="6"/>
  <c r="T25" i="6" l="1"/>
  <c r="AG16" i="6"/>
  <c r="AF4" i="2" l="1"/>
  <c r="AD4" i="2"/>
  <c r="AF3" i="2"/>
  <c r="AE3" i="2"/>
  <c r="AD3" i="2"/>
  <c r="D114" i="5" l="1"/>
  <c r="F121" i="5" l="1"/>
  <c r="F114" i="5"/>
  <c r="F119" i="5"/>
  <c r="D116" i="5"/>
  <c r="D119" i="5"/>
  <c r="F116" i="5"/>
  <c r="D121" i="5"/>
  <c r="F125" i="5"/>
  <c r="F124" i="5"/>
  <c r="F123" i="5"/>
  <c r="F122" i="5"/>
  <c r="F120" i="5"/>
  <c r="F118" i="5"/>
  <c r="F117" i="5"/>
  <c r="F115" i="5"/>
  <c r="D125" i="5"/>
  <c r="D124" i="5"/>
  <c r="D123" i="5"/>
  <c r="D122" i="5"/>
  <c r="D120" i="5"/>
  <c r="D118" i="5"/>
  <c r="D117" i="5"/>
  <c r="D115" i="5"/>
  <c r="AC31" i="5"/>
  <c r="AC30" i="5"/>
  <c r="AC29" i="5"/>
  <c r="AC26" i="5"/>
  <c r="AC13" i="5"/>
  <c r="AC27" i="5"/>
  <c r="AC11" i="5"/>
  <c r="AC5" i="5" l="1"/>
  <c r="AC7" i="5"/>
  <c r="AC19" i="5"/>
  <c r="AC21" i="5"/>
  <c r="AC10" i="5"/>
  <c r="AC14" i="5"/>
  <c r="AC8" i="5"/>
  <c r="AC18" i="5"/>
  <c r="AC6" i="5"/>
  <c r="AC20" i="5"/>
  <c r="AC9" i="5"/>
  <c r="AC12" i="5"/>
  <c r="AC17" i="5"/>
  <c r="AC15" i="5"/>
  <c r="AC22" i="5"/>
  <c r="AC24" i="5"/>
  <c r="AC23" i="5"/>
  <c r="AC25" i="5"/>
  <c r="AC28" i="5"/>
  <c r="AC16" i="5"/>
  <c r="D85" i="5" l="1"/>
  <c r="D86" i="5"/>
  <c r="N9" i="1" l="1"/>
  <c r="N7" i="1"/>
  <c r="N4" i="1"/>
  <c r="O31" i="1"/>
  <c r="O32" i="1"/>
  <c r="O33" i="1"/>
  <c r="O30" i="1"/>
  <c r="O26" i="1"/>
  <c r="P15" i="1"/>
  <c r="P14" i="1"/>
  <c r="P13" i="1"/>
  <c r="P12" i="1"/>
  <c r="P11" i="1"/>
  <c r="P10" i="1"/>
  <c r="P9" i="1"/>
  <c r="P8" i="1"/>
  <c r="P7" i="1"/>
  <c r="O5" i="1"/>
  <c r="O6" i="1"/>
  <c r="O4" i="1"/>
  <c r="F18" i="6"/>
  <c r="E21" i="6"/>
  <c r="D16" i="6"/>
  <c r="E16" i="6"/>
  <c r="F16" i="6"/>
  <c r="D17" i="6"/>
  <c r="E17" i="6"/>
  <c r="F17" i="6"/>
  <c r="D18" i="6"/>
  <c r="E18" i="6"/>
  <c r="D19" i="6"/>
  <c r="E19" i="6"/>
  <c r="F19" i="6"/>
  <c r="D20" i="6"/>
  <c r="E20" i="6"/>
  <c r="F20" i="6"/>
  <c r="D21" i="6"/>
  <c r="F21" i="6"/>
  <c r="D22" i="6"/>
  <c r="E22" i="6"/>
  <c r="F22" i="6"/>
  <c r="D23" i="6"/>
  <c r="E23" i="6"/>
  <c r="F23" i="6"/>
  <c r="D24" i="6"/>
  <c r="E24" i="6"/>
  <c r="F24" i="6"/>
  <c r="C17" i="6"/>
  <c r="C18" i="6"/>
  <c r="C19" i="6"/>
  <c r="C20" i="6"/>
  <c r="C21" i="6"/>
  <c r="C22" i="6"/>
  <c r="C23" i="6"/>
  <c r="C24" i="6"/>
  <c r="C16" i="6"/>
  <c r="I4" i="6"/>
  <c r="K4" i="6"/>
  <c r="J4" i="6"/>
  <c r="J9" i="6"/>
  <c r="J10" i="6"/>
  <c r="J11" i="6"/>
  <c r="J12" i="6"/>
  <c r="J13" i="6"/>
  <c r="J14" i="6"/>
  <c r="J15" i="6"/>
  <c r="J16" i="6"/>
  <c r="J17" i="6"/>
  <c r="J18" i="6"/>
  <c r="J19" i="6"/>
  <c r="J8" i="6"/>
  <c r="BI10" i="6" l="1"/>
  <c r="BG25" i="6"/>
  <c r="BG23" i="6"/>
  <c r="BG22" i="6"/>
  <c r="BG21" i="6"/>
  <c r="BG20" i="6"/>
  <c r="BG19" i="6"/>
  <c r="BG35" i="6"/>
  <c r="BG29" i="6"/>
  <c r="BG8" i="6"/>
  <c r="BG36" i="6"/>
  <c r="BG34" i="6"/>
  <c r="P6" i="1"/>
  <c r="P5" i="1"/>
  <c r="P4" i="1"/>
  <c r="P33" i="1"/>
  <c r="P32" i="1"/>
  <c r="P31" i="1"/>
  <c r="P30" i="1"/>
  <c r="BI60" i="6" l="1"/>
  <c r="BG41" i="6"/>
  <c r="BG26" i="6"/>
  <c r="BG39" i="6"/>
  <c r="BI61" i="6"/>
  <c r="BG10" i="6"/>
  <c r="BI42" i="6"/>
  <c r="BI11" i="6"/>
  <c r="BI30" i="6"/>
  <c r="BG33" i="6"/>
  <c r="BI58" i="6"/>
  <c r="BG27" i="6"/>
  <c r="BG40" i="6"/>
  <c r="BG14" i="6"/>
  <c r="BG43" i="6"/>
  <c r="BI64" i="6"/>
  <c r="BG12" i="6"/>
  <c r="BG13" i="6"/>
  <c r="BG7" i="6"/>
  <c r="BG24" i="6"/>
  <c r="BI56" i="6"/>
  <c r="BG37" i="6"/>
  <c r="BG42" i="6"/>
  <c r="BG11" i="6"/>
  <c r="BG30" i="6"/>
  <c r="BI57" i="6"/>
  <c r="BG38" i="6"/>
  <c r="BI59" i="6"/>
  <c r="BG9" i="6"/>
  <c r="BG28" i="6"/>
  <c r="BI28" i="6"/>
  <c r="BI9" i="6"/>
  <c r="BI8" i="6"/>
  <c r="BI43" i="6"/>
  <c r="BI13" i="6"/>
  <c r="BI14" i="6"/>
  <c r="BI12" i="6"/>
  <c r="F252" i="5"/>
  <c r="F253" i="5"/>
  <c r="F254" i="5"/>
  <c r="F255" i="5"/>
  <c r="F256" i="5"/>
  <c r="F257" i="5"/>
  <c r="F251" i="5"/>
  <c r="F247" i="5"/>
  <c r="F248" i="5"/>
  <c r="F249" i="5"/>
  <c r="F250" i="5"/>
  <c r="F246" i="5"/>
  <c r="F242" i="5"/>
  <c r="F232" i="5"/>
  <c r="F233" i="5"/>
  <c r="F234" i="5"/>
  <c r="F235" i="5"/>
  <c r="F236" i="5"/>
  <c r="F237" i="5"/>
  <c r="F238" i="5"/>
  <c r="F239" i="5"/>
  <c r="F240" i="5"/>
  <c r="F241" i="5"/>
  <c r="F231" i="5"/>
  <c r="F227" i="5"/>
  <c r="F224" i="5"/>
  <c r="F225" i="5"/>
  <c r="F226" i="5"/>
  <c r="F223" i="5"/>
  <c r="F222" i="5"/>
  <c r="F221" i="5"/>
  <c r="F217" i="5"/>
  <c r="F218" i="5"/>
  <c r="F219" i="5"/>
  <c r="F220" i="5"/>
  <c r="F216" i="5"/>
  <c r="F212" i="5"/>
  <c r="F211" i="5"/>
  <c r="F210" i="5"/>
  <c r="F209" i="5"/>
  <c r="F208" i="5"/>
  <c r="F207" i="5"/>
  <c r="F206" i="5"/>
  <c r="F205" i="5"/>
  <c r="F204" i="5"/>
  <c r="F202" i="5"/>
  <c r="F203" i="5"/>
  <c r="F201" i="5"/>
  <c r="F181" i="5"/>
  <c r="F182" i="5"/>
  <c r="F183" i="5"/>
  <c r="F180" i="5"/>
  <c r="F176" i="5"/>
  <c r="F177" i="5"/>
  <c r="F178" i="5"/>
  <c r="F179" i="5"/>
  <c r="F175" i="5"/>
  <c r="F174" i="5"/>
  <c r="F173" i="5"/>
  <c r="F172" i="5"/>
  <c r="F168" i="5"/>
  <c r="F164" i="5"/>
  <c r="F165" i="5"/>
  <c r="F166" i="5"/>
  <c r="F167" i="5"/>
  <c r="F163" i="5"/>
  <c r="F162" i="5"/>
  <c r="F161" i="5"/>
  <c r="F160" i="5"/>
  <c r="F159" i="5"/>
  <c r="F158" i="5"/>
  <c r="F157" i="5"/>
  <c r="F154" i="5"/>
  <c r="F152" i="5"/>
  <c r="F153" i="5"/>
  <c r="F151" i="5"/>
  <c r="F150" i="5"/>
  <c r="F149" i="5"/>
  <c r="F147" i="5"/>
  <c r="F148" i="5"/>
  <c r="F146" i="5"/>
  <c r="F144" i="5"/>
  <c r="F145" i="5"/>
  <c r="F143" i="5"/>
  <c r="F136" i="5"/>
  <c r="F137" i="5"/>
  <c r="F138" i="5"/>
  <c r="F139" i="5"/>
  <c r="F135" i="5"/>
  <c r="F134" i="5"/>
  <c r="F133" i="5"/>
  <c r="F131" i="5"/>
  <c r="F132" i="5"/>
  <c r="F130" i="5"/>
  <c r="F129" i="5"/>
  <c r="F128" i="5"/>
  <c r="F105" i="5"/>
  <c r="F106" i="5"/>
  <c r="F107" i="5"/>
  <c r="F108" i="5"/>
  <c r="F109" i="5"/>
  <c r="F110" i="5"/>
  <c r="F100" i="5"/>
  <c r="F101" i="5"/>
  <c r="F102" i="5"/>
  <c r="F103" i="5"/>
  <c r="F104" i="5"/>
  <c r="F99" i="5"/>
  <c r="F91" i="5"/>
  <c r="F92" i="5"/>
  <c r="F93" i="5"/>
  <c r="F94" i="5"/>
  <c r="F95" i="5"/>
  <c r="F96" i="5"/>
  <c r="F90" i="5"/>
  <c r="F86" i="5"/>
  <c r="F87" i="5"/>
  <c r="F88" i="5"/>
  <c r="F89" i="5"/>
  <c r="F85" i="5"/>
  <c r="D91" i="5"/>
  <c r="D92" i="5"/>
  <c r="D93" i="5"/>
  <c r="D94" i="5"/>
  <c r="D95" i="5"/>
  <c r="D96" i="5"/>
  <c r="D90" i="5"/>
  <c r="D89" i="5"/>
  <c r="D87" i="5"/>
  <c r="D88" i="5"/>
  <c r="F67" i="5"/>
  <c r="F66" i="5"/>
  <c r="F65" i="5"/>
  <c r="F64" i="5"/>
  <c r="F63" i="5"/>
  <c r="F62" i="5"/>
  <c r="F61" i="5"/>
  <c r="F60" i="5"/>
  <c r="F59" i="5"/>
  <c r="F58" i="5"/>
  <c r="F57" i="5"/>
  <c r="F56" i="5"/>
  <c r="F43" i="5"/>
  <c r="F42" i="5"/>
  <c r="F41" i="5"/>
  <c r="F40" i="5"/>
  <c r="F39" i="5"/>
  <c r="F38" i="5"/>
  <c r="F37" i="5"/>
  <c r="F36" i="5"/>
  <c r="F35" i="5"/>
  <c r="F34" i="5"/>
  <c r="F33" i="5"/>
  <c r="D43" i="5"/>
  <c r="D42" i="5"/>
  <c r="D41" i="5"/>
  <c r="D40" i="5"/>
  <c r="D39" i="5"/>
  <c r="D38" i="5"/>
  <c r="D37" i="5"/>
  <c r="D36" i="5"/>
  <c r="D35" i="5"/>
  <c r="D34" i="5"/>
  <c r="D33" i="5"/>
  <c r="F30" i="5"/>
  <c r="F29" i="5"/>
  <c r="F28" i="5"/>
  <c r="F27" i="5"/>
  <c r="F26" i="5"/>
  <c r="F25" i="5"/>
  <c r="F24" i="5"/>
  <c r="F23" i="5"/>
  <c r="F22" i="5"/>
  <c r="F21" i="5"/>
  <c r="F20" i="5"/>
  <c r="F19" i="5"/>
  <c r="D30" i="5"/>
  <c r="D29" i="5"/>
  <c r="D28" i="5"/>
  <c r="D27" i="5"/>
  <c r="D26" i="5"/>
  <c r="D25" i="5"/>
  <c r="D24" i="5"/>
  <c r="D23" i="5"/>
  <c r="D22" i="5"/>
  <c r="D21" i="5"/>
  <c r="D20" i="5"/>
  <c r="D19" i="5"/>
  <c r="F14" i="5"/>
  <c r="F13" i="5"/>
  <c r="F12" i="5"/>
  <c r="F11" i="5"/>
  <c r="F10" i="5"/>
  <c r="F9" i="5"/>
  <c r="F8" i="5"/>
  <c r="F7" i="5"/>
  <c r="F6" i="5"/>
  <c r="F5" i="5"/>
  <c r="D14" i="5"/>
  <c r="D13" i="5"/>
  <c r="D12" i="5"/>
  <c r="D11" i="5"/>
  <c r="D10" i="5"/>
  <c r="D9" i="5"/>
  <c r="D8" i="5"/>
  <c r="D7" i="5"/>
  <c r="D6" i="5"/>
  <c r="D5" i="5"/>
  <c r="J20" i="6"/>
  <c r="L4" i="6"/>
  <c r="M5" i="1" l="1"/>
  <c r="M6" i="1" s="1"/>
  <c r="I64" i="2" l="1"/>
  <c r="I53" i="2"/>
  <c r="I52" i="2"/>
  <c r="I47" i="2"/>
  <c r="I48" i="2"/>
  <c r="I46" i="2"/>
  <c r="I40" i="2"/>
  <c r="I37" i="2"/>
  <c r="I38" i="2"/>
  <c r="I36" i="2"/>
  <c r="I29" i="2"/>
  <c r="I28" i="2"/>
  <c r="I25" i="2"/>
  <c r="I20" i="2"/>
  <c r="I17" i="2"/>
  <c r="I12" i="2"/>
  <c r="I9" i="2"/>
  <c r="G38" i="2"/>
  <c r="G36" i="2"/>
  <c r="G68" i="2"/>
  <c r="G67" i="2"/>
  <c r="F67" i="2"/>
  <c r="F63" i="2"/>
  <c r="F45" i="2"/>
  <c r="F44" i="2"/>
  <c r="F36" i="2"/>
  <c r="F24" i="2"/>
  <c r="F6" i="2"/>
  <c r="J68" i="2"/>
  <c r="J67" i="2"/>
  <c r="J51" i="2"/>
  <c r="J44" i="2"/>
  <c r="J40" i="2"/>
  <c r="J37" i="2"/>
  <c r="J38" i="2"/>
  <c r="J36" i="2"/>
  <c r="J33" i="2"/>
  <c r="J32" i="2"/>
  <c r="J17" i="2"/>
  <c r="J12" i="2"/>
  <c r="J10" i="2"/>
  <c r="J9" i="2"/>
  <c r="J5" i="2"/>
  <c r="J6" i="2"/>
  <c r="J4" i="2"/>
  <c r="E68" i="2" l="1"/>
  <c r="E67" i="2"/>
  <c r="E63" i="2"/>
  <c r="E62" i="2"/>
  <c r="E53" i="2"/>
  <c r="E51" i="2"/>
  <c r="E37" i="2"/>
  <c r="E38" i="2"/>
  <c r="E36" i="2"/>
  <c r="E6" i="2"/>
  <c r="E7" i="2"/>
  <c r="E4" i="2"/>
  <c r="D30" i="2"/>
  <c r="D29" i="2"/>
  <c r="D22" i="2"/>
  <c r="D23" i="2"/>
  <c r="D21" i="2"/>
  <c r="D42" i="2"/>
  <c r="D41" i="2"/>
  <c r="D47" i="2"/>
  <c r="D72" i="2"/>
  <c r="D73" i="2"/>
  <c r="D71" i="2"/>
  <c r="D70" i="2"/>
  <c r="D68" i="2"/>
</calcChain>
</file>

<file path=xl/sharedStrings.xml><?xml version="1.0" encoding="utf-8"?>
<sst xmlns="http://schemas.openxmlformats.org/spreadsheetml/2006/main" count="1566" uniqueCount="420">
  <si>
    <t>SKU</t>
  </si>
  <si>
    <t>FABRIC</t>
  </si>
  <si>
    <t>EVOLUTION COLLECTION</t>
  </si>
  <si>
    <t>JACKETS</t>
  </si>
  <si>
    <t>DJT SUB 01</t>
  </si>
  <si>
    <t>Signature Jacket</t>
  </si>
  <si>
    <t>4206 (WHITE)</t>
  </si>
  <si>
    <t>Varsity Jacket</t>
  </si>
  <si>
    <t>4261 (WHITE)</t>
  </si>
  <si>
    <t>BJT SUB 01</t>
  </si>
  <si>
    <t>Bomber Jacket</t>
  </si>
  <si>
    <t>HUN SUB</t>
  </si>
  <si>
    <t>Hoodie Jacket</t>
  </si>
  <si>
    <t>TOPS AND TEES</t>
  </si>
  <si>
    <t>STA SUB 01</t>
  </si>
  <si>
    <t>Strappy Sport Bra</t>
  </si>
  <si>
    <t>COB SUPP</t>
  </si>
  <si>
    <t>Jazzy Sport Bra</t>
  </si>
  <si>
    <t>CRV SUB</t>
  </si>
  <si>
    <t>JABON (WHITE)</t>
  </si>
  <si>
    <t>HSC SUB 01</t>
  </si>
  <si>
    <t>Halter Sport Crop</t>
  </si>
  <si>
    <t>HAL SUB</t>
  </si>
  <si>
    <t>Halter Top</t>
  </si>
  <si>
    <t>BCT SUB</t>
  </si>
  <si>
    <t>Boys Cut Tank Top</t>
  </si>
  <si>
    <t>NACAR (WHITE)</t>
  </si>
  <si>
    <t>BBJ SUB 01</t>
  </si>
  <si>
    <t>Baseball Jersey</t>
  </si>
  <si>
    <t>HIDROTECH (BLACK &amp; WHITE)</t>
  </si>
  <si>
    <t xml:space="preserve">OFT SUB </t>
  </si>
  <si>
    <t>Off The Shoulder</t>
  </si>
  <si>
    <t>OPN SUB 01</t>
  </si>
  <si>
    <t>Open Back Crop Top</t>
  </si>
  <si>
    <t>LEGGINGS AND PANTS</t>
  </si>
  <si>
    <t>HWL SUB 01</t>
  </si>
  <si>
    <t>High Waist Leggings</t>
  </si>
  <si>
    <t>LEG SUB 03</t>
  </si>
  <si>
    <t>Performance Leggings</t>
  </si>
  <si>
    <t>LEG SUB 02</t>
  </si>
  <si>
    <t>2 Panels Jazzy Leggings</t>
  </si>
  <si>
    <t>COL SUPP</t>
  </si>
  <si>
    <t>Jazzy Leggings 4 Panels</t>
  </si>
  <si>
    <t>JGR SUB 01</t>
  </si>
  <si>
    <t>Tappered Jogger Pant</t>
  </si>
  <si>
    <t>CAP SUB 01</t>
  </si>
  <si>
    <t>Performance Capri</t>
  </si>
  <si>
    <t>PJB SUB</t>
  </si>
  <si>
    <t>Pyjama Bottoms</t>
  </si>
  <si>
    <t>SUAVESTAR (WHITE)</t>
  </si>
  <si>
    <t>SHORTS</t>
  </si>
  <si>
    <t>SKO SUB 01</t>
  </si>
  <si>
    <t>Skort</t>
  </si>
  <si>
    <t>CHE SUB 01</t>
  </si>
  <si>
    <t>ProFit Short</t>
  </si>
  <si>
    <t>COS SUPP</t>
  </si>
  <si>
    <t>Jazzy Short</t>
  </si>
  <si>
    <t>BODIES</t>
  </si>
  <si>
    <t>BDS SUB 01</t>
  </si>
  <si>
    <t>Jazzy Body Suit</t>
  </si>
  <si>
    <t>LEO SUB 01</t>
  </si>
  <si>
    <t>Gymnastics Leotard</t>
  </si>
  <si>
    <t>ONYX COLLECTION</t>
  </si>
  <si>
    <t>DJT ONYX 01 - 02</t>
  </si>
  <si>
    <t>Onix Fitted Jacket</t>
  </si>
  <si>
    <t>VAR ONYX 01 - 02</t>
  </si>
  <si>
    <t>4126 (BLACK)</t>
  </si>
  <si>
    <t>Wind Breaker Jacket</t>
  </si>
  <si>
    <t xml:space="preserve">TOPS </t>
  </si>
  <si>
    <t>BRA ONYX 01 - 02</t>
  </si>
  <si>
    <t>Sport Bra</t>
  </si>
  <si>
    <t>4206 (BLACK)</t>
  </si>
  <si>
    <t>FTT ONYX 02</t>
  </si>
  <si>
    <t>Female Tank Top</t>
  </si>
  <si>
    <t>MTT ONYX</t>
  </si>
  <si>
    <t>Men's Tank Top</t>
  </si>
  <si>
    <t>BOTTOMS</t>
  </si>
  <si>
    <t>Male Short</t>
  </si>
  <si>
    <t>CHE ONYX 01 - 02</t>
  </si>
  <si>
    <t>Onix Fitted Short</t>
  </si>
  <si>
    <t>SKO ONYX 01 -02</t>
  </si>
  <si>
    <t>HWL ONYX 01</t>
  </si>
  <si>
    <t>HWL ONYX 02</t>
  </si>
  <si>
    <t>STREET COLLECTION</t>
  </si>
  <si>
    <t>VAR 50</t>
  </si>
  <si>
    <t>SANTA CRUZ</t>
  </si>
  <si>
    <t>RCH 50</t>
  </si>
  <si>
    <t>Raw Edge Crop Hoddie</t>
  </si>
  <si>
    <t>HUN 50</t>
  </si>
  <si>
    <t>TEES</t>
  </si>
  <si>
    <t>OFT 46</t>
  </si>
  <si>
    <t>VISCOSA</t>
  </si>
  <si>
    <t>HLR 946</t>
  </si>
  <si>
    <t>Hi - Lo Racer</t>
  </si>
  <si>
    <t>TUT 946</t>
  </si>
  <si>
    <t>Tie Up Tee</t>
  </si>
  <si>
    <t>CRO 46</t>
  </si>
  <si>
    <t>Crop Tank Top</t>
  </si>
  <si>
    <t>CRV 46</t>
  </si>
  <si>
    <t>Crop V Neck</t>
  </si>
  <si>
    <t>BCT 946</t>
  </si>
  <si>
    <t xml:space="preserve">BLACK   KIDS </t>
  </si>
  <si>
    <t>HHP 50</t>
  </si>
  <si>
    <t>Hip Hop Sweatpant</t>
  </si>
  <si>
    <t>SSK 50</t>
  </si>
  <si>
    <t>Skinny Sweatpants</t>
  </si>
  <si>
    <t>RSH 50</t>
  </si>
  <si>
    <t>Raw Edge Short</t>
  </si>
  <si>
    <t>ACCESORIES</t>
  </si>
  <si>
    <t>BAG SUB 01</t>
  </si>
  <si>
    <t>Custom Team Duffle Bag</t>
  </si>
  <si>
    <t>BCK SUB 01</t>
  </si>
  <si>
    <t>Custom Team Back Pack</t>
  </si>
  <si>
    <t>HBA SUPP</t>
  </si>
  <si>
    <t>Headband</t>
  </si>
  <si>
    <t>SLD SUB</t>
  </si>
  <si>
    <t>LONA CAMPERO (WHITE)</t>
  </si>
  <si>
    <t>BOW SUB 01</t>
  </si>
  <si>
    <t>Custom Team Bow</t>
  </si>
  <si>
    <t>CINTA FAYA (WHITE) 75 MM</t>
  </si>
  <si>
    <t xml:space="preserve">SCA SUB </t>
  </si>
  <si>
    <t>Scarf</t>
  </si>
  <si>
    <t>WHOLESALE</t>
  </si>
  <si>
    <t>DJT ONYX 03</t>
  </si>
  <si>
    <t>ONYX Fitted Jacket</t>
  </si>
  <si>
    <t>WBJ SUB 01</t>
  </si>
  <si>
    <t>Fully Sublimated Windbreaker</t>
  </si>
  <si>
    <t>FPT ONYX02</t>
  </si>
  <si>
    <t>ONYX Female Performance Tee</t>
  </si>
  <si>
    <t>FPTL  ONYX 02</t>
  </si>
  <si>
    <t>ONYX Female Performance Tee Long Sleeve</t>
  </si>
  <si>
    <t>MPT  ONYX02</t>
  </si>
  <si>
    <t>Onyx Male Performance Tee</t>
  </si>
  <si>
    <t>MPTL  ONYX02</t>
  </si>
  <si>
    <t>Onyx Male Performance Tee Long Sleeve</t>
  </si>
  <si>
    <t>SHAB CHIC</t>
  </si>
  <si>
    <t>MPP SUB 01</t>
  </si>
  <si>
    <t>Men's Performance Pullover</t>
  </si>
  <si>
    <t>HIDROTECH (WHITE)</t>
  </si>
  <si>
    <t>WPP SUB 01</t>
  </si>
  <si>
    <t>Women's Performance Pullover</t>
  </si>
  <si>
    <t>LEG SUB 01</t>
  </si>
  <si>
    <t>BRIEF</t>
  </si>
  <si>
    <t>SUPPLEX (BLACK)</t>
  </si>
  <si>
    <t>NOMBRE PRENDA</t>
  </si>
  <si>
    <t>SKU PRENDA</t>
  </si>
  <si>
    <t>TELA PRINCIPAL</t>
  </si>
  <si>
    <t>TELA SECUNDARIA</t>
  </si>
  <si>
    <t>CIERRE PRINCIPAL</t>
  </si>
  <si>
    <t>CIERRE BOLSILLO</t>
  </si>
  <si>
    <t>CIERRE INVISIBLE</t>
  </si>
  <si>
    <t>HILO</t>
  </si>
  <si>
    <t>HILO ELASTICO</t>
  </si>
  <si>
    <t>FORRO</t>
  </si>
  <si>
    <t>ELASTICO</t>
  </si>
  <si>
    <t>F. CINTURA</t>
  </si>
  <si>
    <t>F. PUÑOS</t>
  </si>
  <si>
    <t>F. CUELLO</t>
  </si>
  <si>
    <t>MAYA</t>
  </si>
  <si>
    <t>CORDON</t>
  </si>
  <si>
    <t>BOTONES</t>
  </si>
  <si>
    <t>BORDADO</t>
  </si>
  <si>
    <t>ESTAMPADO</t>
  </si>
  <si>
    <t>VINILO</t>
  </si>
  <si>
    <t>APLIQUE LIMELIGHT</t>
  </si>
  <si>
    <t>ETIQUETA SD</t>
  </si>
  <si>
    <t>ETIQUETA LIMELIGHT</t>
  </si>
  <si>
    <t>E  V  O  L  U  T  I  O  N     C  O  L  L  E  C  T  I  O  N</t>
  </si>
  <si>
    <t>Leggings Full Sublimated</t>
  </si>
  <si>
    <t>O  N  Y  X       C  O  L  L  E  C  T  I  O  N</t>
  </si>
  <si>
    <t xml:space="preserve">ONYX Yoga Jacket </t>
  </si>
  <si>
    <t xml:space="preserve">ONYX Varsity Jacket </t>
  </si>
  <si>
    <t xml:space="preserve">ONYX Wind Breaker Jacket </t>
  </si>
  <si>
    <t xml:space="preserve">ONYX Sport Bra </t>
  </si>
  <si>
    <t xml:space="preserve">ONYX Female Tank Top </t>
  </si>
  <si>
    <t xml:space="preserve">ONYX Men's Tank Top </t>
  </si>
  <si>
    <t xml:space="preserve">ONYX Tappered Jogger Pant </t>
  </si>
  <si>
    <t xml:space="preserve">ONYX Male Short </t>
  </si>
  <si>
    <t xml:space="preserve">ONYX Pro Fit Short </t>
  </si>
  <si>
    <t xml:space="preserve">ONYX Skort </t>
  </si>
  <si>
    <t xml:space="preserve">ONYX High Waist Leggings </t>
  </si>
  <si>
    <t>S  T  R  E  E  T     C  O  L  L  E  C  T  I  O  N</t>
  </si>
  <si>
    <t>Varsity Jacket 50</t>
  </si>
  <si>
    <t>Hoodie Jacket 50</t>
  </si>
  <si>
    <t>Off The Shoulder 46</t>
  </si>
  <si>
    <t>Crop V Neck 46</t>
  </si>
  <si>
    <t>Boys Cut Tank Top 46</t>
  </si>
  <si>
    <t>W  H  O  L  E  S  A  L  E</t>
  </si>
  <si>
    <t>Shabby Chic</t>
  </si>
  <si>
    <t>some NEW products ****NEON****</t>
  </si>
  <si>
    <t>Yes Existing</t>
  </si>
  <si>
    <t>Not Existing</t>
  </si>
  <si>
    <t>Nombe Prenda</t>
  </si>
  <si>
    <t>SKU Prenda</t>
  </si>
  <si>
    <t xml:space="preserve">Tela </t>
  </si>
  <si>
    <t>Lona  1</t>
  </si>
  <si>
    <t>Lona  2</t>
  </si>
  <si>
    <t xml:space="preserve"> Forro</t>
  </si>
  <si>
    <t>Malla Cargadera</t>
  </si>
  <si>
    <t>Malla Bolsillo</t>
  </si>
  <si>
    <t>Riata</t>
  </si>
  <si>
    <t xml:space="preserve"> Resorte</t>
  </si>
  <si>
    <t xml:space="preserve"> Morralera</t>
  </si>
  <si>
    <t xml:space="preserve"> Cierre</t>
  </si>
  <si>
    <t xml:space="preserve">Jumbolon 1 </t>
  </si>
  <si>
    <t>Jumbolon 2</t>
  </si>
  <si>
    <t>Jumbolon 3</t>
  </si>
  <si>
    <t>Hilo</t>
  </si>
  <si>
    <t>Embono</t>
  </si>
  <si>
    <t>Cambri</t>
  </si>
  <si>
    <t>Neopreno</t>
  </si>
  <si>
    <t>Tira Hombros</t>
  </si>
  <si>
    <t>Hombrera  Trabilla Agarradera</t>
  </si>
  <si>
    <t>Mosqueton Argolla  Llaves</t>
  </si>
  <si>
    <t>suelas</t>
  </si>
  <si>
    <t>A  C  C  E  S  O  R  I  E  S</t>
  </si>
  <si>
    <t>SLIDES</t>
  </si>
  <si>
    <t>Style</t>
  </si>
  <si>
    <t>Collection</t>
  </si>
  <si>
    <t>JACKETS E</t>
  </si>
  <si>
    <t>JACKETS O</t>
  </si>
  <si>
    <t>BOTTOMS O</t>
  </si>
  <si>
    <t>JACKETS S</t>
  </si>
  <si>
    <t>BOTTOMS S</t>
  </si>
  <si>
    <t>JACKETS W</t>
  </si>
  <si>
    <t>TEES S</t>
  </si>
  <si>
    <t>TEES W</t>
  </si>
  <si>
    <t>BOTTOMS W</t>
  </si>
  <si>
    <t>Onyx Fitted Jacket</t>
  </si>
  <si>
    <t>Custom Team  Slides</t>
  </si>
  <si>
    <t>Onyx Female Performance Tee Long Sleeve</t>
  </si>
  <si>
    <t>Onyx Female Performance Tee</t>
  </si>
  <si>
    <t>Brief</t>
  </si>
  <si>
    <t>Shabby Chic T Shirt</t>
  </si>
  <si>
    <t>Clothes</t>
  </si>
  <si>
    <t>Cro V Neck</t>
  </si>
  <si>
    <t>Varsity Jacket E</t>
  </si>
  <si>
    <t>Varsity Jacket O</t>
  </si>
  <si>
    <t>Varsity Jacket S</t>
  </si>
  <si>
    <t>Vendedor</t>
  </si>
  <si>
    <t>YXS</t>
  </si>
  <si>
    <t>YS</t>
  </si>
  <si>
    <t>YM</t>
  </si>
  <si>
    <t>YL</t>
  </si>
  <si>
    <t>XS</t>
  </si>
  <si>
    <t>S</t>
  </si>
  <si>
    <t>M</t>
  </si>
  <si>
    <t>L</t>
  </si>
  <si>
    <t>XL</t>
  </si>
  <si>
    <t>XXL</t>
  </si>
  <si>
    <t>TOPS</t>
  </si>
  <si>
    <t>Amarillo</t>
  </si>
  <si>
    <t>Azul</t>
  </si>
  <si>
    <t>Rojo</t>
  </si>
  <si>
    <t>Verde</t>
  </si>
  <si>
    <t>Vendedores</t>
  </si>
  <si>
    <t>Margarita</t>
  </si>
  <si>
    <t>Juan</t>
  </si>
  <si>
    <t>Felipe</t>
  </si>
  <si>
    <t>Marcela</t>
  </si>
  <si>
    <t>Cliente</t>
  </si>
  <si>
    <t># Cliente</t>
  </si>
  <si>
    <t>Fecha Pedido</t>
  </si>
  <si>
    <t>Fecha Despacho</t>
  </si>
  <si>
    <t>Cliente Especial</t>
  </si>
  <si>
    <t>Conirmacion de Fecha</t>
  </si>
  <si>
    <t>PO#</t>
  </si>
  <si>
    <t>RM#</t>
  </si>
  <si>
    <t>Arte Existente</t>
  </si>
  <si>
    <t>Negro</t>
  </si>
  <si>
    <t>Blanco</t>
  </si>
  <si>
    <t>LINEA N3Z (separable)</t>
  </si>
  <si>
    <t>#</t>
  </si>
  <si>
    <t>blanco</t>
  </si>
  <si>
    <t>talla x tamaño</t>
  </si>
  <si>
    <t>BJT-SUB</t>
  </si>
  <si>
    <t>CIERRE BOLSILLO – LINEA 21</t>
  </si>
  <si>
    <t>LINEA N3U (fijo)</t>
  </si>
  <si>
    <t>LINEA HF (fijo)</t>
  </si>
  <si>
    <t>LINEA 5U (separable - metálico)</t>
  </si>
  <si>
    <t>HUN-50</t>
  </si>
  <si>
    <t xml:space="preserve"> LINEA QX</t>
  </si>
  <si>
    <t>BOMBAI NIQUEL</t>
  </si>
  <si>
    <t>LINEA 72</t>
  </si>
  <si>
    <t xml:space="preserve"> INVISIBLE LINEA N25</t>
  </si>
  <si>
    <t/>
  </si>
  <si>
    <t>4261 (WHITE)/Lining 4059 (BLACK &amp; WHITE)</t>
  </si>
  <si>
    <t>4206 (WHITE)/Lining 4059 (BLACK &amp; WHITE)</t>
  </si>
  <si>
    <t>4261 (WHITE)/Lining 4059 (BLACK &amp; WHITE)/Entretela (WHITE)</t>
  </si>
  <si>
    <t>4206 (WHITE)/POWERNET (BLACK &amp; WHITE)/Lining 4059 (BLACK &amp; WHITE)</t>
  </si>
  <si>
    <t>JABON (WHITE)/MALLA FANTASIA (BLACK)/MALLA VALIANA (WHITE)</t>
  </si>
  <si>
    <t>SUPPLEX CLAVEL (BLACK)/MALLA FANTASIA (BLACK)</t>
  </si>
  <si>
    <t>4206 (WHITE)/SUPPLEX CLAVEL (BLACK)</t>
  </si>
  <si>
    <t>4206 (WHITE)/MALLA VALIANA (WHITE)</t>
  </si>
  <si>
    <t>4241 (WHITE)/Lining 4059 (BLACK &amp; WHITE)</t>
  </si>
  <si>
    <t>42060 (BLACK)/MENELAOS (BLACK LINING)</t>
  </si>
  <si>
    <t>4126 (BLACK)/Lining (BLACK) 4059</t>
  </si>
  <si>
    <t>ORINOCO ECO (BLACK)/DUNGA(BLACK LINING)</t>
  </si>
  <si>
    <t>4206 (BLACK)/Lining (BLACK) 4059</t>
  </si>
  <si>
    <t>4102 (BLACK)/MESH 10030 (BLACK)/JABON (WHITE)</t>
  </si>
  <si>
    <t>SKO ONYX 01 - 02</t>
  </si>
  <si>
    <t>4206 (BLACK)/MENELAOS (BLACK)</t>
  </si>
  <si>
    <t>42060 (BLACK)/MALLA CROCHET(BLACK)/MALLA FANTASIA (BLACK)</t>
  </si>
  <si>
    <t>42060 (BLACK)/MALLA CROCHET(BLACK)</t>
  </si>
  <si>
    <t>SANTA CRUZ/Lining 4059 (BLACK &amp; WHITE)</t>
  </si>
  <si>
    <t>High Waist Leggings 2</t>
  </si>
  <si>
    <t>High Waist Leggings 1</t>
  </si>
  <si>
    <t>30150 (WHTE)/30150 (BLACK)</t>
  </si>
  <si>
    <t>42060 (WHITE)/Lining (WHITE) 4059</t>
  </si>
  <si>
    <t>UNIVERSAL LYCRA (WHITE)/LAMEGA (WHITE) Lining/4241 (Binding)</t>
  </si>
  <si>
    <t>Onyx Tappered Jogger Pant</t>
  </si>
  <si>
    <t xml:space="preserve">INVENTARIO </t>
  </si>
  <si>
    <t>INSUMO</t>
  </si>
  <si>
    <t>TOTAL</t>
  </si>
  <si>
    <t>COSTO TOTAL</t>
  </si>
  <si>
    <t>CANTIDAD MIN</t>
  </si>
  <si>
    <t>CANTIDAD MAX</t>
  </si>
  <si>
    <t>ORDEN  COMPRA PENDIENTE</t>
  </si>
  <si>
    <t>APLIQUES LIMELIGHT</t>
  </si>
  <si>
    <t>ETIQUETAS LIMELIGHT</t>
  </si>
  <si>
    <t>ETIQUETAS SOUL DANCER</t>
  </si>
  <si>
    <t>CIERRES</t>
  </si>
  <si>
    <t>MARQUILLAS COMPOSICION</t>
  </si>
  <si>
    <t>STICKERS TALLAS</t>
  </si>
  <si>
    <t>CORDONES</t>
  </si>
  <si>
    <t>COLOR</t>
  </si>
  <si>
    <t>PLANO 1,1</t>
  </si>
  <si>
    <t>PLANO 1.3</t>
  </si>
  <si>
    <t>DANCE 1.1</t>
  </si>
  <si>
    <t>DANCE 1.3</t>
  </si>
  <si>
    <t>Morado</t>
  </si>
  <si>
    <t>Azul Navy</t>
  </si>
  <si>
    <t>Fucsia</t>
  </si>
  <si>
    <t>TAMAÑO X TALLA</t>
  </si>
  <si>
    <t>4X-6X-YXS-YS-YM-YL</t>
  </si>
  <si>
    <t>YS-S-M-L-XL-XXL</t>
  </si>
  <si>
    <t>EN  BLANCO</t>
  </si>
  <si>
    <t>DIBUJANDO</t>
  </si>
  <si>
    <t>CON DIBUJO</t>
  </si>
  <si>
    <t>FAJONES</t>
  </si>
  <si>
    <t>TOTAL           X          COLOR</t>
  </si>
  <si>
    <t>NEGRO</t>
  </si>
  <si>
    <t>BLANCO</t>
  </si>
  <si>
    <t>GRIS</t>
  </si>
  <si>
    <t>NEGRO RAYA BLANCA</t>
  </si>
  <si>
    <t>AMARILLO</t>
  </si>
  <si>
    <t>FUCSIA</t>
  </si>
  <si>
    <t>ROSA</t>
  </si>
  <si>
    <t>ROSA OSCURO</t>
  </si>
  <si>
    <t xml:space="preserve">MORADO </t>
  </si>
  <si>
    <t>MORADO OPACO</t>
  </si>
  <si>
    <t>AZUL CLARO</t>
  </si>
  <si>
    <t>AZUL MARINO - NAVY</t>
  </si>
  <si>
    <t>AZUL LILA</t>
  </si>
  <si>
    <t>AZUL VIOLETA</t>
  </si>
  <si>
    <t>AZUL OSCURO</t>
  </si>
  <si>
    <t>AZUL  REY</t>
  </si>
  <si>
    <t>ROJO</t>
  </si>
  <si>
    <t>GRIS SPORT</t>
  </si>
  <si>
    <t>GRIS OSCURO</t>
  </si>
  <si>
    <t>FUCSIA CON  RAYA NEGRA</t>
  </si>
  <si>
    <t>TOTAL  X FAJON</t>
  </si>
  <si>
    <t>TALLA</t>
  </si>
  <si>
    <t>93% POLYESTER 7% SPANDEX</t>
  </si>
  <si>
    <t>92% POLYESTER  8% SPANDEX</t>
  </si>
  <si>
    <t>90% NYLON  10% SPANDEX</t>
  </si>
  <si>
    <t>85% POLYESTER  15% SPANDEX</t>
  </si>
  <si>
    <t>65% POLYESTER  35% COTTON</t>
  </si>
  <si>
    <t>80% POLYESTER  20% SPANDEX</t>
  </si>
  <si>
    <t>90% COTTON  10% SPANDEX</t>
  </si>
  <si>
    <t>97% VISCOSE  3% SPANDEX</t>
  </si>
  <si>
    <t>4C</t>
  </si>
  <si>
    <t>6C</t>
  </si>
  <si>
    <t>LINEA QX</t>
  </si>
  <si>
    <t>LINEA N25(Invisible)</t>
  </si>
  <si>
    <t>LINEA 5U(Metal)</t>
  </si>
  <si>
    <t>LINEA N3Z (Separable)</t>
  </si>
  <si>
    <t>LINEA 21(Bolsillo)</t>
  </si>
  <si>
    <t>LINEA N3U(Fijo)</t>
  </si>
  <si>
    <t>LINEA HF(Fijo)</t>
  </si>
  <si>
    <t>N3Z</t>
  </si>
  <si>
    <t>N3U</t>
  </si>
  <si>
    <t>HF</t>
  </si>
  <si>
    <t>5U</t>
  </si>
  <si>
    <t>N25</t>
  </si>
  <si>
    <t>Talla</t>
  </si>
  <si>
    <t>QX</t>
  </si>
  <si>
    <t>Bombai</t>
  </si>
  <si>
    <t>RefInsu</t>
  </si>
  <si>
    <t>Insumo</t>
  </si>
  <si>
    <t>Insumos</t>
  </si>
  <si>
    <t>STICKERS</t>
  </si>
  <si>
    <t>80% COTTON 20% SPANDEX</t>
  </si>
  <si>
    <t># Compra</t>
  </si>
  <si>
    <t>Acc</t>
  </si>
  <si>
    <t>Und</t>
  </si>
  <si>
    <t>Fabric</t>
  </si>
  <si>
    <t>Forro</t>
  </si>
  <si>
    <t>Material</t>
  </si>
  <si>
    <t>Ref</t>
  </si>
  <si>
    <t>Tamaño</t>
  </si>
  <si>
    <t>Color</t>
  </si>
  <si>
    <t>Fecha</t>
  </si>
  <si>
    <t>Color Fajon</t>
  </si>
  <si>
    <t>USA</t>
  </si>
  <si>
    <t>Canada</t>
  </si>
  <si>
    <t>(60X14)cm (sin quiebre)</t>
  </si>
  <si>
    <t>(60X10)cm (con quiebre)</t>
  </si>
  <si>
    <t>(100X14)cm (con quiebre en mitad)</t>
  </si>
  <si>
    <t>TOTAL           X          TALLA</t>
  </si>
  <si>
    <t>MARQUILLAS DE COMPOSICION</t>
  </si>
  <si>
    <t>Total</t>
  </si>
  <si>
    <t>Cierre</t>
  </si>
  <si>
    <t>Destino</t>
  </si>
  <si>
    <t>VAR SUB</t>
  </si>
  <si>
    <t>JGR ONYX</t>
  </si>
  <si>
    <t>FRENTE</t>
  </si>
  <si>
    <t>TRASERO</t>
  </si>
  <si>
    <t>MSH ONYX</t>
  </si>
  <si>
    <t>WBJ ONYX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</si>
</sst>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#,##0&quot; cm&quot;"/>
    <numFmt numFmtId="165" formatCode="_-* #,##0_-;\-* #,##0_-;_-* &quot;-&quot;??_-;_-@_-"/>
    <numFmt numFmtId="166" formatCode="dd/mm/yyyy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Arial Unicode MS"/>
      <family val="2"/>
    </font>
    <font>
      <b/>
      <sz val="2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6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rgb="FFBF9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rgb="FFD9E1F2"/>
        <bgColor theme="4" tint="0.79998168889431442"/>
      </patternFill>
    </fill>
    <fill>
      <patternFill patternType="solid">
        <fgColor rgb="FFD9D9D9"/>
        <bgColor theme="4" tint="0.79998168889431442"/>
      </patternFill>
    </fill>
    <fill>
      <patternFill patternType="solid">
        <fgColor rgb="FFBF9FFF"/>
        <bgColor theme="4" tint="0.79998168889431442"/>
      </patternFill>
    </fill>
    <fill>
      <patternFill patternType="solid">
        <fgColor rgb="FF00CC99"/>
        <bgColor theme="4" tint="0.79998168889431442"/>
      </patternFill>
    </fill>
    <fill>
      <patternFill patternType="solid">
        <fgColor rgb="FFC6E0B4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6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639">
    <xf numFmtId="0" fontId="0" fillId="0" borderId="0" xfId="0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0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25" xfId="0" applyBorder="1"/>
    <xf numFmtId="0" fontId="0" fillId="0" borderId="25" xfId="0" applyBorder="1" applyAlignment="1">
      <alignment horizontal="center" vertical="center"/>
    </xf>
    <xf numFmtId="0" fontId="0" fillId="0" borderId="2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6" fillId="0" borderId="7" xfId="0" applyFont="1" applyBorder="1"/>
    <xf numFmtId="0" fontId="6" fillId="0" borderId="23" xfId="0" applyFont="1" applyBorder="1"/>
    <xf numFmtId="0" fontId="0" fillId="10" borderId="7" xfId="0" applyFill="1" applyBorder="1"/>
    <xf numFmtId="0" fontId="0" fillId="8" borderId="7" xfId="0" applyFill="1" applyBorder="1"/>
    <xf numFmtId="0" fontId="0" fillId="0" borderId="21" xfId="0" applyBorder="1"/>
    <xf numFmtId="0" fontId="0" fillId="8" borderId="20" xfId="0" applyFill="1" applyBorder="1"/>
    <xf numFmtId="0" fontId="0" fillId="10" borderId="22" xfId="0" applyFill="1" applyBorder="1"/>
    <xf numFmtId="0" fontId="6" fillId="0" borderId="1" xfId="0" applyFont="1" applyBorder="1"/>
    <xf numFmtId="0" fontId="6" fillId="0" borderId="24" xfId="0" applyFont="1" applyBorder="1" applyAlignment="1">
      <alignment vertical="center"/>
    </xf>
    <xf numFmtId="0" fontId="0" fillId="10" borderId="1" xfId="0" applyFill="1" applyBorder="1"/>
    <xf numFmtId="0" fontId="0" fillId="8" borderId="1" xfId="0" applyFill="1" applyBorder="1"/>
    <xf numFmtId="0" fontId="0" fillId="0" borderId="24" xfId="0" applyBorder="1"/>
    <xf numFmtId="0" fontId="0" fillId="10" borderId="12" xfId="0" applyFill="1" applyBorder="1"/>
    <xf numFmtId="0" fontId="6" fillId="0" borderId="24" xfId="0" applyFont="1" applyBorder="1"/>
    <xf numFmtId="0" fontId="6" fillId="0" borderId="16" xfId="0" applyFont="1" applyBorder="1"/>
    <xf numFmtId="0" fontId="6" fillId="0" borderId="33" xfId="0" applyFont="1" applyBorder="1"/>
    <xf numFmtId="0" fontId="0" fillId="10" borderId="16" xfId="0" applyFill="1" applyBorder="1" applyAlignment="1">
      <alignment horizontal="left"/>
    </xf>
    <xf numFmtId="0" fontId="0" fillId="10" borderId="16" xfId="0" applyFill="1" applyBorder="1"/>
    <xf numFmtId="0" fontId="0" fillId="0" borderId="15" xfId="0" applyBorder="1"/>
    <xf numFmtId="0" fontId="0" fillId="0" borderId="28" xfId="0" applyBorder="1"/>
    <xf numFmtId="0" fontId="0" fillId="10" borderId="25" xfId="0" applyFill="1" applyBorder="1"/>
    <xf numFmtId="0" fontId="0" fillId="10" borderId="27" xfId="0" applyFill="1" applyBorder="1"/>
    <xf numFmtId="0" fontId="6" fillId="0" borderId="23" xfId="0" applyFont="1" applyBorder="1" applyAlignment="1">
      <alignment vertical="center"/>
    </xf>
    <xf numFmtId="0" fontId="0" fillId="10" borderId="7" xfId="0" applyFill="1" applyBorder="1" applyAlignment="1">
      <alignment horizontal="left"/>
    </xf>
    <xf numFmtId="0" fontId="0" fillId="10" borderId="1" xfId="0" applyFill="1" applyBorder="1" applyAlignment="1">
      <alignment horizontal="left" wrapText="1"/>
    </xf>
    <xf numFmtId="0" fontId="6" fillId="0" borderId="35" xfId="0" applyFont="1" applyBorder="1"/>
    <xf numFmtId="0" fontId="6" fillId="0" borderId="36" xfId="0" applyFont="1" applyBorder="1"/>
    <xf numFmtId="0" fontId="0" fillId="0" borderId="33" xfId="0" applyBorder="1"/>
    <xf numFmtId="0" fontId="0" fillId="10" borderId="17" xfId="0" applyFill="1" applyBorder="1"/>
    <xf numFmtId="0" fontId="0" fillId="0" borderId="16" xfId="0" applyFill="1" applyBorder="1"/>
    <xf numFmtId="0" fontId="0" fillId="10" borderId="20" xfId="0" applyFill="1" applyBorder="1"/>
    <xf numFmtId="0" fontId="0" fillId="10" borderId="8" xfId="0" applyFill="1" applyBorder="1"/>
    <xf numFmtId="0" fontId="0" fillId="10" borderId="11" xfId="0" applyFill="1" applyBorder="1"/>
    <xf numFmtId="0" fontId="0" fillId="10" borderId="15" xfId="0" applyFill="1" applyBorder="1"/>
    <xf numFmtId="0" fontId="6" fillId="0" borderId="33" xfId="0" applyFont="1" applyBorder="1" applyAlignment="1">
      <alignment vertical="center"/>
    </xf>
    <xf numFmtId="0" fontId="6" fillId="0" borderId="39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40" xfId="0" applyFont="1" applyBorder="1"/>
    <xf numFmtId="0" fontId="6" fillId="0" borderId="41" xfId="0" applyFont="1" applyBorder="1" applyAlignment="1">
      <alignment wrapText="1"/>
    </xf>
    <xf numFmtId="0" fontId="6" fillId="0" borderId="28" xfId="0" applyFont="1" applyBorder="1" applyAlignment="1">
      <alignment vertical="center"/>
    </xf>
    <xf numFmtId="0" fontId="0" fillId="0" borderId="26" xfId="0" applyBorder="1"/>
    <xf numFmtId="0" fontId="5" fillId="14" borderId="0" xfId="0" applyFont="1" applyFill="1" applyBorder="1" applyAlignment="1">
      <alignment horizontal="left" vertical="center"/>
    </xf>
    <xf numFmtId="0" fontId="0" fillId="8" borderId="0" xfId="0" applyFill="1"/>
    <xf numFmtId="0" fontId="8" fillId="7" borderId="3" xfId="0" applyFont="1" applyFill="1" applyBorder="1" applyAlignment="1">
      <alignment horizontal="center" vertical="center" wrapText="1"/>
    </xf>
    <xf numFmtId="0" fontId="6" fillId="0" borderId="39" xfId="0" applyFont="1" applyBorder="1"/>
    <xf numFmtId="0" fontId="6" fillId="0" borderId="6" xfId="0" applyFont="1" applyBorder="1"/>
    <xf numFmtId="0" fontId="6" fillId="0" borderId="10" xfId="0" applyFont="1" applyBorder="1"/>
    <xf numFmtId="0" fontId="6" fillId="0" borderId="41" xfId="0" applyFont="1" applyBorder="1"/>
    <xf numFmtId="0" fontId="6" fillId="0" borderId="42" xfId="0" applyFont="1" applyBorder="1"/>
    <xf numFmtId="0" fontId="2" fillId="2" borderId="16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5" borderId="16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6" borderId="16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4" borderId="1" xfId="0" applyFont="1" applyFill="1" applyBorder="1" applyAlignment="1"/>
    <xf numFmtId="0" fontId="2" fillId="4" borderId="21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28" xfId="0" applyFont="1" applyFill="1" applyBorder="1" applyAlignment="1">
      <alignment vertical="center"/>
    </xf>
    <xf numFmtId="0" fontId="2" fillId="4" borderId="25" xfId="0" applyFont="1" applyFill="1" applyBorder="1" applyAlignment="1"/>
    <xf numFmtId="0" fontId="2" fillId="3" borderId="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21" xfId="0" applyFont="1" applyFill="1" applyBorder="1" applyAlignment="1">
      <alignment vertical="center"/>
    </xf>
    <xf numFmtId="0" fontId="2" fillId="6" borderId="20" xfId="0" applyFont="1" applyFill="1" applyBorder="1" applyAlignment="1">
      <alignment vertical="center"/>
    </xf>
    <xf numFmtId="0" fontId="2" fillId="6" borderId="28" xfId="0" applyFont="1" applyFill="1" applyBorder="1" applyAlignment="1">
      <alignment vertical="center"/>
    </xf>
    <xf numFmtId="0" fontId="2" fillId="6" borderId="25" xfId="0" applyFont="1" applyFill="1" applyBorder="1" applyAlignment="1">
      <alignment vertical="center"/>
    </xf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/>
    </xf>
    <xf numFmtId="0" fontId="2" fillId="2" borderId="20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4" borderId="25" xfId="0" applyFont="1" applyFill="1" applyBorder="1" applyAlignment="1">
      <alignment vertical="center"/>
    </xf>
    <xf numFmtId="0" fontId="9" fillId="15" borderId="44" xfId="0" applyFont="1" applyFill="1" applyBorder="1" applyAlignment="1">
      <alignment horizontal="center" vertical="center"/>
    </xf>
    <xf numFmtId="0" fontId="0" fillId="0" borderId="0" xfId="0" applyFont="1"/>
    <xf numFmtId="0" fontId="2" fillId="2" borderId="33" xfId="0" applyFont="1" applyFill="1" applyBorder="1" applyAlignment="1">
      <alignment vertical="center"/>
    </xf>
    <xf numFmtId="0" fontId="9" fillId="15" borderId="34" xfId="0" applyFont="1" applyFill="1" applyBorder="1" applyAlignment="1">
      <alignment horizontal="center" vertical="center"/>
    </xf>
    <xf numFmtId="0" fontId="9" fillId="15" borderId="32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vertical="center"/>
    </xf>
    <xf numFmtId="0" fontId="2" fillId="4" borderId="20" xfId="0" applyFont="1" applyFill="1" applyBorder="1" applyAlignment="1"/>
    <xf numFmtId="0" fontId="2" fillId="4" borderId="7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16" borderId="45" xfId="0" applyFont="1" applyFill="1" applyBorder="1"/>
    <xf numFmtId="0" fontId="2" fillId="2" borderId="11" xfId="0" applyFont="1" applyFill="1" applyBorder="1" applyAlignment="1">
      <alignment vertical="center"/>
    </xf>
    <xf numFmtId="0" fontId="2" fillId="2" borderId="11" xfId="0" applyFont="1" applyFill="1" applyBorder="1"/>
    <xf numFmtId="0" fontId="2" fillId="16" borderId="11" xfId="0" applyFont="1" applyFill="1" applyBorder="1"/>
    <xf numFmtId="0" fontId="2" fillId="16" borderId="26" xfId="0" applyFont="1" applyFill="1" applyBorder="1"/>
    <xf numFmtId="0" fontId="9" fillId="15" borderId="43" xfId="0" applyFont="1" applyFill="1" applyBorder="1" applyAlignment="1">
      <alignment horizontal="center" vertical="center"/>
    </xf>
    <xf numFmtId="0" fontId="9" fillId="15" borderId="47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29" xfId="0" applyFont="1" applyBorder="1" applyAlignment="1"/>
    <xf numFmtId="164" fontId="0" fillId="0" borderId="20" xfId="0" applyNumberFormat="1" applyBorder="1" applyAlignment="1">
      <alignment horizontal="center" vertical="center" wrapText="1"/>
    </xf>
    <xf numFmtId="164" fontId="0" fillId="0" borderId="25" xfId="0" applyNumberFormat="1" applyBorder="1" applyAlignment="1">
      <alignment horizontal="center" vertical="center" wrapText="1"/>
    </xf>
    <xf numFmtId="164" fontId="0" fillId="0" borderId="28" xfId="0" applyNumberFormat="1" applyBorder="1" applyAlignment="1">
      <alignment horizontal="center" vertical="center" wrapText="1"/>
    </xf>
    <xf numFmtId="164" fontId="8" fillId="0" borderId="30" xfId="0" applyNumberFormat="1" applyFont="1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8" fillId="0" borderId="29" xfId="0" applyFont="1" applyBorder="1" applyAlignment="1">
      <alignment horizontal="center"/>
    </xf>
    <xf numFmtId="0" fontId="0" fillId="0" borderId="22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164" fontId="8" fillId="0" borderId="29" xfId="0" applyNumberFormat="1" applyFon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 wrapText="1"/>
    </xf>
    <xf numFmtId="0" fontId="1" fillId="8" borderId="21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164" fontId="8" fillId="0" borderId="50" xfId="0" applyNumberFormat="1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164" fontId="8" fillId="0" borderId="52" xfId="0" applyNumberFormat="1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/>
    <xf numFmtId="164" fontId="0" fillId="0" borderId="20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2" fillId="16" borderId="1" xfId="0" applyFont="1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17" borderId="1" xfId="0" applyFont="1" applyFill="1" applyBorder="1"/>
    <xf numFmtId="0" fontId="2" fillId="18" borderId="1" xfId="0" applyFont="1" applyFill="1" applyBorder="1" applyAlignment="1">
      <alignment vertical="center"/>
    </xf>
    <xf numFmtId="0" fontId="2" fillId="18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2" fillId="19" borderId="1" xfId="0" applyFont="1" applyFill="1" applyBorder="1"/>
    <xf numFmtId="0" fontId="2" fillId="6" borderId="1" xfId="0" applyFont="1" applyFill="1" applyBorder="1" applyAlignment="1">
      <alignment horizontal="left" vertical="center" wrapText="1"/>
    </xf>
    <xf numFmtId="0" fontId="2" fillId="20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horizontal="left" vertical="center"/>
    </xf>
    <xf numFmtId="0" fontId="2" fillId="3" borderId="7" xfId="0" applyFont="1" applyFill="1" applyBorder="1"/>
    <xf numFmtId="0" fontId="2" fillId="17" borderId="7" xfId="0" applyFont="1" applyFill="1" applyBorder="1"/>
    <xf numFmtId="0" fontId="2" fillId="16" borderId="20" xfId="0" applyFont="1" applyFill="1" applyBorder="1"/>
    <xf numFmtId="0" fontId="2" fillId="2" borderId="12" xfId="0" applyFont="1" applyFill="1" applyBorder="1"/>
    <xf numFmtId="0" fontId="2" fillId="16" borderId="12" xfId="0" applyFont="1" applyFill="1" applyBorder="1"/>
    <xf numFmtId="0" fontId="2" fillId="16" borderId="25" xfId="0" applyFont="1" applyFill="1" applyBorder="1"/>
    <xf numFmtId="0" fontId="2" fillId="2" borderId="27" xfId="0" applyFont="1" applyFill="1" applyBorder="1"/>
    <xf numFmtId="0" fontId="2" fillId="16" borderId="16" xfId="0" applyFont="1" applyFill="1" applyBorder="1"/>
    <xf numFmtId="0" fontId="2" fillId="16" borderId="17" xfId="0" applyFont="1" applyFill="1" applyBorder="1"/>
    <xf numFmtId="0" fontId="2" fillId="2" borderId="23" xfId="0" applyFont="1" applyFill="1" applyBorder="1" applyAlignment="1">
      <alignment vertical="center"/>
    </xf>
    <xf numFmtId="0" fontId="2" fillId="2" borderId="7" xfId="0" applyFont="1" applyFill="1" applyBorder="1"/>
    <xf numFmtId="0" fontId="2" fillId="16" borderId="9" xfId="0" applyFont="1" applyFill="1" applyBorder="1"/>
    <xf numFmtId="0" fontId="2" fillId="2" borderId="20" xfId="0" applyFont="1" applyFill="1" applyBorder="1"/>
    <xf numFmtId="0" fontId="2" fillId="2" borderId="22" xfId="0" applyFont="1" applyFill="1" applyBorder="1"/>
    <xf numFmtId="0" fontId="2" fillId="16" borderId="27" xfId="0" applyFont="1" applyFill="1" applyBorder="1"/>
    <xf numFmtId="0" fontId="2" fillId="17" borderId="16" xfId="0" applyFont="1" applyFill="1" applyBorder="1"/>
    <xf numFmtId="0" fontId="2" fillId="3" borderId="20" xfId="0" applyFont="1" applyFill="1" applyBorder="1"/>
    <xf numFmtId="0" fontId="2" fillId="17" borderId="22" xfId="0" applyFont="1" applyFill="1" applyBorder="1"/>
    <xf numFmtId="0" fontId="2" fillId="3" borderId="12" xfId="0" applyFont="1" applyFill="1" applyBorder="1"/>
    <xf numFmtId="0" fontId="2" fillId="3" borderId="28" xfId="0" applyFont="1" applyFill="1" applyBorder="1" applyAlignment="1">
      <alignment vertical="center"/>
    </xf>
    <xf numFmtId="0" fontId="2" fillId="17" borderId="25" xfId="0" applyFont="1" applyFill="1" applyBorder="1"/>
    <xf numFmtId="0" fontId="2" fillId="3" borderId="27" xfId="0" applyFont="1" applyFill="1" applyBorder="1"/>
    <xf numFmtId="0" fontId="2" fillId="3" borderId="16" xfId="0" applyFont="1" applyFill="1" applyBorder="1"/>
    <xf numFmtId="0" fontId="2" fillId="18" borderId="7" xfId="0" applyFont="1" applyFill="1" applyBorder="1"/>
    <xf numFmtId="0" fontId="2" fillId="18" borderId="20" xfId="0" applyFont="1" applyFill="1" applyBorder="1" applyAlignment="1">
      <alignment vertical="center"/>
    </xf>
    <xf numFmtId="0" fontId="2" fillId="18" borderId="22" xfId="0" applyFont="1" applyFill="1" applyBorder="1" applyAlignment="1">
      <alignment vertical="center"/>
    </xf>
    <xf numFmtId="0" fontId="2" fillId="18" borderId="12" xfId="0" applyFont="1" applyFill="1" applyBorder="1"/>
    <xf numFmtId="0" fontId="2" fillId="4" borderId="25" xfId="0" applyFont="1" applyFill="1" applyBorder="1"/>
    <xf numFmtId="0" fontId="2" fillId="4" borderId="27" xfId="0" applyFont="1" applyFill="1" applyBorder="1"/>
    <xf numFmtId="0" fontId="2" fillId="4" borderId="16" xfId="0" applyFont="1" applyFill="1" applyBorder="1"/>
    <xf numFmtId="0" fontId="2" fillId="5" borderId="7" xfId="0" applyFont="1" applyFill="1" applyBorder="1"/>
    <xf numFmtId="0" fontId="2" fillId="18" borderId="20" xfId="0" applyFont="1" applyFill="1" applyBorder="1"/>
    <xf numFmtId="0" fontId="2" fillId="18" borderId="22" xfId="0" applyFont="1" applyFill="1" applyBorder="1"/>
    <xf numFmtId="0" fontId="2" fillId="4" borderId="12" xfId="0" applyFont="1" applyFill="1" applyBorder="1" applyAlignment="1">
      <alignment vertical="center"/>
    </xf>
    <xf numFmtId="0" fontId="2" fillId="18" borderId="25" xfId="0" applyFont="1" applyFill="1" applyBorder="1"/>
    <xf numFmtId="0" fontId="2" fillId="18" borderId="27" xfId="0" applyFont="1" applyFill="1" applyBorder="1"/>
    <xf numFmtId="0" fontId="2" fillId="5" borderId="16" xfId="0" applyFont="1" applyFill="1" applyBorder="1"/>
    <xf numFmtId="0" fontId="2" fillId="6" borderId="7" xfId="0" applyFont="1" applyFill="1" applyBorder="1" applyAlignment="1">
      <alignment horizontal="left" vertical="center" wrapText="1"/>
    </xf>
    <xf numFmtId="0" fontId="2" fillId="20" borderId="20" xfId="0" applyFont="1" applyFill="1" applyBorder="1"/>
    <xf numFmtId="0" fontId="2" fillId="20" borderId="22" xfId="0" applyFont="1" applyFill="1" applyBorder="1"/>
    <xf numFmtId="0" fontId="2" fillId="20" borderId="25" xfId="0" applyFont="1" applyFill="1" applyBorder="1" applyAlignment="1">
      <alignment vertical="center"/>
    </xf>
    <xf numFmtId="0" fontId="2" fillId="20" borderId="27" xfId="0" applyFont="1" applyFill="1" applyBorder="1" applyAlignment="1">
      <alignment vertical="center"/>
    </xf>
    <xf numFmtId="0" fontId="2" fillId="6" borderId="16" xfId="0" applyFont="1" applyFill="1" applyBorder="1" applyAlignment="1">
      <alignment horizontal="left" vertical="center" wrapText="1"/>
    </xf>
    <xf numFmtId="0" fontId="2" fillId="6" borderId="25" xfId="0" applyFont="1" applyFill="1" applyBorder="1" applyAlignment="1">
      <alignment horizontal="left" vertical="center"/>
    </xf>
    <xf numFmtId="0" fontId="2" fillId="6" borderId="27" xfId="0" applyFont="1" applyFill="1" applyBorder="1" applyAlignment="1">
      <alignment horizontal="left" vertical="center"/>
    </xf>
    <xf numFmtId="0" fontId="2" fillId="16" borderId="2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16" borderId="2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16" borderId="7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17" borderId="7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17" borderId="16" xfId="0" applyFont="1" applyFill="1" applyBorder="1" applyAlignment="1">
      <alignment horizontal="center"/>
    </xf>
    <xf numFmtId="0" fontId="2" fillId="17" borderId="20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/>
    </xf>
    <xf numFmtId="0" fontId="2" fillId="4" borderId="25" xfId="0" applyFont="1" applyFill="1" applyBorder="1" applyAlignment="1">
      <alignment horizontal="center"/>
    </xf>
    <xf numFmtId="0" fontId="2" fillId="18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18" borderId="25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1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2" fillId="20" borderId="20" xfId="0" applyFont="1" applyFill="1" applyBorder="1" applyAlignment="1">
      <alignment horizontal="center"/>
    </xf>
    <xf numFmtId="0" fontId="2" fillId="20" borderId="25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 wrapText="1"/>
    </xf>
    <xf numFmtId="0" fontId="2" fillId="20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/>
    </xf>
    <xf numFmtId="0" fontId="13" fillId="15" borderId="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vertical="center"/>
    </xf>
    <xf numFmtId="0" fontId="1" fillId="0" borderId="1" xfId="0" applyFont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 wrapText="1"/>
    </xf>
    <xf numFmtId="165" fontId="0" fillId="10" borderId="20" xfId="1" applyNumberFormat="1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165" fontId="0" fillId="10" borderId="1" xfId="1" applyNumberFormat="1" applyFont="1" applyFill="1" applyBorder="1" applyAlignment="1">
      <alignment horizontal="center" vertical="center"/>
    </xf>
    <xf numFmtId="0" fontId="0" fillId="10" borderId="54" xfId="0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" fillId="10" borderId="39" xfId="0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0" xfId="0" applyBorder="1" applyAlignment="1"/>
    <xf numFmtId="0" fontId="0" fillId="23" borderId="20" xfId="0" applyFill="1" applyBorder="1" applyAlignment="1"/>
    <xf numFmtId="0" fontId="0" fillId="24" borderId="20" xfId="0" applyFill="1" applyBorder="1" applyAlignment="1"/>
    <xf numFmtId="0" fontId="0" fillId="0" borderId="22" xfId="0" applyBorder="1" applyAlignment="1"/>
    <xf numFmtId="0" fontId="0" fillId="0" borderId="24" xfId="0" applyBorder="1" applyAlignment="1">
      <alignment horizontal="left" vertical="center"/>
    </xf>
    <xf numFmtId="0" fontId="0" fillId="23" borderId="1" xfId="0" applyFill="1" applyBorder="1" applyAlignment="1"/>
    <xf numFmtId="0" fontId="0" fillId="24" borderId="1" xfId="0" applyFill="1" applyBorder="1" applyAlignment="1"/>
    <xf numFmtId="0" fontId="0" fillId="0" borderId="12" xfId="0" applyBorder="1" applyAlignment="1"/>
    <xf numFmtId="0" fontId="15" fillId="0" borderId="1" xfId="0" applyFont="1" applyBorder="1" applyAlignment="1">
      <alignment horizontal="center" vertical="center"/>
    </xf>
    <xf numFmtId="0" fontId="0" fillId="0" borderId="53" xfId="0" applyBorder="1" applyAlignment="1">
      <alignment horizontal="left" vertical="center"/>
    </xf>
    <xf numFmtId="0" fontId="0" fillId="23" borderId="54" xfId="0" applyFill="1" applyBorder="1" applyAlignment="1"/>
    <xf numFmtId="0" fontId="0" fillId="24" borderId="54" xfId="0" applyFill="1" applyBorder="1" applyAlignment="1"/>
    <xf numFmtId="0" fontId="0" fillId="0" borderId="55" xfId="0" applyBorder="1" applyAlignment="1"/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4" xfId="0" applyFill="1" applyBorder="1" applyAlignment="1">
      <alignment vertical="center" wrapText="1"/>
    </xf>
    <xf numFmtId="0" fontId="0" fillId="0" borderId="33" xfId="0" applyFill="1" applyBorder="1" applyAlignment="1">
      <alignment vertical="center" wrapText="1"/>
    </xf>
    <xf numFmtId="0" fontId="8" fillId="8" borderId="49" xfId="0" applyFont="1" applyFill="1" applyBorder="1" applyAlignment="1">
      <alignment horizontal="center" vertical="center" wrapText="1"/>
    </xf>
    <xf numFmtId="0" fontId="8" fillId="8" borderId="50" xfId="0" applyFont="1" applyFill="1" applyBorder="1" applyAlignment="1">
      <alignment horizontal="center" vertical="center" wrapText="1"/>
    </xf>
    <xf numFmtId="0" fontId="8" fillId="8" borderId="57" xfId="0" applyFont="1" applyFill="1" applyBorder="1" applyAlignment="1">
      <alignment horizontal="center" vertical="center" wrapText="1"/>
    </xf>
    <xf numFmtId="0" fontId="8" fillId="21" borderId="4" xfId="0" applyFont="1" applyFill="1" applyBorder="1" applyAlignment="1">
      <alignment vertical="center"/>
    </xf>
    <xf numFmtId="0" fontId="8" fillId="21" borderId="5" xfId="0" applyFont="1" applyFill="1" applyBorder="1" applyAlignment="1">
      <alignment vertical="center"/>
    </xf>
    <xf numFmtId="0" fontId="8" fillId="21" borderId="2" xfId="0" applyFont="1" applyFill="1" applyBorder="1" applyAlignment="1">
      <alignment vertical="center"/>
    </xf>
    <xf numFmtId="0" fontId="0" fillId="0" borderId="0" xfId="0" applyAlignment="1">
      <alignment horizontal="center" wrapText="1"/>
    </xf>
    <xf numFmtId="164" fontId="0" fillId="0" borderId="24" xfId="0" applyNumberFormat="1" applyFill="1" applyBorder="1" applyAlignment="1">
      <alignment horizontal="center" vertical="center" wrapText="1"/>
    </xf>
    <xf numFmtId="0" fontId="8" fillId="22" borderId="4" xfId="0" applyFont="1" applyFill="1" applyBorder="1" applyAlignment="1"/>
    <xf numFmtId="0" fontId="8" fillId="22" borderId="5" xfId="0" applyFont="1" applyFill="1" applyBorder="1" applyAlignment="1"/>
    <xf numFmtId="0" fontId="8" fillId="22" borderId="2" xfId="0" applyFont="1" applyFill="1" applyBorder="1" applyAlignment="1"/>
    <xf numFmtId="0" fontId="1" fillId="0" borderId="30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164" fontId="0" fillId="0" borderId="21" xfId="0" applyNumberFormat="1" applyFont="1" applyBorder="1" applyAlignment="1">
      <alignment horizontal="center" vertical="center" wrapText="1"/>
    </xf>
    <xf numFmtId="164" fontId="0" fillId="0" borderId="21" xfId="0" applyNumberFormat="1" applyFont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58" xfId="0" applyNumberFormat="1" applyFont="1" applyBorder="1" applyAlignment="1">
      <alignment horizontal="center" vertical="center" wrapText="1"/>
    </xf>
    <xf numFmtId="164" fontId="1" fillId="0" borderId="59" xfId="0" applyNumberFormat="1" applyFont="1" applyBorder="1" applyAlignment="1">
      <alignment horizontal="center"/>
    </xf>
    <xf numFmtId="0" fontId="0" fillId="0" borderId="32" xfId="0" applyNumberFormat="1" applyBorder="1" applyAlignment="1">
      <alignment horizontal="center" vertical="center" wrapText="1"/>
    </xf>
    <xf numFmtId="3" fontId="0" fillId="0" borderId="20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3" fontId="0" fillId="0" borderId="25" xfId="0" applyNumberFormat="1" applyBorder="1" applyAlignment="1">
      <alignment horizontal="center"/>
    </xf>
    <xf numFmtId="3" fontId="8" fillId="21" borderId="5" xfId="0" applyNumberFormat="1" applyFont="1" applyFill="1" applyBorder="1" applyAlignment="1">
      <alignment vertical="center"/>
    </xf>
    <xf numFmtId="3" fontId="0" fillId="0" borderId="32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/>
    </xf>
    <xf numFmtId="3" fontId="0" fillId="0" borderId="25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 vertical="center" wrapText="1"/>
    </xf>
    <xf numFmtId="3" fontId="0" fillId="0" borderId="27" xfId="0" applyNumberFormat="1" applyBorder="1" applyAlignment="1">
      <alignment horizontal="center"/>
    </xf>
    <xf numFmtId="3" fontId="8" fillId="21" borderId="2" xfId="0" applyNumberFormat="1" applyFont="1" applyFill="1" applyBorder="1" applyAlignment="1">
      <alignment vertical="center"/>
    </xf>
    <xf numFmtId="3" fontId="0" fillId="0" borderId="22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/>
    </xf>
    <xf numFmtId="3" fontId="0" fillId="0" borderId="27" xfId="0" applyNumberFormat="1" applyBorder="1" applyAlignment="1">
      <alignment horizontal="center" vertical="center" wrapText="1"/>
    </xf>
    <xf numFmtId="3" fontId="0" fillId="0" borderId="0" xfId="0" applyNumberFormat="1"/>
    <xf numFmtId="1" fontId="0" fillId="0" borderId="9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164" fontId="8" fillId="0" borderId="60" xfId="0" applyNumberFormat="1" applyFont="1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8" fillId="0" borderId="60" xfId="0" applyFont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3" fontId="0" fillId="0" borderId="22" xfId="0" applyNumberForma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9" fillId="0" borderId="1" xfId="0" applyFont="1" applyBorder="1"/>
    <xf numFmtId="0" fontId="0" fillId="0" borderId="1" xfId="0" applyBorder="1" applyAlignment="1">
      <alignment horizontal="left" vertical="center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3" fontId="1" fillId="10" borderId="38" xfId="0" applyNumberFormat="1" applyFont="1" applyFill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8" fillId="8" borderId="2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3" fontId="0" fillId="0" borderId="7" xfId="0" applyNumberForma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1" fillId="10" borderId="49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 vertical="center"/>
    </xf>
    <xf numFmtId="0" fontId="0" fillId="0" borderId="39" xfId="0" applyBorder="1" applyAlignment="1"/>
    <xf numFmtId="0" fontId="0" fillId="0" borderId="40" xfId="0" applyBorder="1" applyAlignment="1"/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0" xfId="0" applyNumberFormat="1" applyFont="1" applyBorder="1" applyAlignment="1">
      <alignment horizontal="center" vertical="center" wrapText="1"/>
    </xf>
    <xf numFmtId="1" fontId="0" fillId="0" borderId="12" xfId="0" applyNumberFormat="1" applyFont="1" applyBorder="1" applyAlignment="1">
      <alignment horizontal="center" vertical="center" wrapText="1"/>
    </xf>
    <xf numFmtId="1" fontId="0" fillId="0" borderId="45" xfId="0" applyNumberFormat="1" applyFont="1" applyBorder="1" applyAlignment="1">
      <alignment horizontal="center" vertical="center" wrapText="1"/>
    </xf>
    <xf numFmtId="1" fontId="0" fillId="0" borderId="11" xfId="0" applyNumberFormat="1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30" xfId="0" applyNumberFormat="1" applyFont="1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3" fontId="0" fillId="0" borderId="20" xfId="0" applyNumberFormat="1" applyFont="1" applyBorder="1" applyAlignment="1">
      <alignment horizontal="center" vertical="center" wrapText="1"/>
    </xf>
    <xf numFmtId="3" fontId="0" fillId="0" borderId="22" xfId="0" applyNumberFormat="1" applyFont="1" applyBorder="1" applyAlignment="1">
      <alignment horizontal="center" vertical="center" wrapText="1"/>
    </xf>
    <xf numFmtId="3" fontId="0" fillId="0" borderId="25" xfId="0" applyNumberFormat="1" applyFont="1" applyBorder="1" applyAlignment="1">
      <alignment horizontal="center" vertical="center" wrapText="1"/>
    </xf>
    <xf numFmtId="3" fontId="0" fillId="0" borderId="27" xfId="0" applyNumberFormat="1" applyFont="1" applyBorder="1" applyAlignment="1">
      <alignment horizontal="center" vertical="center" wrapText="1"/>
    </xf>
    <xf numFmtId="164" fontId="1" fillId="0" borderId="29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55" xfId="0" applyFont="1" applyBorder="1" applyAlignment="1">
      <alignment horizontal="center"/>
    </xf>
    <xf numFmtId="164" fontId="1" fillId="0" borderId="30" xfId="0" applyNumberFormat="1" applyFont="1" applyBorder="1" applyAlignment="1">
      <alignment horizontal="center" vertical="center" wrapText="1"/>
    </xf>
    <xf numFmtId="164" fontId="0" fillId="0" borderId="33" xfId="0" applyNumberFormat="1" applyFill="1" applyBorder="1" applyAlignment="1">
      <alignment horizontal="center" vertical="center" wrapText="1"/>
    </xf>
    <xf numFmtId="1" fontId="0" fillId="0" borderId="16" xfId="0" applyNumberFormat="1" applyFont="1" applyBorder="1" applyAlignment="1">
      <alignment horizontal="center" vertical="center" wrapText="1"/>
    </xf>
    <xf numFmtId="1" fontId="0" fillId="0" borderId="17" xfId="0" applyNumberFormat="1" applyFont="1" applyBorder="1" applyAlignment="1">
      <alignment horizontal="center" vertical="center" wrapText="1"/>
    </xf>
    <xf numFmtId="1" fontId="1" fillId="10" borderId="50" xfId="0" applyNumberFormat="1" applyFont="1" applyFill="1" applyBorder="1" applyAlignment="1">
      <alignment horizontal="center"/>
    </xf>
    <xf numFmtId="1" fontId="1" fillId="10" borderId="51" xfId="0" applyNumberFormat="1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" fillId="10" borderId="51" xfId="0" applyFont="1" applyFill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6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 wrapText="1"/>
    </xf>
    <xf numFmtId="3" fontId="0" fillId="0" borderId="16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 vertical="center" wrapText="1"/>
    </xf>
    <xf numFmtId="3" fontId="0" fillId="0" borderId="17" xfId="0" applyNumberFormat="1" applyBorder="1" applyAlignment="1">
      <alignment horizontal="center"/>
    </xf>
    <xf numFmtId="3" fontId="8" fillId="21" borderId="4" xfId="0" applyNumberFormat="1" applyFont="1" applyFill="1" applyBorder="1" applyAlignment="1">
      <alignment vertical="center"/>
    </xf>
    <xf numFmtId="0" fontId="0" fillId="10" borderId="0" xfId="0" applyFill="1"/>
    <xf numFmtId="0" fontId="1" fillId="8" borderId="2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wrapText="1"/>
    </xf>
    <xf numFmtId="0" fontId="0" fillId="0" borderId="3" xfId="0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8" fillId="22" borderId="4" xfId="0" applyFont="1" applyFill="1" applyBorder="1" applyAlignment="1">
      <alignment wrapText="1"/>
    </xf>
    <xf numFmtId="0" fontId="8" fillId="22" borderId="5" xfId="0" applyFont="1" applyFill="1" applyBorder="1" applyAlignment="1">
      <alignment wrapText="1"/>
    </xf>
    <xf numFmtId="0" fontId="8" fillId="22" borderId="2" xfId="0" applyFont="1" applyFill="1" applyBorder="1" applyAlignment="1">
      <alignment wrapText="1"/>
    </xf>
    <xf numFmtId="164" fontId="0" fillId="0" borderId="62" xfId="0" applyNumberFormat="1" applyBorder="1" applyAlignment="1">
      <alignment horizontal="center" vertical="center" wrapText="1"/>
    </xf>
    <xf numFmtId="164" fontId="0" fillId="0" borderId="46" xfId="0" applyNumberFormat="1" applyBorder="1" applyAlignment="1">
      <alignment horizontal="center" vertical="center" wrapText="1"/>
    </xf>
    <xf numFmtId="0" fontId="1" fillId="10" borderId="63" xfId="0" applyFont="1" applyFill="1" applyBorder="1" applyAlignment="1">
      <alignment horizontal="center"/>
    </xf>
    <xf numFmtId="164" fontId="0" fillId="0" borderId="31" xfId="0" applyNumberFormat="1" applyFont="1" applyBorder="1" applyAlignment="1">
      <alignment horizontal="center" vertical="center" wrapText="1"/>
    </xf>
    <xf numFmtId="0" fontId="1" fillId="10" borderId="55" xfId="0" applyFont="1" applyFill="1" applyBorder="1" applyAlignment="1">
      <alignment horizontal="center"/>
    </xf>
    <xf numFmtId="0" fontId="1" fillId="10" borderId="53" xfId="0" applyFont="1" applyFill="1" applyBorder="1" applyAlignment="1">
      <alignment horizontal="center"/>
    </xf>
    <xf numFmtId="0" fontId="8" fillId="22" borderId="4" xfId="0" applyFont="1" applyFill="1" applyBorder="1" applyAlignment="1">
      <alignment vertical="center" wrapText="1"/>
    </xf>
    <xf numFmtId="0" fontId="8" fillId="22" borderId="5" xfId="0" applyFont="1" applyFill="1" applyBorder="1" applyAlignment="1">
      <alignment vertical="center" wrapText="1"/>
    </xf>
    <xf numFmtId="0" fontId="8" fillId="22" borderId="2" xfId="0" applyFont="1" applyFill="1" applyBorder="1" applyAlignment="1">
      <alignment vertical="center" wrapText="1"/>
    </xf>
    <xf numFmtId="0" fontId="8" fillId="22" borderId="4" xfId="0" applyFont="1" applyFill="1" applyBorder="1" applyAlignment="1">
      <alignment vertical="center"/>
    </xf>
    <xf numFmtId="0" fontId="0" fillId="0" borderId="45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1" fillId="10" borderId="57" xfId="0" applyFont="1" applyFill="1" applyBorder="1" applyAlignment="1">
      <alignment horizontal="center"/>
    </xf>
    <xf numFmtId="164" fontId="0" fillId="0" borderId="62" xfId="0" applyNumberForma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164" fontId="1" fillId="0" borderId="30" xfId="0" applyNumberFormat="1" applyFont="1" applyBorder="1" applyAlignment="1">
      <alignment horizontal="center"/>
    </xf>
    <xf numFmtId="164" fontId="0" fillId="0" borderId="29" xfId="0" applyNumberFormat="1" applyFont="1" applyBorder="1" applyAlignment="1">
      <alignment horizontal="center" vertical="center" wrapText="1"/>
    </xf>
    <xf numFmtId="3" fontId="1" fillId="10" borderId="39" xfId="0" applyNumberFormat="1" applyFont="1" applyFill="1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3" fontId="1" fillId="10" borderId="61" xfId="0" applyNumberFormat="1" applyFont="1" applyFill="1" applyBorder="1" applyAlignment="1">
      <alignment horizontal="center" vertical="center" wrapText="1"/>
    </xf>
    <xf numFmtId="3" fontId="1" fillId="10" borderId="40" xfId="0" applyNumberFormat="1" applyFont="1" applyFill="1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3" fontId="1" fillId="10" borderId="40" xfId="0" applyNumberFormat="1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wrapText="1"/>
    </xf>
    <xf numFmtId="0" fontId="1" fillId="10" borderId="49" xfId="0" applyFont="1" applyFill="1" applyBorder="1" applyAlignment="1">
      <alignment horizontal="center" wrapText="1"/>
    </xf>
    <xf numFmtId="3" fontId="1" fillId="10" borderId="50" xfId="0" applyNumberFormat="1" applyFont="1" applyFill="1" applyBorder="1" applyAlignment="1">
      <alignment horizontal="center" vertical="center" wrapText="1"/>
    </xf>
    <xf numFmtId="3" fontId="1" fillId="10" borderId="57" xfId="0" applyNumberFormat="1" applyFont="1" applyFill="1" applyBorder="1" applyAlignment="1">
      <alignment horizontal="center" vertical="center" wrapText="1"/>
    </xf>
    <xf numFmtId="3" fontId="1" fillId="10" borderId="3" xfId="0" applyNumberFormat="1" applyFont="1" applyFill="1" applyBorder="1" applyAlignment="1">
      <alignment horizontal="center" vertical="center" wrapText="1"/>
    </xf>
    <xf numFmtId="3" fontId="1" fillId="10" borderId="41" xfId="0" applyNumberFormat="1" applyFont="1" applyFill="1" applyBorder="1" applyAlignment="1">
      <alignment horizontal="center" wrapText="1"/>
    </xf>
    <xf numFmtId="3" fontId="1" fillId="10" borderId="49" xfId="0" applyNumberFormat="1" applyFont="1" applyFill="1" applyBorder="1" applyAlignment="1">
      <alignment horizontal="center" vertical="center" wrapText="1"/>
    </xf>
    <xf numFmtId="3" fontId="1" fillId="10" borderId="2" xfId="0" applyNumberFormat="1" applyFont="1" applyFill="1" applyBorder="1" applyAlignment="1">
      <alignment horizontal="center" vertical="center" wrapText="1"/>
    </xf>
    <xf numFmtId="0" fontId="1" fillId="10" borderId="53" xfId="0" applyFont="1" applyFill="1" applyBorder="1" applyAlignment="1">
      <alignment horizontal="center" vertical="center"/>
    </xf>
    <xf numFmtId="0" fontId="8" fillId="0" borderId="32" xfId="0" applyFont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 wrapText="1"/>
    </xf>
    <xf numFmtId="164" fontId="0" fillId="0" borderId="28" xfId="0" applyNumberFormat="1" applyFill="1" applyBorder="1" applyAlignment="1">
      <alignment horizontal="center" vertical="center" wrapText="1"/>
    </xf>
    <xf numFmtId="1" fontId="0" fillId="0" borderId="25" xfId="0" applyNumberFormat="1" applyFont="1" applyBorder="1" applyAlignment="1">
      <alignment horizontal="center" vertical="center" wrapText="1"/>
    </xf>
    <xf numFmtId="1" fontId="0" fillId="0" borderId="27" xfId="0" applyNumberFormat="1" applyFont="1" applyBorder="1" applyAlignment="1">
      <alignment horizontal="center" vertical="center" wrapText="1"/>
    </xf>
    <xf numFmtId="0" fontId="1" fillId="10" borderId="4" xfId="0" applyFont="1" applyFill="1" applyBorder="1" applyAlignment="1">
      <alignment horizontal="center"/>
    </xf>
    <xf numFmtId="1" fontId="1" fillId="10" borderId="3" xfId="0" applyNumberFormat="1" applyFont="1" applyFill="1" applyBorder="1" applyAlignment="1">
      <alignment horizontal="center"/>
    </xf>
    <xf numFmtId="0" fontId="5" fillId="12" borderId="4" xfId="0" applyFont="1" applyFill="1" applyBorder="1" applyAlignment="1">
      <alignment horizontal="left" vertical="center"/>
    </xf>
    <xf numFmtId="0" fontId="5" fillId="12" borderId="5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left" vertical="center"/>
    </xf>
    <xf numFmtId="0" fontId="5" fillId="12" borderId="34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37" xfId="0" applyFont="1" applyFill="1" applyBorder="1" applyAlignment="1">
      <alignment horizontal="center"/>
    </xf>
    <xf numFmtId="0" fontId="7" fillId="0" borderId="38" xfId="0" applyFont="1" applyFill="1" applyBorder="1" applyAlignment="1">
      <alignment horizontal="center"/>
    </xf>
    <xf numFmtId="0" fontId="5" fillId="13" borderId="4" xfId="0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left" vertical="center"/>
    </xf>
    <xf numFmtId="0" fontId="5" fillId="13" borderId="31" xfId="0" applyFont="1" applyFill="1" applyBorder="1" applyAlignment="1">
      <alignment horizontal="left" vertical="center"/>
    </xf>
    <xf numFmtId="0" fontId="5" fillId="13" borderId="32" xfId="0" applyFont="1" applyFill="1" applyBorder="1" applyAlignment="1">
      <alignment horizontal="left" vertical="center"/>
    </xf>
    <xf numFmtId="0" fontId="5" fillId="13" borderId="0" xfId="0" applyFont="1" applyFill="1" applyBorder="1" applyAlignment="1">
      <alignment horizontal="left" vertical="center"/>
    </xf>
    <xf numFmtId="0" fontId="5" fillId="13" borderId="34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/>
    </xf>
    <xf numFmtId="0" fontId="5" fillId="12" borderId="31" xfId="0" applyFont="1" applyFill="1" applyBorder="1" applyAlignment="1">
      <alignment horizontal="left" vertical="center"/>
    </xf>
    <xf numFmtId="0" fontId="5" fillId="12" borderId="32" xfId="0" applyFont="1" applyFill="1" applyBorder="1" applyAlignment="1">
      <alignment horizontal="left" vertic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5" fillId="9" borderId="4" xfId="0" applyFont="1" applyFill="1" applyBorder="1" applyAlignment="1">
      <alignment horizontal="left" vertical="center"/>
    </xf>
    <xf numFmtId="0" fontId="5" fillId="9" borderId="5" xfId="0" applyFont="1" applyFill="1" applyBorder="1" applyAlignment="1">
      <alignment horizontal="left" vertical="center"/>
    </xf>
    <xf numFmtId="0" fontId="5" fillId="9" borderId="31" xfId="0" applyFont="1" applyFill="1" applyBorder="1" applyAlignment="1">
      <alignment horizontal="left" vertical="center"/>
    </xf>
    <xf numFmtId="0" fontId="5" fillId="9" borderId="32" xfId="0" applyFont="1" applyFill="1" applyBorder="1" applyAlignment="1">
      <alignment horizontal="left" vertical="center"/>
    </xf>
    <xf numFmtId="0" fontId="5" fillId="9" borderId="0" xfId="0" applyFont="1" applyFill="1" applyBorder="1" applyAlignment="1">
      <alignment horizontal="left" vertical="center"/>
    </xf>
    <xf numFmtId="0" fontId="5" fillId="9" borderId="34" xfId="0" applyFont="1" applyFill="1" applyBorder="1" applyAlignment="1">
      <alignment horizontal="left" vertical="center"/>
    </xf>
    <xf numFmtId="0" fontId="7" fillId="8" borderId="4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31" xfId="0" applyFont="1" applyFill="1" applyBorder="1" applyAlignment="1">
      <alignment horizontal="left" vertical="center"/>
    </xf>
    <xf numFmtId="0" fontId="5" fillId="11" borderId="32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34" xfId="0" applyFont="1" applyFill="1" applyBorder="1" applyAlignment="1">
      <alignment horizontal="left" vertical="center"/>
    </xf>
    <xf numFmtId="0" fontId="17" fillId="7" borderId="30" xfId="0" applyFont="1" applyFill="1" applyBorder="1" applyAlignment="1">
      <alignment horizontal="center" vertical="center" wrapText="1"/>
    </xf>
    <xf numFmtId="0" fontId="17" fillId="7" borderId="31" xfId="0" applyFont="1" applyFill="1" applyBorder="1" applyAlignment="1">
      <alignment horizontal="center" vertical="center" wrapText="1"/>
    </xf>
    <xf numFmtId="0" fontId="17" fillId="7" borderId="32" xfId="0" applyFont="1" applyFill="1" applyBorder="1" applyAlignment="1">
      <alignment horizontal="center" vertical="center" wrapText="1"/>
    </xf>
    <xf numFmtId="0" fontId="17" fillId="7" borderId="48" xfId="0" applyFont="1" applyFill="1" applyBorder="1" applyAlignment="1">
      <alignment horizontal="center" vertical="center" wrapText="1"/>
    </xf>
    <xf numFmtId="0" fontId="17" fillId="7" borderId="37" xfId="0" applyFont="1" applyFill="1" applyBorder="1" applyAlignment="1">
      <alignment horizontal="center" vertical="center" wrapText="1"/>
    </xf>
    <xf numFmtId="0" fontId="17" fillId="7" borderId="38" xfId="0" applyFont="1" applyFill="1" applyBorder="1" applyAlignment="1">
      <alignment horizontal="center" vertical="center" wrapText="1"/>
    </xf>
    <xf numFmtId="0" fontId="12" fillId="7" borderId="30" xfId="0" applyFont="1" applyFill="1" applyBorder="1" applyAlignment="1">
      <alignment horizontal="center" vertical="center" wrapText="1"/>
    </xf>
    <xf numFmtId="0" fontId="12" fillId="7" borderId="31" xfId="0" applyFont="1" applyFill="1" applyBorder="1" applyAlignment="1">
      <alignment horizontal="center" vertical="center" wrapText="1"/>
    </xf>
    <xf numFmtId="0" fontId="12" fillId="7" borderId="32" xfId="0" applyFont="1" applyFill="1" applyBorder="1" applyAlignment="1">
      <alignment horizontal="center" vertical="center" wrapText="1"/>
    </xf>
    <xf numFmtId="0" fontId="12" fillId="7" borderId="48" xfId="0" applyFont="1" applyFill="1" applyBorder="1" applyAlignment="1">
      <alignment horizontal="center" vertical="center" wrapText="1"/>
    </xf>
    <xf numFmtId="0" fontId="12" fillId="7" borderId="37" xfId="0" applyFont="1" applyFill="1" applyBorder="1" applyAlignment="1">
      <alignment horizontal="center" vertical="center" wrapText="1"/>
    </xf>
    <xf numFmtId="0" fontId="12" fillId="7" borderId="38" xfId="0" applyFont="1" applyFill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2" fillId="7" borderId="30" xfId="0" applyFont="1" applyFill="1" applyBorder="1" applyAlignment="1">
      <alignment horizontal="center" vertical="center"/>
    </xf>
    <xf numFmtId="0" fontId="12" fillId="7" borderId="31" xfId="0" applyFont="1" applyFill="1" applyBorder="1" applyAlignment="1">
      <alignment horizontal="center" vertical="center"/>
    </xf>
    <xf numFmtId="0" fontId="12" fillId="7" borderId="32" xfId="0" applyFont="1" applyFill="1" applyBorder="1" applyAlignment="1">
      <alignment horizontal="center" vertical="center"/>
    </xf>
    <xf numFmtId="0" fontId="12" fillId="7" borderId="48" xfId="0" applyFont="1" applyFill="1" applyBorder="1" applyAlignment="1">
      <alignment horizontal="center" vertical="center"/>
    </xf>
    <xf numFmtId="0" fontId="12" fillId="7" borderId="37" xfId="0" applyFont="1" applyFill="1" applyBorder="1" applyAlignment="1">
      <alignment horizontal="center" vertical="center"/>
    </xf>
    <xf numFmtId="0" fontId="12" fillId="7" borderId="38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6" fillId="26" borderId="30" xfId="0" applyFont="1" applyFill="1" applyBorder="1" applyAlignment="1">
      <alignment horizontal="center" vertical="center"/>
    </xf>
    <xf numFmtId="0" fontId="16" fillId="26" borderId="31" xfId="0" applyFont="1" applyFill="1" applyBorder="1" applyAlignment="1">
      <alignment horizontal="center" vertical="center"/>
    </xf>
    <xf numFmtId="0" fontId="16" fillId="26" borderId="32" xfId="0" applyFont="1" applyFill="1" applyBorder="1" applyAlignment="1">
      <alignment horizontal="center" vertical="center"/>
    </xf>
    <xf numFmtId="0" fontId="16" fillId="26" borderId="48" xfId="0" applyFont="1" applyFill="1" applyBorder="1" applyAlignment="1">
      <alignment horizontal="center" vertical="center"/>
    </xf>
    <xf numFmtId="0" fontId="16" fillId="26" borderId="37" xfId="0" applyFont="1" applyFill="1" applyBorder="1" applyAlignment="1">
      <alignment horizontal="center" vertical="center"/>
    </xf>
    <xf numFmtId="0" fontId="16" fillId="26" borderId="38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2" fillId="7" borderId="29" xfId="0" applyFont="1" applyFill="1" applyBorder="1" applyAlignment="1">
      <alignment horizontal="center" vertical="center"/>
    </xf>
    <xf numFmtId="0" fontId="12" fillId="7" borderId="56" xfId="0" applyFont="1" applyFill="1" applyBorder="1" applyAlignment="1">
      <alignment horizontal="center" vertical="center"/>
    </xf>
    <xf numFmtId="0" fontId="8" fillId="0" borderId="49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6" fillId="27" borderId="30" xfId="0" applyFont="1" applyFill="1" applyBorder="1" applyAlignment="1">
      <alignment horizontal="center" vertical="center"/>
    </xf>
    <xf numFmtId="0" fontId="16" fillId="27" borderId="31" xfId="0" applyFont="1" applyFill="1" applyBorder="1" applyAlignment="1">
      <alignment horizontal="center" vertical="center"/>
    </xf>
    <xf numFmtId="0" fontId="16" fillId="27" borderId="32" xfId="0" applyFont="1" applyFill="1" applyBorder="1" applyAlignment="1">
      <alignment horizontal="center" vertical="center"/>
    </xf>
    <xf numFmtId="0" fontId="16" fillId="27" borderId="48" xfId="0" applyFont="1" applyFill="1" applyBorder="1" applyAlignment="1">
      <alignment horizontal="center" vertical="center"/>
    </xf>
    <xf numFmtId="0" fontId="16" fillId="27" borderId="37" xfId="0" applyFont="1" applyFill="1" applyBorder="1" applyAlignment="1">
      <alignment horizontal="center" vertical="center"/>
    </xf>
    <xf numFmtId="0" fontId="16" fillId="27" borderId="38" xfId="0" applyFont="1" applyFill="1" applyBorder="1" applyAlignment="1">
      <alignment horizontal="center" vertical="center"/>
    </xf>
    <xf numFmtId="0" fontId="21" fillId="23" borderId="4" xfId="0" applyFont="1" applyFill="1" applyBorder="1" applyAlignment="1">
      <alignment horizontal="center" vertical="center"/>
    </xf>
    <xf numFmtId="0" fontId="21" fillId="23" borderId="5" xfId="0" applyFont="1" applyFill="1" applyBorder="1" applyAlignment="1">
      <alignment horizontal="center" vertical="center"/>
    </xf>
    <xf numFmtId="0" fontId="21" fillId="23" borderId="2" xfId="0" applyFont="1" applyFill="1" applyBorder="1" applyAlignment="1">
      <alignment horizontal="center" vertical="center"/>
    </xf>
    <xf numFmtId="0" fontId="21" fillId="26" borderId="4" xfId="0" applyFont="1" applyFill="1" applyBorder="1" applyAlignment="1">
      <alignment horizontal="center" vertical="center"/>
    </xf>
    <xf numFmtId="0" fontId="21" fillId="26" borderId="5" xfId="0" applyFont="1" applyFill="1" applyBorder="1" applyAlignment="1">
      <alignment horizontal="center" vertical="center"/>
    </xf>
    <xf numFmtId="0" fontId="21" fillId="26" borderId="2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8" fillId="22" borderId="30" xfId="0" applyFont="1" applyFill="1" applyBorder="1" applyAlignment="1">
      <alignment horizontal="left"/>
    </xf>
    <xf numFmtId="0" fontId="8" fillId="22" borderId="31" xfId="0" applyFont="1" applyFill="1" applyBorder="1" applyAlignment="1">
      <alignment horizontal="left"/>
    </xf>
    <xf numFmtId="0" fontId="8" fillId="22" borderId="32" xfId="0" applyFont="1" applyFill="1" applyBorder="1" applyAlignment="1">
      <alignment horizontal="left"/>
    </xf>
    <xf numFmtId="0" fontId="8" fillId="22" borderId="4" xfId="0" applyFont="1" applyFill="1" applyBorder="1" applyAlignment="1">
      <alignment horizontal="left"/>
    </xf>
    <xf numFmtId="0" fontId="8" fillId="22" borderId="5" xfId="0" applyFont="1" applyFill="1" applyBorder="1" applyAlignment="1">
      <alignment horizontal="left"/>
    </xf>
    <xf numFmtId="0" fontId="8" fillId="22" borderId="2" xfId="0" applyFont="1" applyFill="1" applyBorder="1" applyAlignment="1">
      <alignment horizontal="left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2" fillId="7" borderId="47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2" fillId="7" borderId="3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25" borderId="13" xfId="0" applyFont="1" applyFill="1" applyBorder="1" applyAlignment="1">
      <alignment horizontal="center"/>
    </xf>
    <xf numFmtId="0" fontId="1" fillId="25" borderId="14" xfId="0" applyFont="1" applyFill="1" applyBorder="1" applyAlignment="1">
      <alignment horizontal="center"/>
    </xf>
    <xf numFmtId="0" fontId="1" fillId="25" borderId="10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8" fillId="22" borderId="48" xfId="0" applyFont="1" applyFill="1" applyBorder="1" applyAlignment="1">
      <alignment horizontal="left"/>
    </xf>
    <xf numFmtId="0" fontId="8" fillId="22" borderId="37" xfId="0" applyFont="1" applyFill="1" applyBorder="1" applyAlignment="1">
      <alignment horizontal="left"/>
    </xf>
    <xf numFmtId="0" fontId="8" fillId="22" borderId="38" xfId="0" applyFont="1" applyFill="1" applyBorder="1" applyAlignment="1">
      <alignment horizontal="left"/>
    </xf>
    <xf numFmtId="0" fontId="8" fillId="0" borderId="57" xfId="0" applyFont="1" applyBorder="1" applyAlignment="1">
      <alignment horizontal="center"/>
    </xf>
    <xf numFmtId="0" fontId="0" fillId="26" borderId="4" xfId="0" applyFont="1" applyFill="1" applyBorder="1" applyAlignment="1">
      <alignment horizontal="center"/>
    </xf>
    <xf numFmtId="0" fontId="0" fillId="26" borderId="5" xfId="0" applyFont="1" applyFill="1" applyBorder="1" applyAlignment="1">
      <alignment horizontal="center"/>
    </xf>
    <xf numFmtId="0" fontId="0" fillId="26" borderId="2" xfId="0" applyFont="1" applyFill="1" applyBorder="1" applyAlignment="1">
      <alignment horizontal="center"/>
    </xf>
    <xf numFmtId="0" fontId="0" fillId="26" borderId="30" xfId="0" applyFont="1" applyFill="1" applyBorder="1" applyAlignment="1">
      <alignment horizontal="center"/>
    </xf>
    <xf numFmtId="0" fontId="0" fillId="26" borderId="32" xfId="0" applyFont="1" applyFill="1" applyBorder="1" applyAlignment="1">
      <alignment horizontal="center"/>
    </xf>
    <xf numFmtId="0" fontId="21" fillId="26" borderId="30" xfId="0" applyFont="1" applyFill="1" applyBorder="1" applyAlignment="1">
      <alignment horizontal="center" vertical="center"/>
    </xf>
    <xf numFmtId="0" fontId="21" fillId="26" borderId="32" xfId="0" applyFont="1" applyFill="1" applyBorder="1" applyAlignment="1">
      <alignment horizontal="center" vertical="center"/>
    </xf>
    <xf numFmtId="1" fontId="0" fillId="0" borderId="0" xfId="0" applyNumberFormat="1"/>
    <xf numFmtId="3" fontId="0" fillId="0" borderId="27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64" fontId="0" fillId="0" borderId="20" xfId="0" applyNumberFormat="1" applyBorder="1" applyAlignment="1">
      <alignment horizontal="center"/>
    </xf>
    <xf numFmtId="0" fontId="0" fillId="0" borderId="55" xfId="0" applyBorder="1" applyAlignment="1">
      <alignment horizontal="center"/>
    </xf>
    <xf numFmtId="0" fontId="8" fillId="0" borderId="64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164" fontId="8" fillId="0" borderId="29" xfId="0" applyNumberFormat="1" applyFont="1" applyBorder="1" applyAlignment="1">
      <alignment horizontal="center"/>
    </xf>
    <xf numFmtId="164" fontId="0" fillId="0" borderId="62" xfId="0" applyNumberFormat="1" applyFont="1" applyBorder="1" applyAlignment="1">
      <alignment horizontal="center" vertical="center" wrapText="1"/>
    </xf>
    <xf numFmtId="0" fontId="16" fillId="27" borderId="30" xfId="0" applyFont="1" applyFill="1" applyBorder="1" applyAlignment="1">
      <alignment vertical="center"/>
    </xf>
    <xf numFmtId="0" fontId="16" fillId="27" borderId="31" xfId="0" applyFont="1" applyFill="1" applyBorder="1" applyAlignment="1">
      <alignment vertical="center"/>
    </xf>
    <xf numFmtId="0" fontId="16" fillId="27" borderId="32" xfId="0" applyFont="1" applyFill="1" applyBorder="1" applyAlignment="1">
      <alignment vertical="center"/>
    </xf>
  </cellXfs>
  <cellStyles count="2">
    <cellStyle name="Millares" xfId="1" builtinId="3"/>
    <cellStyle name="Normal" xfId="0" builtinId="0"/>
  </cellStyles>
  <dxfs count="11"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CD5B4"/>
      <color rgb="FFFFFFFF"/>
      <color rgb="FFD9D9D9"/>
      <color rgb="FFC6E0B4"/>
      <color rgb="FF00CC99"/>
      <color rgb="FFBF9FFF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47625</xdr:rowOff>
        </xdr:from>
        <xdr:to>
          <xdr:col>2</xdr:col>
          <xdr:colOff>0</xdr:colOff>
          <xdr:row>13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315384</xdr:colOff>
          <xdr:row>14</xdr:row>
          <xdr:rowOff>130175</xdr:rowOff>
        </xdr:from>
        <xdr:to>
          <xdr:col>9</xdr:col>
          <xdr:colOff>1525059</xdr:colOff>
          <xdr:row>17</xdr:row>
          <xdr:rowOff>53975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704850</xdr:colOff>
          <xdr:row>11</xdr:row>
          <xdr:rowOff>38100</xdr:rowOff>
        </xdr:from>
        <xdr:to>
          <xdr:col>10</xdr:col>
          <xdr:colOff>133350</xdr:colOff>
          <xdr:row>13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Style" displayName="TablaStyle" ref="B1:C16" totalsRowShown="0">
  <autoFilter ref="B1:C16"/>
  <tableColumns count="2">
    <tableColumn id="1" name="Collection" dataDxfId="10"/>
    <tableColumn id="2" name="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Clothes" displayName="TablaClothes" ref="D1:H67" totalsRowShown="0" headerRowDxfId="9" tableBorderDxfId="8">
  <autoFilter ref="D1:H67"/>
  <tableColumns count="5">
    <tableColumn id="1" name="Collection" dataDxfId="7"/>
    <tableColumn id="2" name="Style" dataDxfId="6"/>
    <tableColumn id="3" name="Clothes" dataDxfId="5"/>
    <tableColumn id="4" name="SKU" dataDxfId="4"/>
    <tableColumn id="5" name="FABRIC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Insu" displayName="TablaInsu" ref="O1:P33" totalsRowShown="0" headerRowBorderDxfId="2" tableBorderDxfId="1">
  <autoFilter ref="O1:P33"/>
  <tableColumns count="2">
    <tableColumn id="1" name="Insumo" dataDxfId="0"/>
    <tableColumn id="2" name="RefIns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L8"/>
  <sheetViews>
    <sheetView workbookViewId="0">
      <selection activeCell="D9" sqref="D9"/>
    </sheetView>
  </sheetViews>
  <sheetFormatPr baseColWidth="10" defaultRowHeight="15" x14ac:dyDescent="0.25"/>
  <cols>
    <col min="5" max="5" width="14.42578125" customWidth="1"/>
    <col min="6" max="6" width="15.5703125" customWidth="1"/>
    <col min="7" max="7" width="15.28515625" customWidth="1"/>
    <col min="8" max="8" width="21.42578125" customWidth="1"/>
    <col min="10" max="10" width="11.7109375" customWidth="1"/>
    <col min="11" max="11" width="15.5703125" customWidth="1"/>
  </cols>
  <sheetData>
    <row r="1" spans="1:12" x14ac:dyDescent="0.25">
      <c r="A1" s="151" t="s">
        <v>266</v>
      </c>
      <c r="B1" s="434" t="s">
        <v>239</v>
      </c>
      <c r="C1" s="434" t="s">
        <v>260</v>
      </c>
      <c r="D1" s="434" t="s">
        <v>261</v>
      </c>
      <c r="E1" s="434" t="s">
        <v>262</v>
      </c>
      <c r="F1" s="431" t="s">
        <v>263</v>
      </c>
      <c r="G1" s="434" t="s">
        <v>264</v>
      </c>
      <c r="H1" s="434" t="s">
        <v>265</v>
      </c>
      <c r="I1" s="434" t="s">
        <v>267</v>
      </c>
      <c r="J1" s="434" t="s">
        <v>413</v>
      </c>
      <c r="K1" s="434" t="s">
        <v>268</v>
      </c>
      <c r="L1" s="434"/>
    </row>
    <row r="3" spans="1:12" x14ac:dyDescent="0.25">
      <c r="A3">
        <v>8</v>
      </c>
    </row>
    <row r="5" spans="1:12" x14ac:dyDescent="0.25">
      <c r="A5">
        <v>9</v>
      </c>
    </row>
    <row r="7" spans="1:12" x14ac:dyDescent="0.25">
      <c r="A7">
        <v>10</v>
      </c>
    </row>
    <row r="8" spans="1:12" x14ac:dyDescent="0.25">
      <c r="A8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124"/>
  <sheetViews>
    <sheetView topLeftCell="D1" zoomScale="80" zoomScaleNormal="80" workbookViewId="0">
      <selection activeCell="G4" sqref="G4"/>
    </sheetView>
  </sheetViews>
  <sheetFormatPr baseColWidth="10" defaultRowHeight="15" x14ac:dyDescent="0.25"/>
  <cols>
    <col min="1" max="1" width="19.42578125" customWidth="1"/>
    <col min="2" max="2" width="19.5703125" customWidth="1"/>
    <col min="3" max="3" width="21.42578125" customWidth="1"/>
    <col min="4" max="4" width="22.7109375" customWidth="1"/>
    <col min="5" max="5" width="23.28515625" customWidth="1"/>
    <col min="6" max="6" width="25" customWidth="1"/>
    <col min="7" max="7" width="17.7109375" style="15" customWidth="1"/>
    <col min="8" max="8" width="17.140625" customWidth="1"/>
    <col min="9" max="10" width="17.140625" style="15" customWidth="1"/>
    <col min="13" max="13" width="10.85546875" customWidth="1"/>
    <col min="15" max="15" width="15.7109375" customWidth="1"/>
    <col min="16" max="16" width="14" customWidth="1"/>
  </cols>
  <sheetData>
    <row r="1" spans="1:16" ht="45" customHeight="1" thickBot="1" x14ac:dyDescent="0.3">
      <c r="A1" s="108" t="s">
        <v>218</v>
      </c>
      <c r="B1" s="104" t="s">
        <v>218</v>
      </c>
      <c r="C1" s="107" t="s">
        <v>217</v>
      </c>
      <c r="D1" s="107" t="s">
        <v>218</v>
      </c>
      <c r="E1" s="118" t="s">
        <v>217</v>
      </c>
      <c r="F1" s="119" t="s">
        <v>234</v>
      </c>
      <c r="G1" s="279" t="s">
        <v>0</v>
      </c>
      <c r="H1" s="280" t="s">
        <v>1</v>
      </c>
      <c r="I1" s="400"/>
      <c r="J1" s="399" t="s">
        <v>255</v>
      </c>
      <c r="N1" s="151" t="s">
        <v>390</v>
      </c>
      <c r="O1" s="368" t="s">
        <v>389</v>
      </c>
      <c r="P1" s="371" t="s">
        <v>388</v>
      </c>
    </row>
    <row r="2" spans="1:16" ht="15" customHeight="1" x14ac:dyDescent="0.25">
      <c r="A2" s="97" t="s">
        <v>2</v>
      </c>
      <c r="B2" s="96" t="s">
        <v>2</v>
      </c>
      <c r="C2" t="s">
        <v>219</v>
      </c>
      <c r="D2" s="98" t="s">
        <v>2</v>
      </c>
      <c r="E2" s="99" t="s">
        <v>219</v>
      </c>
      <c r="F2" s="196" t="s">
        <v>5</v>
      </c>
      <c r="G2" s="239" t="s">
        <v>4</v>
      </c>
      <c r="H2" s="113" t="s">
        <v>6</v>
      </c>
      <c r="I2" s="401"/>
      <c r="J2" s="3" t="s">
        <v>256</v>
      </c>
      <c r="K2" s="3" t="s">
        <v>189</v>
      </c>
      <c r="M2" s="10" t="s">
        <v>2</v>
      </c>
      <c r="N2" s="366" t="s">
        <v>318</v>
      </c>
      <c r="O2" s="366" t="s">
        <v>318</v>
      </c>
      <c r="P2" s="3"/>
    </row>
    <row r="3" spans="1:16" ht="15" customHeight="1" x14ac:dyDescent="0.25">
      <c r="A3" s="86" t="s">
        <v>62</v>
      </c>
      <c r="B3" s="96" t="s">
        <v>2</v>
      </c>
      <c r="C3" t="s">
        <v>13</v>
      </c>
      <c r="D3" s="100" t="s">
        <v>2</v>
      </c>
      <c r="E3" s="97" t="s">
        <v>219</v>
      </c>
      <c r="F3" s="97" t="s">
        <v>236</v>
      </c>
      <c r="G3" s="240" t="s">
        <v>414</v>
      </c>
      <c r="H3" s="114" t="s">
        <v>286</v>
      </c>
      <c r="I3" s="401"/>
      <c r="J3" s="3" t="s">
        <v>257</v>
      </c>
      <c r="M3" s="10" t="s">
        <v>219</v>
      </c>
      <c r="N3" s="366" t="s">
        <v>319</v>
      </c>
      <c r="O3" s="366" t="s">
        <v>319</v>
      </c>
      <c r="P3" s="3"/>
    </row>
    <row r="4" spans="1:16" ht="15" customHeight="1" x14ac:dyDescent="0.25">
      <c r="A4" s="79" t="s">
        <v>83</v>
      </c>
      <c r="B4" s="96" t="s">
        <v>2</v>
      </c>
      <c r="C4" t="s">
        <v>34</v>
      </c>
      <c r="D4" s="100" t="s">
        <v>2</v>
      </c>
      <c r="E4" s="97" t="s">
        <v>219</v>
      </c>
      <c r="F4" s="182" t="s">
        <v>10</v>
      </c>
      <c r="G4" s="241" t="s">
        <v>9</v>
      </c>
      <c r="H4" s="115" t="s">
        <v>288</v>
      </c>
      <c r="I4" s="401"/>
      <c r="J4" s="3" t="s">
        <v>258</v>
      </c>
      <c r="K4" s="3" t="s">
        <v>270</v>
      </c>
      <c r="M4" s="10" t="s">
        <v>12</v>
      </c>
      <c r="N4" s="366" t="str">
        <f>Inv!I1</f>
        <v>ETIQUETAS SOUL DANCER</v>
      </c>
      <c r="O4" s="367" t="str">
        <f>Inv!$I$1</f>
        <v>ETIQUETAS SOUL DANCER</v>
      </c>
      <c r="P4" s="3" t="str">
        <f>+Inv!I3</f>
        <v>EN  BLANCO</v>
      </c>
    </row>
    <row r="5" spans="1:16" ht="15" customHeight="1" thickBot="1" x14ac:dyDescent="0.3">
      <c r="A5" s="78" t="s">
        <v>108</v>
      </c>
      <c r="B5" s="96" t="s">
        <v>2</v>
      </c>
      <c r="C5" t="s">
        <v>50</v>
      </c>
      <c r="D5" s="101" t="s">
        <v>2</v>
      </c>
      <c r="E5" s="102" t="s">
        <v>219</v>
      </c>
      <c r="F5" s="199" t="s">
        <v>12</v>
      </c>
      <c r="G5" s="242" t="s">
        <v>11</v>
      </c>
      <c r="H5" s="117" t="s">
        <v>8</v>
      </c>
      <c r="I5" s="401"/>
      <c r="J5" s="3" t="s">
        <v>259</v>
      </c>
      <c r="K5" s="3" t="s">
        <v>269</v>
      </c>
      <c r="M5" s="10" t="str">
        <f ca="1">+OFFSET(TablaClothes[[#Headers],[Clothes]],MATCH($M$4,TablaClothes[[#All],[Clothes]],0)-1,1)</f>
        <v>HUN SUB</v>
      </c>
      <c r="N5" s="366" t="s">
        <v>321</v>
      </c>
      <c r="O5" s="367" t="str">
        <f>Inv!$I$1</f>
        <v>ETIQUETAS SOUL DANCER</v>
      </c>
      <c r="P5" s="3" t="str">
        <f>+Inv!J3</f>
        <v>DIBUJANDO</v>
      </c>
    </row>
    <row r="6" spans="1:16" ht="15" customHeight="1" x14ac:dyDescent="0.25">
      <c r="A6" s="91" t="s">
        <v>122</v>
      </c>
      <c r="B6" s="96" t="s">
        <v>2</v>
      </c>
      <c r="C6" t="s">
        <v>57</v>
      </c>
      <c r="D6" s="203" t="s">
        <v>2</v>
      </c>
      <c r="E6" s="112" t="s">
        <v>13</v>
      </c>
      <c r="F6" s="112" t="s">
        <v>15</v>
      </c>
      <c r="G6" s="243" t="s">
        <v>14</v>
      </c>
      <c r="H6" s="281" t="s">
        <v>287</v>
      </c>
      <c r="I6" s="401"/>
      <c r="M6" s="10" t="str">
        <f ca="1">+VLOOKUP($M$5,TablaClothes[[#All],[SKU]:[FABRIC]],2,0)</f>
        <v>4261 (WHITE)</v>
      </c>
      <c r="N6" s="366" t="str">
        <f>+Inv!V1</f>
        <v>MARQUILLAS DE COMPOSICION</v>
      </c>
      <c r="O6" s="367" t="str">
        <f>Inv!$I$1</f>
        <v>ETIQUETAS SOUL DANCER</v>
      </c>
      <c r="P6" s="3" t="str">
        <f>+Inv!K3</f>
        <v>CON DIBUJO</v>
      </c>
    </row>
    <row r="7" spans="1:16" ht="15" customHeight="1" x14ac:dyDescent="0.25">
      <c r="B7" s="96" t="s">
        <v>62</v>
      </c>
      <c r="C7" t="s">
        <v>220</v>
      </c>
      <c r="D7" s="100" t="s">
        <v>2</v>
      </c>
      <c r="E7" s="97" t="s">
        <v>13</v>
      </c>
      <c r="F7" s="182" t="s">
        <v>17</v>
      </c>
      <c r="G7" s="241" t="s">
        <v>16</v>
      </c>
      <c r="H7" s="115" t="s">
        <v>287</v>
      </c>
      <c r="I7" s="401"/>
      <c r="K7" s="3" t="s">
        <v>190</v>
      </c>
      <c r="N7" s="366" t="str">
        <f>+Inv!I7</f>
        <v>STICKERS</v>
      </c>
      <c r="O7" s="366" t="s">
        <v>321</v>
      </c>
      <c r="P7" s="3" t="str">
        <f>Cierres!$H$3</f>
        <v>LINEA N3Z (Separable)</v>
      </c>
    </row>
    <row r="8" spans="1:16" ht="15" customHeight="1" x14ac:dyDescent="0.25">
      <c r="B8" s="96" t="s">
        <v>62</v>
      </c>
      <c r="C8" t="s">
        <v>250</v>
      </c>
      <c r="D8" s="100" t="s">
        <v>2</v>
      </c>
      <c r="E8" s="97" t="s">
        <v>13</v>
      </c>
      <c r="F8" s="182" t="s">
        <v>235</v>
      </c>
      <c r="G8" s="241" t="s">
        <v>18</v>
      </c>
      <c r="H8" s="115" t="s">
        <v>19</v>
      </c>
      <c r="I8" s="401"/>
      <c r="K8" s="3" t="s">
        <v>191</v>
      </c>
      <c r="M8" s="369" t="s">
        <v>321</v>
      </c>
      <c r="N8" s="366" t="str">
        <f>+Inv!P1</f>
        <v>FAJONES</v>
      </c>
      <c r="O8" s="366" t="s">
        <v>321</v>
      </c>
      <c r="P8" s="3" t="str">
        <f>Cierres!$K$3</f>
        <v>LINEA 21(Bolsillo)</v>
      </c>
    </row>
    <row r="9" spans="1:16" ht="15" customHeight="1" x14ac:dyDescent="0.25">
      <c r="B9" s="96" t="s">
        <v>62</v>
      </c>
      <c r="C9" t="s">
        <v>221</v>
      </c>
      <c r="D9" s="100" t="s">
        <v>2</v>
      </c>
      <c r="E9" s="97" t="s">
        <v>13</v>
      </c>
      <c r="F9" s="181" t="s">
        <v>21</v>
      </c>
      <c r="G9" s="244" t="s">
        <v>20</v>
      </c>
      <c r="H9" s="116" t="s">
        <v>289</v>
      </c>
      <c r="I9" s="401"/>
      <c r="M9" s="3" t="s">
        <v>376</v>
      </c>
      <c r="N9" s="366" t="str">
        <f>+Inv!B14</f>
        <v>CORDONES</v>
      </c>
      <c r="O9" s="366" t="s">
        <v>321</v>
      </c>
      <c r="P9" s="3" t="str">
        <f>Cierres!$N$3</f>
        <v>LINEA N3U(Fijo)</v>
      </c>
    </row>
    <row r="10" spans="1:16" ht="15" customHeight="1" x14ac:dyDescent="0.25">
      <c r="B10" s="96" t="s">
        <v>83</v>
      </c>
      <c r="C10" t="s">
        <v>222</v>
      </c>
      <c r="D10" s="100" t="s">
        <v>2</v>
      </c>
      <c r="E10" s="97" t="s">
        <v>13</v>
      </c>
      <c r="F10" s="182" t="s">
        <v>23</v>
      </c>
      <c r="G10" s="241" t="s">
        <v>22</v>
      </c>
      <c r="H10" s="197" t="s">
        <v>290</v>
      </c>
      <c r="K10" s="3" t="s">
        <v>404</v>
      </c>
      <c r="N10" s="365"/>
      <c r="O10" s="366" t="s">
        <v>321</v>
      </c>
      <c r="P10" s="3" t="str">
        <f>Cierres!$Q$3</f>
        <v>LINEA HF(Fijo)</v>
      </c>
    </row>
    <row r="11" spans="1:16" ht="15" customHeight="1" x14ac:dyDescent="0.25">
      <c r="B11" s="96" t="s">
        <v>83</v>
      </c>
      <c r="C11" t="s">
        <v>225</v>
      </c>
      <c r="D11" s="100" t="s">
        <v>2</v>
      </c>
      <c r="E11" s="97" t="s">
        <v>13</v>
      </c>
      <c r="F11" s="181" t="s">
        <v>25</v>
      </c>
      <c r="G11" s="244" t="s">
        <v>24</v>
      </c>
      <c r="H11" s="198" t="s">
        <v>26</v>
      </c>
      <c r="K11" s="3" t="s">
        <v>405</v>
      </c>
      <c r="N11" s="365"/>
      <c r="O11" s="370" t="s">
        <v>321</v>
      </c>
      <c r="P11" s="3" t="str">
        <f>Cierres!$S$3</f>
        <v>LINEA 5U(Metal)</v>
      </c>
    </row>
    <row r="12" spans="1:16" ht="15" customHeight="1" x14ac:dyDescent="0.25">
      <c r="B12" s="96" t="s">
        <v>83</v>
      </c>
      <c r="C12" t="s">
        <v>223</v>
      </c>
      <c r="D12" s="100" t="s">
        <v>2</v>
      </c>
      <c r="E12" s="97" t="s">
        <v>13</v>
      </c>
      <c r="F12" s="182" t="s">
        <v>28</v>
      </c>
      <c r="G12" s="241" t="s">
        <v>27</v>
      </c>
      <c r="H12" s="197" t="s">
        <v>29</v>
      </c>
      <c r="N12" s="365"/>
      <c r="O12" s="370" t="s">
        <v>321</v>
      </c>
      <c r="P12" s="3" t="str">
        <f>Cierres!$U$3</f>
        <v>LINEA QX</v>
      </c>
    </row>
    <row r="13" spans="1:16" ht="15" customHeight="1" x14ac:dyDescent="0.25">
      <c r="B13" s="96" t="s">
        <v>108</v>
      </c>
      <c r="C13" s="105" t="s">
        <v>108</v>
      </c>
      <c r="D13" s="100" t="s">
        <v>2</v>
      </c>
      <c r="E13" s="97" t="s">
        <v>13</v>
      </c>
      <c r="F13" s="181" t="s">
        <v>31</v>
      </c>
      <c r="G13" s="244" t="s">
        <v>30</v>
      </c>
      <c r="H13" s="198" t="s">
        <v>19</v>
      </c>
      <c r="N13" s="365"/>
      <c r="O13" s="370" t="s">
        <v>321</v>
      </c>
      <c r="P13" s="3" t="str">
        <f>Cierres!$W$3</f>
        <v>BOMBAI NIQUEL</v>
      </c>
    </row>
    <row r="14" spans="1:16" ht="15" customHeight="1" thickBot="1" x14ac:dyDescent="0.3">
      <c r="B14" s="96" t="s">
        <v>122</v>
      </c>
      <c r="C14" t="s">
        <v>224</v>
      </c>
      <c r="D14" s="106" t="s">
        <v>2</v>
      </c>
      <c r="E14" s="71" t="s">
        <v>13</v>
      </c>
      <c r="F14" s="201" t="s">
        <v>33</v>
      </c>
      <c r="G14" s="245" t="s">
        <v>32</v>
      </c>
      <c r="H14" s="202" t="s">
        <v>287</v>
      </c>
      <c r="N14" s="365"/>
      <c r="O14" s="370" t="s">
        <v>321</v>
      </c>
      <c r="P14" s="3" t="str">
        <f>Cierres!$Y$3</f>
        <v>LINEA 72</v>
      </c>
    </row>
    <row r="15" spans="1:16" ht="15" customHeight="1" x14ac:dyDescent="0.25">
      <c r="B15" s="96" t="s">
        <v>122</v>
      </c>
      <c r="C15" t="s">
        <v>226</v>
      </c>
      <c r="D15" s="98" t="s">
        <v>2</v>
      </c>
      <c r="E15" s="99" t="s">
        <v>34</v>
      </c>
      <c r="F15" s="206" t="s">
        <v>36</v>
      </c>
      <c r="G15" s="246" t="s">
        <v>35</v>
      </c>
      <c r="H15" s="207" t="s">
        <v>6</v>
      </c>
      <c r="O15" s="370" t="s">
        <v>321</v>
      </c>
      <c r="P15" s="3" t="str">
        <f>Cierres!$AA$3</f>
        <v>LINEA N25(Invisible)</v>
      </c>
    </row>
    <row r="16" spans="1:16" ht="15" customHeight="1" x14ac:dyDescent="0.25">
      <c r="B16" s="96" t="s">
        <v>122</v>
      </c>
      <c r="C16" t="s">
        <v>227</v>
      </c>
      <c r="D16" s="100" t="s">
        <v>2</v>
      </c>
      <c r="E16" s="97" t="s">
        <v>34</v>
      </c>
      <c r="F16" s="181" t="s">
        <v>38</v>
      </c>
      <c r="G16" s="244" t="s">
        <v>37</v>
      </c>
      <c r="H16" s="198" t="s">
        <v>291</v>
      </c>
      <c r="N16" s="365"/>
      <c r="O16" s="370" t="str">
        <f>+$N$6</f>
        <v>MARQUILLAS DE COMPOSICION</v>
      </c>
      <c r="P16" s="3" t="str">
        <f>+Inv!$W$3</f>
        <v>80% COTTON 20% SPANDEX</v>
      </c>
    </row>
    <row r="17" spans="2:16" ht="15" customHeight="1" x14ac:dyDescent="0.25">
      <c r="D17" s="100" t="s">
        <v>2</v>
      </c>
      <c r="E17" s="97" t="s">
        <v>34</v>
      </c>
      <c r="F17" s="182" t="s">
        <v>40</v>
      </c>
      <c r="G17" s="241" t="s">
        <v>39</v>
      </c>
      <c r="H17" s="197" t="s">
        <v>292</v>
      </c>
      <c r="N17" s="365"/>
      <c r="O17" s="370" t="str">
        <f t="shared" ref="O17:O25" si="0">+$N$6</f>
        <v>MARQUILLAS DE COMPOSICION</v>
      </c>
      <c r="P17" s="3" t="str">
        <f>+Inv!$X$3</f>
        <v>93% POLYESTER 7% SPANDEX</v>
      </c>
    </row>
    <row r="18" spans="2:16" ht="15" customHeight="1" x14ac:dyDescent="0.25">
      <c r="D18" s="100" t="s">
        <v>2</v>
      </c>
      <c r="E18" s="97" t="s">
        <v>34</v>
      </c>
      <c r="F18" s="181" t="s">
        <v>42</v>
      </c>
      <c r="G18" s="244" t="s">
        <v>41</v>
      </c>
      <c r="H18" s="198" t="s">
        <v>292</v>
      </c>
      <c r="N18" s="365"/>
      <c r="O18" s="370" t="str">
        <f t="shared" si="0"/>
        <v>MARQUILLAS DE COMPOSICION</v>
      </c>
      <c r="P18" s="3" t="str">
        <f>+Inv!$Y$3</f>
        <v>92% POLYESTER  8% SPANDEX</v>
      </c>
    </row>
    <row r="19" spans="2:16" ht="15" customHeight="1" x14ac:dyDescent="0.25">
      <c r="D19" s="100" t="s">
        <v>2</v>
      </c>
      <c r="E19" s="97" t="s">
        <v>34</v>
      </c>
      <c r="F19" s="182" t="s">
        <v>44</v>
      </c>
      <c r="G19" s="241" t="s">
        <v>43</v>
      </c>
      <c r="H19" s="197" t="s">
        <v>286</v>
      </c>
      <c r="N19" s="365"/>
      <c r="O19" s="370" t="str">
        <f t="shared" si="0"/>
        <v>MARQUILLAS DE COMPOSICION</v>
      </c>
      <c r="P19" s="3" t="str">
        <f>+Inv!$Z$3</f>
        <v>90% NYLON  10% SPANDEX</v>
      </c>
    </row>
    <row r="20" spans="2:16" ht="15" customHeight="1" x14ac:dyDescent="0.25">
      <c r="D20" s="100" t="s">
        <v>2</v>
      </c>
      <c r="E20" s="97" t="s">
        <v>34</v>
      </c>
      <c r="F20" s="181" t="s">
        <v>46</v>
      </c>
      <c r="G20" s="244" t="s">
        <v>45</v>
      </c>
      <c r="H20" s="198" t="s">
        <v>291</v>
      </c>
      <c r="O20" s="370" t="str">
        <f t="shared" si="0"/>
        <v>MARQUILLAS DE COMPOSICION</v>
      </c>
      <c r="P20" s="3" t="str">
        <f>+Inv!$AA$3</f>
        <v>85% POLYESTER  15% SPANDEX</v>
      </c>
    </row>
    <row r="21" spans="2:16" ht="15" customHeight="1" thickBot="1" x14ac:dyDescent="0.3">
      <c r="D21" s="101" t="s">
        <v>2</v>
      </c>
      <c r="E21" s="102" t="s">
        <v>34</v>
      </c>
      <c r="F21" s="199" t="s">
        <v>48</v>
      </c>
      <c r="G21" s="242" t="s">
        <v>47</v>
      </c>
      <c r="H21" s="208" t="s">
        <v>49</v>
      </c>
      <c r="O21" s="370" t="str">
        <f t="shared" si="0"/>
        <v>MARQUILLAS DE COMPOSICION</v>
      </c>
      <c r="P21" s="3" t="str">
        <f>+Inv!$AB$3</f>
        <v>65% POLYESTER  35% COTTON</v>
      </c>
    </row>
    <row r="22" spans="2:16" ht="15" customHeight="1" x14ac:dyDescent="0.25">
      <c r="B22" s="96"/>
      <c r="C22" s="96"/>
      <c r="D22" s="203" t="s">
        <v>2</v>
      </c>
      <c r="E22" s="112" t="s">
        <v>50</v>
      </c>
      <c r="F22" s="204" t="s">
        <v>52</v>
      </c>
      <c r="G22" s="247" t="s">
        <v>51</v>
      </c>
      <c r="H22" s="205" t="s">
        <v>293</v>
      </c>
      <c r="O22" s="370" t="str">
        <f t="shared" si="0"/>
        <v>MARQUILLAS DE COMPOSICION</v>
      </c>
      <c r="P22" s="3" t="str">
        <f>+Inv!$AC$3</f>
        <v>65% POLYESTER  35% COTTON</v>
      </c>
    </row>
    <row r="23" spans="2:16" ht="15" customHeight="1" x14ac:dyDescent="0.25">
      <c r="D23" s="100" t="s">
        <v>2</v>
      </c>
      <c r="E23" s="97" t="s">
        <v>50</v>
      </c>
      <c r="F23" s="181" t="s">
        <v>54</v>
      </c>
      <c r="G23" s="241" t="s">
        <v>53</v>
      </c>
      <c r="H23" s="197" t="s">
        <v>292</v>
      </c>
      <c r="O23" s="370" t="str">
        <f t="shared" si="0"/>
        <v>MARQUILLAS DE COMPOSICION</v>
      </c>
      <c r="P23" s="3" t="str">
        <f>+Inv!$AD$3</f>
        <v>80% POLYESTER  20% SPANDEX</v>
      </c>
    </row>
    <row r="24" spans="2:16" ht="15" customHeight="1" x14ac:dyDescent="0.25">
      <c r="D24" s="100" t="s">
        <v>2</v>
      </c>
      <c r="E24" s="97" t="s">
        <v>50</v>
      </c>
      <c r="F24" s="181" t="s">
        <v>56</v>
      </c>
      <c r="G24" s="244" t="s">
        <v>55</v>
      </c>
      <c r="H24" s="198" t="s">
        <v>292</v>
      </c>
      <c r="O24" s="370" t="str">
        <f t="shared" si="0"/>
        <v>MARQUILLAS DE COMPOSICION</v>
      </c>
      <c r="P24" s="3" t="str">
        <f>+Inv!$AE$3</f>
        <v>90% COTTON  10% SPANDEX</v>
      </c>
    </row>
    <row r="25" spans="2:16" ht="15" customHeight="1" x14ac:dyDescent="0.25">
      <c r="D25" s="100" t="s">
        <v>2</v>
      </c>
      <c r="E25" s="97" t="s">
        <v>57</v>
      </c>
      <c r="F25" s="182" t="s">
        <v>59</v>
      </c>
      <c r="G25" s="244" t="s">
        <v>58</v>
      </c>
      <c r="H25" s="198" t="s">
        <v>294</v>
      </c>
      <c r="O25" s="370" t="str">
        <f t="shared" si="0"/>
        <v>MARQUILLAS DE COMPOSICION</v>
      </c>
      <c r="P25" s="3" t="str">
        <f>+Inv!$AF$3</f>
        <v>97% VISCOSE  3% SPANDEX</v>
      </c>
    </row>
    <row r="26" spans="2:16" ht="15" customHeight="1" thickBot="1" x14ac:dyDescent="0.3">
      <c r="D26" s="101" t="s">
        <v>2</v>
      </c>
      <c r="E26" s="102" t="s">
        <v>57</v>
      </c>
      <c r="F26" s="199" t="s">
        <v>61</v>
      </c>
      <c r="G26" s="248" t="s">
        <v>60</v>
      </c>
      <c r="H26" s="200" t="s">
        <v>294</v>
      </c>
      <c r="O26" s="370" t="str">
        <f>Inv!I7</f>
        <v>STICKERS</v>
      </c>
      <c r="P26" s="3"/>
    </row>
    <row r="27" spans="2:16" ht="15" customHeight="1" x14ac:dyDescent="0.25">
      <c r="D27" s="73" t="s">
        <v>62</v>
      </c>
      <c r="E27" s="73" t="s">
        <v>220</v>
      </c>
      <c r="F27" s="194" t="s">
        <v>64</v>
      </c>
      <c r="G27" s="249" t="s">
        <v>63</v>
      </c>
      <c r="H27" s="195" t="s">
        <v>295</v>
      </c>
      <c r="O27" s="370" t="str">
        <f>+$N$8</f>
        <v>FAJONES</v>
      </c>
      <c r="P27" s="3" t="str">
        <f>+Inv!$Q$3</f>
        <v>(100X14)cm (con quiebre en mitad)</v>
      </c>
    </row>
    <row r="28" spans="2:16" ht="15" customHeight="1" x14ac:dyDescent="0.25">
      <c r="D28" s="86" t="s">
        <v>62</v>
      </c>
      <c r="E28" s="86" t="s">
        <v>220</v>
      </c>
      <c r="F28" s="184" t="s">
        <v>237</v>
      </c>
      <c r="G28" s="250" t="s">
        <v>65</v>
      </c>
      <c r="H28" s="183" t="s">
        <v>296</v>
      </c>
      <c r="O28" s="370" t="str">
        <f t="shared" ref="O28:O29" si="1">+$N$8</f>
        <v>FAJONES</v>
      </c>
      <c r="P28" s="3" t="str">
        <f>+Inv!$R$3</f>
        <v>(60X14)cm (sin quiebre)</v>
      </c>
    </row>
    <row r="29" spans="2:16" ht="15" customHeight="1" thickBot="1" x14ac:dyDescent="0.3">
      <c r="D29" s="72" t="s">
        <v>62</v>
      </c>
      <c r="E29" s="72" t="s">
        <v>220</v>
      </c>
      <c r="F29" s="209" t="s">
        <v>67</v>
      </c>
      <c r="G29" s="251" t="s">
        <v>419</v>
      </c>
      <c r="H29" s="209" t="s">
        <v>297</v>
      </c>
      <c r="O29" s="370" t="str">
        <f t="shared" si="1"/>
        <v>FAJONES</v>
      </c>
      <c r="P29" s="3" t="str">
        <f>+Inv!$S$3</f>
        <v>(60X10)cm (con quiebre)</v>
      </c>
    </row>
    <row r="30" spans="2:16" ht="15" customHeight="1" x14ac:dyDescent="0.25">
      <c r="D30" s="87" t="s">
        <v>62</v>
      </c>
      <c r="E30" s="88" t="s">
        <v>250</v>
      </c>
      <c r="F30" s="210" t="s">
        <v>70</v>
      </c>
      <c r="G30" s="252" t="s">
        <v>69</v>
      </c>
      <c r="H30" s="211" t="s">
        <v>298</v>
      </c>
      <c r="O30" s="370" t="str">
        <f>Inv!$B$14</f>
        <v>CORDONES</v>
      </c>
      <c r="P30" s="3" t="str">
        <f>+Inv!$C$15</f>
        <v>PLANO 1,1</v>
      </c>
    </row>
    <row r="31" spans="2:16" ht="15" customHeight="1" x14ac:dyDescent="0.25">
      <c r="D31" s="89" t="s">
        <v>62</v>
      </c>
      <c r="E31" s="86" t="s">
        <v>250</v>
      </c>
      <c r="F31" s="183" t="s">
        <v>73</v>
      </c>
      <c r="G31" s="250" t="s">
        <v>72</v>
      </c>
      <c r="H31" s="212" t="s">
        <v>299</v>
      </c>
      <c r="O31" s="370" t="str">
        <f>Inv!$B$14</f>
        <v>CORDONES</v>
      </c>
      <c r="P31" s="3" t="str">
        <f>+Inv!$D$15</f>
        <v>PLANO 1.3</v>
      </c>
    </row>
    <row r="32" spans="2:16" ht="15" customHeight="1" thickBot="1" x14ac:dyDescent="0.3">
      <c r="D32" s="213" t="s">
        <v>62</v>
      </c>
      <c r="E32" s="90" t="s">
        <v>250</v>
      </c>
      <c r="F32" s="214" t="s">
        <v>75</v>
      </c>
      <c r="G32" s="253" t="s">
        <v>74</v>
      </c>
      <c r="H32" s="215" t="s">
        <v>299</v>
      </c>
      <c r="O32" s="370" t="str">
        <f>Inv!$B$14</f>
        <v>CORDONES</v>
      </c>
      <c r="P32" s="3" t="str">
        <f>+Inv!$E$15</f>
        <v>DANCE 1.1</v>
      </c>
    </row>
    <row r="33" spans="4:16" ht="15" customHeight="1" x14ac:dyDescent="0.25">
      <c r="D33" s="73" t="s">
        <v>62</v>
      </c>
      <c r="E33" s="73" t="s">
        <v>221</v>
      </c>
      <c r="F33" s="194" t="s">
        <v>310</v>
      </c>
      <c r="G33" s="249" t="s">
        <v>415</v>
      </c>
      <c r="H33" s="195" t="s">
        <v>296</v>
      </c>
      <c r="O33" s="370" t="str">
        <f>Inv!$B$14</f>
        <v>CORDONES</v>
      </c>
      <c r="P33" s="3" t="str">
        <f>+Inv!$F$15</f>
        <v>DANCE 1.3</v>
      </c>
    </row>
    <row r="34" spans="4:16" ht="15" customHeight="1" x14ac:dyDescent="0.25">
      <c r="D34" s="86" t="s">
        <v>62</v>
      </c>
      <c r="E34" s="86" t="s">
        <v>221</v>
      </c>
      <c r="F34" s="183" t="s">
        <v>77</v>
      </c>
      <c r="G34" s="250" t="s">
        <v>418</v>
      </c>
      <c r="H34" s="183" t="s">
        <v>66</v>
      </c>
    </row>
    <row r="35" spans="4:16" ht="15" customHeight="1" x14ac:dyDescent="0.25">
      <c r="D35" s="86" t="s">
        <v>62</v>
      </c>
      <c r="E35" s="86" t="s">
        <v>221</v>
      </c>
      <c r="F35" s="184" t="s">
        <v>79</v>
      </c>
      <c r="G35" s="250" t="s">
        <v>78</v>
      </c>
      <c r="H35" s="183" t="s">
        <v>71</v>
      </c>
    </row>
    <row r="36" spans="4:16" ht="15" customHeight="1" x14ac:dyDescent="0.25">
      <c r="D36" s="86" t="s">
        <v>62</v>
      </c>
      <c r="E36" s="86" t="s">
        <v>221</v>
      </c>
      <c r="F36" s="183" t="s">
        <v>52</v>
      </c>
      <c r="G36" s="254" t="s">
        <v>300</v>
      </c>
      <c r="H36" s="184" t="s">
        <v>301</v>
      </c>
    </row>
    <row r="37" spans="4:16" ht="15" customHeight="1" x14ac:dyDescent="0.25">
      <c r="D37" s="86" t="s">
        <v>62</v>
      </c>
      <c r="E37" s="86" t="s">
        <v>221</v>
      </c>
      <c r="F37" s="183" t="s">
        <v>306</v>
      </c>
      <c r="G37" s="250" t="s">
        <v>81</v>
      </c>
      <c r="H37" s="183" t="s">
        <v>302</v>
      </c>
    </row>
    <row r="38" spans="4:16" ht="15" customHeight="1" thickBot="1" x14ac:dyDescent="0.3">
      <c r="D38" s="72" t="s">
        <v>62</v>
      </c>
      <c r="E38" s="72" t="s">
        <v>221</v>
      </c>
      <c r="F38" s="216" t="s">
        <v>305</v>
      </c>
      <c r="G38" s="255" t="s">
        <v>82</v>
      </c>
      <c r="H38" s="216" t="s">
        <v>303</v>
      </c>
    </row>
    <row r="39" spans="4:16" ht="15" customHeight="1" x14ac:dyDescent="0.25">
      <c r="D39" s="81" t="s">
        <v>83</v>
      </c>
      <c r="E39" s="82" t="s">
        <v>222</v>
      </c>
      <c r="F39" s="218" t="s">
        <v>238</v>
      </c>
      <c r="G39" s="256" t="s">
        <v>84</v>
      </c>
      <c r="H39" s="219" t="s">
        <v>304</v>
      </c>
    </row>
    <row r="40" spans="4:16" ht="15" customHeight="1" x14ac:dyDescent="0.25">
      <c r="D40" s="83" t="s">
        <v>83</v>
      </c>
      <c r="E40" s="79" t="s">
        <v>222</v>
      </c>
      <c r="F40" s="186" t="s">
        <v>87</v>
      </c>
      <c r="G40" s="257" t="s">
        <v>86</v>
      </c>
      <c r="H40" s="220" t="s">
        <v>85</v>
      </c>
    </row>
    <row r="41" spans="4:16" ht="15" customHeight="1" thickBot="1" x14ac:dyDescent="0.3">
      <c r="D41" s="84" t="s">
        <v>83</v>
      </c>
      <c r="E41" s="103" t="s">
        <v>222</v>
      </c>
      <c r="F41" s="221" t="s">
        <v>12</v>
      </c>
      <c r="G41" s="258" t="s">
        <v>88</v>
      </c>
      <c r="H41" s="222" t="s">
        <v>85</v>
      </c>
    </row>
    <row r="42" spans="4:16" ht="15" customHeight="1" x14ac:dyDescent="0.25">
      <c r="D42" s="111" t="s">
        <v>83</v>
      </c>
      <c r="E42" s="111" t="s">
        <v>225</v>
      </c>
      <c r="F42" s="217" t="s">
        <v>31</v>
      </c>
      <c r="G42" s="259" t="s">
        <v>90</v>
      </c>
      <c r="H42" s="217" t="s">
        <v>91</v>
      </c>
    </row>
    <row r="43" spans="4:16" ht="15" customHeight="1" x14ac:dyDescent="0.25">
      <c r="D43" s="79" t="s">
        <v>83</v>
      </c>
      <c r="E43" s="79" t="s">
        <v>225</v>
      </c>
      <c r="F43" s="187" t="s">
        <v>93</v>
      </c>
      <c r="G43" s="260" t="s">
        <v>92</v>
      </c>
      <c r="H43" s="187" t="s">
        <v>91</v>
      </c>
    </row>
    <row r="44" spans="4:16" ht="15" customHeight="1" x14ac:dyDescent="0.25">
      <c r="D44" s="79" t="s">
        <v>83</v>
      </c>
      <c r="E44" s="79" t="s">
        <v>225</v>
      </c>
      <c r="F44" s="185" t="s">
        <v>95</v>
      </c>
      <c r="G44" s="261" t="s">
        <v>94</v>
      </c>
      <c r="H44" s="185" t="s">
        <v>91</v>
      </c>
    </row>
    <row r="45" spans="4:16" ht="15" customHeight="1" x14ac:dyDescent="0.25">
      <c r="D45" s="79" t="s">
        <v>83</v>
      </c>
      <c r="E45" s="79" t="s">
        <v>225</v>
      </c>
      <c r="F45" s="187" t="s">
        <v>97</v>
      </c>
      <c r="G45" s="260" t="s">
        <v>96</v>
      </c>
      <c r="H45" s="187" t="s">
        <v>91</v>
      </c>
    </row>
    <row r="46" spans="4:16" ht="15" customHeight="1" x14ac:dyDescent="0.25">
      <c r="D46" s="79" t="s">
        <v>83</v>
      </c>
      <c r="E46" s="79" t="s">
        <v>225</v>
      </c>
      <c r="F46" s="186" t="s">
        <v>99</v>
      </c>
      <c r="G46" s="257" t="s">
        <v>98</v>
      </c>
      <c r="H46" s="186" t="s">
        <v>91</v>
      </c>
    </row>
    <row r="47" spans="4:16" ht="15" customHeight="1" thickBot="1" x14ac:dyDescent="0.3">
      <c r="D47" s="109" t="s">
        <v>83</v>
      </c>
      <c r="E47" s="109" t="s">
        <v>225</v>
      </c>
      <c r="F47" s="223" t="s">
        <v>25</v>
      </c>
      <c r="G47" s="262" t="s">
        <v>100</v>
      </c>
      <c r="H47" s="223" t="s">
        <v>101</v>
      </c>
    </row>
    <row r="48" spans="4:16" ht="15" customHeight="1" x14ac:dyDescent="0.25">
      <c r="D48" s="81" t="s">
        <v>83</v>
      </c>
      <c r="E48" s="110" t="s">
        <v>223</v>
      </c>
      <c r="F48" s="225" t="s">
        <v>103</v>
      </c>
      <c r="G48" s="263" t="s">
        <v>102</v>
      </c>
      <c r="H48" s="226" t="s">
        <v>85</v>
      </c>
    </row>
    <row r="49" spans="4:8" ht="15" customHeight="1" x14ac:dyDescent="0.25">
      <c r="D49" s="83" t="s">
        <v>83</v>
      </c>
      <c r="E49" s="80" t="s">
        <v>223</v>
      </c>
      <c r="F49" s="79" t="s">
        <v>105</v>
      </c>
      <c r="G49" s="264" t="s">
        <v>104</v>
      </c>
      <c r="H49" s="227" t="s">
        <v>85</v>
      </c>
    </row>
    <row r="50" spans="4:8" ht="15" customHeight="1" thickBot="1" x14ac:dyDescent="0.3">
      <c r="D50" s="84" t="s">
        <v>83</v>
      </c>
      <c r="E50" s="85" t="s">
        <v>223</v>
      </c>
      <c r="F50" s="228" t="s">
        <v>107</v>
      </c>
      <c r="G50" s="265" t="s">
        <v>106</v>
      </c>
      <c r="H50" s="229" t="s">
        <v>85</v>
      </c>
    </row>
    <row r="51" spans="4:8" ht="15" customHeight="1" x14ac:dyDescent="0.25">
      <c r="D51" s="75" t="s">
        <v>108</v>
      </c>
      <c r="E51" s="75" t="s">
        <v>108</v>
      </c>
      <c r="F51" s="224" t="s">
        <v>110</v>
      </c>
      <c r="G51" s="266" t="s">
        <v>109</v>
      </c>
      <c r="H51" s="224" t="s">
        <v>307</v>
      </c>
    </row>
    <row r="52" spans="4:8" ht="15" customHeight="1" x14ac:dyDescent="0.25">
      <c r="D52" s="78" t="s">
        <v>108</v>
      </c>
      <c r="E52" s="78" t="s">
        <v>108</v>
      </c>
      <c r="F52" s="189" t="s">
        <v>112</v>
      </c>
      <c r="G52" s="267" t="s">
        <v>111</v>
      </c>
      <c r="H52" s="189" t="s">
        <v>307</v>
      </c>
    </row>
    <row r="53" spans="4:8" ht="15" customHeight="1" x14ac:dyDescent="0.25">
      <c r="D53" s="78" t="s">
        <v>108</v>
      </c>
      <c r="E53" s="78" t="s">
        <v>108</v>
      </c>
      <c r="F53" s="188" t="s">
        <v>114</v>
      </c>
      <c r="G53" s="268" t="s">
        <v>113</v>
      </c>
      <c r="H53" s="188" t="s">
        <v>292</v>
      </c>
    </row>
    <row r="54" spans="4:8" ht="15" customHeight="1" x14ac:dyDescent="0.25">
      <c r="D54" s="78" t="s">
        <v>108</v>
      </c>
      <c r="E54" s="78" t="s">
        <v>108</v>
      </c>
      <c r="F54" s="188" t="s">
        <v>229</v>
      </c>
      <c r="G54" s="268" t="s">
        <v>115</v>
      </c>
      <c r="H54" s="188" t="s">
        <v>116</v>
      </c>
    </row>
    <row r="55" spans="4:8" ht="15" customHeight="1" x14ac:dyDescent="0.25">
      <c r="D55" s="78" t="s">
        <v>108</v>
      </c>
      <c r="E55" s="78" t="s">
        <v>108</v>
      </c>
      <c r="F55" s="189" t="s">
        <v>118</v>
      </c>
      <c r="G55" s="267" t="s">
        <v>117</v>
      </c>
      <c r="H55" s="189" t="s">
        <v>119</v>
      </c>
    </row>
    <row r="56" spans="4:8" ht="15" customHeight="1" thickBot="1" x14ac:dyDescent="0.3">
      <c r="D56" s="74" t="s">
        <v>108</v>
      </c>
      <c r="E56" s="74" t="s">
        <v>108</v>
      </c>
      <c r="F56" s="230" t="s">
        <v>121</v>
      </c>
      <c r="G56" s="269" t="s">
        <v>120</v>
      </c>
      <c r="H56" s="230" t="s">
        <v>49</v>
      </c>
    </row>
    <row r="57" spans="4:8" ht="15" customHeight="1" x14ac:dyDescent="0.25">
      <c r="D57" s="92" t="s">
        <v>122</v>
      </c>
      <c r="E57" s="93" t="s">
        <v>224</v>
      </c>
      <c r="F57" s="232" t="s">
        <v>228</v>
      </c>
      <c r="G57" s="270" t="s">
        <v>123</v>
      </c>
      <c r="H57" s="233" t="s">
        <v>308</v>
      </c>
    </row>
    <row r="58" spans="4:8" ht="15" customHeight="1" thickBot="1" x14ac:dyDescent="0.3">
      <c r="D58" s="94" t="s">
        <v>122</v>
      </c>
      <c r="E58" s="95" t="s">
        <v>224</v>
      </c>
      <c r="F58" s="234" t="s">
        <v>126</v>
      </c>
      <c r="G58" s="271" t="s">
        <v>125</v>
      </c>
      <c r="H58" s="235" t="s">
        <v>309</v>
      </c>
    </row>
    <row r="59" spans="4:8" ht="15" customHeight="1" x14ac:dyDescent="0.25">
      <c r="D59" s="77" t="s">
        <v>122</v>
      </c>
      <c r="E59" s="77" t="s">
        <v>226</v>
      </c>
      <c r="F59" s="231" t="s">
        <v>231</v>
      </c>
      <c r="G59" s="272" t="s">
        <v>127</v>
      </c>
      <c r="H59" s="231" t="s">
        <v>299</v>
      </c>
    </row>
    <row r="60" spans="4:8" ht="15" customHeight="1" x14ac:dyDescent="0.25">
      <c r="D60" s="91" t="s">
        <v>122</v>
      </c>
      <c r="E60" s="91" t="s">
        <v>226</v>
      </c>
      <c r="F60" s="191" t="s">
        <v>230</v>
      </c>
      <c r="G60" s="273" t="s">
        <v>129</v>
      </c>
      <c r="H60" s="191" t="s">
        <v>299</v>
      </c>
    </row>
    <row r="61" spans="4:8" ht="15" customHeight="1" x14ac:dyDescent="0.25">
      <c r="D61" s="91" t="s">
        <v>122</v>
      </c>
      <c r="E61" s="91" t="s">
        <v>226</v>
      </c>
      <c r="F61" s="190" t="s">
        <v>132</v>
      </c>
      <c r="G61" s="274" t="s">
        <v>131</v>
      </c>
      <c r="H61" s="190" t="s">
        <v>299</v>
      </c>
    </row>
    <row r="62" spans="4:8" ht="15" customHeight="1" x14ac:dyDescent="0.25">
      <c r="D62" s="91" t="s">
        <v>122</v>
      </c>
      <c r="E62" s="91" t="s">
        <v>226</v>
      </c>
      <c r="F62" s="191" t="s">
        <v>134</v>
      </c>
      <c r="G62" s="273" t="s">
        <v>133</v>
      </c>
      <c r="H62" s="191" t="s">
        <v>299</v>
      </c>
    </row>
    <row r="63" spans="4:8" ht="15" customHeight="1" x14ac:dyDescent="0.25">
      <c r="D63" s="91" t="s">
        <v>122</v>
      </c>
      <c r="E63" s="91" t="s">
        <v>226</v>
      </c>
      <c r="F63" s="192" t="s">
        <v>233</v>
      </c>
      <c r="G63" s="275" t="s">
        <v>135</v>
      </c>
      <c r="H63" s="192" t="s">
        <v>91</v>
      </c>
    </row>
    <row r="64" spans="4:8" ht="15" customHeight="1" x14ac:dyDescent="0.25">
      <c r="D64" s="91" t="s">
        <v>122</v>
      </c>
      <c r="E64" s="91" t="s">
        <v>226</v>
      </c>
      <c r="F64" s="193" t="s">
        <v>137</v>
      </c>
      <c r="G64" s="276" t="s">
        <v>136</v>
      </c>
      <c r="H64" s="193" t="s">
        <v>138</v>
      </c>
    </row>
    <row r="65" spans="4:8" ht="15" customHeight="1" thickBot="1" x14ac:dyDescent="0.3">
      <c r="D65" s="76" t="s">
        <v>122</v>
      </c>
      <c r="E65" s="76" t="s">
        <v>226</v>
      </c>
      <c r="F65" s="236" t="s">
        <v>140</v>
      </c>
      <c r="G65" s="277" t="s">
        <v>139</v>
      </c>
      <c r="H65" s="236" t="s">
        <v>138</v>
      </c>
    </row>
    <row r="66" spans="4:8" ht="15" customHeight="1" x14ac:dyDescent="0.25">
      <c r="D66" s="92" t="s">
        <v>122</v>
      </c>
      <c r="E66" s="93" t="s">
        <v>227</v>
      </c>
      <c r="F66" s="232" t="s">
        <v>168</v>
      </c>
      <c r="G66" s="270" t="s">
        <v>141</v>
      </c>
      <c r="H66" s="233" t="s">
        <v>6</v>
      </c>
    </row>
    <row r="67" spans="4:8" ht="15" customHeight="1" thickBot="1" x14ac:dyDescent="0.3">
      <c r="D67" s="94" t="s">
        <v>122</v>
      </c>
      <c r="E67" s="95" t="s">
        <v>227</v>
      </c>
      <c r="F67" s="237" t="s">
        <v>232</v>
      </c>
      <c r="G67" s="278" t="s">
        <v>142</v>
      </c>
      <c r="H67" s="238" t="s">
        <v>143</v>
      </c>
    </row>
    <row r="68" spans="4:8" ht="15" customHeight="1" x14ac:dyDescent="0.25"/>
    <row r="69" spans="4:8" ht="15" customHeight="1" x14ac:dyDescent="0.25"/>
    <row r="70" spans="4:8" ht="15" customHeight="1" x14ac:dyDescent="0.25"/>
    <row r="71" spans="4:8" ht="15" customHeight="1" x14ac:dyDescent="0.25"/>
    <row r="72" spans="4:8" ht="15" customHeight="1" x14ac:dyDescent="0.25"/>
    <row r="73" spans="4:8" ht="15" customHeight="1" x14ac:dyDescent="0.25"/>
    <row r="74" spans="4:8" ht="15" customHeight="1" x14ac:dyDescent="0.25"/>
    <row r="75" spans="4:8" ht="15" customHeight="1" x14ac:dyDescent="0.25"/>
    <row r="76" spans="4:8" ht="15" customHeight="1" x14ac:dyDescent="0.25"/>
    <row r="77" spans="4:8" ht="15" customHeight="1" x14ac:dyDescent="0.25"/>
    <row r="78" spans="4:8" ht="15" customHeight="1" x14ac:dyDescent="0.25"/>
    <row r="79" spans="4:8" ht="15" customHeight="1" x14ac:dyDescent="0.25"/>
    <row r="80" spans="4:8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24" ht="15" customHeight="1" x14ac:dyDescent="0.25"/>
  </sheetData>
  <pageMargins left="0.7" right="0.7" top="0.75" bottom="0.75" header="0.3" footer="0.3"/>
  <pageSetup orientation="portrait" horizontalDpi="4294967293" verticalDpi="4294967293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W77"/>
  <sheetViews>
    <sheetView zoomScale="70" zoomScaleNormal="70" workbookViewId="0">
      <pane ySplit="1" topLeftCell="A26" activePane="bottomLeft" state="frozen"/>
      <selection pane="bottomLeft" activeCell="A39" sqref="A39:W39"/>
    </sheetView>
  </sheetViews>
  <sheetFormatPr baseColWidth="10" defaultRowHeight="15" x14ac:dyDescent="0.25"/>
  <cols>
    <col min="1" max="1" width="37.7109375" customWidth="1"/>
    <col min="2" max="2" width="20.7109375" customWidth="1"/>
    <col min="3" max="3" width="14.85546875" hidden="1" customWidth="1"/>
    <col min="4" max="4" width="17.85546875" style="16" customWidth="1"/>
    <col min="5" max="5" width="18.7109375" customWidth="1"/>
    <col min="6" max="6" width="13.7109375" customWidth="1"/>
    <col min="7" max="7" width="13.5703125" customWidth="1"/>
    <col min="8" max="8" width="9.85546875" customWidth="1"/>
    <col min="9" max="9" width="13.85546875" customWidth="1"/>
    <col min="10" max="10" width="12.140625" customWidth="1"/>
    <col min="11" max="11" width="14.42578125" customWidth="1"/>
    <col min="12" max="12" width="15.7109375" customWidth="1"/>
    <col min="13" max="13" width="12.85546875" customWidth="1"/>
    <col min="14" max="14" width="13.85546875" customWidth="1"/>
    <col min="15" max="15" width="11" customWidth="1"/>
    <col min="16" max="16" width="13.140625" customWidth="1"/>
    <col min="17" max="17" width="13.28515625" customWidth="1"/>
    <col min="18" max="18" width="13.5703125" customWidth="1"/>
    <col min="19" max="19" width="16.42578125" customWidth="1"/>
    <col min="20" max="20" width="11.140625" customWidth="1"/>
    <col min="21" max="21" width="16" customWidth="1"/>
    <col min="22" max="22" width="14.7109375" customWidth="1"/>
    <col min="23" max="23" width="15.85546875" customWidth="1"/>
    <col min="24" max="24" width="6" customWidth="1"/>
    <col min="25" max="25" width="10.140625" hidden="1" customWidth="1"/>
    <col min="26" max="26" width="0" hidden="1" customWidth="1"/>
    <col min="28" max="28" width="14.7109375" customWidth="1"/>
  </cols>
  <sheetData>
    <row r="1" spans="1:49" ht="35.25" customHeight="1" thickBot="1" x14ac:dyDescent="0.3">
      <c r="A1" s="17" t="s">
        <v>144</v>
      </c>
      <c r="B1" s="17" t="s">
        <v>145</v>
      </c>
      <c r="C1" s="17" t="s">
        <v>146</v>
      </c>
      <c r="D1" s="17" t="s">
        <v>147</v>
      </c>
      <c r="E1" s="17" t="s">
        <v>148</v>
      </c>
      <c r="F1" s="17" t="s">
        <v>149</v>
      </c>
      <c r="G1" s="17" t="s">
        <v>150</v>
      </c>
      <c r="H1" s="17" t="s">
        <v>151</v>
      </c>
      <c r="I1" s="17" t="s">
        <v>152</v>
      </c>
      <c r="J1" s="17" t="s">
        <v>153</v>
      </c>
      <c r="K1" s="17" t="s">
        <v>154</v>
      </c>
      <c r="L1" s="17" t="s">
        <v>155</v>
      </c>
      <c r="M1" s="17" t="s">
        <v>156</v>
      </c>
      <c r="N1" s="17" t="s">
        <v>157</v>
      </c>
      <c r="O1" s="17" t="s">
        <v>158</v>
      </c>
      <c r="P1" s="17" t="s">
        <v>159</v>
      </c>
      <c r="Q1" s="17" t="s">
        <v>160</v>
      </c>
      <c r="R1" s="17" t="s">
        <v>161</v>
      </c>
      <c r="S1" s="17" t="s">
        <v>162</v>
      </c>
      <c r="T1" s="17" t="s">
        <v>163</v>
      </c>
      <c r="U1" s="18" t="s">
        <v>164</v>
      </c>
      <c r="V1" s="18" t="s">
        <v>165</v>
      </c>
      <c r="W1" s="18" t="s">
        <v>166</v>
      </c>
      <c r="X1" s="19"/>
      <c r="AA1" s="65" t="s">
        <v>192</v>
      </c>
      <c r="AB1" s="65" t="s">
        <v>193</v>
      </c>
      <c r="AC1" s="65" t="s">
        <v>194</v>
      </c>
      <c r="AD1" s="65" t="s">
        <v>195</v>
      </c>
      <c r="AE1" s="65" t="s">
        <v>196</v>
      </c>
      <c r="AF1" s="65" t="s">
        <v>197</v>
      </c>
      <c r="AG1" s="65" t="s">
        <v>198</v>
      </c>
      <c r="AH1" s="65" t="s">
        <v>199</v>
      </c>
      <c r="AI1" s="65" t="s">
        <v>200</v>
      </c>
      <c r="AJ1" s="65" t="s">
        <v>201</v>
      </c>
      <c r="AK1" s="65" t="s">
        <v>202</v>
      </c>
      <c r="AL1" s="65" t="s">
        <v>203</v>
      </c>
      <c r="AM1" s="65" t="s">
        <v>204</v>
      </c>
      <c r="AN1" s="65" t="s">
        <v>205</v>
      </c>
      <c r="AO1" s="65" t="s">
        <v>206</v>
      </c>
      <c r="AP1" s="65" t="s">
        <v>207</v>
      </c>
      <c r="AQ1" s="65" t="s">
        <v>208</v>
      </c>
      <c r="AR1" s="65" t="s">
        <v>209</v>
      </c>
      <c r="AS1" s="65" t="s">
        <v>210</v>
      </c>
      <c r="AT1" s="65" t="s">
        <v>211</v>
      </c>
      <c r="AU1" s="65" t="s">
        <v>212</v>
      </c>
      <c r="AV1" s="65" t="s">
        <v>213</v>
      </c>
      <c r="AW1" s="65" t="s">
        <v>214</v>
      </c>
    </row>
    <row r="2" spans="1:49" ht="33.75" customHeight="1" thickBot="1" x14ac:dyDescent="0.55000000000000004">
      <c r="A2" s="515" t="s">
        <v>167</v>
      </c>
      <c r="B2" s="516"/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AA2" s="502" t="s">
        <v>215</v>
      </c>
      <c r="AB2" s="503"/>
      <c r="AC2" s="503"/>
      <c r="AD2" s="503"/>
      <c r="AE2" s="503"/>
      <c r="AF2" s="503"/>
      <c r="AG2" s="503"/>
      <c r="AH2" s="503"/>
      <c r="AI2" s="503"/>
      <c r="AJ2" s="503"/>
      <c r="AK2" s="503"/>
      <c r="AL2" s="503"/>
      <c r="AM2" s="503"/>
      <c r="AN2" s="503"/>
      <c r="AO2" s="503"/>
      <c r="AP2" s="503"/>
      <c r="AQ2" s="503"/>
      <c r="AR2" s="503"/>
      <c r="AS2" s="503"/>
      <c r="AT2" s="503"/>
      <c r="AU2" s="503"/>
      <c r="AV2" s="503"/>
      <c r="AW2" s="512"/>
    </row>
    <row r="3" spans="1:49" ht="15" customHeight="1" thickBot="1" x14ac:dyDescent="0.3">
      <c r="A3" s="517" t="s">
        <v>3</v>
      </c>
      <c r="B3" s="518"/>
      <c r="C3" s="518"/>
      <c r="D3" s="518"/>
      <c r="E3" s="518"/>
      <c r="F3" s="518"/>
      <c r="G3" s="518"/>
      <c r="H3" s="518"/>
      <c r="I3" s="518"/>
      <c r="J3" s="518"/>
      <c r="K3" s="518"/>
      <c r="L3" s="518"/>
      <c r="M3" s="518"/>
      <c r="N3" s="518"/>
      <c r="O3" s="518"/>
      <c r="P3" s="518"/>
      <c r="Q3" s="518"/>
      <c r="R3" s="518"/>
      <c r="S3" s="518"/>
      <c r="T3" s="518"/>
      <c r="U3" s="519"/>
      <c r="V3" s="519"/>
      <c r="W3" s="520"/>
      <c r="AA3" s="66" t="s">
        <v>110</v>
      </c>
      <c r="AB3" s="67" t="s">
        <v>109</v>
      </c>
      <c r="AC3" s="22"/>
      <c r="AD3" s="130" t="str">
        <f>+AB3</f>
        <v>BAG SUB 01</v>
      </c>
      <c r="AE3" s="22" t="str">
        <f>+AB3</f>
        <v>BAG SUB 01</v>
      </c>
      <c r="AF3" s="22" t="str">
        <f>+AB3</f>
        <v>BAG SUB 01</v>
      </c>
      <c r="AG3" s="1"/>
      <c r="AH3" s="1"/>
      <c r="AI3" s="22"/>
      <c r="AJ3" s="1"/>
      <c r="AK3" s="1"/>
      <c r="AL3" s="22"/>
      <c r="AM3" s="1"/>
      <c r="AN3" s="1"/>
      <c r="AO3" s="22"/>
      <c r="AP3" s="22"/>
      <c r="AQ3" s="22"/>
      <c r="AR3" s="22"/>
      <c r="AS3" s="1"/>
      <c r="AT3" s="1"/>
      <c r="AU3" s="22"/>
      <c r="AV3" s="22"/>
      <c r="AW3" s="9"/>
    </row>
    <row r="4" spans="1:49" x14ac:dyDescent="0.25">
      <c r="A4" s="20" t="s">
        <v>5</v>
      </c>
      <c r="B4" s="21" t="s">
        <v>4</v>
      </c>
      <c r="C4" s="22"/>
      <c r="D4" s="5"/>
      <c r="E4" s="22" t="str">
        <f>+B4</f>
        <v>DJT SUB 01</v>
      </c>
      <c r="F4" s="1"/>
      <c r="G4" s="1"/>
      <c r="H4" s="22"/>
      <c r="I4" s="23"/>
      <c r="J4" s="22" t="str">
        <f>+B4</f>
        <v>DJT SUB 01</v>
      </c>
      <c r="K4" s="1"/>
      <c r="L4" s="1"/>
      <c r="M4" s="1"/>
      <c r="N4" s="1"/>
      <c r="O4" s="1"/>
      <c r="P4" s="1"/>
      <c r="Q4" s="1"/>
      <c r="R4" s="1"/>
      <c r="S4" s="1"/>
      <c r="T4" s="8"/>
      <c r="U4" s="24"/>
      <c r="V4" s="25"/>
      <c r="W4" s="26"/>
      <c r="AA4" s="59" t="s">
        <v>112</v>
      </c>
      <c r="AB4" s="68" t="s">
        <v>111</v>
      </c>
      <c r="AC4" s="29"/>
      <c r="AD4" s="128" t="str">
        <f>+AB4</f>
        <v>BCK SUB 01</v>
      </c>
      <c r="AE4" s="3"/>
      <c r="AF4" s="22" t="str">
        <f>+AB4</f>
        <v>BCK SUB 01</v>
      </c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3"/>
      <c r="AR4" s="29"/>
      <c r="AS4" s="3"/>
      <c r="AT4" s="29"/>
      <c r="AU4" s="29"/>
      <c r="AV4" s="29"/>
      <c r="AW4" s="11"/>
    </row>
    <row r="5" spans="1:49" x14ac:dyDescent="0.25">
      <c r="A5" s="27" t="s">
        <v>7</v>
      </c>
      <c r="B5" s="28" t="s">
        <v>414</v>
      </c>
      <c r="C5" s="29"/>
      <c r="D5" s="125"/>
      <c r="E5" s="22" t="str">
        <f>+B5</f>
        <v>VAR SUB</v>
      </c>
      <c r="F5" s="30"/>
      <c r="G5" s="30"/>
      <c r="H5" s="29"/>
      <c r="I5" s="30"/>
      <c r="J5" s="22" t="str">
        <f t="shared" ref="J5:J6" si="0">+B5</f>
        <v>VAR SUB</v>
      </c>
      <c r="K5" s="3"/>
      <c r="L5" s="29"/>
      <c r="M5" s="29"/>
      <c r="N5" s="29"/>
      <c r="O5" s="3"/>
      <c r="P5" s="3"/>
      <c r="Q5" s="3"/>
      <c r="R5" s="3"/>
      <c r="S5" s="3"/>
      <c r="T5" s="10"/>
      <c r="U5" s="31"/>
      <c r="V5" s="29"/>
      <c r="W5" s="32"/>
      <c r="AA5" s="59" t="s">
        <v>114</v>
      </c>
      <c r="AB5" s="68" t="s">
        <v>113</v>
      </c>
      <c r="AC5" s="29"/>
      <c r="AD5" s="147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11"/>
    </row>
    <row r="6" spans="1:49" x14ac:dyDescent="0.25">
      <c r="A6" s="27" t="s">
        <v>10</v>
      </c>
      <c r="B6" s="33" t="s">
        <v>9</v>
      </c>
      <c r="C6" s="29"/>
      <c r="D6" s="125"/>
      <c r="E6" s="22" t="str">
        <f t="shared" ref="E5:E7" si="1">+B6</f>
        <v>BJT SUB 01</v>
      </c>
      <c r="F6" s="29" t="str">
        <f>+B6</f>
        <v>BJT SUB 01</v>
      </c>
      <c r="G6" s="30"/>
      <c r="H6" s="29"/>
      <c r="I6" s="3"/>
      <c r="J6" s="22" t="str">
        <f t="shared" si="0"/>
        <v>BJT SUB 01</v>
      </c>
      <c r="K6" s="3"/>
      <c r="L6" s="29"/>
      <c r="M6" s="29"/>
      <c r="N6" s="29"/>
      <c r="O6" s="3"/>
      <c r="P6" s="3"/>
      <c r="Q6" s="3"/>
      <c r="R6" s="3"/>
      <c r="S6" s="3"/>
      <c r="T6" s="10"/>
      <c r="U6" s="31"/>
      <c r="V6" s="29"/>
      <c r="W6" s="32"/>
      <c r="AA6" s="59" t="s">
        <v>216</v>
      </c>
      <c r="AB6" s="68" t="s">
        <v>115</v>
      </c>
      <c r="AC6" s="29"/>
      <c r="AD6" s="147"/>
      <c r="AE6" s="3"/>
      <c r="AF6" s="30"/>
      <c r="AG6" s="3"/>
      <c r="AH6" s="3"/>
      <c r="AI6" s="30"/>
      <c r="AJ6" s="3"/>
      <c r="AK6" s="3"/>
      <c r="AL6" s="3"/>
      <c r="AM6" s="3"/>
      <c r="AN6" s="3"/>
      <c r="AO6" s="3"/>
      <c r="AP6" s="29"/>
      <c r="AQ6" s="3"/>
      <c r="AR6" s="3"/>
      <c r="AS6" s="29"/>
      <c r="AT6" s="29"/>
      <c r="AU6" s="3"/>
      <c r="AV6" s="3"/>
      <c r="AW6" s="32"/>
    </row>
    <row r="7" spans="1:49" ht="15.75" thickBot="1" x14ac:dyDescent="0.3">
      <c r="A7" s="34" t="s">
        <v>12</v>
      </c>
      <c r="B7" s="35" t="s">
        <v>11</v>
      </c>
      <c r="C7" s="36"/>
      <c r="D7" s="126"/>
      <c r="E7" s="22" t="str">
        <f t="shared" si="1"/>
        <v>HUN SUB</v>
      </c>
      <c r="F7" s="4"/>
      <c r="G7" s="4"/>
      <c r="H7" s="37"/>
      <c r="I7" s="4"/>
      <c r="J7" s="4"/>
      <c r="K7" s="4"/>
      <c r="L7" s="37"/>
      <c r="M7" s="37"/>
      <c r="N7" s="4"/>
      <c r="O7" s="4"/>
      <c r="P7" s="37"/>
      <c r="Q7" s="4"/>
      <c r="R7" s="4"/>
      <c r="S7" s="4"/>
      <c r="T7" s="38"/>
      <c r="U7" s="39"/>
      <c r="V7" s="40"/>
      <c r="W7" s="41"/>
      <c r="AA7" s="59" t="s">
        <v>118</v>
      </c>
      <c r="AB7" s="68" t="s">
        <v>117</v>
      </c>
      <c r="AC7" s="29"/>
      <c r="AD7" s="147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11"/>
    </row>
    <row r="8" spans="1:49" ht="15" customHeight="1" thickBot="1" x14ac:dyDescent="0.3">
      <c r="A8" s="517" t="s">
        <v>13</v>
      </c>
      <c r="B8" s="518"/>
      <c r="C8" s="518"/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  <c r="S8" s="518"/>
      <c r="T8" s="518"/>
      <c r="U8" s="521"/>
      <c r="V8" s="521"/>
      <c r="W8" s="522"/>
      <c r="AA8" s="69" t="s">
        <v>121</v>
      </c>
      <c r="AB8" s="70" t="s">
        <v>120</v>
      </c>
      <c r="AC8" s="40"/>
      <c r="AD8" s="13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4"/>
    </row>
    <row r="9" spans="1:49" x14ac:dyDescent="0.25">
      <c r="A9" s="20" t="s">
        <v>15</v>
      </c>
      <c r="B9" s="42" t="s">
        <v>14</v>
      </c>
      <c r="C9" s="43"/>
      <c r="D9" s="5"/>
      <c r="E9" s="1"/>
      <c r="F9" s="1"/>
      <c r="G9" s="1"/>
      <c r="H9" s="22"/>
      <c r="I9" s="22" t="str">
        <f>+B9</f>
        <v>STA SUB 01</v>
      </c>
      <c r="J9" s="22" t="str">
        <f>+B9</f>
        <v>STA SUB 01</v>
      </c>
      <c r="K9" s="22"/>
      <c r="L9" s="1"/>
      <c r="M9" s="1"/>
      <c r="N9" s="1"/>
      <c r="O9" s="1"/>
      <c r="P9" s="1"/>
      <c r="Q9" s="1"/>
      <c r="R9" s="1"/>
      <c r="S9" s="1"/>
      <c r="T9" s="8"/>
      <c r="U9" s="24"/>
      <c r="V9" s="7"/>
      <c r="W9" s="26"/>
    </row>
    <row r="10" spans="1:49" x14ac:dyDescent="0.25">
      <c r="A10" s="27" t="s">
        <v>17</v>
      </c>
      <c r="B10" s="33" t="s">
        <v>16</v>
      </c>
      <c r="C10" s="44"/>
      <c r="D10" s="127"/>
      <c r="E10" s="3"/>
      <c r="F10" s="3"/>
      <c r="G10" s="3"/>
      <c r="H10" s="29"/>
      <c r="I10" s="3"/>
      <c r="J10" s="22" t="str">
        <f>+B10</f>
        <v>COB SUPP</v>
      </c>
      <c r="K10" s="3"/>
      <c r="L10" s="3"/>
      <c r="M10" s="3"/>
      <c r="N10" s="3"/>
      <c r="O10" s="3"/>
      <c r="P10" s="3"/>
      <c r="Q10" s="3"/>
      <c r="R10" s="3"/>
      <c r="S10" s="3"/>
      <c r="T10" s="10"/>
      <c r="U10" s="31"/>
      <c r="V10" s="3"/>
      <c r="W10" s="32"/>
    </row>
    <row r="11" spans="1:49" x14ac:dyDescent="0.25">
      <c r="A11" s="27" t="s">
        <v>99</v>
      </c>
      <c r="B11" s="33" t="s">
        <v>18</v>
      </c>
      <c r="C11" s="29"/>
      <c r="D11" s="125"/>
      <c r="E11" s="3"/>
      <c r="F11" s="3"/>
      <c r="G11" s="3"/>
      <c r="H11" s="29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10"/>
      <c r="U11" s="31"/>
      <c r="V11" s="3"/>
      <c r="W11" s="32"/>
    </row>
    <row r="12" spans="1:49" x14ac:dyDescent="0.25">
      <c r="A12" s="27" t="s">
        <v>21</v>
      </c>
      <c r="B12" s="33" t="s">
        <v>20</v>
      </c>
      <c r="C12" s="29"/>
      <c r="D12" s="125"/>
      <c r="E12" s="3"/>
      <c r="F12" s="3"/>
      <c r="G12" s="3"/>
      <c r="H12" s="29"/>
      <c r="I12" s="29" t="str">
        <f>+B12</f>
        <v>HSC SUB 01</v>
      </c>
      <c r="J12" s="29" t="str">
        <f>+B12</f>
        <v>HSC SUB 01</v>
      </c>
      <c r="K12" s="29"/>
      <c r="L12" s="3"/>
      <c r="M12" s="3"/>
      <c r="N12" s="3"/>
      <c r="O12" s="29"/>
      <c r="P12" s="3"/>
      <c r="Q12" s="3"/>
      <c r="R12" s="3"/>
      <c r="S12" s="3"/>
      <c r="T12" s="10"/>
      <c r="U12" s="31"/>
      <c r="V12" s="3"/>
      <c r="W12" s="32"/>
    </row>
    <row r="13" spans="1:49" x14ac:dyDescent="0.25">
      <c r="A13" s="27" t="s">
        <v>23</v>
      </c>
      <c r="B13" s="33" t="s">
        <v>22</v>
      </c>
      <c r="C13" s="29"/>
      <c r="D13" s="125"/>
      <c r="E13" s="3"/>
      <c r="F13" s="3"/>
      <c r="G13" s="3"/>
      <c r="H13" s="29"/>
      <c r="I13" s="3"/>
      <c r="J13" s="3"/>
      <c r="K13" s="3"/>
      <c r="L13" s="3"/>
      <c r="M13" s="3"/>
      <c r="N13" s="3"/>
      <c r="O13" s="29"/>
      <c r="P13" s="3"/>
      <c r="Q13" s="3"/>
      <c r="R13" s="3"/>
      <c r="S13" s="3"/>
      <c r="T13" s="10"/>
      <c r="U13" s="31"/>
      <c r="V13" s="3"/>
      <c r="W13" s="32"/>
    </row>
    <row r="14" spans="1:49" x14ac:dyDescent="0.25">
      <c r="A14" s="27" t="s">
        <v>25</v>
      </c>
      <c r="B14" s="33" t="s">
        <v>24</v>
      </c>
      <c r="C14" s="29"/>
      <c r="D14" s="125"/>
      <c r="E14" s="3"/>
      <c r="F14" s="3"/>
      <c r="G14" s="3"/>
      <c r="H14" s="29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0"/>
      <c r="U14" s="31"/>
      <c r="V14" s="3"/>
      <c r="W14" s="32"/>
    </row>
    <row r="15" spans="1:49" x14ac:dyDescent="0.25">
      <c r="A15" s="27" t="s">
        <v>28</v>
      </c>
      <c r="B15" s="33" t="s">
        <v>27</v>
      </c>
      <c r="C15" s="29"/>
      <c r="D15" s="125"/>
      <c r="E15" s="3"/>
      <c r="F15" s="3"/>
      <c r="G15" s="3"/>
      <c r="H15" s="29"/>
      <c r="I15" s="3"/>
      <c r="J15" s="3"/>
      <c r="K15" s="3"/>
      <c r="L15" s="3"/>
      <c r="M15" s="3"/>
      <c r="N15" s="3"/>
      <c r="O15" s="3"/>
      <c r="P15" s="3"/>
      <c r="Q15" s="29"/>
      <c r="R15" s="3"/>
      <c r="S15" s="3"/>
      <c r="T15" s="10"/>
      <c r="U15" s="31"/>
      <c r="V15" s="3"/>
      <c r="W15" s="32"/>
    </row>
    <row r="16" spans="1:49" x14ac:dyDescent="0.25">
      <c r="A16" s="27" t="s">
        <v>31</v>
      </c>
      <c r="B16" s="33" t="s">
        <v>30</v>
      </c>
      <c r="C16" s="29"/>
      <c r="D16" s="125"/>
      <c r="E16" s="3"/>
      <c r="F16" s="3"/>
      <c r="G16" s="3"/>
      <c r="H16" s="29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10"/>
      <c r="U16" s="31"/>
      <c r="V16" s="3"/>
      <c r="W16" s="32"/>
    </row>
    <row r="17" spans="1:23" ht="15.75" thickBot="1" x14ac:dyDescent="0.3">
      <c r="A17" s="34" t="s">
        <v>33</v>
      </c>
      <c r="B17" s="35" t="s">
        <v>32</v>
      </c>
      <c r="C17" s="37"/>
      <c r="D17" s="126"/>
      <c r="E17" s="4"/>
      <c r="F17" s="4"/>
      <c r="G17" s="4"/>
      <c r="H17" s="37"/>
      <c r="I17" s="37" t="str">
        <f>+B17</f>
        <v>OPN SUB 01</v>
      </c>
      <c r="J17" s="37" t="str">
        <f>+B17</f>
        <v>OPN SUB 01</v>
      </c>
      <c r="K17" s="37"/>
      <c r="L17" s="4"/>
      <c r="M17" s="4"/>
      <c r="N17" s="4"/>
      <c r="O17" s="4"/>
      <c r="P17" s="4"/>
      <c r="Q17" s="4"/>
      <c r="R17" s="4"/>
      <c r="S17" s="4"/>
      <c r="T17" s="38"/>
      <c r="U17" s="39"/>
      <c r="V17" s="12"/>
      <c r="W17" s="41"/>
    </row>
    <row r="18" spans="1:23" ht="19.5" thickBot="1" x14ac:dyDescent="0.3">
      <c r="A18" s="517" t="s">
        <v>34</v>
      </c>
      <c r="B18" s="518"/>
      <c r="C18" s="518"/>
      <c r="D18" s="518"/>
      <c r="E18" s="518"/>
      <c r="F18" s="518"/>
      <c r="G18" s="518"/>
      <c r="H18" s="518"/>
      <c r="I18" s="518"/>
      <c r="J18" s="518"/>
      <c r="K18" s="518"/>
      <c r="L18" s="518"/>
      <c r="M18" s="518"/>
      <c r="N18" s="518"/>
      <c r="O18" s="518"/>
      <c r="P18" s="518"/>
      <c r="Q18" s="518"/>
      <c r="R18" s="518"/>
      <c r="S18" s="518"/>
      <c r="T18" s="518"/>
      <c r="U18" s="521"/>
      <c r="V18" s="521"/>
      <c r="W18" s="522"/>
    </row>
    <row r="19" spans="1:23" x14ac:dyDescent="0.25">
      <c r="A19" s="20" t="s">
        <v>36</v>
      </c>
      <c r="B19" s="21" t="s">
        <v>35</v>
      </c>
      <c r="C19" s="22"/>
      <c r="D19" s="5"/>
      <c r="E19" s="1"/>
      <c r="F19" s="1"/>
      <c r="G19" s="1"/>
      <c r="H19" s="2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8"/>
      <c r="U19" s="24"/>
      <c r="V19" s="7"/>
      <c r="W19" s="26"/>
    </row>
    <row r="20" spans="1:23" x14ac:dyDescent="0.25">
      <c r="A20" s="27" t="s">
        <v>38</v>
      </c>
      <c r="B20" s="33" t="s">
        <v>37</v>
      </c>
      <c r="C20" s="29"/>
      <c r="D20" s="125"/>
      <c r="E20" s="3"/>
      <c r="F20" s="3"/>
      <c r="G20" s="3"/>
      <c r="H20" s="29"/>
      <c r="I20" s="29" t="str">
        <f>+B20</f>
        <v>LEG SUB 03</v>
      </c>
      <c r="J20" s="3"/>
      <c r="K20" s="29"/>
      <c r="L20" s="3"/>
      <c r="M20" s="3"/>
      <c r="N20" s="3"/>
      <c r="O20" s="29"/>
      <c r="P20" s="3"/>
      <c r="Q20" s="3"/>
      <c r="R20" s="3"/>
      <c r="S20" s="3"/>
      <c r="T20" s="10"/>
      <c r="U20" s="31"/>
      <c r="V20" s="3"/>
      <c r="W20" s="32"/>
    </row>
    <row r="21" spans="1:23" x14ac:dyDescent="0.25">
      <c r="A21" s="27" t="s">
        <v>40</v>
      </c>
      <c r="B21" s="33" t="s">
        <v>39</v>
      </c>
      <c r="C21" s="29"/>
      <c r="D21" s="128" t="str">
        <f>+B21</f>
        <v>LEG SUB 02</v>
      </c>
      <c r="E21" s="3"/>
      <c r="F21" s="3"/>
      <c r="G21" s="3"/>
      <c r="H21" s="29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10"/>
      <c r="U21" s="31"/>
      <c r="V21" s="3"/>
      <c r="W21" s="32"/>
    </row>
    <row r="22" spans="1:23" x14ac:dyDescent="0.25">
      <c r="A22" s="27" t="s">
        <v>168</v>
      </c>
      <c r="B22" s="33" t="s">
        <v>141</v>
      </c>
      <c r="C22" s="29"/>
      <c r="D22" s="128" t="str">
        <f t="shared" ref="D22:D23" si="2">+B22</f>
        <v>LEG SUB 01</v>
      </c>
      <c r="E22" s="3"/>
      <c r="F22" s="3"/>
      <c r="G22" s="3"/>
      <c r="H22" s="29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0"/>
      <c r="U22" s="31"/>
      <c r="V22" s="3"/>
      <c r="W22" s="32"/>
    </row>
    <row r="23" spans="1:23" x14ac:dyDescent="0.25">
      <c r="A23" s="27" t="s">
        <v>42</v>
      </c>
      <c r="B23" s="33" t="s">
        <v>41</v>
      </c>
      <c r="C23" s="29"/>
      <c r="D23" s="128" t="str">
        <f t="shared" si="2"/>
        <v>COL SUPP</v>
      </c>
      <c r="E23" s="3"/>
      <c r="F23" s="3"/>
      <c r="G23" s="3"/>
      <c r="H23" s="29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10"/>
      <c r="U23" s="31"/>
      <c r="V23" s="3"/>
      <c r="W23" s="32"/>
    </row>
    <row r="24" spans="1:23" x14ac:dyDescent="0.25">
      <c r="A24" s="27" t="s">
        <v>44</v>
      </c>
      <c r="B24" s="33" t="s">
        <v>43</v>
      </c>
      <c r="C24" s="29"/>
      <c r="D24" s="125"/>
      <c r="E24" s="30"/>
      <c r="F24" s="29" t="str">
        <f>+B24</f>
        <v>JGR SUB 01</v>
      </c>
      <c r="G24" s="30"/>
      <c r="H24" s="29"/>
      <c r="I24" s="3"/>
      <c r="J24" s="3"/>
      <c r="K24" s="3"/>
      <c r="L24" s="3"/>
      <c r="M24" s="29"/>
      <c r="N24" s="3"/>
      <c r="O24" s="3"/>
      <c r="P24" s="29"/>
      <c r="Q24" s="3"/>
      <c r="R24" s="3"/>
      <c r="S24" s="3"/>
      <c r="T24" s="10"/>
      <c r="U24" s="31"/>
      <c r="V24" s="3"/>
      <c r="W24" s="32"/>
    </row>
    <row r="25" spans="1:23" x14ac:dyDescent="0.25">
      <c r="A25" s="27" t="s">
        <v>46</v>
      </c>
      <c r="B25" s="33" t="s">
        <v>45</v>
      </c>
      <c r="C25" s="29"/>
      <c r="D25" s="125"/>
      <c r="E25" s="3"/>
      <c r="F25" s="3"/>
      <c r="G25" s="3"/>
      <c r="H25" s="29"/>
      <c r="I25" s="29" t="str">
        <f>+B25</f>
        <v>CAP SUB 01</v>
      </c>
      <c r="J25" s="3"/>
      <c r="K25" s="29"/>
      <c r="L25" s="3"/>
      <c r="M25" s="3"/>
      <c r="N25" s="3"/>
      <c r="O25" s="29"/>
      <c r="P25" s="3"/>
      <c r="Q25" s="3"/>
      <c r="R25" s="3"/>
      <c r="S25" s="3"/>
      <c r="T25" s="10"/>
      <c r="U25" s="31"/>
      <c r="V25" s="3"/>
      <c r="W25" s="32"/>
    </row>
    <row r="26" spans="1:23" ht="15.75" thickBot="1" x14ac:dyDescent="0.3">
      <c r="A26" s="34" t="s">
        <v>48</v>
      </c>
      <c r="B26" s="35" t="s">
        <v>47</v>
      </c>
      <c r="C26" s="37"/>
      <c r="D26" s="126"/>
      <c r="E26" s="4"/>
      <c r="F26" s="4"/>
      <c r="G26" s="4"/>
      <c r="H26" s="37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38"/>
      <c r="U26" s="39"/>
      <c r="V26" s="12"/>
      <c r="W26" s="41"/>
    </row>
    <row r="27" spans="1:23" ht="19.5" thickBot="1" x14ac:dyDescent="0.3">
      <c r="A27" s="517" t="s">
        <v>50</v>
      </c>
      <c r="B27" s="518"/>
      <c r="C27" s="518"/>
      <c r="D27" s="518"/>
      <c r="E27" s="518"/>
      <c r="F27" s="518"/>
      <c r="G27" s="518"/>
      <c r="H27" s="518"/>
      <c r="I27" s="518"/>
      <c r="J27" s="518"/>
      <c r="K27" s="518"/>
      <c r="L27" s="518"/>
      <c r="M27" s="518"/>
      <c r="N27" s="518"/>
      <c r="O27" s="518"/>
      <c r="P27" s="518"/>
      <c r="Q27" s="518"/>
      <c r="R27" s="518"/>
      <c r="S27" s="518"/>
      <c r="T27" s="518"/>
      <c r="U27" s="521"/>
      <c r="V27" s="521"/>
      <c r="W27" s="522"/>
    </row>
    <row r="28" spans="1:23" x14ac:dyDescent="0.25">
      <c r="A28" s="20" t="s">
        <v>52</v>
      </c>
      <c r="B28" s="21" t="s">
        <v>51</v>
      </c>
      <c r="C28" s="22"/>
      <c r="D28" s="5"/>
      <c r="E28" s="1"/>
      <c r="F28" s="1"/>
      <c r="G28" s="1"/>
      <c r="H28" s="22"/>
      <c r="I28" s="22" t="str">
        <f>+B28</f>
        <v>SKO SUB 01</v>
      </c>
      <c r="J28" s="1"/>
      <c r="K28" s="22"/>
      <c r="L28" s="1"/>
      <c r="M28" s="1"/>
      <c r="N28" s="1"/>
      <c r="O28" s="22"/>
      <c r="P28" s="1"/>
      <c r="Q28" s="1"/>
      <c r="R28" s="1"/>
      <c r="S28" s="1"/>
      <c r="T28" s="8"/>
      <c r="U28" s="24"/>
      <c r="V28" s="7"/>
      <c r="W28" s="26"/>
    </row>
    <row r="29" spans="1:23" x14ac:dyDescent="0.25">
      <c r="A29" s="27" t="s">
        <v>54</v>
      </c>
      <c r="B29" s="33" t="s">
        <v>53</v>
      </c>
      <c r="C29" s="29"/>
      <c r="D29" s="128" t="str">
        <f>+B29</f>
        <v>CHE SUB 01</v>
      </c>
      <c r="E29" s="3"/>
      <c r="F29" s="3"/>
      <c r="G29" s="3"/>
      <c r="H29" s="29"/>
      <c r="I29" s="29" t="str">
        <f>+B29</f>
        <v>CHE SUB 01</v>
      </c>
      <c r="J29" s="3"/>
      <c r="K29" s="29"/>
      <c r="L29" s="3"/>
      <c r="M29" s="3"/>
      <c r="N29" s="3"/>
      <c r="O29" s="3"/>
      <c r="P29" s="3"/>
      <c r="Q29" s="3"/>
      <c r="R29" s="3"/>
      <c r="S29" s="3"/>
      <c r="T29" s="10"/>
      <c r="U29" s="31"/>
      <c r="V29" s="3"/>
      <c r="W29" s="32"/>
    </row>
    <row r="30" spans="1:23" ht="15.75" thickBot="1" x14ac:dyDescent="0.3">
      <c r="A30" s="34" t="s">
        <v>56</v>
      </c>
      <c r="B30" s="35" t="s">
        <v>55</v>
      </c>
      <c r="C30" s="37"/>
      <c r="D30" s="129" t="str">
        <f>+B30</f>
        <v>COS SUPP</v>
      </c>
      <c r="E30" s="4"/>
      <c r="F30" s="4"/>
      <c r="G30" s="4"/>
      <c r="H30" s="37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38"/>
      <c r="U30" s="39"/>
      <c r="V30" s="12"/>
      <c r="W30" s="41"/>
    </row>
    <row r="31" spans="1:23" ht="19.5" thickBot="1" x14ac:dyDescent="0.3">
      <c r="A31" s="517" t="s">
        <v>57</v>
      </c>
      <c r="B31" s="518"/>
      <c r="C31" s="518"/>
      <c r="D31" s="518"/>
      <c r="E31" s="518"/>
      <c r="F31" s="518"/>
      <c r="G31" s="518"/>
      <c r="H31" s="518"/>
      <c r="I31" s="518"/>
      <c r="J31" s="518"/>
      <c r="K31" s="518"/>
      <c r="L31" s="518"/>
      <c r="M31" s="518"/>
      <c r="N31" s="518"/>
      <c r="O31" s="518"/>
      <c r="P31" s="518"/>
      <c r="Q31" s="518"/>
      <c r="R31" s="518"/>
      <c r="S31" s="518"/>
      <c r="T31" s="518"/>
      <c r="U31" s="521"/>
      <c r="V31" s="521"/>
      <c r="W31" s="522"/>
    </row>
    <row r="32" spans="1:23" x14ac:dyDescent="0.25">
      <c r="A32" s="20" t="s">
        <v>59</v>
      </c>
      <c r="B32" s="21" t="s">
        <v>58</v>
      </c>
      <c r="C32" s="22"/>
      <c r="D32" s="5"/>
      <c r="E32" s="1"/>
      <c r="F32" s="1"/>
      <c r="G32" s="1"/>
      <c r="H32" s="22"/>
      <c r="I32" s="1"/>
      <c r="J32" s="22" t="str">
        <f>+B32</f>
        <v>BDS SUB 01</v>
      </c>
      <c r="K32" s="1"/>
      <c r="L32" s="1"/>
      <c r="M32" s="1"/>
      <c r="N32" s="1"/>
      <c r="O32" s="1"/>
      <c r="P32" s="1"/>
      <c r="Q32" s="1"/>
      <c r="R32" s="1"/>
      <c r="S32" s="1"/>
      <c r="T32" s="8"/>
      <c r="U32" s="24"/>
      <c r="V32" s="7"/>
      <c r="W32" s="26"/>
    </row>
    <row r="33" spans="1:23" ht="15.75" thickBot="1" x14ac:dyDescent="0.3">
      <c r="A33" s="45" t="s">
        <v>61</v>
      </c>
      <c r="B33" s="46" t="s">
        <v>60</v>
      </c>
      <c r="C33" s="37"/>
      <c r="D33" s="126"/>
      <c r="E33" s="4"/>
      <c r="F33" s="4"/>
      <c r="G33" s="4"/>
      <c r="H33" s="37"/>
      <c r="I33" s="4"/>
      <c r="J33" s="37" t="str">
        <f>+B33</f>
        <v>LEO SUB 01</v>
      </c>
      <c r="K33" s="4"/>
      <c r="L33" s="4"/>
      <c r="M33" s="4"/>
      <c r="N33" s="4"/>
      <c r="O33" s="4"/>
      <c r="P33" s="4"/>
      <c r="Q33" s="4"/>
      <c r="R33" s="4"/>
      <c r="S33" s="4"/>
      <c r="T33" s="38"/>
      <c r="U33" s="47"/>
      <c r="V33" s="4"/>
      <c r="W33" s="48"/>
    </row>
    <row r="34" spans="1:23" ht="34.5" thickBot="1" x14ac:dyDescent="0.55000000000000004">
      <c r="A34" s="523" t="s">
        <v>169</v>
      </c>
      <c r="B34" s="524"/>
      <c r="C34" s="524"/>
      <c r="D34" s="524"/>
      <c r="E34" s="524"/>
      <c r="F34" s="524"/>
      <c r="G34" s="524"/>
      <c r="H34" s="524"/>
      <c r="I34" s="524"/>
      <c r="J34" s="524"/>
      <c r="K34" s="524"/>
      <c r="L34" s="524"/>
      <c r="M34" s="524"/>
      <c r="N34" s="524"/>
      <c r="O34" s="524"/>
      <c r="P34" s="524"/>
      <c r="Q34" s="524"/>
      <c r="R34" s="524"/>
      <c r="S34" s="524"/>
      <c r="T34" s="524"/>
      <c r="U34" s="524"/>
      <c r="V34" s="524"/>
      <c r="W34" s="525"/>
    </row>
    <row r="35" spans="1:23" ht="19.5" thickBot="1" x14ac:dyDescent="0.3">
      <c r="A35" s="526" t="s">
        <v>3</v>
      </c>
      <c r="B35" s="527"/>
      <c r="C35" s="527"/>
      <c r="D35" s="527"/>
      <c r="E35" s="527"/>
      <c r="F35" s="527"/>
      <c r="G35" s="527"/>
      <c r="H35" s="527"/>
      <c r="I35" s="527"/>
      <c r="J35" s="527"/>
      <c r="K35" s="527"/>
      <c r="L35" s="527"/>
      <c r="M35" s="527"/>
      <c r="N35" s="527"/>
      <c r="O35" s="527"/>
      <c r="P35" s="527"/>
      <c r="Q35" s="527"/>
      <c r="R35" s="527"/>
      <c r="S35" s="527"/>
      <c r="T35" s="527"/>
      <c r="U35" s="528"/>
      <c r="V35" s="528"/>
      <c r="W35" s="529"/>
    </row>
    <row r="36" spans="1:23" x14ac:dyDescent="0.25">
      <c r="A36" s="20" t="s">
        <v>170</v>
      </c>
      <c r="B36" s="21" t="s">
        <v>63</v>
      </c>
      <c r="C36" s="22"/>
      <c r="D36" s="5"/>
      <c r="E36" s="22" t="str">
        <f>+B36</f>
        <v>DJT ONYX 01 - 02</v>
      </c>
      <c r="F36" s="22" t="str">
        <f>+B36</f>
        <v>DJT ONYX 01 - 02</v>
      </c>
      <c r="G36" s="22" t="str">
        <f>+B36</f>
        <v>DJT ONYX 01 - 02</v>
      </c>
      <c r="H36" s="22"/>
      <c r="I36" s="22" t="str">
        <f>+B36</f>
        <v>DJT ONYX 01 - 02</v>
      </c>
      <c r="J36" s="22" t="str">
        <f>+B36</f>
        <v>DJT ONYX 01 - 02</v>
      </c>
      <c r="K36" s="22"/>
      <c r="L36" s="1"/>
      <c r="M36" s="1"/>
      <c r="N36" s="1"/>
      <c r="O36" s="1"/>
      <c r="P36" s="1"/>
      <c r="Q36" s="1"/>
      <c r="R36" s="1"/>
      <c r="S36" s="1"/>
      <c r="T36" s="8"/>
      <c r="U36" s="24"/>
      <c r="V36" s="7"/>
      <c r="W36" s="26"/>
    </row>
    <row r="37" spans="1:23" x14ac:dyDescent="0.25">
      <c r="A37" s="27" t="s">
        <v>171</v>
      </c>
      <c r="B37" s="33" t="s">
        <v>65</v>
      </c>
      <c r="C37" s="29"/>
      <c r="D37" s="125"/>
      <c r="E37" s="22" t="str">
        <f t="shared" ref="E37:E38" si="3">+B37</f>
        <v>VAR ONYX 01 - 02</v>
      </c>
      <c r="F37" s="3"/>
      <c r="G37" s="3"/>
      <c r="H37" s="29"/>
      <c r="I37" s="22" t="str">
        <f t="shared" ref="I37:I38" si="4">+B37</f>
        <v>VAR ONYX 01 - 02</v>
      </c>
      <c r="J37" s="22" t="str">
        <f t="shared" ref="J37:J38" si="5">+B37</f>
        <v>VAR ONYX 01 - 02</v>
      </c>
      <c r="K37" s="29"/>
      <c r="L37" s="29"/>
      <c r="M37" s="29"/>
      <c r="N37" s="29"/>
      <c r="O37" s="3"/>
      <c r="P37" s="3"/>
      <c r="Q37" s="3"/>
      <c r="R37" s="3"/>
      <c r="S37" s="3"/>
      <c r="T37" s="10"/>
      <c r="U37" s="31"/>
      <c r="V37" s="3"/>
      <c r="W37" s="32"/>
    </row>
    <row r="38" spans="1:23" ht="15.75" thickBot="1" x14ac:dyDescent="0.3">
      <c r="A38" s="34" t="s">
        <v>172</v>
      </c>
      <c r="B38" s="35" t="s">
        <v>419</v>
      </c>
      <c r="C38" s="37"/>
      <c r="D38" s="126"/>
      <c r="E38" s="22" t="str">
        <f t="shared" si="3"/>
        <v>WBJ ONYX</v>
      </c>
      <c r="F38" s="49"/>
      <c r="G38" s="37" t="str">
        <f>+B38</f>
        <v>WBJ ONYX</v>
      </c>
      <c r="H38" s="37"/>
      <c r="I38" s="22" t="str">
        <f t="shared" si="4"/>
        <v>WBJ ONYX</v>
      </c>
      <c r="J38" s="22" t="str">
        <f t="shared" si="5"/>
        <v>WBJ ONYX</v>
      </c>
      <c r="K38" s="37"/>
      <c r="L38" s="4"/>
      <c r="M38" s="4"/>
      <c r="N38" s="4"/>
      <c r="O38" s="4"/>
      <c r="P38" s="4"/>
      <c r="Q38" s="4"/>
      <c r="R38" s="4"/>
      <c r="S38" s="4"/>
      <c r="T38" s="38"/>
      <c r="U38" s="39"/>
      <c r="V38" s="12"/>
      <c r="W38" s="41"/>
    </row>
    <row r="39" spans="1:23" ht="19.5" thickBot="1" x14ac:dyDescent="0.3">
      <c r="A39" s="526" t="s">
        <v>68</v>
      </c>
      <c r="B39" s="527"/>
      <c r="C39" s="527"/>
      <c r="D39" s="527"/>
      <c r="E39" s="527"/>
      <c r="F39" s="527"/>
      <c r="G39" s="527"/>
      <c r="H39" s="527"/>
      <c r="I39" s="527"/>
      <c r="J39" s="527"/>
      <c r="K39" s="527"/>
      <c r="L39" s="527"/>
      <c r="M39" s="527"/>
      <c r="N39" s="527"/>
      <c r="O39" s="527"/>
      <c r="P39" s="527"/>
      <c r="Q39" s="527"/>
      <c r="R39" s="527"/>
      <c r="S39" s="527"/>
      <c r="T39" s="527"/>
      <c r="U39" s="530"/>
      <c r="V39" s="530"/>
      <c r="W39" s="531"/>
    </row>
    <row r="40" spans="1:23" x14ac:dyDescent="0.25">
      <c r="A40" s="20" t="s">
        <v>173</v>
      </c>
      <c r="B40" s="21" t="s">
        <v>69</v>
      </c>
      <c r="C40" s="22"/>
      <c r="D40" s="5"/>
      <c r="E40" s="1"/>
      <c r="F40" s="1"/>
      <c r="G40" s="1"/>
      <c r="H40" s="22"/>
      <c r="I40" s="22" t="str">
        <f>+B40</f>
        <v>BRA ONYX 01 - 02</v>
      </c>
      <c r="J40" s="22" t="str">
        <f>+B40</f>
        <v>BRA ONYX 01 - 02</v>
      </c>
      <c r="K40" s="22"/>
      <c r="L40" s="1"/>
      <c r="M40" s="1"/>
      <c r="N40" s="1"/>
      <c r="O40" s="1"/>
      <c r="P40" s="1"/>
      <c r="Q40" s="1"/>
      <c r="R40" s="1"/>
      <c r="S40" s="1"/>
      <c r="T40" s="8"/>
      <c r="U40" s="24"/>
      <c r="V40" s="7"/>
      <c r="W40" s="26"/>
    </row>
    <row r="41" spans="1:23" x14ac:dyDescent="0.25">
      <c r="A41" s="27" t="s">
        <v>174</v>
      </c>
      <c r="B41" s="33" t="s">
        <v>72</v>
      </c>
      <c r="C41" s="29"/>
      <c r="D41" s="128" t="str">
        <f>+B41</f>
        <v>FTT ONYX 02</v>
      </c>
      <c r="E41" s="3"/>
      <c r="F41" s="3"/>
      <c r="G41" s="3"/>
      <c r="H41" s="29"/>
      <c r="I41" s="3"/>
      <c r="J41" s="3"/>
      <c r="K41" s="30"/>
      <c r="L41" s="3"/>
      <c r="M41" s="3"/>
      <c r="N41" s="3"/>
      <c r="O41" s="29"/>
      <c r="P41" s="3"/>
      <c r="Q41" s="3"/>
      <c r="R41" s="3"/>
      <c r="S41" s="3"/>
      <c r="T41" s="10"/>
      <c r="U41" s="31"/>
      <c r="V41" s="3"/>
      <c r="W41" s="32"/>
    </row>
    <row r="42" spans="1:23" ht="15.75" thickBot="1" x14ac:dyDescent="0.3">
      <c r="A42" s="34" t="s">
        <v>175</v>
      </c>
      <c r="B42" s="35" t="s">
        <v>74</v>
      </c>
      <c r="C42" s="37"/>
      <c r="D42" s="129" t="str">
        <f>+B42</f>
        <v>MTT ONYX</v>
      </c>
      <c r="E42" s="4"/>
      <c r="F42" s="4"/>
      <c r="G42" s="4"/>
      <c r="H42" s="37"/>
      <c r="I42" s="4"/>
      <c r="J42" s="4"/>
      <c r="K42" s="4"/>
      <c r="L42" s="4"/>
      <c r="M42" s="4"/>
      <c r="N42" s="4"/>
      <c r="O42" s="37"/>
      <c r="P42" s="4"/>
      <c r="Q42" s="4"/>
      <c r="R42" s="4"/>
      <c r="S42" s="4"/>
      <c r="T42" s="38"/>
      <c r="U42" s="39"/>
      <c r="V42" s="12"/>
      <c r="W42" s="41"/>
    </row>
    <row r="43" spans="1:23" ht="19.5" thickBot="1" x14ac:dyDescent="0.3">
      <c r="A43" s="526" t="s">
        <v>76</v>
      </c>
      <c r="B43" s="527"/>
      <c r="C43" s="527"/>
      <c r="D43" s="527"/>
      <c r="E43" s="527"/>
      <c r="F43" s="527"/>
      <c r="G43" s="527"/>
      <c r="H43" s="527"/>
      <c r="I43" s="527"/>
      <c r="J43" s="527"/>
      <c r="K43" s="527"/>
      <c r="L43" s="527"/>
      <c r="M43" s="527"/>
      <c r="N43" s="527"/>
      <c r="O43" s="527"/>
      <c r="P43" s="527"/>
      <c r="Q43" s="527"/>
      <c r="R43" s="527"/>
      <c r="S43" s="527"/>
      <c r="T43" s="527"/>
      <c r="U43" s="530"/>
      <c r="V43" s="530"/>
      <c r="W43" s="531"/>
    </row>
    <row r="44" spans="1:23" x14ac:dyDescent="0.25">
      <c r="A44" s="20" t="s">
        <v>176</v>
      </c>
      <c r="B44" s="21" t="s">
        <v>415</v>
      </c>
      <c r="C44" s="22"/>
      <c r="D44" s="5"/>
      <c r="E44" s="1"/>
      <c r="F44" s="22" t="str">
        <f>+B44</f>
        <v>JGR ONYX</v>
      </c>
      <c r="G44" s="1"/>
      <c r="H44" s="22"/>
      <c r="I44" s="1"/>
      <c r="J44" s="22" t="str">
        <f>+B44</f>
        <v>JGR ONYX</v>
      </c>
      <c r="K44" s="22"/>
      <c r="L44" s="1"/>
      <c r="M44" s="22"/>
      <c r="N44" s="1"/>
      <c r="O44" s="1"/>
      <c r="P44" s="22"/>
      <c r="Q44" s="1"/>
      <c r="R44" s="1"/>
      <c r="S44" s="1"/>
      <c r="T44" s="8"/>
      <c r="U44" s="24"/>
      <c r="V44" s="7"/>
      <c r="W44" s="26"/>
    </row>
    <row r="45" spans="1:23" x14ac:dyDescent="0.25">
      <c r="A45" s="27" t="s">
        <v>177</v>
      </c>
      <c r="B45" s="33" t="s">
        <v>418</v>
      </c>
      <c r="C45" s="29"/>
      <c r="D45" s="125"/>
      <c r="E45" s="3"/>
      <c r="F45" s="22" t="str">
        <f>+B45</f>
        <v>MSH ONYX</v>
      </c>
      <c r="G45" s="3"/>
      <c r="H45" s="29"/>
      <c r="I45" s="3"/>
      <c r="J45" s="3"/>
      <c r="K45" s="29"/>
      <c r="L45" s="3"/>
      <c r="M45" s="3"/>
      <c r="N45" s="3"/>
      <c r="O45" s="3"/>
      <c r="P45" s="3"/>
      <c r="Q45" s="3"/>
      <c r="R45" s="3"/>
      <c r="S45" s="3"/>
      <c r="T45" s="10"/>
      <c r="U45" s="31"/>
      <c r="V45" s="3"/>
      <c r="W45" s="32"/>
    </row>
    <row r="46" spans="1:23" x14ac:dyDescent="0.25">
      <c r="A46" s="27" t="s">
        <v>178</v>
      </c>
      <c r="B46" s="33" t="s">
        <v>78</v>
      </c>
      <c r="C46" s="29"/>
      <c r="D46" s="125"/>
      <c r="E46" s="3"/>
      <c r="F46" s="3"/>
      <c r="G46" s="3"/>
      <c r="H46" s="29"/>
      <c r="I46" s="29" t="str">
        <f>+B46</f>
        <v>CHE ONYX 01 - 02</v>
      </c>
      <c r="J46" s="3"/>
      <c r="K46" s="29"/>
      <c r="L46" s="3"/>
      <c r="M46" s="3"/>
      <c r="N46" s="3"/>
      <c r="O46" s="3"/>
      <c r="P46" s="3"/>
      <c r="Q46" s="3"/>
      <c r="R46" s="3"/>
      <c r="S46" s="3"/>
      <c r="T46" s="10"/>
      <c r="U46" s="31"/>
      <c r="V46" s="3"/>
      <c r="W46" s="32"/>
    </row>
    <row r="47" spans="1:23" x14ac:dyDescent="0.25">
      <c r="A47" s="27" t="s">
        <v>179</v>
      </c>
      <c r="B47" s="33" t="s">
        <v>80</v>
      </c>
      <c r="C47" s="29"/>
      <c r="D47" s="128" t="str">
        <f>+B47</f>
        <v>SKO ONYX 01 -02</v>
      </c>
      <c r="E47" s="3"/>
      <c r="F47" s="3"/>
      <c r="G47" s="3"/>
      <c r="H47" s="29"/>
      <c r="I47" s="29" t="str">
        <f t="shared" ref="I47:I48" si="6">+B47</f>
        <v>SKO ONYX 01 -02</v>
      </c>
      <c r="J47" s="3"/>
      <c r="K47" s="29"/>
      <c r="L47" s="3"/>
      <c r="M47" s="3"/>
      <c r="N47" s="3"/>
      <c r="O47" s="3"/>
      <c r="P47" s="3"/>
      <c r="Q47" s="3"/>
      <c r="R47" s="3"/>
      <c r="S47" s="3"/>
      <c r="T47" s="10"/>
      <c r="U47" s="31"/>
      <c r="V47" s="3"/>
      <c r="W47" s="32"/>
    </row>
    <row r="48" spans="1:23" ht="15.75" thickBot="1" x14ac:dyDescent="0.3">
      <c r="A48" s="34" t="s">
        <v>180</v>
      </c>
      <c r="B48" s="35" t="s">
        <v>81</v>
      </c>
      <c r="C48" s="37"/>
      <c r="D48" s="126"/>
      <c r="E48" s="4"/>
      <c r="F48" s="4"/>
      <c r="G48" s="4"/>
      <c r="H48" s="37"/>
      <c r="I48" s="29" t="str">
        <f t="shared" si="6"/>
        <v>HWL ONYX 01</v>
      </c>
      <c r="J48" s="4"/>
      <c r="K48" s="37"/>
      <c r="L48" s="4"/>
      <c r="M48" s="4"/>
      <c r="N48" s="4"/>
      <c r="O48" s="37"/>
      <c r="P48" s="4"/>
      <c r="Q48" s="4"/>
      <c r="R48" s="4"/>
      <c r="S48" s="4"/>
      <c r="T48" s="38"/>
      <c r="U48" s="39"/>
      <c r="V48" s="12"/>
      <c r="W48" s="41"/>
    </row>
    <row r="49" spans="1:23" ht="34.5" thickBot="1" x14ac:dyDescent="0.55000000000000004">
      <c r="A49" s="502" t="s">
        <v>181</v>
      </c>
      <c r="B49" s="503"/>
      <c r="C49" s="503"/>
      <c r="D49" s="503"/>
      <c r="E49" s="503"/>
      <c r="F49" s="503"/>
      <c r="G49" s="503"/>
      <c r="H49" s="503"/>
      <c r="I49" s="503"/>
      <c r="J49" s="503"/>
      <c r="K49" s="503"/>
      <c r="L49" s="503"/>
      <c r="M49" s="503"/>
      <c r="N49" s="503"/>
      <c r="O49" s="503"/>
      <c r="P49" s="503"/>
      <c r="Q49" s="503"/>
      <c r="R49" s="503"/>
      <c r="S49" s="503"/>
      <c r="T49" s="503"/>
      <c r="U49" s="504"/>
      <c r="V49" s="504"/>
      <c r="W49" s="505"/>
    </row>
    <row r="50" spans="1:23" ht="19.5" thickBot="1" x14ac:dyDescent="0.3">
      <c r="A50" s="498" t="s">
        <v>3</v>
      </c>
      <c r="B50" s="499"/>
      <c r="C50" s="499"/>
      <c r="D50" s="499"/>
      <c r="E50" s="499"/>
      <c r="F50" s="499"/>
      <c r="G50" s="499"/>
      <c r="H50" s="499"/>
      <c r="I50" s="499"/>
      <c r="J50" s="499"/>
      <c r="K50" s="499"/>
      <c r="L50" s="499"/>
      <c r="M50" s="499"/>
      <c r="N50" s="499"/>
      <c r="O50" s="499"/>
      <c r="P50" s="499"/>
      <c r="Q50" s="499"/>
      <c r="R50" s="499"/>
      <c r="S50" s="499"/>
      <c r="T50" s="499"/>
      <c r="U50" s="513"/>
      <c r="V50" s="513"/>
      <c r="W50" s="514"/>
    </row>
    <row r="51" spans="1:23" x14ac:dyDescent="0.25">
      <c r="A51" s="20" t="s">
        <v>182</v>
      </c>
      <c r="B51" s="42" t="s">
        <v>84</v>
      </c>
      <c r="C51" s="22"/>
      <c r="D51" s="5"/>
      <c r="E51" s="22" t="str">
        <f>+B51</f>
        <v>VAR 50</v>
      </c>
      <c r="F51" s="1"/>
      <c r="G51" s="1"/>
      <c r="H51" s="22"/>
      <c r="I51" s="1"/>
      <c r="J51" s="22" t="str">
        <f>+B51</f>
        <v>VAR 50</v>
      </c>
      <c r="K51" s="1"/>
      <c r="L51" s="22"/>
      <c r="M51" s="22"/>
      <c r="N51" s="22"/>
      <c r="O51" s="1"/>
      <c r="P51" s="1"/>
      <c r="Q51" s="1"/>
      <c r="R51" s="22"/>
      <c r="S51" s="22"/>
      <c r="T51" s="8"/>
      <c r="U51" s="24"/>
      <c r="V51" s="50"/>
      <c r="W51" s="26"/>
    </row>
    <row r="52" spans="1:23" x14ac:dyDescent="0.25">
      <c r="A52" s="27" t="s">
        <v>87</v>
      </c>
      <c r="B52" s="33" t="s">
        <v>86</v>
      </c>
      <c r="C52" s="29"/>
      <c r="D52" s="125"/>
      <c r="E52" s="3"/>
      <c r="F52" s="3"/>
      <c r="G52" s="3"/>
      <c r="H52" s="29"/>
      <c r="I52" s="29" t="str">
        <f>+B52</f>
        <v>RCH 50</v>
      </c>
      <c r="J52" s="3"/>
      <c r="K52" s="29"/>
      <c r="L52" s="3"/>
      <c r="M52" s="29"/>
      <c r="N52" s="3"/>
      <c r="O52" s="3"/>
      <c r="P52" s="29"/>
      <c r="Q52" s="3"/>
      <c r="R52" s="29"/>
      <c r="S52" s="29"/>
      <c r="T52" s="10"/>
      <c r="U52" s="31"/>
      <c r="V52" s="29"/>
      <c r="W52" s="32"/>
    </row>
    <row r="53" spans="1:23" ht="15.75" thickBot="1" x14ac:dyDescent="0.3">
      <c r="A53" s="34" t="s">
        <v>183</v>
      </c>
      <c r="B53" s="35" t="s">
        <v>88</v>
      </c>
      <c r="C53" s="37"/>
      <c r="D53" s="126"/>
      <c r="E53" s="37" t="str">
        <f>+B53</f>
        <v>HUN 50</v>
      </c>
      <c r="F53" s="4"/>
      <c r="G53" s="4"/>
      <c r="H53" s="37"/>
      <c r="I53" s="29" t="str">
        <f>+B53</f>
        <v>HUN 50</v>
      </c>
      <c r="J53" s="4"/>
      <c r="K53" s="37"/>
      <c r="L53" s="37"/>
      <c r="M53" s="37"/>
      <c r="N53" s="4"/>
      <c r="O53" s="4"/>
      <c r="P53" s="37"/>
      <c r="Q53" s="4"/>
      <c r="R53" s="37"/>
      <c r="S53" s="37"/>
      <c r="T53" s="38"/>
      <c r="U53" s="39"/>
      <c r="V53" s="40"/>
      <c r="W53" s="41"/>
    </row>
    <row r="54" spans="1:23" ht="19.5" thickBot="1" x14ac:dyDescent="0.3">
      <c r="A54" s="498" t="s">
        <v>89</v>
      </c>
      <c r="B54" s="499"/>
      <c r="C54" s="499"/>
      <c r="D54" s="499"/>
      <c r="E54" s="499"/>
      <c r="F54" s="499"/>
      <c r="G54" s="499"/>
      <c r="H54" s="499"/>
      <c r="I54" s="499"/>
      <c r="J54" s="499"/>
      <c r="K54" s="499"/>
      <c r="L54" s="499"/>
      <c r="M54" s="499"/>
      <c r="N54" s="499"/>
      <c r="O54" s="499"/>
      <c r="P54" s="499"/>
      <c r="Q54" s="499"/>
      <c r="R54" s="499"/>
      <c r="S54" s="499"/>
      <c r="T54" s="499"/>
      <c r="U54" s="500"/>
      <c r="V54" s="500"/>
      <c r="W54" s="501"/>
    </row>
    <row r="55" spans="1:23" x14ac:dyDescent="0.25">
      <c r="A55" s="20" t="s">
        <v>184</v>
      </c>
      <c r="B55" s="21" t="s">
        <v>90</v>
      </c>
      <c r="C55" s="22"/>
      <c r="D55" s="5"/>
      <c r="E55" s="1"/>
      <c r="F55" s="1"/>
      <c r="G55" s="1"/>
      <c r="H55" s="22"/>
      <c r="I55" s="1"/>
      <c r="J55" s="1"/>
      <c r="K55" s="1"/>
      <c r="L55" s="1"/>
      <c r="M55" s="1"/>
      <c r="N55" s="1"/>
      <c r="O55" s="1"/>
      <c r="P55" s="1"/>
      <c r="Q55" s="1"/>
      <c r="R55" s="23"/>
      <c r="S55" s="22"/>
      <c r="T55" s="51"/>
      <c r="U55" s="24"/>
      <c r="V55" s="7"/>
      <c r="W55" s="26"/>
    </row>
    <row r="56" spans="1:23" x14ac:dyDescent="0.25">
      <c r="A56" s="27" t="s">
        <v>93</v>
      </c>
      <c r="B56" s="33" t="s">
        <v>92</v>
      </c>
      <c r="C56" s="29"/>
      <c r="D56" s="125"/>
      <c r="E56" s="3"/>
      <c r="F56" s="3"/>
      <c r="G56" s="3"/>
      <c r="H56" s="29"/>
      <c r="I56" s="3"/>
      <c r="J56" s="3"/>
      <c r="K56" s="3"/>
      <c r="L56" s="3"/>
      <c r="M56" s="3"/>
      <c r="N56" s="3"/>
      <c r="O56" s="3"/>
      <c r="P56" s="3"/>
      <c r="Q56" s="3"/>
      <c r="R56" s="3"/>
      <c r="S56" s="29"/>
      <c r="T56" s="52"/>
      <c r="U56" s="31"/>
      <c r="V56" s="3"/>
      <c r="W56" s="32"/>
    </row>
    <row r="57" spans="1:23" x14ac:dyDescent="0.25">
      <c r="A57" s="27" t="s">
        <v>95</v>
      </c>
      <c r="B57" s="28" t="s">
        <v>94</v>
      </c>
      <c r="C57" s="29"/>
      <c r="D57" s="125"/>
      <c r="E57" s="3"/>
      <c r="F57" s="3"/>
      <c r="G57" s="3"/>
      <c r="H57" s="29"/>
      <c r="I57" s="3"/>
      <c r="J57" s="3"/>
      <c r="K57" s="3"/>
      <c r="L57" s="3"/>
      <c r="M57" s="3"/>
      <c r="N57" s="3"/>
      <c r="O57" s="3"/>
      <c r="P57" s="3"/>
      <c r="Q57" s="3"/>
      <c r="R57" s="3"/>
      <c r="S57" s="29"/>
      <c r="T57" s="52"/>
      <c r="U57" s="31"/>
      <c r="V57" s="3"/>
      <c r="W57" s="32"/>
    </row>
    <row r="58" spans="1:23" x14ac:dyDescent="0.25">
      <c r="A58" s="27" t="s">
        <v>97</v>
      </c>
      <c r="B58" s="33" t="s">
        <v>96</v>
      </c>
      <c r="C58" s="29"/>
      <c r="D58" s="125"/>
      <c r="E58" s="3"/>
      <c r="F58" s="3"/>
      <c r="G58" s="3"/>
      <c r="H58" s="29"/>
      <c r="I58" s="3"/>
      <c r="J58" s="3"/>
      <c r="K58" s="3"/>
      <c r="L58" s="3"/>
      <c r="M58" s="3"/>
      <c r="N58" s="3"/>
      <c r="O58" s="3"/>
      <c r="P58" s="3"/>
      <c r="Q58" s="3"/>
      <c r="R58" s="3"/>
      <c r="S58" s="29"/>
      <c r="T58" s="52"/>
      <c r="U58" s="31"/>
      <c r="V58" s="3"/>
      <c r="W58" s="32"/>
    </row>
    <row r="59" spans="1:23" x14ac:dyDescent="0.25">
      <c r="A59" s="27" t="s">
        <v>185</v>
      </c>
      <c r="B59" s="33" t="s">
        <v>98</v>
      </c>
      <c r="C59" s="29"/>
      <c r="D59" s="125"/>
      <c r="E59" s="3"/>
      <c r="F59" s="3"/>
      <c r="G59" s="3"/>
      <c r="H59" s="29"/>
      <c r="I59" s="3"/>
      <c r="J59" s="3"/>
      <c r="K59" s="3"/>
      <c r="L59" s="3"/>
      <c r="M59" s="3"/>
      <c r="N59" s="3"/>
      <c r="O59" s="3"/>
      <c r="P59" s="3"/>
      <c r="Q59" s="3"/>
      <c r="R59" s="3"/>
      <c r="S59" s="29"/>
      <c r="T59" s="52"/>
      <c r="U59" s="31"/>
      <c r="V59" s="3"/>
      <c r="W59" s="32"/>
    </row>
    <row r="60" spans="1:23" ht="15.75" thickBot="1" x14ac:dyDescent="0.3">
      <c r="A60" s="34" t="s">
        <v>186</v>
      </c>
      <c r="B60" s="35" t="s">
        <v>100</v>
      </c>
      <c r="C60" s="37"/>
      <c r="D60" s="126"/>
      <c r="E60" s="4"/>
      <c r="F60" s="4"/>
      <c r="G60" s="4"/>
      <c r="H60" s="37"/>
      <c r="I60" s="4"/>
      <c r="J60" s="4"/>
      <c r="K60" s="4"/>
      <c r="L60" s="4"/>
      <c r="M60" s="4"/>
      <c r="N60" s="4"/>
      <c r="O60" s="4"/>
      <c r="P60" s="4"/>
      <c r="Q60" s="4"/>
      <c r="R60" s="4"/>
      <c r="S60" s="37"/>
      <c r="T60" s="53"/>
      <c r="U60" s="39"/>
      <c r="V60" s="12"/>
      <c r="W60" s="41"/>
    </row>
    <row r="61" spans="1:23" ht="19.5" thickBot="1" x14ac:dyDescent="0.3">
      <c r="A61" s="498" t="s">
        <v>76</v>
      </c>
      <c r="B61" s="499"/>
      <c r="C61" s="499"/>
      <c r="D61" s="499"/>
      <c r="E61" s="499"/>
      <c r="F61" s="499"/>
      <c r="G61" s="499"/>
      <c r="H61" s="499"/>
      <c r="I61" s="499"/>
      <c r="J61" s="499"/>
      <c r="K61" s="499"/>
      <c r="L61" s="499"/>
      <c r="M61" s="499"/>
      <c r="N61" s="499"/>
      <c r="O61" s="499"/>
      <c r="P61" s="499"/>
      <c r="Q61" s="499"/>
      <c r="R61" s="499"/>
      <c r="S61" s="499"/>
      <c r="T61" s="499"/>
      <c r="U61" s="500"/>
      <c r="V61" s="500"/>
      <c r="W61" s="501"/>
    </row>
    <row r="62" spans="1:23" x14ac:dyDescent="0.25">
      <c r="A62" s="20" t="s">
        <v>103</v>
      </c>
      <c r="B62" s="21" t="s">
        <v>102</v>
      </c>
      <c r="C62" s="22"/>
      <c r="D62" s="5"/>
      <c r="E62" s="22" t="str">
        <f>+B62</f>
        <v>HHP 50</v>
      </c>
      <c r="F62" s="1"/>
      <c r="G62" s="1"/>
      <c r="H62" s="22"/>
      <c r="I62" s="1"/>
      <c r="J62" s="1"/>
      <c r="K62" s="1"/>
      <c r="L62" s="1"/>
      <c r="M62" s="1"/>
      <c r="N62" s="1"/>
      <c r="O62" s="1"/>
      <c r="P62" s="1"/>
      <c r="Q62" s="1"/>
      <c r="R62" s="22"/>
      <c r="S62" s="22"/>
      <c r="T62" s="51"/>
      <c r="U62" s="24"/>
      <c r="V62" s="7"/>
      <c r="W62" s="26"/>
    </row>
    <row r="63" spans="1:23" x14ac:dyDescent="0.25">
      <c r="A63" s="27" t="s">
        <v>105</v>
      </c>
      <c r="B63" s="28" t="s">
        <v>104</v>
      </c>
      <c r="C63" s="29"/>
      <c r="D63" s="125"/>
      <c r="E63" s="22" t="str">
        <f>+B63</f>
        <v>SSK 50</v>
      </c>
      <c r="F63" s="29" t="str">
        <f>+B63</f>
        <v>SSK 50</v>
      </c>
      <c r="G63" s="3"/>
      <c r="H63" s="29"/>
      <c r="I63" s="3"/>
      <c r="J63" s="3"/>
      <c r="K63" s="3"/>
      <c r="L63" s="29"/>
      <c r="M63" s="29"/>
      <c r="N63" s="3"/>
      <c r="O63" s="3"/>
      <c r="P63" s="3"/>
      <c r="Q63" s="3"/>
      <c r="R63" s="29"/>
      <c r="S63" s="29"/>
      <c r="T63" s="52"/>
      <c r="U63" s="31"/>
      <c r="V63" s="3"/>
      <c r="W63" s="32"/>
    </row>
    <row r="64" spans="1:23" ht="15.75" thickBot="1" x14ac:dyDescent="0.3">
      <c r="A64" s="34" t="s">
        <v>107</v>
      </c>
      <c r="B64" s="35" t="s">
        <v>106</v>
      </c>
      <c r="C64" s="37"/>
      <c r="D64" s="126"/>
      <c r="E64" s="4"/>
      <c r="F64" s="4"/>
      <c r="G64" s="4"/>
      <c r="H64" s="37"/>
      <c r="I64" s="37" t="str">
        <f>+B64</f>
        <v>RSH 50</v>
      </c>
      <c r="J64" s="4"/>
      <c r="K64" s="37"/>
      <c r="L64" s="4"/>
      <c r="M64" s="4"/>
      <c r="N64" s="4"/>
      <c r="O64" s="4"/>
      <c r="P64" s="4"/>
      <c r="Q64" s="4"/>
      <c r="R64" s="37"/>
      <c r="S64" s="37"/>
      <c r="T64" s="53"/>
      <c r="U64" s="39"/>
      <c r="V64" s="12"/>
      <c r="W64" s="41"/>
    </row>
    <row r="65" spans="1:23" ht="34.5" thickBot="1" x14ac:dyDescent="0.55000000000000004">
      <c r="A65" s="502" t="s">
        <v>187</v>
      </c>
      <c r="B65" s="503"/>
      <c r="C65" s="503"/>
      <c r="D65" s="503"/>
      <c r="E65" s="503"/>
      <c r="F65" s="503"/>
      <c r="G65" s="503"/>
      <c r="H65" s="503"/>
      <c r="I65" s="503"/>
      <c r="J65" s="503"/>
      <c r="K65" s="503"/>
      <c r="L65" s="503"/>
      <c r="M65" s="503"/>
      <c r="N65" s="503"/>
      <c r="O65" s="503"/>
      <c r="P65" s="503"/>
      <c r="Q65" s="503"/>
      <c r="R65" s="503"/>
      <c r="S65" s="503"/>
      <c r="T65" s="503"/>
      <c r="U65" s="504"/>
      <c r="V65" s="504"/>
      <c r="W65" s="505"/>
    </row>
    <row r="66" spans="1:23" ht="19.5" thickBot="1" x14ac:dyDescent="0.3">
      <c r="A66" s="506" t="s">
        <v>3</v>
      </c>
      <c r="B66" s="507"/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8"/>
      <c r="V66" s="508"/>
      <c r="W66" s="509"/>
    </row>
    <row r="67" spans="1:23" x14ac:dyDescent="0.25">
      <c r="A67" s="20" t="s">
        <v>124</v>
      </c>
      <c r="B67" s="21" t="s">
        <v>123</v>
      </c>
      <c r="C67" s="22"/>
      <c r="D67" s="5"/>
      <c r="E67" s="22" t="str">
        <f>+B67</f>
        <v>DJT ONYX 03</v>
      </c>
      <c r="F67" s="22" t="str">
        <f>+B67</f>
        <v>DJT ONYX 03</v>
      </c>
      <c r="G67" s="22" t="str">
        <f>+B67</f>
        <v>DJT ONYX 03</v>
      </c>
      <c r="H67" s="22"/>
      <c r="I67" s="23"/>
      <c r="J67" s="22" t="str">
        <f>+B67</f>
        <v>DJT ONYX 03</v>
      </c>
      <c r="K67" s="1"/>
      <c r="L67" s="1"/>
      <c r="M67" s="1"/>
      <c r="N67" s="1"/>
      <c r="O67" s="1"/>
      <c r="P67" s="1"/>
      <c r="Q67" s="1"/>
      <c r="R67" s="1"/>
      <c r="S67" s="1"/>
      <c r="T67" s="8"/>
      <c r="U67" s="24"/>
      <c r="V67" s="7"/>
      <c r="W67" s="26"/>
    </row>
    <row r="68" spans="1:23" ht="15.75" thickBot="1" x14ac:dyDescent="0.3">
      <c r="A68" s="34" t="s">
        <v>126</v>
      </c>
      <c r="B68" s="54" t="s">
        <v>125</v>
      </c>
      <c r="C68" s="37"/>
      <c r="D68" s="129" t="str">
        <f>+B68</f>
        <v>WBJ SUB 01</v>
      </c>
      <c r="E68" s="37" t="str">
        <f>+B68</f>
        <v>WBJ SUB 01</v>
      </c>
      <c r="F68" s="49"/>
      <c r="G68" s="37" t="str">
        <f>+B68</f>
        <v>WBJ SUB 01</v>
      </c>
      <c r="H68" s="37"/>
      <c r="I68" s="4"/>
      <c r="J68" s="37" t="str">
        <f>+B68</f>
        <v>WBJ SUB 01</v>
      </c>
      <c r="K68" s="4"/>
      <c r="L68" s="4"/>
      <c r="M68" s="4"/>
      <c r="N68" s="4"/>
      <c r="O68" s="4"/>
      <c r="P68" s="4"/>
      <c r="Q68" s="4"/>
      <c r="R68" s="4"/>
      <c r="S68" s="4"/>
      <c r="T68" s="38"/>
      <c r="U68" s="39"/>
      <c r="V68" s="12"/>
      <c r="W68" s="41"/>
    </row>
    <row r="69" spans="1:23" ht="19.5" thickBot="1" x14ac:dyDescent="0.3">
      <c r="A69" s="506" t="s">
        <v>89</v>
      </c>
      <c r="B69" s="507"/>
      <c r="C69" s="507"/>
      <c r="D69" s="507"/>
      <c r="E69" s="507"/>
      <c r="F69" s="507"/>
      <c r="G69" s="507"/>
      <c r="H69" s="507"/>
      <c r="I69" s="507"/>
      <c r="J69" s="507"/>
      <c r="K69" s="507"/>
      <c r="L69" s="507"/>
      <c r="M69" s="507"/>
      <c r="N69" s="507"/>
      <c r="O69" s="507"/>
      <c r="P69" s="507"/>
      <c r="Q69" s="507"/>
      <c r="R69" s="507"/>
      <c r="S69" s="507"/>
      <c r="T69" s="507"/>
      <c r="U69" s="510"/>
      <c r="V69" s="510"/>
      <c r="W69" s="511"/>
    </row>
    <row r="70" spans="1:23" x14ac:dyDescent="0.25">
      <c r="A70" s="55" t="s">
        <v>128</v>
      </c>
      <c r="B70" s="56" t="s">
        <v>127</v>
      </c>
      <c r="C70" s="22"/>
      <c r="D70" s="130" t="str">
        <f>+B70</f>
        <v>FPT ONYX02</v>
      </c>
      <c r="E70" s="1"/>
      <c r="F70" s="1"/>
      <c r="G70" s="1"/>
      <c r="H70" s="22"/>
      <c r="I70" s="1"/>
      <c r="J70" s="1"/>
      <c r="K70" s="1"/>
      <c r="L70" s="1"/>
      <c r="M70" s="1"/>
      <c r="N70" s="1"/>
      <c r="O70" s="22"/>
      <c r="P70" s="1"/>
      <c r="Q70" s="1"/>
      <c r="R70" s="1"/>
      <c r="S70" s="1"/>
      <c r="T70" s="8"/>
      <c r="U70" s="24"/>
      <c r="V70" s="7"/>
      <c r="W70" s="26"/>
    </row>
    <row r="71" spans="1:23" ht="30" x14ac:dyDescent="0.25">
      <c r="A71" s="57" t="s">
        <v>130</v>
      </c>
      <c r="B71" s="58" t="s">
        <v>129</v>
      </c>
      <c r="C71" s="29"/>
      <c r="D71" s="128" t="str">
        <f>+B71</f>
        <v>FPTL  ONYX 02</v>
      </c>
      <c r="E71" s="3"/>
      <c r="F71" s="3"/>
      <c r="G71" s="3"/>
      <c r="H71" s="29"/>
      <c r="I71" s="3"/>
      <c r="J71" s="3"/>
      <c r="K71" s="3"/>
      <c r="L71" s="3"/>
      <c r="M71" s="3"/>
      <c r="N71" s="3"/>
      <c r="O71" s="29"/>
      <c r="P71" s="3"/>
      <c r="Q71" s="3"/>
      <c r="R71" s="3"/>
      <c r="S71" s="3"/>
      <c r="T71" s="10"/>
      <c r="U71" s="31"/>
      <c r="V71" s="3"/>
      <c r="W71" s="32"/>
    </row>
    <row r="72" spans="1:23" x14ac:dyDescent="0.25">
      <c r="A72" s="57" t="s">
        <v>132</v>
      </c>
      <c r="B72" s="58" t="s">
        <v>131</v>
      </c>
      <c r="C72" s="29"/>
      <c r="D72" s="128" t="str">
        <f t="shared" ref="D72:D73" si="7">+B72</f>
        <v>MPT  ONYX02</v>
      </c>
      <c r="E72" s="3"/>
      <c r="F72" s="3"/>
      <c r="G72" s="3"/>
      <c r="H72" s="29"/>
      <c r="I72" s="3"/>
      <c r="J72" s="3"/>
      <c r="K72" s="3"/>
      <c r="L72" s="3"/>
      <c r="M72" s="3"/>
      <c r="N72" s="3"/>
      <c r="O72" s="29"/>
      <c r="P72" s="3"/>
      <c r="Q72" s="3"/>
      <c r="R72" s="3"/>
      <c r="S72" s="3"/>
      <c r="T72" s="10"/>
      <c r="U72" s="31"/>
      <c r="V72" s="3"/>
      <c r="W72" s="32"/>
    </row>
    <row r="73" spans="1:23" ht="30" x14ac:dyDescent="0.25">
      <c r="A73" s="57" t="s">
        <v>134</v>
      </c>
      <c r="B73" s="58" t="s">
        <v>133</v>
      </c>
      <c r="C73" s="29"/>
      <c r="D73" s="128" t="str">
        <f t="shared" si="7"/>
        <v>MPTL  ONYX02</v>
      </c>
      <c r="E73" s="3"/>
      <c r="F73" s="3"/>
      <c r="G73" s="3"/>
      <c r="H73" s="29"/>
      <c r="I73" s="3"/>
      <c r="J73" s="3"/>
      <c r="K73" s="3"/>
      <c r="L73" s="3"/>
      <c r="M73" s="3"/>
      <c r="N73" s="3"/>
      <c r="O73" s="29"/>
      <c r="P73" s="3"/>
      <c r="Q73" s="3"/>
      <c r="R73" s="3"/>
      <c r="S73" s="3"/>
      <c r="T73" s="10"/>
      <c r="U73" s="31"/>
      <c r="V73" s="3"/>
      <c r="W73" s="32"/>
    </row>
    <row r="74" spans="1:23" x14ac:dyDescent="0.25">
      <c r="A74" s="59" t="s">
        <v>188</v>
      </c>
      <c r="B74" s="28" t="s">
        <v>135</v>
      </c>
      <c r="C74" s="29"/>
      <c r="D74" s="125"/>
      <c r="E74" s="3"/>
      <c r="F74" s="3"/>
      <c r="G74" s="3"/>
      <c r="H74" s="29"/>
      <c r="I74" s="3"/>
      <c r="J74" s="3"/>
      <c r="K74" s="3"/>
      <c r="L74" s="3"/>
      <c r="M74" s="3"/>
      <c r="N74" s="3"/>
      <c r="O74" s="3"/>
      <c r="P74" s="3"/>
      <c r="Q74" s="3"/>
      <c r="R74" s="3"/>
      <c r="S74" s="29"/>
      <c r="T74" s="52"/>
      <c r="U74" s="31"/>
      <c r="V74" s="3"/>
      <c r="W74" s="32"/>
    </row>
    <row r="75" spans="1:23" x14ac:dyDescent="0.25">
      <c r="A75" s="59" t="s">
        <v>137</v>
      </c>
      <c r="B75" s="28" t="s">
        <v>136</v>
      </c>
      <c r="C75" s="29"/>
      <c r="D75" s="125"/>
      <c r="E75" s="3"/>
      <c r="F75" s="3"/>
      <c r="G75" s="3"/>
      <c r="H75" s="29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10"/>
      <c r="U75" s="31"/>
      <c r="V75" s="3"/>
      <c r="W75" s="32"/>
    </row>
    <row r="76" spans="1:23" ht="15.75" thickBot="1" x14ac:dyDescent="0.3">
      <c r="A76" s="60" t="s">
        <v>140</v>
      </c>
      <c r="B76" s="61" t="s">
        <v>139</v>
      </c>
      <c r="C76" s="40"/>
      <c r="D76" s="13"/>
      <c r="E76" s="12"/>
      <c r="F76" s="12"/>
      <c r="G76" s="12"/>
      <c r="H76" s="40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62"/>
      <c r="U76" s="39"/>
      <c r="V76" s="12"/>
      <c r="W76" s="41"/>
    </row>
    <row r="77" spans="1:23" ht="18.75" x14ac:dyDescent="0.25">
      <c r="B77" s="63"/>
      <c r="W77" s="64"/>
    </row>
  </sheetData>
  <mergeCells count="18">
    <mergeCell ref="AA2:AW2"/>
    <mergeCell ref="A50:W50"/>
    <mergeCell ref="A2:W2"/>
    <mergeCell ref="A3:W3"/>
    <mergeCell ref="A8:W8"/>
    <mergeCell ref="A18:W18"/>
    <mergeCell ref="A27:W27"/>
    <mergeCell ref="A31:W31"/>
    <mergeCell ref="A34:W34"/>
    <mergeCell ref="A35:W35"/>
    <mergeCell ref="A39:W39"/>
    <mergeCell ref="A43:W43"/>
    <mergeCell ref="A49:W49"/>
    <mergeCell ref="A54:W54"/>
    <mergeCell ref="A61:W61"/>
    <mergeCell ref="A65:W65"/>
    <mergeCell ref="A66:W66"/>
    <mergeCell ref="A69:W6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M33"/>
  <sheetViews>
    <sheetView showGridLines="0" topLeftCell="A2" zoomScale="90" zoomScaleNormal="90" workbookViewId="0">
      <selection activeCell="AA2" sqref="AA2:AM33"/>
    </sheetView>
  </sheetViews>
  <sheetFormatPr baseColWidth="10" defaultRowHeight="15" x14ac:dyDescent="0.25"/>
  <cols>
    <col min="1" max="1" width="9.5703125" style="16" customWidth="1"/>
    <col min="2" max="2" width="9.7109375" style="433" customWidth="1"/>
    <col min="3" max="3" width="15.28515625" hidden="1" customWidth="1"/>
    <col min="4" max="4" width="17.140625" hidden="1" customWidth="1"/>
    <col min="5" max="5" width="9.28515625" style="432" hidden="1" customWidth="1"/>
    <col min="6" max="6" width="13.7109375" hidden="1" customWidth="1"/>
    <col min="7" max="7" width="11.140625" hidden="1" customWidth="1"/>
    <col min="8" max="8" width="8.5703125" hidden="1" customWidth="1"/>
    <col min="9" max="9" width="17.28515625" hidden="1" customWidth="1"/>
    <col min="10" max="10" width="32.5703125" customWidth="1"/>
    <col min="11" max="11" width="14.42578125" style="121" customWidth="1"/>
    <col min="12" max="12" width="13.42578125" style="121" customWidth="1"/>
    <col min="13" max="13" width="6.5703125" style="152" customWidth="1"/>
    <col min="14" max="14" width="23" style="121" customWidth="1"/>
    <col min="15" max="15" width="17.28515625" style="121" customWidth="1"/>
    <col min="16" max="17" width="7.140625" style="120" customWidth="1"/>
    <col min="18" max="18" width="8" style="120" customWidth="1"/>
    <col min="19" max="19" width="8.7109375" style="120" hidden="1" customWidth="1"/>
    <col min="20" max="26" width="3.7109375" style="120" hidden="1" customWidth="1"/>
    <col min="27" max="39" width="3.7109375" style="452" customWidth="1"/>
  </cols>
  <sheetData>
    <row r="1" spans="1:39" s="122" customFormat="1" ht="15" customHeight="1" x14ac:dyDescent="0.25">
      <c r="A1" s="151" t="s">
        <v>266</v>
      </c>
      <c r="B1" s="434" t="s">
        <v>267</v>
      </c>
      <c r="C1" s="434"/>
      <c r="D1" s="434"/>
      <c r="E1" s="431"/>
      <c r="F1" s="282"/>
      <c r="G1" s="282"/>
      <c r="H1" s="123"/>
      <c r="I1" s="123"/>
      <c r="J1" s="434" t="s">
        <v>264</v>
      </c>
      <c r="K1" s="434" t="s">
        <v>268</v>
      </c>
      <c r="L1" s="123" t="s">
        <v>0</v>
      </c>
      <c r="M1" s="151" t="s">
        <v>395</v>
      </c>
      <c r="N1" s="123" t="s">
        <v>234</v>
      </c>
      <c r="O1" s="123" t="s">
        <v>396</v>
      </c>
      <c r="P1" s="124" t="s">
        <v>207</v>
      </c>
      <c r="Q1" s="124" t="s">
        <v>397</v>
      </c>
      <c r="R1" s="124" t="s">
        <v>412</v>
      </c>
      <c r="S1" s="124"/>
      <c r="AA1" s="453" t="s">
        <v>371</v>
      </c>
      <c r="AB1" s="453" t="s">
        <v>372</v>
      </c>
      <c r="AC1" s="453" t="s">
        <v>240</v>
      </c>
      <c r="AD1" s="453" t="s">
        <v>241</v>
      </c>
      <c r="AE1" s="453" t="s">
        <v>242</v>
      </c>
      <c r="AF1" s="453" t="s">
        <v>243</v>
      </c>
      <c r="AG1" s="453" t="s">
        <v>244</v>
      </c>
      <c r="AH1" s="453" t="s">
        <v>245</v>
      </c>
      <c r="AI1" s="453" t="s">
        <v>246</v>
      </c>
      <c r="AJ1" s="453" t="s">
        <v>247</v>
      </c>
      <c r="AK1" s="453" t="s">
        <v>248</v>
      </c>
      <c r="AL1" s="453" t="s">
        <v>249</v>
      </c>
      <c r="AM1" s="453" t="s">
        <v>394</v>
      </c>
    </row>
    <row r="2" spans="1:39" x14ac:dyDescent="0.25">
      <c r="L2" s="121" t="s">
        <v>415</v>
      </c>
      <c r="M2" s="121" t="s">
        <v>415</v>
      </c>
      <c r="R2" s="120" t="s">
        <v>269</v>
      </c>
      <c r="AA2" s="452">
        <v>1</v>
      </c>
      <c r="AB2" s="452">
        <v>1</v>
      </c>
      <c r="AC2" s="452">
        <v>1</v>
      </c>
      <c r="AD2" s="452">
        <v>1</v>
      </c>
      <c r="AE2" s="452">
        <v>1</v>
      </c>
      <c r="AF2" s="452">
        <v>1</v>
      </c>
      <c r="AG2" s="452">
        <v>1</v>
      </c>
      <c r="AH2" s="452">
        <v>1</v>
      </c>
      <c r="AI2" s="452">
        <v>1</v>
      </c>
      <c r="AJ2" s="452">
        <v>1</v>
      </c>
      <c r="AK2" s="452">
        <v>1</v>
      </c>
      <c r="AL2" s="452">
        <v>1</v>
      </c>
      <c r="AM2" s="452">
        <v>1</v>
      </c>
    </row>
    <row r="3" spans="1:39" x14ac:dyDescent="0.25">
      <c r="L3" s="121" t="s">
        <v>418</v>
      </c>
      <c r="M3" s="121" t="s">
        <v>418</v>
      </c>
      <c r="R3" s="120" t="s">
        <v>269</v>
      </c>
      <c r="AA3" s="452">
        <v>1</v>
      </c>
      <c r="AB3" s="452">
        <v>1</v>
      </c>
      <c r="AC3" s="452">
        <v>1</v>
      </c>
      <c r="AD3" s="452">
        <v>1</v>
      </c>
      <c r="AE3" s="452">
        <v>1</v>
      </c>
      <c r="AF3" s="452">
        <v>1</v>
      </c>
      <c r="AG3" s="452">
        <v>1</v>
      </c>
      <c r="AH3" s="452">
        <v>1</v>
      </c>
      <c r="AI3" s="452">
        <v>1</v>
      </c>
      <c r="AJ3" s="452">
        <v>1</v>
      </c>
      <c r="AK3" s="452">
        <v>1</v>
      </c>
      <c r="AL3" s="452">
        <v>1</v>
      </c>
      <c r="AM3" s="452">
        <v>1</v>
      </c>
    </row>
    <row r="4" spans="1:39" x14ac:dyDescent="0.25">
      <c r="L4" s="121" t="s">
        <v>43</v>
      </c>
      <c r="M4" s="121" t="s">
        <v>43</v>
      </c>
      <c r="R4" s="120" t="s">
        <v>269</v>
      </c>
      <c r="AA4" s="452">
        <v>1</v>
      </c>
      <c r="AB4" s="452">
        <v>1</v>
      </c>
      <c r="AC4" s="452">
        <v>1</v>
      </c>
      <c r="AD4" s="452">
        <v>1</v>
      </c>
      <c r="AE4" s="452">
        <v>1</v>
      </c>
      <c r="AF4" s="452">
        <v>1</v>
      </c>
      <c r="AG4" s="452">
        <v>1</v>
      </c>
      <c r="AH4" s="452">
        <v>1</v>
      </c>
      <c r="AI4" s="452">
        <v>1</v>
      </c>
      <c r="AJ4" s="452">
        <v>1</v>
      </c>
      <c r="AK4" s="452">
        <v>1</v>
      </c>
      <c r="AL4" s="452">
        <v>1</v>
      </c>
      <c r="AM4" s="452">
        <v>1</v>
      </c>
    </row>
    <row r="5" spans="1:39" x14ac:dyDescent="0.25">
      <c r="L5" s="121" t="s">
        <v>4</v>
      </c>
      <c r="M5" s="121" t="s">
        <v>4</v>
      </c>
      <c r="R5" s="120" t="s">
        <v>269</v>
      </c>
      <c r="AA5" s="452">
        <v>1</v>
      </c>
      <c r="AB5" s="452">
        <v>1</v>
      </c>
      <c r="AC5" s="452">
        <v>1</v>
      </c>
      <c r="AD5" s="452">
        <v>1</v>
      </c>
      <c r="AE5" s="452">
        <v>1</v>
      </c>
      <c r="AF5" s="452">
        <v>1</v>
      </c>
      <c r="AG5" s="452">
        <v>1</v>
      </c>
      <c r="AH5" s="452">
        <v>1</v>
      </c>
      <c r="AI5" s="452">
        <v>1</v>
      </c>
      <c r="AJ5" s="452">
        <v>1</v>
      </c>
      <c r="AK5" s="452">
        <v>1</v>
      </c>
      <c r="AL5" s="452">
        <v>1</v>
      </c>
      <c r="AM5" s="452">
        <v>1</v>
      </c>
    </row>
    <row r="6" spans="1:39" x14ac:dyDescent="0.25">
      <c r="L6" s="121" t="s">
        <v>414</v>
      </c>
      <c r="M6" s="121" t="s">
        <v>414</v>
      </c>
      <c r="R6" s="120" t="s">
        <v>269</v>
      </c>
      <c r="AA6" s="452">
        <v>1</v>
      </c>
      <c r="AB6" s="452">
        <v>1</v>
      </c>
      <c r="AC6" s="452">
        <v>1</v>
      </c>
      <c r="AD6" s="452">
        <v>1</v>
      </c>
      <c r="AE6" s="452">
        <v>1</v>
      </c>
      <c r="AF6" s="452">
        <v>1</v>
      </c>
      <c r="AG6" s="452">
        <v>1</v>
      </c>
      <c r="AH6" s="452">
        <v>1</v>
      </c>
      <c r="AI6" s="452">
        <v>1</v>
      </c>
      <c r="AJ6" s="452">
        <v>1</v>
      </c>
      <c r="AK6" s="452">
        <v>1</v>
      </c>
      <c r="AL6" s="452">
        <v>1</v>
      </c>
      <c r="AM6" s="452">
        <v>1</v>
      </c>
    </row>
    <row r="7" spans="1:39" x14ac:dyDescent="0.25">
      <c r="L7" s="121" t="s">
        <v>9</v>
      </c>
      <c r="M7" s="121" t="s">
        <v>9</v>
      </c>
      <c r="R7" s="120" t="s">
        <v>269</v>
      </c>
      <c r="AA7" s="452">
        <v>1</v>
      </c>
      <c r="AB7" s="452">
        <v>1</v>
      </c>
      <c r="AC7" s="452">
        <v>1</v>
      </c>
      <c r="AD7" s="452">
        <v>1</v>
      </c>
      <c r="AE7" s="452">
        <v>1</v>
      </c>
      <c r="AF7" s="452">
        <v>1</v>
      </c>
      <c r="AG7" s="452">
        <v>1</v>
      </c>
      <c r="AH7" s="452">
        <v>1</v>
      </c>
      <c r="AI7" s="452">
        <v>1</v>
      </c>
      <c r="AJ7" s="452">
        <v>1</v>
      </c>
      <c r="AK7" s="452">
        <v>1</v>
      </c>
      <c r="AL7" s="452">
        <v>1</v>
      </c>
      <c r="AM7" s="452">
        <v>1</v>
      </c>
    </row>
    <row r="8" spans="1:39" x14ac:dyDescent="0.25">
      <c r="L8" s="121" t="s">
        <v>11</v>
      </c>
      <c r="M8" s="121" t="s">
        <v>11</v>
      </c>
      <c r="R8" s="120" t="s">
        <v>269</v>
      </c>
      <c r="AA8" s="452">
        <v>1</v>
      </c>
      <c r="AB8" s="452">
        <v>1</v>
      </c>
      <c r="AC8" s="452">
        <v>1</v>
      </c>
      <c r="AD8" s="452">
        <v>1</v>
      </c>
      <c r="AE8" s="452">
        <v>1</v>
      </c>
      <c r="AF8" s="452">
        <v>1</v>
      </c>
      <c r="AG8" s="452">
        <v>1</v>
      </c>
      <c r="AH8" s="452">
        <v>1</v>
      </c>
      <c r="AI8" s="452">
        <v>1</v>
      </c>
      <c r="AJ8" s="452">
        <v>1</v>
      </c>
      <c r="AK8" s="452">
        <v>1</v>
      </c>
      <c r="AL8" s="452">
        <v>1</v>
      </c>
      <c r="AM8" s="452">
        <v>1</v>
      </c>
    </row>
    <row r="9" spans="1:39" x14ac:dyDescent="0.25">
      <c r="L9" s="121" t="s">
        <v>63</v>
      </c>
      <c r="M9" s="121" t="s">
        <v>63</v>
      </c>
      <c r="R9" s="120" t="s">
        <v>269</v>
      </c>
      <c r="AA9" s="452">
        <v>1</v>
      </c>
      <c r="AB9" s="452">
        <v>1</v>
      </c>
      <c r="AC9" s="452">
        <v>1</v>
      </c>
      <c r="AD9" s="452">
        <v>1</v>
      </c>
      <c r="AE9" s="452">
        <v>1</v>
      </c>
      <c r="AF9" s="452">
        <v>1</v>
      </c>
      <c r="AG9" s="452">
        <v>1</v>
      </c>
      <c r="AH9" s="452">
        <v>1</v>
      </c>
      <c r="AI9" s="452">
        <v>1</v>
      </c>
      <c r="AJ9" s="452">
        <v>1</v>
      </c>
      <c r="AK9" s="452">
        <v>1</v>
      </c>
      <c r="AL9" s="452">
        <v>1</v>
      </c>
      <c r="AM9" s="452">
        <v>1</v>
      </c>
    </row>
    <row r="10" spans="1:39" x14ac:dyDescent="0.25">
      <c r="L10" s="121" t="s">
        <v>65</v>
      </c>
      <c r="M10" s="121" t="s">
        <v>65</v>
      </c>
      <c r="R10" s="120" t="s">
        <v>269</v>
      </c>
      <c r="AA10" s="452">
        <v>1</v>
      </c>
      <c r="AB10" s="452">
        <v>1</v>
      </c>
      <c r="AC10" s="452">
        <v>1</v>
      </c>
      <c r="AD10" s="452">
        <v>1</v>
      </c>
      <c r="AE10" s="452">
        <v>1</v>
      </c>
      <c r="AF10" s="452">
        <v>1</v>
      </c>
      <c r="AG10" s="452">
        <v>1</v>
      </c>
      <c r="AH10" s="452">
        <v>1</v>
      </c>
      <c r="AI10" s="452">
        <v>1</v>
      </c>
      <c r="AJ10" s="452">
        <v>1</v>
      </c>
      <c r="AK10" s="452">
        <v>1</v>
      </c>
      <c r="AL10" s="452">
        <v>1</v>
      </c>
      <c r="AM10" s="452">
        <v>1</v>
      </c>
    </row>
    <row r="11" spans="1:39" x14ac:dyDescent="0.25">
      <c r="L11" s="121" t="s">
        <v>419</v>
      </c>
      <c r="M11" s="121" t="s">
        <v>419</v>
      </c>
      <c r="R11" s="120" t="s">
        <v>269</v>
      </c>
      <c r="AA11" s="452">
        <v>1</v>
      </c>
      <c r="AB11" s="452">
        <v>1</v>
      </c>
      <c r="AC11" s="452">
        <v>1</v>
      </c>
      <c r="AD11" s="452">
        <v>1</v>
      </c>
      <c r="AE11" s="452">
        <v>1</v>
      </c>
      <c r="AF11" s="452">
        <v>1</v>
      </c>
      <c r="AG11" s="452">
        <v>1</v>
      </c>
      <c r="AH11" s="452">
        <v>1</v>
      </c>
      <c r="AI11" s="452">
        <v>1</v>
      </c>
      <c r="AJ11" s="452">
        <v>1</v>
      </c>
      <c r="AK11" s="452">
        <v>1</v>
      </c>
      <c r="AL11" s="452">
        <v>1</v>
      </c>
      <c r="AM11" s="452">
        <v>1</v>
      </c>
    </row>
    <row r="12" spans="1:39" x14ac:dyDescent="0.25">
      <c r="L12" s="121" t="s">
        <v>84</v>
      </c>
      <c r="M12" s="121" t="s">
        <v>84</v>
      </c>
      <c r="R12" s="120" t="s">
        <v>269</v>
      </c>
      <c r="AA12" s="452">
        <v>1</v>
      </c>
      <c r="AB12" s="452">
        <v>1</v>
      </c>
      <c r="AC12" s="452">
        <v>1</v>
      </c>
      <c r="AD12" s="452">
        <v>1</v>
      </c>
      <c r="AE12" s="452">
        <v>1</v>
      </c>
      <c r="AF12" s="452">
        <v>1</v>
      </c>
      <c r="AG12" s="452">
        <v>1</v>
      </c>
      <c r="AH12" s="452">
        <v>1</v>
      </c>
      <c r="AI12" s="452">
        <v>1</v>
      </c>
      <c r="AJ12" s="452">
        <v>1</v>
      </c>
      <c r="AK12" s="452">
        <v>1</v>
      </c>
      <c r="AL12" s="452">
        <v>1</v>
      </c>
      <c r="AM12" s="452">
        <v>1</v>
      </c>
    </row>
    <row r="13" spans="1:39" x14ac:dyDescent="0.25">
      <c r="L13" s="121" t="s">
        <v>88</v>
      </c>
      <c r="M13" s="121" t="s">
        <v>88</v>
      </c>
      <c r="R13" s="120" t="s">
        <v>269</v>
      </c>
      <c r="AA13" s="452">
        <v>1</v>
      </c>
      <c r="AB13" s="452">
        <v>1</v>
      </c>
      <c r="AC13" s="452">
        <v>1</v>
      </c>
      <c r="AD13" s="452">
        <v>1</v>
      </c>
      <c r="AE13" s="452">
        <v>1</v>
      </c>
      <c r="AF13" s="452">
        <v>1</v>
      </c>
      <c r="AG13" s="452">
        <v>1</v>
      </c>
      <c r="AH13" s="452">
        <v>1</v>
      </c>
      <c r="AI13" s="452">
        <v>1</v>
      </c>
      <c r="AJ13" s="452">
        <v>1</v>
      </c>
      <c r="AK13" s="452">
        <v>1</v>
      </c>
      <c r="AL13" s="452">
        <v>1</v>
      </c>
      <c r="AM13" s="452">
        <v>1</v>
      </c>
    </row>
    <row r="14" spans="1:39" x14ac:dyDescent="0.25">
      <c r="L14" s="121" t="s">
        <v>102</v>
      </c>
      <c r="M14" s="121" t="s">
        <v>102</v>
      </c>
      <c r="R14" s="120" t="s">
        <v>269</v>
      </c>
      <c r="AA14" s="452">
        <v>1</v>
      </c>
      <c r="AB14" s="452">
        <v>1</v>
      </c>
      <c r="AC14" s="452">
        <v>1</v>
      </c>
      <c r="AD14" s="452">
        <v>1</v>
      </c>
      <c r="AE14" s="452">
        <v>1</v>
      </c>
      <c r="AF14" s="452">
        <v>1</v>
      </c>
      <c r="AG14" s="452">
        <v>1</v>
      </c>
      <c r="AH14" s="452">
        <v>1</v>
      </c>
      <c r="AI14" s="452">
        <v>1</v>
      </c>
      <c r="AJ14" s="452">
        <v>1</v>
      </c>
      <c r="AK14" s="452">
        <v>1</v>
      </c>
      <c r="AL14" s="452">
        <v>1</v>
      </c>
      <c r="AM14" s="452">
        <v>1</v>
      </c>
    </row>
    <row r="15" spans="1:39" x14ac:dyDescent="0.25">
      <c r="L15" s="121" t="s">
        <v>104</v>
      </c>
      <c r="M15" s="121" t="s">
        <v>104</v>
      </c>
      <c r="R15" s="120" t="s">
        <v>269</v>
      </c>
      <c r="AA15" s="452">
        <v>1</v>
      </c>
      <c r="AB15" s="452">
        <v>1</v>
      </c>
      <c r="AC15" s="452">
        <v>1</v>
      </c>
      <c r="AD15" s="452">
        <v>1</v>
      </c>
      <c r="AE15" s="452">
        <v>1</v>
      </c>
      <c r="AF15" s="452">
        <v>1</v>
      </c>
      <c r="AG15" s="452">
        <v>1</v>
      </c>
      <c r="AH15" s="452">
        <v>1</v>
      </c>
      <c r="AI15" s="452">
        <v>1</v>
      </c>
      <c r="AJ15" s="452">
        <v>1</v>
      </c>
      <c r="AK15" s="452">
        <v>1</v>
      </c>
      <c r="AL15" s="452">
        <v>1</v>
      </c>
      <c r="AM15" s="452">
        <v>1</v>
      </c>
    </row>
    <row r="16" spans="1:39" x14ac:dyDescent="0.25">
      <c r="L16" s="121" t="s">
        <v>123</v>
      </c>
      <c r="M16" s="121" t="s">
        <v>123</v>
      </c>
      <c r="R16" s="120" t="s">
        <v>269</v>
      </c>
      <c r="AA16" s="452">
        <v>1</v>
      </c>
      <c r="AB16" s="452">
        <v>1</v>
      </c>
      <c r="AC16" s="452">
        <v>1</v>
      </c>
      <c r="AD16" s="452">
        <v>1</v>
      </c>
      <c r="AE16" s="452">
        <v>1</v>
      </c>
      <c r="AF16" s="452">
        <v>1</v>
      </c>
      <c r="AG16" s="452">
        <v>1</v>
      </c>
      <c r="AH16" s="452">
        <v>1</v>
      </c>
      <c r="AI16" s="452">
        <v>1</v>
      </c>
      <c r="AJ16" s="452">
        <v>1</v>
      </c>
      <c r="AK16" s="452">
        <v>1</v>
      </c>
      <c r="AL16" s="452">
        <v>1</v>
      </c>
      <c r="AM16" s="452">
        <v>1</v>
      </c>
    </row>
    <row r="17" spans="12:39" x14ac:dyDescent="0.25">
      <c r="L17" s="121" t="s">
        <v>125</v>
      </c>
      <c r="M17" s="121" t="s">
        <v>125</v>
      </c>
      <c r="R17" s="120" t="s">
        <v>269</v>
      </c>
      <c r="AA17" s="452">
        <v>1</v>
      </c>
      <c r="AB17" s="452">
        <v>1</v>
      </c>
      <c r="AC17" s="452">
        <v>1</v>
      </c>
      <c r="AD17" s="452">
        <v>1</v>
      </c>
      <c r="AE17" s="452">
        <v>1</v>
      </c>
      <c r="AF17" s="452">
        <v>1</v>
      </c>
      <c r="AG17" s="452">
        <v>1</v>
      </c>
      <c r="AH17" s="452">
        <v>1</v>
      </c>
      <c r="AI17" s="452">
        <v>1</v>
      </c>
      <c r="AJ17" s="452">
        <v>1</v>
      </c>
      <c r="AK17" s="452">
        <v>1</v>
      </c>
      <c r="AL17" s="452">
        <v>1</v>
      </c>
      <c r="AM17" s="452">
        <v>1</v>
      </c>
    </row>
    <row r="18" spans="12:39" x14ac:dyDescent="0.25">
      <c r="L18" s="121" t="s">
        <v>4</v>
      </c>
      <c r="M18" s="121" t="s">
        <v>4</v>
      </c>
      <c r="R18" s="120" t="s">
        <v>270</v>
      </c>
      <c r="AA18" s="452">
        <v>1</v>
      </c>
      <c r="AB18" s="452">
        <v>1</v>
      </c>
      <c r="AC18" s="452">
        <v>1</v>
      </c>
      <c r="AD18" s="452">
        <v>1</v>
      </c>
      <c r="AE18" s="452">
        <v>1</v>
      </c>
      <c r="AF18" s="452">
        <v>1</v>
      </c>
      <c r="AG18" s="452">
        <v>1</v>
      </c>
      <c r="AH18" s="452">
        <v>1</v>
      </c>
      <c r="AI18" s="452">
        <v>1</v>
      </c>
      <c r="AJ18" s="452">
        <v>1</v>
      </c>
      <c r="AK18" s="452">
        <v>1</v>
      </c>
      <c r="AL18" s="452">
        <v>1</v>
      </c>
      <c r="AM18" s="452">
        <v>1</v>
      </c>
    </row>
    <row r="19" spans="12:39" x14ac:dyDescent="0.25">
      <c r="L19" s="121" t="s">
        <v>414</v>
      </c>
      <c r="M19" s="121" t="s">
        <v>414</v>
      </c>
      <c r="R19" s="120" t="s">
        <v>270</v>
      </c>
      <c r="AA19" s="452">
        <v>1</v>
      </c>
      <c r="AB19" s="452">
        <v>1</v>
      </c>
      <c r="AC19" s="452">
        <v>1</v>
      </c>
      <c r="AD19" s="452">
        <v>1</v>
      </c>
      <c r="AE19" s="452">
        <v>1</v>
      </c>
      <c r="AF19" s="452">
        <v>1</v>
      </c>
      <c r="AG19" s="452">
        <v>1</v>
      </c>
      <c r="AH19" s="452">
        <v>1</v>
      </c>
      <c r="AI19" s="452">
        <v>1</v>
      </c>
      <c r="AJ19" s="452">
        <v>1</v>
      </c>
      <c r="AK19" s="452">
        <v>1</v>
      </c>
      <c r="AL19" s="452">
        <v>1</v>
      </c>
      <c r="AM19" s="452">
        <v>1</v>
      </c>
    </row>
    <row r="20" spans="12:39" x14ac:dyDescent="0.25">
      <c r="L20" s="121" t="s">
        <v>9</v>
      </c>
      <c r="M20" s="121" t="s">
        <v>9</v>
      </c>
      <c r="R20" s="120" t="s">
        <v>270</v>
      </c>
      <c r="AA20" s="452">
        <v>1</v>
      </c>
      <c r="AB20" s="452">
        <v>1</v>
      </c>
      <c r="AC20" s="452">
        <v>1</v>
      </c>
      <c r="AD20" s="452">
        <v>1</v>
      </c>
      <c r="AE20" s="452">
        <v>1</v>
      </c>
      <c r="AF20" s="452">
        <v>1</v>
      </c>
      <c r="AG20" s="452">
        <v>1</v>
      </c>
      <c r="AH20" s="452">
        <v>1</v>
      </c>
      <c r="AI20" s="452">
        <v>1</v>
      </c>
      <c r="AJ20" s="452">
        <v>1</v>
      </c>
      <c r="AK20" s="452">
        <v>1</v>
      </c>
      <c r="AL20" s="452">
        <v>1</v>
      </c>
      <c r="AM20" s="452">
        <v>1</v>
      </c>
    </row>
    <row r="21" spans="12:39" x14ac:dyDescent="0.25">
      <c r="L21" s="121" t="s">
        <v>11</v>
      </c>
      <c r="M21" s="121" t="s">
        <v>11</v>
      </c>
      <c r="R21" s="120" t="s">
        <v>270</v>
      </c>
      <c r="AA21" s="452">
        <v>1</v>
      </c>
      <c r="AB21" s="452">
        <v>1</v>
      </c>
      <c r="AC21" s="452">
        <v>1</v>
      </c>
      <c r="AD21" s="452">
        <v>1</v>
      </c>
      <c r="AE21" s="452">
        <v>1</v>
      </c>
      <c r="AF21" s="452">
        <v>1</v>
      </c>
      <c r="AG21" s="452">
        <v>1</v>
      </c>
      <c r="AH21" s="452">
        <v>1</v>
      </c>
      <c r="AI21" s="452">
        <v>1</v>
      </c>
      <c r="AJ21" s="452">
        <v>1</v>
      </c>
      <c r="AK21" s="452">
        <v>1</v>
      </c>
      <c r="AL21" s="452">
        <v>1</v>
      </c>
      <c r="AM21" s="452">
        <v>1</v>
      </c>
    </row>
    <row r="22" spans="12:39" x14ac:dyDescent="0.25">
      <c r="L22" s="121" t="s">
        <v>63</v>
      </c>
      <c r="M22" s="121" t="s">
        <v>63</v>
      </c>
      <c r="R22" s="120" t="s">
        <v>270</v>
      </c>
      <c r="AA22" s="452">
        <v>1</v>
      </c>
      <c r="AB22" s="452">
        <v>1</v>
      </c>
      <c r="AC22" s="452">
        <v>1</v>
      </c>
      <c r="AD22" s="452">
        <v>1</v>
      </c>
      <c r="AE22" s="452">
        <v>1</v>
      </c>
      <c r="AF22" s="452">
        <v>1</v>
      </c>
      <c r="AG22" s="452">
        <v>1</v>
      </c>
      <c r="AH22" s="452">
        <v>1</v>
      </c>
      <c r="AI22" s="452">
        <v>1</v>
      </c>
      <c r="AJ22" s="452">
        <v>1</v>
      </c>
      <c r="AK22" s="452">
        <v>1</v>
      </c>
      <c r="AL22" s="452">
        <v>1</v>
      </c>
      <c r="AM22" s="452">
        <v>1</v>
      </c>
    </row>
    <row r="23" spans="12:39" x14ac:dyDescent="0.25">
      <c r="L23" s="121" t="s">
        <v>65</v>
      </c>
      <c r="M23" s="121" t="s">
        <v>65</v>
      </c>
      <c r="R23" s="120" t="s">
        <v>270</v>
      </c>
      <c r="AA23" s="452">
        <v>1</v>
      </c>
      <c r="AB23" s="452">
        <v>1</v>
      </c>
      <c r="AC23" s="452">
        <v>1</v>
      </c>
      <c r="AD23" s="452">
        <v>1</v>
      </c>
      <c r="AE23" s="452">
        <v>1</v>
      </c>
      <c r="AF23" s="452">
        <v>1</v>
      </c>
      <c r="AG23" s="452">
        <v>1</v>
      </c>
      <c r="AH23" s="452">
        <v>1</v>
      </c>
      <c r="AI23" s="452">
        <v>1</v>
      </c>
      <c r="AJ23" s="452">
        <v>1</v>
      </c>
      <c r="AK23" s="452">
        <v>1</v>
      </c>
      <c r="AL23" s="452">
        <v>1</v>
      </c>
      <c r="AM23" s="452">
        <v>1</v>
      </c>
    </row>
    <row r="24" spans="12:39" x14ac:dyDescent="0.25">
      <c r="L24" s="121" t="s">
        <v>419</v>
      </c>
      <c r="M24" s="121" t="s">
        <v>419</v>
      </c>
      <c r="R24" s="120" t="s">
        <v>270</v>
      </c>
      <c r="AA24" s="452">
        <v>1</v>
      </c>
      <c r="AB24" s="452">
        <v>1</v>
      </c>
      <c r="AC24" s="452">
        <v>1</v>
      </c>
      <c r="AD24" s="452">
        <v>1</v>
      </c>
      <c r="AE24" s="452">
        <v>1</v>
      </c>
      <c r="AF24" s="452">
        <v>1</v>
      </c>
      <c r="AG24" s="452">
        <v>1</v>
      </c>
      <c r="AH24" s="452">
        <v>1</v>
      </c>
      <c r="AI24" s="452">
        <v>1</v>
      </c>
      <c r="AJ24" s="452">
        <v>1</v>
      </c>
      <c r="AK24" s="452">
        <v>1</v>
      </c>
      <c r="AL24" s="452">
        <v>1</v>
      </c>
      <c r="AM24" s="452">
        <v>1</v>
      </c>
    </row>
    <row r="25" spans="12:39" x14ac:dyDescent="0.25">
      <c r="L25" s="121" t="s">
        <v>84</v>
      </c>
      <c r="M25" s="121" t="s">
        <v>84</v>
      </c>
      <c r="R25" s="120" t="s">
        <v>270</v>
      </c>
      <c r="AA25" s="452">
        <v>1</v>
      </c>
      <c r="AB25" s="452">
        <v>1</v>
      </c>
      <c r="AC25" s="452">
        <v>1</v>
      </c>
      <c r="AD25" s="452">
        <v>1</v>
      </c>
      <c r="AE25" s="452">
        <v>1</v>
      </c>
      <c r="AF25" s="452">
        <v>1</v>
      </c>
      <c r="AG25" s="452">
        <v>1</v>
      </c>
      <c r="AH25" s="452">
        <v>1</v>
      </c>
      <c r="AI25" s="452">
        <v>1</v>
      </c>
      <c r="AJ25" s="452">
        <v>1</v>
      </c>
      <c r="AK25" s="452">
        <v>1</v>
      </c>
      <c r="AL25" s="452">
        <v>1</v>
      </c>
      <c r="AM25" s="452">
        <v>1</v>
      </c>
    </row>
    <row r="26" spans="12:39" x14ac:dyDescent="0.25">
      <c r="L26" s="121" t="s">
        <v>88</v>
      </c>
      <c r="M26" s="121" t="s">
        <v>88</v>
      </c>
      <c r="R26" s="120" t="s">
        <v>270</v>
      </c>
      <c r="AA26" s="452">
        <v>1</v>
      </c>
      <c r="AB26" s="452">
        <v>1</v>
      </c>
      <c r="AC26" s="452">
        <v>1</v>
      </c>
      <c r="AD26" s="452">
        <v>1</v>
      </c>
      <c r="AE26" s="452">
        <v>1</v>
      </c>
      <c r="AF26" s="452">
        <v>1</v>
      </c>
      <c r="AG26" s="452">
        <v>1</v>
      </c>
      <c r="AH26" s="452">
        <v>1</v>
      </c>
      <c r="AI26" s="452">
        <v>1</v>
      </c>
      <c r="AJ26" s="452">
        <v>1</v>
      </c>
      <c r="AK26" s="452">
        <v>1</v>
      </c>
      <c r="AL26" s="452">
        <v>1</v>
      </c>
      <c r="AM26" s="452">
        <v>1</v>
      </c>
    </row>
    <row r="27" spans="12:39" x14ac:dyDescent="0.25">
      <c r="L27" s="121" t="s">
        <v>102</v>
      </c>
      <c r="M27" s="121" t="s">
        <v>102</v>
      </c>
      <c r="R27" s="120" t="s">
        <v>270</v>
      </c>
      <c r="AA27" s="452">
        <v>1</v>
      </c>
      <c r="AB27" s="452">
        <v>1</v>
      </c>
      <c r="AC27" s="452">
        <v>1</v>
      </c>
      <c r="AD27" s="452">
        <v>1</v>
      </c>
      <c r="AE27" s="452">
        <v>1</v>
      </c>
      <c r="AF27" s="452">
        <v>1</v>
      </c>
      <c r="AG27" s="452">
        <v>1</v>
      </c>
      <c r="AH27" s="452">
        <v>1</v>
      </c>
      <c r="AI27" s="452">
        <v>1</v>
      </c>
      <c r="AJ27" s="452">
        <v>1</v>
      </c>
      <c r="AK27" s="452">
        <v>1</v>
      </c>
      <c r="AL27" s="452">
        <v>1</v>
      </c>
      <c r="AM27" s="452">
        <v>1</v>
      </c>
    </row>
    <row r="28" spans="12:39" x14ac:dyDescent="0.25">
      <c r="L28" s="121" t="s">
        <v>104</v>
      </c>
      <c r="M28" s="121" t="s">
        <v>104</v>
      </c>
      <c r="R28" s="120" t="s">
        <v>270</v>
      </c>
      <c r="AA28" s="452">
        <v>1</v>
      </c>
      <c r="AB28" s="452">
        <v>1</v>
      </c>
      <c r="AC28" s="452">
        <v>1</v>
      </c>
      <c r="AD28" s="452">
        <v>1</v>
      </c>
      <c r="AE28" s="452">
        <v>1</v>
      </c>
      <c r="AF28" s="452">
        <v>1</v>
      </c>
      <c r="AG28" s="452">
        <v>1</v>
      </c>
      <c r="AH28" s="452">
        <v>1</v>
      </c>
      <c r="AI28" s="452">
        <v>1</v>
      </c>
      <c r="AJ28" s="452">
        <v>1</v>
      </c>
      <c r="AK28" s="452">
        <v>1</v>
      </c>
      <c r="AL28" s="452">
        <v>1</v>
      </c>
      <c r="AM28" s="452">
        <v>1</v>
      </c>
    </row>
    <row r="29" spans="12:39" x14ac:dyDescent="0.25">
      <c r="L29" s="121" t="s">
        <v>123</v>
      </c>
      <c r="M29" s="121" t="s">
        <v>123</v>
      </c>
      <c r="R29" s="120" t="s">
        <v>270</v>
      </c>
      <c r="AA29" s="452">
        <v>1</v>
      </c>
      <c r="AB29" s="452">
        <v>1</v>
      </c>
      <c r="AC29" s="452">
        <v>1</v>
      </c>
      <c r="AD29" s="452">
        <v>1</v>
      </c>
      <c r="AE29" s="452">
        <v>1</v>
      </c>
      <c r="AF29" s="452">
        <v>1</v>
      </c>
      <c r="AG29" s="452">
        <v>1</v>
      </c>
      <c r="AH29" s="452">
        <v>1</v>
      </c>
      <c r="AI29" s="452">
        <v>1</v>
      </c>
      <c r="AJ29" s="452">
        <v>1</v>
      </c>
      <c r="AK29" s="452">
        <v>1</v>
      </c>
      <c r="AL29" s="452">
        <v>1</v>
      </c>
      <c r="AM29" s="452">
        <v>1</v>
      </c>
    </row>
    <row r="30" spans="12:39" x14ac:dyDescent="0.25">
      <c r="L30" s="121" t="s">
        <v>125</v>
      </c>
      <c r="M30" s="121" t="s">
        <v>125</v>
      </c>
      <c r="R30" s="120" t="s">
        <v>270</v>
      </c>
      <c r="AA30" s="452">
        <v>1</v>
      </c>
      <c r="AB30" s="452">
        <v>1</v>
      </c>
      <c r="AC30" s="452">
        <v>1</v>
      </c>
      <c r="AD30" s="452">
        <v>1</v>
      </c>
      <c r="AE30" s="452">
        <v>1</v>
      </c>
      <c r="AF30" s="452">
        <v>1</v>
      </c>
      <c r="AG30" s="452">
        <v>1</v>
      </c>
      <c r="AH30" s="452">
        <v>1</v>
      </c>
      <c r="AI30" s="452">
        <v>1</v>
      </c>
      <c r="AJ30" s="452">
        <v>1</v>
      </c>
      <c r="AK30" s="452">
        <v>1</v>
      </c>
      <c r="AL30" s="452">
        <v>1</v>
      </c>
      <c r="AM30" s="452">
        <v>1</v>
      </c>
    </row>
    <row r="31" spans="12:39" x14ac:dyDescent="0.25">
      <c r="L31" s="121" t="s">
        <v>43</v>
      </c>
      <c r="M31" s="121" t="s">
        <v>43</v>
      </c>
      <c r="R31" s="120" t="s">
        <v>270</v>
      </c>
      <c r="AA31" s="452">
        <v>1</v>
      </c>
      <c r="AB31" s="452">
        <v>1</v>
      </c>
      <c r="AC31" s="452">
        <v>1</v>
      </c>
      <c r="AD31" s="452">
        <v>1</v>
      </c>
      <c r="AE31" s="452">
        <v>1</v>
      </c>
      <c r="AF31" s="452">
        <v>1</v>
      </c>
      <c r="AG31" s="452">
        <v>1</v>
      </c>
      <c r="AH31" s="452">
        <v>1</v>
      </c>
      <c r="AI31" s="452">
        <v>1</v>
      </c>
      <c r="AJ31" s="452">
        <v>1</v>
      </c>
      <c r="AK31" s="452">
        <v>1</v>
      </c>
      <c r="AL31" s="452">
        <v>1</v>
      </c>
      <c r="AM31" s="452">
        <v>1</v>
      </c>
    </row>
    <row r="32" spans="12:39" x14ac:dyDescent="0.25">
      <c r="L32" s="121" t="s">
        <v>415</v>
      </c>
      <c r="M32" s="121" t="s">
        <v>415</v>
      </c>
      <c r="R32" s="120" t="s">
        <v>270</v>
      </c>
      <c r="AA32" s="452">
        <v>1</v>
      </c>
      <c r="AB32" s="452">
        <v>1</v>
      </c>
      <c r="AC32" s="452">
        <v>1</v>
      </c>
      <c r="AD32" s="452">
        <v>1</v>
      </c>
      <c r="AE32" s="452">
        <v>1</v>
      </c>
      <c r="AF32" s="452">
        <v>1</v>
      </c>
      <c r="AG32" s="452">
        <v>1</v>
      </c>
      <c r="AH32" s="452">
        <v>1</v>
      </c>
      <c r="AI32" s="452">
        <v>1</v>
      </c>
      <c r="AJ32" s="452">
        <v>1</v>
      </c>
      <c r="AK32" s="452">
        <v>1</v>
      </c>
      <c r="AL32" s="452">
        <v>1</v>
      </c>
      <c r="AM32" s="452">
        <v>1</v>
      </c>
    </row>
    <row r="33" spans="12:39" x14ac:dyDescent="0.25">
      <c r="L33" s="121" t="s">
        <v>418</v>
      </c>
      <c r="M33" s="121" t="s">
        <v>418</v>
      </c>
      <c r="R33" s="120" t="s">
        <v>270</v>
      </c>
      <c r="AA33" s="452">
        <v>1</v>
      </c>
      <c r="AB33" s="452">
        <v>1</v>
      </c>
      <c r="AC33" s="452">
        <v>1</v>
      </c>
      <c r="AD33" s="452">
        <v>1</v>
      </c>
      <c r="AE33" s="452">
        <v>1</v>
      </c>
      <c r="AF33" s="452">
        <v>1</v>
      </c>
      <c r="AG33" s="452">
        <v>1</v>
      </c>
      <c r="AH33" s="452">
        <v>1</v>
      </c>
      <c r="AI33" s="452">
        <v>1</v>
      </c>
      <c r="AJ33" s="452">
        <v>1</v>
      </c>
      <c r="AK33" s="452">
        <v>1</v>
      </c>
      <c r="AL33" s="452">
        <v>1</v>
      </c>
      <c r="AM33" s="452">
        <v>1</v>
      </c>
    </row>
  </sheetData>
  <pageMargins left="0.25" right="0.25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enta">
                <anchor moveWithCells="1" sizeWithCells="1">
                  <from>
                    <xdr:col>2</xdr:col>
                    <xdr:colOff>0</xdr:colOff>
                    <xdr:row>11</xdr:row>
                    <xdr:rowOff>47625</xdr:rowOff>
                  </from>
                  <to>
                    <xdr:col>2</xdr:col>
                    <xdr:colOff>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ódulo1.Pedido">
                <anchor moveWithCells="1" sizeWithCells="1">
                  <from>
                    <xdr:col>9</xdr:col>
                    <xdr:colOff>314325</xdr:colOff>
                    <xdr:row>14</xdr:row>
                    <xdr:rowOff>133350</xdr:rowOff>
                  </from>
                  <to>
                    <xdr:col>9</xdr:col>
                    <xdr:colOff>1524000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BI257"/>
  <sheetViews>
    <sheetView tabSelected="1" topLeftCell="AI1" zoomScale="80" zoomScaleNormal="80" workbookViewId="0">
      <selection activeCell="BC5" sqref="BC5"/>
    </sheetView>
  </sheetViews>
  <sheetFormatPr baseColWidth="10" defaultRowHeight="15" x14ac:dyDescent="0.25"/>
  <cols>
    <col min="1" max="1" width="3.140625" customWidth="1"/>
    <col min="2" max="2" width="26.42578125" customWidth="1"/>
    <col min="4" max="4" width="13.42578125" customWidth="1"/>
    <col min="7" max="7" width="19" customWidth="1"/>
    <col min="8" max="8" width="6.7109375" customWidth="1"/>
    <col min="11" max="11" width="11.85546875" customWidth="1"/>
    <col min="13" max="13" width="5.42578125" customWidth="1"/>
    <col min="14" max="14" width="14.42578125" customWidth="1"/>
    <col min="15" max="15" width="7.42578125" customWidth="1"/>
    <col min="16" max="16" width="25.42578125" customWidth="1"/>
    <col min="17" max="17" width="13.5703125" customWidth="1"/>
    <col min="18" max="18" width="11.85546875" customWidth="1"/>
    <col min="19" max="19" width="12.42578125" customWidth="1"/>
    <col min="21" max="21" width="7.28515625" customWidth="1"/>
    <col min="34" max="34" width="6.28515625" customWidth="1"/>
    <col min="35" max="35" width="8.7109375" customWidth="1"/>
    <col min="36" max="36" width="8.28515625" customWidth="1"/>
    <col min="37" max="37" width="7.85546875" customWidth="1"/>
    <col min="38" max="38" width="8.7109375" customWidth="1"/>
    <col min="39" max="40" width="7.42578125" customWidth="1"/>
    <col min="41" max="41" width="8.7109375" customWidth="1"/>
    <col min="42" max="42" width="7.140625" customWidth="1"/>
    <col min="43" max="43" width="7.85546875" customWidth="1"/>
    <col min="44" max="44" width="8.7109375" customWidth="1"/>
    <col min="45" max="45" width="7.28515625" customWidth="1"/>
    <col min="46" max="46" width="8.7109375" customWidth="1"/>
    <col min="47" max="47" width="7.85546875" customWidth="1"/>
    <col min="48" max="48" width="8.7109375" customWidth="1"/>
    <col min="49" max="49" width="7.42578125" customWidth="1"/>
    <col min="50" max="52" width="8.7109375" customWidth="1"/>
    <col min="53" max="53" width="7.42578125" customWidth="1"/>
    <col min="54" max="55" width="10.42578125" customWidth="1"/>
    <col min="56" max="56" width="6.85546875" customWidth="1"/>
    <col min="57" max="57" width="10.85546875" customWidth="1"/>
    <col min="59" max="59" width="9.42578125" customWidth="1"/>
    <col min="61" max="61" width="8.7109375" customWidth="1"/>
  </cols>
  <sheetData>
    <row r="1" spans="2:61" ht="15" customHeight="1" thickBot="1" x14ac:dyDescent="0.3">
      <c r="B1" s="548" t="s">
        <v>311</v>
      </c>
      <c r="C1" s="549"/>
      <c r="D1" s="549"/>
      <c r="E1" s="549"/>
      <c r="F1" s="549"/>
      <c r="G1" s="550"/>
      <c r="I1" s="557" t="s">
        <v>320</v>
      </c>
      <c r="J1" s="558"/>
      <c r="K1" s="558"/>
      <c r="L1" s="559"/>
      <c r="N1" s="565" t="s">
        <v>151</v>
      </c>
      <c r="P1" s="532" t="s">
        <v>339</v>
      </c>
      <c r="Q1" s="533"/>
      <c r="R1" s="533"/>
      <c r="S1" s="533"/>
      <c r="T1" s="534"/>
      <c r="V1" s="538" t="s">
        <v>410</v>
      </c>
      <c r="W1" s="539"/>
      <c r="X1" s="539"/>
      <c r="Y1" s="539"/>
      <c r="Z1" s="539"/>
      <c r="AA1" s="539"/>
      <c r="AB1" s="539"/>
      <c r="AC1" s="539"/>
      <c r="AD1" s="539"/>
      <c r="AE1" s="539"/>
      <c r="AF1" s="539"/>
      <c r="AG1" s="540"/>
      <c r="AI1" s="636" t="s">
        <v>321</v>
      </c>
      <c r="AJ1" s="637"/>
      <c r="AK1" s="637"/>
      <c r="AL1" s="637"/>
      <c r="AM1" s="637"/>
      <c r="AN1" s="637"/>
      <c r="AO1" s="637"/>
      <c r="AP1" s="637"/>
      <c r="AQ1" s="637"/>
      <c r="AR1" s="637"/>
      <c r="AS1" s="637"/>
      <c r="AT1" s="637"/>
      <c r="AU1" s="637"/>
      <c r="AV1" s="637"/>
      <c r="AW1" s="637"/>
      <c r="AX1" s="637"/>
      <c r="AY1" s="637"/>
      <c r="AZ1" s="637"/>
      <c r="BA1" s="637"/>
      <c r="BB1" s="637"/>
      <c r="BC1" s="638"/>
      <c r="BE1" s="557" t="s">
        <v>271</v>
      </c>
      <c r="BF1" s="558"/>
      <c r="BG1" s="558"/>
      <c r="BH1" s="558"/>
      <c r="BI1" s="559"/>
    </row>
    <row r="2" spans="2:61" ht="17.25" customHeight="1" thickBot="1" x14ac:dyDescent="0.3">
      <c r="B2" s="551"/>
      <c r="C2" s="552"/>
      <c r="D2" s="552"/>
      <c r="E2" s="552"/>
      <c r="F2" s="552"/>
      <c r="G2" s="553"/>
      <c r="I2" s="560"/>
      <c r="J2" s="561"/>
      <c r="K2" s="561"/>
      <c r="L2" s="562"/>
      <c r="N2" s="566"/>
      <c r="P2" s="535"/>
      <c r="Q2" s="536"/>
      <c r="R2" s="536"/>
      <c r="S2" s="536"/>
      <c r="T2" s="537"/>
      <c r="U2" s="176"/>
      <c r="V2" s="541"/>
      <c r="W2" s="542"/>
      <c r="X2" s="542"/>
      <c r="Y2" s="542"/>
      <c r="Z2" s="542"/>
      <c r="AA2" s="542"/>
      <c r="AB2" s="542"/>
      <c r="AC2" s="542"/>
      <c r="AD2" s="542"/>
      <c r="AE2" s="542"/>
      <c r="AF2" s="542"/>
      <c r="AG2" s="543"/>
      <c r="AI2" s="496" t="s">
        <v>411</v>
      </c>
      <c r="AJ2" s="497">
        <f>SUM(AJ5:AJ40)</f>
        <v>-45</v>
      </c>
      <c r="AK2" s="497">
        <f>SUM(AK5:AK40)</f>
        <v>-33</v>
      </c>
      <c r="AL2" s="496" t="s">
        <v>411</v>
      </c>
      <c r="AM2" s="497">
        <f>SUM(AM5:AM30)</f>
        <v>-24</v>
      </c>
      <c r="AN2" s="497">
        <f t="shared" ref="AN2:BC2" si="0">SUM(AN5:AN30)</f>
        <v>-12</v>
      </c>
      <c r="AO2" s="496" t="s">
        <v>411</v>
      </c>
      <c r="AP2" s="497">
        <f t="shared" si="0"/>
        <v>-24</v>
      </c>
      <c r="AQ2" s="497">
        <f t="shared" si="0"/>
        <v>-12</v>
      </c>
      <c r="AR2" s="496" t="s">
        <v>411</v>
      </c>
      <c r="AS2" s="497">
        <f t="shared" si="0"/>
        <v>-24</v>
      </c>
      <c r="AT2" s="496" t="s">
        <v>411</v>
      </c>
      <c r="AU2" s="497">
        <f t="shared" si="0"/>
        <v>-12</v>
      </c>
      <c r="AV2" s="496" t="s">
        <v>411</v>
      </c>
      <c r="AW2" s="497">
        <f>SUM(AW5:AW30)</f>
        <v>-12</v>
      </c>
      <c r="AX2" s="496" t="s">
        <v>411</v>
      </c>
      <c r="AY2" s="497">
        <f t="shared" si="0"/>
        <v>-12</v>
      </c>
      <c r="AZ2" s="496" t="s">
        <v>411</v>
      </c>
      <c r="BA2" s="497">
        <f t="shared" si="0"/>
        <v>-12</v>
      </c>
      <c r="BB2" s="496" t="s">
        <v>411</v>
      </c>
      <c r="BC2" s="497">
        <f t="shared" si="0"/>
        <v>-12</v>
      </c>
      <c r="BE2" s="560"/>
      <c r="BF2" s="561"/>
      <c r="BG2" s="561"/>
      <c r="BH2" s="561"/>
      <c r="BI2" s="562"/>
    </row>
    <row r="3" spans="2:61" ht="42.75" customHeight="1" thickBot="1" x14ac:dyDescent="0.3">
      <c r="B3" s="285" t="s">
        <v>312</v>
      </c>
      <c r="C3" s="286" t="s">
        <v>313</v>
      </c>
      <c r="D3" s="286" t="s">
        <v>314</v>
      </c>
      <c r="E3" s="286" t="s">
        <v>315</v>
      </c>
      <c r="F3" s="286" t="s">
        <v>316</v>
      </c>
      <c r="G3" s="286" t="s">
        <v>317</v>
      </c>
      <c r="I3" s="379" t="s">
        <v>336</v>
      </c>
      <c r="J3" s="380" t="s">
        <v>337</v>
      </c>
      <c r="K3" s="384" t="s">
        <v>338</v>
      </c>
      <c r="L3" s="292" t="s">
        <v>313</v>
      </c>
      <c r="N3" s="396" t="s">
        <v>325</v>
      </c>
      <c r="P3" s="286" t="s">
        <v>325</v>
      </c>
      <c r="Q3" s="389" t="s">
        <v>408</v>
      </c>
      <c r="R3" s="389" t="s">
        <v>406</v>
      </c>
      <c r="S3" s="389" t="s">
        <v>407</v>
      </c>
      <c r="T3" s="390" t="s">
        <v>340</v>
      </c>
      <c r="U3" s="176"/>
      <c r="V3" s="311" t="s">
        <v>362</v>
      </c>
      <c r="W3" s="312" t="s">
        <v>392</v>
      </c>
      <c r="X3" s="312" t="s">
        <v>363</v>
      </c>
      <c r="Y3" s="312" t="s">
        <v>364</v>
      </c>
      <c r="Z3" s="312" t="s">
        <v>365</v>
      </c>
      <c r="AA3" s="312" t="s">
        <v>366</v>
      </c>
      <c r="AB3" s="312" t="s">
        <v>367</v>
      </c>
      <c r="AC3" s="312" t="s">
        <v>367</v>
      </c>
      <c r="AD3" s="312" t="s">
        <v>368</v>
      </c>
      <c r="AE3" s="313" t="s">
        <v>369</v>
      </c>
      <c r="AF3" s="392" t="s">
        <v>370</v>
      </c>
      <c r="AG3" s="390" t="s">
        <v>409</v>
      </c>
      <c r="AI3" s="582" t="s">
        <v>376</v>
      </c>
      <c r="AJ3" s="583"/>
      <c r="AK3" s="584"/>
      <c r="AL3" s="582" t="s">
        <v>377</v>
      </c>
      <c r="AM3" s="583"/>
      <c r="AN3" s="584"/>
      <c r="AO3" s="582" t="s">
        <v>378</v>
      </c>
      <c r="AP3" s="583"/>
      <c r="AQ3" s="584"/>
      <c r="AR3" s="582" t="s">
        <v>379</v>
      </c>
      <c r="AS3" s="584"/>
      <c r="AT3" s="582" t="s">
        <v>375</v>
      </c>
      <c r="AU3" s="584"/>
      <c r="AV3" s="624" t="s">
        <v>373</v>
      </c>
      <c r="AW3" s="625"/>
      <c r="AX3" s="624" t="s">
        <v>282</v>
      </c>
      <c r="AY3" s="625"/>
      <c r="AZ3" s="624" t="s">
        <v>283</v>
      </c>
      <c r="BA3" s="625"/>
      <c r="BB3" s="582" t="s">
        <v>374</v>
      </c>
      <c r="BC3" s="584"/>
      <c r="BE3" s="314" t="s">
        <v>4</v>
      </c>
      <c r="BF3" s="315"/>
      <c r="BG3" s="315"/>
      <c r="BH3" s="315"/>
      <c r="BI3" s="316"/>
    </row>
    <row r="4" spans="2:61" s="170" customFormat="1" ht="15.75" customHeight="1" thickBot="1" x14ac:dyDescent="0.3">
      <c r="B4" s="293" t="s">
        <v>318</v>
      </c>
      <c r="C4" s="287"/>
      <c r="D4" s="294"/>
      <c r="E4" s="295"/>
      <c r="F4" s="296"/>
      <c r="G4" s="297"/>
      <c r="I4" s="382">
        <f>SUMIFS(UndCompra,Material,Inv!$I$1,Ref,Inv!I3)</f>
        <v>0</v>
      </c>
      <c r="J4" s="13">
        <f>SUMIFS(UndCompra,Material,Inv!$I$1,Ref,Inv!J3)</f>
        <v>0</v>
      </c>
      <c r="K4" s="385">
        <f>SUMIFS(UndCompra,Material,Inv!$I$1,Ref,Inv!K3)</f>
        <v>0</v>
      </c>
      <c r="L4" s="386">
        <f>SUM(I4:K4)</f>
        <v>0</v>
      </c>
      <c r="N4" s="397" t="s">
        <v>270</v>
      </c>
      <c r="P4" s="307" t="s">
        <v>341</v>
      </c>
      <c r="Q4" s="391">
        <f t="shared" ref="Q4:S24" si="1">SUMIFS(UndCompra,Material,$P$1,Ref,Q$3,Color,$P4)</f>
        <v>0</v>
      </c>
      <c r="R4" s="391">
        <f t="shared" si="1"/>
        <v>0</v>
      </c>
      <c r="S4" s="391">
        <f t="shared" si="1"/>
        <v>0</v>
      </c>
      <c r="T4" s="475">
        <f>SUM(Q4:S4)</f>
        <v>0</v>
      </c>
      <c r="U4" s="176"/>
      <c r="V4" s="476" t="s">
        <v>371</v>
      </c>
      <c r="W4" s="391">
        <f t="shared" ref="W4:AF15" si="2">SUMIFS(UndCompra,Material,$V$1,Ref,W$3,Talla,$V4)</f>
        <v>0</v>
      </c>
      <c r="X4" s="391">
        <f t="shared" si="2"/>
        <v>0</v>
      </c>
      <c r="Y4" s="391">
        <f t="shared" si="2"/>
        <v>0</v>
      </c>
      <c r="Z4" s="391">
        <f t="shared" si="2"/>
        <v>0</v>
      </c>
      <c r="AA4" s="391">
        <f t="shared" si="2"/>
        <v>0</v>
      </c>
      <c r="AB4" s="391">
        <f t="shared" si="2"/>
        <v>0</v>
      </c>
      <c r="AC4" s="391">
        <f t="shared" si="2"/>
        <v>0</v>
      </c>
      <c r="AD4" s="391">
        <f t="shared" si="2"/>
        <v>0</v>
      </c>
      <c r="AE4" s="391">
        <f t="shared" si="2"/>
        <v>0</v>
      </c>
      <c r="AF4" s="391">
        <f t="shared" si="2"/>
        <v>0</v>
      </c>
      <c r="AG4" s="477">
        <f>SUM(W4:AF4)</f>
        <v>0</v>
      </c>
      <c r="AI4" s="322" t="s">
        <v>380</v>
      </c>
      <c r="AJ4" s="323" t="s">
        <v>269</v>
      </c>
      <c r="AK4" s="324" t="s">
        <v>270</v>
      </c>
      <c r="AL4" s="322">
        <v>21</v>
      </c>
      <c r="AM4" s="323" t="s">
        <v>269</v>
      </c>
      <c r="AN4" s="324" t="s">
        <v>270</v>
      </c>
      <c r="AO4" s="322" t="s">
        <v>381</v>
      </c>
      <c r="AP4" s="323" t="s">
        <v>269</v>
      </c>
      <c r="AQ4" s="324" t="s">
        <v>270</v>
      </c>
      <c r="AR4" s="420" t="s">
        <v>382</v>
      </c>
      <c r="AS4" s="408" t="s">
        <v>269</v>
      </c>
      <c r="AT4" s="420" t="s">
        <v>383</v>
      </c>
      <c r="AU4" s="460" t="s">
        <v>269</v>
      </c>
      <c r="AV4" s="328" t="s">
        <v>386</v>
      </c>
      <c r="AW4" s="327" t="s">
        <v>269</v>
      </c>
      <c r="AX4" s="423" t="s">
        <v>387</v>
      </c>
      <c r="AY4" s="408" t="s">
        <v>269</v>
      </c>
      <c r="AZ4" s="473">
        <v>72</v>
      </c>
      <c r="BA4" s="474" t="s">
        <v>269</v>
      </c>
      <c r="BB4" s="332" t="s">
        <v>384</v>
      </c>
      <c r="BC4" s="331" t="s">
        <v>269</v>
      </c>
      <c r="BE4" s="138" t="s">
        <v>385</v>
      </c>
      <c r="BF4" s="157" t="s">
        <v>269</v>
      </c>
      <c r="BG4" s="333" t="s">
        <v>272</v>
      </c>
      <c r="BH4" s="137" t="s">
        <v>273</v>
      </c>
      <c r="BI4" s="136" t="s">
        <v>272</v>
      </c>
    </row>
    <row r="5" spans="2:61" s="170" customFormat="1" x14ac:dyDescent="0.25">
      <c r="B5" s="298" t="s">
        <v>319</v>
      </c>
      <c r="C5" s="288"/>
      <c r="D5" s="147"/>
      <c r="E5" s="299"/>
      <c r="F5" s="300"/>
      <c r="G5" s="301"/>
      <c r="N5" s="398" t="s">
        <v>269</v>
      </c>
      <c r="P5" s="308" t="s">
        <v>342</v>
      </c>
      <c r="Q5" s="391">
        <f t="shared" si="1"/>
        <v>0</v>
      </c>
      <c r="R5" s="391">
        <f t="shared" si="1"/>
        <v>0</v>
      </c>
      <c r="S5" s="391">
        <f t="shared" si="1"/>
        <v>0</v>
      </c>
      <c r="T5" s="478">
        <f>SUM(Q5:S5)</f>
        <v>0</v>
      </c>
      <c r="U5" s="176"/>
      <c r="V5" s="479" t="s">
        <v>372</v>
      </c>
      <c r="W5" s="391">
        <f t="shared" si="2"/>
        <v>0</v>
      </c>
      <c r="X5" s="391">
        <f t="shared" si="2"/>
        <v>0</v>
      </c>
      <c r="Y5" s="391">
        <f t="shared" si="2"/>
        <v>0</v>
      </c>
      <c r="Z5" s="391">
        <f t="shared" si="2"/>
        <v>0</v>
      </c>
      <c r="AA5" s="391">
        <f t="shared" si="2"/>
        <v>0</v>
      </c>
      <c r="AB5" s="391">
        <f t="shared" si="2"/>
        <v>0</v>
      </c>
      <c r="AC5" s="391">
        <f t="shared" si="2"/>
        <v>0</v>
      </c>
      <c r="AD5" s="391">
        <f t="shared" si="2"/>
        <v>0</v>
      </c>
      <c r="AE5" s="391">
        <f t="shared" si="2"/>
        <v>0</v>
      </c>
      <c r="AF5" s="391">
        <f t="shared" si="2"/>
        <v>0</v>
      </c>
      <c r="AG5" s="480">
        <f>SUM(W5:AF5)</f>
        <v>0</v>
      </c>
      <c r="AI5" s="325">
        <v>35</v>
      </c>
      <c r="AJ5" s="403">
        <f>SUMIFS(UndCompra,Material,$AI$1,Ref,$AI$3,Color,$AJ$4,Tamaño,$AI$5)-SUMIFS(_4C,SKU,$BE$31,Cierre,AJ$4)</f>
        <v>-1</v>
      </c>
      <c r="AK5" s="492">
        <f>SUMIFS(UndCompra,Material,$AI$1,Ref,$AI$3,Color,$AK$4,Tamaño,$AI$5)-SUMIFS(_4C,SKU,$BE$31,Cierre,AK$4)</f>
        <v>-1</v>
      </c>
      <c r="AL5" s="635">
        <v>13</v>
      </c>
      <c r="AM5" s="416">
        <f>SUMIFS(UndCompra,Material,$AI$1,Ref,$AL$3,Color,$AM$4,Tamaño,$AL$5)-SUMIFS(_4C,SKU,$BE$83,Cierre,$AM$4)-SUMIFS(_6C,SKU,$BE$83,Cierre,$AM$4)-SUMIFS(YXS,SKU,$BE$83,Cierre,$AM$4)-SUMIFS(YS,SKU,$BE$83,Cierre,$AM$4)-SUMIFS(YM,SKU,$BE$83,Cierre,$AM$4)-SUMIFS(_4C,SKU,$BE$97,Cierre,$AM$4)-SUMIFS(_6C,SKU,$BE$97,Cierre,$AM$4)-SUMIFS(YXS,SKU,$BE$97,Cierre,$AM$4)-SUMIFS(YS,SKU,$BE$97,Cierre,$AM$4)-SUMIFS(YM,SKU,$BE$97,Cierre,$AM$4)</f>
        <v>-10</v>
      </c>
      <c r="AN5" s="417">
        <f>SUMIFS(UndCompra,Material,$AI$1,Ref,$AL$3,Color,$AN$4,Tamaño,$AL$5)-SUMIFS(_4C,SKU,$BE$83,Cierre,$AN$4)-SUMIFS(_6C,SKU,$BE$83,Cierre,$AN$4)-SUMIFS(YXS,SKU,$BE$83,Cierre,$AN$4)-SUMIFS(YS,SKU,$BE$83,Cierre,$AN$4)-SUMIFS(YM,SKU,$BE$83,Cierre,$AN$4)</f>
        <v>-5</v>
      </c>
      <c r="AO5" s="326">
        <v>13</v>
      </c>
      <c r="AP5" s="410">
        <f>SUMIFS(UndCompra,Material,$AI$1,Ref,$AO$3,Color,$AP$4,Tamaño,$AO$5)-SUMIFS(_4C,SKU,$BE$112,Cierre,$AP$4)-SUMIFS(_6C,SKU,$BE$112,Cierre,$AP$4)-SUMIFS(_4C,SKU,$BE$126,Cierre,$AP$4)-SUMIFS(_6C,SKU,$BE$126,Cierre,$AP$4)</f>
        <v>-4</v>
      </c>
      <c r="AQ5" s="411">
        <f>SUMIFS(UndCompra,Material,$AI$1,Ref,$AO$3,Color,$AQ$4,Tamaño,$AO$5)-SUMIFS(_4C,SKU,$BE$112,Cierre,$AQ$4)-SUMIFS(_6C,SKU,$BE$112,Cierre,$AQ$4)</f>
        <v>-2</v>
      </c>
      <c r="AR5" s="326">
        <v>10</v>
      </c>
      <c r="AS5" s="411">
        <f>SUMIFS(UndCompra,Material,$AI$1,Ref,$AR$3,Tamaño,$AR$5)-SUMIFS(_4C,SKU,$BE$141,Cierre,$AS$4)-SUMIFS(_6C,SKU,$BE$141,Cierre,$AS$4)-SUMIFS(YXS,SKU,$BE$141,Cierre,$AS$4)</f>
        <v>-3</v>
      </c>
      <c r="AT5" s="325">
        <v>40</v>
      </c>
      <c r="AU5" s="411">
        <f>SUMIFS(UndCompra,Material,$AI$1,Ref,$AT$3,Tamaño,$AT$5)-SUMIFS(_4C,SKU,$BE$170,Cierre,$AU$4)</f>
        <v>-1</v>
      </c>
      <c r="AV5" s="457">
        <v>12</v>
      </c>
      <c r="AW5" s="411">
        <f>SUMIFS(UndCompra,Material,$AI$1,Ref,$AV$3,Tamaño,$AV$5)-SUMIFS(_4C,SKU,$BE$199,Cierre,$AW$4)-SUMIFS(_6C,SKU,$BE$199,Cierre,$AW$4)-SUMIFS(YXS,SKU,$BE$199,Cierre,$AW$4)</f>
        <v>-3</v>
      </c>
      <c r="AX5" s="143">
        <v>10</v>
      </c>
      <c r="AY5" s="467">
        <f>SUMIFS(UndCompra,Material,$AI$1,Ref,$AX$3,Tamaño,$AX$5)-SUMIFS(_4C,SKU,$BE$214,Cierre,$AY$4)-SUMIFS(_6C,SKU,$BE$214,Cierre,$AY$4)-SUMIFS(YXS,SKU,$BE$214,Cierre,$AY$4)-SUMIFS(YS,SKU,$BE$214,Cierre,$AY$4)-SUMIFS(YM,SKU,$BE$214,Cierre,$AY$4)</f>
        <v>-5</v>
      </c>
      <c r="AZ5" s="409">
        <v>57</v>
      </c>
      <c r="BA5" s="411">
        <f>SUMIFS(UndCompra,Material,$AI$1,Ref,$AZ$3,Tamaño,$AZ$5)-SUMIFS(_4C,SKU,$BE$229,Cierre,$BA$4)</f>
        <v>-1</v>
      </c>
      <c r="BB5" s="471">
        <v>15</v>
      </c>
      <c r="BC5" s="388">
        <f>SUMIFS(UndCompra,Material,$AI$1,Ref,$BB$3,Tamaño,$BB$5)-SUMIFS(_4C,SKU,$BE$244,Cierre,$BC$4)-SUMIFS(_6C,SKU,$BE$244,Cierre,$BC$4)-SUMIFS(YXS,SKU,$BE$244,Cierre,$BC$4)-SUMIFS(YS,SKU,$BE$244,Cierre,$BC$4)-SUMIFS(YM,SKU,$BE$244,Cierre,$BC$4)</f>
        <v>-5</v>
      </c>
      <c r="BE5" s="159" t="s">
        <v>371</v>
      </c>
      <c r="BF5" s="139">
        <v>48</v>
      </c>
      <c r="BG5" s="334">
        <f>+AJ13</f>
        <v>-3</v>
      </c>
      <c r="BH5" s="139">
        <v>48</v>
      </c>
      <c r="BI5" s="344">
        <f>+AK13</f>
        <v>-2</v>
      </c>
    </row>
    <row r="6" spans="2:61" s="170" customFormat="1" ht="15.75" thickBot="1" x14ac:dyDescent="0.3">
      <c r="B6" s="298" t="s">
        <v>320</v>
      </c>
      <c r="C6" s="288"/>
      <c r="D6" s="302"/>
      <c r="E6" s="299"/>
      <c r="F6" s="300"/>
      <c r="G6" s="301"/>
      <c r="N6" s="398" t="s">
        <v>251</v>
      </c>
      <c r="P6" s="308" t="s">
        <v>343</v>
      </c>
      <c r="Q6" s="391">
        <f t="shared" si="1"/>
        <v>0</v>
      </c>
      <c r="R6" s="391">
        <f t="shared" si="1"/>
        <v>0</v>
      </c>
      <c r="S6" s="391">
        <f t="shared" si="1"/>
        <v>0</v>
      </c>
      <c r="T6" s="478">
        <f t="shared" ref="T6:T24" si="3">SUM(Q6:S6)</f>
        <v>0</v>
      </c>
      <c r="U6" s="176"/>
      <c r="V6" s="479" t="s">
        <v>240</v>
      </c>
      <c r="W6" s="391">
        <f t="shared" si="2"/>
        <v>0</v>
      </c>
      <c r="X6" s="391">
        <f t="shared" si="2"/>
        <v>0</v>
      </c>
      <c r="Y6" s="391">
        <f t="shared" si="2"/>
        <v>0</v>
      </c>
      <c r="Z6" s="391">
        <f t="shared" si="2"/>
        <v>0</v>
      </c>
      <c r="AA6" s="391">
        <f t="shared" si="2"/>
        <v>0</v>
      </c>
      <c r="AB6" s="391">
        <f t="shared" si="2"/>
        <v>0</v>
      </c>
      <c r="AC6" s="391">
        <f t="shared" si="2"/>
        <v>0</v>
      </c>
      <c r="AD6" s="391">
        <f t="shared" si="2"/>
        <v>0</v>
      </c>
      <c r="AE6" s="391">
        <f t="shared" si="2"/>
        <v>0</v>
      </c>
      <c r="AF6" s="391">
        <f t="shared" si="2"/>
        <v>0</v>
      </c>
      <c r="AG6" s="480">
        <f>SUM(W6:AF6)</f>
        <v>0</v>
      </c>
      <c r="AI6" s="134">
        <v>37</v>
      </c>
      <c r="AJ6" s="402">
        <f>SUMIFS(UndCompra,Material,$AI$1,Ref,$AI$3,Color,$AJ$4,Tamaño,$AI$6)-SUMIFS(_6C,SKU,$BE$31,Cierre,AJ$4)</f>
        <v>-1</v>
      </c>
      <c r="AK6" s="404">
        <f>SUMIFS(UndCompra,Material,$AI$1,Ref,$AI$3,Color,$AK$4,Tamaño,$AI$6)-SUMIFS(_6C,SKU,$BE$31,Cierre,AK$4)</f>
        <v>-1</v>
      </c>
      <c r="AL6" s="458">
        <v>15</v>
      </c>
      <c r="AM6" s="418">
        <f>SUMIFS(UndCompra,Material,$AI$1,Ref,$AL$3,Color,$AM$4,Tamaño,$AL$5)-SUMIFS(YL,SKU,$BE$83,Cierre,$AM$4)-SUMIFS(XS,SKU,$BE$83,Cierre,$AM$4)-SUMIFS(S,SKU,$BE$83,Cierre,$AM$4)-SUMIFS(M,SKU,$BE$83,Cierre,$AM$4)-SUMIFS(L,SKU,$BE$83,Cierre,$AM$4)-SUMIFS(XL,SKU,$BE$83,Cierre,$AM$4)-SUMIFS(XXL,SKU,$BE$83,Cierre,$AM$4)-SUMIFS(YL,SKU,$BE$97,Cierre,$AM$4)-SUMIFS(XS,SKU,$BE$97,Cierre,$AM$4)-SUMIFS(S,SKU,$BE$97,Cierre,$AM$4)-SUMIFS(M,SKU,$BE$97,Cierre,$AM$4)-SUMIFS(L,SKU,$BE$97,Cierre,$AM$4)-SUMIFS(XL,SKU,$BE$97,Cierre,$AM$4)-SUMIFS(XXL,SKU,$BE$97,Cierre,$AM$4)</f>
        <v>-14</v>
      </c>
      <c r="AN6" s="419">
        <f>SUMIFS(UndCompra,Material,$AI$1,Ref,$AL$3,Color,$AN$4,Tamaño,$AL$6)-SUMIFS(YL,SKU,$BE$83,Cierre,$AN$4)-SUMIFS(XS,SKU,$BE$83,Cierre,$AN$4)-SUMIFS(S,SKU,$BE$83,Cierre,$AN$4)-SUMIFS(M,SKU,$BE$83,Cierre,$AN$4)-SUMIFS(L,SKU,$BE$83,Cierre,$AN$4)-SUMIFS(XL,SKU,$BE$83,Cierre,$AN$4)-SUMIFS(XXL,SKU,$BE$83,Cierre,$AN$4)</f>
        <v>-7</v>
      </c>
      <c r="AO6" s="134">
        <v>15</v>
      </c>
      <c r="AP6" s="412">
        <f>SUMIFS(UndCompra,Material,$AI$1,Ref,$AO$3,Color,$AP$4,Tamaño,$AO6)-SUMIFS(YXS,SKU,$BE$112,Cierre,$AP$4)-SUMIFS(YS,SKU,$BE$112,Cierre,$AP$4)-SUMIFS(YM,SKU,$BE$112,Cierre,$AP$4)-SUMIFS(YXS,SKU,$BE$126,Cierre,$AP$4)-SUMIFS(YS,SKU,$BE$126,Cierre,$AP$4)-SUMIFS(YM,SKU,$BE$126,Cierre,$AP$4)</f>
        <v>-6</v>
      </c>
      <c r="AQ6" s="413">
        <f>SUMIFS(UndCompra,Material,$AI$1,Ref,$AO$3,Color,$AQ$4,Tamaño,$AO6)-SUMIFS(YXS,SKU,$BE$112,Cierre,$AQ$4)-SUMIFS(YS,SKU,$BE$112,Cierre,$AQ$4)-SUMIFS(YM,SKU,$BE$112,Cierre,$AQ$4)</f>
        <v>-3</v>
      </c>
      <c r="AR6" s="134">
        <v>12</v>
      </c>
      <c r="AS6" s="413">
        <f>SUMIFS(UndCompra,Material,$AI$1,Ref,$AR$3,Tamaño,$AR$6)-SUMIFS(YS,SKU,$BE$141,Cierre,$AS$4)-SUMIFS(YM,SKU,$BE$141,Cierre,$AS$4)-SUMIFS(YL,SKU,$BE$141,Cierre,$AS$4)-SUMIFS(_4C,SKU,$BE$155,Cierre,$AS$4)-SUMIFS(_6C,SKU,$BE$155,Cierre,$AS$4)</f>
        <v>-5</v>
      </c>
      <c r="AT6" s="134">
        <v>44</v>
      </c>
      <c r="AU6" s="413">
        <f>SUMIFS(UndCompra,Material,$AI$1,Ref,$AT$3,Tamaño,$AT$6)-SUMIFS(_6C,SKU,$BE$170,Cierre,$AU$4)</f>
        <v>-1</v>
      </c>
      <c r="AV6" s="407">
        <v>13</v>
      </c>
      <c r="AW6" s="421">
        <f>SUMIFS(UndCompra,Material,$AI$1,Ref,$AV$3,Tamaño,$AV$6)-SUMIFS(YS,SKU,$BE$199,Cierre,$AW$4)-SUMIFS(YM,SKU,$BE$199,Cierre,$AW$4)</f>
        <v>-2</v>
      </c>
      <c r="AX6" s="134">
        <v>12</v>
      </c>
      <c r="AY6" s="468">
        <f>SUMIFS(UndCompra,Material,$AI$1,Ref,$AX$3,Tamaño,$AX$6)-SUMIFS(YM,SKU,$BE$214,Cierre,$AY$4)-SUMIFS(YL,SKU,$BE$214,Cierre,$AY$4)</f>
        <v>-2</v>
      </c>
      <c r="AZ6" s="329">
        <v>58</v>
      </c>
      <c r="BA6" s="413">
        <f>SUMIFS(UndCompra,Material,$AI$1,Ref,$AZ$3,Tamaño,$AZ$6)-SUMIFS(_6C,SKU,$BE$229,Cierre,$BA$4)</f>
        <v>-1</v>
      </c>
      <c r="BB6" s="472">
        <v>20</v>
      </c>
      <c r="BC6" s="150">
        <f>SUMIFS(UndCompra,Material,$AI$1,Ref,$BB$3,Tamaño,$BB$6)-SUMIFS(YL,SKU,$BE$244,Cierre,$BC$4)-SUMIFS(XS,SKU,$BE$244,Cierre,$BC$4)-SUMIFS(S,SKU,$BE$244,Cierre,$BC$4)-SUMIFS(M,SKU,$BE$244,Cierre,$BC$4)-SUMIFS(L,SKU,$BE$244,Cierre,$BC$4)-SUMIFS(XL,SKU,$BE$244,Cierre,$BC$4)-SUMIFS(XXL,SKU,$BE$244,Cierre,$BC$4)</f>
        <v>-7</v>
      </c>
      <c r="BE6" s="160" t="s">
        <v>372</v>
      </c>
      <c r="BF6" s="135">
        <v>52</v>
      </c>
      <c r="BG6" s="335">
        <f>+AJ16</f>
        <v>-1</v>
      </c>
      <c r="BH6" s="135">
        <v>52</v>
      </c>
      <c r="BI6" s="341">
        <f>+AK16</f>
        <v>-1</v>
      </c>
    </row>
    <row r="7" spans="2:61" s="170" customFormat="1" ht="15" customHeight="1" thickBot="1" x14ac:dyDescent="0.3">
      <c r="B7" s="298" t="s">
        <v>321</v>
      </c>
      <c r="C7" s="289"/>
      <c r="D7" s="147"/>
      <c r="E7" s="299"/>
      <c r="F7" s="300"/>
      <c r="G7" s="301"/>
      <c r="I7" s="563" t="s">
        <v>391</v>
      </c>
      <c r="J7" s="564"/>
      <c r="N7" s="398" t="s">
        <v>254</v>
      </c>
      <c r="P7" s="308" t="s">
        <v>344</v>
      </c>
      <c r="Q7" s="391">
        <f t="shared" si="1"/>
        <v>0</v>
      </c>
      <c r="R7" s="391">
        <f t="shared" si="1"/>
        <v>0</v>
      </c>
      <c r="S7" s="391">
        <f t="shared" si="1"/>
        <v>0</v>
      </c>
      <c r="T7" s="478">
        <f t="shared" si="3"/>
        <v>0</v>
      </c>
      <c r="U7" s="176"/>
      <c r="V7" s="479" t="s">
        <v>241</v>
      </c>
      <c r="W7" s="391">
        <f t="shared" si="2"/>
        <v>0</v>
      </c>
      <c r="X7" s="391">
        <f t="shared" si="2"/>
        <v>0</v>
      </c>
      <c r="Y7" s="391">
        <f t="shared" si="2"/>
        <v>0</v>
      </c>
      <c r="Z7" s="391">
        <f t="shared" si="2"/>
        <v>0</v>
      </c>
      <c r="AA7" s="391">
        <f t="shared" si="2"/>
        <v>0</v>
      </c>
      <c r="AB7" s="391">
        <f t="shared" si="2"/>
        <v>0</v>
      </c>
      <c r="AC7" s="391">
        <f t="shared" si="2"/>
        <v>0</v>
      </c>
      <c r="AD7" s="391">
        <f t="shared" si="2"/>
        <v>0</v>
      </c>
      <c r="AE7" s="391">
        <f t="shared" si="2"/>
        <v>0</v>
      </c>
      <c r="AF7" s="391">
        <f t="shared" si="2"/>
        <v>0</v>
      </c>
      <c r="AG7" s="480">
        <f t="shared" ref="AG7:AG15" si="4">SUM(W7:AF7)</f>
        <v>0</v>
      </c>
      <c r="AI7" s="134">
        <v>39</v>
      </c>
      <c r="AJ7" s="402">
        <f>SUMIFS(UndCompra,Material,$AI$1,Ref,$AI$3,Color,$AJ$4,Tamaño,$AI$7)-SUMIFS(YXS,SKU,$BE$31,Cierre,AJ$4)</f>
        <v>-1</v>
      </c>
      <c r="AK7" s="404">
        <f>SUMIFS(UndCompra,Material,$AI$1,Ref,$AI$3,Color,$AK$4,Tamaño,$AI$7)-SUMIFS(YXS,SKU,$BE$31,Cierre,AK$4)</f>
        <v>-1</v>
      </c>
      <c r="AL7" s="449"/>
      <c r="AM7" s="449"/>
      <c r="AN7"/>
      <c r="AO7" s="134">
        <v>18</v>
      </c>
      <c r="AP7" s="412">
        <f>SUMIFS(UndCompra,Material,$AI$1,Ref,$AO$3,Color,$AP$4,Tamaño,$AO$7)-SUMIFS(YL,SKU,$BE$112,Cierre,$AP$4)-SUMIFS(XS,SKU,$BE$112,Cierre,$AP$4)-SUMIFS(YL,SKU,$BE$126,Cierre,$AP$4)-SUMIFS(XS,SKU,$BE$126,Cierre,$AP$4)</f>
        <v>-4</v>
      </c>
      <c r="AQ7" s="413">
        <f>SUMIFS(UndCompra,Material,$AI$1,Ref,$AO$3,Color,$AQ$4,Tamaño,$AO$7)-SUMIFS(YL,SKU,$BE$112,Cierre,$AQ$4)-SUMIFS(XS,SKU,$BE$112,Cierre,$AQ$4)</f>
        <v>-2</v>
      </c>
      <c r="AR7" s="134">
        <v>13</v>
      </c>
      <c r="AS7" s="413">
        <f>SUMIFS(UndCompra,Material,$AI$1,Ref,$AR$3,Tamaño,$AR$7)-SUMIFS(XS,SKU,$BE$141,Cierre,$AS$4)-SUMIFS(S,SKU,$BE$141,Cierre,$AS$4)-SUMIFS(YXS,SKU,$BE$155,Cierre,$AS$4)-SUMIFS(YS,SKU,$BE$155,Cierre,$AS$4)</f>
        <v>-4</v>
      </c>
      <c r="AT7" s="134">
        <v>45</v>
      </c>
      <c r="AU7" s="413">
        <f>SUMIFS(UndCompra,Material,$AI$1,Ref,$AT$3,Tamaño,$AT$7)-SUMIFS(YXS,SKU,$BE$170,Cierre,$AU$4)-SUMIFS(YS,SKU,$BE$170,Cierre,$AU$4)</f>
        <v>-2</v>
      </c>
      <c r="AV7" s="407">
        <v>14</v>
      </c>
      <c r="AW7" s="421">
        <f>SUMIFS(UndCompra,Material,$AI$1,Ref,$AV$3,Tamaño,$AV$7)-SUMIFS(YL,SKU,$BE$199,Cierre,$AW$4)-SUMIFS(XS,SKU,$BE$199,Cierre,$AW$4)</f>
        <v>-2</v>
      </c>
      <c r="AX7" s="141">
        <v>15</v>
      </c>
      <c r="AY7" s="469">
        <f>SUMIFS(UndCompra,Material,$AI$1,Ref,$AX$3,Tamaño,$AX$7)-SUMIFS(S,SKU,$BE$214,Cierre,$AY$4)-SUMIFS(M,SKU,$BE$214,Cierre,$AY$4)-SUMIFS(L,SKU,$BE$214,Cierre,$AY$4)-SUMIFS(XL,SKU,$BE$214,Cierre,$AY$4)-SUMIFS(XXL,SKU,$BE$214,Cierre,$AY$4)</f>
        <v>-5</v>
      </c>
      <c r="AZ7" s="329">
        <v>61</v>
      </c>
      <c r="BA7" s="413">
        <f>SUMIFS(UndCompra,Material,$AI$1,Ref,$AZ$3,Tamaño,$AZ$7)-SUMIFS(YXS,SKU,$BE$229,Cierre,$BA$4)</f>
        <v>-1</v>
      </c>
      <c r="BB7" s="449"/>
      <c r="BC7" s="449"/>
      <c r="BE7" s="160" t="s">
        <v>240</v>
      </c>
      <c r="BF7" s="135">
        <v>53</v>
      </c>
      <c r="BG7" s="335">
        <f>+AJ17</f>
        <v>-2</v>
      </c>
      <c r="BH7" s="135">
        <v>53</v>
      </c>
      <c r="BI7" s="341">
        <f>+AK17</f>
        <v>-2</v>
      </c>
    </row>
    <row r="8" spans="2:61" s="170" customFormat="1" ht="16.5" customHeight="1" thickBot="1" x14ac:dyDescent="0.3">
      <c r="B8" s="298" t="s">
        <v>322</v>
      </c>
      <c r="C8" s="289"/>
      <c r="D8" s="147"/>
      <c r="E8" s="299"/>
      <c r="F8" s="300"/>
      <c r="G8" s="301"/>
      <c r="I8" s="159" t="s">
        <v>371</v>
      </c>
      <c r="J8" s="376">
        <f>SUMIFS(UndCompra,Material,Inv!$I$7,Talla,Inv!I8)</f>
        <v>0</v>
      </c>
      <c r="N8" s="398" t="s">
        <v>253</v>
      </c>
      <c r="P8" s="309" t="s">
        <v>345</v>
      </c>
      <c r="Q8" s="391">
        <f t="shared" si="1"/>
        <v>0</v>
      </c>
      <c r="R8" s="391">
        <f t="shared" si="1"/>
        <v>0</v>
      </c>
      <c r="S8" s="391">
        <f t="shared" si="1"/>
        <v>0</v>
      </c>
      <c r="T8" s="478">
        <f t="shared" si="3"/>
        <v>0</v>
      </c>
      <c r="U8" s="176"/>
      <c r="V8" s="479" t="s">
        <v>242</v>
      </c>
      <c r="W8" s="391">
        <f t="shared" si="2"/>
        <v>0</v>
      </c>
      <c r="X8" s="391">
        <f t="shared" si="2"/>
        <v>0</v>
      </c>
      <c r="Y8" s="391">
        <f t="shared" si="2"/>
        <v>0</v>
      </c>
      <c r="Z8" s="391">
        <f t="shared" si="2"/>
        <v>0</v>
      </c>
      <c r="AA8" s="391">
        <f t="shared" si="2"/>
        <v>0</v>
      </c>
      <c r="AB8" s="391">
        <f t="shared" si="2"/>
        <v>0</v>
      </c>
      <c r="AC8" s="391">
        <f t="shared" si="2"/>
        <v>0</v>
      </c>
      <c r="AD8" s="391">
        <f t="shared" si="2"/>
        <v>0</v>
      </c>
      <c r="AE8" s="391">
        <f t="shared" si="2"/>
        <v>0</v>
      </c>
      <c r="AF8" s="391">
        <f t="shared" si="2"/>
        <v>0</v>
      </c>
      <c r="AG8" s="480">
        <f t="shared" si="4"/>
        <v>0</v>
      </c>
      <c r="AI8" s="134">
        <v>40</v>
      </c>
      <c r="AJ8" s="402">
        <f>SUMIFS(UndCompra,Material,$AI$1,Ref,$AI$3,Color,$AJ$4,Tamaño,$AI$8)-SUMIFS(_4C,SKU,$BE$17,Cierre,AJ$4)</f>
        <v>-1</v>
      </c>
      <c r="AK8" s="404">
        <f>SUMIFS(UndCompra,Material,$AI$1,Ref,$AI$3,Color,$AK$4,Tamaño,$AI$8)-SUMIFS(_4C,SKU,$BE$17,Cierre,AK$4)</f>
        <v>-1</v>
      </c>
      <c r="AL8"/>
      <c r="AM8"/>
      <c r="AN8"/>
      <c r="AO8" s="141">
        <v>20</v>
      </c>
      <c r="AP8" s="414">
        <f>SUMIFS(UndCompra,Material,$AI$1,Ref,$AO$3,Color,$AP$4,Tamaño,$AO$8)-SUMIFS(S,SKU,$BE$112,Cierre,$AP$4)-SUMIFS(M,SKU,$BE$112,Cierre,$AP$4)-SUMIFS(L,SKU,$BE$112,Cierre,$AP$4)-SUMIFS(XL,SKU,$BE$112,Cierre,$AP$4)-SUMIFS(XXL,SKU,$BE$112,Cierre,$AP$4)-SUMIFS(S,SKU,$BE$126,Cierre,$AP$4)-SUMIFS(M,SKU,$BE$126,Cierre,$AP$4)-SUMIFS(L,SKU,$BE$126,Cierre,$AP$4)-SUMIFS(XL,SKU,$BE$126,Cierre,$AP$4)-SUMIFS(XXL,SKU,$BE$126,Cierre,$AP$4)</f>
        <v>-10</v>
      </c>
      <c r="AQ8" s="415">
        <f>SUMIFS(UndCompra,Material,$AI$1,Ref,$AO$3,Color,$AQ$4,Tamaño,$AO$8)-SUMIFS(S,SKU,$BE$112,Cierre,$AQ$4)-SUMIFS(M,SKU,$BE$112,Cierre,$AQ$4)-SUMIFS(L,SKU,$BE$112,Cierre,$AQ$4)-SUMIFS(XL,SKU,$BE$112,Cierre,$AQ$4)-SUMIFS(XXL,SKU,$BE$112,Cierre,$AQ$4)</f>
        <v>-5</v>
      </c>
      <c r="AR8" s="318">
        <v>14</v>
      </c>
      <c r="AS8" s="413">
        <f>SUMIFS(UndCompra,Material,$AI$1,Ref,$AR$3,Tamaño,$AR$8)-SUMIFS(M,SKU,$BE$141,Cierre,$AS$4)-SUMIFS(L,SKU,$BE$141,Cierre,$AS$4)-SUMIFS(XL,SKU,$BE$141,Cierre,$AS$4)-SUMIFS(XXL,SKU,$BE$141,Cierre,$AS$4)-SUMIFS(YM,SKU,$BE$155,Cierre,$AS$4)-SUMIFS(YL,SKU,$BE$155,Cierre,$AS$4)</f>
        <v>-6</v>
      </c>
      <c r="AT8" s="134">
        <v>48</v>
      </c>
      <c r="AU8" s="413">
        <f>SUMIFS(UndCompra,Material,$AI$1,Ref,$AT$3,Tamaño,$AT$8)-SUMIFS(YM,SKU,$BE$170,Cierre,$AU$4)</f>
        <v>-1</v>
      </c>
      <c r="AV8" s="407">
        <v>15</v>
      </c>
      <c r="AW8" s="421">
        <f>SUMIFS(UndCompra,Material,$AI$1,Ref,$AV$3,Tamaño,$AV$8)-SUMIFS(S,SKU,$BE$199,Cierre,$AW$4)-SUMIFS(M,SKU,$BE$199,Cierre,$AW$4)</f>
        <v>-2</v>
      </c>
      <c r="AX8" s="449"/>
      <c r="AY8" s="449"/>
      <c r="AZ8" s="329">
        <v>64</v>
      </c>
      <c r="BA8" s="413">
        <f>SUMIFS(UndCompra,Material,$AI$1,Ref,$AZ$3,Tamaño,$AZ$8)-SUMIFS(YS,SKU,$BE$229,Cierre,$BA$4)</f>
        <v>-1</v>
      </c>
      <c r="BB8"/>
      <c r="BC8"/>
      <c r="BE8" s="160" t="s">
        <v>241</v>
      </c>
      <c r="BF8" s="135">
        <v>57</v>
      </c>
      <c r="BG8" s="335">
        <f>+AJ20</f>
        <v>-1</v>
      </c>
      <c r="BH8" s="135">
        <v>57</v>
      </c>
      <c r="BI8" s="341">
        <f>+AK20</f>
        <v>-1</v>
      </c>
    </row>
    <row r="9" spans="2:61" s="170" customFormat="1" ht="15.75" thickBot="1" x14ac:dyDescent="0.3">
      <c r="B9" s="298" t="s">
        <v>323</v>
      </c>
      <c r="C9" s="288"/>
      <c r="D9" s="147"/>
      <c r="E9" s="299"/>
      <c r="F9" s="300"/>
      <c r="G9" s="301"/>
      <c r="I9" s="160" t="s">
        <v>372</v>
      </c>
      <c r="J9" s="377">
        <f>SUMIFS(UndCompra,Material,Inv!$I$7,Talla,Inv!I9)</f>
        <v>0</v>
      </c>
      <c r="N9" s="398" t="s">
        <v>330</v>
      </c>
      <c r="P9" s="309" t="s">
        <v>346</v>
      </c>
      <c r="Q9" s="391">
        <f t="shared" si="1"/>
        <v>0</v>
      </c>
      <c r="R9" s="391">
        <f t="shared" si="1"/>
        <v>0</v>
      </c>
      <c r="S9" s="391">
        <f t="shared" si="1"/>
        <v>0</v>
      </c>
      <c r="T9" s="478">
        <f t="shared" si="3"/>
        <v>0</v>
      </c>
      <c r="U9" s="176"/>
      <c r="V9" s="479" t="s">
        <v>243</v>
      </c>
      <c r="W9" s="391">
        <f t="shared" si="2"/>
        <v>0</v>
      </c>
      <c r="X9" s="391">
        <f t="shared" si="2"/>
        <v>0</v>
      </c>
      <c r="Y9" s="391">
        <f t="shared" si="2"/>
        <v>0</v>
      </c>
      <c r="Z9" s="391">
        <f t="shared" si="2"/>
        <v>0</v>
      </c>
      <c r="AA9" s="391">
        <f t="shared" si="2"/>
        <v>0</v>
      </c>
      <c r="AB9" s="391">
        <f t="shared" si="2"/>
        <v>0</v>
      </c>
      <c r="AC9" s="391">
        <f t="shared" si="2"/>
        <v>0</v>
      </c>
      <c r="AD9" s="391">
        <f t="shared" si="2"/>
        <v>0</v>
      </c>
      <c r="AE9" s="391">
        <f t="shared" si="2"/>
        <v>0</v>
      </c>
      <c r="AF9" s="391">
        <f t="shared" si="2"/>
        <v>0</v>
      </c>
      <c r="AG9" s="480">
        <f t="shared" si="4"/>
        <v>0</v>
      </c>
      <c r="AI9" s="134">
        <v>42</v>
      </c>
      <c r="AJ9" s="402">
        <f>SUMIFS(UndCompra,Material,$AI$1,Ref,$AI$3,Color,$AJ$4,Tamaño,$AI$9)-SUMIFS(_6C,SKU,$BE$17,Cierre,AJ$4)</f>
        <v>-1</v>
      </c>
      <c r="AK9" s="404">
        <f>SUMIFS(UndCompra,Material,$AI$1,Ref,$AI$3,Color,$AK$4,Tamaño,$AI$9)-SUMIFS(_6C,SKU,$BE$17,Cierre,AK$4)</f>
        <v>-1</v>
      </c>
      <c r="AL9"/>
      <c r="AM9"/>
      <c r="AN9"/>
      <c r="AO9" s="449"/>
      <c r="AP9" s="449"/>
      <c r="AQ9"/>
      <c r="AR9" s="134">
        <v>15</v>
      </c>
      <c r="AS9" s="413">
        <f>SUMIFS(UndCompra,Material,$AI$1,Ref,$AR$3,Tamaño,$AR$9)-SUMIFS(XS,SKU,$BE$155,Cierre,$AS$4)-SUMIFS(S,SKU,$BE$155,Cierre,$AS$4)-SUMIFS(M,SKU,$BE$155,Cierre,$AS$4)-SUMIFS(L,SKU,$BE$155,Cierre,$AS$4)-SUMIFS(XL,SKU,$BE$155,Cierre,$AS$4)</f>
        <v>-5</v>
      </c>
      <c r="AT9" s="134">
        <v>51</v>
      </c>
      <c r="AU9" s="413">
        <f>SUMIFS(UndCompra,Material,$AI$1,Ref,$AT$3,Tamaño,$AT$9)-SUMIFS(YL,SKU,$BE$170,Cierre,$AU$4)</f>
        <v>-1</v>
      </c>
      <c r="AV9" s="458">
        <v>16</v>
      </c>
      <c r="AW9" s="422">
        <f>SUMIFS(UndCompra,Material,$AI$1,Ref,$AV$3,Tamaño,$AV$9)-SUMIFS(L,SKU,$BE$199,Cierre,$AW$4)-SUMIFS(XL,SKU,$BE$199,Cierre,$AW$4)-SUMIFS(XXL,SKU,$BE$199,Cierre,$AW$4)</f>
        <v>-3</v>
      </c>
      <c r="AX9"/>
      <c r="AY9"/>
      <c r="AZ9" s="329">
        <v>65</v>
      </c>
      <c r="BA9" s="413">
        <f>SUMIFS(UndCompra,Material,$AI$1,Ref,$AZ$3,Tamaño,$AZ$9)-SUMIFS(YM,SKU,$BE$229,Cierre,$BA$4)</f>
        <v>-1</v>
      </c>
      <c r="BB9"/>
      <c r="BC9"/>
      <c r="BE9" s="160" t="s">
        <v>242</v>
      </c>
      <c r="BF9" s="135">
        <v>59</v>
      </c>
      <c r="BG9" s="335">
        <f>+AJ22</f>
        <v>-3</v>
      </c>
      <c r="BH9" s="135">
        <v>59</v>
      </c>
      <c r="BI9" s="341">
        <f>+AK22</f>
        <v>-2</v>
      </c>
    </row>
    <row r="10" spans="2:61" s="170" customFormat="1" ht="15.75" thickBot="1" x14ac:dyDescent="0.3">
      <c r="B10" s="298" t="s">
        <v>339</v>
      </c>
      <c r="C10" s="128"/>
      <c r="D10" s="147"/>
      <c r="E10" s="299"/>
      <c r="F10" s="300"/>
      <c r="G10" s="301"/>
      <c r="I10" s="160" t="s">
        <v>240</v>
      </c>
      <c r="J10" s="377">
        <f>SUMIFS(UndCompra,Material,Inv!$I$7,Talla,Inv!I10)</f>
        <v>0</v>
      </c>
      <c r="N10" s="398" t="s">
        <v>252</v>
      </c>
      <c r="P10" s="309" t="s">
        <v>347</v>
      </c>
      <c r="Q10" s="391">
        <f t="shared" si="1"/>
        <v>0</v>
      </c>
      <c r="R10" s="391">
        <f t="shared" si="1"/>
        <v>0</v>
      </c>
      <c r="S10" s="391">
        <f t="shared" si="1"/>
        <v>0</v>
      </c>
      <c r="T10" s="478">
        <f t="shared" si="3"/>
        <v>0</v>
      </c>
      <c r="U10" s="176"/>
      <c r="V10" s="479" t="s">
        <v>244</v>
      </c>
      <c r="W10" s="391">
        <f t="shared" si="2"/>
        <v>0</v>
      </c>
      <c r="X10" s="391">
        <f t="shared" si="2"/>
        <v>0</v>
      </c>
      <c r="Y10" s="391">
        <f t="shared" si="2"/>
        <v>0</v>
      </c>
      <c r="Z10" s="391">
        <f t="shared" si="2"/>
        <v>0</v>
      </c>
      <c r="AA10" s="391">
        <f t="shared" si="2"/>
        <v>0</v>
      </c>
      <c r="AB10" s="391">
        <f t="shared" si="2"/>
        <v>0</v>
      </c>
      <c r="AC10" s="391">
        <f t="shared" si="2"/>
        <v>0</v>
      </c>
      <c r="AD10" s="391">
        <f t="shared" si="2"/>
        <v>0</v>
      </c>
      <c r="AE10" s="391">
        <f t="shared" si="2"/>
        <v>0</v>
      </c>
      <c r="AF10" s="391">
        <f t="shared" si="2"/>
        <v>0</v>
      </c>
      <c r="AG10" s="480">
        <f t="shared" si="4"/>
        <v>0</v>
      </c>
      <c r="AI10" s="134">
        <v>44</v>
      </c>
      <c r="AJ10" s="402">
        <f>SUMIFS(UndCompra,Material,$AI$1,Ref,$AI$3,Color,$AJ$4,Tamaño,$AI$10)-SUMIFS(YXS,SKU,$BE$17,Cierre,AJ$4)</f>
        <v>-1</v>
      </c>
      <c r="AK10" s="404">
        <f>SUMIFS(UndCompra,Material,$AI$1,Ref,$AI$3,Color,$AK$4,Tamaño,$AI$10)-SUMIFS(YXS,SKU,$BE$17,Cierre,AK$4)</f>
        <v>-1</v>
      </c>
      <c r="AL10"/>
      <c r="AM10"/>
      <c r="AN10"/>
      <c r="AO10"/>
      <c r="AP10"/>
      <c r="AQ10"/>
      <c r="AR10" s="493">
        <v>16</v>
      </c>
      <c r="AS10" s="415">
        <f>SUMIFS(UndCompra,Material,$AI$1,Ref,$AR$3,Tamaño,$AR$10)-SUMIFS(XXL,SKU,$BE$155,Cierre,$AS$4)</f>
        <v>-1</v>
      </c>
      <c r="AT10" s="134">
        <v>55</v>
      </c>
      <c r="AU10" s="413">
        <f>SUMIFS(UndCompra,Material,$AI$1,Ref,$AT$3,Tamaño,$AT$10)-SUMIFS(XS,SKU,$BE$170,Cierre,$AU$4)</f>
        <v>-1</v>
      </c>
      <c r="AV10" s="449"/>
      <c r="AW10" s="449"/>
      <c r="AX10"/>
      <c r="AY10"/>
      <c r="AZ10" s="329">
        <v>68</v>
      </c>
      <c r="BA10" s="413">
        <f>SUMIFS(UndCompra,Material,$AI$1,Ref,$AZ$3,Tamaño,$AZ$10)-SUMIFS(YL,SKU,$BE$229,Cierre,$BA$4)</f>
        <v>-1</v>
      </c>
      <c r="BB10"/>
      <c r="BC10"/>
      <c r="BE10" s="160" t="s">
        <v>243</v>
      </c>
      <c r="BF10" s="135">
        <v>62</v>
      </c>
      <c r="BG10" s="335">
        <f>+AJ25</f>
        <v>-2</v>
      </c>
      <c r="BH10" s="135">
        <v>62</v>
      </c>
      <c r="BI10" s="341">
        <f>+AK25</f>
        <v>-1</v>
      </c>
    </row>
    <row r="11" spans="2:61" s="170" customFormat="1" ht="15.75" customHeight="1" thickBot="1" x14ac:dyDescent="0.3">
      <c r="B11" s="303" t="s">
        <v>324</v>
      </c>
      <c r="C11" s="290"/>
      <c r="D11" s="291"/>
      <c r="E11" s="304"/>
      <c r="F11" s="305"/>
      <c r="G11" s="306"/>
      <c r="I11" s="160" t="s">
        <v>241</v>
      </c>
      <c r="J11" s="377">
        <f>SUMIFS(UndCompra,Material,Inv!$I$7,Talla,Inv!I11)</f>
        <v>0</v>
      </c>
      <c r="N11" s="398" t="s">
        <v>331</v>
      </c>
      <c r="P11" s="309" t="s">
        <v>348</v>
      </c>
      <c r="Q11" s="391">
        <f t="shared" si="1"/>
        <v>0</v>
      </c>
      <c r="R11" s="391">
        <f t="shared" si="1"/>
        <v>0</v>
      </c>
      <c r="S11" s="391">
        <f t="shared" si="1"/>
        <v>0</v>
      </c>
      <c r="T11" s="478">
        <f t="shared" si="3"/>
        <v>0</v>
      </c>
      <c r="U11" s="176"/>
      <c r="V11" s="479" t="s">
        <v>245</v>
      </c>
      <c r="W11" s="391">
        <f t="shared" si="2"/>
        <v>0</v>
      </c>
      <c r="X11" s="391">
        <f t="shared" si="2"/>
        <v>0</v>
      </c>
      <c r="Y11" s="391">
        <f t="shared" si="2"/>
        <v>0</v>
      </c>
      <c r="Z11" s="391">
        <f t="shared" si="2"/>
        <v>0</v>
      </c>
      <c r="AA11" s="391">
        <f t="shared" si="2"/>
        <v>0</v>
      </c>
      <c r="AB11" s="391">
        <f t="shared" si="2"/>
        <v>0</v>
      </c>
      <c r="AC11" s="391">
        <f t="shared" si="2"/>
        <v>0</v>
      </c>
      <c r="AD11" s="391">
        <f t="shared" si="2"/>
        <v>0</v>
      </c>
      <c r="AE11" s="391">
        <f t="shared" si="2"/>
        <v>0</v>
      </c>
      <c r="AF11" s="391">
        <f t="shared" si="2"/>
        <v>0</v>
      </c>
      <c r="AG11" s="480">
        <f t="shared" si="4"/>
        <v>0</v>
      </c>
      <c r="AI11" s="134">
        <v>46</v>
      </c>
      <c r="AJ11" s="402">
        <f>SUMIFS(UndCompra,Material,$AI$1,Ref,$AI$3,Color,$AJ$4,Tamaño,$AI$11)-SUMIFS(YS,SKU,$BE$31,Cierre,AJ$4)</f>
        <v>-1</v>
      </c>
      <c r="AK11" s="404">
        <f>SUMIFS(UndCompra,Material,$AI$1,Ref,$AI$3,Color,$AK$4,Tamaño,$AI$11)-SUMIFS(YS,SKU,$BE$31,Cierre,AK$4)</f>
        <v>-1</v>
      </c>
      <c r="AL11"/>
      <c r="AM11"/>
      <c r="AN11"/>
      <c r="AO11"/>
      <c r="AP11"/>
      <c r="AQ11"/>
      <c r="AR11" s="449"/>
      <c r="AS11" s="449"/>
      <c r="AT11" s="134">
        <v>57</v>
      </c>
      <c r="AU11" s="413">
        <f>SUMIFS(UndCompra,Material,$AI$1,Ref,$AT$3,Tamaño,$AT$11)-SUMIFS(S,SKU,$BE$170,Cierre,$AU$4)-SUMIFS(M,SKU,$BE$170,Cierre,$AU$4)</f>
        <v>-2</v>
      </c>
      <c r="AV11"/>
      <c r="AW11"/>
      <c r="AX11"/>
      <c r="AY11"/>
      <c r="AZ11" s="329">
        <v>69</v>
      </c>
      <c r="BA11" s="413">
        <f>SUMIFS(UndCompra,Material,$AI$1,Ref,$AZ$3,Tamaño,$AZ$11)-SUMIFS(XS,SKU,$BE$229,Cierre,$BA$4)</f>
        <v>-1</v>
      </c>
      <c r="BB11"/>
      <c r="BC11"/>
      <c r="BE11" s="160" t="s">
        <v>244</v>
      </c>
      <c r="BF11" s="135">
        <v>64</v>
      </c>
      <c r="BG11" s="335">
        <f>+AJ27</f>
        <v>-3</v>
      </c>
      <c r="BH11" s="135">
        <v>64</v>
      </c>
      <c r="BI11" s="341">
        <f>+AK27</f>
        <v>-3</v>
      </c>
    </row>
    <row r="12" spans="2:61" x14ac:dyDescent="0.25">
      <c r="I12" s="160" t="s">
        <v>242</v>
      </c>
      <c r="J12" s="377">
        <f>SUMIFS(UndCompra,Material,Inv!$I$7,Talla,Inv!I12)</f>
        <v>0</v>
      </c>
      <c r="N12" s="393" t="s">
        <v>332</v>
      </c>
      <c r="P12" s="309" t="s">
        <v>349</v>
      </c>
      <c r="Q12" s="391">
        <f t="shared" si="1"/>
        <v>0</v>
      </c>
      <c r="R12" s="391">
        <f t="shared" si="1"/>
        <v>0</v>
      </c>
      <c r="S12" s="391">
        <f t="shared" si="1"/>
        <v>0</v>
      </c>
      <c r="T12" s="478">
        <f t="shared" si="3"/>
        <v>0</v>
      </c>
      <c r="U12" s="176"/>
      <c r="V12" s="479" t="s">
        <v>246</v>
      </c>
      <c r="W12" s="391">
        <f t="shared" si="2"/>
        <v>0</v>
      </c>
      <c r="X12" s="391">
        <f t="shared" si="2"/>
        <v>0</v>
      </c>
      <c r="Y12" s="391">
        <f t="shared" si="2"/>
        <v>0</v>
      </c>
      <c r="Z12" s="391">
        <f t="shared" si="2"/>
        <v>0</v>
      </c>
      <c r="AA12" s="391">
        <f t="shared" si="2"/>
        <v>0</v>
      </c>
      <c r="AB12" s="391">
        <f t="shared" si="2"/>
        <v>0</v>
      </c>
      <c r="AC12" s="391">
        <f t="shared" si="2"/>
        <v>0</v>
      </c>
      <c r="AD12" s="391">
        <f t="shared" si="2"/>
        <v>0</v>
      </c>
      <c r="AE12" s="391">
        <f t="shared" si="2"/>
        <v>0</v>
      </c>
      <c r="AF12" s="391">
        <f t="shared" si="2"/>
        <v>0</v>
      </c>
      <c r="AG12" s="480">
        <f t="shared" si="4"/>
        <v>0</v>
      </c>
      <c r="AI12" s="134">
        <v>47</v>
      </c>
      <c r="AJ12" s="402">
        <f>SUMIFS(UndCompra,Material,$AI$1,Ref,$AI$3,Color,$AJ$4,Tamaño,$AI$12)-SUMIFS(YS,SKU,$BE$17,Cierre,AJ$4)</f>
        <v>-1</v>
      </c>
      <c r="AK12" s="404">
        <f>SUMIFS(UndCompra,Material,$AI$1,Ref,$AI$3,Color,$AK$4,Tamaño,$AI$12)-SUMIFS(YS,SKU,$BE$17,Cierre,AK$4)</f>
        <v>-1</v>
      </c>
      <c r="AT12" s="134">
        <v>58</v>
      </c>
      <c r="AU12" s="413">
        <f>SUMIFS(UndCompra,Material,$AI$1,Ref,$AT$3,Tamaño,$AT$12)-SUMIFS(L,SKU,$BE$170,Cierre,$AU$4)</f>
        <v>-1</v>
      </c>
      <c r="AZ12" s="329">
        <v>70</v>
      </c>
      <c r="BA12" s="413">
        <f>SUMIFS(UndCompra,Material,$AI$1,Ref,$AZ$3,Tamaño,$AZ$12)-SUMIFS(S,SKU,$BE$229,Cierre,$BA$4)</f>
        <v>-1</v>
      </c>
      <c r="BE12" s="160" t="s">
        <v>245</v>
      </c>
      <c r="BF12" s="135">
        <v>66</v>
      </c>
      <c r="BG12" s="335">
        <f>+AJ28</f>
        <v>-5</v>
      </c>
      <c r="BH12" s="135">
        <v>66</v>
      </c>
      <c r="BI12" s="341">
        <f>+AK28</f>
        <v>-4</v>
      </c>
    </row>
    <row r="13" spans="2:61" ht="15.75" customHeight="1" thickBot="1" x14ac:dyDescent="0.3">
      <c r="I13" s="160" t="s">
        <v>243</v>
      </c>
      <c r="J13" s="377">
        <f>SUMIFS(UndCompra,Material,Inv!$I$7,Talla,Inv!I13)</f>
        <v>0</v>
      </c>
      <c r="N13" s="393"/>
      <c r="P13" s="309" t="s">
        <v>350</v>
      </c>
      <c r="Q13" s="391">
        <f t="shared" si="1"/>
        <v>0</v>
      </c>
      <c r="R13" s="391">
        <f t="shared" si="1"/>
        <v>0</v>
      </c>
      <c r="S13" s="391">
        <f t="shared" si="1"/>
        <v>0</v>
      </c>
      <c r="T13" s="478">
        <f t="shared" si="3"/>
        <v>0</v>
      </c>
      <c r="U13" s="176"/>
      <c r="V13" s="479" t="s">
        <v>247</v>
      </c>
      <c r="W13" s="391">
        <f t="shared" si="2"/>
        <v>0</v>
      </c>
      <c r="X13" s="391">
        <f t="shared" si="2"/>
        <v>0</v>
      </c>
      <c r="Y13" s="391">
        <f t="shared" si="2"/>
        <v>0</v>
      </c>
      <c r="Z13" s="391">
        <f t="shared" si="2"/>
        <v>0</v>
      </c>
      <c r="AA13" s="391">
        <f t="shared" si="2"/>
        <v>0</v>
      </c>
      <c r="AB13" s="391">
        <f t="shared" si="2"/>
        <v>0</v>
      </c>
      <c r="AC13" s="391">
        <f t="shared" si="2"/>
        <v>0</v>
      </c>
      <c r="AD13" s="391">
        <f t="shared" si="2"/>
        <v>0</v>
      </c>
      <c r="AE13" s="391">
        <f t="shared" si="2"/>
        <v>0</v>
      </c>
      <c r="AF13" s="391">
        <f t="shared" si="2"/>
        <v>0</v>
      </c>
      <c r="AG13" s="480">
        <f t="shared" si="4"/>
        <v>0</v>
      </c>
      <c r="AI13" s="134">
        <v>48</v>
      </c>
      <c r="AJ13" s="402">
        <f>SUMIFS(UndCompra,Material,$AI$1,Ref,$AI$3,Color,$AJ$4,Tamaño,$AI$13)-SUMIFS(_4C,SKU,$BE$3,Cierre,AJ$4)-SUMIFS(YM,SKU,$BE$31,Cierre,AJ$4)-SUMIFS(_4C,SKU,$BE$54,Cierre,$AJ$4)</f>
        <v>-3</v>
      </c>
      <c r="AK13" s="404">
        <f>SUMIFS(UndCompra,Material,$AI$1,Ref,$AI$3,Color,$AK$4,Tamaño,$AI$13)-SUMIFS(_4C,SKU,$BE$3,Cierre,AK$4)-SUMIFS(YM,SKU,$BE$31,Cierre,AK$4)</f>
        <v>-2</v>
      </c>
      <c r="AT13" s="134">
        <v>59</v>
      </c>
      <c r="AU13" s="413">
        <f>SUMIFS(UndCompra,Material,$AI$1,Ref,$AT$3,Tamaño,$AT$13)-SUMIFS(XL,SKU,$BE$170,Cierre,$AU$4)</f>
        <v>-1</v>
      </c>
      <c r="AZ13" s="329">
        <v>71</v>
      </c>
      <c r="BA13" s="413">
        <f>SUMIFS(UndCompra,Material,$AI$1,Ref,$AZ$3,Tamaño,$AZ$13)-SUMIFS(M,SKU,$BE$229,Cierre,$BA$4)</f>
        <v>-1</v>
      </c>
      <c r="BE13" s="160" t="s">
        <v>246</v>
      </c>
      <c r="BF13" s="135">
        <v>66</v>
      </c>
      <c r="BG13" s="335">
        <f>+AJ28</f>
        <v>-5</v>
      </c>
      <c r="BH13" s="135">
        <v>66</v>
      </c>
      <c r="BI13" s="341">
        <f>+AK28</f>
        <v>-4</v>
      </c>
    </row>
    <row r="14" spans="2:61" ht="15.75" customHeight="1" thickBot="1" x14ac:dyDescent="0.3">
      <c r="B14" s="554" t="s">
        <v>324</v>
      </c>
      <c r="C14" s="555"/>
      <c r="D14" s="555"/>
      <c r="E14" s="555"/>
      <c r="F14" s="556"/>
      <c r="I14" s="160" t="s">
        <v>244</v>
      </c>
      <c r="J14" s="377">
        <f>SUMIFS(UndCompra,Material,Inv!$I$7,Talla,Inv!I14)</f>
        <v>0</v>
      </c>
      <c r="N14" s="393"/>
      <c r="P14" s="309" t="s">
        <v>351</v>
      </c>
      <c r="Q14" s="391">
        <f t="shared" si="1"/>
        <v>0</v>
      </c>
      <c r="R14" s="391">
        <f t="shared" si="1"/>
        <v>0</v>
      </c>
      <c r="S14" s="391">
        <f t="shared" si="1"/>
        <v>0</v>
      </c>
      <c r="T14" s="478">
        <f t="shared" si="3"/>
        <v>0</v>
      </c>
      <c r="U14" s="176"/>
      <c r="V14" s="479" t="s">
        <v>248</v>
      </c>
      <c r="W14" s="391">
        <f t="shared" si="2"/>
        <v>0</v>
      </c>
      <c r="X14" s="391">
        <f t="shared" si="2"/>
        <v>0</v>
      </c>
      <c r="Y14" s="391">
        <f t="shared" si="2"/>
        <v>0</v>
      </c>
      <c r="Z14" s="391">
        <f t="shared" si="2"/>
        <v>0</v>
      </c>
      <c r="AA14" s="391">
        <f t="shared" si="2"/>
        <v>0</v>
      </c>
      <c r="AB14" s="391">
        <f t="shared" si="2"/>
        <v>0</v>
      </c>
      <c r="AC14" s="391">
        <f t="shared" si="2"/>
        <v>0</v>
      </c>
      <c r="AD14" s="391">
        <f t="shared" si="2"/>
        <v>0</v>
      </c>
      <c r="AE14" s="391">
        <f t="shared" si="2"/>
        <v>0</v>
      </c>
      <c r="AF14" s="391">
        <f t="shared" si="2"/>
        <v>0</v>
      </c>
      <c r="AG14" s="480">
        <f t="shared" si="4"/>
        <v>0</v>
      </c>
      <c r="AI14" s="134">
        <v>49</v>
      </c>
      <c r="AJ14" s="402">
        <f>SUMIFS(UndCompra,Material,$AI$1,Ref,$AI$3,Color,$AJ$4,Tamaño,$AI$14)-SUMIFS(YM,SKU,$BE$17,Cierre,AJ$4)</f>
        <v>-1</v>
      </c>
      <c r="AK14" s="404">
        <f>SUMIFS(UndCompra,Material,$AI$1,Ref,$AI$3,Color,$AK$4,Tamaño,$AI$14)-SUMIFS(YM,SKU,$BE$17,Cierre,AK$4)</f>
        <v>-1</v>
      </c>
      <c r="AT14" s="141">
        <v>60</v>
      </c>
      <c r="AU14" s="415">
        <f>SUMIFS(UndCompra,Material,$AI$1,Ref,$AT$3,Tamaño,$AT$14)-SUMIFS(XXL,SKU,$BE$170,Cierre,$AU$4)</f>
        <v>-1</v>
      </c>
      <c r="AZ14" s="329">
        <v>72</v>
      </c>
      <c r="BA14" s="413">
        <f>SUMIFS(UndCompra,Material,$AI$1,Ref,$AZ$3,Tamaño,$AZ$14)-SUMIFS(L,SKU,$BE$229,Cierre,$BA$4)</f>
        <v>-1</v>
      </c>
      <c r="BE14" s="160" t="s">
        <v>247</v>
      </c>
      <c r="BF14" s="135">
        <v>66</v>
      </c>
      <c r="BG14" s="335">
        <f>+AJ28</f>
        <v>-5</v>
      </c>
      <c r="BH14" s="135">
        <v>66</v>
      </c>
      <c r="BI14" s="341">
        <f>+AK28</f>
        <v>-4</v>
      </c>
    </row>
    <row r="15" spans="2:61" ht="15.75" customHeight="1" thickBot="1" x14ac:dyDescent="0.3">
      <c r="B15" s="154" t="s">
        <v>325</v>
      </c>
      <c r="C15" s="154" t="s">
        <v>326</v>
      </c>
      <c r="D15" s="154" t="s">
        <v>327</v>
      </c>
      <c r="E15" s="154" t="s">
        <v>328</v>
      </c>
      <c r="F15" s="154" t="s">
        <v>329</v>
      </c>
      <c r="I15" s="160" t="s">
        <v>245</v>
      </c>
      <c r="J15" s="377">
        <f>SUMIFS(UndCompra,Material,Inv!$I$7,Talla,Inv!I15)</f>
        <v>0</v>
      </c>
      <c r="N15" s="393"/>
      <c r="P15" s="309" t="s">
        <v>351</v>
      </c>
      <c r="Q15" s="391">
        <f t="shared" si="1"/>
        <v>0</v>
      </c>
      <c r="R15" s="391">
        <f t="shared" si="1"/>
        <v>0</v>
      </c>
      <c r="S15" s="391">
        <f t="shared" si="1"/>
        <v>0</v>
      </c>
      <c r="T15" s="478">
        <f t="shared" si="3"/>
        <v>0</v>
      </c>
      <c r="U15" s="176"/>
      <c r="V15" s="481" t="s">
        <v>249</v>
      </c>
      <c r="W15" s="391">
        <f t="shared" si="2"/>
        <v>0</v>
      </c>
      <c r="X15" s="391">
        <f t="shared" si="2"/>
        <v>0</v>
      </c>
      <c r="Y15" s="391">
        <f t="shared" si="2"/>
        <v>0</v>
      </c>
      <c r="Z15" s="391">
        <f t="shared" si="2"/>
        <v>0</v>
      </c>
      <c r="AA15" s="391">
        <f t="shared" si="2"/>
        <v>0</v>
      </c>
      <c r="AB15" s="391">
        <f t="shared" si="2"/>
        <v>0</v>
      </c>
      <c r="AC15" s="391">
        <f t="shared" si="2"/>
        <v>0</v>
      </c>
      <c r="AD15" s="391">
        <f t="shared" si="2"/>
        <v>0</v>
      </c>
      <c r="AE15" s="391">
        <f t="shared" si="2"/>
        <v>0</v>
      </c>
      <c r="AF15" s="391">
        <f t="shared" si="2"/>
        <v>0</v>
      </c>
      <c r="AG15" s="480">
        <f t="shared" si="4"/>
        <v>0</v>
      </c>
      <c r="AI15" s="134">
        <v>50</v>
      </c>
      <c r="AJ15" s="402">
        <f>SUMIFS(UndCompra,Material,$AI$1,Ref,$AI$3,Color,$AJ$4,Tamaño,$AI$15)-SUMIFS(YL,SKU,$BE$31,Cierre,AJ$4)-SUMIFS(_6C,SKU,$BE$54,Cierre,$AJ$4)</f>
        <v>-2</v>
      </c>
      <c r="AK15" s="404">
        <f>SUMIFS(UndCompra,Material,$AI$1,Ref,$AI$3,Color,$AK$4,Tamaño,$AI$15)-SUMIFS(YL,SKU,$BE$31,Cierre,AK$4)</f>
        <v>-1</v>
      </c>
      <c r="AT15" s="449"/>
      <c r="AU15" s="449"/>
      <c r="AZ15" s="329">
        <v>73</v>
      </c>
      <c r="BA15" s="413">
        <f>SUMIFS(UndCompra,Material,$AI$1,Ref,$AZ$3,Tamaño,$AZ$15)-SUMIFS(XL,SKU,$BE$229,Cierre,$BA$4)</f>
        <v>-1</v>
      </c>
      <c r="BE15" s="160" t="s">
        <v>248</v>
      </c>
      <c r="BF15" s="135">
        <v>0</v>
      </c>
      <c r="BG15" s="335"/>
      <c r="BH15" s="135">
        <v>0</v>
      </c>
      <c r="BI15" s="341"/>
    </row>
    <row r="16" spans="2:61" ht="15.75" customHeight="1" thickBot="1" x14ac:dyDescent="0.3">
      <c r="B16" s="24" t="s">
        <v>270</v>
      </c>
      <c r="C16" s="387">
        <f>+SUMIFS(UndCompra,Material,Inv!$B$14,Ref,Inv!C$15,Color,Inv!$B16)</f>
        <v>0</v>
      </c>
      <c r="D16" s="387">
        <f>+SUMIFS(UndCompra,Material,Inv!$B$14,Ref,Inv!D$15,Color,Inv!$B16)</f>
        <v>0</v>
      </c>
      <c r="E16" s="387">
        <f>+SUMIFS(UndCompra,Material,Inv!$B$14,Ref,Inv!E$15,Color,Inv!$B16)</f>
        <v>0</v>
      </c>
      <c r="F16" s="388">
        <f>+SUMIFS(UndCompra,Material,Inv!$B$14,Ref,Inv!F$15,Color,Inv!$B16)</f>
        <v>0</v>
      </c>
      <c r="I16" s="160" t="s">
        <v>246</v>
      </c>
      <c r="J16" s="377">
        <f>SUMIFS(UndCompra,Material,Inv!$I$7,Talla,Inv!I16)</f>
        <v>0</v>
      </c>
      <c r="N16" s="393"/>
      <c r="P16" s="309" t="s">
        <v>352</v>
      </c>
      <c r="Q16" s="391">
        <f t="shared" si="1"/>
        <v>0</v>
      </c>
      <c r="R16" s="391">
        <f t="shared" si="1"/>
        <v>0</v>
      </c>
      <c r="S16" s="391">
        <f t="shared" si="1"/>
        <v>0</v>
      </c>
      <c r="T16" s="478">
        <f t="shared" si="3"/>
        <v>0</v>
      </c>
      <c r="U16" s="176"/>
      <c r="V16" s="482" t="s">
        <v>313</v>
      </c>
      <c r="W16" s="483">
        <f t="shared" ref="W16:AF16" si="5">SUM(W4:W15)</f>
        <v>0</v>
      </c>
      <c r="X16" s="483">
        <f t="shared" si="5"/>
        <v>0</v>
      </c>
      <c r="Y16" s="483">
        <f t="shared" si="5"/>
        <v>0</v>
      </c>
      <c r="Z16" s="483">
        <f t="shared" si="5"/>
        <v>0</v>
      </c>
      <c r="AA16" s="483">
        <f t="shared" si="5"/>
        <v>0</v>
      </c>
      <c r="AB16" s="483">
        <f t="shared" si="5"/>
        <v>0</v>
      </c>
      <c r="AC16" s="483">
        <f t="shared" si="5"/>
        <v>0</v>
      </c>
      <c r="AD16" s="483">
        <f t="shared" si="5"/>
        <v>0</v>
      </c>
      <c r="AE16" s="483">
        <f t="shared" si="5"/>
        <v>0</v>
      </c>
      <c r="AF16" s="484">
        <f t="shared" si="5"/>
        <v>0</v>
      </c>
      <c r="AG16" s="485">
        <f>SUM(AG4:AG15)</f>
        <v>0</v>
      </c>
      <c r="AI16" s="134">
        <v>52</v>
      </c>
      <c r="AJ16" s="402">
        <f>SUMIFS(UndCompra,Material,$AI$1,Ref,$AI$3,Color,$AJ$4,Tamaño,$AI$16)-SUMIFS(_6C,SKU,$BE$3,Cierre,AJ$4)</f>
        <v>-1</v>
      </c>
      <c r="AK16" s="404">
        <f>SUMIFS(UndCompra,Material,$AI$1,Ref,$AI$3,Color,$AK$4,Tamaño,$AI$16)-SUMIFS(_6C,SKU,$BE$3,Cierre,AK$4)</f>
        <v>-1</v>
      </c>
      <c r="AZ16" s="330">
        <v>75</v>
      </c>
      <c r="BA16" s="415">
        <f>SUMIFS(UndCompra,Material,$AI$1,Ref,$AZ$3,Tamaño,$AZ$16)-SUMIFS(XXL,SKU,$BE$229,Cierre,$BA$4)</f>
        <v>-1</v>
      </c>
      <c r="BE16" s="161" t="s">
        <v>249</v>
      </c>
      <c r="BF16" s="162">
        <v>0</v>
      </c>
      <c r="BG16" s="336"/>
      <c r="BH16" s="140">
        <v>0</v>
      </c>
      <c r="BI16" s="342"/>
    </row>
    <row r="17" spans="2:61" ht="15.75" thickBot="1" x14ac:dyDescent="0.3">
      <c r="B17" s="31" t="s">
        <v>269</v>
      </c>
      <c r="C17" s="177">
        <f>+SUMIFS(UndCompra,Material,Inv!$B$14,Ref,Inv!C$15,Color,Inv!$B17)</f>
        <v>0</v>
      </c>
      <c r="D17" s="177">
        <f>+SUMIFS(UndCompra,Material,Inv!$B$14,Ref,Inv!D$15,Color,Inv!$B17)</f>
        <v>0</v>
      </c>
      <c r="E17" s="177">
        <f>+SUMIFS(UndCompra,Material,Inv!$B$14,Ref,Inv!E$15,Color,Inv!$B17)</f>
        <v>0</v>
      </c>
      <c r="F17" s="149">
        <f>+SUMIFS(UndCompra,Material,Inv!$B$14,Ref,Inv!F$15,Color,Inv!$B17)</f>
        <v>0</v>
      </c>
      <c r="I17" s="160" t="s">
        <v>247</v>
      </c>
      <c r="J17" s="377">
        <f>SUMIFS(UndCompra,Material,Inv!$I$7,Talla,Inv!I17)</f>
        <v>0</v>
      </c>
      <c r="N17" s="393"/>
      <c r="P17" s="309" t="s">
        <v>353</v>
      </c>
      <c r="Q17" s="391">
        <f t="shared" si="1"/>
        <v>0</v>
      </c>
      <c r="R17" s="391">
        <f t="shared" si="1"/>
        <v>0</v>
      </c>
      <c r="S17" s="391">
        <f t="shared" si="1"/>
        <v>0</v>
      </c>
      <c r="T17" s="478">
        <f t="shared" si="3"/>
        <v>0</v>
      </c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I17" s="134">
        <v>53</v>
      </c>
      <c r="AJ17" s="402">
        <f>SUMIFS(UndCompra,Material,$AI$1,Ref,$AI$3,Color,$AJ$4,Tamaño,$AI$17)-SUMIFS(YXS,SKU,$BE$3,Cierre,AJ$4)-SUMIFS(YL,SKU,$BE$17,Cierre,AJ$4)</f>
        <v>-2</v>
      </c>
      <c r="AK17" s="404">
        <f>SUMIFS(UndCompra,Material,$AI$1,Ref,$AI$3,Color,$AK$4,Tamaño,$AI$17)-SUMIFS(YXS,SKU,$BE$3,Cierre,AK$4)-SUMIFS(YL,SKU,$BE$17,Cierre,AK$4)</f>
        <v>-2</v>
      </c>
      <c r="AZ17" s="449"/>
      <c r="BA17" s="449"/>
      <c r="BE17" s="314" t="s">
        <v>414</v>
      </c>
      <c r="BF17" s="315"/>
      <c r="BG17" s="337"/>
      <c r="BH17" s="315"/>
      <c r="BI17" s="343"/>
    </row>
    <row r="18" spans="2:61" ht="15.75" thickBot="1" x14ac:dyDescent="0.3">
      <c r="B18" s="31" t="s">
        <v>251</v>
      </c>
      <c r="C18" s="177">
        <f>+SUMIFS(UndCompra,Material,Inv!$B$14,Ref,Inv!C$15,Color,Inv!$B18)</f>
        <v>0</v>
      </c>
      <c r="D18" s="177">
        <f>+SUMIFS(UndCompra,Material,Inv!$B$14,Ref,Inv!D$15,Color,Inv!$B18)</f>
        <v>0</v>
      </c>
      <c r="E18" s="177">
        <f>+SUMIFS(UndCompra,Material,Inv!$B$14,Ref,Inv!E$15,Color,Inv!$B18)</f>
        <v>0</v>
      </c>
      <c r="F18" s="149">
        <f>+SUMIFS(UndCompra,Material,Inv!$B$14,Ref,Inv!F$15,Color,Inv!$B18)</f>
        <v>0</v>
      </c>
      <c r="I18" s="160" t="s">
        <v>248</v>
      </c>
      <c r="J18" s="377">
        <f>SUMIFS(UndCompra,Material,Inv!$I$7,Talla,Inv!I18)</f>
        <v>0</v>
      </c>
      <c r="N18" s="393"/>
      <c r="P18" s="309" t="s">
        <v>354</v>
      </c>
      <c r="Q18" s="391">
        <f t="shared" si="1"/>
        <v>0</v>
      </c>
      <c r="R18" s="391">
        <f t="shared" si="1"/>
        <v>0</v>
      </c>
      <c r="S18" s="391">
        <f t="shared" si="1"/>
        <v>0</v>
      </c>
      <c r="T18" s="478">
        <f t="shared" si="3"/>
        <v>0</v>
      </c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I18" s="134">
        <v>54</v>
      </c>
      <c r="AJ18" s="402">
        <f>SUMIFS(UndCompra,Material,$AI$1,Ref,$AI$3,Color,$AJ$4,Tamaño,$AI$18)-SUMIFS(XS,SKU,$BE$17,Cierre,AJ$4)</f>
        <v>-1</v>
      </c>
      <c r="AK18" s="404">
        <f>SUMIFS(UndCompra,Material,$AI$1,Ref,$AI$3,Color,$AK$4,Tamaño,$AI$18)-SUMIFS(XS,SKU,$BE$17,Cierre,AK$4)</f>
        <v>-1</v>
      </c>
      <c r="BE18" s="154" t="s">
        <v>385</v>
      </c>
      <c r="BF18" s="157" t="s">
        <v>269</v>
      </c>
      <c r="BG18" s="338" t="s">
        <v>272</v>
      </c>
      <c r="BH18" s="137" t="s">
        <v>273</v>
      </c>
      <c r="BI18" s="338" t="s">
        <v>272</v>
      </c>
    </row>
    <row r="19" spans="2:61" ht="15.75" thickBot="1" x14ac:dyDescent="0.3">
      <c r="B19" s="31" t="s">
        <v>254</v>
      </c>
      <c r="C19" s="177">
        <f>+SUMIFS(UndCompra,Material,Inv!$B$14,Ref,Inv!C$15,Color,Inv!$B19)</f>
        <v>0</v>
      </c>
      <c r="D19" s="177">
        <f>+SUMIFS(UndCompra,Material,Inv!$B$14,Ref,Inv!D$15,Color,Inv!$B19)</f>
        <v>0</v>
      </c>
      <c r="E19" s="177">
        <f>+SUMIFS(UndCompra,Material,Inv!$B$14,Ref,Inv!E$15,Color,Inv!$B19)</f>
        <v>0</v>
      </c>
      <c r="F19" s="149">
        <f>+SUMIFS(UndCompra,Material,Inv!$B$14,Ref,Inv!F$15,Color,Inv!$B19)</f>
        <v>0</v>
      </c>
      <c r="I19" s="161" t="s">
        <v>249</v>
      </c>
      <c r="J19" s="378">
        <f>SUMIFS(UndCompra,Material,Inv!$I$7,Talla,Inv!I19)</f>
        <v>0</v>
      </c>
      <c r="N19" s="393"/>
      <c r="P19" s="309" t="s">
        <v>355</v>
      </c>
      <c r="Q19" s="391">
        <f t="shared" si="1"/>
        <v>0</v>
      </c>
      <c r="R19" s="391">
        <f t="shared" si="1"/>
        <v>0</v>
      </c>
      <c r="S19" s="391">
        <f t="shared" si="1"/>
        <v>0</v>
      </c>
      <c r="T19" s="478">
        <f t="shared" si="3"/>
        <v>0</v>
      </c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76"/>
      <c r="AI19" s="134">
        <v>56</v>
      </c>
      <c r="AJ19" s="402">
        <f>SUMIFS(UndCompra,Material,$AI$1,Ref,$AI$3,Color,$AJ$4,Tamaño,$AI$19)-SUMIFS(S,SKU,$BE$17,Cierre,AJ$4)-SUMIFS(XS,SKU,$BE$31,Cierre,AJ$4)</f>
        <v>-2</v>
      </c>
      <c r="AK19" s="404">
        <f>SUMIFS(UndCompra,Material,$AI$1,Ref,$AI$3,Color,$AK$4,Tamaño,$AI$19)-SUMIFS(S,SKU,$BE$17,Cierre,AK$4)-SUMIFS(XS,SKU,$BE$31,Cierre,AK$4)</f>
        <v>-2</v>
      </c>
      <c r="AN19" s="170"/>
      <c r="AO19" s="170"/>
      <c r="AP19" s="170"/>
      <c r="AQ19" s="170"/>
      <c r="BE19" s="159" t="s">
        <v>371</v>
      </c>
      <c r="BF19" s="139">
        <v>40</v>
      </c>
      <c r="BG19" s="334">
        <f>+AJ8</f>
        <v>-1</v>
      </c>
      <c r="BH19" s="139">
        <v>40</v>
      </c>
      <c r="BI19" s="344">
        <f>+AK8</f>
        <v>-1</v>
      </c>
    </row>
    <row r="20" spans="2:61" ht="15.75" thickBot="1" x14ac:dyDescent="0.3">
      <c r="B20" s="31" t="s">
        <v>253</v>
      </c>
      <c r="C20" s="177">
        <f>+SUMIFS(UndCompra,Material,Inv!$B$14,Ref,Inv!C$15,Color,Inv!$B20)</f>
        <v>0</v>
      </c>
      <c r="D20" s="177">
        <f>+SUMIFS(UndCompra,Material,Inv!$B$14,Ref,Inv!D$15,Color,Inv!$B20)</f>
        <v>0</v>
      </c>
      <c r="E20" s="177">
        <f>+SUMIFS(UndCompra,Material,Inv!$B$14,Ref,Inv!E$15,Color,Inv!$B20)</f>
        <v>0</v>
      </c>
      <c r="F20" s="149">
        <f>+SUMIFS(UndCompra,Material,Inv!$B$14,Ref,Inv!F$15,Color,Inv!$B20)</f>
        <v>0</v>
      </c>
      <c r="I20" s="489" t="s">
        <v>313</v>
      </c>
      <c r="J20" s="383">
        <f>SUM(J8:J19)</f>
        <v>0</v>
      </c>
      <c r="N20" s="393"/>
      <c r="P20" s="309" t="s">
        <v>356</v>
      </c>
      <c r="Q20" s="391">
        <f t="shared" si="1"/>
        <v>0</v>
      </c>
      <c r="R20" s="391">
        <f t="shared" si="1"/>
        <v>0</v>
      </c>
      <c r="S20" s="391">
        <f t="shared" si="1"/>
        <v>0</v>
      </c>
      <c r="T20" s="478">
        <f t="shared" si="3"/>
        <v>0</v>
      </c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I20" s="134">
        <v>57</v>
      </c>
      <c r="AJ20" s="402">
        <f>SUMIFS(UndCompra,Material,$AI$1,Ref,$AI$3,Color,$AJ$4,Tamaño,$AI$20)-SUMIFS(YS,SKU,$BE$3,Cierre,AJ$4)</f>
        <v>-1</v>
      </c>
      <c r="AK20" s="404">
        <f>SUMIFS(UndCompra,Material,$AI$1,Ref,$AI$3,Color,$AK$4,Tamaño,$AI$20)-SUMIFS(YS,SKU,$BE$3,Cierre,AK$4)</f>
        <v>-1</v>
      </c>
      <c r="BE20" s="160" t="s">
        <v>372</v>
      </c>
      <c r="BF20" s="135">
        <v>42</v>
      </c>
      <c r="BG20" s="335">
        <f>+AJ9</f>
        <v>-1</v>
      </c>
      <c r="BH20" s="135">
        <v>42</v>
      </c>
      <c r="BI20" s="341">
        <f>+AK9</f>
        <v>-1</v>
      </c>
    </row>
    <row r="21" spans="2:61" x14ac:dyDescent="0.25">
      <c r="B21" s="31" t="s">
        <v>330</v>
      </c>
      <c r="C21" s="177">
        <f>+SUMIFS(UndCompra,Material,Inv!$B$14,Ref,Inv!C$15,Color,Inv!$B21)</f>
        <v>0</v>
      </c>
      <c r="D21" s="177">
        <f>+SUMIFS(UndCompra,Material,Inv!$B$14,Ref,Inv!D$15,Color,Inv!$B21)</f>
        <v>0</v>
      </c>
      <c r="E21" s="177">
        <f>+SUMIFS(UndCompra,Material,Inv!$B$14,Ref,Inv!E$15,Color,Inv!$B21)</f>
        <v>0</v>
      </c>
      <c r="F21" s="149">
        <f>+SUMIFS(UndCompra,Material,Inv!$B$14,Ref,Inv!F$15,Color,Inv!$B21)</f>
        <v>0</v>
      </c>
      <c r="N21" s="393"/>
      <c r="P21" s="309" t="s">
        <v>357</v>
      </c>
      <c r="Q21" s="391">
        <f t="shared" si="1"/>
        <v>0</v>
      </c>
      <c r="R21" s="391">
        <f t="shared" si="1"/>
        <v>0</v>
      </c>
      <c r="S21" s="391">
        <f t="shared" si="1"/>
        <v>0</v>
      </c>
      <c r="T21" s="478">
        <f t="shared" si="3"/>
        <v>0</v>
      </c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I21" s="318">
        <v>58</v>
      </c>
      <c r="AJ21" s="402">
        <f>SUMIFS(UndCompra,Material,$AI$1,Ref,$AI$3,Color,$AJ$4,Tamaño,$AI$21)-SUMIFS(M,SKU,$BE$17,Cierre,AJ$4)-SUMIFS(S,SKU,$BE$31,Cierre,AJ$4)-SUMIFS(YXS,SKU,$BE$54,Cierre,$AJ$4)</f>
        <v>-3</v>
      </c>
      <c r="AK21" s="404">
        <f>SUMIFS(UndCompra,Material,$AI$1,Ref,$AI$3,Color,$AK$4,Tamaño,$AI$21)-SUMIFS(M,SKU,$BE$17,Cierre,AK$4)-SUMIFS(S,SKU,$BE$31,Cierre,AK$4)</f>
        <v>-2</v>
      </c>
      <c r="BE21" s="160" t="s">
        <v>240</v>
      </c>
      <c r="BF21" s="135">
        <v>44</v>
      </c>
      <c r="BG21" s="335">
        <f>+AJ10</f>
        <v>-1</v>
      </c>
      <c r="BH21" s="135">
        <v>44</v>
      </c>
      <c r="BI21" s="341">
        <f>+AK10</f>
        <v>-1</v>
      </c>
    </row>
    <row r="22" spans="2:61" x14ac:dyDescent="0.25">
      <c r="B22" s="31" t="s">
        <v>252</v>
      </c>
      <c r="C22" s="177">
        <f>+SUMIFS(UndCompra,Material,Inv!$B$14,Ref,Inv!C$15,Color,Inv!$B22)</f>
        <v>0</v>
      </c>
      <c r="D22" s="177">
        <f>+SUMIFS(UndCompra,Material,Inv!$B$14,Ref,Inv!D$15,Color,Inv!$B22)</f>
        <v>0</v>
      </c>
      <c r="E22" s="177">
        <f>+SUMIFS(UndCompra,Material,Inv!$B$14,Ref,Inv!E$15,Color,Inv!$B22)</f>
        <v>0</v>
      </c>
      <c r="F22" s="149">
        <f>+SUMIFS(UndCompra,Material,Inv!$B$14,Ref,Inv!F$15,Color,Inv!$B22)</f>
        <v>0</v>
      </c>
      <c r="N22" s="393"/>
      <c r="P22" s="309" t="s">
        <v>358</v>
      </c>
      <c r="Q22" s="391">
        <f t="shared" si="1"/>
        <v>0</v>
      </c>
      <c r="R22" s="391">
        <f t="shared" si="1"/>
        <v>0</v>
      </c>
      <c r="S22" s="391">
        <f t="shared" si="1"/>
        <v>0</v>
      </c>
      <c r="T22" s="478">
        <f t="shared" si="3"/>
        <v>0</v>
      </c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I22" s="134">
        <v>59</v>
      </c>
      <c r="AJ22" s="402">
        <f>SUMIFS(UndCompra,Material,$AI$1,Ref,$AI$3,Color,$AJ$4,Tamaño,$AI$22)-SUMIFS(YM,SKU,$BE$3,Cierre,AJ$4)-SUMIFS(L,SKU,$BE$17,Cierre,AJ$4)-SUMIFS(YS,SKU,$BE$54,Cierre,$AJ$4)</f>
        <v>-3</v>
      </c>
      <c r="AK22" s="404">
        <f>SUMIFS(UndCompra,Material,$AI$1,Ref,$AI$3,Color,$AK$4,Tamaño,$AI$22)-SUMIFS(YM,SKU,$BE$3,Cierre,AK$4)-SUMIFS(L,SKU,$BE$17,Cierre,AK$4)</f>
        <v>-2</v>
      </c>
      <c r="BE22" s="160" t="s">
        <v>241</v>
      </c>
      <c r="BF22" s="135">
        <v>47</v>
      </c>
      <c r="BG22" s="335">
        <f>+AJ12</f>
        <v>-1</v>
      </c>
      <c r="BH22" s="135">
        <v>47</v>
      </c>
      <c r="BI22" s="341">
        <f>+AK12</f>
        <v>-1</v>
      </c>
    </row>
    <row r="23" spans="2:61" ht="15.75" thickBot="1" x14ac:dyDescent="0.3">
      <c r="B23" s="31" t="s">
        <v>331</v>
      </c>
      <c r="C23" s="177">
        <f>+SUMIFS(UndCompra,Material,Inv!$B$14,Ref,Inv!C$15,Color,Inv!$B23)</f>
        <v>0</v>
      </c>
      <c r="D23" s="177">
        <f>+SUMIFS(UndCompra,Material,Inv!$B$14,Ref,Inv!D$15,Color,Inv!$B23)</f>
        <v>0</v>
      </c>
      <c r="E23" s="177">
        <f>+SUMIFS(UndCompra,Material,Inv!$B$14,Ref,Inv!E$15,Color,Inv!$B23)</f>
        <v>0</v>
      </c>
      <c r="F23" s="149">
        <f>+SUMIFS(UndCompra,Material,Inv!$B$14,Ref,Inv!F$15,Color,Inv!$B23)</f>
        <v>0</v>
      </c>
      <c r="N23" s="394"/>
      <c r="P23" s="309" t="s">
        <v>359</v>
      </c>
      <c r="Q23" s="391">
        <f t="shared" si="1"/>
        <v>0</v>
      </c>
      <c r="R23" s="391">
        <f t="shared" si="1"/>
        <v>0</v>
      </c>
      <c r="S23" s="391">
        <f t="shared" si="1"/>
        <v>0</v>
      </c>
      <c r="T23" s="478">
        <f t="shared" si="3"/>
        <v>0</v>
      </c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I23" s="318">
        <v>60</v>
      </c>
      <c r="AJ23" s="402">
        <f>SUMIFS(UndCompra,Material,$AI$1,Ref,$AI$3,Color,$AJ$4,Tamaño,$AI$23)-SUMIFS(XL,SKU,$BE$17,Cierre,AJ$4)</f>
        <v>-1</v>
      </c>
      <c r="AK23" s="404">
        <f>SUMIFS(UndCompra,Material,$AI$1,Ref,$AI$3,Color,$AK$4,Tamaño,$AI$23)-SUMIFS(XL,SKU,$BE$17,Cierre,AK$4)</f>
        <v>-1</v>
      </c>
      <c r="BE23" s="160" t="s">
        <v>242</v>
      </c>
      <c r="BF23" s="135">
        <v>49</v>
      </c>
      <c r="BG23" s="335">
        <f>+AJ14</f>
        <v>-1</v>
      </c>
      <c r="BH23" s="135">
        <v>49</v>
      </c>
      <c r="BI23" s="341">
        <f>+AK14</f>
        <v>-1</v>
      </c>
    </row>
    <row r="24" spans="2:61" ht="15.75" thickBot="1" x14ac:dyDescent="0.3">
      <c r="B24" s="39" t="s">
        <v>332</v>
      </c>
      <c r="C24" s="381">
        <f>+SUMIFS(UndCompra,Material,Inv!$B$14,Ref,Inv!C$15,Color,Inv!$B24)</f>
        <v>0</v>
      </c>
      <c r="D24" s="381">
        <f>+SUMIFS(UndCompra,Material,Inv!$B$14,Ref,Inv!D$15,Color,Inv!$B24)</f>
        <v>0</v>
      </c>
      <c r="E24" s="381">
        <f>+SUMIFS(UndCompra,Material,Inv!$B$14,Ref,Inv!E$15,Color,Inv!$B24)</f>
        <v>0</v>
      </c>
      <c r="F24" s="150">
        <f>+SUMIFS(UndCompra,Material,Inv!$B$14,Ref,Inv!F$15,Color,Inv!$B24)</f>
        <v>0</v>
      </c>
      <c r="P24" s="310" t="s">
        <v>360</v>
      </c>
      <c r="Q24" s="391">
        <f t="shared" si="1"/>
        <v>0</v>
      </c>
      <c r="R24" s="391">
        <f t="shared" si="1"/>
        <v>0</v>
      </c>
      <c r="S24" s="391">
        <f t="shared" si="1"/>
        <v>0</v>
      </c>
      <c r="T24" s="486">
        <f t="shared" si="3"/>
        <v>0</v>
      </c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I24" s="318">
        <v>61</v>
      </c>
      <c r="AJ24" s="402">
        <f>SUMIFS(UndCompra,Material,$AI$1,Ref,$AI$3,Color,$AJ$4,Tamaño,$AI$24)-SUMIFS(M,SKU,$BE$31,Cierre,AJ$4)-SUMIFS(YM,SKU,$BE$54,Cierre,$AJ$4)</f>
        <v>-2</v>
      </c>
      <c r="AK24" s="404">
        <f>SUMIFS(UndCompra,Material,$AI$1,Ref,$AI$3,Color,$AK$4,Tamaño,$AI$24)-SUMIFS(M,SKU,$BE$31,Cierre,AK$4)</f>
        <v>-1</v>
      </c>
      <c r="BE24" s="160" t="s">
        <v>243</v>
      </c>
      <c r="BF24" s="135">
        <v>53</v>
      </c>
      <c r="BG24" s="335">
        <f>+AJ17</f>
        <v>-2</v>
      </c>
      <c r="BH24" s="135">
        <v>53</v>
      </c>
      <c r="BI24" s="341">
        <f>+AK17</f>
        <v>-2</v>
      </c>
    </row>
    <row r="25" spans="2:61" ht="15.75" customHeight="1" thickBot="1" x14ac:dyDescent="0.3">
      <c r="B25" s="544" t="s">
        <v>333</v>
      </c>
      <c r="C25" s="546" t="s">
        <v>334</v>
      </c>
      <c r="D25" s="546" t="s">
        <v>335</v>
      </c>
      <c r="E25" s="546" t="s">
        <v>334</v>
      </c>
      <c r="F25" s="546" t="s">
        <v>335</v>
      </c>
      <c r="P25" s="390" t="s">
        <v>361</v>
      </c>
      <c r="Q25" s="487">
        <f>SUM(Q4:Q22)</f>
        <v>0</v>
      </c>
      <c r="R25" s="483">
        <f>SUM(R4:R22)</f>
        <v>0</v>
      </c>
      <c r="S25" s="488">
        <f>SUM(S4:S24)</f>
        <v>0</v>
      </c>
      <c r="T25" s="485">
        <f>SUM(T4:T24)</f>
        <v>0</v>
      </c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I25" s="134">
        <v>62</v>
      </c>
      <c r="AJ25" s="402">
        <f>SUMIFS(UndCompra,Material,$AI$1,Ref,$AI$3,Color,$AJ$4,Tamaño,$AI$25)-SUMIFS(YL,SKU,$BE$3,Cierre,AJ$4)-SUMIFS(YL,SKU,$BE$54,Cierre,$AJ$4)</f>
        <v>-2</v>
      </c>
      <c r="AK25" s="404">
        <f>SUMIFS(UndCompra,Material,$AI$1,Ref,$AI$3,Color,$AK$4,Tamaño,$AI$25)-SUMIFS(YL,SKU,$BE$3,Cierre,AK$4)</f>
        <v>-1</v>
      </c>
      <c r="BE25" s="160" t="s">
        <v>244</v>
      </c>
      <c r="BF25" s="135">
        <v>54</v>
      </c>
      <c r="BG25" s="335">
        <f>+AJ18</f>
        <v>-1</v>
      </c>
      <c r="BH25" s="135">
        <v>54</v>
      </c>
      <c r="BI25" s="341">
        <f>+AK18</f>
        <v>-1</v>
      </c>
    </row>
    <row r="26" spans="2:61" ht="15.75" thickBot="1" x14ac:dyDescent="0.3">
      <c r="B26" s="545"/>
      <c r="C26" s="547"/>
      <c r="D26" s="547"/>
      <c r="E26" s="547"/>
      <c r="F26" s="547"/>
      <c r="AI26" s="134">
        <v>63</v>
      </c>
      <c r="AJ26" s="402">
        <f>SUMIFS(UndCompra,Material,$AI$1,Ref,$AI$3,Color,$AJ$4,Tamaño,$AI$26)-SUMIFS(XS,SKU,$BE$54,Cierre,$AJ$4)-SUMIFS(S,SKU,$BE$54,Cierre,$AJ$4)</f>
        <v>-2</v>
      </c>
      <c r="AK26" s="404">
        <f>SUMIFS(UndCompra,Material,$AI$1,Ref,$AI$3,Color,$AK$4,Tamaño,$AI$26)</f>
        <v>0</v>
      </c>
      <c r="BE26" s="160" t="s">
        <v>245</v>
      </c>
      <c r="BF26" s="135">
        <v>56</v>
      </c>
      <c r="BG26" s="335">
        <f>+AJ19</f>
        <v>-2</v>
      </c>
      <c r="BH26" s="135">
        <v>56</v>
      </c>
      <c r="BI26" s="341">
        <f>+AK19</f>
        <v>-2</v>
      </c>
    </row>
    <row r="27" spans="2:61" x14ac:dyDescent="0.25">
      <c r="AI27" s="134">
        <v>64</v>
      </c>
      <c r="AJ27" s="402">
        <f>SUMIFS(UndCompra,Material,$AI$1,Ref,$AI$3,Color,$AJ$4,Tamaño,$AI$27)-SUMIFS(XS,SKU,$BE$3,Cierre,AJ$4)-SUMIFS(XXL,SKU,$BE$17,Cierre,AJ$4)-SUMIFS(L,SKU,$BE$31,Cierre,AJ$4)</f>
        <v>-3</v>
      </c>
      <c r="AK27" s="404">
        <f>SUMIFS(UndCompra,Material,$AI$1,Ref,$AI$3,Color,$AK$4,Tamaño,$AI$27)-SUMIFS(XS,SKU,$BE$3,Cierre,AK$4)-SUMIFS(XXL,SKU,$BE$17,Cierre,AK$4)-SUMIFS(L,SKU,$BE$31,Cierre,AK$4)</f>
        <v>-3</v>
      </c>
      <c r="BE27" s="160" t="s">
        <v>246</v>
      </c>
      <c r="BF27" s="158">
        <v>58</v>
      </c>
      <c r="BG27" s="339">
        <f>+AJ21</f>
        <v>-3</v>
      </c>
      <c r="BH27" s="135">
        <v>58</v>
      </c>
      <c r="BI27" s="345">
        <f>+AK21</f>
        <v>-2</v>
      </c>
    </row>
    <row r="28" spans="2:61" x14ac:dyDescent="0.25">
      <c r="AI28" s="134">
        <v>66</v>
      </c>
      <c r="AJ28" s="402">
        <f>SUMIFS(UndCompra,Material,$AI$1,Ref,$AI$3,Color,$AJ$4,Tamaño,$AI$28)-SUMIFS(S,SKU,$BE$3,Cierre,AJ$4)-SUMIFS(M,SKU,$BE$3,Cierre,AJ$4)-SUMIFS(L,SKU,$BE$3,Cierre,AJ$4)-SUMIFS(XL,SKU,$BE$31,Cierre,AJ$4)-SUMIFS(M,SKU,$BE$54,Cierre,$AJ$4)</f>
        <v>-5</v>
      </c>
      <c r="AK28" s="404">
        <f>SUMIFS(UndCompra,Material,$AI$1,Ref,$AI$3,Color,$AK$4,Tamaño,$AI$28)-SUMIFS(S,SKU,$BE$3,Cierre,AK$4)-SUMIFS(M,SKU,$BE$3,Cierre,AK$4)-SUMIFS(L,SKU,$BE$3,Cierre,AK$4)-SUMIFS(XL,SKU,$BE$31,Cierre,AK$4)</f>
        <v>-4</v>
      </c>
      <c r="BE28" s="160" t="s">
        <v>247</v>
      </c>
      <c r="BF28" s="158">
        <v>59</v>
      </c>
      <c r="BG28" s="339">
        <f>+AJ22</f>
        <v>-3</v>
      </c>
      <c r="BH28" s="135">
        <v>59</v>
      </c>
      <c r="BI28" s="345">
        <f>+AK22</f>
        <v>-2</v>
      </c>
    </row>
    <row r="29" spans="2:61" x14ac:dyDescent="0.25">
      <c r="AI29" s="318">
        <v>68</v>
      </c>
      <c r="AJ29" s="402">
        <f>SUMIFS(UndCompra,Material,$AI$1,Ref,$AI$3,Color,$AJ$4,Tamaño,$AI$29)-SUMIFS(L,SKU,$BE$54,Cierre,$AJ$4)</f>
        <v>-1</v>
      </c>
      <c r="AK29" s="404">
        <f>SUMIFS(UndCompra,Material,$AI$1,Ref,$AI$3,Color,$AK$4,Tamaño,$AI$29)</f>
        <v>0</v>
      </c>
      <c r="BE29" s="160" t="s">
        <v>248</v>
      </c>
      <c r="BF29" s="158">
        <v>60</v>
      </c>
      <c r="BG29" s="339">
        <f>+AJ23</f>
        <v>-1</v>
      </c>
      <c r="BH29" s="135">
        <v>60</v>
      </c>
      <c r="BI29" s="345">
        <f>+AK23</f>
        <v>-1</v>
      </c>
    </row>
    <row r="30" spans="2:61" ht="15.75" thickBot="1" x14ac:dyDescent="0.3">
      <c r="AI30" s="318">
        <v>70</v>
      </c>
      <c r="AJ30" s="402">
        <f>SUMIFS(UndCompra,Material,$AI$1,Ref,$AI$3,Color,$AJ$4,Tamaño,$AI$30)-SUMIFS(XL,SKU,$BE$54,Cierre,$AJ$4)</f>
        <v>-1</v>
      </c>
      <c r="AK30" s="404">
        <f>SUMIFS(UndCompra,Material,$AI$1,Ref,$AI$3,Color,$AK$4,Tamaño,$AI$30)</f>
        <v>0</v>
      </c>
      <c r="BE30" s="161" t="s">
        <v>249</v>
      </c>
      <c r="BF30" s="162">
        <v>64</v>
      </c>
      <c r="BG30" s="336">
        <f>+AJ27</f>
        <v>-3</v>
      </c>
      <c r="BH30" s="140">
        <v>64</v>
      </c>
      <c r="BI30" s="342">
        <f>+AK27</f>
        <v>-3</v>
      </c>
    </row>
    <row r="31" spans="2:61" ht="15.75" thickBot="1" x14ac:dyDescent="0.3">
      <c r="AI31" s="493">
        <v>73</v>
      </c>
      <c r="AJ31" s="494">
        <f>SUMIFS(UndCompra,Material,$AI$1,Ref,$AI$3,Color,$AJ$4,Tamaño,$AI$31)-SUMIFS(XXL,SKU,$BE$54,Cierre,$AJ$4)</f>
        <v>-1</v>
      </c>
      <c r="AK31" s="495">
        <f>SUMIFS(UndCompra,Material,$AI$1,Ref,$AI$3,Color,$AK$4,Tamaño,$AI$31)</f>
        <v>0</v>
      </c>
      <c r="BE31" s="314" t="s">
        <v>11</v>
      </c>
      <c r="BF31" s="315"/>
      <c r="BG31" s="337"/>
      <c r="BH31" s="315"/>
      <c r="BI31" s="343"/>
    </row>
    <row r="32" spans="2:61" ht="15.75" thickBot="1" x14ac:dyDescent="0.3">
      <c r="AI32" s="449"/>
      <c r="AJ32" s="449"/>
      <c r="BE32" s="154" t="s">
        <v>385</v>
      </c>
      <c r="BF32" s="157" t="s">
        <v>269</v>
      </c>
      <c r="BG32" s="338" t="s">
        <v>272</v>
      </c>
      <c r="BH32" s="137" t="s">
        <v>273</v>
      </c>
      <c r="BI32" s="338" t="s">
        <v>272</v>
      </c>
    </row>
    <row r="33" spans="35:61" x14ac:dyDescent="0.25">
      <c r="AI33" s="449"/>
      <c r="AJ33" s="449"/>
      <c r="BE33" s="159" t="s">
        <v>371</v>
      </c>
      <c r="BF33" s="139">
        <v>35</v>
      </c>
      <c r="BG33" s="334">
        <f>+AJ5</f>
        <v>-1</v>
      </c>
      <c r="BH33" s="139">
        <v>35</v>
      </c>
      <c r="BI33" s="344">
        <f>+AK5</f>
        <v>-1</v>
      </c>
    </row>
    <row r="34" spans="35:61" x14ac:dyDescent="0.25">
      <c r="AI34" s="449"/>
      <c r="AJ34" s="449"/>
      <c r="BE34" s="160" t="s">
        <v>372</v>
      </c>
      <c r="BF34" s="135">
        <v>37</v>
      </c>
      <c r="BG34" s="335">
        <f>+AJ6</f>
        <v>-1</v>
      </c>
      <c r="BH34" s="135">
        <v>37</v>
      </c>
      <c r="BI34" s="341">
        <f>+AK6</f>
        <v>-1</v>
      </c>
    </row>
    <row r="35" spans="35:61" x14ac:dyDescent="0.25">
      <c r="AI35" s="449"/>
      <c r="AJ35" s="449"/>
      <c r="BE35" s="160" t="s">
        <v>240</v>
      </c>
      <c r="BF35" s="135">
        <v>39</v>
      </c>
      <c r="BG35" s="335">
        <f>+AJ7</f>
        <v>-1</v>
      </c>
      <c r="BH35" s="135">
        <v>39</v>
      </c>
      <c r="BI35" s="341">
        <f>+AK7</f>
        <v>-1</v>
      </c>
    </row>
    <row r="36" spans="35:61" x14ac:dyDescent="0.25">
      <c r="AI36" s="449"/>
      <c r="AJ36" s="449"/>
      <c r="BE36" s="160" t="s">
        <v>241</v>
      </c>
      <c r="BF36" s="135">
        <v>46</v>
      </c>
      <c r="BG36" s="335">
        <f>+AJ11</f>
        <v>-1</v>
      </c>
      <c r="BH36" s="135">
        <v>46</v>
      </c>
      <c r="BI36" s="341">
        <f>+AK11</f>
        <v>-1</v>
      </c>
    </row>
    <row r="37" spans="35:61" x14ac:dyDescent="0.25">
      <c r="AI37" s="449"/>
      <c r="AJ37" s="449"/>
      <c r="BE37" s="160" t="s">
        <v>242</v>
      </c>
      <c r="BF37" s="135">
        <v>48</v>
      </c>
      <c r="BG37" s="335">
        <f>+AJ13</f>
        <v>-3</v>
      </c>
      <c r="BH37" s="135">
        <v>48</v>
      </c>
      <c r="BI37" s="341">
        <f>+AK13</f>
        <v>-2</v>
      </c>
    </row>
    <row r="38" spans="35:61" x14ac:dyDescent="0.25">
      <c r="AI38" s="449"/>
      <c r="AJ38" s="449"/>
      <c r="BE38" s="160" t="s">
        <v>243</v>
      </c>
      <c r="BF38" s="135">
        <v>50</v>
      </c>
      <c r="BG38" s="335">
        <f>+AJ15</f>
        <v>-2</v>
      </c>
      <c r="BH38" s="135">
        <v>50</v>
      </c>
      <c r="BI38" s="341">
        <f>+AK15</f>
        <v>-1</v>
      </c>
    </row>
    <row r="39" spans="35:61" x14ac:dyDescent="0.25">
      <c r="AI39" s="449"/>
      <c r="AJ39" s="449"/>
      <c r="BE39" s="160" t="s">
        <v>244</v>
      </c>
      <c r="BF39" s="135">
        <v>56</v>
      </c>
      <c r="BG39" s="335">
        <f>+AJ19</f>
        <v>-2</v>
      </c>
      <c r="BH39" s="135">
        <v>56</v>
      </c>
      <c r="BI39" s="341">
        <f>+AK19</f>
        <v>-2</v>
      </c>
    </row>
    <row r="40" spans="35:61" x14ac:dyDescent="0.25">
      <c r="AI40" s="449"/>
      <c r="AJ40" s="449"/>
      <c r="BE40" s="160" t="s">
        <v>245</v>
      </c>
      <c r="BF40" s="135">
        <v>58</v>
      </c>
      <c r="BG40" s="335">
        <f>+AJ21</f>
        <v>-3</v>
      </c>
      <c r="BH40" s="135">
        <v>58</v>
      </c>
      <c r="BI40" s="341">
        <f>+AK21</f>
        <v>-2</v>
      </c>
    </row>
    <row r="41" spans="35:61" x14ac:dyDescent="0.25">
      <c r="AI41" s="449"/>
      <c r="AJ41" s="449"/>
      <c r="BE41" s="160" t="s">
        <v>246</v>
      </c>
      <c r="BF41" s="158">
        <v>61</v>
      </c>
      <c r="BG41" s="339">
        <f>+AJ24</f>
        <v>-2</v>
      </c>
      <c r="BH41" s="135">
        <v>61</v>
      </c>
      <c r="BI41" s="345">
        <f>+AK24</f>
        <v>-1</v>
      </c>
    </row>
    <row r="42" spans="35:61" x14ac:dyDescent="0.25">
      <c r="AI42" s="449"/>
      <c r="AJ42" s="449"/>
      <c r="BE42" s="160" t="s">
        <v>247</v>
      </c>
      <c r="BF42" s="158">
        <v>64</v>
      </c>
      <c r="BG42" s="339">
        <f>+AJ27</f>
        <v>-3</v>
      </c>
      <c r="BH42" s="135">
        <v>64</v>
      </c>
      <c r="BI42" s="345">
        <f>+AK27</f>
        <v>-3</v>
      </c>
    </row>
    <row r="43" spans="35:61" ht="15.75" thickBot="1" x14ac:dyDescent="0.3">
      <c r="AI43" s="449"/>
      <c r="AJ43" s="449"/>
      <c r="BE43" s="440" t="s">
        <v>248</v>
      </c>
      <c r="BF43" s="441">
        <v>66</v>
      </c>
      <c r="BG43" s="442">
        <f>+AJ28</f>
        <v>-5</v>
      </c>
      <c r="BH43" s="443">
        <v>66</v>
      </c>
      <c r="BI43" s="444">
        <f>+AK28</f>
        <v>-4</v>
      </c>
    </row>
    <row r="44" spans="35:61" ht="15.75" thickBot="1" x14ac:dyDescent="0.3">
      <c r="AI44" s="449"/>
      <c r="AJ44" s="449"/>
      <c r="BE44" s="445" t="s">
        <v>275</v>
      </c>
      <c r="BF44" s="337"/>
      <c r="BG44" s="337"/>
      <c r="BH44" s="337"/>
      <c r="BI44" s="343"/>
    </row>
    <row r="45" spans="35:61" ht="15.75" thickBot="1" x14ac:dyDescent="0.3">
      <c r="AI45" s="449"/>
      <c r="AJ45" s="449"/>
      <c r="BE45" s="154" t="s">
        <v>385</v>
      </c>
      <c r="BF45" s="157" t="s">
        <v>269</v>
      </c>
      <c r="BG45" s="338" t="s">
        <v>272</v>
      </c>
      <c r="BH45" s="137" t="s">
        <v>273</v>
      </c>
      <c r="BI45" s="338" t="s">
        <v>272</v>
      </c>
    </row>
    <row r="46" spans="35:61" x14ac:dyDescent="0.25">
      <c r="AI46" s="449"/>
      <c r="AJ46" s="449"/>
      <c r="BE46" s="143"/>
      <c r="BF46" s="139">
        <v>0</v>
      </c>
      <c r="BG46" s="334"/>
      <c r="BH46" s="139">
        <v>0</v>
      </c>
      <c r="BI46" s="344"/>
    </row>
    <row r="47" spans="35:61" x14ac:dyDescent="0.25">
      <c r="AI47" s="449"/>
      <c r="AJ47" s="449"/>
      <c r="BE47" s="134"/>
      <c r="BF47" s="135">
        <v>0</v>
      </c>
      <c r="BG47" s="335"/>
      <c r="BH47" s="135">
        <v>0</v>
      </c>
      <c r="BI47" s="341"/>
    </row>
    <row r="48" spans="35:61" x14ac:dyDescent="0.25">
      <c r="AI48" s="449"/>
      <c r="AJ48" s="449"/>
      <c r="BE48" s="134"/>
      <c r="BF48" s="135">
        <v>0</v>
      </c>
      <c r="BG48" s="335"/>
      <c r="BH48" s="135">
        <v>0</v>
      </c>
      <c r="BI48" s="341"/>
    </row>
    <row r="49" spans="35:61" x14ac:dyDescent="0.25">
      <c r="AI49" s="449"/>
      <c r="AJ49" s="449"/>
      <c r="BE49" s="134"/>
      <c r="BF49" s="135">
        <v>0</v>
      </c>
      <c r="BG49" s="335"/>
      <c r="BH49" s="135">
        <v>0</v>
      </c>
      <c r="BI49" s="341"/>
    </row>
    <row r="50" spans="35:61" x14ac:dyDescent="0.25">
      <c r="AI50" s="449"/>
      <c r="AJ50" s="449"/>
      <c r="BE50" s="134"/>
      <c r="BF50" s="135">
        <v>0</v>
      </c>
      <c r="BG50" s="335"/>
      <c r="BH50" s="135">
        <v>0</v>
      </c>
      <c r="BI50" s="341"/>
    </row>
    <row r="51" spans="35:61" x14ac:dyDescent="0.25">
      <c r="AI51" s="449"/>
      <c r="AJ51" s="449"/>
      <c r="BE51" s="134"/>
      <c r="BF51" s="135">
        <v>0</v>
      </c>
      <c r="BG51" s="335"/>
      <c r="BH51" s="135">
        <v>0</v>
      </c>
      <c r="BI51" s="341"/>
    </row>
    <row r="52" spans="35:61" x14ac:dyDescent="0.25">
      <c r="AI52" s="449"/>
      <c r="AJ52" s="449"/>
      <c r="BE52" s="134"/>
      <c r="BF52" s="135">
        <v>0</v>
      </c>
      <c r="BG52" s="335"/>
      <c r="BH52" s="135">
        <v>0</v>
      </c>
      <c r="BI52" s="341"/>
    </row>
    <row r="53" spans="35:61" ht="15.75" thickBot="1" x14ac:dyDescent="0.3">
      <c r="AI53" s="449"/>
      <c r="AJ53" s="449"/>
      <c r="BE53" s="141"/>
      <c r="BF53" s="140">
        <v>0</v>
      </c>
      <c r="BG53" s="340"/>
      <c r="BH53" s="140">
        <v>0</v>
      </c>
      <c r="BI53" s="346"/>
    </row>
    <row r="54" spans="35:61" ht="15.75" thickBot="1" x14ac:dyDescent="0.3">
      <c r="AI54" s="449"/>
      <c r="AJ54" s="449"/>
      <c r="BE54" s="314" t="s">
        <v>63</v>
      </c>
      <c r="BF54" s="315"/>
      <c r="BG54" s="315"/>
      <c r="BH54" s="315"/>
      <c r="BI54" s="316"/>
    </row>
    <row r="55" spans="35:61" ht="15.75" thickBot="1" x14ac:dyDescent="0.3">
      <c r="AI55" s="449"/>
      <c r="AJ55" s="449"/>
      <c r="BE55" s="567" t="s">
        <v>385</v>
      </c>
      <c r="BF55" s="568"/>
      <c r="BG55" s="568"/>
      <c r="BH55" s="166" t="s">
        <v>269</v>
      </c>
      <c r="BI55" s="167" t="s">
        <v>272</v>
      </c>
    </row>
    <row r="56" spans="35:61" x14ac:dyDescent="0.25">
      <c r="AI56" s="449"/>
      <c r="AJ56" s="449"/>
      <c r="BE56" s="569" t="s">
        <v>371</v>
      </c>
      <c r="BF56" s="570"/>
      <c r="BG56" s="570"/>
      <c r="BH56" s="133">
        <v>48</v>
      </c>
      <c r="BI56" s="348">
        <f>+AJ13</f>
        <v>-3</v>
      </c>
    </row>
    <row r="57" spans="35:61" x14ac:dyDescent="0.25">
      <c r="AI57" s="449"/>
      <c r="AJ57" s="449"/>
      <c r="BE57" s="571" t="s">
        <v>372</v>
      </c>
      <c r="BF57" s="572"/>
      <c r="BG57" s="572"/>
      <c r="BH57" s="135">
        <v>50</v>
      </c>
      <c r="BI57" s="349">
        <f>+AJ15</f>
        <v>-2</v>
      </c>
    </row>
    <row r="58" spans="35:61" x14ac:dyDescent="0.25">
      <c r="AI58" s="449"/>
      <c r="AJ58" s="449"/>
      <c r="BE58" s="571" t="s">
        <v>240</v>
      </c>
      <c r="BF58" s="572"/>
      <c r="BG58" s="572"/>
      <c r="BH58" s="135">
        <v>58</v>
      </c>
      <c r="BI58" s="349">
        <f>+AJ21</f>
        <v>-3</v>
      </c>
    </row>
    <row r="59" spans="35:61" x14ac:dyDescent="0.25">
      <c r="AI59" s="449"/>
      <c r="AJ59" s="449"/>
      <c r="BE59" s="571" t="s">
        <v>241</v>
      </c>
      <c r="BF59" s="572"/>
      <c r="BG59" s="572"/>
      <c r="BH59" s="135">
        <v>59</v>
      </c>
      <c r="BI59" s="349">
        <f>+AJ22</f>
        <v>-3</v>
      </c>
    </row>
    <row r="60" spans="35:61" x14ac:dyDescent="0.25">
      <c r="AI60" s="449"/>
      <c r="AJ60" s="449"/>
      <c r="BE60" s="571" t="s">
        <v>242</v>
      </c>
      <c r="BF60" s="572"/>
      <c r="BG60" s="572"/>
      <c r="BH60" s="135">
        <v>61</v>
      </c>
      <c r="BI60" s="349">
        <f>+AJ24</f>
        <v>-2</v>
      </c>
    </row>
    <row r="61" spans="35:61" x14ac:dyDescent="0.25">
      <c r="AI61" s="449"/>
      <c r="AJ61" s="449"/>
      <c r="BE61" s="571" t="s">
        <v>243</v>
      </c>
      <c r="BF61" s="572"/>
      <c r="BG61" s="572"/>
      <c r="BH61" s="135">
        <v>62</v>
      </c>
      <c r="BI61" s="349">
        <f>+AJ25</f>
        <v>-2</v>
      </c>
    </row>
    <row r="62" spans="35:61" x14ac:dyDescent="0.25">
      <c r="AI62" s="449"/>
      <c r="AJ62" s="449"/>
      <c r="BE62" s="571" t="s">
        <v>244</v>
      </c>
      <c r="BF62" s="572"/>
      <c r="BG62" s="572"/>
      <c r="BH62" s="135">
        <v>63</v>
      </c>
      <c r="BI62" s="349">
        <f>+AJ26</f>
        <v>-2</v>
      </c>
    </row>
    <row r="63" spans="35:61" x14ac:dyDescent="0.25">
      <c r="AI63" s="449"/>
      <c r="AJ63" s="449"/>
      <c r="BE63" s="571" t="s">
        <v>245</v>
      </c>
      <c r="BF63" s="572"/>
      <c r="BG63" s="572"/>
      <c r="BH63" s="135">
        <v>63</v>
      </c>
      <c r="BI63" s="349">
        <f>+AJ26</f>
        <v>-2</v>
      </c>
    </row>
    <row r="64" spans="35:61" x14ac:dyDescent="0.25">
      <c r="AI64" s="449"/>
      <c r="AJ64" s="449"/>
      <c r="BE64" s="571" t="s">
        <v>246</v>
      </c>
      <c r="BF64" s="572"/>
      <c r="BG64" s="572"/>
      <c r="BH64" s="135">
        <v>66</v>
      </c>
      <c r="BI64" s="349">
        <f>+AJ28</f>
        <v>-5</v>
      </c>
    </row>
    <row r="65" spans="35:61" x14ac:dyDescent="0.25">
      <c r="AI65" s="449"/>
      <c r="AJ65" s="449"/>
      <c r="BE65" s="571" t="s">
        <v>247</v>
      </c>
      <c r="BF65" s="572"/>
      <c r="BG65" s="572"/>
      <c r="BH65" s="158">
        <v>68</v>
      </c>
      <c r="BI65" s="350">
        <f>+AJ29</f>
        <v>-1</v>
      </c>
    </row>
    <row r="66" spans="35:61" x14ac:dyDescent="0.25">
      <c r="AI66" s="449"/>
      <c r="AJ66" s="449"/>
      <c r="BE66" s="571" t="s">
        <v>248</v>
      </c>
      <c r="BF66" s="572"/>
      <c r="BG66" s="572"/>
      <c r="BH66" s="158">
        <v>70</v>
      </c>
      <c r="BI66" s="350">
        <f>+AJ30</f>
        <v>-1</v>
      </c>
    </row>
    <row r="67" spans="35:61" ht="15.75" thickBot="1" x14ac:dyDescent="0.3">
      <c r="AI67" s="449"/>
      <c r="AJ67" s="449"/>
      <c r="BE67" s="585" t="s">
        <v>249</v>
      </c>
      <c r="BF67" s="586"/>
      <c r="BG67" s="586"/>
      <c r="BH67" s="162">
        <v>73</v>
      </c>
      <c r="BI67" s="351">
        <f>+AJ31</f>
        <v>-1</v>
      </c>
    </row>
    <row r="68" spans="35:61" ht="15.75" thickBot="1" x14ac:dyDescent="0.3">
      <c r="AI68" s="449"/>
      <c r="AJ68" s="449"/>
      <c r="BE68" s="314" t="s">
        <v>65</v>
      </c>
      <c r="BF68" s="315"/>
      <c r="BG68" s="315"/>
      <c r="BH68" s="315"/>
      <c r="BI68" s="316"/>
    </row>
    <row r="69" spans="35:61" ht="15.75" thickBot="1" x14ac:dyDescent="0.3">
      <c r="AI69" s="449"/>
      <c r="AJ69" s="449"/>
      <c r="BE69" s="587" t="s">
        <v>385</v>
      </c>
      <c r="BF69" s="588"/>
      <c r="BG69" s="589"/>
      <c r="BH69" s="157" t="s">
        <v>269</v>
      </c>
      <c r="BI69" s="136" t="s">
        <v>272</v>
      </c>
    </row>
    <row r="70" spans="35:61" x14ac:dyDescent="0.25">
      <c r="AI70" s="449"/>
      <c r="AJ70" s="449"/>
      <c r="BE70" s="569" t="s">
        <v>371</v>
      </c>
      <c r="BF70" s="570"/>
      <c r="BG70" s="570"/>
      <c r="BH70" s="139">
        <v>0</v>
      </c>
      <c r="BI70" s="155"/>
    </row>
    <row r="71" spans="35:61" x14ac:dyDescent="0.25">
      <c r="AI71" s="449"/>
      <c r="AJ71" s="449"/>
      <c r="BE71" s="571" t="s">
        <v>372</v>
      </c>
      <c r="BF71" s="572"/>
      <c r="BG71" s="572"/>
      <c r="BH71" s="135">
        <v>0</v>
      </c>
      <c r="BI71" s="153"/>
    </row>
    <row r="72" spans="35:61" x14ac:dyDescent="0.25">
      <c r="AI72" s="449"/>
      <c r="AJ72" s="449"/>
      <c r="BE72" s="571" t="s">
        <v>240</v>
      </c>
      <c r="BF72" s="572"/>
      <c r="BG72" s="572"/>
      <c r="BH72" s="135">
        <v>0</v>
      </c>
      <c r="BI72" s="153"/>
    </row>
    <row r="73" spans="35:61" x14ac:dyDescent="0.25">
      <c r="AI73" s="449"/>
      <c r="AJ73" s="449"/>
      <c r="BE73" s="571" t="s">
        <v>241</v>
      </c>
      <c r="BF73" s="572"/>
      <c r="BG73" s="572"/>
      <c r="BH73" s="135">
        <v>0</v>
      </c>
      <c r="BI73" s="153"/>
    </row>
    <row r="74" spans="35:61" x14ac:dyDescent="0.25">
      <c r="AI74" s="449"/>
      <c r="AJ74" s="449"/>
      <c r="BE74" s="571" t="s">
        <v>242</v>
      </c>
      <c r="BF74" s="572"/>
      <c r="BG74" s="572"/>
      <c r="BH74" s="135">
        <v>0</v>
      </c>
      <c r="BI74" s="153"/>
    </row>
    <row r="75" spans="35:61" x14ac:dyDescent="0.25">
      <c r="AI75" s="449"/>
      <c r="AJ75" s="449"/>
      <c r="BE75" s="571" t="s">
        <v>243</v>
      </c>
      <c r="BF75" s="572"/>
      <c r="BG75" s="572"/>
      <c r="BH75" s="135">
        <v>0</v>
      </c>
      <c r="BI75" s="153"/>
    </row>
    <row r="76" spans="35:61" x14ac:dyDescent="0.25">
      <c r="AI76" s="449"/>
      <c r="AJ76" s="449"/>
      <c r="BE76" s="571" t="s">
        <v>244</v>
      </c>
      <c r="BF76" s="572"/>
      <c r="BG76" s="572"/>
      <c r="BH76" s="135">
        <v>0</v>
      </c>
      <c r="BI76" s="153"/>
    </row>
    <row r="77" spans="35:61" x14ac:dyDescent="0.25">
      <c r="AI77" s="449"/>
      <c r="AJ77" s="449"/>
      <c r="BE77" s="571" t="s">
        <v>245</v>
      </c>
      <c r="BF77" s="572"/>
      <c r="BG77" s="572"/>
      <c r="BH77" s="135">
        <v>0</v>
      </c>
      <c r="BI77" s="153"/>
    </row>
    <row r="78" spans="35:61" x14ac:dyDescent="0.25">
      <c r="AI78" s="449"/>
      <c r="AJ78" s="449"/>
      <c r="BE78" s="571" t="s">
        <v>246</v>
      </c>
      <c r="BF78" s="572"/>
      <c r="BG78" s="572"/>
      <c r="BH78" s="135">
        <v>0</v>
      </c>
      <c r="BI78" s="153"/>
    </row>
    <row r="79" spans="35:61" x14ac:dyDescent="0.25">
      <c r="AI79" s="449"/>
      <c r="AJ79" s="449"/>
      <c r="BE79" s="571" t="s">
        <v>247</v>
      </c>
      <c r="BF79" s="572"/>
      <c r="BG79" s="572"/>
      <c r="BH79" s="135">
        <v>0</v>
      </c>
      <c r="BI79" s="149"/>
    </row>
    <row r="80" spans="35:61" x14ac:dyDescent="0.25">
      <c r="AI80" s="449"/>
      <c r="AJ80" s="449"/>
      <c r="BE80" s="571" t="s">
        <v>248</v>
      </c>
      <c r="BF80" s="572"/>
      <c r="BG80" s="572"/>
      <c r="BH80" s="135">
        <v>0</v>
      </c>
      <c r="BI80" s="149"/>
    </row>
    <row r="81" spans="35:61" ht="15.75" thickBot="1" x14ac:dyDescent="0.3">
      <c r="AI81" s="449"/>
      <c r="AJ81" s="449"/>
      <c r="BE81" s="585" t="s">
        <v>249</v>
      </c>
      <c r="BF81" s="586"/>
      <c r="BG81" s="586"/>
      <c r="BH81" s="140">
        <v>0</v>
      </c>
      <c r="BI81" s="150"/>
    </row>
    <row r="82" spans="35:61" ht="21.75" thickBot="1" x14ac:dyDescent="0.3">
      <c r="AI82" s="449"/>
      <c r="AJ82" s="449"/>
      <c r="BE82" s="551" t="s">
        <v>276</v>
      </c>
      <c r="BF82" s="552"/>
      <c r="BG82" s="552"/>
      <c r="BH82" s="552"/>
      <c r="BI82" s="553"/>
    </row>
    <row r="83" spans="35:61" ht="15.75" thickBot="1" x14ac:dyDescent="0.3">
      <c r="AI83" s="449"/>
      <c r="AJ83" s="449"/>
      <c r="BE83" s="592" t="s">
        <v>9</v>
      </c>
      <c r="BF83" s="593"/>
      <c r="BG83" s="593"/>
      <c r="BH83" s="593"/>
      <c r="BI83" s="594"/>
    </row>
    <row r="84" spans="35:61" ht="15.75" thickBot="1" x14ac:dyDescent="0.3">
      <c r="AI84" s="449"/>
      <c r="AJ84" s="449"/>
      <c r="BE84" s="154" t="s">
        <v>385</v>
      </c>
      <c r="BF84" s="353" t="s">
        <v>269</v>
      </c>
      <c r="BG84" s="354" t="s">
        <v>272</v>
      </c>
      <c r="BH84" s="355" t="s">
        <v>273</v>
      </c>
      <c r="BI84" s="356" t="s">
        <v>272</v>
      </c>
    </row>
    <row r="85" spans="35:61" x14ac:dyDescent="0.25">
      <c r="AI85" s="449"/>
      <c r="AJ85" s="449"/>
      <c r="BE85" s="163" t="s">
        <v>371</v>
      </c>
      <c r="BF85" s="171">
        <v>13</v>
      </c>
      <c r="BG85" s="359">
        <f>$AM$5</f>
        <v>-10</v>
      </c>
      <c r="BH85" s="171">
        <v>13</v>
      </c>
      <c r="BI85" s="357">
        <f>$AN$5</f>
        <v>-5</v>
      </c>
    </row>
    <row r="86" spans="35:61" x14ac:dyDescent="0.25">
      <c r="AI86" s="449"/>
      <c r="AJ86" s="449"/>
      <c r="BE86" s="164" t="s">
        <v>372</v>
      </c>
      <c r="BF86" s="169">
        <v>13</v>
      </c>
      <c r="BG86" s="360">
        <f>$AM$5</f>
        <v>-10</v>
      </c>
      <c r="BH86" s="169">
        <v>13</v>
      </c>
      <c r="BI86" s="358">
        <f>$AN$5</f>
        <v>-5</v>
      </c>
    </row>
    <row r="87" spans="35:61" x14ac:dyDescent="0.25">
      <c r="AI87" s="449"/>
      <c r="AJ87" s="449"/>
      <c r="BE87" s="164" t="s">
        <v>240</v>
      </c>
      <c r="BF87" s="135">
        <v>13</v>
      </c>
      <c r="BG87" s="360">
        <f>$AM$5</f>
        <v>-10</v>
      </c>
      <c r="BH87" s="135">
        <v>13</v>
      </c>
      <c r="BI87" s="358">
        <f>$AN$5</f>
        <v>-5</v>
      </c>
    </row>
    <row r="88" spans="35:61" x14ac:dyDescent="0.25">
      <c r="AI88" s="317"/>
      <c r="AJ88" s="317"/>
      <c r="BE88" s="164" t="s">
        <v>241</v>
      </c>
      <c r="BF88" s="135">
        <v>13</v>
      </c>
      <c r="BG88" s="360">
        <f>$AM$5</f>
        <v>-10</v>
      </c>
      <c r="BH88" s="135">
        <v>13</v>
      </c>
      <c r="BI88" s="358">
        <f>$AN$5</f>
        <v>-5</v>
      </c>
    </row>
    <row r="89" spans="35:61" x14ac:dyDescent="0.25">
      <c r="AI89" s="449"/>
      <c r="AJ89" s="449"/>
      <c r="BE89" s="164" t="s">
        <v>242</v>
      </c>
      <c r="BF89" s="135">
        <v>13</v>
      </c>
      <c r="BG89" s="360">
        <f>$AM$5</f>
        <v>-10</v>
      </c>
      <c r="BH89" s="135">
        <v>13</v>
      </c>
      <c r="BI89" s="358">
        <f>$AN$5</f>
        <v>-5</v>
      </c>
    </row>
    <row r="90" spans="35:61" x14ac:dyDescent="0.25">
      <c r="AI90" s="449"/>
      <c r="AJ90" s="449"/>
      <c r="BE90" s="164" t="s">
        <v>243</v>
      </c>
      <c r="BF90" s="135">
        <v>15</v>
      </c>
      <c r="BG90" s="360">
        <f>$AM$6</f>
        <v>-14</v>
      </c>
      <c r="BH90" s="135">
        <v>15</v>
      </c>
      <c r="BI90" s="358">
        <f>$AN$6</f>
        <v>-7</v>
      </c>
    </row>
    <row r="91" spans="35:61" x14ac:dyDescent="0.25">
      <c r="AI91" s="449"/>
      <c r="AJ91" s="449"/>
      <c r="BE91" s="164" t="s">
        <v>244</v>
      </c>
      <c r="BF91" s="135">
        <v>15</v>
      </c>
      <c r="BG91" s="360">
        <f>$AM$6</f>
        <v>-14</v>
      </c>
      <c r="BH91" s="135">
        <v>15</v>
      </c>
      <c r="BI91" s="358">
        <f>$AN$6</f>
        <v>-7</v>
      </c>
    </row>
    <row r="92" spans="35:61" x14ac:dyDescent="0.25">
      <c r="AI92" s="449"/>
      <c r="AJ92" s="449"/>
      <c r="BE92" s="164" t="s">
        <v>245</v>
      </c>
      <c r="BF92" s="135">
        <v>15</v>
      </c>
      <c r="BG92" s="360">
        <f>$AM$6</f>
        <v>-14</v>
      </c>
      <c r="BH92" s="135">
        <v>15</v>
      </c>
      <c r="BI92" s="358">
        <f>$AN$6</f>
        <v>-7</v>
      </c>
    </row>
    <row r="93" spans="35:61" x14ac:dyDescent="0.25">
      <c r="AI93" s="449"/>
      <c r="AJ93" s="449"/>
      <c r="BE93" s="164" t="s">
        <v>246</v>
      </c>
      <c r="BF93" s="158">
        <v>15</v>
      </c>
      <c r="BG93" s="360">
        <f>$AM$6</f>
        <v>-14</v>
      </c>
      <c r="BH93" s="158">
        <v>15</v>
      </c>
      <c r="BI93" s="358">
        <f>$AN$6</f>
        <v>-7</v>
      </c>
    </row>
    <row r="94" spans="35:61" x14ac:dyDescent="0.25">
      <c r="AI94" s="449"/>
      <c r="AJ94" s="449"/>
      <c r="BE94" s="164" t="s">
        <v>247</v>
      </c>
      <c r="BF94" s="158">
        <v>15</v>
      </c>
      <c r="BG94" s="360">
        <f>$AM$6</f>
        <v>-14</v>
      </c>
      <c r="BH94" s="158">
        <v>15</v>
      </c>
      <c r="BI94" s="358">
        <f>$AN$6</f>
        <v>-7</v>
      </c>
    </row>
    <row r="95" spans="35:61" x14ac:dyDescent="0.25">
      <c r="AI95" s="449"/>
      <c r="AJ95" s="449"/>
      <c r="BE95" s="164" t="s">
        <v>248</v>
      </c>
      <c r="BF95" s="158">
        <v>15</v>
      </c>
      <c r="BG95" s="360">
        <f>$AM$6</f>
        <v>-14</v>
      </c>
      <c r="BH95" s="158">
        <v>15</v>
      </c>
      <c r="BI95" s="358">
        <f>$AN$6</f>
        <v>-7</v>
      </c>
    </row>
    <row r="96" spans="35:61" ht="15.75" thickBot="1" x14ac:dyDescent="0.3">
      <c r="AI96" s="449"/>
      <c r="AJ96" s="449"/>
      <c r="BE96" s="491" t="s">
        <v>249</v>
      </c>
      <c r="BF96" s="162">
        <v>15</v>
      </c>
      <c r="BG96" s="361">
        <f>$AM$6</f>
        <v>-14</v>
      </c>
      <c r="BH96" s="162">
        <v>15</v>
      </c>
      <c r="BI96" s="627">
        <f>$AN$6</f>
        <v>-7</v>
      </c>
    </row>
    <row r="97" spans="35:61" ht="15.75" thickBot="1" x14ac:dyDescent="0.3">
      <c r="AI97" s="449"/>
      <c r="AJ97" s="449"/>
      <c r="BE97" s="615" t="s">
        <v>63</v>
      </c>
      <c r="BF97" s="616"/>
      <c r="BG97" s="616"/>
      <c r="BH97" s="616"/>
      <c r="BI97" s="617"/>
    </row>
    <row r="98" spans="35:61" ht="15.75" thickBot="1" x14ac:dyDescent="0.3">
      <c r="AI98" s="449"/>
      <c r="AJ98" s="449"/>
      <c r="BE98" s="598" t="s">
        <v>385</v>
      </c>
      <c r="BF98" s="599"/>
      <c r="BG98" s="600"/>
      <c r="BH98" s="168" t="s">
        <v>269</v>
      </c>
      <c r="BI98" s="352" t="s">
        <v>272</v>
      </c>
    </row>
    <row r="99" spans="35:61" x14ac:dyDescent="0.25">
      <c r="AI99" s="449"/>
      <c r="AJ99" s="449"/>
      <c r="BE99" s="590" t="s">
        <v>371</v>
      </c>
      <c r="BF99" s="591"/>
      <c r="BG99" s="591"/>
      <c r="BH99" s="171">
        <v>13</v>
      </c>
      <c r="BI99" s="357">
        <f>$AM$5</f>
        <v>-10</v>
      </c>
    </row>
    <row r="100" spans="35:61" x14ac:dyDescent="0.25">
      <c r="AI100" s="449"/>
      <c r="AJ100" s="449"/>
      <c r="BE100" s="571" t="s">
        <v>372</v>
      </c>
      <c r="BF100" s="572"/>
      <c r="BG100" s="572"/>
      <c r="BH100" s="169">
        <v>13</v>
      </c>
      <c r="BI100" s="358">
        <f>$AM$5</f>
        <v>-10</v>
      </c>
    </row>
    <row r="101" spans="35:61" x14ac:dyDescent="0.25">
      <c r="AI101" s="449"/>
      <c r="AJ101" s="449"/>
      <c r="BE101" s="571" t="s">
        <v>240</v>
      </c>
      <c r="BF101" s="572"/>
      <c r="BG101" s="572"/>
      <c r="BH101" s="135">
        <v>13</v>
      </c>
      <c r="BI101" s="358">
        <f>$AM$5</f>
        <v>-10</v>
      </c>
    </row>
    <row r="102" spans="35:61" x14ac:dyDescent="0.25">
      <c r="AI102" s="449"/>
      <c r="AJ102" s="449"/>
      <c r="BE102" s="571" t="s">
        <v>241</v>
      </c>
      <c r="BF102" s="572"/>
      <c r="BG102" s="572"/>
      <c r="BH102" s="135">
        <v>13</v>
      </c>
      <c r="BI102" s="358">
        <f>$AM$5</f>
        <v>-10</v>
      </c>
    </row>
    <row r="103" spans="35:61" x14ac:dyDescent="0.25">
      <c r="AI103" s="449"/>
      <c r="AJ103" s="449"/>
      <c r="BE103" s="571" t="s">
        <v>242</v>
      </c>
      <c r="BF103" s="572"/>
      <c r="BG103" s="572"/>
      <c r="BH103" s="135">
        <v>13</v>
      </c>
      <c r="BI103" s="358">
        <f>$AM$5</f>
        <v>-10</v>
      </c>
    </row>
    <row r="104" spans="35:61" x14ac:dyDescent="0.25">
      <c r="AI104" s="449"/>
      <c r="AJ104" s="449"/>
      <c r="BE104" s="571" t="s">
        <v>243</v>
      </c>
      <c r="BF104" s="572"/>
      <c r="BG104" s="572"/>
      <c r="BH104" s="135">
        <v>15</v>
      </c>
      <c r="BI104" s="358">
        <f>$AM$6</f>
        <v>-14</v>
      </c>
    </row>
    <row r="105" spans="35:61" x14ac:dyDescent="0.25">
      <c r="AI105" s="449"/>
      <c r="AJ105" s="449"/>
      <c r="BE105" s="571" t="s">
        <v>244</v>
      </c>
      <c r="BF105" s="572"/>
      <c r="BG105" s="572"/>
      <c r="BH105" s="135">
        <v>15</v>
      </c>
      <c r="BI105" s="358">
        <f>$AM$6</f>
        <v>-14</v>
      </c>
    </row>
    <row r="106" spans="35:61" x14ac:dyDescent="0.25">
      <c r="AI106" s="449"/>
      <c r="AJ106" s="449"/>
      <c r="BE106" s="571" t="s">
        <v>245</v>
      </c>
      <c r="BF106" s="572"/>
      <c r="BG106" s="572"/>
      <c r="BH106" s="135">
        <v>15</v>
      </c>
      <c r="BI106" s="358">
        <f>$AM$6</f>
        <v>-14</v>
      </c>
    </row>
    <row r="107" spans="35:61" x14ac:dyDescent="0.25">
      <c r="AI107" s="449"/>
      <c r="AJ107" s="449"/>
      <c r="BE107" s="571" t="s">
        <v>246</v>
      </c>
      <c r="BF107" s="572"/>
      <c r="BG107" s="572"/>
      <c r="BH107" s="158">
        <v>15</v>
      </c>
      <c r="BI107" s="358">
        <f>$AM$6</f>
        <v>-14</v>
      </c>
    </row>
    <row r="108" spans="35:61" x14ac:dyDescent="0.25">
      <c r="AI108" s="449"/>
      <c r="AJ108" s="449"/>
      <c r="AK108" s="176"/>
      <c r="BE108" s="571" t="s">
        <v>247</v>
      </c>
      <c r="BF108" s="572"/>
      <c r="BG108" s="572"/>
      <c r="BH108" s="158">
        <v>15</v>
      </c>
      <c r="BI108" s="358">
        <f>$AM$6</f>
        <v>-14</v>
      </c>
    </row>
    <row r="109" spans="35:61" x14ac:dyDescent="0.25">
      <c r="AI109" s="449"/>
      <c r="AJ109" s="449"/>
      <c r="BE109" s="571" t="s">
        <v>248</v>
      </c>
      <c r="BF109" s="572"/>
      <c r="BG109" s="572"/>
      <c r="BH109" s="158">
        <v>15</v>
      </c>
      <c r="BI109" s="358">
        <f>$AM$6</f>
        <v>-14</v>
      </c>
    </row>
    <row r="110" spans="35:61" ht="15.75" thickBot="1" x14ac:dyDescent="0.3">
      <c r="AI110" s="449"/>
      <c r="AJ110" s="449"/>
      <c r="BE110" s="601" t="s">
        <v>249</v>
      </c>
      <c r="BF110" s="602"/>
      <c r="BG110" s="602"/>
      <c r="BH110" s="162">
        <v>15</v>
      </c>
      <c r="BI110" s="627">
        <f>$AM$6</f>
        <v>-14</v>
      </c>
    </row>
    <row r="111" spans="35:61" ht="21.75" thickBot="1" x14ac:dyDescent="0.3">
      <c r="AI111" s="449"/>
      <c r="AJ111" s="449"/>
      <c r="BE111" s="603" t="s">
        <v>277</v>
      </c>
      <c r="BF111" s="604"/>
      <c r="BG111" s="604"/>
      <c r="BH111" s="604"/>
      <c r="BI111" s="605"/>
    </row>
    <row r="112" spans="35:61" ht="15.75" thickBot="1" x14ac:dyDescent="0.3">
      <c r="AI112" s="449"/>
      <c r="AJ112" s="449"/>
      <c r="BE112" s="319" t="s">
        <v>43</v>
      </c>
      <c r="BF112" s="320"/>
      <c r="BG112" s="320"/>
      <c r="BH112" s="320"/>
      <c r="BI112" s="321"/>
    </row>
    <row r="113" spans="35:61" ht="15.75" thickBot="1" x14ac:dyDescent="0.3">
      <c r="AI113" s="449"/>
      <c r="AJ113" s="449"/>
      <c r="BE113" s="362" t="s">
        <v>385</v>
      </c>
      <c r="BF113" s="131" t="s">
        <v>269</v>
      </c>
      <c r="BG113" s="175" t="s">
        <v>272</v>
      </c>
      <c r="BH113" s="144" t="s">
        <v>273</v>
      </c>
      <c r="BI113" s="132" t="s">
        <v>272</v>
      </c>
    </row>
    <row r="114" spans="35:61" x14ac:dyDescent="0.25">
      <c r="AI114" s="449"/>
      <c r="AJ114" s="449"/>
      <c r="BE114" s="174" t="s">
        <v>371</v>
      </c>
      <c r="BF114" s="173">
        <v>13</v>
      </c>
      <c r="BG114" s="5">
        <f>+$AP$5</f>
        <v>-4</v>
      </c>
      <c r="BH114" s="173">
        <v>13</v>
      </c>
      <c r="BI114" s="5">
        <f>+$AQ$5</f>
        <v>-2</v>
      </c>
    </row>
    <row r="115" spans="35:61" x14ac:dyDescent="0.25">
      <c r="AI115" s="449"/>
      <c r="AJ115" s="449"/>
      <c r="BE115" s="164" t="s">
        <v>372</v>
      </c>
      <c r="BF115" s="169">
        <v>13</v>
      </c>
      <c r="BG115" s="5">
        <f>+$AP$5</f>
        <v>-4</v>
      </c>
      <c r="BH115" s="169">
        <v>13</v>
      </c>
      <c r="BI115" s="5">
        <f t="shared" ref="BI115:BI125" si="6">+$AQ$5</f>
        <v>-2</v>
      </c>
    </row>
    <row r="116" spans="35:61" x14ac:dyDescent="0.25">
      <c r="AI116" s="449"/>
      <c r="AJ116" s="449"/>
      <c r="BE116" s="164" t="s">
        <v>240</v>
      </c>
      <c r="BF116" s="135">
        <v>15</v>
      </c>
      <c r="BG116" s="5">
        <f>+$AP$6</f>
        <v>-6</v>
      </c>
      <c r="BH116" s="135">
        <v>15</v>
      </c>
      <c r="BI116" s="5">
        <f>+$AQ$6</f>
        <v>-3</v>
      </c>
    </row>
    <row r="117" spans="35:61" x14ac:dyDescent="0.25">
      <c r="AI117" s="449"/>
      <c r="AJ117" s="449"/>
      <c r="BE117" s="164" t="s">
        <v>241</v>
      </c>
      <c r="BF117" s="135">
        <v>15</v>
      </c>
      <c r="BG117" s="5">
        <f t="shared" ref="BG117:BI119" si="7">+$AP$6</f>
        <v>-6</v>
      </c>
      <c r="BH117" s="135">
        <v>15</v>
      </c>
      <c r="BI117" s="5">
        <f t="shared" ref="BI117:BI118" si="8">+$AQ$6</f>
        <v>-3</v>
      </c>
    </row>
    <row r="118" spans="35:61" x14ac:dyDescent="0.25">
      <c r="AI118" s="449"/>
      <c r="AJ118" s="449"/>
      <c r="BE118" s="164" t="s">
        <v>242</v>
      </c>
      <c r="BF118" s="135">
        <v>15</v>
      </c>
      <c r="BG118" s="5">
        <f t="shared" si="7"/>
        <v>-6</v>
      </c>
      <c r="BH118" s="135">
        <v>15</v>
      </c>
      <c r="BI118" s="5">
        <f t="shared" si="8"/>
        <v>-3</v>
      </c>
    </row>
    <row r="119" spans="35:61" x14ac:dyDescent="0.25">
      <c r="AI119" s="449"/>
      <c r="AJ119" s="449"/>
      <c r="BE119" s="164" t="s">
        <v>243</v>
      </c>
      <c r="BF119" s="135">
        <v>18</v>
      </c>
      <c r="BG119" s="5">
        <f>+$AP$7</f>
        <v>-4</v>
      </c>
      <c r="BH119" s="135">
        <v>18</v>
      </c>
      <c r="BI119" s="5">
        <f>+$AQ$7</f>
        <v>-2</v>
      </c>
    </row>
    <row r="120" spans="35:61" x14ac:dyDescent="0.25">
      <c r="AI120" s="449"/>
      <c r="AJ120" s="449"/>
      <c r="BE120" s="164" t="s">
        <v>244</v>
      </c>
      <c r="BF120" s="135">
        <v>18</v>
      </c>
      <c r="BG120" s="5">
        <f t="shared" ref="BG120:BI121" si="9">+$AP$7</f>
        <v>-4</v>
      </c>
      <c r="BH120" s="135">
        <v>18</v>
      </c>
      <c r="BI120" s="5">
        <f t="shared" ref="BI120:BI121" si="10">+$AQ$7</f>
        <v>-2</v>
      </c>
    </row>
    <row r="121" spans="35:61" x14ac:dyDescent="0.25">
      <c r="AI121" s="449"/>
      <c r="AJ121" s="449"/>
      <c r="BE121" s="164" t="s">
        <v>245</v>
      </c>
      <c r="BF121" s="135">
        <v>20</v>
      </c>
      <c r="BG121" s="5">
        <f>+$AP$8</f>
        <v>-10</v>
      </c>
      <c r="BH121" s="135">
        <v>20</v>
      </c>
      <c r="BI121" s="5">
        <f>+$AQ$8</f>
        <v>-5</v>
      </c>
    </row>
    <row r="122" spans="35:61" x14ac:dyDescent="0.25">
      <c r="AI122" s="449"/>
      <c r="AJ122" s="449"/>
      <c r="BE122" s="164" t="s">
        <v>246</v>
      </c>
      <c r="BF122" s="158">
        <v>20</v>
      </c>
      <c r="BG122" s="5">
        <f t="shared" ref="BG122:BI125" si="11">+$AP$8</f>
        <v>-10</v>
      </c>
      <c r="BH122" s="158">
        <v>20</v>
      </c>
      <c r="BI122" s="5">
        <f t="shared" ref="BI122:BI125" si="12">+$AQ$8</f>
        <v>-5</v>
      </c>
    </row>
    <row r="123" spans="35:61" x14ac:dyDescent="0.25">
      <c r="AI123" s="449"/>
      <c r="AJ123" s="449"/>
      <c r="BE123" s="164" t="s">
        <v>247</v>
      </c>
      <c r="BF123" s="158">
        <v>20</v>
      </c>
      <c r="BG123" s="5">
        <f t="shared" si="11"/>
        <v>-10</v>
      </c>
      <c r="BH123" s="158">
        <v>20</v>
      </c>
      <c r="BI123" s="5">
        <f t="shared" si="12"/>
        <v>-5</v>
      </c>
    </row>
    <row r="124" spans="35:61" x14ac:dyDescent="0.25">
      <c r="AI124" s="449"/>
      <c r="AJ124" s="449"/>
      <c r="BE124" s="164" t="s">
        <v>248</v>
      </c>
      <c r="BF124" s="158">
        <v>20</v>
      </c>
      <c r="BG124" s="5">
        <f t="shared" si="11"/>
        <v>-10</v>
      </c>
      <c r="BH124" s="158">
        <v>20</v>
      </c>
      <c r="BI124" s="5">
        <f t="shared" si="12"/>
        <v>-5</v>
      </c>
    </row>
    <row r="125" spans="35:61" ht="15.75" thickBot="1" x14ac:dyDescent="0.3">
      <c r="AI125" s="449"/>
      <c r="AJ125" s="449"/>
      <c r="BE125" s="447" t="s">
        <v>249</v>
      </c>
      <c r="BF125" s="162">
        <v>20</v>
      </c>
      <c r="BG125" s="5">
        <f t="shared" si="11"/>
        <v>-10</v>
      </c>
      <c r="BH125" s="162">
        <v>20</v>
      </c>
      <c r="BI125" s="5">
        <f t="shared" si="12"/>
        <v>-5</v>
      </c>
    </row>
    <row r="126" spans="35:61" ht="15.75" thickBot="1" x14ac:dyDescent="0.3">
      <c r="AI126" s="449"/>
      <c r="AJ126" s="449"/>
      <c r="BE126" s="319" t="s">
        <v>415</v>
      </c>
      <c r="BF126" s="320"/>
      <c r="BG126" s="320"/>
      <c r="BH126" s="320"/>
      <c r="BI126" s="321"/>
    </row>
    <row r="127" spans="35:61" ht="15.75" thickBot="1" x14ac:dyDescent="0.3">
      <c r="AI127" s="449"/>
      <c r="AJ127" s="449"/>
      <c r="BE127" s="598" t="s">
        <v>385</v>
      </c>
      <c r="BF127" s="599"/>
      <c r="BG127" s="600"/>
      <c r="BH127" s="157" t="s">
        <v>269</v>
      </c>
      <c r="BI127" s="352" t="s">
        <v>272</v>
      </c>
    </row>
    <row r="128" spans="35:61" x14ac:dyDescent="0.25">
      <c r="AI128" s="449"/>
      <c r="AJ128" s="449"/>
      <c r="BE128" s="590" t="s">
        <v>371</v>
      </c>
      <c r="BF128" s="591"/>
      <c r="BG128" s="591"/>
      <c r="BH128" s="171">
        <v>13</v>
      </c>
      <c r="BI128" s="172">
        <f>+$AP$5</f>
        <v>-4</v>
      </c>
    </row>
    <row r="129" spans="35:61" x14ac:dyDescent="0.25">
      <c r="AI129" s="449"/>
      <c r="AJ129" s="449"/>
      <c r="BE129" s="571" t="s">
        <v>372</v>
      </c>
      <c r="BF129" s="572"/>
      <c r="BG129" s="572"/>
      <c r="BH129" s="169">
        <v>13</v>
      </c>
      <c r="BI129" s="6">
        <f t="shared" ref="BI129:BI139" si="13">+$AP$5</f>
        <v>-4</v>
      </c>
    </row>
    <row r="130" spans="35:61" x14ac:dyDescent="0.25">
      <c r="AI130" s="449"/>
      <c r="AJ130" s="449"/>
      <c r="BE130" s="571" t="s">
        <v>240</v>
      </c>
      <c r="BF130" s="572"/>
      <c r="BG130" s="572"/>
      <c r="BH130" s="135">
        <v>15</v>
      </c>
      <c r="BI130" s="6">
        <f>+$AP$6</f>
        <v>-6</v>
      </c>
    </row>
    <row r="131" spans="35:61" x14ac:dyDescent="0.25">
      <c r="AI131" s="449"/>
      <c r="AJ131" s="449"/>
      <c r="BE131" s="571" t="s">
        <v>241</v>
      </c>
      <c r="BF131" s="572"/>
      <c r="BG131" s="572"/>
      <c r="BH131" s="135">
        <v>15</v>
      </c>
      <c r="BI131" s="6">
        <f t="shared" ref="BI131:BI139" si="14">+$AP$6</f>
        <v>-6</v>
      </c>
    </row>
    <row r="132" spans="35:61" x14ac:dyDescent="0.25">
      <c r="AI132" s="449"/>
      <c r="AJ132" s="449"/>
      <c r="BE132" s="571" t="s">
        <v>242</v>
      </c>
      <c r="BF132" s="572"/>
      <c r="BG132" s="572"/>
      <c r="BH132" s="135">
        <v>15</v>
      </c>
      <c r="BI132" s="6">
        <f t="shared" si="14"/>
        <v>-6</v>
      </c>
    </row>
    <row r="133" spans="35:61" x14ac:dyDescent="0.25">
      <c r="AI133" s="449"/>
      <c r="AJ133" s="449"/>
      <c r="BE133" s="571" t="s">
        <v>243</v>
      </c>
      <c r="BF133" s="572"/>
      <c r="BG133" s="572"/>
      <c r="BH133" s="135">
        <v>18</v>
      </c>
      <c r="BI133" s="6">
        <f>+$AP$7</f>
        <v>-4</v>
      </c>
    </row>
    <row r="134" spans="35:61" x14ac:dyDescent="0.25">
      <c r="AI134" s="449"/>
      <c r="AJ134" s="449"/>
      <c r="AO134" s="176"/>
      <c r="AR134" s="176"/>
      <c r="BE134" s="571" t="s">
        <v>244</v>
      </c>
      <c r="BF134" s="572"/>
      <c r="BG134" s="572"/>
      <c r="BH134" s="135">
        <v>18</v>
      </c>
      <c r="BI134" s="6">
        <f t="shared" ref="BI134:BI139" si="15">+$AP$7</f>
        <v>-4</v>
      </c>
    </row>
    <row r="135" spans="35:61" x14ac:dyDescent="0.25">
      <c r="AI135" s="449"/>
      <c r="AJ135" s="449"/>
      <c r="BE135" s="571" t="s">
        <v>245</v>
      </c>
      <c r="BF135" s="572"/>
      <c r="BG135" s="572"/>
      <c r="BH135" s="135">
        <v>20</v>
      </c>
      <c r="BI135" s="6">
        <f>+$AP$8</f>
        <v>-10</v>
      </c>
    </row>
    <row r="136" spans="35:61" x14ac:dyDescent="0.25">
      <c r="AI136" s="449"/>
      <c r="AJ136" s="449"/>
      <c r="AL136" s="176"/>
      <c r="AM136" s="176"/>
      <c r="AN136" s="176"/>
      <c r="AP136" s="176"/>
      <c r="AQ136" s="176"/>
      <c r="AS136" s="176"/>
      <c r="AT136" s="176"/>
      <c r="AU136" s="176"/>
      <c r="AV136" s="176"/>
      <c r="AW136" s="176"/>
      <c r="AX136" s="176"/>
      <c r="AY136" s="176"/>
      <c r="AZ136" s="176"/>
      <c r="BA136" s="176"/>
      <c r="BB136" s="176"/>
      <c r="BC136" s="176"/>
      <c r="BE136" s="606" t="s">
        <v>246</v>
      </c>
      <c r="BF136" s="607"/>
      <c r="BG136" s="608"/>
      <c r="BH136" s="158">
        <v>20</v>
      </c>
      <c r="BI136" s="6">
        <f t="shared" ref="BI136:BI139" si="16">+$AP$8</f>
        <v>-10</v>
      </c>
    </row>
    <row r="137" spans="35:61" x14ac:dyDescent="0.25">
      <c r="AI137" s="449"/>
      <c r="AJ137" s="449"/>
      <c r="BE137" s="609" t="s">
        <v>247</v>
      </c>
      <c r="BF137" s="610"/>
      <c r="BG137" s="611"/>
      <c r="BH137" s="158">
        <v>20</v>
      </c>
      <c r="BI137" s="6">
        <f t="shared" si="16"/>
        <v>-10</v>
      </c>
    </row>
    <row r="138" spans="35:61" x14ac:dyDescent="0.25">
      <c r="AI138" s="449"/>
      <c r="AJ138" s="449"/>
      <c r="BE138" s="606" t="s">
        <v>248</v>
      </c>
      <c r="BF138" s="607"/>
      <c r="BG138" s="608"/>
      <c r="BH138" s="158">
        <v>20</v>
      </c>
      <c r="BI138" s="6">
        <f t="shared" si="16"/>
        <v>-10</v>
      </c>
    </row>
    <row r="139" spans="35:61" ht="15.75" thickBot="1" x14ac:dyDescent="0.3">
      <c r="AI139" s="449"/>
      <c r="AJ139" s="449"/>
      <c r="BE139" s="601" t="s">
        <v>249</v>
      </c>
      <c r="BF139" s="602"/>
      <c r="BG139" s="602"/>
      <c r="BH139" s="162">
        <v>20</v>
      </c>
      <c r="BI139" s="628">
        <f t="shared" si="16"/>
        <v>-10</v>
      </c>
    </row>
    <row r="140" spans="35:61" ht="21.75" thickBot="1" x14ac:dyDescent="0.3">
      <c r="AI140" s="449"/>
      <c r="AJ140" s="449"/>
      <c r="BE140" s="551" t="s">
        <v>278</v>
      </c>
      <c r="BF140" s="552"/>
      <c r="BG140" s="552"/>
      <c r="BH140" s="552"/>
      <c r="BI140" s="553"/>
    </row>
    <row r="141" spans="35:61" ht="15.75" thickBot="1" x14ac:dyDescent="0.3">
      <c r="AI141" s="449"/>
      <c r="AJ141" s="449"/>
      <c r="BE141" s="454" t="s">
        <v>104</v>
      </c>
      <c r="BF141" s="455" t="s">
        <v>416</v>
      </c>
      <c r="BG141" s="455"/>
      <c r="BH141" s="455"/>
      <c r="BI141" s="456"/>
    </row>
    <row r="142" spans="35:61" ht="15.75" thickBot="1" x14ac:dyDescent="0.3">
      <c r="AI142" s="449"/>
      <c r="AJ142" s="449"/>
      <c r="BE142" s="598" t="s">
        <v>385</v>
      </c>
      <c r="BF142" s="599"/>
      <c r="BG142" s="600"/>
      <c r="BH142" s="131" t="s">
        <v>269</v>
      </c>
      <c r="BI142" s="451" t="s">
        <v>272</v>
      </c>
    </row>
    <row r="143" spans="35:61" x14ac:dyDescent="0.25">
      <c r="AI143" s="449"/>
      <c r="AJ143" s="449"/>
      <c r="BE143" s="590" t="s">
        <v>371</v>
      </c>
      <c r="BF143" s="591"/>
      <c r="BG143" s="591"/>
      <c r="BH143" s="171">
        <v>10</v>
      </c>
      <c r="BI143" s="172">
        <f>+$AS$5</f>
        <v>-3</v>
      </c>
    </row>
    <row r="144" spans="35:61" x14ac:dyDescent="0.25">
      <c r="AI144" s="449"/>
      <c r="AJ144" s="449"/>
      <c r="BE144" s="571" t="s">
        <v>372</v>
      </c>
      <c r="BF144" s="572"/>
      <c r="BG144" s="572"/>
      <c r="BH144" s="169">
        <v>10</v>
      </c>
      <c r="BI144" s="6">
        <f t="shared" ref="BI144:BI154" si="17">+$AS$5</f>
        <v>-3</v>
      </c>
    </row>
    <row r="145" spans="35:61" x14ac:dyDescent="0.25">
      <c r="AI145" s="449"/>
      <c r="AJ145" s="449"/>
      <c r="BE145" s="571" t="s">
        <v>240</v>
      </c>
      <c r="BF145" s="572"/>
      <c r="BG145" s="572"/>
      <c r="BH145" s="135">
        <v>10</v>
      </c>
      <c r="BI145" s="6">
        <f t="shared" si="17"/>
        <v>-3</v>
      </c>
    </row>
    <row r="146" spans="35:61" x14ac:dyDescent="0.25">
      <c r="AI146" s="449"/>
      <c r="AJ146" s="449"/>
      <c r="BE146" s="571" t="s">
        <v>241</v>
      </c>
      <c r="BF146" s="572"/>
      <c r="BG146" s="572"/>
      <c r="BH146" s="135">
        <v>12</v>
      </c>
      <c r="BI146" s="6">
        <f>+$AS$6</f>
        <v>-5</v>
      </c>
    </row>
    <row r="147" spans="35:61" x14ac:dyDescent="0.25">
      <c r="AI147" s="449"/>
      <c r="AJ147" s="449"/>
      <c r="BE147" s="571" t="s">
        <v>242</v>
      </c>
      <c r="BF147" s="572"/>
      <c r="BG147" s="572"/>
      <c r="BH147" s="135">
        <v>12</v>
      </c>
      <c r="BI147" s="6">
        <f>+$AS$6</f>
        <v>-5</v>
      </c>
    </row>
    <row r="148" spans="35:61" x14ac:dyDescent="0.25">
      <c r="AI148" s="449"/>
      <c r="AJ148" s="449"/>
      <c r="BE148" s="571" t="s">
        <v>243</v>
      </c>
      <c r="BF148" s="572"/>
      <c r="BG148" s="572"/>
      <c r="BH148" s="135">
        <v>12</v>
      </c>
      <c r="BI148" s="6">
        <f t="shared" ref="BI147:BI154" si="18">+$AS$6</f>
        <v>-5</v>
      </c>
    </row>
    <row r="149" spans="35:61" x14ac:dyDescent="0.25">
      <c r="AI149" s="449"/>
      <c r="AJ149" s="449"/>
      <c r="BE149" s="571" t="s">
        <v>244</v>
      </c>
      <c r="BF149" s="572"/>
      <c r="BG149" s="572"/>
      <c r="BH149" s="135">
        <v>13</v>
      </c>
      <c r="BI149" s="6">
        <f>+$AS$7</f>
        <v>-4</v>
      </c>
    </row>
    <row r="150" spans="35:61" x14ac:dyDescent="0.25">
      <c r="AI150" s="449"/>
      <c r="AJ150" s="449"/>
      <c r="BE150" s="571" t="s">
        <v>245</v>
      </c>
      <c r="BF150" s="572"/>
      <c r="BG150" s="572"/>
      <c r="BH150" s="135">
        <v>13</v>
      </c>
      <c r="BI150" s="6">
        <f t="shared" ref="BI150:BI154" si="19">+$AS$7</f>
        <v>-4</v>
      </c>
    </row>
    <row r="151" spans="35:61" x14ac:dyDescent="0.25">
      <c r="AI151" s="449"/>
      <c r="AJ151" s="449"/>
      <c r="BE151" s="606" t="s">
        <v>246</v>
      </c>
      <c r="BF151" s="607"/>
      <c r="BG151" s="608"/>
      <c r="BH151" s="158">
        <v>14</v>
      </c>
      <c r="BI151" s="6">
        <f>+$AS$8</f>
        <v>-6</v>
      </c>
    </row>
    <row r="152" spans="35:61" x14ac:dyDescent="0.25">
      <c r="AI152" s="449"/>
      <c r="AJ152" s="449"/>
      <c r="BE152" s="606" t="s">
        <v>247</v>
      </c>
      <c r="BF152" s="607"/>
      <c r="BG152" s="608"/>
      <c r="BH152" s="158">
        <v>14</v>
      </c>
      <c r="BI152" s="6">
        <f t="shared" ref="BI152:BI154" si="20">+$AS$8</f>
        <v>-6</v>
      </c>
    </row>
    <row r="153" spans="35:61" x14ac:dyDescent="0.25">
      <c r="AI153" s="449"/>
      <c r="AJ153" s="449"/>
      <c r="BE153" s="606" t="s">
        <v>248</v>
      </c>
      <c r="BF153" s="607"/>
      <c r="BG153" s="608"/>
      <c r="BH153" s="158">
        <v>14</v>
      </c>
      <c r="BI153" s="6">
        <f t="shared" si="20"/>
        <v>-6</v>
      </c>
    </row>
    <row r="154" spans="35:61" ht="15.75" thickBot="1" x14ac:dyDescent="0.3">
      <c r="AI154" s="449"/>
      <c r="AJ154" s="449"/>
      <c r="BE154" s="612" t="s">
        <v>249</v>
      </c>
      <c r="BF154" s="613"/>
      <c r="BG154" s="614"/>
      <c r="BH154" s="162">
        <v>14</v>
      </c>
      <c r="BI154" s="628">
        <f t="shared" si="20"/>
        <v>-6</v>
      </c>
    </row>
    <row r="155" spans="35:61" ht="15.75" thickBot="1" x14ac:dyDescent="0.3">
      <c r="AI155" s="449"/>
      <c r="AJ155" s="449"/>
      <c r="BE155" s="454" t="s">
        <v>104</v>
      </c>
      <c r="BF155" s="320" t="s">
        <v>417</v>
      </c>
      <c r="BG155" s="320"/>
      <c r="BH155" s="320"/>
      <c r="BI155" s="321"/>
    </row>
    <row r="156" spans="35:61" ht="15.75" thickBot="1" x14ac:dyDescent="0.3">
      <c r="AI156" s="449"/>
      <c r="AJ156" s="449"/>
      <c r="BE156" s="598" t="s">
        <v>385</v>
      </c>
      <c r="BF156" s="599"/>
      <c r="BG156" s="600"/>
      <c r="BH156" s="157" t="s">
        <v>269</v>
      </c>
      <c r="BI156" s="352" t="s">
        <v>272</v>
      </c>
    </row>
    <row r="157" spans="35:61" x14ac:dyDescent="0.25">
      <c r="AI157" s="449"/>
      <c r="AJ157" s="449"/>
      <c r="BE157" s="590" t="s">
        <v>371</v>
      </c>
      <c r="BF157" s="591"/>
      <c r="BG157" s="591"/>
      <c r="BH157" s="171">
        <v>12</v>
      </c>
      <c r="BI157" s="172">
        <f>+$AS$6</f>
        <v>-5</v>
      </c>
    </row>
    <row r="158" spans="35:61" x14ac:dyDescent="0.25">
      <c r="AI158" s="449"/>
      <c r="AJ158" s="449"/>
      <c r="BE158" s="571" t="s">
        <v>372</v>
      </c>
      <c r="BF158" s="572"/>
      <c r="BG158" s="572"/>
      <c r="BH158" s="169">
        <v>12</v>
      </c>
      <c r="BI158" s="148">
        <f t="shared" ref="BI158:BI168" si="21">+$AS$6</f>
        <v>-5</v>
      </c>
    </row>
    <row r="159" spans="35:61" x14ac:dyDescent="0.25">
      <c r="AI159" s="449"/>
      <c r="AJ159" s="449"/>
      <c r="BE159" s="571" t="s">
        <v>240</v>
      </c>
      <c r="BF159" s="572"/>
      <c r="BG159" s="572"/>
      <c r="BH159" s="135">
        <v>13</v>
      </c>
      <c r="BI159" s="148">
        <f>+$AS$7</f>
        <v>-4</v>
      </c>
    </row>
    <row r="160" spans="35:61" x14ac:dyDescent="0.25">
      <c r="AI160" s="449"/>
      <c r="AJ160" s="449"/>
      <c r="BE160" s="571" t="s">
        <v>241</v>
      </c>
      <c r="BF160" s="572"/>
      <c r="BG160" s="572"/>
      <c r="BH160" s="135">
        <v>13</v>
      </c>
      <c r="BI160" s="148">
        <f t="shared" ref="BI160:BI168" si="22">+$AS$7</f>
        <v>-4</v>
      </c>
    </row>
    <row r="161" spans="35:61" x14ac:dyDescent="0.25">
      <c r="AI161" s="449"/>
      <c r="AJ161" s="449"/>
      <c r="BE161" s="571" t="s">
        <v>242</v>
      </c>
      <c r="BF161" s="572"/>
      <c r="BG161" s="572"/>
      <c r="BH161" s="135">
        <v>14</v>
      </c>
      <c r="BI161" s="148">
        <f>+$AS$8</f>
        <v>-6</v>
      </c>
    </row>
    <row r="162" spans="35:61" x14ac:dyDescent="0.25">
      <c r="AI162" s="449"/>
      <c r="AJ162" s="449"/>
      <c r="BE162" s="571" t="s">
        <v>243</v>
      </c>
      <c r="BF162" s="572"/>
      <c r="BG162" s="572"/>
      <c r="BH162" s="135">
        <v>14</v>
      </c>
      <c r="BI162" s="148">
        <f t="shared" ref="BI162:BI168" si="23">+$AS$8</f>
        <v>-6</v>
      </c>
    </row>
    <row r="163" spans="35:61" x14ac:dyDescent="0.25">
      <c r="AI163" s="449"/>
      <c r="AJ163" s="449"/>
      <c r="BE163" s="571" t="s">
        <v>244</v>
      </c>
      <c r="BF163" s="572"/>
      <c r="BG163" s="572"/>
      <c r="BH163" s="135">
        <v>15</v>
      </c>
      <c r="BI163" s="148">
        <f>+$AS$9</f>
        <v>-5</v>
      </c>
    </row>
    <row r="164" spans="35:61" x14ac:dyDescent="0.25">
      <c r="AI164" s="449"/>
      <c r="AJ164" s="449"/>
      <c r="BE164" s="571" t="s">
        <v>245</v>
      </c>
      <c r="BF164" s="572"/>
      <c r="BG164" s="572"/>
      <c r="BH164" s="135">
        <v>15</v>
      </c>
      <c r="BI164" s="148">
        <f t="shared" ref="BI164:BI168" si="24">+$AS$9</f>
        <v>-5</v>
      </c>
    </row>
    <row r="165" spans="35:61" x14ac:dyDescent="0.25">
      <c r="AI165" s="449"/>
      <c r="AJ165" s="449"/>
      <c r="BE165" s="606" t="s">
        <v>246</v>
      </c>
      <c r="BF165" s="607"/>
      <c r="BG165" s="608"/>
      <c r="BH165" s="158">
        <v>15</v>
      </c>
      <c r="BI165" s="148">
        <f t="shared" si="24"/>
        <v>-5</v>
      </c>
    </row>
    <row r="166" spans="35:61" x14ac:dyDescent="0.25">
      <c r="AI166" s="449"/>
      <c r="AJ166" s="449"/>
      <c r="BE166" s="606" t="s">
        <v>247</v>
      </c>
      <c r="BF166" s="607"/>
      <c r="BG166" s="608"/>
      <c r="BH166" s="158">
        <v>15</v>
      </c>
      <c r="BI166" s="148">
        <f t="shared" si="24"/>
        <v>-5</v>
      </c>
    </row>
    <row r="167" spans="35:61" x14ac:dyDescent="0.25">
      <c r="AI167" s="449"/>
      <c r="AJ167" s="449"/>
      <c r="BE167" s="606" t="s">
        <v>248</v>
      </c>
      <c r="BF167" s="607"/>
      <c r="BG167" s="608"/>
      <c r="BH167" s="158">
        <v>15</v>
      </c>
      <c r="BI167" s="148">
        <f t="shared" si="24"/>
        <v>-5</v>
      </c>
    </row>
    <row r="168" spans="35:61" ht="15.75" thickBot="1" x14ac:dyDescent="0.3">
      <c r="AI168" s="449"/>
      <c r="AJ168" s="449"/>
      <c r="BE168" s="601" t="s">
        <v>249</v>
      </c>
      <c r="BF168" s="602"/>
      <c r="BG168" s="602"/>
      <c r="BH168" s="162">
        <v>16</v>
      </c>
      <c r="BI168" s="363">
        <f>+$AS$10</f>
        <v>-1</v>
      </c>
    </row>
    <row r="169" spans="35:61" ht="21.75" thickBot="1" x14ac:dyDescent="0.3">
      <c r="AI169" s="449"/>
      <c r="AJ169" s="449"/>
      <c r="BE169" s="551" t="s">
        <v>279</v>
      </c>
      <c r="BF169" s="552"/>
      <c r="BG169" s="552"/>
      <c r="BH169" s="552"/>
      <c r="BI169" s="553"/>
    </row>
    <row r="170" spans="35:61" ht="15.75" thickBot="1" x14ac:dyDescent="0.3">
      <c r="AI170" s="449"/>
      <c r="AJ170" s="449"/>
      <c r="BE170" s="319" t="s">
        <v>84</v>
      </c>
      <c r="BF170" s="320"/>
      <c r="BG170" s="320"/>
      <c r="BH170" s="320"/>
      <c r="BI170" s="321"/>
    </row>
    <row r="171" spans="35:61" ht="15.75" thickBot="1" x14ac:dyDescent="0.3">
      <c r="AI171" s="449"/>
      <c r="AJ171" s="449"/>
      <c r="BE171" s="598" t="s">
        <v>274</v>
      </c>
      <c r="BF171" s="599"/>
      <c r="BG171" s="600"/>
      <c r="BH171" s="142" t="s">
        <v>269</v>
      </c>
      <c r="BI171" s="145" t="s">
        <v>272</v>
      </c>
    </row>
    <row r="172" spans="35:61" x14ac:dyDescent="0.25">
      <c r="AI172" s="449"/>
      <c r="AJ172" s="449"/>
      <c r="BE172" s="590" t="s">
        <v>371</v>
      </c>
      <c r="BF172" s="591"/>
      <c r="BG172" s="591"/>
      <c r="BH172" s="139">
        <v>40</v>
      </c>
      <c r="BI172" s="155">
        <f>+AU5</f>
        <v>-1</v>
      </c>
    </row>
    <row r="173" spans="35:61" x14ac:dyDescent="0.25">
      <c r="AI173" s="449"/>
      <c r="AJ173" s="449"/>
      <c r="BE173" s="571" t="s">
        <v>372</v>
      </c>
      <c r="BF173" s="572"/>
      <c r="BG173" s="572"/>
      <c r="BH173" s="135">
        <v>44</v>
      </c>
      <c r="BI173" s="153">
        <f>+AU6</f>
        <v>-1</v>
      </c>
    </row>
    <row r="174" spans="35:61" x14ac:dyDescent="0.25">
      <c r="AI174" s="449"/>
      <c r="AJ174" s="449"/>
      <c r="BE174" s="606" t="s">
        <v>240</v>
      </c>
      <c r="BF174" s="607"/>
      <c r="BG174" s="608"/>
      <c r="BH174" s="135">
        <v>45</v>
      </c>
      <c r="BI174" s="153">
        <f>+AU7</f>
        <v>-2</v>
      </c>
    </row>
    <row r="175" spans="35:61" x14ac:dyDescent="0.25">
      <c r="AI175" s="449"/>
      <c r="AJ175" s="449"/>
      <c r="BE175" s="571" t="s">
        <v>241</v>
      </c>
      <c r="BF175" s="572"/>
      <c r="BG175" s="572"/>
      <c r="BH175" s="135">
        <v>45</v>
      </c>
      <c r="BI175" s="153">
        <f>+AU7</f>
        <v>-2</v>
      </c>
    </row>
    <row r="176" spans="35:61" x14ac:dyDescent="0.25">
      <c r="AI176" s="449"/>
      <c r="AJ176" s="449"/>
      <c r="BE176" s="571" t="s">
        <v>242</v>
      </c>
      <c r="BF176" s="572"/>
      <c r="BG176" s="572"/>
      <c r="BH176" s="135">
        <v>48</v>
      </c>
      <c r="BI176" s="153">
        <f>+AU8</f>
        <v>-1</v>
      </c>
    </row>
    <row r="177" spans="35:61" x14ac:dyDescent="0.25">
      <c r="AI177" s="449"/>
      <c r="AJ177" s="449"/>
      <c r="BE177" s="571" t="s">
        <v>243</v>
      </c>
      <c r="BF177" s="572"/>
      <c r="BG177" s="572"/>
      <c r="BH177" s="135">
        <v>51</v>
      </c>
      <c r="BI177" s="153">
        <f>+AU9</f>
        <v>-1</v>
      </c>
    </row>
    <row r="178" spans="35:61" x14ac:dyDescent="0.25">
      <c r="AI178" s="449"/>
      <c r="AJ178" s="449"/>
      <c r="BE178" s="571" t="s">
        <v>244</v>
      </c>
      <c r="BF178" s="572"/>
      <c r="BG178" s="572"/>
      <c r="BH178" s="135">
        <v>55</v>
      </c>
      <c r="BI178" s="153">
        <f>+AU10</f>
        <v>-1</v>
      </c>
    </row>
    <row r="179" spans="35:61" x14ac:dyDescent="0.25">
      <c r="AI179" s="449"/>
      <c r="AJ179" s="449"/>
      <c r="BE179" s="606" t="s">
        <v>245</v>
      </c>
      <c r="BF179" s="607"/>
      <c r="BG179" s="608"/>
      <c r="BH179" s="135">
        <v>57</v>
      </c>
      <c r="BI179" s="153">
        <f>+AU11</f>
        <v>-2</v>
      </c>
    </row>
    <row r="180" spans="35:61" x14ac:dyDescent="0.25">
      <c r="AI180" s="449"/>
      <c r="AJ180" s="449"/>
      <c r="BE180" s="571" t="s">
        <v>246</v>
      </c>
      <c r="BF180" s="572"/>
      <c r="BG180" s="572"/>
      <c r="BH180" s="135">
        <v>57</v>
      </c>
      <c r="BI180" s="153">
        <f>+AU11</f>
        <v>-2</v>
      </c>
    </row>
    <row r="181" spans="35:61" x14ac:dyDescent="0.25">
      <c r="AI181" s="449"/>
      <c r="AJ181" s="449"/>
      <c r="BE181" s="571" t="s">
        <v>247</v>
      </c>
      <c r="BF181" s="572"/>
      <c r="BG181" s="572"/>
      <c r="BH181" s="135">
        <v>58</v>
      </c>
      <c r="BI181" s="153">
        <f>+AU12</f>
        <v>-1</v>
      </c>
    </row>
    <row r="182" spans="35:61" x14ac:dyDescent="0.25">
      <c r="AI182" s="449"/>
      <c r="AJ182" s="449"/>
      <c r="BE182" s="571" t="s">
        <v>248</v>
      </c>
      <c r="BF182" s="572"/>
      <c r="BG182" s="572"/>
      <c r="BH182" s="135">
        <v>59</v>
      </c>
      <c r="BI182" s="153">
        <f>+AU13</f>
        <v>-1</v>
      </c>
    </row>
    <row r="183" spans="35:61" ht="15.75" thickBot="1" x14ac:dyDescent="0.3">
      <c r="AI183" s="449"/>
      <c r="AJ183" s="449"/>
      <c r="BE183" s="585" t="s">
        <v>249</v>
      </c>
      <c r="BF183" s="586"/>
      <c r="BG183" s="586"/>
      <c r="BH183" s="140">
        <v>60</v>
      </c>
      <c r="BI183" s="156">
        <f>+AU14</f>
        <v>-1</v>
      </c>
    </row>
    <row r="184" spans="35:61" ht="15.75" thickBot="1" x14ac:dyDescent="0.3">
      <c r="AI184" s="449"/>
      <c r="AJ184" s="449"/>
      <c r="BE184" s="615" t="s">
        <v>280</v>
      </c>
      <c r="BF184" s="616"/>
      <c r="BG184" s="616"/>
      <c r="BH184" s="616"/>
      <c r="BI184" s="617"/>
    </row>
    <row r="185" spans="35:61" ht="15.75" thickBot="1" x14ac:dyDescent="0.3">
      <c r="AI185" s="449"/>
      <c r="AJ185" s="449"/>
      <c r="BE185" s="598" t="s">
        <v>274</v>
      </c>
      <c r="BF185" s="599"/>
      <c r="BG185" s="600"/>
      <c r="BH185" s="142" t="s">
        <v>269</v>
      </c>
      <c r="BI185" s="145" t="s">
        <v>272</v>
      </c>
    </row>
    <row r="186" spans="35:61" x14ac:dyDescent="0.25">
      <c r="AI186" s="449"/>
      <c r="AJ186" s="449"/>
      <c r="BE186" s="590" t="s">
        <v>371</v>
      </c>
      <c r="BF186" s="591"/>
      <c r="BG186" s="591"/>
      <c r="BH186" s="139">
        <v>0</v>
      </c>
      <c r="BI186" s="155"/>
    </row>
    <row r="187" spans="35:61" x14ac:dyDescent="0.25">
      <c r="AI187" s="449"/>
      <c r="AJ187" s="449"/>
      <c r="BE187" s="571" t="s">
        <v>372</v>
      </c>
      <c r="BF187" s="572"/>
      <c r="BG187" s="572"/>
      <c r="BH187" s="135">
        <v>0</v>
      </c>
      <c r="BI187" s="153"/>
    </row>
    <row r="188" spans="35:61" x14ac:dyDescent="0.25">
      <c r="AI188" s="449"/>
      <c r="AJ188" s="449"/>
      <c r="BE188" s="606" t="s">
        <v>240</v>
      </c>
      <c r="BF188" s="607"/>
      <c r="BG188" s="608"/>
      <c r="BH188" s="135">
        <v>0</v>
      </c>
      <c r="BI188" s="153"/>
    </row>
    <row r="189" spans="35:61" x14ac:dyDescent="0.25">
      <c r="AI189" s="449"/>
      <c r="AJ189" s="449"/>
      <c r="BE189" s="571" t="s">
        <v>241</v>
      </c>
      <c r="BF189" s="572"/>
      <c r="BG189" s="572"/>
      <c r="BH189" s="135">
        <v>0</v>
      </c>
      <c r="BI189" s="153"/>
    </row>
    <row r="190" spans="35:61" x14ac:dyDescent="0.25">
      <c r="AI190" s="449"/>
      <c r="AJ190" s="449"/>
      <c r="BE190" s="571" t="s">
        <v>242</v>
      </c>
      <c r="BF190" s="572"/>
      <c r="BG190" s="572"/>
      <c r="BH190" s="135">
        <v>0</v>
      </c>
      <c r="BI190" s="153"/>
    </row>
    <row r="191" spans="35:61" x14ac:dyDescent="0.25">
      <c r="AI191" s="449"/>
      <c r="AJ191" s="449"/>
      <c r="BE191" s="571" t="s">
        <v>243</v>
      </c>
      <c r="BF191" s="572"/>
      <c r="BG191" s="572"/>
      <c r="BH191" s="135">
        <v>0</v>
      </c>
      <c r="BI191" s="153"/>
    </row>
    <row r="192" spans="35:61" x14ac:dyDescent="0.25">
      <c r="AI192" s="449"/>
      <c r="AJ192" s="449"/>
      <c r="BE192" s="571" t="s">
        <v>244</v>
      </c>
      <c r="BF192" s="572"/>
      <c r="BG192" s="572"/>
      <c r="BH192" s="135">
        <v>0</v>
      </c>
      <c r="BI192" s="153"/>
    </row>
    <row r="193" spans="35:61" x14ac:dyDescent="0.25">
      <c r="AI193" s="449"/>
      <c r="AJ193" s="449"/>
      <c r="BE193" s="606" t="s">
        <v>245</v>
      </c>
      <c r="BF193" s="607"/>
      <c r="BG193" s="608"/>
      <c r="BH193" s="135">
        <v>0</v>
      </c>
      <c r="BI193" s="153"/>
    </row>
    <row r="194" spans="35:61" x14ac:dyDescent="0.25">
      <c r="AI194" s="449"/>
      <c r="AJ194" s="449"/>
      <c r="BE194" s="571" t="s">
        <v>246</v>
      </c>
      <c r="BF194" s="572"/>
      <c r="BG194" s="572"/>
      <c r="BH194" s="135">
        <v>0</v>
      </c>
      <c r="BI194" s="153"/>
    </row>
    <row r="195" spans="35:61" x14ac:dyDescent="0.25">
      <c r="AI195" s="449"/>
      <c r="AJ195" s="449"/>
      <c r="BE195" s="571" t="s">
        <v>247</v>
      </c>
      <c r="BF195" s="572"/>
      <c r="BG195" s="572"/>
      <c r="BH195" s="135">
        <v>0</v>
      </c>
      <c r="BI195" s="153"/>
    </row>
    <row r="196" spans="35:61" x14ac:dyDescent="0.25">
      <c r="AI196" s="449"/>
      <c r="AJ196" s="449"/>
      <c r="BE196" s="571" t="s">
        <v>248</v>
      </c>
      <c r="BF196" s="572"/>
      <c r="BG196" s="572"/>
      <c r="BH196" s="135">
        <v>0</v>
      </c>
      <c r="BI196" s="153"/>
    </row>
    <row r="197" spans="35:61" ht="15.75" thickBot="1" x14ac:dyDescent="0.3">
      <c r="AI197" s="449"/>
      <c r="AJ197" s="449"/>
      <c r="BE197" s="585" t="s">
        <v>249</v>
      </c>
      <c r="BF197" s="586"/>
      <c r="BG197" s="586"/>
      <c r="BH197" s="140">
        <v>0</v>
      </c>
      <c r="BI197" s="156"/>
    </row>
    <row r="198" spans="35:61" ht="21.75" thickBot="1" x14ac:dyDescent="0.3">
      <c r="AI198" s="449"/>
      <c r="AJ198" s="449"/>
      <c r="BE198" s="554" t="s">
        <v>281</v>
      </c>
      <c r="BF198" s="555"/>
      <c r="BG198" s="555"/>
      <c r="BH198" s="555"/>
      <c r="BI198" s="556"/>
    </row>
    <row r="199" spans="35:61" ht="15.75" thickBot="1" x14ac:dyDescent="0.3">
      <c r="AI199" s="449"/>
      <c r="AJ199" s="449"/>
      <c r="BE199" s="466" t="s">
        <v>418</v>
      </c>
      <c r="BF199" s="464"/>
      <c r="BG199" s="464"/>
      <c r="BH199" s="464"/>
      <c r="BI199" s="465"/>
    </row>
    <row r="200" spans="35:61" ht="15.75" thickBot="1" x14ac:dyDescent="0.3">
      <c r="AI200" s="449"/>
      <c r="AJ200" s="449"/>
      <c r="BE200" s="598" t="s">
        <v>274</v>
      </c>
      <c r="BF200" s="599"/>
      <c r="BG200" s="600"/>
      <c r="BH200" s="142" t="s">
        <v>269</v>
      </c>
      <c r="BI200" s="145" t="s">
        <v>272</v>
      </c>
    </row>
    <row r="201" spans="35:61" x14ac:dyDescent="0.25">
      <c r="AI201" s="449"/>
      <c r="AJ201" s="449"/>
      <c r="BE201" s="590" t="s">
        <v>371</v>
      </c>
      <c r="BF201" s="591"/>
      <c r="BG201" s="591"/>
      <c r="BH201" s="139">
        <v>12</v>
      </c>
      <c r="BI201" s="155">
        <f>+$AW$5</f>
        <v>-3</v>
      </c>
    </row>
    <row r="202" spans="35:61" x14ac:dyDescent="0.25">
      <c r="AI202" s="449"/>
      <c r="AJ202" s="449"/>
      <c r="BE202" s="571" t="s">
        <v>372</v>
      </c>
      <c r="BF202" s="572"/>
      <c r="BG202" s="572"/>
      <c r="BH202" s="135">
        <v>12</v>
      </c>
      <c r="BI202" s="153">
        <f t="shared" ref="BI202:BI212" si="25">+$AW$5</f>
        <v>-3</v>
      </c>
    </row>
    <row r="203" spans="35:61" x14ac:dyDescent="0.25">
      <c r="AI203" s="449"/>
      <c r="AJ203" s="449"/>
      <c r="BE203" s="606" t="s">
        <v>240</v>
      </c>
      <c r="BF203" s="607"/>
      <c r="BG203" s="608"/>
      <c r="BH203" s="135">
        <v>12</v>
      </c>
      <c r="BI203" s="153">
        <f t="shared" si="25"/>
        <v>-3</v>
      </c>
    </row>
    <row r="204" spans="35:61" x14ac:dyDescent="0.25">
      <c r="AI204" s="449"/>
      <c r="AJ204" s="449"/>
      <c r="BE204" s="571" t="s">
        <v>241</v>
      </c>
      <c r="BF204" s="572"/>
      <c r="BG204" s="572"/>
      <c r="BH204" s="135">
        <v>13</v>
      </c>
      <c r="BI204" s="153">
        <f>+$AW$6</f>
        <v>-2</v>
      </c>
    </row>
    <row r="205" spans="35:61" x14ac:dyDescent="0.25">
      <c r="AI205" s="449"/>
      <c r="AJ205" s="449"/>
      <c r="BE205" s="571" t="s">
        <v>242</v>
      </c>
      <c r="BF205" s="572"/>
      <c r="BG205" s="572"/>
      <c r="BH205" s="135">
        <v>13</v>
      </c>
      <c r="BI205" s="153">
        <f t="shared" ref="BI205:BI212" si="26">+$AW$6</f>
        <v>-2</v>
      </c>
    </row>
    <row r="206" spans="35:61" x14ac:dyDescent="0.25">
      <c r="AI206" s="449"/>
      <c r="AJ206" s="449"/>
      <c r="BE206" s="571" t="s">
        <v>243</v>
      </c>
      <c r="BF206" s="572"/>
      <c r="BG206" s="572"/>
      <c r="BH206" s="135">
        <v>14</v>
      </c>
      <c r="BI206" s="153">
        <f>+$AW$7</f>
        <v>-2</v>
      </c>
    </row>
    <row r="207" spans="35:61" x14ac:dyDescent="0.25">
      <c r="AI207" s="449"/>
      <c r="AJ207" s="449"/>
      <c r="BE207" s="571" t="s">
        <v>244</v>
      </c>
      <c r="BF207" s="572"/>
      <c r="BG207" s="572"/>
      <c r="BH207" s="135">
        <v>14</v>
      </c>
      <c r="BI207" s="153">
        <f>+$AW$7</f>
        <v>-2</v>
      </c>
    </row>
    <row r="208" spans="35:61" x14ac:dyDescent="0.25">
      <c r="AI208" s="449"/>
      <c r="AJ208" s="449"/>
      <c r="BE208" s="606" t="s">
        <v>245</v>
      </c>
      <c r="BF208" s="607"/>
      <c r="BG208" s="608"/>
      <c r="BH208" s="135">
        <v>15</v>
      </c>
      <c r="BI208" s="153">
        <f>+$AW$8</f>
        <v>-2</v>
      </c>
    </row>
    <row r="209" spans="35:61" x14ac:dyDescent="0.25">
      <c r="AI209" s="449"/>
      <c r="AJ209" s="449"/>
      <c r="BE209" s="571" t="s">
        <v>246</v>
      </c>
      <c r="BF209" s="572"/>
      <c r="BG209" s="572"/>
      <c r="BH209" s="135">
        <v>15</v>
      </c>
      <c r="BI209" s="153">
        <f t="shared" ref="BI209:BI212" si="27">+$AW$8</f>
        <v>-2</v>
      </c>
    </row>
    <row r="210" spans="35:61" x14ac:dyDescent="0.25">
      <c r="AI210" s="449"/>
      <c r="AJ210" s="449"/>
      <c r="BE210" s="571" t="s">
        <v>247</v>
      </c>
      <c r="BF210" s="572"/>
      <c r="BG210" s="572"/>
      <c r="BH210" s="135">
        <v>16</v>
      </c>
      <c r="BI210" s="153">
        <f>+$AW$9</f>
        <v>-3</v>
      </c>
    </row>
    <row r="211" spans="35:61" x14ac:dyDescent="0.25">
      <c r="AI211" s="449"/>
      <c r="AJ211" s="449"/>
      <c r="BE211" s="571" t="s">
        <v>248</v>
      </c>
      <c r="BF211" s="572"/>
      <c r="BG211" s="572"/>
      <c r="BH211" s="135">
        <v>16</v>
      </c>
      <c r="BI211" s="153">
        <f t="shared" ref="BI211:BI212" si="28">+$AW$9</f>
        <v>-3</v>
      </c>
    </row>
    <row r="212" spans="35:61" ht="15.75" thickBot="1" x14ac:dyDescent="0.3">
      <c r="AI212" s="449"/>
      <c r="AJ212" s="449"/>
      <c r="BE212" s="585" t="s">
        <v>249</v>
      </c>
      <c r="BF212" s="586"/>
      <c r="BG212" s="586"/>
      <c r="BH212" s="140">
        <v>16</v>
      </c>
      <c r="BI212" s="156">
        <f>+$AW$9</f>
        <v>-3</v>
      </c>
    </row>
    <row r="213" spans="35:61" ht="21.75" thickBot="1" x14ac:dyDescent="0.3">
      <c r="AI213" s="449"/>
      <c r="AJ213" s="449"/>
      <c r="BE213" s="551" t="s">
        <v>282</v>
      </c>
      <c r="BF213" s="552"/>
      <c r="BG213" s="552"/>
      <c r="BH213" s="552"/>
      <c r="BI213" s="553"/>
    </row>
    <row r="214" spans="35:61" ht="15.75" thickBot="1" x14ac:dyDescent="0.3">
      <c r="AI214" s="449"/>
      <c r="AJ214" s="449"/>
      <c r="BE214" s="463" t="s">
        <v>102</v>
      </c>
      <c r="BF214" s="464"/>
      <c r="BG214" s="464"/>
      <c r="BH214" s="464"/>
      <c r="BI214" s="465"/>
    </row>
    <row r="215" spans="35:61" ht="15.75" thickBot="1" x14ac:dyDescent="0.3">
      <c r="AI215" s="449"/>
      <c r="AJ215" s="449"/>
      <c r="BE215" s="598" t="s">
        <v>274</v>
      </c>
      <c r="BF215" s="599"/>
      <c r="BG215" s="600"/>
      <c r="BH215" s="142" t="s">
        <v>269</v>
      </c>
      <c r="BI215" s="145" t="s">
        <v>272</v>
      </c>
    </row>
    <row r="216" spans="35:61" x14ac:dyDescent="0.25">
      <c r="AI216" s="449"/>
      <c r="AJ216" s="449"/>
      <c r="BE216" s="590" t="s">
        <v>371</v>
      </c>
      <c r="BF216" s="591"/>
      <c r="BG216" s="591"/>
      <c r="BH216" s="139">
        <v>10</v>
      </c>
      <c r="BI216" s="155">
        <f>+$AY$5</f>
        <v>-5</v>
      </c>
    </row>
    <row r="217" spans="35:61" x14ac:dyDescent="0.25">
      <c r="AI217" s="449"/>
      <c r="AJ217" s="449"/>
      <c r="BE217" s="571" t="s">
        <v>372</v>
      </c>
      <c r="BF217" s="572"/>
      <c r="BG217" s="572"/>
      <c r="BH217" s="135">
        <v>10</v>
      </c>
      <c r="BI217" s="153">
        <f>+$AY$5</f>
        <v>-5</v>
      </c>
    </row>
    <row r="218" spans="35:61" x14ac:dyDescent="0.25">
      <c r="AI218" s="449"/>
      <c r="AJ218" s="449"/>
      <c r="BE218" s="606" t="s">
        <v>240</v>
      </c>
      <c r="BF218" s="607"/>
      <c r="BG218" s="608"/>
      <c r="BH218" s="135">
        <v>10</v>
      </c>
      <c r="BI218" s="153">
        <f>+$AY$5</f>
        <v>-5</v>
      </c>
    </row>
    <row r="219" spans="35:61" x14ac:dyDescent="0.25">
      <c r="AI219" s="449"/>
      <c r="AJ219" s="449"/>
      <c r="BE219" s="571" t="s">
        <v>241</v>
      </c>
      <c r="BF219" s="572"/>
      <c r="BG219" s="572"/>
      <c r="BH219" s="135">
        <v>10</v>
      </c>
      <c r="BI219" s="153">
        <f>+$AY$5</f>
        <v>-5</v>
      </c>
    </row>
    <row r="220" spans="35:61" x14ac:dyDescent="0.25">
      <c r="AI220" s="449"/>
      <c r="AJ220" s="449"/>
      <c r="BE220" s="571" t="s">
        <v>242</v>
      </c>
      <c r="BF220" s="572"/>
      <c r="BG220" s="572"/>
      <c r="BH220" s="135">
        <v>10</v>
      </c>
      <c r="BI220" s="153">
        <f>+$AY$5</f>
        <v>-5</v>
      </c>
    </row>
    <row r="221" spans="35:61" x14ac:dyDescent="0.25">
      <c r="AI221" s="449"/>
      <c r="AJ221" s="449"/>
      <c r="BE221" s="571" t="s">
        <v>243</v>
      </c>
      <c r="BF221" s="572"/>
      <c r="BG221" s="572"/>
      <c r="BH221" s="135">
        <v>12</v>
      </c>
      <c r="BI221" s="153">
        <f>+$AY$6</f>
        <v>-2</v>
      </c>
    </row>
    <row r="222" spans="35:61" x14ac:dyDescent="0.25">
      <c r="AI222" s="449"/>
      <c r="AJ222" s="449"/>
      <c r="BE222" s="571" t="s">
        <v>244</v>
      </c>
      <c r="BF222" s="572"/>
      <c r="BG222" s="572"/>
      <c r="BH222" s="135">
        <v>12</v>
      </c>
      <c r="BI222" s="153">
        <f>+$AY$6</f>
        <v>-2</v>
      </c>
    </row>
    <row r="223" spans="35:61" x14ac:dyDescent="0.25">
      <c r="AI223" s="449"/>
      <c r="AJ223" s="449"/>
      <c r="BE223" s="606" t="s">
        <v>245</v>
      </c>
      <c r="BF223" s="607"/>
      <c r="BG223" s="608"/>
      <c r="BH223" s="135">
        <v>15</v>
      </c>
      <c r="BI223" s="153">
        <f>+$AY$7</f>
        <v>-5</v>
      </c>
    </row>
    <row r="224" spans="35:61" x14ac:dyDescent="0.25">
      <c r="AI224" s="449"/>
      <c r="AJ224" s="449"/>
      <c r="BE224" s="571" t="s">
        <v>246</v>
      </c>
      <c r="BF224" s="572"/>
      <c r="BG224" s="572"/>
      <c r="BH224" s="135">
        <v>15</v>
      </c>
      <c r="BI224" s="153">
        <f t="shared" ref="BI224:BI227" si="29">+$AY$7</f>
        <v>-5</v>
      </c>
    </row>
    <row r="225" spans="35:61" x14ac:dyDescent="0.25">
      <c r="AI225" s="449"/>
      <c r="AJ225" s="449"/>
      <c r="BE225" s="571" t="s">
        <v>247</v>
      </c>
      <c r="BF225" s="572"/>
      <c r="BG225" s="572"/>
      <c r="BH225" s="135">
        <v>15</v>
      </c>
      <c r="BI225" s="153">
        <f t="shared" si="29"/>
        <v>-5</v>
      </c>
    </row>
    <row r="226" spans="35:61" x14ac:dyDescent="0.25">
      <c r="AI226" s="449"/>
      <c r="AJ226" s="449"/>
      <c r="BE226" s="571" t="s">
        <v>248</v>
      </c>
      <c r="BF226" s="572"/>
      <c r="BG226" s="572"/>
      <c r="BH226" s="135">
        <v>15</v>
      </c>
      <c r="BI226" s="153">
        <f t="shared" si="29"/>
        <v>-5</v>
      </c>
    </row>
    <row r="227" spans="35:61" ht="15.75" thickBot="1" x14ac:dyDescent="0.3">
      <c r="AI227" s="449"/>
      <c r="AJ227" s="449"/>
      <c r="BE227" s="585" t="s">
        <v>249</v>
      </c>
      <c r="BF227" s="586"/>
      <c r="BG227" s="586"/>
      <c r="BH227" s="140">
        <v>15</v>
      </c>
      <c r="BI227" s="156">
        <f t="shared" si="29"/>
        <v>-5</v>
      </c>
    </row>
    <row r="228" spans="35:61" ht="21.75" thickBot="1" x14ac:dyDescent="0.3">
      <c r="AI228" s="449"/>
      <c r="AJ228" s="449"/>
      <c r="BE228" s="551" t="s">
        <v>283</v>
      </c>
      <c r="BF228" s="552"/>
      <c r="BG228" s="552"/>
      <c r="BH228" s="552"/>
      <c r="BI228" s="553"/>
    </row>
    <row r="229" spans="35:61" ht="15.75" thickBot="1" x14ac:dyDescent="0.3">
      <c r="AI229" s="449"/>
      <c r="AJ229" s="449"/>
      <c r="BE229" s="466" t="s">
        <v>419</v>
      </c>
      <c r="BF229" s="464"/>
      <c r="BG229" s="464"/>
      <c r="BH229" s="464"/>
      <c r="BI229" s="465"/>
    </row>
    <row r="230" spans="35:61" ht="15.75" thickBot="1" x14ac:dyDescent="0.3">
      <c r="AI230" s="449"/>
      <c r="AJ230" s="449"/>
      <c r="BE230" s="631" t="s">
        <v>274</v>
      </c>
      <c r="BF230" s="632"/>
      <c r="BG230" s="633"/>
      <c r="BH230" s="634" t="s">
        <v>269</v>
      </c>
      <c r="BI230" s="490" t="s">
        <v>272</v>
      </c>
    </row>
    <row r="231" spans="35:61" x14ac:dyDescent="0.25">
      <c r="AI231" s="449"/>
      <c r="AJ231" s="449"/>
      <c r="BE231" s="590" t="s">
        <v>371</v>
      </c>
      <c r="BF231" s="591"/>
      <c r="BG231" s="591"/>
      <c r="BH231" s="629">
        <v>57</v>
      </c>
      <c r="BI231" s="388">
        <f>+BA5</f>
        <v>-1</v>
      </c>
    </row>
    <row r="232" spans="35:61" x14ac:dyDescent="0.25">
      <c r="AI232" s="449"/>
      <c r="AJ232" s="449"/>
      <c r="BE232" s="571" t="s">
        <v>372</v>
      </c>
      <c r="BF232" s="572"/>
      <c r="BG232" s="572"/>
      <c r="BH232" s="178">
        <v>58</v>
      </c>
      <c r="BI232" s="149">
        <f t="shared" ref="BI232:BI242" si="30">+BA6</f>
        <v>-1</v>
      </c>
    </row>
    <row r="233" spans="35:61" x14ac:dyDescent="0.25">
      <c r="AI233" s="449"/>
      <c r="AJ233" s="449"/>
      <c r="BE233" s="571" t="s">
        <v>240</v>
      </c>
      <c r="BF233" s="572"/>
      <c r="BG233" s="572"/>
      <c r="BH233" s="178">
        <v>61</v>
      </c>
      <c r="BI233" s="149">
        <f t="shared" si="30"/>
        <v>-1</v>
      </c>
    </row>
    <row r="234" spans="35:61" x14ac:dyDescent="0.25">
      <c r="AI234" s="449"/>
      <c r="AJ234" s="449"/>
      <c r="BE234" s="571" t="s">
        <v>241</v>
      </c>
      <c r="BF234" s="572"/>
      <c r="BG234" s="572"/>
      <c r="BH234" s="178">
        <v>64</v>
      </c>
      <c r="BI234" s="149">
        <f t="shared" si="30"/>
        <v>-1</v>
      </c>
    </row>
    <row r="235" spans="35:61" x14ac:dyDescent="0.25">
      <c r="AI235" s="449"/>
      <c r="AJ235" s="449"/>
      <c r="BE235" s="571" t="s">
        <v>242</v>
      </c>
      <c r="BF235" s="572"/>
      <c r="BG235" s="572"/>
      <c r="BH235" s="178">
        <v>65</v>
      </c>
      <c r="BI235" s="149">
        <f t="shared" si="30"/>
        <v>-1</v>
      </c>
    </row>
    <row r="236" spans="35:61" x14ac:dyDescent="0.25">
      <c r="AI236" s="449"/>
      <c r="AJ236" s="449"/>
      <c r="BE236" s="571" t="s">
        <v>243</v>
      </c>
      <c r="BF236" s="572"/>
      <c r="BG236" s="572"/>
      <c r="BH236" s="178">
        <v>68</v>
      </c>
      <c r="BI236" s="149">
        <f t="shared" si="30"/>
        <v>-1</v>
      </c>
    </row>
    <row r="237" spans="35:61" x14ac:dyDescent="0.25">
      <c r="AI237" s="449"/>
      <c r="AJ237" s="449"/>
      <c r="BE237" s="571" t="s">
        <v>244</v>
      </c>
      <c r="BF237" s="572"/>
      <c r="BG237" s="572"/>
      <c r="BH237" s="178">
        <v>69</v>
      </c>
      <c r="BI237" s="149">
        <f t="shared" si="30"/>
        <v>-1</v>
      </c>
    </row>
    <row r="238" spans="35:61" x14ac:dyDescent="0.25">
      <c r="AI238" s="449"/>
      <c r="AJ238" s="449"/>
      <c r="BE238" s="571" t="s">
        <v>245</v>
      </c>
      <c r="BF238" s="572"/>
      <c r="BG238" s="572"/>
      <c r="BH238" s="178">
        <v>70</v>
      </c>
      <c r="BI238" s="149">
        <f t="shared" si="30"/>
        <v>-1</v>
      </c>
    </row>
    <row r="239" spans="35:61" x14ac:dyDescent="0.25">
      <c r="AI239" s="449"/>
      <c r="AJ239" s="449"/>
      <c r="BE239" s="571" t="s">
        <v>246</v>
      </c>
      <c r="BF239" s="572"/>
      <c r="BG239" s="572"/>
      <c r="BH239" s="178">
        <v>71</v>
      </c>
      <c r="BI239" s="149">
        <f t="shared" si="30"/>
        <v>-1</v>
      </c>
    </row>
    <row r="240" spans="35:61" x14ac:dyDescent="0.25">
      <c r="AI240" s="449"/>
      <c r="AJ240" s="449"/>
      <c r="BE240" s="571" t="s">
        <v>247</v>
      </c>
      <c r="BF240" s="572"/>
      <c r="BG240" s="572"/>
      <c r="BH240" s="178">
        <v>72</v>
      </c>
      <c r="BI240" s="149">
        <f t="shared" si="30"/>
        <v>-1</v>
      </c>
    </row>
    <row r="241" spans="35:61" x14ac:dyDescent="0.25">
      <c r="AI241" s="449"/>
      <c r="AJ241" s="449"/>
      <c r="BE241" s="571" t="s">
        <v>248</v>
      </c>
      <c r="BF241" s="572"/>
      <c r="BG241" s="572"/>
      <c r="BH241" s="178">
        <v>73</v>
      </c>
      <c r="BI241" s="149">
        <f t="shared" si="30"/>
        <v>-1</v>
      </c>
    </row>
    <row r="242" spans="35:61" ht="15.75" thickBot="1" x14ac:dyDescent="0.3">
      <c r="AI242" s="449"/>
      <c r="AJ242" s="449"/>
      <c r="BE242" s="585" t="s">
        <v>249</v>
      </c>
      <c r="BF242" s="586"/>
      <c r="BG242" s="586"/>
      <c r="BH242" s="179">
        <v>75</v>
      </c>
      <c r="BI242" s="150">
        <f t="shared" si="30"/>
        <v>-1</v>
      </c>
    </row>
    <row r="243" spans="35:61" ht="21.75" thickBot="1" x14ac:dyDescent="0.3">
      <c r="AI243" s="449"/>
      <c r="AJ243" s="449"/>
      <c r="BE243" s="551" t="s">
        <v>284</v>
      </c>
      <c r="BF243" s="552"/>
      <c r="BG243" s="552"/>
      <c r="BH243" s="552"/>
      <c r="BI243" s="553"/>
    </row>
    <row r="244" spans="35:61" ht="15.75" thickBot="1" x14ac:dyDescent="0.3">
      <c r="AI244" s="449"/>
      <c r="AJ244" s="449"/>
      <c r="BE244" s="466" t="s">
        <v>63</v>
      </c>
      <c r="BF244" s="464"/>
      <c r="BG244" s="464"/>
      <c r="BH244" s="464"/>
      <c r="BI244" s="465"/>
    </row>
    <row r="245" spans="35:61" ht="15.75" thickBot="1" x14ac:dyDescent="0.3">
      <c r="AI245" s="449"/>
      <c r="AJ245" s="449"/>
      <c r="BE245" s="567" t="s">
        <v>274</v>
      </c>
      <c r="BF245" s="568"/>
      <c r="BG245" s="618"/>
      <c r="BH245" s="364" t="s">
        <v>269</v>
      </c>
      <c r="BI245" s="448" t="s">
        <v>272</v>
      </c>
    </row>
    <row r="246" spans="35:61" x14ac:dyDescent="0.25">
      <c r="AI246" s="449"/>
      <c r="AJ246" s="449"/>
      <c r="BE246" s="590" t="s">
        <v>371</v>
      </c>
      <c r="BF246" s="591"/>
      <c r="BG246" s="591"/>
      <c r="BH246" s="629">
        <v>15</v>
      </c>
      <c r="BI246" s="388">
        <f>+$BC$5</f>
        <v>-5</v>
      </c>
    </row>
    <row r="247" spans="35:61" x14ac:dyDescent="0.25">
      <c r="AI247" s="449"/>
      <c r="AJ247" s="449"/>
      <c r="BE247" s="571" t="s">
        <v>372</v>
      </c>
      <c r="BF247" s="572"/>
      <c r="BG247" s="572"/>
      <c r="BH247" s="178">
        <v>15</v>
      </c>
      <c r="BI247" s="2">
        <f>+$BC$5</f>
        <v>-5</v>
      </c>
    </row>
    <row r="248" spans="35:61" x14ac:dyDescent="0.25">
      <c r="AI248" s="449"/>
      <c r="AJ248" s="449"/>
      <c r="BE248" s="571" t="s">
        <v>240</v>
      </c>
      <c r="BF248" s="572"/>
      <c r="BG248" s="572"/>
      <c r="BH248" s="178">
        <v>15</v>
      </c>
      <c r="BI248" s="2">
        <f>+$BC$5</f>
        <v>-5</v>
      </c>
    </row>
    <row r="249" spans="35:61" x14ac:dyDescent="0.25">
      <c r="AI249" s="449"/>
      <c r="AJ249" s="449"/>
      <c r="BE249" s="571" t="s">
        <v>241</v>
      </c>
      <c r="BF249" s="572"/>
      <c r="BG249" s="572"/>
      <c r="BH249" s="178">
        <v>15</v>
      </c>
      <c r="BI249" s="2">
        <f>+$BC$5</f>
        <v>-5</v>
      </c>
    </row>
    <row r="250" spans="35:61" x14ac:dyDescent="0.25">
      <c r="AI250" s="449"/>
      <c r="AJ250" s="449"/>
      <c r="BE250" s="571" t="s">
        <v>242</v>
      </c>
      <c r="BF250" s="572"/>
      <c r="BG250" s="572"/>
      <c r="BH250" s="178">
        <v>15</v>
      </c>
      <c r="BI250" s="2">
        <f>+$BC$5</f>
        <v>-5</v>
      </c>
    </row>
    <row r="251" spans="35:61" x14ac:dyDescent="0.25">
      <c r="AI251" s="449"/>
      <c r="AJ251" s="449"/>
      <c r="BE251" s="571" t="s">
        <v>243</v>
      </c>
      <c r="BF251" s="572"/>
      <c r="BG251" s="572"/>
      <c r="BH251" s="178">
        <v>20</v>
      </c>
      <c r="BI251" s="2">
        <f>+$BC$6</f>
        <v>-7</v>
      </c>
    </row>
    <row r="252" spans="35:61" x14ac:dyDescent="0.25">
      <c r="AI252" s="449"/>
      <c r="AJ252" s="449"/>
      <c r="BE252" s="571" t="s">
        <v>244</v>
      </c>
      <c r="BF252" s="572"/>
      <c r="BG252" s="572"/>
      <c r="BH252" s="178">
        <v>20</v>
      </c>
      <c r="BI252" s="2">
        <f>+$BC$6</f>
        <v>-7</v>
      </c>
    </row>
    <row r="253" spans="35:61" x14ac:dyDescent="0.25">
      <c r="AI253" s="449"/>
      <c r="AJ253" s="449"/>
      <c r="BE253" s="571" t="s">
        <v>245</v>
      </c>
      <c r="BF253" s="572"/>
      <c r="BG253" s="572"/>
      <c r="BH253" s="178">
        <v>20</v>
      </c>
      <c r="BI253" s="2">
        <f>+$BC$6</f>
        <v>-7</v>
      </c>
    </row>
    <row r="254" spans="35:61" x14ac:dyDescent="0.25">
      <c r="AI254" s="449"/>
      <c r="AJ254" s="449"/>
      <c r="BE254" s="571" t="s">
        <v>246</v>
      </c>
      <c r="BF254" s="572"/>
      <c r="BG254" s="572"/>
      <c r="BH254" s="178">
        <v>20</v>
      </c>
      <c r="BI254" s="2">
        <f>+$BC$6</f>
        <v>-7</v>
      </c>
    </row>
    <row r="255" spans="35:61" x14ac:dyDescent="0.25">
      <c r="AI255" s="449"/>
      <c r="AJ255" s="449"/>
      <c r="BE255" s="571" t="s">
        <v>247</v>
      </c>
      <c r="BF255" s="572"/>
      <c r="BG255" s="572"/>
      <c r="BH255" s="178">
        <v>20</v>
      </c>
      <c r="BI255" s="2">
        <f>+$BC$6</f>
        <v>-7</v>
      </c>
    </row>
    <row r="256" spans="35:61" x14ac:dyDescent="0.25">
      <c r="AI256" s="449"/>
      <c r="AJ256" s="449"/>
      <c r="BE256" s="571" t="s">
        <v>248</v>
      </c>
      <c r="BF256" s="572"/>
      <c r="BG256" s="572"/>
      <c r="BH256" s="178">
        <v>20</v>
      </c>
      <c r="BI256" s="2">
        <f>+$BC$6</f>
        <v>-7</v>
      </c>
    </row>
    <row r="257" spans="35:61" ht="15.75" thickBot="1" x14ac:dyDescent="0.3">
      <c r="AI257" s="449"/>
      <c r="AJ257" s="449"/>
      <c r="BE257" s="585" t="s">
        <v>249</v>
      </c>
      <c r="BF257" s="586"/>
      <c r="BG257" s="586"/>
      <c r="BH257" s="179">
        <v>20</v>
      </c>
      <c r="BI257" s="630">
        <f>+$BC$6</f>
        <v>-7</v>
      </c>
    </row>
  </sheetData>
  <mergeCells count="189">
    <mergeCell ref="BE256:BG256"/>
    <mergeCell ref="BE257:BG257"/>
    <mergeCell ref="BE251:BG251"/>
    <mergeCell ref="BE252:BG252"/>
    <mergeCell ref="BE253:BG253"/>
    <mergeCell ref="BE254:BG254"/>
    <mergeCell ref="BE255:BG255"/>
    <mergeCell ref="BE246:BG246"/>
    <mergeCell ref="BE247:BG247"/>
    <mergeCell ref="BE248:BG248"/>
    <mergeCell ref="BE249:BG249"/>
    <mergeCell ref="BE250:BG250"/>
    <mergeCell ref="BE240:BG240"/>
    <mergeCell ref="BE241:BG241"/>
    <mergeCell ref="BE242:BG242"/>
    <mergeCell ref="BE243:BI243"/>
    <mergeCell ref="BE245:BG245"/>
    <mergeCell ref="BE235:BG235"/>
    <mergeCell ref="BE236:BG236"/>
    <mergeCell ref="BE237:BG237"/>
    <mergeCell ref="BE238:BG238"/>
    <mergeCell ref="BE239:BG239"/>
    <mergeCell ref="BE230:BG230"/>
    <mergeCell ref="BE231:BG231"/>
    <mergeCell ref="BE232:BG232"/>
    <mergeCell ref="BE233:BG233"/>
    <mergeCell ref="BE234:BG234"/>
    <mergeCell ref="BE224:BG224"/>
    <mergeCell ref="BE225:BG225"/>
    <mergeCell ref="BE226:BG226"/>
    <mergeCell ref="BE227:BG227"/>
    <mergeCell ref="BE228:BI228"/>
    <mergeCell ref="BE219:BG219"/>
    <mergeCell ref="BE220:BG220"/>
    <mergeCell ref="BE221:BG221"/>
    <mergeCell ref="BE222:BG222"/>
    <mergeCell ref="BE223:BG223"/>
    <mergeCell ref="BE213:BI213"/>
    <mergeCell ref="BE215:BG215"/>
    <mergeCell ref="BE216:BG216"/>
    <mergeCell ref="BE217:BG217"/>
    <mergeCell ref="BE218:BG218"/>
    <mergeCell ref="BE208:BG208"/>
    <mergeCell ref="BE209:BG209"/>
    <mergeCell ref="BE210:BG210"/>
    <mergeCell ref="BE211:BG211"/>
    <mergeCell ref="BE212:BG212"/>
    <mergeCell ref="BE203:BG203"/>
    <mergeCell ref="BE204:BG204"/>
    <mergeCell ref="BE205:BG205"/>
    <mergeCell ref="BE206:BG206"/>
    <mergeCell ref="BE207:BG207"/>
    <mergeCell ref="BE197:BG197"/>
    <mergeCell ref="BE198:BI198"/>
    <mergeCell ref="BE200:BG200"/>
    <mergeCell ref="BE201:BG201"/>
    <mergeCell ref="BE202:BG202"/>
    <mergeCell ref="BE192:BG192"/>
    <mergeCell ref="BE193:BG193"/>
    <mergeCell ref="BE194:BG194"/>
    <mergeCell ref="BE195:BG195"/>
    <mergeCell ref="BE196:BG196"/>
    <mergeCell ref="BE187:BG187"/>
    <mergeCell ref="BE188:BG188"/>
    <mergeCell ref="BE189:BG189"/>
    <mergeCell ref="BE190:BG190"/>
    <mergeCell ref="BE191:BG191"/>
    <mergeCell ref="BE182:BG182"/>
    <mergeCell ref="BE183:BG183"/>
    <mergeCell ref="BE184:BI184"/>
    <mergeCell ref="BE185:BG185"/>
    <mergeCell ref="BE186:BG186"/>
    <mergeCell ref="BE177:BG177"/>
    <mergeCell ref="BE178:BG178"/>
    <mergeCell ref="BE179:BG179"/>
    <mergeCell ref="BE180:BG180"/>
    <mergeCell ref="BE181:BG181"/>
    <mergeCell ref="BE172:BG172"/>
    <mergeCell ref="BE173:BG173"/>
    <mergeCell ref="BE174:BG174"/>
    <mergeCell ref="BE175:BG175"/>
    <mergeCell ref="BE176:BG176"/>
    <mergeCell ref="BE166:BG166"/>
    <mergeCell ref="BE167:BG167"/>
    <mergeCell ref="BE168:BG168"/>
    <mergeCell ref="BE169:BI169"/>
    <mergeCell ref="BE171:BG171"/>
    <mergeCell ref="BE161:BG161"/>
    <mergeCell ref="BE162:BG162"/>
    <mergeCell ref="BE163:BG163"/>
    <mergeCell ref="BE164:BG164"/>
    <mergeCell ref="BE165:BG165"/>
    <mergeCell ref="BE156:BG156"/>
    <mergeCell ref="BE157:BG157"/>
    <mergeCell ref="BE158:BG158"/>
    <mergeCell ref="BE159:BG159"/>
    <mergeCell ref="BE160:BG160"/>
    <mergeCell ref="BE150:BG150"/>
    <mergeCell ref="BE151:BG151"/>
    <mergeCell ref="BE152:BG152"/>
    <mergeCell ref="BE153:BG153"/>
    <mergeCell ref="BE154:BG154"/>
    <mergeCell ref="BE145:BG145"/>
    <mergeCell ref="BE146:BG146"/>
    <mergeCell ref="BE147:BG147"/>
    <mergeCell ref="BE148:BG148"/>
    <mergeCell ref="BE149:BG149"/>
    <mergeCell ref="BE139:BG139"/>
    <mergeCell ref="BE140:BI140"/>
    <mergeCell ref="BE142:BG142"/>
    <mergeCell ref="BE143:BG143"/>
    <mergeCell ref="BE144:BG144"/>
    <mergeCell ref="BE134:BG134"/>
    <mergeCell ref="BE135:BG135"/>
    <mergeCell ref="BE136:BG136"/>
    <mergeCell ref="BE137:BG137"/>
    <mergeCell ref="BE138:BG138"/>
    <mergeCell ref="BE129:BG129"/>
    <mergeCell ref="BE130:BG130"/>
    <mergeCell ref="BE131:BG131"/>
    <mergeCell ref="BE132:BG132"/>
    <mergeCell ref="BE133:BG133"/>
    <mergeCell ref="BE109:BG109"/>
    <mergeCell ref="BE110:BG110"/>
    <mergeCell ref="BE111:BI111"/>
    <mergeCell ref="BE127:BG127"/>
    <mergeCell ref="BE128:BG128"/>
    <mergeCell ref="BE104:BG104"/>
    <mergeCell ref="BE105:BG105"/>
    <mergeCell ref="BE106:BG106"/>
    <mergeCell ref="BE107:BG107"/>
    <mergeCell ref="BE108:BG108"/>
    <mergeCell ref="BE99:BG99"/>
    <mergeCell ref="BE100:BG100"/>
    <mergeCell ref="BE101:BG101"/>
    <mergeCell ref="BE102:BG102"/>
    <mergeCell ref="BE103:BG103"/>
    <mergeCell ref="BE81:BG81"/>
    <mergeCell ref="BE82:BI82"/>
    <mergeCell ref="BE83:BI83"/>
    <mergeCell ref="BE97:BI97"/>
    <mergeCell ref="BE98:BG98"/>
    <mergeCell ref="BE76:BG76"/>
    <mergeCell ref="BE77:BG77"/>
    <mergeCell ref="BE78:BG78"/>
    <mergeCell ref="BE79:BG79"/>
    <mergeCell ref="BE80:BG80"/>
    <mergeCell ref="BE71:BG71"/>
    <mergeCell ref="BE72:BG72"/>
    <mergeCell ref="BE73:BG73"/>
    <mergeCell ref="BE74:BG74"/>
    <mergeCell ref="BE75:BG75"/>
    <mergeCell ref="BE65:BG65"/>
    <mergeCell ref="BE66:BG66"/>
    <mergeCell ref="BE67:BG67"/>
    <mergeCell ref="BE69:BG69"/>
    <mergeCell ref="BE70:BG70"/>
    <mergeCell ref="BE60:BG60"/>
    <mergeCell ref="BE61:BG61"/>
    <mergeCell ref="BE62:BG62"/>
    <mergeCell ref="BE63:BG63"/>
    <mergeCell ref="BE64:BG64"/>
    <mergeCell ref="BE55:BG55"/>
    <mergeCell ref="BE56:BG56"/>
    <mergeCell ref="BE57:BG57"/>
    <mergeCell ref="BE58:BG58"/>
    <mergeCell ref="BE59:BG59"/>
    <mergeCell ref="BE1:BI2"/>
    <mergeCell ref="AI3:AK3"/>
    <mergeCell ref="AL3:AN3"/>
    <mergeCell ref="AO3:AQ3"/>
    <mergeCell ref="AR3:AS3"/>
    <mergeCell ref="AT3:AU3"/>
    <mergeCell ref="AV3:AW3"/>
    <mergeCell ref="AX3:AY3"/>
    <mergeCell ref="AZ3:BA3"/>
    <mergeCell ref="BB3:BC3"/>
    <mergeCell ref="P1:T2"/>
    <mergeCell ref="V1:AG2"/>
    <mergeCell ref="B25:B26"/>
    <mergeCell ref="C25:C26"/>
    <mergeCell ref="D25:D26"/>
    <mergeCell ref="E25:E26"/>
    <mergeCell ref="F25:F26"/>
    <mergeCell ref="B1:G2"/>
    <mergeCell ref="B14:F14"/>
    <mergeCell ref="I1:L2"/>
    <mergeCell ref="I7:J7"/>
    <mergeCell ref="N1:N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X257"/>
  <sheetViews>
    <sheetView zoomScale="80" zoomScaleNormal="80" workbookViewId="0">
      <selection activeCell="O18" sqref="O18"/>
    </sheetView>
  </sheetViews>
  <sheetFormatPr baseColWidth="10" defaultRowHeight="15" x14ac:dyDescent="0.25"/>
  <cols>
    <col min="1" max="1" width="4" customWidth="1"/>
    <col min="2" max="2" width="10" style="146" customWidth="1"/>
    <col min="3" max="3" width="10" style="15" customWidth="1"/>
    <col min="4" max="4" width="10.7109375" style="15" customWidth="1"/>
    <col min="5" max="5" width="9.42578125" style="15" customWidth="1"/>
    <col min="6" max="6" width="10.28515625" customWidth="1"/>
    <col min="7" max="7" width="7.7109375" customWidth="1"/>
    <col min="8" max="8" width="7.5703125" style="15" customWidth="1"/>
    <col min="9" max="9" width="8" style="15" customWidth="1"/>
    <col min="10" max="10" width="8" customWidth="1"/>
    <col min="11" max="11" width="7.42578125" customWidth="1"/>
    <col min="12" max="13" width="7.85546875" customWidth="1"/>
    <col min="14" max="15" width="8.140625" customWidth="1"/>
    <col min="16" max="18" width="7.85546875" customWidth="1"/>
    <col min="19" max="20" width="8.7109375" customWidth="1"/>
    <col min="21" max="22" width="7.5703125" customWidth="1"/>
    <col min="23" max="24" width="8.42578125" customWidth="1"/>
    <col min="25" max="26" width="7.85546875" customWidth="1"/>
    <col min="27" max="27" width="9.85546875" customWidth="1"/>
    <col min="28" max="28" width="10.5703125" customWidth="1"/>
  </cols>
  <sheetData>
    <row r="1" spans="1:50" ht="15" customHeight="1" x14ac:dyDescent="0.25">
      <c r="B1" s="557" t="s">
        <v>271</v>
      </c>
      <c r="C1" s="558"/>
      <c r="D1" s="558"/>
      <c r="E1" s="558"/>
      <c r="F1" s="559"/>
      <c r="H1" s="573" t="s">
        <v>321</v>
      </c>
      <c r="I1" s="574"/>
      <c r="J1" s="574"/>
      <c r="K1" s="574"/>
      <c r="L1" s="574"/>
      <c r="M1" s="574"/>
      <c r="N1" s="574"/>
      <c r="O1" s="574"/>
      <c r="P1" s="574"/>
      <c r="Q1" s="574"/>
      <c r="R1" s="574"/>
      <c r="S1" s="574"/>
      <c r="T1" s="574"/>
      <c r="U1" s="574"/>
      <c r="V1" s="574"/>
      <c r="W1" s="574"/>
      <c r="X1" s="574"/>
      <c r="Y1" s="574"/>
      <c r="Z1" s="574"/>
      <c r="AA1" s="574"/>
      <c r="AB1" s="575"/>
    </row>
    <row r="2" spans="1:50" ht="15.75" customHeight="1" thickBot="1" x14ac:dyDescent="0.3">
      <c r="B2" s="560"/>
      <c r="C2" s="561"/>
      <c r="D2" s="561"/>
      <c r="E2" s="561"/>
      <c r="F2" s="562"/>
      <c r="H2" s="576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  <c r="U2" s="577"/>
      <c r="V2" s="577"/>
      <c r="W2" s="577"/>
      <c r="X2" s="577"/>
      <c r="Y2" s="577"/>
      <c r="Z2" s="577"/>
      <c r="AA2" s="577"/>
      <c r="AB2" s="578"/>
    </row>
    <row r="3" spans="1:50" ht="16.5" thickBot="1" x14ac:dyDescent="0.3">
      <c r="B3" s="314" t="s">
        <v>4</v>
      </c>
      <c r="C3" s="315"/>
      <c r="D3" s="315"/>
      <c r="E3" s="315"/>
      <c r="F3" s="316"/>
      <c r="H3" s="619" t="s">
        <v>376</v>
      </c>
      <c r="I3" s="620"/>
      <c r="J3" s="621"/>
      <c r="K3" s="619" t="s">
        <v>377</v>
      </c>
      <c r="L3" s="620"/>
      <c r="M3" s="621"/>
      <c r="N3" s="619" t="s">
        <v>378</v>
      </c>
      <c r="O3" s="620"/>
      <c r="P3" s="621"/>
      <c r="Q3" s="619" t="s">
        <v>379</v>
      </c>
      <c r="R3" s="621"/>
      <c r="S3" s="619" t="s">
        <v>375</v>
      </c>
      <c r="T3" s="621"/>
      <c r="U3" s="622" t="s">
        <v>373</v>
      </c>
      <c r="V3" s="623"/>
      <c r="W3" s="622" t="s">
        <v>282</v>
      </c>
      <c r="X3" s="623"/>
      <c r="Y3" s="622" t="s">
        <v>283</v>
      </c>
      <c r="Z3" s="623"/>
      <c r="AA3" s="619" t="s">
        <v>374</v>
      </c>
      <c r="AB3" s="621"/>
      <c r="AD3" s="579" t="s">
        <v>376</v>
      </c>
      <c r="AE3" s="580"/>
      <c r="AF3" s="581"/>
      <c r="AG3" s="582" t="s">
        <v>377</v>
      </c>
      <c r="AH3" s="583"/>
      <c r="AI3" s="584"/>
      <c r="AJ3" s="582" t="s">
        <v>378</v>
      </c>
      <c r="AK3" s="583"/>
      <c r="AL3" s="584"/>
      <c r="AM3" s="582" t="s">
        <v>379</v>
      </c>
      <c r="AN3" s="584"/>
      <c r="AO3" s="582" t="s">
        <v>375</v>
      </c>
      <c r="AP3" s="584"/>
      <c r="AQ3" s="624" t="s">
        <v>373</v>
      </c>
      <c r="AR3" s="625"/>
      <c r="AS3" s="624" t="s">
        <v>282</v>
      </c>
      <c r="AT3" s="625"/>
      <c r="AU3" s="624" t="s">
        <v>283</v>
      </c>
      <c r="AV3" s="625"/>
      <c r="AW3" s="582" t="s">
        <v>374</v>
      </c>
      <c r="AX3" s="584"/>
    </row>
    <row r="4" spans="1:50" ht="15.75" thickBot="1" x14ac:dyDescent="0.3">
      <c r="B4" s="138" t="s">
        <v>385</v>
      </c>
      <c r="C4" s="157" t="s">
        <v>269</v>
      </c>
      <c r="D4" s="333" t="s">
        <v>272</v>
      </c>
      <c r="E4" s="137" t="s">
        <v>273</v>
      </c>
      <c r="F4" s="136" t="s">
        <v>272</v>
      </c>
      <c r="H4" s="322" t="s">
        <v>380</v>
      </c>
      <c r="I4" s="323" t="s">
        <v>269</v>
      </c>
      <c r="J4" s="324" t="s">
        <v>270</v>
      </c>
      <c r="K4" s="322">
        <v>21</v>
      </c>
      <c r="L4" s="323" t="s">
        <v>269</v>
      </c>
      <c r="M4" s="324" t="s">
        <v>270</v>
      </c>
      <c r="N4" s="322" t="s">
        <v>381</v>
      </c>
      <c r="O4" s="323" t="s">
        <v>269</v>
      </c>
      <c r="P4" s="324" t="s">
        <v>270</v>
      </c>
      <c r="Q4" s="420" t="s">
        <v>382</v>
      </c>
      <c r="R4" s="408" t="s">
        <v>269</v>
      </c>
      <c r="S4" s="420" t="s">
        <v>383</v>
      </c>
      <c r="T4" s="460" t="s">
        <v>269</v>
      </c>
      <c r="U4" s="328" t="s">
        <v>386</v>
      </c>
      <c r="V4" s="327" t="s">
        <v>269</v>
      </c>
      <c r="W4" s="423" t="s">
        <v>387</v>
      </c>
      <c r="X4" s="408" t="s">
        <v>269</v>
      </c>
      <c r="Y4" s="473">
        <v>72</v>
      </c>
      <c r="Z4" s="474" t="s">
        <v>269</v>
      </c>
      <c r="AA4" s="332" t="s">
        <v>384</v>
      </c>
      <c r="AB4" s="331" t="s">
        <v>269</v>
      </c>
      <c r="AD4" s="322" t="s">
        <v>380</v>
      </c>
      <c r="AE4" s="323" t="s">
        <v>269</v>
      </c>
      <c r="AF4" s="324" t="s">
        <v>270</v>
      </c>
      <c r="AG4" s="322">
        <v>21</v>
      </c>
      <c r="AH4" s="323" t="s">
        <v>269</v>
      </c>
      <c r="AI4" s="324" t="s">
        <v>270</v>
      </c>
      <c r="AJ4" s="322" t="s">
        <v>381</v>
      </c>
      <c r="AK4" s="323" t="s">
        <v>269</v>
      </c>
      <c r="AL4" s="324" t="s">
        <v>270</v>
      </c>
      <c r="AM4" s="420" t="s">
        <v>382</v>
      </c>
      <c r="AN4" s="408" t="s">
        <v>269</v>
      </c>
      <c r="AO4" s="420" t="s">
        <v>383</v>
      </c>
      <c r="AP4" s="460" t="s">
        <v>269</v>
      </c>
      <c r="AQ4" s="328" t="s">
        <v>386</v>
      </c>
      <c r="AR4" s="327" t="s">
        <v>269</v>
      </c>
      <c r="AS4" s="423" t="s">
        <v>387</v>
      </c>
      <c r="AT4" s="408" t="s">
        <v>269</v>
      </c>
      <c r="AU4" s="473">
        <v>72</v>
      </c>
      <c r="AV4" s="474" t="s">
        <v>269</v>
      </c>
      <c r="AW4" s="332" t="s">
        <v>384</v>
      </c>
      <c r="AX4" s="331" t="s">
        <v>269</v>
      </c>
    </row>
    <row r="5" spans="1:50" x14ac:dyDescent="0.25">
      <c r="A5" s="446"/>
      <c r="B5" s="159" t="s">
        <v>371</v>
      </c>
      <c r="C5" s="139">
        <v>48</v>
      </c>
      <c r="D5" s="334">
        <f>+I13</f>
        <v>-3</v>
      </c>
      <c r="E5" s="139">
        <v>48</v>
      </c>
      <c r="F5" s="344">
        <f>+J13</f>
        <v>-2</v>
      </c>
      <c r="H5" s="325">
        <v>35</v>
      </c>
      <c r="I5" s="403">
        <v>-1</v>
      </c>
      <c r="J5" s="405">
        <v>-1</v>
      </c>
      <c r="K5" s="325">
        <v>13</v>
      </c>
      <c r="L5" s="416">
        <v>-10</v>
      </c>
      <c r="M5" s="417">
        <v>-5</v>
      </c>
      <c r="N5" s="326">
        <v>13</v>
      </c>
      <c r="O5" s="410">
        <v>-4</v>
      </c>
      <c r="P5" s="411">
        <v>-2</v>
      </c>
      <c r="Q5" s="326">
        <v>10</v>
      </c>
      <c r="R5" s="411">
        <v>0</v>
      </c>
      <c r="S5" s="325">
        <v>40</v>
      </c>
      <c r="T5" s="411">
        <v>-2</v>
      </c>
      <c r="U5" s="457">
        <v>12</v>
      </c>
      <c r="V5" s="411">
        <v>-6</v>
      </c>
      <c r="W5" s="143">
        <v>10</v>
      </c>
      <c r="X5" s="467">
        <v>-10</v>
      </c>
      <c r="Y5" s="409">
        <v>57</v>
      </c>
      <c r="Z5" s="411">
        <v>-2</v>
      </c>
      <c r="AA5" s="471">
        <v>15</v>
      </c>
      <c r="AB5" s="388">
        <v>-10</v>
      </c>
      <c r="AC5" s="626">
        <f>SUM(AE5:AX5)</f>
        <v>6</v>
      </c>
      <c r="AD5" s="325">
        <v>35</v>
      </c>
      <c r="AE5" s="402">
        <f>+IF(I5=Inv!AJ5,0,1)</f>
        <v>0</v>
      </c>
      <c r="AF5" s="402">
        <f>+IF(J5=Inv!AK5,0,1)</f>
        <v>0</v>
      </c>
      <c r="AG5" s="402">
        <f>+IF(K5=Inv!AL5,0,1)</f>
        <v>0</v>
      </c>
      <c r="AH5" s="402">
        <f>+IF(L5=Inv!AM5,0,1)</f>
        <v>0</v>
      </c>
      <c r="AI5" s="402">
        <f>+IF(M5=Inv!AN5,0,1)</f>
        <v>0</v>
      </c>
      <c r="AJ5" s="402">
        <f>+IF(N5=Inv!AO5,0,1)</f>
        <v>0</v>
      </c>
      <c r="AK5" s="402">
        <f>+IF(O5=Inv!AP5,0,1)</f>
        <v>0</v>
      </c>
      <c r="AL5" s="402">
        <f>+IF(P5=Inv!AQ5,0,1)</f>
        <v>0</v>
      </c>
      <c r="AM5" s="402">
        <f>+IF(Q5=Inv!AR5,0,1)</f>
        <v>0</v>
      </c>
      <c r="AN5" s="402">
        <f>+IF(R5=Inv!AS5,0,1)</f>
        <v>1</v>
      </c>
      <c r="AO5" s="402">
        <f>+IF(S5=Inv!AT5,0,1)</f>
        <v>0</v>
      </c>
      <c r="AP5" s="402">
        <f>+IF(T5=Inv!AU5,0,1)</f>
        <v>1</v>
      </c>
      <c r="AQ5" s="402">
        <f>+IF(U5=Inv!AV5,0,1)</f>
        <v>0</v>
      </c>
      <c r="AR5" s="402">
        <f>+IF(V5=Inv!AW5,0,1)</f>
        <v>1</v>
      </c>
      <c r="AS5" s="402">
        <f>+IF(W5=Inv!AX5,0,1)</f>
        <v>0</v>
      </c>
      <c r="AT5" s="402">
        <f>+IF(X5=Inv!AY5,0,1)</f>
        <v>1</v>
      </c>
      <c r="AU5" s="402">
        <f>+IF(Y5=Inv!AZ5,0,1)</f>
        <v>0</v>
      </c>
      <c r="AV5" s="402">
        <f>+IF(Z5=Inv!BA5,0,1)</f>
        <v>1</v>
      </c>
      <c r="AW5" s="402">
        <f>+IF(AA5=Inv!BB5,0,1)</f>
        <v>0</v>
      </c>
      <c r="AX5" s="402">
        <f>+IF(AB5=Inv!BC5,0,1)</f>
        <v>1</v>
      </c>
    </row>
    <row r="6" spans="1:50" ht="15.75" thickBot="1" x14ac:dyDescent="0.3">
      <c r="A6" s="446"/>
      <c r="B6" s="160" t="s">
        <v>372</v>
      </c>
      <c r="C6" s="135">
        <v>52</v>
      </c>
      <c r="D6" s="335">
        <f>+I16</f>
        <v>-1</v>
      </c>
      <c r="E6" s="135">
        <v>52</v>
      </c>
      <c r="F6" s="341">
        <f>+J16</f>
        <v>-1</v>
      </c>
      <c r="H6" s="134">
        <v>37</v>
      </c>
      <c r="I6" s="402">
        <v>-1</v>
      </c>
      <c r="J6" s="406">
        <v>-1</v>
      </c>
      <c r="K6" s="141">
        <v>15</v>
      </c>
      <c r="L6" s="418">
        <v>-14</v>
      </c>
      <c r="M6" s="419">
        <v>-7</v>
      </c>
      <c r="N6" s="134">
        <v>15</v>
      </c>
      <c r="O6" s="412">
        <v>-6</v>
      </c>
      <c r="P6" s="413">
        <v>-3</v>
      </c>
      <c r="Q6" s="134">
        <v>12</v>
      </c>
      <c r="R6" s="413">
        <v>-10</v>
      </c>
      <c r="S6" s="134">
        <v>44</v>
      </c>
      <c r="T6" s="413">
        <v>-2</v>
      </c>
      <c r="U6" s="407">
        <v>13</v>
      </c>
      <c r="V6" s="421">
        <v>-4</v>
      </c>
      <c r="W6" s="134">
        <v>12</v>
      </c>
      <c r="X6" s="468">
        <v>-4</v>
      </c>
      <c r="Y6" s="329">
        <v>58</v>
      </c>
      <c r="Z6" s="413">
        <v>-2</v>
      </c>
      <c r="AA6" s="472">
        <v>20</v>
      </c>
      <c r="AB6" s="150">
        <v>-14</v>
      </c>
      <c r="AC6" s="626">
        <f t="shared" ref="AC6:AC31" si="0">SUM(AE6:AX6)</f>
        <v>6</v>
      </c>
      <c r="AD6" s="134">
        <v>37</v>
      </c>
      <c r="AE6" s="402">
        <f>+IF(I6=Inv!AJ6,0,1)</f>
        <v>0</v>
      </c>
      <c r="AF6" s="402">
        <f>+IF(J6=Inv!AK6,0,1)</f>
        <v>0</v>
      </c>
      <c r="AG6" s="402">
        <f>+IF(K6=Inv!AL6,0,1)</f>
        <v>0</v>
      </c>
      <c r="AH6" s="402">
        <f>+IF(L6=Inv!AM6,0,1)</f>
        <v>0</v>
      </c>
      <c r="AI6" s="402">
        <f>+IF(M6=Inv!AN6,0,1)</f>
        <v>0</v>
      </c>
      <c r="AJ6" s="402">
        <f>+IF(N6=Inv!AO6,0,1)</f>
        <v>0</v>
      </c>
      <c r="AK6" s="402">
        <f>+IF(O6=Inv!AP6,0,1)</f>
        <v>0</v>
      </c>
      <c r="AL6" s="402">
        <f>+IF(P6=Inv!AQ6,0,1)</f>
        <v>0</v>
      </c>
      <c r="AM6" s="402">
        <f>+IF(Q6=Inv!AR6,0,1)</f>
        <v>0</v>
      </c>
      <c r="AN6" s="402">
        <f>+IF(R6=Inv!AS6,0,1)</f>
        <v>1</v>
      </c>
      <c r="AO6" s="402">
        <f>+IF(S6=Inv!AT6,0,1)</f>
        <v>0</v>
      </c>
      <c r="AP6" s="402">
        <f>+IF(T6=Inv!AU6,0,1)</f>
        <v>1</v>
      </c>
      <c r="AQ6" s="402">
        <f>+IF(U6=Inv!AV6,0,1)</f>
        <v>0</v>
      </c>
      <c r="AR6" s="402">
        <f>+IF(V6=Inv!AW6,0,1)</f>
        <v>1</v>
      </c>
      <c r="AS6" s="402">
        <f>+IF(W6=Inv!AX6,0,1)</f>
        <v>0</v>
      </c>
      <c r="AT6" s="402">
        <f>+IF(X6=Inv!AY6,0,1)</f>
        <v>1</v>
      </c>
      <c r="AU6" s="402">
        <f>+IF(Y6=Inv!AZ6,0,1)</f>
        <v>0</v>
      </c>
      <c r="AV6" s="402">
        <f>+IF(Z6=Inv!BA6,0,1)</f>
        <v>1</v>
      </c>
      <c r="AW6" s="402">
        <f>+IF(AA6=Inv!BB6,0,1)</f>
        <v>0</v>
      </c>
      <c r="AX6" s="402">
        <f>+IF(AB6=Inv!BC6,0,1)</f>
        <v>1</v>
      </c>
    </row>
    <row r="7" spans="1:50" ht="15.75" thickBot="1" x14ac:dyDescent="0.3">
      <c r="A7" s="446"/>
      <c r="B7" s="160" t="s">
        <v>240</v>
      </c>
      <c r="C7" s="135">
        <v>53</v>
      </c>
      <c r="D7" s="335">
        <f>+I17</f>
        <v>-2</v>
      </c>
      <c r="E7" s="135">
        <v>53</v>
      </c>
      <c r="F7" s="341">
        <f>+J17</f>
        <v>-2</v>
      </c>
      <c r="H7" s="134">
        <v>39</v>
      </c>
      <c r="I7" s="402">
        <v>-1</v>
      </c>
      <c r="J7" s="404">
        <v>-1</v>
      </c>
      <c r="K7" s="395"/>
      <c r="L7" s="427"/>
      <c r="M7" s="428"/>
      <c r="N7" s="134">
        <v>18</v>
      </c>
      <c r="O7" s="412">
        <v>-4</v>
      </c>
      <c r="P7" s="413">
        <v>-2</v>
      </c>
      <c r="Q7" s="134">
        <v>13</v>
      </c>
      <c r="R7" s="413">
        <v>-8</v>
      </c>
      <c r="S7" s="134">
        <v>45</v>
      </c>
      <c r="T7" s="413">
        <v>-4</v>
      </c>
      <c r="U7" s="407">
        <v>14</v>
      </c>
      <c r="V7" s="421">
        <v>-4</v>
      </c>
      <c r="W7" s="141">
        <v>15</v>
      </c>
      <c r="X7" s="469">
        <v>-10</v>
      </c>
      <c r="Y7" s="329">
        <v>61</v>
      </c>
      <c r="Z7" s="413">
        <v>-2</v>
      </c>
      <c r="AA7" s="459"/>
      <c r="AB7" s="430"/>
      <c r="AC7" s="626">
        <f t="shared" si="0"/>
        <v>5</v>
      </c>
      <c r="AD7" s="134">
        <v>39</v>
      </c>
      <c r="AE7" s="402">
        <f>+IF(I7=Inv!AJ7,0,1)</f>
        <v>0</v>
      </c>
      <c r="AF7" s="402">
        <f>+IF(J7=Inv!AK7,0,1)</f>
        <v>0</v>
      </c>
      <c r="AG7" s="402">
        <f>+IF(K7=Inv!AL7,0,1)</f>
        <v>0</v>
      </c>
      <c r="AH7" s="402">
        <f>+IF(L7=Inv!AM7,0,1)</f>
        <v>0</v>
      </c>
      <c r="AI7" s="402">
        <f>+IF(M7=Inv!AN7,0,1)</f>
        <v>0</v>
      </c>
      <c r="AJ7" s="402">
        <f>+IF(N7=Inv!AO7,0,1)</f>
        <v>0</v>
      </c>
      <c r="AK7" s="402">
        <f>+IF(O7=Inv!AP7,0,1)</f>
        <v>0</v>
      </c>
      <c r="AL7" s="402">
        <f>+IF(P7=Inv!AQ7,0,1)</f>
        <v>0</v>
      </c>
      <c r="AM7" s="402">
        <f>+IF(Q7=Inv!AR7,0,1)</f>
        <v>0</v>
      </c>
      <c r="AN7" s="402">
        <f>+IF(R7=Inv!AS7,0,1)</f>
        <v>1</v>
      </c>
      <c r="AO7" s="402">
        <f>+IF(S7=Inv!AT7,0,1)</f>
        <v>0</v>
      </c>
      <c r="AP7" s="402">
        <f>+IF(T7=Inv!AU7,0,1)</f>
        <v>1</v>
      </c>
      <c r="AQ7" s="402">
        <f>+IF(U7=Inv!AV7,0,1)</f>
        <v>0</v>
      </c>
      <c r="AR7" s="402">
        <f>+IF(V7=Inv!AW7,0,1)</f>
        <v>1</v>
      </c>
      <c r="AS7" s="402">
        <f>+IF(W7=Inv!AX7,0,1)</f>
        <v>0</v>
      </c>
      <c r="AT7" s="402">
        <f>+IF(X7=Inv!AY7,0,1)</f>
        <v>1</v>
      </c>
      <c r="AU7" s="402">
        <f>+IF(Y7=Inv!AZ7,0,1)</f>
        <v>0</v>
      </c>
      <c r="AV7" s="402">
        <f>+IF(Z7=Inv!BA7,0,1)</f>
        <v>1</v>
      </c>
      <c r="AW7" s="402">
        <f>+IF(AA7=Inv!BB7,0,1)</f>
        <v>0</v>
      </c>
      <c r="AX7" s="402">
        <f>+IF(AB7=Inv!BC7,0,1)</f>
        <v>0</v>
      </c>
    </row>
    <row r="8" spans="1:50" ht="15.75" thickBot="1" x14ac:dyDescent="0.3">
      <c r="A8" s="446"/>
      <c r="B8" s="160" t="s">
        <v>241</v>
      </c>
      <c r="C8" s="135">
        <v>57</v>
      </c>
      <c r="D8" s="335">
        <f>+I20</f>
        <v>-1</v>
      </c>
      <c r="E8" s="135">
        <v>57</v>
      </c>
      <c r="F8" s="341">
        <f>+J20</f>
        <v>-1</v>
      </c>
      <c r="H8" s="134">
        <v>40</v>
      </c>
      <c r="I8" s="402">
        <v>-1</v>
      </c>
      <c r="J8" s="404">
        <v>-1</v>
      </c>
      <c r="N8" s="141">
        <v>20</v>
      </c>
      <c r="O8" s="414">
        <v>-10</v>
      </c>
      <c r="P8" s="415">
        <v>-5</v>
      </c>
      <c r="Q8" s="318">
        <v>14</v>
      </c>
      <c r="R8" s="413">
        <v>-12</v>
      </c>
      <c r="S8" s="134">
        <v>48</v>
      </c>
      <c r="T8" s="413">
        <v>-2</v>
      </c>
      <c r="U8" s="407">
        <v>15</v>
      </c>
      <c r="V8" s="421">
        <v>-4</v>
      </c>
      <c r="W8" s="395"/>
      <c r="X8" s="470"/>
      <c r="Y8" s="329">
        <v>64</v>
      </c>
      <c r="Z8" s="413">
        <v>-2</v>
      </c>
      <c r="AC8" s="626">
        <f t="shared" si="0"/>
        <v>4</v>
      </c>
      <c r="AD8" s="134">
        <v>40</v>
      </c>
      <c r="AE8" s="402">
        <f>+IF(I8=Inv!AJ8,0,1)</f>
        <v>0</v>
      </c>
      <c r="AF8" s="402">
        <f>+IF(J8=Inv!AK8,0,1)</f>
        <v>0</v>
      </c>
      <c r="AG8" s="402">
        <f>+IF(K8=Inv!AL8,0,1)</f>
        <v>0</v>
      </c>
      <c r="AH8" s="402">
        <f>+IF(L8=Inv!AM8,0,1)</f>
        <v>0</v>
      </c>
      <c r="AI8" s="402">
        <f>+IF(M8=Inv!AN8,0,1)</f>
        <v>0</v>
      </c>
      <c r="AJ8" s="402">
        <f>+IF(N8=Inv!AO8,0,1)</f>
        <v>0</v>
      </c>
      <c r="AK8" s="402">
        <f>+IF(O8=Inv!AP8,0,1)</f>
        <v>0</v>
      </c>
      <c r="AL8" s="402">
        <f>+IF(P8=Inv!AQ8,0,1)</f>
        <v>0</v>
      </c>
      <c r="AM8" s="402">
        <f>+IF(Q8=Inv!AR8,0,1)</f>
        <v>0</v>
      </c>
      <c r="AN8" s="402">
        <f>+IF(R8=Inv!AS8,0,1)</f>
        <v>1</v>
      </c>
      <c r="AO8" s="402">
        <f>+IF(S8=Inv!AT8,0,1)</f>
        <v>0</v>
      </c>
      <c r="AP8" s="402">
        <f>+IF(T8=Inv!AU8,0,1)</f>
        <v>1</v>
      </c>
      <c r="AQ8" s="402">
        <f>+IF(U8=Inv!AV8,0,1)</f>
        <v>0</v>
      </c>
      <c r="AR8" s="402">
        <f>+IF(V8=Inv!AW8,0,1)</f>
        <v>1</v>
      </c>
      <c r="AS8" s="402">
        <f>+IF(W8=Inv!AX8,0,1)</f>
        <v>0</v>
      </c>
      <c r="AT8" s="402">
        <f>+IF(X8=Inv!AY8,0,1)</f>
        <v>0</v>
      </c>
      <c r="AU8" s="402">
        <f>+IF(Y8=Inv!AZ8,0,1)</f>
        <v>0</v>
      </c>
      <c r="AV8" s="402">
        <f>+IF(Z8=Inv!BA8,0,1)</f>
        <v>1</v>
      </c>
      <c r="AW8" s="402">
        <f>+IF(AA8=Inv!BB8,0,1)</f>
        <v>0</v>
      </c>
      <c r="AX8" s="402">
        <f>+IF(AB8=Inv!BC8,0,1)</f>
        <v>0</v>
      </c>
    </row>
    <row r="9" spans="1:50" ht="15.75" thickBot="1" x14ac:dyDescent="0.3">
      <c r="A9" s="446"/>
      <c r="B9" s="160" t="s">
        <v>242</v>
      </c>
      <c r="C9" s="135">
        <v>59</v>
      </c>
      <c r="D9" s="335">
        <f>+I22</f>
        <v>-3</v>
      </c>
      <c r="E9" s="135">
        <v>59</v>
      </c>
      <c r="F9" s="341">
        <f>+J22</f>
        <v>-2</v>
      </c>
      <c r="H9" s="134">
        <v>42</v>
      </c>
      <c r="I9" s="402">
        <v>-1</v>
      </c>
      <c r="J9" s="404">
        <v>-1</v>
      </c>
      <c r="N9" s="395"/>
      <c r="O9" s="427"/>
      <c r="P9" s="428"/>
      <c r="Q9" s="134">
        <v>15</v>
      </c>
      <c r="R9" s="413">
        <v>-10</v>
      </c>
      <c r="S9" s="134">
        <v>51</v>
      </c>
      <c r="T9" s="413">
        <v>-2</v>
      </c>
      <c r="U9" s="458">
        <v>16</v>
      </c>
      <c r="V9" s="422">
        <v>-6</v>
      </c>
      <c r="Y9" s="329">
        <v>65</v>
      </c>
      <c r="Z9" s="413">
        <v>-2</v>
      </c>
      <c r="AC9" s="626">
        <f t="shared" si="0"/>
        <v>4</v>
      </c>
      <c r="AD9" s="134">
        <v>42</v>
      </c>
      <c r="AE9" s="402">
        <f>+IF(I9=Inv!AJ9,0,1)</f>
        <v>0</v>
      </c>
      <c r="AF9" s="402">
        <f>+IF(J9=Inv!AK9,0,1)</f>
        <v>0</v>
      </c>
      <c r="AG9" s="402">
        <f>+IF(K9=Inv!AL9,0,1)</f>
        <v>0</v>
      </c>
      <c r="AH9" s="402">
        <f>+IF(L9=Inv!AM9,0,1)</f>
        <v>0</v>
      </c>
      <c r="AI9" s="402">
        <f>+IF(M9=Inv!AN9,0,1)</f>
        <v>0</v>
      </c>
      <c r="AJ9" s="402">
        <f>+IF(N9=Inv!AO9,0,1)</f>
        <v>0</v>
      </c>
      <c r="AK9" s="402">
        <f>+IF(O9=Inv!AP9,0,1)</f>
        <v>0</v>
      </c>
      <c r="AL9" s="402">
        <f>+IF(P9=Inv!AQ9,0,1)</f>
        <v>0</v>
      </c>
      <c r="AM9" s="402">
        <f>+IF(Q9=Inv!AR9,0,1)</f>
        <v>0</v>
      </c>
      <c r="AN9" s="402">
        <f>+IF(R9=Inv!AS9,0,1)</f>
        <v>1</v>
      </c>
      <c r="AO9" s="402">
        <f>+IF(S9=Inv!AT9,0,1)</f>
        <v>0</v>
      </c>
      <c r="AP9" s="402">
        <f>+IF(T9=Inv!AU9,0,1)</f>
        <v>1</v>
      </c>
      <c r="AQ9" s="402">
        <f>+IF(U9=Inv!AV9,0,1)</f>
        <v>0</v>
      </c>
      <c r="AR9" s="402">
        <f>+IF(V9=Inv!AW9,0,1)</f>
        <v>1</v>
      </c>
      <c r="AS9" s="402">
        <f>+IF(W9=Inv!AX9,0,1)</f>
        <v>0</v>
      </c>
      <c r="AT9" s="402">
        <f>+IF(X9=Inv!AY9,0,1)</f>
        <v>0</v>
      </c>
      <c r="AU9" s="402">
        <f>+IF(Y9=Inv!AZ9,0,1)</f>
        <v>0</v>
      </c>
      <c r="AV9" s="402">
        <f>+IF(Z9=Inv!BA9,0,1)</f>
        <v>1</v>
      </c>
      <c r="AW9" s="402">
        <f>+IF(AA9=Inv!BB9,0,1)</f>
        <v>0</v>
      </c>
      <c r="AX9" s="402">
        <f>+IF(AB9=Inv!BC9,0,1)</f>
        <v>0</v>
      </c>
    </row>
    <row r="10" spans="1:50" ht="15.75" thickBot="1" x14ac:dyDescent="0.3">
      <c r="A10" s="446"/>
      <c r="B10" s="160" t="s">
        <v>243</v>
      </c>
      <c r="C10" s="135">
        <v>62</v>
      </c>
      <c r="D10" s="335">
        <f>+I25</f>
        <v>-2</v>
      </c>
      <c r="E10" s="135">
        <v>62</v>
      </c>
      <c r="F10" s="341">
        <f>+J25</f>
        <v>-1</v>
      </c>
      <c r="H10" s="134">
        <v>44</v>
      </c>
      <c r="I10" s="402">
        <v>-1</v>
      </c>
      <c r="J10" s="404">
        <v>-1</v>
      </c>
      <c r="Q10" s="424">
        <v>16</v>
      </c>
      <c r="R10" s="429">
        <v>-2</v>
      </c>
      <c r="S10" s="134">
        <v>55</v>
      </c>
      <c r="T10" s="413">
        <v>-2</v>
      </c>
      <c r="U10" s="459"/>
      <c r="V10" s="430"/>
      <c r="Y10" s="329">
        <v>68</v>
      </c>
      <c r="Z10" s="413">
        <v>-2</v>
      </c>
      <c r="AC10" s="626">
        <f t="shared" si="0"/>
        <v>3</v>
      </c>
      <c r="AD10" s="134">
        <v>44</v>
      </c>
      <c r="AE10" s="402">
        <f>+IF(I10=Inv!AJ10,0,1)</f>
        <v>0</v>
      </c>
      <c r="AF10" s="402">
        <f>+IF(J10=Inv!AK10,0,1)</f>
        <v>0</v>
      </c>
      <c r="AG10" s="402">
        <f>+IF(K10=Inv!AL10,0,1)</f>
        <v>0</v>
      </c>
      <c r="AH10" s="402">
        <f>+IF(L10=Inv!AM10,0,1)</f>
        <v>0</v>
      </c>
      <c r="AI10" s="402">
        <f>+IF(M10=Inv!AN10,0,1)</f>
        <v>0</v>
      </c>
      <c r="AJ10" s="402">
        <f>+IF(N10=Inv!AO10,0,1)</f>
        <v>0</v>
      </c>
      <c r="AK10" s="402">
        <f>+IF(O10=Inv!AP10,0,1)</f>
        <v>0</v>
      </c>
      <c r="AL10" s="402">
        <f>+IF(P10=Inv!AQ10,0,1)</f>
        <v>0</v>
      </c>
      <c r="AM10" s="402">
        <f>+IF(Q10=Inv!AR10,0,1)</f>
        <v>0</v>
      </c>
      <c r="AN10" s="402">
        <f>+IF(R10=Inv!AS10,0,1)</f>
        <v>1</v>
      </c>
      <c r="AO10" s="402">
        <f>+IF(S10=Inv!AT10,0,1)</f>
        <v>0</v>
      </c>
      <c r="AP10" s="402">
        <f>+IF(T10=Inv!AU10,0,1)</f>
        <v>1</v>
      </c>
      <c r="AQ10" s="402">
        <f>+IF(U10=Inv!AV10,0,1)</f>
        <v>0</v>
      </c>
      <c r="AR10" s="402">
        <f>+IF(V10=Inv!AW10,0,1)</f>
        <v>0</v>
      </c>
      <c r="AS10" s="402">
        <f>+IF(W10=Inv!AX10,0,1)</f>
        <v>0</v>
      </c>
      <c r="AT10" s="402">
        <f>+IF(X10=Inv!AY10,0,1)</f>
        <v>0</v>
      </c>
      <c r="AU10" s="402">
        <f>+IF(Y10=Inv!AZ10,0,1)</f>
        <v>0</v>
      </c>
      <c r="AV10" s="402">
        <f>+IF(Z10=Inv!BA10,0,1)</f>
        <v>1</v>
      </c>
      <c r="AW10" s="402">
        <f>+IF(AA10=Inv!BB10,0,1)</f>
        <v>0</v>
      </c>
      <c r="AX10" s="402">
        <f>+IF(AB10=Inv!BC10,0,1)</f>
        <v>0</v>
      </c>
    </row>
    <row r="11" spans="1:50" ht="15.75" thickBot="1" x14ac:dyDescent="0.3">
      <c r="A11" s="446"/>
      <c r="B11" s="160" t="s">
        <v>244</v>
      </c>
      <c r="C11" s="135">
        <v>64</v>
      </c>
      <c r="D11" s="335">
        <f>+I27</f>
        <v>-3</v>
      </c>
      <c r="E11" s="135">
        <v>64</v>
      </c>
      <c r="F11" s="341">
        <f>+J27</f>
        <v>-3</v>
      </c>
      <c r="G11" s="347"/>
      <c r="H11" s="134">
        <v>46</v>
      </c>
      <c r="I11" s="402">
        <v>-1</v>
      </c>
      <c r="J11" s="404">
        <v>-1</v>
      </c>
      <c r="Q11" s="395"/>
      <c r="R11" s="430"/>
      <c r="S11" s="134">
        <v>57</v>
      </c>
      <c r="T11" s="413">
        <v>-4</v>
      </c>
      <c r="Y11" s="329">
        <v>69</v>
      </c>
      <c r="Z11" s="413">
        <v>-2</v>
      </c>
      <c r="AC11" s="626">
        <f t="shared" si="0"/>
        <v>2</v>
      </c>
      <c r="AD11" s="134">
        <v>46</v>
      </c>
      <c r="AE11" s="402">
        <f>+IF(I11=Inv!AJ11,0,1)</f>
        <v>0</v>
      </c>
      <c r="AF11" s="402">
        <f>+IF(J11=Inv!AK11,0,1)</f>
        <v>0</v>
      </c>
      <c r="AG11" s="402">
        <f>+IF(K11=Inv!AL11,0,1)</f>
        <v>0</v>
      </c>
      <c r="AH11" s="402">
        <f>+IF(L11=Inv!AM11,0,1)</f>
        <v>0</v>
      </c>
      <c r="AI11" s="402">
        <f>+IF(M11=Inv!AN11,0,1)</f>
        <v>0</v>
      </c>
      <c r="AJ11" s="402">
        <f>+IF(N11=Inv!AO11,0,1)</f>
        <v>0</v>
      </c>
      <c r="AK11" s="402">
        <f>+IF(O11=Inv!AP11,0,1)</f>
        <v>0</v>
      </c>
      <c r="AL11" s="402">
        <f>+IF(P11=Inv!AQ11,0,1)</f>
        <v>0</v>
      </c>
      <c r="AM11" s="402">
        <f>+IF(Q11=Inv!AR11,0,1)</f>
        <v>0</v>
      </c>
      <c r="AN11" s="402">
        <f>+IF(R11=Inv!AS11,0,1)</f>
        <v>0</v>
      </c>
      <c r="AO11" s="402">
        <f>+IF(S11=Inv!AT11,0,1)</f>
        <v>0</v>
      </c>
      <c r="AP11" s="402">
        <f>+IF(T11=Inv!AU11,0,1)</f>
        <v>1</v>
      </c>
      <c r="AQ11" s="402">
        <f>+IF(U11=Inv!AV11,0,1)</f>
        <v>0</v>
      </c>
      <c r="AR11" s="402">
        <f>+IF(V11=Inv!AW11,0,1)</f>
        <v>0</v>
      </c>
      <c r="AS11" s="402">
        <f>+IF(W11=Inv!AX11,0,1)</f>
        <v>0</v>
      </c>
      <c r="AT11" s="402">
        <f>+IF(X11=Inv!AY11,0,1)</f>
        <v>0</v>
      </c>
      <c r="AU11" s="402">
        <f>+IF(Y11=Inv!AZ11,0,1)</f>
        <v>0</v>
      </c>
      <c r="AV11" s="402">
        <f>+IF(Z11=Inv!BA11,0,1)</f>
        <v>1</v>
      </c>
      <c r="AW11" s="402">
        <f>+IF(AA11=Inv!BB11,0,1)</f>
        <v>0</v>
      </c>
      <c r="AX11" s="402">
        <f>+IF(AB11=Inv!BC11,0,1)</f>
        <v>0</v>
      </c>
    </row>
    <row r="12" spans="1:50" x14ac:dyDescent="0.25">
      <c r="A12" s="446"/>
      <c r="B12" s="160" t="s">
        <v>245</v>
      </c>
      <c r="C12" s="135">
        <v>66</v>
      </c>
      <c r="D12" s="335">
        <f>+I28</f>
        <v>-5</v>
      </c>
      <c r="E12" s="135">
        <v>66</v>
      </c>
      <c r="F12" s="341">
        <f>+J28</f>
        <v>-4</v>
      </c>
      <c r="H12" s="134">
        <v>47</v>
      </c>
      <c r="I12" s="402">
        <v>-1</v>
      </c>
      <c r="J12" s="404">
        <v>-1</v>
      </c>
      <c r="S12" s="134">
        <v>58</v>
      </c>
      <c r="T12" s="413">
        <v>-2</v>
      </c>
      <c r="Y12" s="329">
        <v>70</v>
      </c>
      <c r="Z12" s="413">
        <v>-2</v>
      </c>
      <c r="AC12" s="626">
        <f t="shared" si="0"/>
        <v>2</v>
      </c>
      <c r="AD12" s="134">
        <v>47</v>
      </c>
      <c r="AE12" s="402">
        <f>+IF(I12=Inv!AJ12,0,1)</f>
        <v>0</v>
      </c>
      <c r="AF12" s="402">
        <f>+IF(J12=Inv!AK12,0,1)</f>
        <v>0</v>
      </c>
      <c r="AG12" s="402">
        <f>+IF(K12=Inv!AL12,0,1)</f>
        <v>0</v>
      </c>
      <c r="AH12" s="402">
        <f>+IF(L12=Inv!AM12,0,1)</f>
        <v>0</v>
      </c>
      <c r="AI12" s="402">
        <f>+IF(M12=Inv!AN12,0,1)</f>
        <v>0</v>
      </c>
      <c r="AJ12" s="402">
        <f>+IF(N12=Inv!AO12,0,1)</f>
        <v>0</v>
      </c>
      <c r="AK12" s="402">
        <f>+IF(O12=Inv!AP12,0,1)</f>
        <v>0</v>
      </c>
      <c r="AL12" s="402">
        <f>+IF(P12=Inv!AQ12,0,1)</f>
        <v>0</v>
      </c>
      <c r="AM12" s="402">
        <f>+IF(Q12=Inv!AR12,0,1)</f>
        <v>0</v>
      </c>
      <c r="AN12" s="402">
        <f>+IF(R12=Inv!AS12,0,1)</f>
        <v>0</v>
      </c>
      <c r="AO12" s="402">
        <f>+IF(S12=Inv!AT12,0,1)</f>
        <v>0</v>
      </c>
      <c r="AP12" s="402">
        <f>+IF(T12=Inv!AU12,0,1)</f>
        <v>1</v>
      </c>
      <c r="AQ12" s="402">
        <f>+IF(U12=Inv!AV12,0,1)</f>
        <v>0</v>
      </c>
      <c r="AR12" s="402">
        <f>+IF(V12=Inv!AW12,0,1)</f>
        <v>0</v>
      </c>
      <c r="AS12" s="402">
        <f>+IF(W12=Inv!AX12,0,1)</f>
        <v>0</v>
      </c>
      <c r="AT12" s="402">
        <f>+IF(X12=Inv!AY12,0,1)</f>
        <v>0</v>
      </c>
      <c r="AU12" s="402">
        <f>+IF(Y12=Inv!AZ12,0,1)</f>
        <v>0</v>
      </c>
      <c r="AV12" s="402">
        <f>+IF(Z12=Inv!BA12,0,1)</f>
        <v>1</v>
      </c>
      <c r="AW12" s="402">
        <f>+IF(AA12=Inv!BB12,0,1)</f>
        <v>0</v>
      </c>
      <c r="AX12" s="402">
        <f>+IF(AB12=Inv!BC12,0,1)</f>
        <v>0</v>
      </c>
    </row>
    <row r="13" spans="1:50" x14ac:dyDescent="0.25">
      <c r="A13" s="446"/>
      <c r="B13" s="160" t="s">
        <v>246</v>
      </c>
      <c r="C13" s="135">
        <v>66</v>
      </c>
      <c r="D13" s="335">
        <f>+I28</f>
        <v>-5</v>
      </c>
      <c r="E13" s="135">
        <v>66</v>
      </c>
      <c r="F13" s="341">
        <f>+J28</f>
        <v>-4</v>
      </c>
      <c r="H13" s="134">
        <v>48</v>
      </c>
      <c r="I13" s="402">
        <v>-3</v>
      </c>
      <c r="J13" s="404">
        <v>-2</v>
      </c>
      <c r="S13" s="134">
        <v>59</v>
      </c>
      <c r="T13" s="413">
        <v>-2</v>
      </c>
      <c r="Y13" s="329">
        <v>71</v>
      </c>
      <c r="Z13" s="413">
        <v>-2</v>
      </c>
      <c r="AC13" s="626">
        <f t="shared" si="0"/>
        <v>2</v>
      </c>
      <c r="AD13" s="134">
        <v>48</v>
      </c>
      <c r="AE13" s="402">
        <f>+IF(I13=Inv!AJ13,0,1)</f>
        <v>0</v>
      </c>
      <c r="AF13" s="402">
        <f>+IF(J13=Inv!AK13,0,1)</f>
        <v>0</v>
      </c>
      <c r="AG13" s="402">
        <f>+IF(K13=Inv!AL13,0,1)</f>
        <v>0</v>
      </c>
      <c r="AH13" s="402">
        <f>+IF(L13=Inv!AM13,0,1)</f>
        <v>0</v>
      </c>
      <c r="AI13" s="402">
        <f>+IF(M13=Inv!AN13,0,1)</f>
        <v>0</v>
      </c>
      <c r="AJ13" s="402">
        <f>+IF(N13=Inv!AO13,0,1)</f>
        <v>0</v>
      </c>
      <c r="AK13" s="402">
        <f>+IF(O13=Inv!AP13,0,1)</f>
        <v>0</v>
      </c>
      <c r="AL13" s="402">
        <f>+IF(P13=Inv!AQ13,0,1)</f>
        <v>0</v>
      </c>
      <c r="AM13" s="402">
        <f>+IF(Q13=Inv!AR13,0,1)</f>
        <v>0</v>
      </c>
      <c r="AN13" s="402">
        <f>+IF(R13=Inv!AS13,0,1)</f>
        <v>0</v>
      </c>
      <c r="AO13" s="402">
        <f>+IF(S13=Inv!AT13,0,1)</f>
        <v>0</v>
      </c>
      <c r="AP13" s="402">
        <f>+IF(T13=Inv!AU13,0,1)</f>
        <v>1</v>
      </c>
      <c r="AQ13" s="402">
        <f>+IF(U13=Inv!AV13,0,1)</f>
        <v>0</v>
      </c>
      <c r="AR13" s="402">
        <f>+IF(V13=Inv!AW13,0,1)</f>
        <v>0</v>
      </c>
      <c r="AS13" s="402">
        <f>+IF(W13=Inv!AX13,0,1)</f>
        <v>0</v>
      </c>
      <c r="AT13" s="402">
        <f>+IF(X13=Inv!AY13,0,1)</f>
        <v>0</v>
      </c>
      <c r="AU13" s="402">
        <f>+IF(Y13=Inv!AZ13,0,1)</f>
        <v>0</v>
      </c>
      <c r="AV13" s="402">
        <f>+IF(Z13=Inv!BA13,0,1)</f>
        <v>1</v>
      </c>
      <c r="AW13" s="402">
        <f>+IF(AA13=Inv!BB13,0,1)</f>
        <v>0</v>
      </c>
      <c r="AX13" s="402">
        <f>+IF(AB13=Inv!BC13,0,1)</f>
        <v>0</v>
      </c>
    </row>
    <row r="14" spans="1:50" ht="15.75" thickBot="1" x14ac:dyDescent="0.3">
      <c r="A14" s="446"/>
      <c r="B14" s="160" t="s">
        <v>247</v>
      </c>
      <c r="C14" s="135">
        <v>66</v>
      </c>
      <c r="D14" s="335">
        <f>+I28</f>
        <v>-5</v>
      </c>
      <c r="E14" s="135">
        <v>66</v>
      </c>
      <c r="F14" s="341">
        <f>+J28</f>
        <v>-4</v>
      </c>
      <c r="H14" s="134">
        <v>49</v>
      </c>
      <c r="I14" s="402">
        <v>-1</v>
      </c>
      <c r="J14" s="404">
        <v>-1</v>
      </c>
      <c r="S14" s="141">
        <v>60</v>
      </c>
      <c r="T14" s="415">
        <v>-2</v>
      </c>
      <c r="Y14" s="329">
        <v>72</v>
      </c>
      <c r="Z14" s="413">
        <v>-2</v>
      </c>
      <c r="AC14" s="626">
        <f t="shared" si="0"/>
        <v>2</v>
      </c>
      <c r="AD14" s="134">
        <v>49</v>
      </c>
      <c r="AE14" s="402">
        <f>+IF(I14=Inv!AJ14,0,1)</f>
        <v>0</v>
      </c>
      <c r="AF14" s="402">
        <f>+IF(J14=Inv!AK14,0,1)</f>
        <v>0</v>
      </c>
      <c r="AG14" s="402">
        <f>+IF(K14=Inv!AL14,0,1)</f>
        <v>0</v>
      </c>
      <c r="AH14" s="402">
        <f>+IF(L14=Inv!AM14,0,1)</f>
        <v>0</v>
      </c>
      <c r="AI14" s="402">
        <f>+IF(M14=Inv!AN14,0,1)</f>
        <v>0</v>
      </c>
      <c r="AJ14" s="402">
        <f>+IF(N14=Inv!AO14,0,1)</f>
        <v>0</v>
      </c>
      <c r="AK14" s="402">
        <f>+IF(O14=Inv!AP14,0,1)</f>
        <v>0</v>
      </c>
      <c r="AL14" s="402">
        <f>+IF(P14=Inv!AQ14,0,1)</f>
        <v>0</v>
      </c>
      <c r="AM14" s="402">
        <f>+IF(Q14=Inv!AR14,0,1)</f>
        <v>0</v>
      </c>
      <c r="AN14" s="402">
        <f>+IF(R14=Inv!AS14,0,1)</f>
        <v>0</v>
      </c>
      <c r="AO14" s="402">
        <f>+IF(S14=Inv!AT14,0,1)</f>
        <v>0</v>
      </c>
      <c r="AP14" s="402">
        <f>+IF(T14=Inv!AU14,0,1)</f>
        <v>1</v>
      </c>
      <c r="AQ14" s="402">
        <f>+IF(U14=Inv!AV14,0,1)</f>
        <v>0</v>
      </c>
      <c r="AR14" s="402">
        <f>+IF(V14=Inv!AW14,0,1)</f>
        <v>0</v>
      </c>
      <c r="AS14" s="402">
        <f>+IF(W14=Inv!AX14,0,1)</f>
        <v>0</v>
      </c>
      <c r="AT14" s="402">
        <f>+IF(X14=Inv!AY14,0,1)</f>
        <v>0</v>
      </c>
      <c r="AU14" s="402">
        <f>+IF(Y14=Inv!AZ14,0,1)</f>
        <v>0</v>
      </c>
      <c r="AV14" s="402">
        <f>+IF(Z14=Inv!BA14,0,1)</f>
        <v>1</v>
      </c>
      <c r="AW14" s="402">
        <f>+IF(AA14=Inv!BB14,0,1)</f>
        <v>0</v>
      </c>
      <c r="AX14" s="402">
        <f>+IF(AB14=Inv!BC14,0,1)</f>
        <v>0</v>
      </c>
    </row>
    <row r="15" spans="1:50" ht="15.75" thickBot="1" x14ac:dyDescent="0.3">
      <c r="B15" s="160" t="s">
        <v>248</v>
      </c>
      <c r="C15" s="135">
        <v>0</v>
      </c>
      <c r="D15" s="335"/>
      <c r="E15" s="135">
        <v>0</v>
      </c>
      <c r="F15" s="341"/>
      <c r="H15" s="134">
        <v>50</v>
      </c>
      <c r="I15" s="402">
        <v>-2</v>
      </c>
      <c r="J15" s="404">
        <v>-1</v>
      </c>
      <c r="S15" s="462"/>
      <c r="T15" s="461"/>
      <c r="Y15" s="329">
        <v>73</v>
      </c>
      <c r="Z15" s="413">
        <v>-2</v>
      </c>
      <c r="AC15" s="626">
        <f t="shared" si="0"/>
        <v>1</v>
      </c>
      <c r="AD15" s="134">
        <v>50</v>
      </c>
      <c r="AE15" s="402">
        <f>+IF(I15=Inv!AJ15,0,1)</f>
        <v>0</v>
      </c>
      <c r="AF15" s="402">
        <f>+IF(J15=Inv!AK15,0,1)</f>
        <v>0</v>
      </c>
      <c r="AG15" s="402">
        <f>+IF(K15=Inv!AL15,0,1)</f>
        <v>0</v>
      </c>
      <c r="AH15" s="402">
        <f>+IF(L15=Inv!AM15,0,1)</f>
        <v>0</v>
      </c>
      <c r="AI15" s="402">
        <f>+IF(M15=Inv!AN15,0,1)</f>
        <v>0</v>
      </c>
      <c r="AJ15" s="402">
        <f>+IF(N15=Inv!AO15,0,1)</f>
        <v>0</v>
      </c>
      <c r="AK15" s="402">
        <f>+IF(O15=Inv!AP15,0,1)</f>
        <v>0</v>
      </c>
      <c r="AL15" s="402">
        <f>+IF(P15=Inv!AQ15,0,1)</f>
        <v>0</v>
      </c>
      <c r="AM15" s="402">
        <f>+IF(Q15=Inv!AR15,0,1)</f>
        <v>0</v>
      </c>
      <c r="AN15" s="402">
        <f>+IF(R15=Inv!AS15,0,1)</f>
        <v>0</v>
      </c>
      <c r="AO15" s="402">
        <f>+IF(S15=Inv!AT15,0,1)</f>
        <v>0</v>
      </c>
      <c r="AP15" s="402">
        <f>+IF(T15=Inv!AU15,0,1)</f>
        <v>0</v>
      </c>
      <c r="AQ15" s="402">
        <f>+IF(U15=Inv!AV15,0,1)</f>
        <v>0</v>
      </c>
      <c r="AR15" s="402">
        <f>+IF(V15=Inv!AW15,0,1)</f>
        <v>0</v>
      </c>
      <c r="AS15" s="402">
        <f>+IF(W15=Inv!AX15,0,1)</f>
        <v>0</v>
      </c>
      <c r="AT15" s="402">
        <f>+IF(X15=Inv!AY15,0,1)</f>
        <v>0</v>
      </c>
      <c r="AU15" s="402">
        <f>+IF(Y15=Inv!AZ15,0,1)</f>
        <v>0</v>
      </c>
      <c r="AV15" s="402">
        <f>+IF(Z15=Inv!BA15,0,1)</f>
        <v>1</v>
      </c>
      <c r="AW15" s="402">
        <f>+IF(AA15=Inv!BB15,0,1)</f>
        <v>0</v>
      </c>
      <c r="AX15" s="402">
        <f>+IF(AB15=Inv!BC15,0,1)</f>
        <v>0</v>
      </c>
    </row>
    <row r="16" spans="1:50" ht="15.75" thickBot="1" x14ac:dyDescent="0.3">
      <c r="B16" s="161" t="s">
        <v>249</v>
      </c>
      <c r="C16" s="162">
        <v>0</v>
      </c>
      <c r="D16" s="336"/>
      <c r="E16" s="140">
        <v>0</v>
      </c>
      <c r="F16" s="342"/>
      <c r="H16" s="134">
        <v>52</v>
      </c>
      <c r="I16" s="402">
        <v>-1</v>
      </c>
      <c r="J16" s="404">
        <v>-1</v>
      </c>
      <c r="Y16" s="330">
        <v>75</v>
      </c>
      <c r="Z16" s="415">
        <v>-2</v>
      </c>
      <c r="AC16" s="626">
        <f t="shared" si="0"/>
        <v>1</v>
      </c>
      <c r="AD16" s="134">
        <v>52</v>
      </c>
      <c r="AE16" s="402">
        <f>+IF(I16=Inv!AJ16,0,1)</f>
        <v>0</v>
      </c>
      <c r="AF16" s="402">
        <f>+IF(J16=Inv!AK16,0,1)</f>
        <v>0</v>
      </c>
      <c r="AG16" s="402">
        <f>+IF(K16=Inv!AL16,0,1)</f>
        <v>0</v>
      </c>
      <c r="AH16" s="402">
        <f>+IF(L16=Inv!AM16,0,1)</f>
        <v>0</v>
      </c>
      <c r="AI16" s="402">
        <f>+IF(M16=Inv!AN16,0,1)</f>
        <v>0</v>
      </c>
      <c r="AJ16" s="402">
        <f>+IF(N16=Inv!AO16,0,1)</f>
        <v>0</v>
      </c>
      <c r="AK16" s="402">
        <f>+IF(O16=Inv!AP16,0,1)</f>
        <v>0</v>
      </c>
      <c r="AL16" s="402">
        <f>+IF(P16=Inv!AQ16,0,1)</f>
        <v>0</v>
      </c>
      <c r="AM16" s="402">
        <f>+IF(Q16=Inv!AR16,0,1)</f>
        <v>0</v>
      </c>
      <c r="AN16" s="402">
        <f>+IF(R16=Inv!AS16,0,1)</f>
        <v>0</v>
      </c>
      <c r="AO16" s="402">
        <f>+IF(S16=Inv!AT16,0,1)</f>
        <v>0</v>
      </c>
      <c r="AP16" s="402">
        <f>+IF(T16=Inv!AU16,0,1)</f>
        <v>0</v>
      </c>
      <c r="AQ16" s="402">
        <f>+IF(U16=Inv!AV16,0,1)</f>
        <v>0</v>
      </c>
      <c r="AR16" s="402">
        <f>+IF(V16=Inv!AW16,0,1)</f>
        <v>0</v>
      </c>
      <c r="AS16" s="402">
        <f>+IF(W16=Inv!AX16,0,1)</f>
        <v>0</v>
      </c>
      <c r="AT16" s="402">
        <f>+IF(X16=Inv!AY16,0,1)</f>
        <v>0</v>
      </c>
      <c r="AU16" s="402">
        <f>+IF(Y16=Inv!AZ16,0,1)</f>
        <v>0</v>
      </c>
      <c r="AV16" s="402">
        <f>+IF(Z16=Inv!BA16,0,1)</f>
        <v>1</v>
      </c>
      <c r="AW16" s="402">
        <f>+IF(AA16=Inv!BB16,0,1)</f>
        <v>0</v>
      </c>
      <c r="AX16" s="402">
        <f>+IF(AB16=Inv!BC16,0,1)</f>
        <v>0</v>
      </c>
    </row>
    <row r="17" spans="1:48" ht="15.75" thickBot="1" x14ac:dyDescent="0.3">
      <c r="B17" s="314" t="s">
        <v>414</v>
      </c>
      <c r="C17" s="315"/>
      <c r="D17" s="337"/>
      <c r="E17" s="315"/>
      <c r="F17" s="343"/>
      <c r="H17" s="134">
        <v>53</v>
      </c>
      <c r="I17" s="402">
        <v>-2</v>
      </c>
      <c r="J17" s="404">
        <v>-2</v>
      </c>
      <c r="Y17" s="462"/>
      <c r="Z17" s="461"/>
      <c r="AC17" s="626">
        <f t="shared" si="0"/>
        <v>0</v>
      </c>
      <c r="AD17" s="134">
        <v>53</v>
      </c>
      <c r="AE17" s="402">
        <f>+IF(I17=Inv!AJ17,0,1)</f>
        <v>0</v>
      </c>
      <c r="AF17" s="402">
        <f>+IF(J17=Inv!AK17,0,1)</f>
        <v>0</v>
      </c>
      <c r="AU17" s="449"/>
      <c r="AV17" s="449"/>
    </row>
    <row r="18" spans="1:48" ht="15.75" thickBot="1" x14ac:dyDescent="0.3">
      <c r="B18" s="154" t="s">
        <v>385</v>
      </c>
      <c r="C18" s="157" t="s">
        <v>269</v>
      </c>
      <c r="D18" s="338" t="s">
        <v>272</v>
      </c>
      <c r="E18" s="137" t="s">
        <v>273</v>
      </c>
      <c r="F18" s="338" t="s">
        <v>272</v>
      </c>
      <c r="H18" s="134">
        <v>54</v>
      </c>
      <c r="I18" s="402">
        <v>-1</v>
      </c>
      <c r="J18" s="404">
        <v>-1</v>
      </c>
      <c r="AC18" s="626">
        <f t="shared" si="0"/>
        <v>0</v>
      </c>
      <c r="AD18" s="134">
        <v>54</v>
      </c>
      <c r="AE18" s="402">
        <f>+IF(I18=Inv!AJ18,0,1)</f>
        <v>0</v>
      </c>
      <c r="AF18" s="402">
        <f>+IF(J18=Inv!AK18,0,1)</f>
        <v>0</v>
      </c>
    </row>
    <row r="19" spans="1:48" x14ac:dyDescent="0.25">
      <c r="A19" s="446"/>
      <c r="B19" s="159" t="s">
        <v>371</v>
      </c>
      <c r="C19" s="139">
        <v>40</v>
      </c>
      <c r="D19" s="334">
        <f>+I8</f>
        <v>-1</v>
      </c>
      <c r="E19" s="139">
        <v>40</v>
      </c>
      <c r="F19" s="344">
        <f>+J8</f>
        <v>-1</v>
      </c>
      <c r="H19" s="134">
        <v>56</v>
      </c>
      <c r="I19" s="402">
        <v>-2</v>
      </c>
      <c r="J19" s="404">
        <v>-2</v>
      </c>
      <c r="M19" s="170"/>
      <c r="N19" s="170"/>
      <c r="O19" s="170"/>
      <c r="P19" s="170"/>
      <c r="AC19" s="626">
        <f t="shared" si="0"/>
        <v>0</v>
      </c>
      <c r="AD19" s="134">
        <v>56</v>
      </c>
      <c r="AE19" s="402">
        <f>+IF(I19=Inv!AJ19,0,1)</f>
        <v>0</v>
      </c>
      <c r="AF19" s="402">
        <f>+IF(J19=Inv!AK19,0,1)</f>
        <v>0</v>
      </c>
      <c r="AI19" s="170"/>
      <c r="AJ19" s="170"/>
      <c r="AK19" s="170"/>
      <c r="AL19" s="170"/>
    </row>
    <row r="20" spans="1:48" x14ac:dyDescent="0.25">
      <c r="A20" s="446"/>
      <c r="B20" s="160" t="s">
        <v>372</v>
      </c>
      <c r="C20" s="135">
        <v>42</v>
      </c>
      <c r="D20" s="335">
        <f>+I9</f>
        <v>-1</v>
      </c>
      <c r="E20" s="135">
        <v>42</v>
      </c>
      <c r="F20" s="341">
        <f>+J9</f>
        <v>-1</v>
      </c>
      <c r="H20" s="134">
        <v>57</v>
      </c>
      <c r="I20" s="402">
        <v>-1</v>
      </c>
      <c r="J20" s="404">
        <v>-1</v>
      </c>
      <c r="AC20" s="626">
        <f t="shared" si="0"/>
        <v>0</v>
      </c>
      <c r="AD20" s="134">
        <v>57</v>
      </c>
      <c r="AE20" s="402">
        <f>+IF(I20=Inv!AJ20,0,1)</f>
        <v>0</v>
      </c>
      <c r="AF20" s="402">
        <f>+IF(J20=Inv!AK20,0,1)</f>
        <v>0</v>
      </c>
    </row>
    <row r="21" spans="1:48" x14ac:dyDescent="0.25">
      <c r="A21" s="446"/>
      <c r="B21" s="160" t="s">
        <v>240</v>
      </c>
      <c r="C21" s="135">
        <v>44</v>
      </c>
      <c r="D21" s="335">
        <f>+I10</f>
        <v>-1</v>
      </c>
      <c r="E21" s="135">
        <v>44</v>
      </c>
      <c r="F21" s="341">
        <f>+J10</f>
        <v>-1</v>
      </c>
      <c r="H21" s="318">
        <v>58</v>
      </c>
      <c r="I21" s="402">
        <v>-3</v>
      </c>
      <c r="J21" s="404">
        <v>-2</v>
      </c>
      <c r="AC21" s="626">
        <f t="shared" si="0"/>
        <v>0</v>
      </c>
      <c r="AD21" s="318">
        <v>58</v>
      </c>
      <c r="AE21" s="402">
        <f>+IF(I21=Inv!AJ21,0,1)</f>
        <v>0</v>
      </c>
      <c r="AF21" s="402">
        <f>+IF(J21=Inv!AK21,0,1)</f>
        <v>0</v>
      </c>
    </row>
    <row r="22" spans="1:48" x14ac:dyDescent="0.25">
      <c r="A22" s="446"/>
      <c r="B22" s="160" t="s">
        <v>241</v>
      </c>
      <c r="C22" s="135">
        <v>47</v>
      </c>
      <c r="D22" s="335">
        <f>+I12</f>
        <v>-1</v>
      </c>
      <c r="E22" s="135">
        <v>47</v>
      </c>
      <c r="F22" s="341">
        <f>+J12</f>
        <v>-1</v>
      </c>
      <c r="H22" s="134">
        <v>59</v>
      </c>
      <c r="I22" s="402">
        <v>-3</v>
      </c>
      <c r="J22" s="404">
        <v>-2</v>
      </c>
      <c r="AC22" s="626">
        <f t="shared" si="0"/>
        <v>0</v>
      </c>
      <c r="AD22" s="134">
        <v>59</v>
      </c>
      <c r="AE22" s="402">
        <f>+IF(I22=Inv!AJ22,0,1)</f>
        <v>0</v>
      </c>
      <c r="AF22" s="402">
        <f>+IF(J22=Inv!AK22,0,1)</f>
        <v>0</v>
      </c>
    </row>
    <row r="23" spans="1:48" x14ac:dyDescent="0.25">
      <c r="A23" s="446"/>
      <c r="B23" s="160" t="s">
        <v>242</v>
      </c>
      <c r="C23" s="135">
        <v>49</v>
      </c>
      <c r="D23" s="335">
        <f>+I14</f>
        <v>-1</v>
      </c>
      <c r="E23" s="135">
        <v>49</v>
      </c>
      <c r="F23" s="341">
        <f>+J14</f>
        <v>-1</v>
      </c>
      <c r="H23" s="318">
        <v>60</v>
      </c>
      <c r="I23" s="402">
        <v>-1</v>
      </c>
      <c r="J23" s="404">
        <v>-1</v>
      </c>
      <c r="AC23" s="626">
        <f t="shared" si="0"/>
        <v>0</v>
      </c>
      <c r="AD23" s="318">
        <v>60</v>
      </c>
      <c r="AE23" s="402">
        <f>+IF(I23=Inv!AJ23,0,1)</f>
        <v>0</v>
      </c>
      <c r="AF23" s="402">
        <f>+IF(J23=Inv!AK23,0,1)</f>
        <v>0</v>
      </c>
    </row>
    <row r="24" spans="1:48" x14ac:dyDescent="0.25">
      <c r="A24" s="446"/>
      <c r="B24" s="160" t="s">
        <v>243</v>
      </c>
      <c r="C24" s="135">
        <v>53</v>
      </c>
      <c r="D24" s="335">
        <f>+I17</f>
        <v>-2</v>
      </c>
      <c r="E24" s="135">
        <v>53</v>
      </c>
      <c r="F24" s="341">
        <f>+J17</f>
        <v>-2</v>
      </c>
      <c r="H24" s="318">
        <v>61</v>
      </c>
      <c r="I24" s="402">
        <v>-2</v>
      </c>
      <c r="J24" s="404">
        <v>-1</v>
      </c>
      <c r="AC24" s="626">
        <f t="shared" si="0"/>
        <v>0</v>
      </c>
      <c r="AD24" s="318">
        <v>61</v>
      </c>
      <c r="AE24" s="402">
        <f>+IF(I24=Inv!AJ24,0,1)</f>
        <v>0</v>
      </c>
      <c r="AF24" s="402">
        <f>+IF(J24=Inv!AK24,0,1)</f>
        <v>0</v>
      </c>
    </row>
    <row r="25" spans="1:48" x14ac:dyDescent="0.25">
      <c r="A25" s="446"/>
      <c r="B25" s="160" t="s">
        <v>244</v>
      </c>
      <c r="C25" s="135">
        <v>54</v>
      </c>
      <c r="D25" s="335">
        <f>+I18</f>
        <v>-1</v>
      </c>
      <c r="E25" s="135">
        <v>54</v>
      </c>
      <c r="F25" s="341">
        <f>+J18</f>
        <v>-1</v>
      </c>
      <c r="H25" s="134">
        <v>62</v>
      </c>
      <c r="I25" s="402">
        <v>-2</v>
      </c>
      <c r="J25" s="404">
        <v>-1</v>
      </c>
      <c r="AC25" s="626">
        <f t="shared" si="0"/>
        <v>0</v>
      </c>
      <c r="AD25" s="134">
        <v>62</v>
      </c>
      <c r="AE25" s="402">
        <f>+IF(I25=Inv!AJ25,0,1)</f>
        <v>0</v>
      </c>
      <c r="AF25" s="402">
        <f>+IF(J25=Inv!AK25,0,1)</f>
        <v>0</v>
      </c>
    </row>
    <row r="26" spans="1:48" x14ac:dyDescent="0.25">
      <c r="A26" s="446"/>
      <c r="B26" s="160" t="s">
        <v>245</v>
      </c>
      <c r="C26" s="135">
        <v>56</v>
      </c>
      <c r="D26" s="335">
        <f>+I19</f>
        <v>-2</v>
      </c>
      <c r="E26" s="135">
        <v>56</v>
      </c>
      <c r="F26" s="341">
        <f>+J19</f>
        <v>-2</v>
      </c>
      <c r="H26" s="134">
        <v>63</v>
      </c>
      <c r="I26" s="402">
        <v>-2</v>
      </c>
      <c r="J26" s="404">
        <v>0</v>
      </c>
      <c r="AC26" s="626">
        <f t="shared" si="0"/>
        <v>0</v>
      </c>
      <c r="AD26" s="134">
        <v>63</v>
      </c>
      <c r="AE26" s="402">
        <f>+IF(I26=Inv!AJ26,0,1)</f>
        <v>0</v>
      </c>
      <c r="AF26" s="402">
        <f>+IF(J26=Inv!AK26,0,1)</f>
        <v>0</v>
      </c>
    </row>
    <row r="27" spans="1:48" x14ac:dyDescent="0.25">
      <c r="A27" s="446"/>
      <c r="B27" s="160" t="s">
        <v>246</v>
      </c>
      <c r="C27" s="158">
        <v>58</v>
      </c>
      <c r="D27" s="339">
        <f>+I21</f>
        <v>-3</v>
      </c>
      <c r="E27" s="135">
        <v>58</v>
      </c>
      <c r="F27" s="345">
        <f>+J21</f>
        <v>-2</v>
      </c>
      <c r="H27" s="134">
        <v>64</v>
      </c>
      <c r="I27" s="402">
        <v>-3</v>
      </c>
      <c r="J27" s="404">
        <v>-3</v>
      </c>
      <c r="AC27" s="626">
        <f t="shared" si="0"/>
        <v>0</v>
      </c>
      <c r="AD27" s="134">
        <v>64</v>
      </c>
      <c r="AE27" s="402">
        <f>+IF(I27=Inv!AJ27,0,1)</f>
        <v>0</v>
      </c>
      <c r="AF27" s="402">
        <f>+IF(J27=Inv!AK27,0,1)</f>
        <v>0</v>
      </c>
    </row>
    <row r="28" spans="1:48" x14ac:dyDescent="0.25">
      <c r="A28" s="446"/>
      <c r="B28" s="160" t="s">
        <v>247</v>
      </c>
      <c r="C28" s="158">
        <v>59</v>
      </c>
      <c r="D28" s="339">
        <f>+I22</f>
        <v>-3</v>
      </c>
      <c r="E28" s="135">
        <v>59</v>
      </c>
      <c r="F28" s="345">
        <f>+J22</f>
        <v>-2</v>
      </c>
      <c r="H28" s="134">
        <v>66</v>
      </c>
      <c r="I28" s="402">
        <v>-5</v>
      </c>
      <c r="J28" s="404">
        <v>-4</v>
      </c>
      <c r="AC28" s="626">
        <f t="shared" si="0"/>
        <v>0</v>
      </c>
      <c r="AD28" s="134">
        <v>66</v>
      </c>
      <c r="AE28" s="402">
        <f>+IF(I28=Inv!AJ28,0,1)</f>
        <v>0</v>
      </c>
      <c r="AF28" s="402">
        <f>+IF(J28=Inv!AK28,0,1)</f>
        <v>0</v>
      </c>
    </row>
    <row r="29" spans="1:48" x14ac:dyDescent="0.25">
      <c r="A29" s="446"/>
      <c r="B29" s="160" t="s">
        <v>248</v>
      </c>
      <c r="C29" s="158">
        <v>60</v>
      </c>
      <c r="D29" s="339">
        <f>+I23</f>
        <v>-1</v>
      </c>
      <c r="E29" s="135">
        <v>60</v>
      </c>
      <c r="F29" s="345">
        <f>+J23</f>
        <v>-1</v>
      </c>
      <c r="H29" s="318">
        <v>68</v>
      </c>
      <c r="I29" s="402">
        <v>-1</v>
      </c>
      <c r="J29" s="404">
        <v>0</v>
      </c>
      <c r="AC29" s="626">
        <f t="shared" si="0"/>
        <v>0</v>
      </c>
      <c r="AD29" s="318">
        <v>68</v>
      </c>
      <c r="AE29" s="402">
        <f>+IF(I29=Inv!AJ29,0,1)</f>
        <v>0</v>
      </c>
      <c r="AF29" s="402">
        <f>+IF(J29=Inv!AK29,0,1)</f>
        <v>0</v>
      </c>
    </row>
    <row r="30" spans="1:48" ht="15.75" thickBot="1" x14ac:dyDescent="0.3">
      <c r="A30" s="446"/>
      <c r="B30" s="161" t="s">
        <v>249</v>
      </c>
      <c r="C30" s="162">
        <v>64</v>
      </c>
      <c r="D30" s="336">
        <f>+I27</f>
        <v>-3</v>
      </c>
      <c r="E30" s="140">
        <v>64</v>
      </c>
      <c r="F30" s="342">
        <f>+J27</f>
        <v>-3</v>
      </c>
      <c r="H30" s="318">
        <v>70</v>
      </c>
      <c r="I30" s="402">
        <v>-1</v>
      </c>
      <c r="J30" s="404">
        <v>0</v>
      </c>
      <c r="AC30" s="626">
        <f t="shared" si="0"/>
        <v>0</v>
      </c>
      <c r="AD30" s="318">
        <v>70</v>
      </c>
      <c r="AE30" s="402">
        <f>+IF(I30=Inv!AJ30,0,1)</f>
        <v>0</v>
      </c>
      <c r="AF30" s="402">
        <f>+IF(J30=Inv!AK30,0,1)</f>
        <v>0</v>
      </c>
    </row>
    <row r="31" spans="1:48" ht="15.75" thickBot="1" x14ac:dyDescent="0.3">
      <c r="B31" s="314" t="s">
        <v>11</v>
      </c>
      <c r="C31" s="315"/>
      <c r="D31" s="337"/>
      <c r="E31" s="315"/>
      <c r="F31" s="343"/>
      <c r="H31" s="424">
        <v>73</v>
      </c>
      <c r="I31" s="425">
        <v>-1</v>
      </c>
      <c r="J31" s="426">
        <v>0</v>
      </c>
      <c r="AC31" s="626">
        <f t="shared" si="0"/>
        <v>0</v>
      </c>
      <c r="AD31" s="493">
        <v>73</v>
      </c>
      <c r="AE31" s="402">
        <f>+IF(I31=Inv!AJ31,0,1)</f>
        <v>0</v>
      </c>
      <c r="AF31" s="402">
        <f>+IF(J31=Inv!AK31,0,1)</f>
        <v>0</v>
      </c>
    </row>
    <row r="32" spans="1:48" ht="15.75" thickBot="1" x14ac:dyDescent="0.3">
      <c r="B32" s="154" t="s">
        <v>385</v>
      </c>
      <c r="C32" s="157" t="s">
        <v>269</v>
      </c>
      <c r="D32" s="338" t="s">
        <v>272</v>
      </c>
      <c r="E32" s="137" t="s">
        <v>273</v>
      </c>
      <c r="F32" s="338" t="s">
        <v>272</v>
      </c>
      <c r="H32" s="395"/>
      <c r="I32" s="427"/>
      <c r="J32" s="428"/>
    </row>
    <row r="33" spans="1:6" x14ac:dyDescent="0.25">
      <c r="A33" s="446"/>
      <c r="B33" s="159" t="s">
        <v>371</v>
      </c>
      <c r="C33" s="139">
        <v>35</v>
      </c>
      <c r="D33" s="334">
        <f>+I5</f>
        <v>-1</v>
      </c>
      <c r="E33" s="139">
        <v>35</v>
      </c>
      <c r="F33" s="344">
        <f>+J5</f>
        <v>-1</v>
      </c>
    </row>
    <row r="34" spans="1:6" x14ac:dyDescent="0.25">
      <c r="A34" s="446"/>
      <c r="B34" s="160" t="s">
        <v>372</v>
      </c>
      <c r="C34" s="135">
        <v>37</v>
      </c>
      <c r="D34" s="335">
        <f>+I6</f>
        <v>-1</v>
      </c>
      <c r="E34" s="135">
        <v>37</v>
      </c>
      <c r="F34" s="341">
        <f>+J6</f>
        <v>-1</v>
      </c>
    </row>
    <row r="35" spans="1:6" x14ac:dyDescent="0.25">
      <c r="A35" s="446"/>
      <c r="B35" s="160" t="s">
        <v>240</v>
      </c>
      <c r="C35" s="135">
        <v>39</v>
      </c>
      <c r="D35" s="335">
        <f>+I7</f>
        <v>-1</v>
      </c>
      <c r="E35" s="135">
        <v>39</v>
      </c>
      <c r="F35" s="341">
        <f>+J7</f>
        <v>-1</v>
      </c>
    </row>
    <row r="36" spans="1:6" x14ac:dyDescent="0.25">
      <c r="A36" s="446"/>
      <c r="B36" s="160" t="s">
        <v>241</v>
      </c>
      <c r="C36" s="135">
        <v>46</v>
      </c>
      <c r="D36" s="335">
        <f>+I11</f>
        <v>-1</v>
      </c>
      <c r="E36" s="135">
        <v>46</v>
      </c>
      <c r="F36" s="341">
        <f>+J11</f>
        <v>-1</v>
      </c>
    </row>
    <row r="37" spans="1:6" x14ac:dyDescent="0.25">
      <c r="A37" s="446"/>
      <c r="B37" s="160" t="s">
        <v>242</v>
      </c>
      <c r="C37" s="135">
        <v>48</v>
      </c>
      <c r="D37" s="335">
        <f>+I13</f>
        <v>-3</v>
      </c>
      <c r="E37" s="135">
        <v>48</v>
      </c>
      <c r="F37" s="341">
        <f>+J13</f>
        <v>-2</v>
      </c>
    </row>
    <row r="38" spans="1:6" x14ac:dyDescent="0.25">
      <c r="A38" s="446"/>
      <c r="B38" s="160" t="s">
        <v>243</v>
      </c>
      <c r="C38" s="135">
        <v>50</v>
      </c>
      <c r="D38" s="335">
        <f>+I15</f>
        <v>-2</v>
      </c>
      <c r="E38" s="135">
        <v>50</v>
      </c>
      <c r="F38" s="341">
        <f>+J15</f>
        <v>-1</v>
      </c>
    </row>
    <row r="39" spans="1:6" x14ac:dyDescent="0.25">
      <c r="A39" s="446"/>
      <c r="B39" s="160" t="s">
        <v>244</v>
      </c>
      <c r="C39" s="135">
        <v>56</v>
      </c>
      <c r="D39" s="335">
        <f>+I19</f>
        <v>-2</v>
      </c>
      <c r="E39" s="135">
        <v>56</v>
      </c>
      <c r="F39" s="341">
        <f>+J19</f>
        <v>-2</v>
      </c>
    </row>
    <row r="40" spans="1:6" x14ac:dyDescent="0.25">
      <c r="A40" s="446"/>
      <c r="B40" s="160" t="s">
        <v>245</v>
      </c>
      <c r="C40" s="135">
        <v>58</v>
      </c>
      <c r="D40" s="335">
        <f>+I21</f>
        <v>-3</v>
      </c>
      <c r="E40" s="135">
        <v>58</v>
      </c>
      <c r="F40" s="341">
        <f>+J21</f>
        <v>-2</v>
      </c>
    </row>
    <row r="41" spans="1:6" x14ac:dyDescent="0.25">
      <c r="A41" s="446"/>
      <c r="B41" s="160" t="s">
        <v>246</v>
      </c>
      <c r="C41" s="158">
        <v>61</v>
      </c>
      <c r="D41" s="339">
        <f>+I24</f>
        <v>-2</v>
      </c>
      <c r="E41" s="135">
        <v>61</v>
      </c>
      <c r="F41" s="345">
        <f>+J24</f>
        <v>-1</v>
      </c>
    </row>
    <row r="42" spans="1:6" x14ac:dyDescent="0.25">
      <c r="A42" s="446"/>
      <c r="B42" s="160" t="s">
        <v>247</v>
      </c>
      <c r="C42" s="158">
        <v>64</v>
      </c>
      <c r="D42" s="339">
        <f>+I27</f>
        <v>-3</v>
      </c>
      <c r="E42" s="135">
        <v>64</v>
      </c>
      <c r="F42" s="345">
        <f>+J27</f>
        <v>-3</v>
      </c>
    </row>
    <row r="43" spans="1:6" ht="15.75" thickBot="1" x14ac:dyDescent="0.3">
      <c r="A43" s="446"/>
      <c r="B43" s="440" t="s">
        <v>248</v>
      </c>
      <c r="C43" s="441">
        <v>66</v>
      </c>
      <c r="D43" s="442">
        <f>+I28</f>
        <v>-5</v>
      </c>
      <c r="E43" s="443">
        <v>66</v>
      </c>
      <c r="F43" s="444">
        <f>+J28</f>
        <v>-4</v>
      </c>
    </row>
    <row r="44" spans="1:6" ht="15.75" thickBot="1" x14ac:dyDescent="0.3">
      <c r="B44" s="445" t="s">
        <v>275</v>
      </c>
      <c r="C44" s="337"/>
      <c r="D44" s="337"/>
      <c r="E44" s="337"/>
      <c r="F44" s="343"/>
    </row>
    <row r="45" spans="1:6" ht="15.75" thickBot="1" x14ac:dyDescent="0.3">
      <c r="B45" s="154" t="s">
        <v>385</v>
      </c>
      <c r="C45" s="157" t="s">
        <v>269</v>
      </c>
      <c r="D45" s="338" t="s">
        <v>272</v>
      </c>
      <c r="E45" s="137" t="s">
        <v>273</v>
      </c>
      <c r="F45" s="338" t="s">
        <v>272</v>
      </c>
    </row>
    <row r="46" spans="1:6" x14ac:dyDescent="0.25">
      <c r="B46" s="143"/>
      <c r="C46" s="139">
        <v>0</v>
      </c>
      <c r="D46" s="334"/>
      <c r="E46" s="139">
        <v>0</v>
      </c>
      <c r="F46" s="344"/>
    </row>
    <row r="47" spans="1:6" x14ac:dyDescent="0.25">
      <c r="B47" s="134"/>
      <c r="C47" s="135">
        <v>0</v>
      </c>
      <c r="D47" s="335"/>
      <c r="E47" s="135">
        <v>0</v>
      </c>
      <c r="F47" s="341"/>
    </row>
    <row r="48" spans="1:6" x14ac:dyDescent="0.25">
      <c r="B48" s="134"/>
      <c r="C48" s="135">
        <v>0</v>
      </c>
      <c r="D48" s="335"/>
      <c r="E48" s="135">
        <v>0</v>
      </c>
      <c r="F48" s="341"/>
    </row>
    <row r="49" spans="1:6" x14ac:dyDescent="0.25">
      <c r="B49" s="134"/>
      <c r="C49" s="135">
        <v>0</v>
      </c>
      <c r="D49" s="335"/>
      <c r="E49" s="135">
        <v>0</v>
      </c>
      <c r="F49" s="341"/>
    </row>
    <row r="50" spans="1:6" x14ac:dyDescent="0.25">
      <c r="B50" s="134"/>
      <c r="C50" s="135">
        <v>0</v>
      </c>
      <c r="D50" s="335"/>
      <c r="E50" s="135">
        <v>0</v>
      </c>
      <c r="F50" s="341"/>
    </row>
    <row r="51" spans="1:6" x14ac:dyDescent="0.25">
      <c r="B51" s="134"/>
      <c r="C51" s="135">
        <v>0</v>
      </c>
      <c r="D51" s="335"/>
      <c r="E51" s="135">
        <v>0</v>
      </c>
      <c r="F51" s="341"/>
    </row>
    <row r="52" spans="1:6" x14ac:dyDescent="0.25">
      <c r="B52" s="134"/>
      <c r="C52" s="135">
        <v>0</v>
      </c>
      <c r="D52" s="335"/>
      <c r="E52" s="135">
        <v>0</v>
      </c>
      <c r="F52" s="341"/>
    </row>
    <row r="53" spans="1:6" ht="15.75" thickBot="1" x14ac:dyDescent="0.3">
      <c r="B53" s="141"/>
      <c r="C53" s="140">
        <v>0</v>
      </c>
      <c r="D53" s="340"/>
      <c r="E53" s="140">
        <v>0</v>
      </c>
      <c r="F53" s="346"/>
    </row>
    <row r="54" spans="1:6" ht="15.75" thickBot="1" x14ac:dyDescent="0.3">
      <c r="B54" s="314" t="s">
        <v>63</v>
      </c>
      <c r="C54" s="315"/>
      <c r="D54" s="315"/>
      <c r="E54" s="315"/>
      <c r="F54" s="316"/>
    </row>
    <row r="55" spans="1:6" ht="15.75" thickBot="1" x14ac:dyDescent="0.3">
      <c r="B55" s="567" t="s">
        <v>385</v>
      </c>
      <c r="C55" s="568"/>
      <c r="D55" s="568"/>
      <c r="E55" s="166" t="s">
        <v>269</v>
      </c>
      <c r="F55" s="167" t="s">
        <v>272</v>
      </c>
    </row>
    <row r="56" spans="1:6" x14ac:dyDescent="0.25">
      <c r="A56" s="446"/>
      <c r="B56" s="569" t="s">
        <v>371</v>
      </c>
      <c r="C56" s="570"/>
      <c r="D56" s="570"/>
      <c r="E56" s="133">
        <v>48</v>
      </c>
      <c r="F56" s="348">
        <f>+I13</f>
        <v>-3</v>
      </c>
    </row>
    <row r="57" spans="1:6" x14ac:dyDescent="0.25">
      <c r="A57" s="446"/>
      <c r="B57" s="571" t="s">
        <v>372</v>
      </c>
      <c r="C57" s="572"/>
      <c r="D57" s="572"/>
      <c r="E57" s="135">
        <v>50</v>
      </c>
      <c r="F57" s="349">
        <f>+I15</f>
        <v>-2</v>
      </c>
    </row>
    <row r="58" spans="1:6" x14ac:dyDescent="0.25">
      <c r="A58" s="446"/>
      <c r="B58" s="571" t="s">
        <v>240</v>
      </c>
      <c r="C58" s="572"/>
      <c r="D58" s="572"/>
      <c r="E58" s="135">
        <v>58</v>
      </c>
      <c r="F58" s="349">
        <f>+I21</f>
        <v>-3</v>
      </c>
    </row>
    <row r="59" spans="1:6" x14ac:dyDescent="0.25">
      <c r="A59" s="446"/>
      <c r="B59" s="571" t="s">
        <v>241</v>
      </c>
      <c r="C59" s="572"/>
      <c r="D59" s="572"/>
      <c r="E59" s="135">
        <v>59</v>
      </c>
      <c r="F59" s="349">
        <f>+I22</f>
        <v>-3</v>
      </c>
    </row>
    <row r="60" spans="1:6" x14ac:dyDescent="0.25">
      <c r="A60" s="446"/>
      <c r="B60" s="571" t="s">
        <v>242</v>
      </c>
      <c r="C60" s="572"/>
      <c r="D60" s="572"/>
      <c r="E60" s="135">
        <v>61</v>
      </c>
      <c r="F60" s="349">
        <f>+I24</f>
        <v>-2</v>
      </c>
    </row>
    <row r="61" spans="1:6" x14ac:dyDescent="0.25">
      <c r="A61" s="446"/>
      <c r="B61" s="571" t="s">
        <v>243</v>
      </c>
      <c r="C61" s="572"/>
      <c r="D61" s="572"/>
      <c r="E61" s="135">
        <v>62</v>
      </c>
      <c r="F61" s="349">
        <f>+I25</f>
        <v>-2</v>
      </c>
    </row>
    <row r="62" spans="1:6" x14ac:dyDescent="0.25">
      <c r="A62" s="446"/>
      <c r="B62" s="571" t="s">
        <v>244</v>
      </c>
      <c r="C62" s="572"/>
      <c r="D62" s="572"/>
      <c r="E62" s="135">
        <v>63</v>
      </c>
      <c r="F62" s="349">
        <f>+I26</f>
        <v>-2</v>
      </c>
    </row>
    <row r="63" spans="1:6" x14ac:dyDescent="0.25">
      <c r="A63" s="446"/>
      <c r="B63" s="571" t="s">
        <v>245</v>
      </c>
      <c r="C63" s="572"/>
      <c r="D63" s="572"/>
      <c r="E63" s="135">
        <v>63</v>
      </c>
      <c r="F63" s="349">
        <f>+I26</f>
        <v>-2</v>
      </c>
    </row>
    <row r="64" spans="1:6" x14ac:dyDescent="0.25">
      <c r="A64" s="446"/>
      <c r="B64" s="571" t="s">
        <v>246</v>
      </c>
      <c r="C64" s="572"/>
      <c r="D64" s="572"/>
      <c r="E64" s="135">
        <v>66</v>
      </c>
      <c r="F64" s="349">
        <f>+I28</f>
        <v>-5</v>
      </c>
    </row>
    <row r="65" spans="1:7" x14ac:dyDescent="0.25">
      <c r="A65" s="446"/>
      <c r="B65" s="571" t="s">
        <v>247</v>
      </c>
      <c r="C65" s="572"/>
      <c r="D65" s="572"/>
      <c r="E65" s="158">
        <v>68</v>
      </c>
      <c r="F65" s="350">
        <f>+I29</f>
        <v>-1</v>
      </c>
    </row>
    <row r="66" spans="1:7" x14ac:dyDescent="0.25">
      <c r="A66" s="446"/>
      <c r="B66" s="571" t="s">
        <v>248</v>
      </c>
      <c r="C66" s="572"/>
      <c r="D66" s="572"/>
      <c r="E66" s="158">
        <v>70</v>
      </c>
      <c r="F66" s="350">
        <f>+I30</f>
        <v>-1</v>
      </c>
    </row>
    <row r="67" spans="1:7" ht="15.75" thickBot="1" x14ac:dyDescent="0.3">
      <c r="A67" s="446"/>
      <c r="B67" s="585" t="s">
        <v>249</v>
      </c>
      <c r="C67" s="586"/>
      <c r="D67" s="586"/>
      <c r="E67" s="162">
        <v>73</v>
      </c>
      <c r="F67" s="351">
        <f>+I31</f>
        <v>-1</v>
      </c>
    </row>
    <row r="68" spans="1:7" ht="15.75" thickBot="1" x14ac:dyDescent="0.3">
      <c r="B68" s="314" t="s">
        <v>65</v>
      </c>
      <c r="C68" s="315"/>
      <c r="D68" s="315"/>
      <c r="E68" s="315"/>
      <c r="F68" s="316"/>
    </row>
    <row r="69" spans="1:7" ht="15.75" thickBot="1" x14ac:dyDescent="0.3">
      <c r="B69" s="587" t="s">
        <v>385</v>
      </c>
      <c r="C69" s="588"/>
      <c r="D69" s="589"/>
      <c r="E69" s="157" t="s">
        <v>269</v>
      </c>
      <c r="F69" s="136" t="s">
        <v>272</v>
      </c>
    </row>
    <row r="70" spans="1:7" x14ac:dyDescent="0.25">
      <c r="B70" s="569" t="s">
        <v>371</v>
      </c>
      <c r="C70" s="570"/>
      <c r="D70" s="570"/>
      <c r="E70" s="139">
        <v>0</v>
      </c>
      <c r="F70" s="155"/>
    </row>
    <row r="71" spans="1:7" x14ac:dyDescent="0.25">
      <c r="B71" s="571" t="s">
        <v>372</v>
      </c>
      <c r="C71" s="572"/>
      <c r="D71" s="572"/>
      <c r="E71" s="135">
        <v>0</v>
      </c>
      <c r="F71" s="153"/>
    </row>
    <row r="72" spans="1:7" x14ac:dyDescent="0.25">
      <c r="B72" s="571" t="s">
        <v>240</v>
      </c>
      <c r="C72" s="572"/>
      <c r="D72" s="572"/>
      <c r="E72" s="135">
        <v>0</v>
      </c>
      <c r="F72" s="153"/>
    </row>
    <row r="73" spans="1:7" x14ac:dyDescent="0.25">
      <c r="B73" s="571" t="s">
        <v>241</v>
      </c>
      <c r="C73" s="572"/>
      <c r="D73" s="572"/>
      <c r="E73" s="135">
        <v>0</v>
      </c>
      <c r="F73" s="153"/>
    </row>
    <row r="74" spans="1:7" x14ac:dyDescent="0.25">
      <c r="B74" s="571" t="s">
        <v>242</v>
      </c>
      <c r="C74" s="572"/>
      <c r="D74" s="572"/>
      <c r="E74" s="135">
        <v>0</v>
      </c>
      <c r="F74" s="153"/>
    </row>
    <row r="75" spans="1:7" x14ac:dyDescent="0.25">
      <c r="B75" s="571" t="s">
        <v>243</v>
      </c>
      <c r="C75" s="572"/>
      <c r="D75" s="572"/>
      <c r="E75" s="135">
        <v>0</v>
      </c>
      <c r="F75" s="153"/>
    </row>
    <row r="76" spans="1:7" x14ac:dyDescent="0.25">
      <c r="B76" s="571" t="s">
        <v>244</v>
      </c>
      <c r="C76" s="572"/>
      <c r="D76" s="572"/>
      <c r="E76" s="135">
        <v>0</v>
      </c>
      <c r="F76" s="153"/>
    </row>
    <row r="77" spans="1:7" x14ac:dyDescent="0.25">
      <c r="B77" s="571" t="s">
        <v>245</v>
      </c>
      <c r="C77" s="572"/>
      <c r="D77" s="572"/>
      <c r="E77" s="135">
        <v>0</v>
      </c>
      <c r="F77" s="153"/>
    </row>
    <row r="78" spans="1:7" x14ac:dyDescent="0.25">
      <c r="B78" s="571" t="s">
        <v>246</v>
      </c>
      <c r="C78" s="572"/>
      <c r="D78" s="572"/>
      <c r="E78" s="135">
        <v>0</v>
      </c>
      <c r="F78" s="153"/>
    </row>
    <row r="79" spans="1:7" x14ac:dyDescent="0.25">
      <c r="B79" s="571" t="s">
        <v>247</v>
      </c>
      <c r="C79" s="572"/>
      <c r="D79" s="572"/>
      <c r="E79" s="135">
        <v>0</v>
      </c>
      <c r="F79" s="149"/>
    </row>
    <row r="80" spans="1:7" x14ac:dyDescent="0.25">
      <c r="B80" s="571" t="s">
        <v>248</v>
      </c>
      <c r="C80" s="572"/>
      <c r="D80" s="572"/>
      <c r="E80" s="135">
        <v>0</v>
      </c>
      <c r="F80" s="149"/>
      <c r="G80" s="170"/>
    </row>
    <row r="81" spans="1:9" ht="15.75" thickBot="1" x14ac:dyDescent="0.3">
      <c r="B81" s="585" t="s">
        <v>249</v>
      </c>
      <c r="C81" s="586"/>
      <c r="D81" s="586"/>
      <c r="E81" s="140">
        <v>0</v>
      </c>
      <c r="F81" s="150"/>
      <c r="G81" s="170"/>
    </row>
    <row r="82" spans="1:9" ht="21.75" thickBot="1" x14ac:dyDescent="0.3">
      <c r="B82" s="551" t="s">
        <v>276</v>
      </c>
      <c r="C82" s="552"/>
      <c r="D82" s="552"/>
      <c r="E82" s="552"/>
      <c r="F82" s="553"/>
    </row>
    <row r="83" spans="1:9" ht="15.75" thickBot="1" x14ac:dyDescent="0.3">
      <c r="B83" s="592" t="s">
        <v>9</v>
      </c>
      <c r="C83" s="593"/>
      <c r="D83" s="593"/>
      <c r="E83" s="593"/>
      <c r="F83" s="594"/>
    </row>
    <row r="84" spans="1:9" ht="15" customHeight="1" thickBot="1" x14ac:dyDescent="0.3">
      <c r="B84" s="154" t="s">
        <v>385</v>
      </c>
      <c r="C84" s="353" t="s">
        <v>269</v>
      </c>
      <c r="D84" s="354" t="s">
        <v>272</v>
      </c>
      <c r="E84" s="355" t="s">
        <v>273</v>
      </c>
      <c r="F84" s="356" t="s">
        <v>272</v>
      </c>
    </row>
    <row r="85" spans="1:9" ht="15.75" customHeight="1" x14ac:dyDescent="0.25">
      <c r="A85" s="446"/>
      <c r="B85" s="163" t="s">
        <v>371</v>
      </c>
      <c r="C85" s="171">
        <v>13</v>
      </c>
      <c r="D85" s="359">
        <f>+L5</f>
        <v>-10</v>
      </c>
      <c r="E85" s="171">
        <v>13</v>
      </c>
      <c r="F85" s="172">
        <f>+$M$5</f>
        <v>-5</v>
      </c>
    </row>
    <row r="86" spans="1:9" x14ac:dyDescent="0.25">
      <c r="A86" s="446"/>
      <c r="B86" s="164" t="s">
        <v>372</v>
      </c>
      <c r="C86" s="169">
        <v>13</v>
      </c>
      <c r="D86" s="360">
        <f>+$L$5</f>
        <v>-10</v>
      </c>
      <c r="E86" s="169">
        <v>13</v>
      </c>
      <c r="F86" s="148">
        <f t="shared" ref="F86:F89" si="1">+$M$5</f>
        <v>-5</v>
      </c>
    </row>
    <row r="87" spans="1:9" x14ac:dyDescent="0.25">
      <c r="A87" s="446"/>
      <c r="B87" s="164" t="s">
        <v>240</v>
      </c>
      <c r="C87" s="135">
        <v>13</v>
      </c>
      <c r="D87" s="360">
        <f t="shared" ref="D87:D88" si="2">+$L$5</f>
        <v>-10</v>
      </c>
      <c r="E87" s="135">
        <v>13</v>
      </c>
      <c r="F87" s="148">
        <f t="shared" si="1"/>
        <v>-5</v>
      </c>
    </row>
    <row r="88" spans="1:9" x14ac:dyDescent="0.25">
      <c r="A88" s="446"/>
      <c r="B88" s="164" t="s">
        <v>241</v>
      </c>
      <c r="C88" s="135">
        <v>13</v>
      </c>
      <c r="D88" s="360">
        <f t="shared" si="2"/>
        <v>-10</v>
      </c>
      <c r="E88" s="135">
        <v>13</v>
      </c>
      <c r="F88" s="148">
        <f t="shared" si="1"/>
        <v>-5</v>
      </c>
      <c r="H88" s="317"/>
      <c r="I88" s="317"/>
    </row>
    <row r="89" spans="1:9" x14ac:dyDescent="0.25">
      <c r="A89" s="446"/>
      <c r="B89" s="164" t="s">
        <v>242</v>
      </c>
      <c r="C89" s="135">
        <v>13</v>
      </c>
      <c r="D89" s="360">
        <f>+L5</f>
        <v>-10</v>
      </c>
      <c r="E89" s="135">
        <v>13</v>
      </c>
      <c r="F89" s="148">
        <f t="shared" si="1"/>
        <v>-5</v>
      </c>
    </row>
    <row r="90" spans="1:9" x14ac:dyDescent="0.25">
      <c r="A90" s="446"/>
      <c r="B90" s="164" t="s">
        <v>243</v>
      </c>
      <c r="C90" s="135">
        <v>15</v>
      </c>
      <c r="D90" s="360">
        <f>+$L$6</f>
        <v>-14</v>
      </c>
      <c r="E90" s="135">
        <v>15</v>
      </c>
      <c r="F90" s="153">
        <f>+$M$6</f>
        <v>-7</v>
      </c>
    </row>
    <row r="91" spans="1:9" x14ac:dyDescent="0.25">
      <c r="A91" s="446"/>
      <c r="B91" s="164" t="s">
        <v>244</v>
      </c>
      <c r="C91" s="135">
        <v>15</v>
      </c>
      <c r="D91" s="360">
        <f t="shared" ref="D91:D96" si="3">+$L$6</f>
        <v>-14</v>
      </c>
      <c r="E91" s="135">
        <v>15</v>
      </c>
      <c r="F91" s="153">
        <f t="shared" ref="F91:F96" si="4">+$M$6</f>
        <v>-7</v>
      </c>
    </row>
    <row r="92" spans="1:9" x14ac:dyDescent="0.25">
      <c r="A92" s="446"/>
      <c r="B92" s="164" t="s">
        <v>245</v>
      </c>
      <c r="C92" s="135">
        <v>15</v>
      </c>
      <c r="D92" s="360">
        <f t="shared" si="3"/>
        <v>-14</v>
      </c>
      <c r="E92" s="135">
        <v>15</v>
      </c>
      <c r="F92" s="153">
        <f t="shared" si="4"/>
        <v>-7</v>
      </c>
    </row>
    <row r="93" spans="1:9" x14ac:dyDescent="0.25">
      <c r="A93" s="446"/>
      <c r="B93" s="164" t="s">
        <v>246</v>
      </c>
      <c r="C93" s="158">
        <v>15</v>
      </c>
      <c r="D93" s="360">
        <f t="shared" si="3"/>
        <v>-14</v>
      </c>
      <c r="E93" s="158">
        <v>15</v>
      </c>
      <c r="F93" s="153">
        <f t="shared" si="4"/>
        <v>-7</v>
      </c>
    </row>
    <row r="94" spans="1:9" x14ac:dyDescent="0.25">
      <c r="A94" s="446"/>
      <c r="B94" s="164" t="s">
        <v>247</v>
      </c>
      <c r="C94" s="158">
        <v>15</v>
      </c>
      <c r="D94" s="360">
        <f t="shared" si="3"/>
        <v>-14</v>
      </c>
      <c r="E94" s="158">
        <v>15</v>
      </c>
      <c r="F94" s="153">
        <f t="shared" si="4"/>
        <v>-7</v>
      </c>
    </row>
    <row r="95" spans="1:9" x14ac:dyDescent="0.25">
      <c r="A95" s="446"/>
      <c r="B95" s="164" t="s">
        <v>248</v>
      </c>
      <c r="C95" s="158">
        <v>15</v>
      </c>
      <c r="D95" s="360">
        <f t="shared" si="3"/>
        <v>-14</v>
      </c>
      <c r="E95" s="158">
        <v>15</v>
      </c>
      <c r="F95" s="153">
        <f t="shared" si="4"/>
        <v>-7</v>
      </c>
    </row>
    <row r="96" spans="1:9" ht="15.75" thickBot="1" x14ac:dyDescent="0.3">
      <c r="A96" s="446"/>
      <c r="B96" s="283" t="s">
        <v>249</v>
      </c>
      <c r="C96" s="162">
        <v>15</v>
      </c>
      <c r="D96" s="361">
        <f t="shared" si="3"/>
        <v>-14</v>
      </c>
      <c r="E96" s="162">
        <v>15</v>
      </c>
      <c r="F96" s="156">
        <f t="shared" si="4"/>
        <v>-7</v>
      </c>
    </row>
    <row r="97" spans="1:10" ht="15.75" thickBot="1" x14ac:dyDescent="0.3">
      <c r="B97" s="595" t="s">
        <v>63</v>
      </c>
      <c r="C97" s="596"/>
      <c r="D97" s="596"/>
      <c r="E97" s="596"/>
      <c r="F97" s="597"/>
    </row>
    <row r="98" spans="1:10" ht="15.75" thickBot="1" x14ac:dyDescent="0.3">
      <c r="B98" s="598" t="s">
        <v>385</v>
      </c>
      <c r="C98" s="599"/>
      <c r="D98" s="600"/>
      <c r="E98" s="168" t="s">
        <v>269</v>
      </c>
      <c r="F98" s="352" t="s">
        <v>272</v>
      </c>
    </row>
    <row r="99" spans="1:10" x14ac:dyDescent="0.25">
      <c r="A99" s="446"/>
      <c r="B99" s="590" t="s">
        <v>371</v>
      </c>
      <c r="C99" s="591"/>
      <c r="D99" s="591"/>
      <c r="E99" s="171">
        <v>13</v>
      </c>
      <c r="F99" s="357">
        <f>+$L$5</f>
        <v>-10</v>
      </c>
    </row>
    <row r="100" spans="1:10" x14ac:dyDescent="0.25">
      <c r="A100" s="446"/>
      <c r="B100" s="571" t="s">
        <v>372</v>
      </c>
      <c r="C100" s="572"/>
      <c r="D100" s="572"/>
      <c r="E100" s="169">
        <v>13</v>
      </c>
      <c r="F100" s="358">
        <f t="shared" ref="F100:F103" si="5">+$L$5</f>
        <v>-10</v>
      </c>
    </row>
    <row r="101" spans="1:10" x14ac:dyDescent="0.25">
      <c r="A101" s="446"/>
      <c r="B101" s="571" t="s">
        <v>240</v>
      </c>
      <c r="C101" s="572"/>
      <c r="D101" s="572"/>
      <c r="E101" s="135">
        <v>13</v>
      </c>
      <c r="F101" s="358">
        <f t="shared" si="5"/>
        <v>-10</v>
      </c>
    </row>
    <row r="102" spans="1:10" x14ac:dyDescent="0.25">
      <c r="A102" s="446"/>
      <c r="B102" s="571" t="s">
        <v>241</v>
      </c>
      <c r="C102" s="572"/>
      <c r="D102" s="572"/>
      <c r="E102" s="135">
        <v>13</v>
      </c>
      <c r="F102" s="358">
        <f t="shared" si="5"/>
        <v>-10</v>
      </c>
    </row>
    <row r="103" spans="1:10" x14ac:dyDescent="0.25">
      <c r="A103" s="446"/>
      <c r="B103" s="571" t="s">
        <v>242</v>
      </c>
      <c r="C103" s="572"/>
      <c r="D103" s="572"/>
      <c r="E103" s="135">
        <v>13</v>
      </c>
      <c r="F103" s="358">
        <f t="shared" si="5"/>
        <v>-10</v>
      </c>
    </row>
    <row r="104" spans="1:10" x14ac:dyDescent="0.25">
      <c r="A104" s="446"/>
      <c r="B104" s="571" t="s">
        <v>243</v>
      </c>
      <c r="C104" s="572"/>
      <c r="D104" s="572"/>
      <c r="E104" s="135">
        <v>15</v>
      </c>
      <c r="F104" s="341">
        <f>+$L$6</f>
        <v>-14</v>
      </c>
    </row>
    <row r="105" spans="1:10" x14ac:dyDescent="0.25">
      <c r="A105" s="446"/>
      <c r="B105" s="571" t="s">
        <v>244</v>
      </c>
      <c r="C105" s="572"/>
      <c r="D105" s="572"/>
      <c r="E105" s="135">
        <v>15</v>
      </c>
      <c r="F105" s="341">
        <f t="shared" ref="F105:F110" si="6">+$L$6</f>
        <v>-14</v>
      </c>
    </row>
    <row r="106" spans="1:10" x14ac:dyDescent="0.25">
      <c r="A106" s="446"/>
      <c r="B106" s="571" t="s">
        <v>245</v>
      </c>
      <c r="C106" s="572"/>
      <c r="D106" s="572"/>
      <c r="E106" s="135">
        <v>15</v>
      </c>
      <c r="F106" s="341">
        <f t="shared" si="6"/>
        <v>-14</v>
      </c>
    </row>
    <row r="107" spans="1:10" x14ac:dyDescent="0.25">
      <c r="A107" s="446"/>
      <c r="B107" s="571" t="s">
        <v>246</v>
      </c>
      <c r="C107" s="572"/>
      <c r="D107" s="572"/>
      <c r="E107" s="158">
        <v>15</v>
      </c>
      <c r="F107" s="341">
        <f t="shared" si="6"/>
        <v>-14</v>
      </c>
    </row>
    <row r="108" spans="1:10" x14ac:dyDescent="0.25">
      <c r="A108" s="446"/>
      <c r="B108" s="571" t="s">
        <v>247</v>
      </c>
      <c r="C108" s="572"/>
      <c r="D108" s="572"/>
      <c r="E108" s="158">
        <v>15</v>
      </c>
      <c r="F108" s="341">
        <f t="shared" si="6"/>
        <v>-14</v>
      </c>
      <c r="J108" s="176"/>
    </row>
    <row r="109" spans="1:10" x14ac:dyDescent="0.25">
      <c r="A109" s="446"/>
      <c r="B109" s="571" t="s">
        <v>248</v>
      </c>
      <c r="C109" s="572"/>
      <c r="D109" s="572"/>
      <c r="E109" s="158">
        <v>15</v>
      </c>
      <c r="F109" s="341">
        <f t="shared" si="6"/>
        <v>-14</v>
      </c>
    </row>
    <row r="110" spans="1:10" ht="15.75" thickBot="1" x14ac:dyDescent="0.3">
      <c r="A110" s="446"/>
      <c r="B110" s="601" t="s">
        <v>249</v>
      </c>
      <c r="C110" s="602"/>
      <c r="D110" s="602"/>
      <c r="E110" s="162">
        <v>15</v>
      </c>
      <c r="F110" s="346">
        <f t="shared" si="6"/>
        <v>-14</v>
      </c>
    </row>
    <row r="111" spans="1:10" ht="21.75" thickBot="1" x14ac:dyDescent="0.3">
      <c r="B111" s="603" t="s">
        <v>277</v>
      </c>
      <c r="C111" s="604"/>
      <c r="D111" s="604"/>
      <c r="E111" s="604"/>
      <c r="F111" s="605"/>
    </row>
    <row r="112" spans="1:10" ht="15.75" thickBot="1" x14ac:dyDescent="0.3">
      <c r="B112" s="319" t="s">
        <v>43</v>
      </c>
      <c r="C112" s="320"/>
      <c r="D112" s="320"/>
      <c r="E112" s="320"/>
      <c r="F112" s="321"/>
    </row>
    <row r="113" spans="1:6" ht="15.75" thickBot="1" x14ac:dyDescent="0.3">
      <c r="B113" s="362" t="s">
        <v>385</v>
      </c>
      <c r="C113" s="131" t="s">
        <v>269</v>
      </c>
      <c r="D113" s="175" t="s">
        <v>272</v>
      </c>
      <c r="E113" s="144" t="s">
        <v>273</v>
      </c>
      <c r="F113" s="132" t="s">
        <v>272</v>
      </c>
    </row>
    <row r="114" spans="1:6" x14ac:dyDescent="0.25">
      <c r="A114" s="446"/>
      <c r="B114" s="174" t="s">
        <v>371</v>
      </c>
      <c r="C114" s="173">
        <v>13</v>
      </c>
      <c r="D114" s="5">
        <f>+O5</f>
        <v>-4</v>
      </c>
      <c r="E114" s="173">
        <v>13</v>
      </c>
      <c r="F114" s="6">
        <f>+$P$5</f>
        <v>-2</v>
      </c>
    </row>
    <row r="115" spans="1:6" x14ac:dyDescent="0.25">
      <c r="A115" s="446"/>
      <c r="B115" s="164" t="s">
        <v>372</v>
      </c>
      <c r="C115" s="169">
        <v>13</v>
      </c>
      <c r="D115" s="147">
        <f>+O5</f>
        <v>-4</v>
      </c>
      <c r="E115" s="169">
        <v>13</v>
      </c>
      <c r="F115" s="6">
        <f t="shared" ref="F115" si="7">+$P$5</f>
        <v>-2</v>
      </c>
    </row>
    <row r="116" spans="1:6" x14ac:dyDescent="0.25">
      <c r="A116" s="446"/>
      <c r="B116" s="164" t="s">
        <v>240</v>
      </c>
      <c r="C116" s="135">
        <v>15</v>
      </c>
      <c r="D116" s="147">
        <f>+$O$6</f>
        <v>-6</v>
      </c>
      <c r="E116" s="135">
        <v>15</v>
      </c>
      <c r="F116" s="6">
        <f>+$P$6</f>
        <v>-3</v>
      </c>
    </row>
    <row r="117" spans="1:6" x14ac:dyDescent="0.25">
      <c r="A117" s="446"/>
      <c r="B117" s="164" t="s">
        <v>241</v>
      </c>
      <c r="C117" s="135">
        <v>15</v>
      </c>
      <c r="D117" s="147">
        <f t="shared" ref="D117:D118" si="8">+$O$6</f>
        <v>-6</v>
      </c>
      <c r="E117" s="135">
        <v>15</v>
      </c>
      <c r="F117" s="6">
        <f t="shared" ref="F117:F118" si="9">+$P$6</f>
        <v>-3</v>
      </c>
    </row>
    <row r="118" spans="1:6" x14ac:dyDescent="0.25">
      <c r="A118" s="446"/>
      <c r="B118" s="164" t="s">
        <v>242</v>
      </c>
      <c r="C118" s="135">
        <v>15</v>
      </c>
      <c r="D118" s="147">
        <f t="shared" si="8"/>
        <v>-6</v>
      </c>
      <c r="E118" s="135">
        <v>15</v>
      </c>
      <c r="F118" s="6">
        <f t="shared" si="9"/>
        <v>-3</v>
      </c>
    </row>
    <row r="119" spans="1:6" x14ac:dyDescent="0.25">
      <c r="A119" s="446"/>
      <c r="B119" s="164" t="s">
        <v>243</v>
      </c>
      <c r="C119" s="135">
        <v>18</v>
      </c>
      <c r="D119" s="147">
        <f>+$O$7</f>
        <v>-4</v>
      </c>
      <c r="E119" s="135">
        <v>18</v>
      </c>
      <c r="F119" s="6">
        <f>+$P$7</f>
        <v>-2</v>
      </c>
    </row>
    <row r="120" spans="1:6" x14ac:dyDescent="0.25">
      <c r="A120" s="446"/>
      <c r="B120" s="164" t="s">
        <v>244</v>
      </c>
      <c r="C120" s="135">
        <v>18</v>
      </c>
      <c r="D120" s="147">
        <f>+$O$7</f>
        <v>-4</v>
      </c>
      <c r="E120" s="135">
        <v>18</v>
      </c>
      <c r="F120" s="6">
        <f t="shared" ref="F120" si="10">+$P$7</f>
        <v>-2</v>
      </c>
    </row>
    <row r="121" spans="1:6" x14ac:dyDescent="0.25">
      <c r="A121" s="446"/>
      <c r="B121" s="164" t="s">
        <v>245</v>
      </c>
      <c r="C121" s="135">
        <v>20</v>
      </c>
      <c r="D121" s="147">
        <f>+$O$8</f>
        <v>-10</v>
      </c>
      <c r="E121" s="135">
        <v>20</v>
      </c>
      <c r="F121" s="6">
        <f>+$P$8</f>
        <v>-5</v>
      </c>
    </row>
    <row r="122" spans="1:6" x14ac:dyDescent="0.25">
      <c r="A122" s="446"/>
      <c r="B122" s="164" t="s">
        <v>246</v>
      </c>
      <c r="C122" s="158">
        <v>20</v>
      </c>
      <c r="D122" s="147">
        <f t="shared" ref="D122:D125" si="11">+$O$8</f>
        <v>-10</v>
      </c>
      <c r="E122" s="158">
        <v>20</v>
      </c>
      <c r="F122" s="6">
        <f t="shared" ref="F122:F125" si="12">+$P$8</f>
        <v>-5</v>
      </c>
    </row>
    <row r="123" spans="1:6" x14ac:dyDescent="0.25">
      <c r="A123" s="446"/>
      <c r="B123" s="164" t="s">
        <v>247</v>
      </c>
      <c r="C123" s="158">
        <v>20</v>
      </c>
      <c r="D123" s="147">
        <f t="shared" si="11"/>
        <v>-10</v>
      </c>
      <c r="E123" s="158">
        <v>20</v>
      </c>
      <c r="F123" s="6">
        <f t="shared" si="12"/>
        <v>-5</v>
      </c>
    </row>
    <row r="124" spans="1:6" x14ac:dyDescent="0.25">
      <c r="A124" s="446"/>
      <c r="B124" s="164" t="s">
        <v>248</v>
      </c>
      <c r="C124" s="158">
        <v>20</v>
      </c>
      <c r="D124" s="147">
        <f t="shared" si="11"/>
        <v>-10</v>
      </c>
      <c r="E124" s="158">
        <v>20</v>
      </c>
      <c r="F124" s="6">
        <f t="shared" si="12"/>
        <v>-5</v>
      </c>
    </row>
    <row r="125" spans="1:6" ht="15.75" thickBot="1" x14ac:dyDescent="0.3">
      <c r="A125" s="446"/>
      <c r="B125" s="165" t="s">
        <v>249</v>
      </c>
      <c r="C125" s="162">
        <v>20</v>
      </c>
      <c r="D125" s="147">
        <f t="shared" si="11"/>
        <v>-10</v>
      </c>
      <c r="E125" s="162">
        <v>20</v>
      </c>
      <c r="F125" s="6">
        <f t="shared" si="12"/>
        <v>-5</v>
      </c>
    </row>
    <row r="126" spans="1:6" ht="15.75" thickBot="1" x14ac:dyDescent="0.3">
      <c r="B126" s="319" t="s">
        <v>415</v>
      </c>
      <c r="C126" s="320"/>
      <c r="D126" s="320"/>
      <c r="E126" s="320"/>
      <c r="F126" s="321"/>
    </row>
    <row r="127" spans="1:6" ht="15.75" thickBot="1" x14ac:dyDescent="0.3">
      <c r="B127" s="598" t="s">
        <v>385</v>
      </c>
      <c r="C127" s="599"/>
      <c r="D127" s="600"/>
      <c r="E127" s="157" t="s">
        <v>269</v>
      </c>
      <c r="F127" s="352" t="s">
        <v>272</v>
      </c>
    </row>
    <row r="128" spans="1:6" x14ac:dyDescent="0.25">
      <c r="A128" s="446"/>
      <c r="B128" s="590" t="s">
        <v>371</v>
      </c>
      <c r="C128" s="591"/>
      <c r="D128" s="591"/>
      <c r="E128" s="171">
        <v>13</v>
      </c>
      <c r="F128" s="172">
        <f>+$O$5</f>
        <v>-4</v>
      </c>
    </row>
    <row r="129" spans="1:17" x14ac:dyDescent="0.25">
      <c r="A129" s="446"/>
      <c r="B129" s="571" t="s">
        <v>372</v>
      </c>
      <c r="C129" s="572"/>
      <c r="D129" s="572"/>
      <c r="E129" s="169">
        <v>13</v>
      </c>
      <c r="F129" s="148">
        <f t="shared" ref="F129" si="13">+$O$5</f>
        <v>-4</v>
      </c>
    </row>
    <row r="130" spans="1:17" x14ac:dyDescent="0.25">
      <c r="A130" s="446"/>
      <c r="B130" s="571" t="s">
        <v>240</v>
      </c>
      <c r="C130" s="572"/>
      <c r="D130" s="572"/>
      <c r="E130" s="135">
        <v>15</v>
      </c>
      <c r="F130" s="148">
        <f>+$O$6</f>
        <v>-6</v>
      </c>
    </row>
    <row r="131" spans="1:17" x14ac:dyDescent="0.25">
      <c r="A131" s="446"/>
      <c r="B131" s="571" t="s">
        <v>241</v>
      </c>
      <c r="C131" s="572"/>
      <c r="D131" s="572"/>
      <c r="E131" s="135">
        <v>15</v>
      </c>
      <c r="F131" s="148">
        <f t="shared" ref="F131:F132" si="14">+$O$6</f>
        <v>-6</v>
      </c>
    </row>
    <row r="132" spans="1:17" x14ac:dyDescent="0.25">
      <c r="A132" s="446"/>
      <c r="B132" s="571" t="s">
        <v>242</v>
      </c>
      <c r="C132" s="572"/>
      <c r="D132" s="572"/>
      <c r="E132" s="135">
        <v>15</v>
      </c>
      <c r="F132" s="148">
        <f t="shared" si="14"/>
        <v>-6</v>
      </c>
    </row>
    <row r="133" spans="1:17" x14ac:dyDescent="0.25">
      <c r="A133" s="446"/>
      <c r="B133" s="571" t="s">
        <v>243</v>
      </c>
      <c r="C133" s="572"/>
      <c r="D133" s="572"/>
      <c r="E133" s="135">
        <v>18</v>
      </c>
      <c r="F133" s="148">
        <f>+$O$7</f>
        <v>-4</v>
      </c>
    </row>
    <row r="134" spans="1:17" x14ac:dyDescent="0.25">
      <c r="A134" s="446"/>
      <c r="B134" s="571" t="s">
        <v>244</v>
      </c>
      <c r="C134" s="572"/>
      <c r="D134" s="572"/>
      <c r="E134" s="135">
        <v>18</v>
      </c>
      <c r="F134" s="148">
        <f t="shared" ref="F134" si="15">+$O$7</f>
        <v>-4</v>
      </c>
      <c r="N134" s="176"/>
      <c r="Q134" s="176"/>
    </row>
    <row r="135" spans="1:17" x14ac:dyDescent="0.25">
      <c r="A135" s="446"/>
      <c r="B135" s="571" t="s">
        <v>245</v>
      </c>
      <c r="C135" s="572"/>
      <c r="D135" s="572"/>
      <c r="E135" s="135">
        <v>20</v>
      </c>
      <c r="F135" s="148">
        <f>+$O$8</f>
        <v>-10</v>
      </c>
    </row>
    <row r="136" spans="1:17" s="176" customFormat="1" ht="15.75" customHeight="1" x14ac:dyDescent="0.25">
      <c r="A136" s="450"/>
      <c r="B136" s="606" t="s">
        <v>246</v>
      </c>
      <c r="C136" s="607"/>
      <c r="D136" s="608"/>
      <c r="E136" s="158">
        <v>20</v>
      </c>
      <c r="F136" s="148">
        <f t="shared" ref="F136:F139" si="16">+$O$8</f>
        <v>-10</v>
      </c>
      <c r="H136" s="15"/>
      <c r="I136" s="15"/>
      <c r="J136"/>
      <c r="N136"/>
      <c r="Q136"/>
    </row>
    <row r="137" spans="1:17" x14ac:dyDescent="0.25">
      <c r="A137" s="446"/>
      <c r="B137" s="609" t="s">
        <v>247</v>
      </c>
      <c r="C137" s="610"/>
      <c r="D137" s="611"/>
      <c r="E137" s="158">
        <v>20</v>
      </c>
      <c r="F137" s="148">
        <f t="shared" si="16"/>
        <v>-10</v>
      </c>
    </row>
    <row r="138" spans="1:17" x14ac:dyDescent="0.25">
      <c r="A138" s="446"/>
      <c r="B138" s="606" t="s">
        <v>248</v>
      </c>
      <c r="C138" s="607"/>
      <c r="D138" s="608"/>
      <c r="E138" s="158">
        <v>20</v>
      </c>
      <c r="F138" s="148">
        <f t="shared" si="16"/>
        <v>-10</v>
      </c>
    </row>
    <row r="139" spans="1:17" ht="15.75" thickBot="1" x14ac:dyDescent="0.3">
      <c r="A139" s="446"/>
      <c r="B139" s="601" t="s">
        <v>249</v>
      </c>
      <c r="C139" s="602"/>
      <c r="D139" s="602"/>
      <c r="E139" s="162">
        <v>20</v>
      </c>
      <c r="F139" s="363">
        <f t="shared" si="16"/>
        <v>-10</v>
      </c>
    </row>
    <row r="140" spans="1:17" ht="21.75" thickBot="1" x14ac:dyDescent="0.3">
      <c r="B140" s="551" t="s">
        <v>278</v>
      </c>
      <c r="C140" s="552"/>
      <c r="D140" s="552"/>
      <c r="E140" s="552"/>
      <c r="F140" s="553"/>
    </row>
    <row r="141" spans="1:17" ht="15.75" customHeight="1" thickBot="1" x14ac:dyDescent="0.3">
      <c r="B141" s="454" t="s">
        <v>104</v>
      </c>
      <c r="C141" s="455" t="s">
        <v>416</v>
      </c>
      <c r="D141" s="455"/>
      <c r="E141" s="455"/>
      <c r="F141" s="456"/>
    </row>
    <row r="142" spans="1:17" ht="15.75" thickBot="1" x14ac:dyDescent="0.3">
      <c r="B142" s="598" t="s">
        <v>385</v>
      </c>
      <c r="C142" s="599"/>
      <c r="D142" s="600"/>
      <c r="E142" s="131" t="s">
        <v>269</v>
      </c>
      <c r="F142" s="451" t="s">
        <v>272</v>
      </c>
    </row>
    <row r="143" spans="1:17" x14ac:dyDescent="0.25">
      <c r="A143" s="446"/>
      <c r="B143" s="590" t="s">
        <v>371</v>
      </c>
      <c r="C143" s="591"/>
      <c r="D143" s="591"/>
      <c r="E143" s="173">
        <v>10</v>
      </c>
      <c r="F143" s="5">
        <f>+$R$5</f>
        <v>0</v>
      </c>
    </row>
    <row r="144" spans="1:17" x14ac:dyDescent="0.25">
      <c r="A144" s="446"/>
      <c r="B144" s="571" t="s">
        <v>372</v>
      </c>
      <c r="C144" s="572"/>
      <c r="D144" s="572"/>
      <c r="E144" s="169">
        <v>10</v>
      </c>
      <c r="F144" s="147">
        <f t="shared" ref="F144:F145" si="17">+$R$5</f>
        <v>0</v>
      </c>
    </row>
    <row r="145" spans="1:6" x14ac:dyDescent="0.25">
      <c r="A145" s="446"/>
      <c r="B145" s="571" t="s">
        <v>240</v>
      </c>
      <c r="C145" s="572"/>
      <c r="D145" s="572"/>
      <c r="E145" s="135">
        <v>10</v>
      </c>
      <c r="F145" s="147">
        <f t="shared" si="17"/>
        <v>0</v>
      </c>
    </row>
    <row r="146" spans="1:6" x14ac:dyDescent="0.25">
      <c r="A146" s="446"/>
      <c r="B146" s="571" t="s">
        <v>241</v>
      </c>
      <c r="C146" s="572"/>
      <c r="D146" s="572"/>
      <c r="E146" s="135">
        <v>12</v>
      </c>
      <c r="F146" s="147">
        <f>+$R$6</f>
        <v>-10</v>
      </c>
    </row>
    <row r="147" spans="1:6" ht="15" customHeight="1" x14ac:dyDescent="0.25">
      <c r="A147" s="446"/>
      <c r="B147" s="571" t="s">
        <v>242</v>
      </c>
      <c r="C147" s="572"/>
      <c r="D147" s="572"/>
      <c r="E147" s="135">
        <v>12</v>
      </c>
      <c r="F147" s="147">
        <f t="shared" ref="F147:F148" si="18">+$R$6</f>
        <v>-10</v>
      </c>
    </row>
    <row r="148" spans="1:6" x14ac:dyDescent="0.25">
      <c r="A148" s="446"/>
      <c r="B148" s="571" t="s">
        <v>243</v>
      </c>
      <c r="C148" s="572"/>
      <c r="D148" s="572"/>
      <c r="E148" s="135">
        <v>12</v>
      </c>
      <c r="F148" s="147">
        <f t="shared" si="18"/>
        <v>-10</v>
      </c>
    </row>
    <row r="149" spans="1:6" x14ac:dyDescent="0.25">
      <c r="A149" s="446"/>
      <c r="B149" s="571" t="s">
        <v>244</v>
      </c>
      <c r="C149" s="572"/>
      <c r="D149" s="572"/>
      <c r="E149" s="135">
        <v>13</v>
      </c>
      <c r="F149" s="147">
        <f>+$R$7</f>
        <v>-8</v>
      </c>
    </row>
    <row r="150" spans="1:6" x14ac:dyDescent="0.25">
      <c r="A150" s="446"/>
      <c r="B150" s="571" t="s">
        <v>245</v>
      </c>
      <c r="C150" s="572"/>
      <c r="D150" s="572"/>
      <c r="E150" s="135">
        <v>13</v>
      </c>
      <c r="F150" s="147">
        <f t="shared" ref="F150" si="19">+$R$7</f>
        <v>-8</v>
      </c>
    </row>
    <row r="151" spans="1:6" x14ac:dyDescent="0.25">
      <c r="A151" s="446"/>
      <c r="B151" s="606" t="s">
        <v>246</v>
      </c>
      <c r="C151" s="607"/>
      <c r="D151" s="608"/>
      <c r="E151" s="158">
        <v>14</v>
      </c>
      <c r="F151" s="147">
        <f>+$R$8</f>
        <v>-12</v>
      </c>
    </row>
    <row r="152" spans="1:6" x14ac:dyDescent="0.25">
      <c r="A152" s="446"/>
      <c r="B152" s="606" t="s">
        <v>247</v>
      </c>
      <c r="C152" s="607"/>
      <c r="D152" s="608"/>
      <c r="E152" s="158">
        <v>14</v>
      </c>
      <c r="F152" s="147">
        <f t="shared" ref="F152:F153" si="20">+$R$8</f>
        <v>-12</v>
      </c>
    </row>
    <row r="153" spans="1:6" x14ac:dyDescent="0.25">
      <c r="A153" s="446"/>
      <c r="B153" s="606" t="s">
        <v>248</v>
      </c>
      <c r="C153" s="607"/>
      <c r="D153" s="608"/>
      <c r="E153" s="158">
        <v>14</v>
      </c>
      <c r="F153" s="147">
        <f t="shared" si="20"/>
        <v>-12</v>
      </c>
    </row>
    <row r="154" spans="1:6" ht="15.75" thickBot="1" x14ac:dyDescent="0.3">
      <c r="A154" s="446"/>
      <c r="B154" s="612" t="s">
        <v>249</v>
      </c>
      <c r="C154" s="613"/>
      <c r="D154" s="614"/>
      <c r="E154" s="162">
        <v>14</v>
      </c>
      <c r="F154" s="147">
        <f>+$R$8</f>
        <v>-12</v>
      </c>
    </row>
    <row r="155" spans="1:6" ht="15.75" thickBot="1" x14ac:dyDescent="0.3">
      <c r="B155" s="454" t="s">
        <v>104</v>
      </c>
      <c r="C155" s="320" t="s">
        <v>417</v>
      </c>
      <c r="D155" s="320"/>
      <c r="E155" s="320"/>
      <c r="F155" s="321"/>
    </row>
    <row r="156" spans="1:6" ht="15.75" thickBot="1" x14ac:dyDescent="0.3">
      <c r="B156" s="598" t="s">
        <v>385</v>
      </c>
      <c r="C156" s="599"/>
      <c r="D156" s="600"/>
      <c r="E156" s="157" t="s">
        <v>269</v>
      </c>
      <c r="F156" s="352" t="s">
        <v>272</v>
      </c>
    </row>
    <row r="157" spans="1:6" x14ac:dyDescent="0.25">
      <c r="A157" s="446"/>
      <c r="B157" s="590" t="s">
        <v>371</v>
      </c>
      <c r="C157" s="591"/>
      <c r="D157" s="591"/>
      <c r="E157" s="171">
        <v>12</v>
      </c>
      <c r="F157" s="172">
        <f>+$R$6</f>
        <v>-10</v>
      </c>
    </row>
    <row r="158" spans="1:6" x14ac:dyDescent="0.25">
      <c r="A158" s="446"/>
      <c r="B158" s="571" t="s">
        <v>372</v>
      </c>
      <c r="C158" s="572"/>
      <c r="D158" s="572"/>
      <c r="E158" s="169">
        <v>12</v>
      </c>
      <c r="F158" s="148">
        <f t="shared" ref="F158" si="21">+$R$6</f>
        <v>-10</v>
      </c>
    </row>
    <row r="159" spans="1:6" x14ac:dyDescent="0.25">
      <c r="A159" s="446"/>
      <c r="B159" s="571" t="s">
        <v>240</v>
      </c>
      <c r="C159" s="572"/>
      <c r="D159" s="572"/>
      <c r="E159" s="135">
        <v>13</v>
      </c>
      <c r="F159" s="148">
        <f>+$R$7</f>
        <v>-8</v>
      </c>
    </row>
    <row r="160" spans="1:6" x14ac:dyDescent="0.25">
      <c r="A160" s="446"/>
      <c r="B160" s="571" t="s">
        <v>241</v>
      </c>
      <c r="C160" s="572"/>
      <c r="D160" s="572"/>
      <c r="E160" s="135">
        <v>13</v>
      </c>
      <c r="F160" s="148">
        <f t="shared" ref="F160" si="22">+$R$7</f>
        <v>-8</v>
      </c>
    </row>
    <row r="161" spans="1:6" x14ac:dyDescent="0.25">
      <c r="A161" s="446"/>
      <c r="B161" s="571" t="s">
        <v>242</v>
      </c>
      <c r="C161" s="572"/>
      <c r="D161" s="572"/>
      <c r="E161" s="135">
        <v>14</v>
      </c>
      <c r="F161" s="148">
        <f>+$R$8</f>
        <v>-12</v>
      </c>
    </row>
    <row r="162" spans="1:6" x14ac:dyDescent="0.25">
      <c r="A162" s="446"/>
      <c r="B162" s="571" t="s">
        <v>243</v>
      </c>
      <c r="C162" s="572"/>
      <c r="D162" s="572"/>
      <c r="E162" s="135">
        <v>14</v>
      </c>
      <c r="F162" s="148">
        <f t="shared" ref="F162" si="23">+$R$8</f>
        <v>-12</v>
      </c>
    </row>
    <row r="163" spans="1:6" x14ac:dyDescent="0.25">
      <c r="A163" s="446"/>
      <c r="B163" s="571" t="s">
        <v>244</v>
      </c>
      <c r="C163" s="572"/>
      <c r="D163" s="572"/>
      <c r="E163" s="135">
        <v>15</v>
      </c>
      <c r="F163" s="148">
        <f>+$R$9</f>
        <v>-10</v>
      </c>
    </row>
    <row r="164" spans="1:6" x14ac:dyDescent="0.25">
      <c r="A164" s="446"/>
      <c r="B164" s="571" t="s">
        <v>245</v>
      </c>
      <c r="C164" s="572"/>
      <c r="D164" s="572"/>
      <c r="E164" s="135">
        <v>15</v>
      </c>
      <c r="F164" s="148">
        <f t="shared" ref="F164:F167" si="24">+$R$9</f>
        <v>-10</v>
      </c>
    </row>
    <row r="165" spans="1:6" x14ac:dyDescent="0.25">
      <c r="A165" s="446"/>
      <c r="B165" s="606" t="s">
        <v>246</v>
      </c>
      <c r="C165" s="607"/>
      <c r="D165" s="608"/>
      <c r="E165" s="158">
        <v>15</v>
      </c>
      <c r="F165" s="148">
        <f t="shared" si="24"/>
        <v>-10</v>
      </c>
    </row>
    <row r="166" spans="1:6" x14ac:dyDescent="0.25">
      <c r="A166" s="446"/>
      <c r="B166" s="606" t="s">
        <v>247</v>
      </c>
      <c r="C166" s="607"/>
      <c r="D166" s="608"/>
      <c r="E166" s="158">
        <v>15</v>
      </c>
      <c r="F166" s="148">
        <f t="shared" si="24"/>
        <v>-10</v>
      </c>
    </row>
    <row r="167" spans="1:6" x14ac:dyDescent="0.25">
      <c r="A167" s="446"/>
      <c r="B167" s="606" t="s">
        <v>248</v>
      </c>
      <c r="C167" s="607"/>
      <c r="D167" s="608"/>
      <c r="E167" s="158">
        <v>15</v>
      </c>
      <c r="F167" s="148">
        <f t="shared" si="24"/>
        <v>-10</v>
      </c>
    </row>
    <row r="168" spans="1:6" ht="15.75" thickBot="1" x14ac:dyDescent="0.3">
      <c r="A168" s="446"/>
      <c r="B168" s="601" t="s">
        <v>249</v>
      </c>
      <c r="C168" s="602"/>
      <c r="D168" s="602"/>
      <c r="E168" s="162">
        <v>16</v>
      </c>
      <c r="F168" s="363">
        <f>+$R$10</f>
        <v>-2</v>
      </c>
    </row>
    <row r="169" spans="1:6" ht="21.75" thickBot="1" x14ac:dyDescent="0.3">
      <c r="B169" s="551" t="s">
        <v>279</v>
      </c>
      <c r="C169" s="552"/>
      <c r="D169" s="552"/>
      <c r="E169" s="552"/>
      <c r="F169" s="553"/>
    </row>
    <row r="170" spans="1:6" ht="15.75" thickBot="1" x14ac:dyDescent="0.3">
      <c r="B170" s="319" t="s">
        <v>84</v>
      </c>
      <c r="C170" s="320"/>
      <c r="D170" s="320"/>
      <c r="E170" s="320"/>
      <c r="F170" s="321"/>
    </row>
    <row r="171" spans="1:6" ht="15.75" thickBot="1" x14ac:dyDescent="0.3">
      <c r="B171" s="598" t="s">
        <v>274</v>
      </c>
      <c r="C171" s="599"/>
      <c r="D171" s="600"/>
      <c r="E171" s="142" t="s">
        <v>269</v>
      </c>
      <c r="F171" s="145" t="s">
        <v>272</v>
      </c>
    </row>
    <row r="172" spans="1:6" x14ac:dyDescent="0.25">
      <c r="A172" s="446"/>
      <c r="B172" s="590" t="s">
        <v>371</v>
      </c>
      <c r="C172" s="591"/>
      <c r="D172" s="591"/>
      <c r="E172" s="139">
        <v>40</v>
      </c>
      <c r="F172" s="155">
        <f>+T5</f>
        <v>-2</v>
      </c>
    </row>
    <row r="173" spans="1:6" x14ac:dyDescent="0.25">
      <c r="A173" s="446"/>
      <c r="B173" s="571" t="s">
        <v>372</v>
      </c>
      <c r="C173" s="572"/>
      <c r="D173" s="572"/>
      <c r="E173" s="135">
        <v>44</v>
      </c>
      <c r="F173" s="153">
        <f>+T6</f>
        <v>-2</v>
      </c>
    </row>
    <row r="174" spans="1:6" x14ac:dyDescent="0.25">
      <c r="A174" s="446"/>
      <c r="B174" s="606" t="s">
        <v>240</v>
      </c>
      <c r="C174" s="607"/>
      <c r="D174" s="608"/>
      <c r="E174" s="135">
        <v>45</v>
      </c>
      <c r="F174" s="153">
        <f t="shared" ref="F174" si="25">+T7</f>
        <v>-4</v>
      </c>
    </row>
    <row r="175" spans="1:6" x14ac:dyDescent="0.25">
      <c r="A175" s="446"/>
      <c r="B175" s="571" t="s">
        <v>241</v>
      </c>
      <c r="C175" s="572"/>
      <c r="D175" s="572"/>
      <c r="E175" s="135">
        <v>45</v>
      </c>
      <c r="F175" s="153">
        <f>+T7</f>
        <v>-4</v>
      </c>
    </row>
    <row r="176" spans="1:6" x14ac:dyDescent="0.25">
      <c r="A176" s="446"/>
      <c r="B176" s="571" t="s">
        <v>242</v>
      </c>
      <c r="C176" s="572"/>
      <c r="D176" s="572"/>
      <c r="E176" s="135">
        <v>48</v>
      </c>
      <c r="F176" s="153">
        <f t="shared" ref="F176:F179" si="26">+T8</f>
        <v>-2</v>
      </c>
    </row>
    <row r="177" spans="1:6" x14ac:dyDescent="0.25">
      <c r="A177" s="446"/>
      <c r="B177" s="571" t="s">
        <v>243</v>
      </c>
      <c r="C177" s="572"/>
      <c r="D177" s="572"/>
      <c r="E177" s="135">
        <v>51</v>
      </c>
      <c r="F177" s="153">
        <f t="shared" si="26"/>
        <v>-2</v>
      </c>
    </row>
    <row r="178" spans="1:6" x14ac:dyDescent="0.25">
      <c r="A178" s="446"/>
      <c r="B178" s="571" t="s">
        <v>244</v>
      </c>
      <c r="C178" s="572"/>
      <c r="D178" s="572"/>
      <c r="E178" s="135">
        <v>55</v>
      </c>
      <c r="F178" s="153">
        <f t="shared" si="26"/>
        <v>-2</v>
      </c>
    </row>
    <row r="179" spans="1:6" x14ac:dyDescent="0.25">
      <c r="A179" s="446"/>
      <c r="B179" s="606" t="s">
        <v>245</v>
      </c>
      <c r="C179" s="607"/>
      <c r="D179" s="608"/>
      <c r="E179" s="135">
        <v>57</v>
      </c>
      <c r="F179" s="153">
        <f t="shared" si="26"/>
        <v>-4</v>
      </c>
    </row>
    <row r="180" spans="1:6" x14ac:dyDescent="0.25">
      <c r="A180" s="446"/>
      <c r="B180" s="571" t="s">
        <v>246</v>
      </c>
      <c r="C180" s="572"/>
      <c r="D180" s="572"/>
      <c r="E180" s="135">
        <v>57</v>
      </c>
      <c r="F180" s="153">
        <f>+T11</f>
        <v>-4</v>
      </c>
    </row>
    <row r="181" spans="1:6" x14ac:dyDescent="0.25">
      <c r="A181" s="446"/>
      <c r="B181" s="571" t="s">
        <v>247</v>
      </c>
      <c r="C181" s="572"/>
      <c r="D181" s="572"/>
      <c r="E181" s="135">
        <v>58</v>
      </c>
      <c r="F181" s="153">
        <f t="shared" ref="F181:F183" si="27">+T12</f>
        <v>-2</v>
      </c>
    </row>
    <row r="182" spans="1:6" x14ac:dyDescent="0.25">
      <c r="A182" s="446"/>
      <c r="B182" s="571" t="s">
        <v>248</v>
      </c>
      <c r="C182" s="572"/>
      <c r="D182" s="572"/>
      <c r="E182" s="135">
        <v>59</v>
      </c>
      <c r="F182" s="153">
        <f t="shared" si="27"/>
        <v>-2</v>
      </c>
    </row>
    <row r="183" spans="1:6" ht="15.75" thickBot="1" x14ac:dyDescent="0.3">
      <c r="A183" s="446"/>
      <c r="B183" s="585" t="s">
        <v>249</v>
      </c>
      <c r="C183" s="586"/>
      <c r="D183" s="586"/>
      <c r="E183" s="140">
        <v>60</v>
      </c>
      <c r="F183" s="156">
        <f t="shared" si="27"/>
        <v>-2</v>
      </c>
    </row>
    <row r="184" spans="1:6" ht="15.75" thickBot="1" x14ac:dyDescent="0.3">
      <c r="B184" s="615" t="s">
        <v>280</v>
      </c>
      <c r="C184" s="616"/>
      <c r="D184" s="616"/>
      <c r="E184" s="616"/>
      <c r="F184" s="617"/>
    </row>
    <row r="185" spans="1:6" ht="15.75" thickBot="1" x14ac:dyDescent="0.3">
      <c r="B185" s="598" t="s">
        <v>274</v>
      </c>
      <c r="C185" s="599"/>
      <c r="D185" s="600"/>
      <c r="E185" s="142" t="s">
        <v>269</v>
      </c>
      <c r="F185" s="145" t="s">
        <v>272</v>
      </c>
    </row>
    <row r="186" spans="1:6" x14ac:dyDescent="0.25">
      <c r="B186" s="590" t="s">
        <v>371</v>
      </c>
      <c r="C186" s="591"/>
      <c r="D186" s="591"/>
      <c r="E186" s="139">
        <v>0</v>
      </c>
      <c r="F186" s="155"/>
    </row>
    <row r="187" spans="1:6" x14ac:dyDescent="0.25">
      <c r="B187" s="571" t="s">
        <v>372</v>
      </c>
      <c r="C187" s="572"/>
      <c r="D187" s="572"/>
      <c r="E187" s="135">
        <v>0</v>
      </c>
      <c r="F187" s="153"/>
    </row>
    <row r="188" spans="1:6" x14ac:dyDescent="0.25">
      <c r="B188" s="606" t="s">
        <v>240</v>
      </c>
      <c r="C188" s="607"/>
      <c r="D188" s="608"/>
      <c r="E188" s="135">
        <v>0</v>
      </c>
      <c r="F188" s="153"/>
    </row>
    <row r="189" spans="1:6" x14ac:dyDescent="0.25">
      <c r="B189" s="571" t="s">
        <v>241</v>
      </c>
      <c r="C189" s="572"/>
      <c r="D189" s="572"/>
      <c r="E189" s="135">
        <v>0</v>
      </c>
      <c r="F189" s="153"/>
    </row>
    <row r="190" spans="1:6" x14ac:dyDescent="0.25">
      <c r="B190" s="571" t="s">
        <v>242</v>
      </c>
      <c r="C190" s="572"/>
      <c r="D190" s="572"/>
      <c r="E190" s="135">
        <v>0</v>
      </c>
      <c r="F190" s="153"/>
    </row>
    <row r="191" spans="1:6" x14ac:dyDescent="0.25">
      <c r="B191" s="571" t="s">
        <v>243</v>
      </c>
      <c r="C191" s="572"/>
      <c r="D191" s="572"/>
      <c r="E191" s="135">
        <v>0</v>
      </c>
      <c r="F191" s="153"/>
    </row>
    <row r="192" spans="1:6" x14ac:dyDescent="0.25">
      <c r="B192" s="571" t="s">
        <v>244</v>
      </c>
      <c r="C192" s="572"/>
      <c r="D192" s="572"/>
      <c r="E192" s="135">
        <v>0</v>
      </c>
      <c r="F192" s="153"/>
    </row>
    <row r="193" spans="1:6" x14ac:dyDescent="0.25">
      <c r="B193" s="606" t="s">
        <v>245</v>
      </c>
      <c r="C193" s="607"/>
      <c r="D193" s="608"/>
      <c r="E193" s="135">
        <v>0</v>
      </c>
      <c r="F193" s="153"/>
    </row>
    <row r="194" spans="1:6" x14ac:dyDescent="0.25">
      <c r="B194" s="571" t="s">
        <v>246</v>
      </c>
      <c r="C194" s="572"/>
      <c r="D194" s="572"/>
      <c r="E194" s="135">
        <v>0</v>
      </c>
      <c r="F194" s="153"/>
    </row>
    <row r="195" spans="1:6" x14ac:dyDescent="0.25">
      <c r="B195" s="571" t="s">
        <v>247</v>
      </c>
      <c r="C195" s="572"/>
      <c r="D195" s="572"/>
      <c r="E195" s="135">
        <v>0</v>
      </c>
      <c r="F195" s="153"/>
    </row>
    <row r="196" spans="1:6" x14ac:dyDescent="0.25">
      <c r="B196" s="571" t="s">
        <v>248</v>
      </c>
      <c r="C196" s="572"/>
      <c r="D196" s="572"/>
      <c r="E196" s="135">
        <v>0</v>
      </c>
      <c r="F196" s="153"/>
    </row>
    <row r="197" spans="1:6" ht="15.75" thickBot="1" x14ac:dyDescent="0.3">
      <c r="B197" s="585" t="s">
        <v>249</v>
      </c>
      <c r="C197" s="586"/>
      <c r="D197" s="586"/>
      <c r="E197" s="140">
        <v>0</v>
      </c>
      <c r="F197" s="156"/>
    </row>
    <row r="198" spans="1:6" ht="21.75" thickBot="1" x14ac:dyDescent="0.3">
      <c r="B198" s="554" t="s">
        <v>281</v>
      </c>
      <c r="C198" s="555"/>
      <c r="D198" s="555"/>
      <c r="E198" s="555"/>
      <c r="F198" s="556"/>
    </row>
    <row r="199" spans="1:6" ht="15.75" customHeight="1" thickBot="1" x14ac:dyDescent="0.3">
      <c r="B199" s="466" t="s">
        <v>418</v>
      </c>
      <c r="C199" s="464"/>
      <c r="D199" s="464"/>
      <c r="E199" s="464"/>
      <c r="F199" s="465"/>
    </row>
    <row r="200" spans="1:6" ht="15.75" thickBot="1" x14ac:dyDescent="0.3">
      <c r="B200" s="598" t="s">
        <v>274</v>
      </c>
      <c r="C200" s="599"/>
      <c r="D200" s="600"/>
      <c r="E200" s="142" t="s">
        <v>269</v>
      </c>
      <c r="F200" s="145" t="s">
        <v>272</v>
      </c>
    </row>
    <row r="201" spans="1:6" x14ac:dyDescent="0.25">
      <c r="A201" s="446"/>
      <c r="B201" s="590" t="s">
        <v>371</v>
      </c>
      <c r="C201" s="591"/>
      <c r="D201" s="591"/>
      <c r="E201" s="139">
        <v>12</v>
      </c>
      <c r="F201" s="155">
        <f>+$V$5</f>
        <v>-6</v>
      </c>
    </row>
    <row r="202" spans="1:6" x14ac:dyDescent="0.25">
      <c r="A202" s="446"/>
      <c r="B202" s="571" t="s">
        <v>372</v>
      </c>
      <c r="C202" s="572"/>
      <c r="D202" s="572"/>
      <c r="E202" s="135">
        <v>12</v>
      </c>
      <c r="F202" s="153">
        <f t="shared" ref="F202:F203" si="28">+$V$5</f>
        <v>-6</v>
      </c>
    </row>
    <row r="203" spans="1:6" x14ac:dyDescent="0.25">
      <c r="A203" s="446"/>
      <c r="B203" s="606" t="s">
        <v>240</v>
      </c>
      <c r="C203" s="607"/>
      <c r="D203" s="608"/>
      <c r="E203" s="135">
        <v>12</v>
      </c>
      <c r="F203" s="153">
        <f t="shared" si="28"/>
        <v>-6</v>
      </c>
    </row>
    <row r="204" spans="1:6" x14ac:dyDescent="0.25">
      <c r="A204" s="446"/>
      <c r="B204" s="571" t="s">
        <v>241</v>
      </c>
      <c r="C204" s="572"/>
      <c r="D204" s="572"/>
      <c r="E204" s="135">
        <v>13</v>
      </c>
      <c r="F204" s="153">
        <f>+$V$6</f>
        <v>-4</v>
      </c>
    </row>
    <row r="205" spans="1:6" x14ac:dyDescent="0.25">
      <c r="A205" s="446"/>
      <c r="B205" s="571" t="s">
        <v>242</v>
      </c>
      <c r="C205" s="572"/>
      <c r="D205" s="572"/>
      <c r="E205" s="135">
        <v>13</v>
      </c>
      <c r="F205" s="153">
        <f t="shared" ref="F205" si="29">+$V$6</f>
        <v>-4</v>
      </c>
    </row>
    <row r="206" spans="1:6" x14ac:dyDescent="0.25">
      <c r="A206" s="446"/>
      <c r="B206" s="571" t="s">
        <v>243</v>
      </c>
      <c r="C206" s="572"/>
      <c r="D206" s="572"/>
      <c r="E206" s="135">
        <v>14</v>
      </c>
      <c r="F206" s="153">
        <f>+$V$7</f>
        <v>-4</v>
      </c>
    </row>
    <row r="207" spans="1:6" x14ac:dyDescent="0.25">
      <c r="A207" s="446"/>
      <c r="B207" s="571" t="s">
        <v>244</v>
      </c>
      <c r="C207" s="572"/>
      <c r="D207" s="572"/>
      <c r="E207" s="135">
        <v>14</v>
      </c>
      <c r="F207" s="153">
        <f t="shared" ref="F207" si="30">+$V$7</f>
        <v>-4</v>
      </c>
    </row>
    <row r="208" spans="1:6" x14ac:dyDescent="0.25">
      <c r="A208" s="446"/>
      <c r="B208" s="606" t="s">
        <v>245</v>
      </c>
      <c r="C208" s="607"/>
      <c r="D208" s="608"/>
      <c r="E208" s="135">
        <v>15</v>
      </c>
      <c r="F208" s="153">
        <f>+$V$8</f>
        <v>-4</v>
      </c>
    </row>
    <row r="209" spans="1:6" x14ac:dyDescent="0.25">
      <c r="A209" s="446"/>
      <c r="B209" s="571" t="s">
        <v>246</v>
      </c>
      <c r="C209" s="572"/>
      <c r="D209" s="572"/>
      <c r="E209" s="135">
        <v>15</v>
      </c>
      <c r="F209" s="153">
        <f t="shared" ref="F209" si="31">+$V$8</f>
        <v>-4</v>
      </c>
    </row>
    <row r="210" spans="1:6" x14ac:dyDescent="0.25">
      <c r="A210" s="446"/>
      <c r="B210" s="571" t="s">
        <v>247</v>
      </c>
      <c r="C210" s="572"/>
      <c r="D210" s="572"/>
      <c r="E210" s="135">
        <v>16</v>
      </c>
      <c r="F210" s="153">
        <f>+$V$9</f>
        <v>-6</v>
      </c>
    </row>
    <row r="211" spans="1:6" x14ac:dyDescent="0.25">
      <c r="A211" s="446"/>
      <c r="B211" s="571" t="s">
        <v>248</v>
      </c>
      <c r="C211" s="572"/>
      <c r="D211" s="572"/>
      <c r="E211" s="135">
        <v>16</v>
      </c>
      <c r="F211" s="153">
        <f t="shared" ref="F211" si="32">+$V$9</f>
        <v>-6</v>
      </c>
    </row>
    <row r="212" spans="1:6" ht="15.75" thickBot="1" x14ac:dyDescent="0.3">
      <c r="A212" s="446"/>
      <c r="B212" s="585" t="s">
        <v>249</v>
      </c>
      <c r="C212" s="586"/>
      <c r="D212" s="586"/>
      <c r="E212" s="140">
        <v>16</v>
      </c>
      <c r="F212" s="156">
        <f>+$V$9</f>
        <v>-6</v>
      </c>
    </row>
    <row r="213" spans="1:6" ht="21.75" thickBot="1" x14ac:dyDescent="0.3">
      <c r="B213" s="551" t="s">
        <v>282</v>
      </c>
      <c r="C213" s="552"/>
      <c r="D213" s="552"/>
      <c r="E213" s="552"/>
      <c r="F213" s="553"/>
    </row>
    <row r="214" spans="1:6" ht="15.75" thickBot="1" x14ac:dyDescent="0.3">
      <c r="B214" s="463" t="s">
        <v>102</v>
      </c>
      <c r="C214" s="464"/>
      <c r="D214" s="464"/>
      <c r="E214" s="464"/>
      <c r="F214" s="465"/>
    </row>
    <row r="215" spans="1:6" ht="15.75" thickBot="1" x14ac:dyDescent="0.3">
      <c r="B215" s="598" t="s">
        <v>274</v>
      </c>
      <c r="C215" s="599"/>
      <c r="D215" s="600"/>
      <c r="E215" s="142" t="s">
        <v>269</v>
      </c>
      <c r="F215" s="145" t="s">
        <v>272</v>
      </c>
    </row>
    <row r="216" spans="1:6" x14ac:dyDescent="0.25">
      <c r="A216" s="446"/>
      <c r="B216" s="590" t="s">
        <v>371</v>
      </c>
      <c r="C216" s="591"/>
      <c r="D216" s="591"/>
      <c r="E216" s="139">
        <v>10</v>
      </c>
      <c r="F216" s="155">
        <f>+$X$5</f>
        <v>-10</v>
      </c>
    </row>
    <row r="217" spans="1:6" x14ac:dyDescent="0.25">
      <c r="A217" s="446"/>
      <c r="B217" s="571" t="s">
        <v>372</v>
      </c>
      <c r="C217" s="572"/>
      <c r="D217" s="572"/>
      <c r="E217" s="135">
        <v>10</v>
      </c>
      <c r="F217" s="153">
        <f t="shared" ref="F217:F220" si="33">+$X$5</f>
        <v>-10</v>
      </c>
    </row>
    <row r="218" spans="1:6" x14ac:dyDescent="0.25">
      <c r="A218" s="446"/>
      <c r="B218" s="606" t="s">
        <v>240</v>
      </c>
      <c r="C218" s="607"/>
      <c r="D218" s="608"/>
      <c r="E218" s="135">
        <v>10</v>
      </c>
      <c r="F218" s="153">
        <f t="shared" si="33"/>
        <v>-10</v>
      </c>
    </row>
    <row r="219" spans="1:6" x14ac:dyDescent="0.25">
      <c r="A219" s="446"/>
      <c r="B219" s="571" t="s">
        <v>241</v>
      </c>
      <c r="C219" s="572"/>
      <c r="D219" s="572"/>
      <c r="E219" s="135">
        <v>10</v>
      </c>
      <c r="F219" s="153">
        <f t="shared" si="33"/>
        <v>-10</v>
      </c>
    </row>
    <row r="220" spans="1:6" x14ac:dyDescent="0.25">
      <c r="A220" s="446"/>
      <c r="B220" s="571" t="s">
        <v>242</v>
      </c>
      <c r="C220" s="572"/>
      <c r="D220" s="572"/>
      <c r="E220" s="135">
        <v>10</v>
      </c>
      <c r="F220" s="153">
        <f t="shared" si="33"/>
        <v>-10</v>
      </c>
    </row>
    <row r="221" spans="1:6" x14ac:dyDescent="0.25">
      <c r="A221" s="446"/>
      <c r="B221" s="571" t="s">
        <v>243</v>
      </c>
      <c r="C221" s="572"/>
      <c r="D221" s="572"/>
      <c r="E221" s="135">
        <v>12</v>
      </c>
      <c r="F221" s="153">
        <f>+$X$6</f>
        <v>-4</v>
      </c>
    </row>
    <row r="222" spans="1:6" x14ac:dyDescent="0.25">
      <c r="A222" s="446"/>
      <c r="B222" s="571" t="s">
        <v>244</v>
      </c>
      <c r="C222" s="572"/>
      <c r="D222" s="572"/>
      <c r="E222" s="135">
        <v>12</v>
      </c>
      <c r="F222" s="153">
        <f t="shared" ref="F222" si="34">+$X$6</f>
        <v>-4</v>
      </c>
    </row>
    <row r="223" spans="1:6" x14ac:dyDescent="0.25">
      <c r="A223" s="446"/>
      <c r="B223" s="606" t="s">
        <v>245</v>
      </c>
      <c r="C223" s="607"/>
      <c r="D223" s="608"/>
      <c r="E223" s="135">
        <v>15</v>
      </c>
      <c r="F223" s="153">
        <f>+$X$7</f>
        <v>-10</v>
      </c>
    </row>
    <row r="224" spans="1:6" x14ac:dyDescent="0.25">
      <c r="A224" s="446"/>
      <c r="B224" s="571" t="s">
        <v>246</v>
      </c>
      <c r="C224" s="572"/>
      <c r="D224" s="572"/>
      <c r="E224" s="135">
        <v>15</v>
      </c>
      <c r="F224" s="153">
        <f t="shared" ref="F224:F226" si="35">+$X$7</f>
        <v>-10</v>
      </c>
    </row>
    <row r="225" spans="1:6" x14ac:dyDescent="0.25">
      <c r="A225" s="446"/>
      <c r="B225" s="571" t="s">
        <v>247</v>
      </c>
      <c r="C225" s="572"/>
      <c r="D225" s="572"/>
      <c r="E225" s="135">
        <v>15</v>
      </c>
      <c r="F225" s="153">
        <f t="shared" si="35"/>
        <v>-10</v>
      </c>
    </row>
    <row r="226" spans="1:6" ht="15.75" customHeight="1" x14ac:dyDescent="0.25">
      <c r="A226" s="446"/>
      <c r="B226" s="571" t="s">
        <v>248</v>
      </c>
      <c r="C226" s="572"/>
      <c r="D226" s="572"/>
      <c r="E226" s="135">
        <v>15</v>
      </c>
      <c r="F226" s="153">
        <f t="shared" si="35"/>
        <v>-10</v>
      </c>
    </row>
    <row r="227" spans="1:6" ht="15.75" thickBot="1" x14ac:dyDescent="0.3">
      <c r="A227" s="446"/>
      <c r="B227" s="585" t="s">
        <v>249</v>
      </c>
      <c r="C227" s="586"/>
      <c r="D227" s="586"/>
      <c r="E227" s="140">
        <v>15</v>
      </c>
      <c r="F227" s="156">
        <f>+$X$7</f>
        <v>-10</v>
      </c>
    </row>
    <row r="228" spans="1:6" ht="21.75" thickBot="1" x14ac:dyDescent="0.3">
      <c r="B228" s="551" t="s">
        <v>283</v>
      </c>
      <c r="C228" s="552"/>
      <c r="D228" s="552"/>
      <c r="E228" s="552"/>
      <c r="F228" s="553"/>
    </row>
    <row r="229" spans="1:6" ht="15.75" customHeight="1" thickBot="1" x14ac:dyDescent="0.3">
      <c r="B229" s="466" t="s">
        <v>419</v>
      </c>
      <c r="C229" s="464"/>
      <c r="D229" s="464"/>
      <c r="E229" s="464"/>
      <c r="F229" s="465"/>
    </row>
    <row r="230" spans="1:6" ht="15.75" thickBot="1" x14ac:dyDescent="0.3">
      <c r="B230" s="567" t="s">
        <v>274</v>
      </c>
      <c r="C230" s="568"/>
      <c r="D230" s="618"/>
      <c r="E230" s="364" t="s">
        <v>269</v>
      </c>
      <c r="F230" s="284" t="s">
        <v>272</v>
      </c>
    </row>
    <row r="231" spans="1:6" x14ac:dyDescent="0.25">
      <c r="A231" s="446"/>
      <c r="B231" s="590" t="s">
        <v>371</v>
      </c>
      <c r="C231" s="591"/>
      <c r="D231" s="591"/>
      <c r="E231" s="180">
        <v>57</v>
      </c>
      <c r="F231" s="2">
        <f>+Z5</f>
        <v>-2</v>
      </c>
    </row>
    <row r="232" spans="1:6" x14ac:dyDescent="0.25">
      <c r="A232" s="446"/>
      <c r="B232" s="571" t="s">
        <v>372</v>
      </c>
      <c r="C232" s="572"/>
      <c r="D232" s="572"/>
      <c r="E232" s="178">
        <v>58</v>
      </c>
      <c r="F232" s="2">
        <f t="shared" ref="F232:F241" si="36">+Z6</f>
        <v>-2</v>
      </c>
    </row>
    <row r="233" spans="1:6" x14ac:dyDescent="0.25">
      <c r="A233" s="446"/>
      <c r="B233" s="571" t="s">
        <v>240</v>
      </c>
      <c r="C233" s="572"/>
      <c r="D233" s="572"/>
      <c r="E233" s="178">
        <v>61</v>
      </c>
      <c r="F233" s="2">
        <f t="shared" si="36"/>
        <v>-2</v>
      </c>
    </row>
    <row r="234" spans="1:6" x14ac:dyDescent="0.25">
      <c r="A234" s="446"/>
      <c r="B234" s="571" t="s">
        <v>241</v>
      </c>
      <c r="C234" s="572"/>
      <c r="D234" s="572"/>
      <c r="E234" s="178">
        <v>64</v>
      </c>
      <c r="F234" s="2">
        <f t="shared" si="36"/>
        <v>-2</v>
      </c>
    </row>
    <row r="235" spans="1:6" x14ac:dyDescent="0.25">
      <c r="A235" s="446"/>
      <c r="B235" s="571" t="s">
        <v>242</v>
      </c>
      <c r="C235" s="572"/>
      <c r="D235" s="572"/>
      <c r="E235" s="178">
        <v>65</v>
      </c>
      <c r="F235" s="2">
        <f t="shared" si="36"/>
        <v>-2</v>
      </c>
    </row>
    <row r="236" spans="1:6" x14ac:dyDescent="0.25">
      <c r="A236" s="446"/>
      <c r="B236" s="571" t="s">
        <v>243</v>
      </c>
      <c r="C236" s="572"/>
      <c r="D236" s="572"/>
      <c r="E236" s="178">
        <v>68</v>
      </c>
      <c r="F236" s="2">
        <f t="shared" si="36"/>
        <v>-2</v>
      </c>
    </row>
    <row r="237" spans="1:6" x14ac:dyDescent="0.25">
      <c r="A237" s="446"/>
      <c r="B237" s="571" t="s">
        <v>244</v>
      </c>
      <c r="C237" s="572"/>
      <c r="D237" s="572"/>
      <c r="E237" s="178">
        <v>69</v>
      </c>
      <c r="F237" s="2">
        <f t="shared" si="36"/>
        <v>-2</v>
      </c>
    </row>
    <row r="238" spans="1:6" x14ac:dyDescent="0.25">
      <c r="A238" s="446"/>
      <c r="B238" s="571" t="s">
        <v>245</v>
      </c>
      <c r="C238" s="572"/>
      <c r="D238" s="572"/>
      <c r="E238" s="178">
        <v>70</v>
      </c>
      <c r="F238" s="2">
        <f t="shared" si="36"/>
        <v>-2</v>
      </c>
    </row>
    <row r="239" spans="1:6" x14ac:dyDescent="0.25">
      <c r="A239" s="446"/>
      <c r="B239" s="571" t="s">
        <v>246</v>
      </c>
      <c r="C239" s="572"/>
      <c r="D239" s="572"/>
      <c r="E239" s="178">
        <v>71</v>
      </c>
      <c r="F239" s="2">
        <f t="shared" si="36"/>
        <v>-2</v>
      </c>
    </row>
    <row r="240" spans="1:6" x14ac:dyDescent="0.25">
      <c r="A240" s="446"/>
      <c r="B240" s="571" t="s">
        <v>247</v>
      </c>
      <c r="C240" s="572"/>
      <c r="D240" s="572"/>
      <c r="E240" s="178">
        <v>72</v>
      </c>
      <c r="F240" s="2">
        <f t="shared" si="36"/>
        <v>-2</v>
      </c>
    </row>
    <row r="241" spans="1:6" x14ac:dyDescent="0.25">
      <c r="A241" s="446"/>
      <c r="B241" s="571" t="s">
        <v>248</v>
      </c>
      <c r="C241" s="572"/>
      <c r="D241" s="572"/>
      <c r="E241" s="178">
        <v>73</v>
      </c>
      <c r="F241" s="2">
        <f t="shared" si="36"/>
        <v>-2</v>
      </c>
    </row>
    <row r="242" spans="1:6" ht="15.75" thickBot="1" x14ac:dyDescent="0.3">
      <c r="A242" s="446"/>
      <c r="B242" s="585" t="s">
        <v>249</v>
      </c>
      <c r="C242" s="586"/>
      <c r="D242" s="586"/>
      <c r="E242" s="179">
        <v>75</v>
      </c>
      <c r="F242" s="2">
        <f>+Z16</f>
        <v>-2</v>
      </c>
    </row>
    <row r="243" spans="1:6" ht="15" customHeight="1" thickBot="1" x14ac:dyDescent="0.3">
      <c r="B243" s="551" t="s">
        <v>284</v>
      </c>
      <c r="C243" s="552"/>
      <c r="D243" s="552"/>
      <c r="E243" s="552"/>
      <c r="F243" s="553"/>
    </row>
    <row r="244" spans="1:6" ht="15.75" customHeight="1" thickBot="1" x14ac:dyDescent="0.3">
      <c r="B244" s="466" t="s">
        <v>63</v>
      </c>
      <c r="C244" s="464"/>
      <c r="D244" s="464"/>
      <c r="E244" s="464"/>
      <c r="F244" s="465"/>
    </row>
    <row r="245" spans="1:6" ht="15.75" thickBot="1" x14ac:dyDescent="0.3">
      <c r="B245" s="567" t="s">
        <v>274</v>
      </c>
      <c r="C245" s="568"/>
      <c r="D245" s="618"/>
      <c r="E245" s="364" t="s">
        <v>269</v>
      </c>
      <c r="F245" s="284" t="s">
        <v>272</v>
      </c>
    </row>
    <row r="246" spans="1:6" x14ac:dyDescent="0.25">
      <c r="A246" s="446"/>
      <c r="B246" s="590" t="s">
        <v>371</v>
      </c>
      <c r="C246" s="591"/>
      <c r="D246" s="591"/>
      <c r="E246" s="180">
        <v>15</v>
      </c>
      <c r="F246" s="2">
        <f>+$AB$5</f>
        <v>-10</v>
      </c>
    </row>
    <row r="247" spans="1:6" x14ac:dyDescent="0.25">
      <c r="A247" s="446"/>
      <c r="B247" s="571" t="s">
        <v>372</v>
      </c>
      <c r="C247" s="572"/>
      <c r="D247" s="572"/>
      <c r="E247" s="178">
        <v>15</v>
      </c>
      <c r="F247" s="2">
        <f t="shared" ref="F247:F250" si="37">+$AB$5</f>
        <v>-10</v>
      </c>
    </row>
    <row r="248" spans="1:6" x14ac:dyDescent="0.25">
      <c r="A248" s="446"/>
      <c r="B248" s="571" t="s">
        <v>240</v>
      </c>
      <c r="C248" s="572"/>
      <c r="D248" s="572"/>
      <c r="E248" s="178">
        <v>15</v>
      </c>
      <c r="F248" s="2">
        <f t="shared" si="37"/>
        <v>-10</v>
      </c>
    </row>
    <row r="249" spans="1:6" x14ac:dyDescent="0.25">
      <c r="A249" s="446"/>
      <c r="B249" s="571" t="s">
        <v>241</v>
      </c>
      <c r="C249" s="572"/>
      <c r="D249" s="572"/>
      <c r="E249" s="178">
        <v>15</v>
      </c>
      <c r="F249" s="2">
        <f t="shared" si="37"/>
        <v>-10</v>
      </c>
    </row>
    <row r="250" spans="1:6" x14ac:dyDescent="0.25">
      <c r="A250" s="446"/>
      <c r="B250" s="571" t="s">
        <v>242</v>
      </c>
      <c r="C250" s="572"/>
      <c r="D250" s="572"/>
      <c r="E250" s="178">
        <v>15</v>
      </c>
      <c r="F250" s="2">
        <f t="shared" si="37"/>
        <v>-10</v>
      </c>
    </row>
    <row r="251" spans="1:6" x14ac:dyDescent="0.25">
      <c r="A251" s="446"/>
      <c r="B251" s="571" t="s">
        <v>243</v>
      </c>
      <c r="C251" s="572"/>
      <c r="D251" s="572"/>
      <c r="E251" s="178">
        <v>20</v>
      </c>
      <c r="F251" s="2">
        <f>+$AB$6</f>
        <v>-14</v>
      </c>
    </row>
    <row r="252" spans="1:6" x14ac:dyDescent="0.25">
      <c r="A252" s="446"/>
      <c r="B252" s="571" t="s">
        <v>244</v>
      </c>
      <c r="C252" s="572"/>
      <c r="D252" s="572"/>
      <c r="E252" s="178">
        <v>20</v>
      </c>
      <c r="F252" s="2">
        <f t="shared" ref="F252:F257" si="38">+$AB$6</f>
        <v>-14</v>
      </c>
    </row>
    <row r="253" spans="1:6" x14ac:dyDescent="0.25">
      <c r="A253" s="446"/>
      <c r="B253" s="571" t="s">
        <v>245</v>
      </c>
      <c r="C253" s="572"/>
      <c r="D253" s="572"/>
      <c r="E253" s="178">
        <v>20</v>
      </c>
      <c r="F253" s="2">
        <f t="shared" si="38"/>
        <v>-14</v>
      </c>
    </row>
    <row r="254" spans="1:6" x14ac:dyDescent="0.25">
      <c r="A254" s="446"/>
      <c r="B254" s="571" t="s">
        <v>246</v>
      </c>
      <c r="C254" s="572"/>
      <c r="D254" s="572"/>
      <c r="E254" s="178">
        <v>20</v>
      </c>
      <c r="F254" s="2">
        <f t="shared" si="38"/>
        <v>-14</v>
      </c>
    </row>
    <row r="255" spans="1:6" x14ac:dyDescent="0.25">
      <c r="A255" s="446"/>
      <c r="B255" s="571" t="s">
        <v>247</v>
      </c>
      <c r="C255" s="572"/>
      <c r="D255" s="572"/>
      <c r="E255" s="178">
        <v>20</v>
      </c>
      <c r="F255" s="2">
        <f t="shared" si="38"/>
        <v>-14</v>
      </c>
    </row>
    <row r="256" spans="1:6" x14ac:dyDescent="0.25">
      <c r="A256" s="446"/>
      <c r="B256" s="571" t="s">
        <v>248</v>
      </c>
      <c r="C256" s="572"/>
      <c r="D256" s="572"/>
      <c r="E256" s="178">
        <v>20</v>
      </c>
      <c r="F256" s="2">
        <f t="shared" si="38"/>
        <v>-14</v>
      </c>
    </row>
    <row r="257" spans="1:6" ht="15.75" thickBot="1" x14ac:dyDescent="0.3">
      <c r="A257" s="446"/>
      <c r="B257" s="585" t="s">
        <v>249</v>
      </c>
      <c r="C257" s="586"/>
      <c r="D257" s="586"/>
      <c r="E257" s="179">
        <v>20</v>
      </c>
      <c r="F257" s="2">
        <f t="shared" si="38"/>
        <v>-14</v>
      </c>
    </row>
  </sheetData>
  <sortState ref="S5:S14">
    <sortCondition ref="S14"/>
  </sortState>
  <mergeCells count="187">
    <mergeCell ref="AD3:AF3"/>
    <mergeCell ref="AG3:AI3"/>
    <mergeCell ref="AJ3:AL3"/>
    <mergeCell ref="AM3:AN3"/>
    <mergeCell ref="AO3:AP3"/>
    <mergeCell ref="AQ3:AR3"/>
    <mergeCell ref="AS3:AT3"/>
    <mergeCell ref="AU3:AV3"/>
    <mergeCell ref="AW3:AX3"/>
    <mergeCell ref="H1:AB2"/>
    <mergeCell ref="B166:D166"/>
    <mergeCell ref="B167:D167"/>
    <mergeCell ref="B168:D168"/>
    <mergeCell ref="B62:D62"/>
    <mergeCell ref="B76:D76"/>
    <mergeCell ref="B142:D142"/>
    <mergeCell ref="B143:D143"/>
    <mergeCell ref="B144:D144"/>
    <mergeCell ref="B145:D145"/>
    <mergeCell ref="B146:D146"/>
    <mergeCell ref="B147:D147"/>
    <mergeCell ref="B148:D148"/>
    <mergeCell ref="B149:D149"/>
    <mergeCell ref="B150:D150"/>
    <mergeCell ref="B151:D151"/>
    <mergeCell ref="B152:D152"/>
    <mergeCell ref="B153:D153"/>
    <mergeCell ref="B109:D109"/>
    <mergeCell ref="B110:D110"/>
    <mergeCell ref="B127:D127"/>
    <mergeCell ref="B128:D128"/>
    <mergeCell ref="B129:D129"/>
    <mergeCell ref="B132:D132"/>
    <mergeCell ref="B99:D99"/>
    <mergeCell ref="B100:D100"/>
    <mergeCell ref="B101:D101"/>
    <mergeCell ref="B102:D102"/>
    <mergeCell ref="B103:D103"/>
    <mergeCell ref="B97:F97"/>
    <mergeCell ref="B74:D74"/>
    <mergeCell ref="B75:D75"/>
    <mergeCell ref="B77:D77"/>
    <mergeCell ref="B78:D78"/>
    <mergeCell ref="B79:D79"/>
    <mergeCell ref="B80:D80"/>
    <mergeCell ref="B81:D81"/>
    <mergeCell ref="B83:F83"/>
    <mergeCell ref="B104:D104"/>
    <mergeCell ref="B105:D105"/>
    <mergeCell ref="B106:D106"/>
    <mergeCell ref="B107:D107"/>
    <mergeCell ref="B1:F2"/>
    <mergeCell ref="B70:D70"/>
    <mergeCell ref="B71:D71"/>
    <mergeCell ref="B67:D67"/>
    <mergeCell ref="B55:D55"/>
    <mergeCell ref="B56:D56"/>
    <mergeCell ref="B57:D57"/>
    <mergeCell ref="B58:D58"/>
    <mergeCell ref="B59:D59"/>
    <mergeCell ref="B60:D60"/>
    <mergeCell ref="B61:D61"/>
    <mergeCell ref="B63:D63"/>
    <mergeCell ref="B64:D64"/>
    <mergeCell ref="B65:D65"/>
    <mergeCell ref="B66:D66"/>
    <mergeCell ref="B69:D69"/>
    <mergeCell ref="B72:D72"/>
    <mergeCell ref="B73:D73"/>
    <mergeCell ref="B82:F82"/>
    <mergeCell ref="B98:D98"/>
    <mergeCell ref="B108:D108"/>
    <mergeCell ref="B169:F169"/>
    <mergeCell ref="B154:D154"/>
    <mergeCell ref="B156:D156"/>
    <mergeCell ref="B157:D157"/>
    <mergeCell ref="B158:D158"/>
    <mergeCell ref="B159:D159"/>
    <mergeCell ref="B160:D160"/>
    <mergeCell ref="B161:D161"/>
    <mergeCell ref="B162:D162"/>
    <mergeCell ref="B163:D163"/>
    <mergeCell ref="B164:D164"/>
    <mergeCell ref="B165:D165"/>
    <mergeCell ref="B140:F140"/>
    <mergeCell ref="B111:F111"/>
    <mergeCell ref="B133:D133"/>
    <mergeCell ref="B134:D134"/>
    <mergeCell ref="B135:D135"/>
    <mergeCell ref="B136:D136"/>
    <mergeCell ref="B137:D137"/>
    <mergeCell ref="B138:D138"/>
    <mergeCell ref="B139:D139"/>
    <mergeCell ref="B131:D131"/>
    <mergeCell ref="B130:D130"/>
    <mergeCell ref="B212:D212"/>
    <mergeCell ref="B219:D219"/>
    <mergeCell ref="B184:F184"/>
    <mergeCell ref="B185:D185"/>
    <mergeCell ref="B186:D186"/>
    <mergeCell ref="B187:D187"/>
    <mergeCell ref="B189:D189"/>
    <mergeCell ref="B190:D190"/>
    <mergeCell ref="B191:D191"/>
    <mergeCell ref="B192:D192"/>
    <mergeCell ref="B194:D194"/>
    <mergeCell ref="B195:D195"/>
    <mergeCell ref="B196:D196"/>
    <mergeCell ref="B197:D197"/>
    <mergeCell ref="B193:D193"/>
    <mergeCell ref="B188:D188"/>
    <mergeCell ref="B200:D200"/>
    <mergeCell ref="B201:D201"/>
    <mergeCell ref="B207:D207"/>
    <mergeCell ref="B208:D208"/>
    <mergeCell ref="B209:D209"/>
    <mergeCell ref="B210:D210"/>
    <mergeCell ref="B211:D211"/>
    <mergeCell ref="B213:F213"/>
    <mergeCell ref="B215:D215"/>
    <mergeCell ref="B216:D216"/>
    <mergeCell ref="B217:D217"/>
    <mergeCell ref="B218:D218"/>
    <mergeCell ref="B239:D239"/>
    <mergeCell ref="B240:D240"/>
    <mergeCell ref="B241:D241"/>
    <mergeCell ref="B220:D220"/>
    <mergeCell ref="B221:D221"/>
    <mergeCell ref="B222:D222"/>
    <mergeCell ref="B223:D223"/>
    <mergeCell ref="B224:D224"/>
    <mergeCell ref="B225:D225"/>
    <mergeCell ref="B226:D226"/>
    <mergeCell ref="B227:D227"/>
    <mergeCell ref="B230:D230"/>
    <mergeCell ref="B231:D231"/>
    <mergeCell ref="B232:D232"/>
    <mergeCell ref="B233:D233"/>
    <mergeCell ref="B234:D234"/>
    <mergeCell ref="B235:D235"/>
    <mergeCell ref="B236:D236"/>
    <mergeCell ref="B237:D237"/>
    <mergeCell ref="B182:D182"/>
    <mergeCell ref="B183:D183"/>
    <mergeCell ref="B198:F198"/>
    <mergeCell ref="B202:D202"/>
    <mergeCell ref="B203:D203"/>
    <mergeCell ref="B204:D204"/>
    <mergeCell ref="B205:D205"/>
    <mergeCell ref="B206:D206"/>
    <mergeCell ref="B171:D171"/>
    <mergeCell ref="B172:D172"/>
    <mergeCell ref="B173:D173"/>
    <mergeCell ref="B175:D175"/>
    <mergeCell ref="B176:D176"/>
    <mergeCell ref="B177:D177"/>
    <mergeCell ref="B178:D178"/>
    <mergeCell ref="B180:D180"/>
    <mergeCell ref="B181:D181"/>
    <mergeCell ref="B174:D174"/>
    <mergeCell ref="B179:D179"/>
    <mergeCell ref="B228:F228"/>
    <mergeCell ref="B238:D238"/>
    <mergeCell ref="B257:D257"/>
    <mergeCell ref="B248:D248"/>
    <mergeCell ref="B249:D249"/>
    <mergeCell ref="B250:D250"/>
    <mergeCell ref="B251:D251"/>
    <mergeCell ref="B252:D252"/>
    <mergeCell ref="B253:D253"/>
    <mergeCell ref="B254:D254"/>
    <mergeCell ref="B255:D255"/>
    <mergeCell ref="B256:D256"/>
    <mergeCell ref="B243:F243"/>
    <mergeCell ref="B245:D245"/>
    <mergeCell ref="B246:D246"/>
    <mergeCell ref="B247:D247"/>
    <mergeCell ref="B242:D242"/>
    <mergeCell ref="K3:M3"/>
    <mergeCell ref="N3:P3"/>
    <mergeCell ref="Q3:R3"/>
    <mergeCell ref="S3:T3"/>
    <mergeCell ref="Y3:Z3"/>
    <mergeCell ref="AA3:AB3"/>
    <mergeCell ref="W3:X3"/>
    <mergeCell ref="U3:V3"/>
    <mergeCell ref="H3:J3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I18"/>
  <sheetViews>
    <sheetView zoomScale="90" zoomScaleNormal="90" workbookViewId="0">
      <selection activeCell="E7" sqref="E7"/>
    </sheetView>
  </sheetViews>
  <sheetFormatPr baseColWidth="10" defaultRowHeight="15" x14ac:dyDescent="0.25"/>
  <cols>
    <col min="2" max="2" width="11.42578125" style="375"/>
    <col min="3" max="3" width="9.28515625" style="372" customWidth="1"/>
    <col min="4" max="4" width="28.42578125" customWidth="1"/>
    <col min="5" max="5" width="31.7109375" style="449" customWidth="1"/>
    <col min="6" max="6" width="8.7109375" style="146" customWidth="1"/>
    <col min="7" max="7" width="24.140625" customWidth="1"/>
    <col min="8" max="8" width="11.42578125" style="372"/>
  </cols>
  <sheetData>
    <row r="1" spans="1:9" s="373" customFormat="1" ht="15.75" thickBot="1" x14ac:dyDescent="0.3">
      <c r="A1" s="436" t="s">
        <v>393</v>
      </c>
      <c r="B1" s="437" t="s">
        <v>402</v>
      </c>
      <c r="C1" s="436" t="s">
        <v>395</v>
      </c>
      <c r="D1" s="439" t="s">
        <v>398</v>
      </c>
      <c r="E1" s="436" t="s">
        <v>399</v>
      </c>
      <c r="F1" s="438" t="s">
        <v>400</v>
      </c>
      <c r="G1" s="436" t="s">
        <v>401</v>
      </c>
      <c r="H1" s="435" t="s">
        <v>385</v>
      </c>
      <c r="I1" s="374" t="s">
        <v>403</v>
      </c>
    </row>
    <row r="2" spans="1:9" x14ac:dyDescent="0.25">
      <c r="I2" t="s">
        <v>285</v>
      </c>
    </row>
    <row r="3" spans="1:9" x14ac:dyDescent="0.25">
      <c r="I3" t="s">
        <v>285</v>
      </c>
    </row>
    <row r="4" spans="1:9" x14ac:dyDescent="0.25">
      <c r="I4" t="s">
        <v>285</v>
      </c>
    </row>
    <row r="5" spans="1:9" x14ac:dyDescent="0.25">
      <c r="I5" t="s">
        <v>285</v>
      </c>
    </row>
    <row r="6" spans="1:9" x14ac:dyDescent="0.25">
      <c r="I6" t="s">
        <v>285</v>
      </c>
    </row>
    <row r="7" spans="1:9" x14ac:dyDescent="0.25">
      <c r="I7" t="s">
        <v>285</v>
      </c>
    </row>
    <row r="8" spans="1:9" x14ac:dyDescent="0.25">
      <c r="I8" t="s">
        <v>285</v>
      </c>
    </row>
    <row r="9" spans="1:9" x14ac:dyDescent="0.25">
      <c r="I9" t="s">
        <v>285</v>
      </c>
    </row>
    <row r="10" spans="1:9" x14ac:dyDescent="0.25">
      <c r="I10" t="s">
        <v>285</v>
      </c>
    </row>
    <row r="11" spans="1:9" x14ac:dyDescent="0.25">
      <c r="I11" t="s">
        <v>285</v>
      </c>
    </row>
    <row r="12" spans="1:9" x14ac:dyDescent="0.25">
      <c r="I12" t="s">
        <v>285</v>
      </c>
    </row>
    <row r="13" spans="1:9" x14ac:dyDescent="0.25">
      <c r="I13" t="s">
        <v>285</v>
      </c>
    </row>
    <row r="14" spans="1:9" x14ac:dyDescent="0.25">
      <c r="I14" t="s">
        <v>285</v>
      </c>
    </row>
    <row r="15" spans="1:9" x14ac:dyDescent="0.25">
      <c r="I15" t="s">
        <v>285</v>
      </c>
    </row>
    <row r="16" spans="1:9" x14ac:dyDescent="0.25">
      <c r="I16" t="s">
        <v>285</v>
      </c>
    </row>
    <row r="17" spans="9:9" x14ac:dyDescent="0.25">
      <c r="I17" t="s">
        <v>285</v>
      </c>
    </row>
    <row r="18" spans="9:9" x14ac:dyDescent="0.25">
      <c r="I18" t="s">
        <v>285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umo">
                <anchor moveWithCells="1" sizeWithCells="1">
                  <from>
                    <xdr:col>8</xdr:col>
                    <xdr:colOff>704850</xdr:colOff>
                    <xdr:row>11</xdr:row>
                    <xdr:rowOff>38100</xdr:rowOff>
                  </from>
                  <to>
                    <xdr:col>10</xdr:col>
                    <xdr:colOff>133350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32</vt:i4>
      </vt:variant>
    </vt:vector>
  </HeadingPairs>
  <TitlesOfParts>
    <vt:vector size="39" baseType="lpstr">
      <vt:lpstr>Clientes</vt:lpstr>
      <vt:lpstr>Productos</vt:lpstr>
      <vt:lpstr>Materiales</vt:lpstr>
      <vt:lpstr>Pedidos</vt:lpstr>
      <vt:lpstr>Inv</vt:lpstr>
      <vt:lpstr>Cierres</vt:lpstr>
      <vt:lpstr>Compras</vt:lpstr>
      <vt:lpstr>_4C</vt:lpstr>
      <vt:lpstr>_6C</vt:lpstr>
      <vt:lpstr>Acc</vt:lpstr>
      <vt:lpstr>Cierre</vt:lpstr>
      <vt:lpstr>Clothes</vt:lpstr>
      <vt:lpstr>Color</vt:lpstr>
      <vt:lpstr>Color_Fajon</vt:lpstr>
      <vt:lpstr>ColorCordon</vt:lpstr>
      <vt:lpstr>Compra</vt:lpstr>
      <vt:lpstr>Fabric</vt:lpstr>
      <vt:lpstr>Fecha</vt:lpstr>
      <vt:lpstr>Forro</vt:lpstr>
      <vt:lpstr>Hilo</vt:lpstr>
      <vt:lpstr>L</vt:lpstr>
      <vt:lpstr>M</vt:lpstr>
      <vt:lpstr>Material</vt:lpstr>
      <vt:lpstr>PO</vt:lpstr>
      <vt:lpstr>Ref</vt:lpstr>
      <vt:lpstr>RM</vt:lpstr>
      <vt:lpstr>S</vt:lpstr>
      <vt:lpstr>SKU</vt:lpstr>
      <vt:lpstr>Talla</vt:lpstr>
      <vt:lpstr>Tamaño</vt:lpstr>
      <vt:lpstr>UndCompra</vt:lpstr>
      <vt:lpstr>UndV</vt:lpstr>
      <vt:lpstr>XL</vt:lpstr>
      <vt:lpstr>XS</vt:lpstr>
      <vt:lpstr>XXL</vt:lpstr>
      <vt:lpstr>YL</vt:lpstr>
      <vt:lpstr>YM</vt:lpstr>
      <vt:lpstr>YS</vt:lpstr>
      <vt:lpstr>YXS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Jaramillo</dc:creator>
  <cp:lastModifiedBy>Felipe Jaramillo</cp:lastModifiedBy>
  <dcterms:created xsi:type="dcterms:W3CDTF">2020-05-29T02:05:26Z</dcterms:created>
  <dcterms:modified xsi:type="dcterms:W3CDTF">2020-06-19T01:24:18Z</dcterms:modified>
</cp:coreProperties>
</file>