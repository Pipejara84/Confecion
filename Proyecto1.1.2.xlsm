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hidePivotFieldList="1" defaultThemeVersion="124226"/>
  <bookViews>
    <workbookView xWindow="240" yWindow="225" windowWidth="20115" windowHeight="8835"/>
  </bookViews>
  <sheets>
    <sheet name="Productos" sheetId="1" r:id="rId1"/>
    <sheet name="Materiales" sheetId="2" r:id="rId2"/>
    <sheet name="Clientes" sheetId="10" r:id="rId3"/>
    <sheet name="Compras" sheetId="8" r:id="rId4"/>
    <sheet name="Inv" sheetId="6" r:id="rId5"/>
    <sheet name="Resumen" sheetId="12" r:id="rId6"/>
    <sheet name="Pedidos" sheetId="3" r:id="rId7"/>
    <sheet name="Procesos" sheetId="11" r:id="rId8"/>
  </sheets>
  <definedNames>
    <definedName name="_4C">Pedidos!$AA$2:$AA$1048576</definedName>
    <definedName name="_6C">Pedidos!$AB$2:$AB$1048576</definedName>
    <definedName name="_xlnm._FilterDatabase" localSheetId="2" hidden="1">Clientes!$A$1:$K$12</definedName>
    <definedName name="_xlnm._FilterDatabase" localSheetId="6" hidden="1">Pedidos!$BB$4:$BB$3000</definedName>
    <definedName name="_xlnm._FilterDatabase" localSheetId="0" hidden="1">Productos!$D:$E</definedName>
    <definedName name="Acc">Pedidos!$AM$2:$AM$1048576</definedName>
    <definedName name="_xlnm.Extract" localSheetId="2">Clientes!$A$1</definedName>
    <definedName name="_xlnm.Extract" localSheetId="6">Pedidos!$BI$4</definedName>
    <definedName name="_xlnm.Extract" localSheetId="0">Productos!$B$1:$C$1</definedName>
    <definedName name="Cierre">Pedidos!$R$2:$R$1048576</definedName>
    <definedName name="Clothes">Pedidos!$N$2:$N$1048576</definedName>
    <definedName name="Color">Compras!$G$2:$G$1048576</definedName>
    <definedName name="Color_Fajon">Compras!$I$2:$I$1048576</definedName>
    <definedName name="ColoresCordon">Inv!$B$16:$B$24</definedName>
    <definedName name="Compra">Compras!$A$2:$A$1048576</definedName>
    <definedName name="Cor_Color">Pedidos!$U$2:$U$1048576</definedName>
    <definedName name="CordonV">Pedidos!$T$2:$T$1048576</definedName>
    <definedName name="_xlnm.Criteria" localSheetId="6">Pedidos!$BI$4</definedName>
    <definedName name="_xlnm.Criteria" localSheetId="0">Productos!$B$1</definedName>
    <definedName name="Fabric">Pedidos!$O$2:$O$1048576</definedName>
    <definedName name="Fecha">Compras!$B$2:$B$1048576</definedName>
    <definedName name="Forro">Pedidos!$Q$2:$Q$1048576</definedName>
    <definedName name="Hilo">Pedidos!$P$2:$P$1048576</definedName>
    <definedName name="L">Pedidos!$AJ$2:$AJ$1048576</definedName>
    <definedName name="Linea21">OFFSET(Inv!$AL$4,1,0,COUNTA(Inv!$AL$5:$AL$30),1)</definedName>
    <definedName name="Linea5U">OFFSET(Inv!$AT$4,1,0,COUNTA(Inv!$AT$5:$AT$30),1)</definedName>
    <definedName name="Linea72">OFFSET(Inv!$AZ$4,1,0,COUNTA(Inv!$AZ$5:$AZ$30),1)</definedName>
    <definedName name="LineaBombai">OFFSET(Inv!$AX$4,1,0,COUNTA(Inv!$AX$5:$AX$30),1)</definedName>
    <definedName name="LineaHF">OFFSET(Inv!$AR$4,1,0,COUNTA(Inv!$AR$5:$AR$30),1)</definedName>
    <definedName name="LineaN25">OFFSET(Inv!$BB$4,1,0,COUNTA(Inv!$BB$5:$BB$30),1)</definedName>
    <definedName name="LineaN3U">OFFSET(Inv!$AO$4,1,0,COUNTA(Inv!$AO$5:$AO$30),1)</definedName>
    <definedName name="LineaN3Z">OFFSET(Inv!$AI$4,1,0,COUNTA(Inv!$AI$5:$AI$50),1)</definedName>
    <definedName name="LineaQX">OFFSET(Inv!$AV$4,1,0,COUNTA(Inv!$AV$5:$AV$30),1)</definedName>
    <definedName name="Lista_Pedidos">Pedidos!$J:$AZ</definedName>
    <definedName name="ListaClothes">OFFSET(TablaClothes[[#Headers],[Style]],MATCH(Productos!$M$3,TablaClothes[[#All],[Style]],0)-1,1,COUNTIF(TablaClothes[[#All],[Style]],Productos!$M$3),2)</definedName>
    <definedName name="ListaLineaC">IF(Productos!$M$9,#REF!,#REF!)</definedName>
    <definedName name="ListaRefInsu">OFFSET(Productos!$O$1,MATCH(Productos!$M$8,TablaInsu[[#All],[Insumo]],0)-1,1,COUNTIF(TablaInsu[[#All],[Insumo]],Productos!$M$8),2)</definedName>
    <definedName name="ListaStyle">OFFSET(TablaStyle[[#Headers],[Collection]],MATCH(Productos!$M$2,TablaStyle[[#All],[Collection]],0)-1,1,COUNTIF(TablaStyle[[#All],[Collection]],Productos!$M$2),1)</definedName>
    <definedName name="M">Pedidos!$AI$2:$AI$1048576</definedName>
    <definedName name="Material">Compras!$D$2:$D$1048576</definedName>
    <definedName name="PO">Pedidos!$A$2:$A$1048576</definedName>
    <definedName name="Ref">Compras!$E$2:$E$1048576</definedName>
    <definedName name="RM">Pedidos!$B$2:$B$1048576</definedName>
    <definedName name="S">Pedidos!$AH$2:$AH$1048576</definedName>
    <definedName name="SKU">Pedidos!$L$2:$L$1048576</definedName>
    <definedName name="Soul_Dancer">Pedidos!$S$2:$S$1048576</definedName>
    <definedName name="Talla">Compras!$H$2:$H$1048576</definedName>
    <definedName name="Tamaño">Compras!$F$2:$F$1048576</definedName>
    <definedName name="UndCompra">Compras!$C$2:$C$1048576</definedName>
    <definedName name="UndV">Pedidos!$M$2:$M$1048576</definedName>
    <definedName name="XL">Pedidos!$AK$2:$AK$1048576</definedName>
    <definedName name="XS">Pedidos!$AG$2:$AG$1048576</definedName>
    <definedName name="XXL">Pedidos!$AL$2:$AL$1048576</definedName>
    <definedName name="YL">Pedidos!$AF$2:$AF$1048576</definedName>
    <definedName name="YM">Pedidos!$AE$2:$AE$1048576</definedName>
    <definedName name="YS">Pedidos!$AD$2:$AD$1048576</definedName>
    <definedName name="YXS">Pedidos!$AC$2:$AC$1048576</definedName>
  </definedNames>
  <calcPr calcId="144525"/>
</workbook>
</file>

<file path=xl/calcChain.xml><?xml version="1.0" encoding="utf-8"?>
<calcChain xmlns="http://schemas.openxmlformats.org/spreadsheetml/2006/main">
  <c r="BE67" i="2" l="1"/>
  <c r="BE66" i="2"/>
  <c r="BE64" i="2"/>
  <c r="BE65" i="2"/>
  <c r="BE63" i="2"/>
  <c r="BE62" i="2"/>
  <c r="BE61" i="2"/>
  <c r="BE60" i="2"/>
  <c r="BE59" i="2"/>
  <c r="BE58" i="2"/>
  <c r="BE57" i="2"/>
  <c r="BE56" i="2"/>
  <c r="BE55" i="2"/>
  <c r="BE54" i="2"/>
  <c r="BE53" i="2"/>
  <c r="BE52" i="2"/>
  <c r="BE51" i="2"/>
  <c r="BE49" i="2"/>
  <c r="BE50" i="2"/>
  <c r="BE48" i="2"/>
  <c r="BE43" i="2"/>
  <c r="BE44" i="2"/>
  <c r="BE45" i="2"/>
  <c r="BE46" i="2"/>
  <c r="BE47" i="2"/>
  <c r="BE42" i="2"/>
  <c r="BE41" i="2"/>
  <c r="BE40" i="2"/>
  <c r="BE39" i="2"/>
  <c r="BE38" i="2"/>
  <c r="BE37" i="2"/>
  <c r="BE36" i="2"/>
  <c r="BE35" i="2"/>
  <c r="BE34" i="2"/>
  <c r="BE33" i="2"/>
  <c r="BE32" i="2"/>
  <c r="BE31" i="2"/>
  <c r="BE30" i="2"/>
  <c r="BE29" i="2"/>
  <c r="BE28" i="2"/>
  <c r="BE27" i="2"/>
  <c r="BE26" i="2"/>
  <c r="BE25" i="2"/>
  <c r="BE24" i="2"/>
  <c r="BE23" i="2"/>
  <c r="BE22" i="2"/>
  <c r="BE21" i="2"/>
  <c r="BE20" i="2"/>
  <c r="BE19" i="2"/>
  <c r="BE18" i="2"/>
  <c r="BE17" i="2"/>
  <c r="BE16" i="2"/>
  <c r="BE15" i="2"/>
  <c r="BE14" i="2"/>
  <c r="BE12" i="2"/>
  <c r="BE13" i="2"/>
  <c r="BE11" i="2"/>
  <c r="BE10" i="2"/>
  <c r="BE9" i="2"/>
  <c r="BE8" i="2"/>
  <c r="BE7" i="2"/>
  <c r="BE6" i="2"/>
  <c r="BE5" i="2"/>
  <c r="BE4" i="2"/>
  <c r="BE3" i="2"/>
  <c r="BE2" i="2"/>
  <c r="AX34" i="3" l="1"/>
  <c r="AX35" i="3"/>
  <c r="AX36" i="3"/>
  <c r="C36" i="3" l="1"/>
  <c r="C38" i="3"/>
  <c r="BF9" i="3"/>
  <c r="BF10" i="3"/>
  <c r="BF11" i="3"/>
  <c r="BF12" i="3"/>
  <c r="BF13" i="3"/>
  <c r="BF14" i="3"/>
  <c r="BF15" i="3"/>
  <c r="BF16" i="3"/>
  <c r="BF17" i="3"/>
  <c r="BF18" i="3"/>
  <c r="BF19" i="3"/>
  <c r="BF20" i="3"/>
  <c r="BF21" i="3"/>
  <c r="BF22" i="3"/>
  <c r="BF23" i="3"/>
  <c r="BF24" i="3"/>
  <c r="BF25" i="3"/>
  <c r="BF26" i="3"/>
  <c r="BF27" i="3"/>
  <c r="BF28" i="3"/>
  <c r="BF29" i="3"/>
  <c r="BF30" i="3"/>
  <c r="BF31" i="3"/>
  <c r="BF32" i="3"/>
  <c r="BF33" i="3"/>
  <c r="BF36" i="3"/>
  <c r="BF37" i="3"/>
  <c r="BF38" i="3"/>
  <c r="BF39" i="3"/>
  <c r="BF40" i="3"/>
  <c r="BF41" i="3"/>
  <c r="BF42" i="3"/>
  <c r="BF43" i="3"/>
  <c r="BF44" i="3"/>
  <c r="BF45" i="3"/>
  <c r="BF46" i="3"/>
  <c r="BF47" i="3"/>
  <c r="BF48" i="3"/>
  <c r="BF49" i="3"/>
  <c r="BF50" i="3"/>
  <c r="BF51" i="3"/>
  <c r="BF52" i="3"/>
  <c r="BF53" i="3"/>
  <c r="BF54" i="3"/>
  <c r="BF55" i="3"/>
  <c r="BF56" i="3"/>
  <c r="BF57" i="3"/>
  <c r="BF58" i="3"/>
  <c r="BF59" i="3"/>
  <c r="BF60" i="3"/>
  <c r="BF61" i="3"/>
  <c r="BF62" i="3"/>
  <c r="BF63" i="3"/>
  <c r="BF64" i="3"/>
  <c r="BF65" i="3"/>
  <c r="BF66" i="3"/>
  <c r="BF67" i="3"/>
  <c r="BF68" i="3"/>
  <c r="BF69" i="3"/>
  <c r="BF70" i="3"/>
  <c r="BF71" i="3"/>
  <c r="BF72" i="3"/>
  <c r="BF73" i="3"/>
  <c r="BF74" i="3"/>
  <c r="BF75" i="3"/>
  <c r="BF76" i="3"/>
  <c r="BF77" i="3"/>
  <c r="BF78" i="3"/>
  <c r="BF79" i="3"/>
  <c r="BF80" i="3"/>
  <c r="BF81" i="3"/>
  <c r="BF82" i="3"/>
  <c r="BF83" i="3"/>
  <c r="BF84" i="3"/>
  <c r="BF85" i="3"/>
  <c r="BF86" i="3"/>
  <c r="BF87" i="3"/>
  <c r="BF88" i="3"/>
  <c r="BF89" i="3"/>
  <c r="BF90" i="3"/>
  <c r="BF91" i="3"/>
  <c r="BF92" i="3"/>
  <c r="BF93" i="3"/>
  <c r="BF94" i="3"/>
  <c r="BF95" i="3"/>
  <c r="BF96" i="3"/>
  <c r="BF97" i="3"/>
  <c r="BF98" i="3"/>
  <c r="BF99" i="3"/>
  <c r="BF100" i="3"/>
  <c r="BF101" i="3"/>
  <c r="BF102" i="3"/>
  <c r="BF103" i="3"/>
  <c r="BF104" i="3"/>
  <c r="BF105" i="3"/>
  <c r="BF106" i="3"/>
  <c r="BF107" i="3"/>
  <c r="BF108" i="3"/>
  <c r="BF109" i="3"/>
  <c r="BF110" i="3"/>
  <c r="BF111" i="3"/>
  <c r="BF112" i="3"/>
  <c r="BF113" i="3"/>
  <c r="BF114" i="3"/>
  <c r="BF115" i="3"/>
  <c r="BF116" i="3"/>
  <c r="BF117" i="3"/>
  <c r="BF118" i="3"/>
  <c r="BF119" i="3"/>
  <c r="BF120" i="3"/>
  <c r="BF121" i="3"/>
  <c r="BF122" i="3"/>
  <c r="BF123" i="3"/>
  <c r="BF124" i="3"/>
  <c r="BF125" i="3"/>
  <c r="BF126" i="3"/>
  <c r="BF127" i="3"/>
  <c r="BF128" i="3"/>
  <c r="BF129" i="3"/>
  <c r="BF130" i="3"/>
  <c r="BF131" i="3"/>
  <c r="BF132" i="3"/>
  <c r="BF133" i="3"/>
  <c r="BF134" i="3"/>
  <c r="BF135" i="3"/>
  <c r="BF136" i="3"/>
  <c r="BF137" i="3"/>
  <c r="BF138" i="3"/>
  <c r="BF139" i="3"/>
  <c r="BF140" i="3"/>
  <c r="BF141" i="3"/>
  <c r="BF142" i="3"/>
  <c r="BF143" i="3"/>
  <c r="BF144" i="3"/>
  <c r="BF145" i="3"/>
  <c r="BF146" i="3"/>
  <c r="BF147" i="3"/>
  <c r="BF148" i="3"/>
  <c r="BF149" i="3"/>
  <c r="BF150" i="3"/>
  <c r="BF151" i="3"/>
  <c r="BF152" i="3"/>
  <c r="BF153" i="3"/>
  <c r="BF154" i="3"/>
  <c r="BF155" i="3"/>
  <c r="BF156" i="3"/>
  <c r="BF157" i="3"/>
  <c r="BF158" i="3"/>
  <c r="BF159" i="3"/>
  <c r="BF160" i="3"/>
  <c r="BF161" i="3"/>
  <c r="BF162" i="3"/>
  <c r="BF163" i="3"/>
  <c r="BF164" i="3"/>
  <c r="BF165" i="3"/>
  <c r="BF166" i="3"/>
  <c r="BF167" i="3"/>
  <c r="BF168" i="3"/>
  <c r="BF169" i="3"/>
  <c r="BF170" i="3"/>
  <c r="BF171" i="3"/>
  <c r="BF172" i="3"/>
  <c r="BF173" i="3"/>
  <c r="BF174" i="3"/>
  <c r="BF175" i="3"/>
  <c r="BF176" i="3"/>
  <c r="BF177" i="3"/>
  <c r="BF178" i="3"/>
  <c r="BF179" i="3"/>
  <c r="BF180" i="3"/>
  <c r="BF181" i="3"/>
  <c r="BF182" i="3"/>
  <c r="BF183" i="3"/>
  <c r="BF184" i="3"/>
  <c r="BF185" i="3"/>
  <c r="BF186" i="3"/>
  <c r="BF187" i="3"/>
  <c r="BF188" i="3"/>
  <c r="BF189" i="3"/>
  <c r="BF190" i="3"/>
  <c r="BF191" i="3"/>
  <c r="BF192" i="3"/>
  <c r="BF193" i="3"/>
  <c r="BF194" i="3"/>
  <c r="BF195" i="3"/>
  <c r="BF196" i="3"/>
  <c r="BF197" i="3"/>
  <c r="BF198" i="3"/>
  <c r="BF199" i="3"/>
  <c r="BF200" i="3"/>
  <c r="BF201" i="3"/>
  <c r="BF202" i="3"/>
  <c r="BF203" i="3"/>
  <c r="BF204" i="3"/>
  <c r="BF205" i="3"/>
  <c r="BF206" i="3"/>
  <c r="BF207" i="3"/>
  <c r="BF208" i="3"/>
  <c r="BF209" i="3"/>
  <c r="BF210" i="3"/>
  <c r="BF211" i="3"/>
  <c r="BF212" i="3"/>
  <c r="BF213" i="3"/>
  <c r="BF214" i="3"/>
  <c r="BF215" i="3"/>
  <c r="BF216" i="3"/>
  <c r="BF217" i="3"/>
  <c r="BF218" i="3"/>
  <c r="BF219" i="3"/>
  <c r="BF220" i="3"/>
  <c r="BF221" i="3"/>
  <c r="BF222" i="3"/>
  <c r="BF223" i="3"/>
  <c r="BF224" i="3"/>
  <c r="BF225" i="3"/>
  <c r="BF226" i="3"/>
  <c r="BF227" i="3"/>
  <c r="BF228" i="3"/>
  <c r="BF229" i="3"/>
  <c r="BF230" i="3"/>
  <c r="BF231" i="3"/>
  <c r="BF232" i="3"/>
  <c r="BF233" i="3"/>
  <c r="BF234" i="3"/>
  <c r="BF235" i="3"/>
  <c r="BF236" i="3"/>
  <c r="BF237" i="3"/>
  <c r="BF238" i="3"/>
  <c r="BF239" i="3"/>
  <c r="BF240" i="3"/>
  <c r="BF241" i="3"/>
  <c r="BF242" i="3"/>
  <c r="BF243" i="3"/>
  <c r="BF244" i="3"/>
  <c r="BF245" i="3"/>
  <c r="BF246" i="3"/>
  <c r="BF247" i="3"/>
  <c r="BF248" i="3"/>
  <c r="BF249" i="3"/>
  <c r="BF250" i="3"/>
  <c r="BF251" i="3"/>
  <c r="BF252" i="3"/>
  <c r="BF253" i="3"/>
  <c r="BF254" i="3"/>
  <c r="BF255" i="3"/>
  <c r="BF256" i="3"/>
  <c r="BF257" i="3"/>
  <c r="BF258" i="3"/>
  <c r="BF259" i="3"/>
  <c r="BF260" i="3"/>
  <c r="BF261" i="3"/>
  <c r="BF262" i="3"/>
  <c r="BF263" i="3"/>
  <c r="BF264" i="3"/>
  <c r="BF265" i="3"/>
  <c r="BF266" i="3"/>
  <c r="BF267" i="3"/>
  <c r="BF268" i="3"/>
  <c r="BF269" i="3"/>
  <c r="BF270" i="3"/>
  <c r="BF271" i="3"/>
  <c r="BF272" i="3"/>
  <c r="BF273" i="3"/>
  <c r="BF274" i="3"/>
  <c r="BF275" i="3"/>
  <c r="BF276" i="3"/>
  <c r="BF277" i="3"/>
  <c r="BF278" i="3"/>
  <c r="BF279" i="3"/>
  <c r="BF280" i="3"/>
  <c r="BF281" i="3"/>
  <c r="BF282" i="3"/>
  <c r="BF283" i="3"/>
  <c r="BF284" i="3"/>
  <c r="BF285" i="3"/>
  <c r="BF286" i="3"/>
  <c r="BF287" i="3"/>
  <c r="BF288" i="3"/>
  <c r="BF289" i="3"/>
  <c r="BF290" i="3"/>
  <c r="BF291" i="3"/>
  <c r="BF292" i="3"/>
  <c r="BF293" i="3"/>
  <c r="BF294" i="3"/>
  <c r="BF295" i="3"/>
  <c r="BF296" i="3"/>
  <c r="BF297" i="3"/>
  <c r="BF298" i="3"/>
  <c r="BF299" i="3"/>
  <c r="BF7" i="3"/>
  <c r="BF8" i="3"/>
  <c r="BF5" i="3"/>
  <c r="BG6" i="3"/>
  <c r="BF6" i="3" s="1"/>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B5" i="12"/>
  <c r="C5" i="12"/>
  <c r="D5" i="12"/>
  <c r="B6" i="12"/>
  <c r="C6" i="12"/>
  <c r="D6" i="12"/>
  <c r="B7" i="12"/>
  <c r="C7" i="12"/>
  <c r="D7" i="12"/>
  <c r="B8" i="12"/>
  <c r="C8" i="12"/>
  <c r="D8" i="12"/>
  <c r="B9" i="12"/>
  <c r="C9" i="12"/>
  <c r="D9" i="12"/>
  <c r="B10" i="12"/>
  <c r="C10" i="12"/>
  <c r="D10" i="12"/>
  <c r="B11" i="12"/>
  <c r="C11" i="12"/>
  <c r="D11" i="12"/>
  <c r="B12" i="12"/>
  <c r="C12" i="12"/>
  <c r="D12" i="12"/>
  <c r="B13" i="12"/>
  <c r="C13" i="12"/>
  <c r="D13" i="12"/>
  <c r="B14" i="12"/>
  <c r="C14" i="12"/>
  <c r="D14" i="12"/>
  <c r="B15" i="12"/>
  <c r="C15" i="12"/>
  <c r="D15" i="12"/>
  <c r="B16" i="12"/>
  <c r="C16" i="12"/>
  <c r="D16" i="12"/>
  <c r="B17" i="12"/>
  <c r="C17" i="12"/>
  <c r="D17" i="12"/>
  <c r="B18" i="12"/>
  <c r="C18" i="12"/>
  <c r="D18" i="12"/>
  <c r="B19" i="12"/>
  <c r="C19" i="12"/>
  <c r="D19" i="12"/>
  <c r="B20" i="12"/>
  <c r="C20" i="12"/>
  <c r="D20" i="12"/>
  <c r="B21" i="12"/>
  <c r="C21" i="12"/>
  <c r="D21" i="12"/>
  <c r="B22" i="12"/>
  <c r="C22" i="12"/>
  <c r="D22" i="12"/>
  <c r="B23" i="12"/>
  <c r="C23" i="12"/>
  <c r="D23" i="12"/>
  <c r="B24" i="12"/>
  <c r="C24" i="12"/>
  <c r="D24" i="12"/>
  <c r="B25" i="12"/>
  <c r="C25" i="12"/>
  <c r="D25" i="12"/>
  <c r="IQ2" i="11"/>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102" i="3"/>
  <c r="D103" i="3"/>
  <c r="D104" i="3"/>
  <c r="D105" i="3"/>
  <c r="D106" i="3"/>
  <c r="D107" i="3"/>
  <c r="D108" i="3"/>
  <c r="D109" i="3"/>
  <c r="D110" i="3"/>
  <c r="D111" i="3"/>
  <c r="D112" i="3"/>
  <c r="D113"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155" i="3"/>
  <c r="D156" i="3"/>
  <c r="D157" i="3"/>
  <c r="D158" i="3"/>
  <c r="D159" i="3"/>
  <c r="D160" i="3"/>
  <c r="D161" i="3"/>
  <c r="D162" i="3"/>
  <c r="D163" i="3"/>
  <c r="D164" i="3"/>
  <c r="D165" i="3"/>
  <c r="D166" i="3"/>
  <c r="D167" i="3"/>
  <c r="D168" i="3"/>
  <c r="D169" i="3"/>
  <c r="D170" i="3"/>
  <c r="D171" i="3"/>
  <c r="D172" i="3"/>
  <c r="D173" i="3"/>
  <c r="D174" i="3"/>
  <c r="D175" i="3"/>
  <c r="D176" i="3"/>
  <c r="D177" i="3"/>
  <c r="D178" i="3"/>
  <c r="D179" i="3"/>
  <c r="D180" i="3"/>
  <c r="D181" i="3"/>
  <c r="D182" i="3"/>
  <c r="D183" i="3"/>
  <c r="D184"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D211" i="3"/>
  <c r="D212" i="3"/>
  <c r="D213" i="3"/>
  <c r="D214" i="3"/>
  <c r="D215" i="3"/>
  <c r="D216" i="3"/>
  <c r="D217" i="3"/>
  <c r="D218" i="3"/>
  <c r="D219" i="3"/>
  <c r="D220" i="3"/>
  <c r="D221" i="3"/>
  <c r="D222" i="3"/>
  <c r="D223" i="3"/>
  <c r="D224" i="3"/>
  <c r="D225" i="3"/>
  <c r="D226" i="3"/>
  <c r="D227" i="3"/>
  <c r="D228" i="3"/>
  <c r="D229" i="3"/>
  <c r="D230" i="3"/>
  <c r="D231" i="3"/>
  <c r="D232" i="3"/>
  <c r="D233" i="3"/>
  <c r="D234" i="3"/>
  <c r="D235" i="3"/>
  <c r="D236" i="3"/>
  <c r="D237" i="3"/>
  <c r="D238" i="3"/>
  <c r="D239" i="3"/>
  <c r="D240" i="3"/>
  <c r="D241" i="3"/>
  <c r="D242" i="3"/>
  <c r="D243" i="3"/>
  <c r="D244" i="3"/>
  <c r="D245" i="3"/>
  <c r="D246" i="3"/>
  <c r="D247" i="3"/>
  <c r="D248" i="3"/>
  <c r="D249" i="3"/>
  <c r="D250" i="3"/>
  <c r="D251" i="3"/>
  <c r="D252" i="3"/>
  <c r="D253" i="3"/>
  <c r="D254" i="3"/>
  <c r="D255" i="3"/>
  <c r="D256" i="3"/>
  <c r="D257" i="3"/>
  <c r="D258" i="3"/>
  <c r="D259" i="3"/>
  <c r="D260" i="3"/>
  <c r="D261" i="3"/>
  <c r="D262" i="3"/>
  <c r="D263" i="3"/>
  <c r="D264" i="3"/>
  <c r="D265" i="3"/>
  <c r="D266" i="3"/>
  <c r="D267" i="3"/>
  <c r="D268" i="3"/>
  <c r="D269" i="3"/>
  <c r="D270" i="3"/>
  <c r="D271" i="3"/>
  <c r="D272" i="3"/>
  <c r="D273" i="3"/>
  <c r="D274" i="3"/>
  <c r="D275" i="3"/>
  <c r="D276" i="3"/>
  <c r="D277" i="3"/>
  <c r="D278" i="3"/>
  <c r="D279" i="3"/>
  <c r="D280" i="3"/>
  <c r="D281" i="3"/>
  <c r="D282" i="3"/>
  <c r="D283" i="3"/>
  <c r="D284" i="3"/>
  <c r="D285" i="3"/>
  <c r="D286" i="3"/>
  <c r="D287" i="3"/>
  <c r="D288" i="3"/>
  <c r="D289" i="3"/>
  <c r="D290" i="3"/>
  <c r="D291" i="3"/>
  <c r="D292" i="3"/>
  <c r="D293" i="3"/>
  <c r="D294" i="3"/>
  <c r="D295" i="3"/>
  <c r="D296" i="3"/>
  <c r="D297" i="3"/>
  <c r="D298" i="3"/>
  <c r="D299" i="3"/>
  <c r="D42" i="3"/>
  <c r="D43" i="3"/>
  <c r="D44" i="3"/>
  <c r="D45" i="3"/>
  <c r="D46" i="3"/>
  <c r="D47" i="3"/>
  <c r="IY415" i="11" l="1"/>
  <c r="IY368" i="11"/>
  <c r="IZ368" i="11" s="1"/>
  <c r="IY299" i="11"/>
  <c r="IY277" i="11"/>
  <c r="IY231" i="11"/>
  <c r="IY184" i="11"/>
  <c r="IZ184" i="11" s="1"/>
  <c r="IY138" i="11"/>
  <c r="IZ138" i="11" s="1"/>
  <c r="IY92" i="11"/>
  <c r="IZ92" i="11" s="1"/>
  <c r="IY26" i="11"/>
  <c r="IY437" i="11"/>
  <c r="IY414" i="11"/>
  <c r="IZ414" i="11" s="1"/>
  <c r="IY391" i="11"/>
  <c r="IY369" i="11"/>
  <c r="IY345" i="11"/>
  <c r="IY323" i="11"/>
  <c r="IY276" i="11"/>
  <c r="IZ276" i="11" s="1"/>
  <c r="IY253" i="11"/>
  <c r="IY207" i="11"/>
  <c r="IY185" i="11"/>
  <c r="IY161" i="11"/>
  <c r="IY139" i="11"/>
  <c r="IY115" i="11"/>
  <c r="IY93" i="11"/>
  <c r="IY69" i="11"/>
  <c r="IY47" i="11"/>
  <c r="IU9" i="11"/>
  <c r="IS9" i="11"/>
  <c r="IQ9" i="11"/>
  <c r="IO9" i="11"/>
  <c r="IM9" i="11"/>
  <c r="IK9" i="11"/>
  <c r="IV9" i="11"/>
  <c r="IT9" i="11"/>
  <c r="IR9" i="11"/>
  <c r="IP9" i="11"/>
  <c r="IN9" i="11"/>
  <c r="IL9" i="11"/>
  <c r="IJ9" i="11"/>
  <c r="IA24" i="11"/>
  <c r="IA22" i="11"/>
  <c r="IA18" i="11"/>
  <c r="IA14" i="11"/>
  <c r="IW12" i="11"/>
  <c r="IU11" i="11"/>
  <c r="IS11" i="11"/>
  <c r="IQ11" i="11"/>
  <c r="IO11" i="11"/>
  <c r="IM11" i="11"/>
  <c r="IK11" i="11"/>
  <c r="IF11" i="11"/>
  <c r="IW9" i="11"/>
  <c r="IF9" i="11"/>
  <c r="IW7" i="11"/>
  <c r="IP7" i="11"/>
  <c r="IJ7" i="11"/>
  <c r="IJ6" i="11"/>
  <c r="IA23" i="11"/>
  <c r="IA19" i="11"/>
  <c r="IA17" i="11"/>
  <c r="IA15" i="11"/>
  <c r="IA13" i="11"/>
  <c r="IV11" i="11"/>
  <c r="IT11" i="11"/>
  <c r="IR11" i="11"/>
  <c r="IP11" i="11"/>
  <c r="IN11" i="11"/>
  <c r="IL11" i="11"/>
  <c r="IJ11" i="11"/>
  <c r="IA11" i="11"/>
  <c r="IA9" i="11"/>
  <c r="IV7" i="11"/>
  <c r="IM7" i="11"/>
  <c r="IA7" i="11"/>
  <c r="IA6" i="11"/>
  <c r="IQ1" i="11"/>
  <c r="IA1" i="11"/>
  <c r="IA2" i="11"/>
  <c r="IW2" i="11"/>
  <c r="IQ3" i="11"/>
  <c r="IQ4" i="11"/>
  <c r="IQ5" i="11"/>
  <c r="IA3" i="11"/>
  <c r="IA4" i="11"/>
  <c r="IA5" i="11"/>
  <c r="B4" i="12"/>
  <c r="C4" i="12"/>
  <c r="D4" i="12"/>
  <c r="D3" i="12"/>
  <c r="C3" i="12"/>
  <c r="A3" i="12"/>
  <c r="F3" i="12" s="1"/>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IA448" i="11" l="1"/>
  <c r="IA426" i="11"/>
  <c r="IA402" i="11"/>
  <c r="IA380" i="11"/>
  <c r="IA334" i="11"/>
  <c r="IA310" i="11"/>
  <c r="IA264" i="11"/>
  <c r="IA242" i="11"/>
  <c r="IA196" i="11"/>
  <c r="IA150" i="11"/>
  <c r="IA104" i="11"/>
  <c r="IA58" i="11"/>
  <c r="IA37" i="11"/>
  <c r="IA356" i="11"/>
  <c r="IA288" i="11"/>
  <c r="IA218" i="11"/>
  <c r="IA172" i="11"/>
  <c r="IA126" i="11"/>
  <c r="IA80" i="11"/>
  <c r="IA75" i="11"/>
  <c r="IZ69" i="11"/>
  <c r="IA71" i="11"/>
  <c r="IA121" i="11"/>
  <c r="IZ115" i="11"/>
  <c r="IA117" i="11"/>
  <c r="IA167" i="11"/>
  <c r="IZ161" i="11"/>
  <c r="IA163" i="11"/>
  <c r="IA213" i="11"/>
  <c r="IZ207" i="11"/>
  <c r="IA209" i="11"/>
  <c r="IA228" i="11" s="1"/>
  <c r="IA351" i="11"/>
  <c r="IZ345" i="11"/>
  <c r="IA347" i="11"/>
  <c r="IA397" i="11"/>
  <c r="IZ391" i="11"/>
  <c r="IA393" i="11"/>
  <c r="IA443" i="11"/>
  <c r="IA439" i="11"/>
  <c r="IZ437" i="11"/>
  <c r="IA283" i="11"/>
  <c r="IZ277" i="11"/>
  <c r="IA279" i="11"/>
  <c r="IZ47" i="11"/>
  <c r="IZ26" i="11"/>
  <c r="IA53" i="11"/>
  <c r="IA49" i="11"/>
  <c r="IZ93" i="11"/>
  <c r="IA99" i="11"/>
  <c r="IA95" i="11"/>
  <c r="IZ139" i="11"/>
  <c r="IA145" i="11"/>
  <c r="IA141" i="11"/>
  <c r="IA191" i="11"/>
  <c r="IZ185" i="11"/>
  <c r="IA187" i="11"/>
  <c r="IA259" i="11"/>
  <c r="IZ253" i="11"/>
  <c r="IA255" i="11"/>
  <c r="IA274" i="11" s="1"/>
  <c r="IA329" i="11"/>
  <c r="IZ323" i="11"/>
  <c r="IA325" i="11"/>
  <c r="IA375" i="11"/>
  <c r="IZ369" i="11"/>
  <c r="IA371" i="11"/>
  <c r="IA32" i="11"/>
  <c r="IA28" i="11"/>
  <c r="IA237" i="11"/>
  <c r="IZ231" i="11"/>
  <c r="IA233" i="11"/>
  <c r="IA305" i="11"/>
  <c r="IZ299" i="11"/>
  <c r="IA301" i="11"/>
  <c r="IA421" i="11"/>
  <c r="IZ415" i="11"/>
  <c r="IA417" i="11"/>
  <c r="IW11" i="11"/>
  <c r="IA16" i="11"/>
  <c r="G3" i="12"/>
  <c r="E3" i="12"/>
  <c r="H3" i="12"/>
  <c r="A4" i="12"/>
  <c r="A5" i="12"/>
  <c r="A6" i="12"/>
  <c r="A7" i="12"/>
  <c r="A8" i="12"/>
  <c r="A9" i="12"/>
  <c r="A10" i="12"/>
  <c r="A11" i="12"/>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B3" i="12"/>
  <c r="IA317" i="11" l="1"/>
  <c r="IA311" i="11"/>
  <c r="IA307" i="11"/>
  <c r="IS305" i="11"/>
  <c r="IO305" i="11"/>
  <c r="IK305" i="11"/>
  <c r="IA318" i="11"/>
  <c r="IA312" i="11"/>
  <c r="IW306" i="11"/>
  <c r="IT305" i="11"/>
  <c r="IP305" i="11"/>
  <c r="IL305" i="11"/>
  <c r="IV303" i="11"/>
  <c r="IR303" i="11"/>
  <c r="IN303" i="11"/>
  <c r="IJ303" i="11"/>
  <c r="IV301" i="11"/>
  <c r="IA300" i="11"/>
  <c r="IW301" i="11"/>
  <c r="IO303" i="11"/>
  <c r="IW303" i="11"/>
  <c r="IJ300" i="11"/>
  <c r="IF303" i="11"/>
  <c r="IQ303" i="11"/>
  <c r="IA313" i="11"/>
  <c r="IA309" i="11"/>
  <c r="IU305" i="11"/>
  <c r="IQ305" i="11"/>
  <c r="IM305" i="11"/>
  <c r="IF305" i="11"/>
  <c r="IA316" i="11"/>
  <c r="IA308" i="11"/>
  <c r="IV305" i="11"/>
  <c r="IR305" i="11"/>
  <c r="IN305" i="11"/>
  <c r="IJ305" i="11"/>
  <c r="IT303" i="11"/>
  <c r="IP303" i="11"/>
  <c r="IL303" i="11"/>
  <c r="IA303" i="11"/>
  <c r="IM301" i="11"/>
  <c r="IJ301" i="11"/>
  <c r="IK303" i="11"/>
  <c r="IS303" i="11"/>
  <c r="IP301" i="11"/>
  <c r="IM303" i="11"/>
  <c r="IU303" i="11"/>
  <c r="IA388" i="11"/>
  <c r="IA382" i="11"/>
  <c r="IW376" i="11"/>
  <c r="IT375" i="11"/>
  <c r="IA387" i="11"/>
  <c r="IA379" i="11"/>
  <c r="IP375" i="11"/>
  <c r="IL375" i="11"/>
  <c r="IV373" i="11"/>
  <c r="IR373" i="11"/>
  <c r="IN373" i="11"/>
  <c r="IJ373" i="11"/>
  <c r="IV371" i="11"/>
  <c r="IA370" i="11"/>
  <c r="IA377" i="11"/>
  <c r="IQ375" i="11"/>
  <c r="IM375" i="11"/>
  <c r="IF375" i="11"/>
  <c r="IU373" i="11"/>
  <c r="IQ373" i="11"/>
  <c r="IM373" i="11"/>
  <c r="IF373" i="11"/>
  <c r="IP371" i="11"/>
  <c r="IJ370" i="11"/>
  <c r="IA386" i="11"/>
  <c r="IA378" i="11"/>
  <c r="IV375" i="11"/>
  <c r="IR375" i="11"/>
  <c r="IA381" i="11"/>
  <c r="IS375" i="11"/>
  <c r="IN375" i="11"/>
  <c r="IJ375" i="11"/>
  <c r="IT373" i="11"/>
  <c r="IP373" i="11"/>
  <c r="IL373" i="11"/>
  <c r="IA373" i="11"/>
  <c r="IM371" i="11"/>
  <c r="IA383" i="11"/>
  <c r="IU375" i="11"/>
  <c r="IO375" i="11"/>
  <c r="IK375" i="11"/>
  <c r="IW373" i="11"/>
  <c r="IS373" i="11"/>
  <c r="IO373" i="11"/>
  <c r="IK373" i="11"/>
  <c r="IW371" i="11"/>
  <c r="IJ371" i="11"/>
  <c r="IA272" i="11"/>
  <c r="IA266" i="11"/>
  <c r="IW260" i="11"/>
  <c r="IT259" i="11"/>
  <c r="IP259" i="11"/>
  <c r="IL259" i="11"/>
  <c r="IV257" i="11"/>
  <c r="IR257" i="11"/>
  <c r="IN257" i="11"/>
  <c r="IJ257" i="11"/>
  <c r="IV255" i="11"/>
  <c r="IA254" i="11"/>
  <c r="IA267" i="11"/>
  <c r="IA263" i="11"/>
  <c r="IU259" i="11"/>
  <c r="IQ259" i="11"/>
  <c r="IM259" i="11"/>
  <c r="IF259" i="11"/>
  <c r="IU257" i="11"/>
  <c r="IQ257" i="11"/>
  <c r="IM257" i="11"/>
  <c r="IF257" i="11"/>
  <c r="IP255" i="11"/>
  <c r="IJ254" i="11"/>
  <c r="IA270" i="11"/>
  <c r="IA262" i="11"/>
  <c r="IV259" i="11"/>
  <c r="IR259" i="11"/>
  <c r="IN259" i="11"/>
  <c r="IJ259" i="11"/>
  <c r="IT257" i="11"/>
  <c r="IP257" i="11"/>
  <c r="IL257" i="11"/>
  <c r="IA257" i="11"/>
  <c r="IM255" i="11"/>
  <c r="IA271" i="11"/>
  <c r="IA265" i="11"/>
  <c r="IA261" i="11"/>
  <c r="IS259" i="11"/>
  <c r="IO259" i="11"/>
  <c r="IK259" i="11"/>
  <c r="IW257" i="11"/>
  <c r="IS257" i="11"/>
  <c r="IO257" i="11"/>
  <c r="IK257" i="11"/>
  <c r="IW255" i="11"/>
  <c r="IJ255" i="11"/>
  <c r="IA107" i="11"/>
  <c r="IA103" i="11"/>
  <c r="IU99" i="11"/>
  <c r="IQ99" i="11"/>
  <c r="IM99" i="11"/>
  <c r="IF99" i="11"/>
  <c r="IU97" i="11"/>
  <c r="IQ97" i="11"/>
  <c r="IM97" i="11"/>
  <c r="IF97" i="11"/>
  <c r="IP95" i="11"/>
  <c r="IJ94" i="11"/>
  <c r="IA110" i="11"/>
  <c r="IA102" i="11"/>
  <c r="IV99" i="11"/>
  <c r="IR99" i="11"/>
  <c r="IN99" i="11"/>
  <c r="IJ99" i="11"/>
  <c r="IT97" i="11"/>
  <c r="IP97" i="11"/>
  <c r="IL97" i="11"/>
  <c r="IA97" i="11"/>
  <c r="IM95" i="11"/>
  <c r="IA111" i="11"/>
  <c r="IA105" i="11"/>
  <c r="IA101" i="11"/>
  <c r="IS99" i="11"/>
  <c r="IO99" i="11"/>
  <c r="IK99" i="11"/>
  <c r="IW97" i="11"/>
  <c r="IS97" i="11"/>
  <c r="IO97" i="11"/>
  <c r="IK97" i="11"/>
  <c r="IW95" i="11"/>
  <c r="IJ95" i="11"/>
  <c r="IA112" i="11"/>
  <c r="IA106" i="11"/>
  <c r="IW100" i="11"/>
  <c r="IT99" i="11"/>
  <c r="IP99" i="11"/>
  <c r="IL99" i="11"/>
  <c r="IV97" i="11"/>
  <c r="IR97" i="11"/>
  <c r="IN97" i="11"/>
  <c r="IJ97" i="11"/>
  <c r="IV95" i="11"/>
  <c r="IA94" i="11"/>
  <c r="IA65" i="11"/>
  <c r="IA59" i="11"/>
  <c r="IA55" i="11"/>
  <c r="IS53" i="11"/>
  <c r="IO53" i="11"/>
  <c r="IK53" i="11"/>
  <c r="IW51" i="11"/>
  <c r="IS51" i="11"/>
  <c r="IO51" i="11"/>
  <c r="IK51" i="11"/>
  <c r="IW49" i="11"/>
  <c r="IJ49" i="11"/>
  <c r="IA66" i="11"/>
  <c r="IA60" i="11"/>
  <c r="IW54" i="11"/>
  <c r="IT53" i="11"/>
  <c r="IP53" i="11"/>
  <c r="IL53" i="11"/>
  <c r="IV51" i="11"/>
  <c r="IR51" i="11"/>
  <c r="IN51" i="11"/>
  <c r="IJ51" i="11"/>
  <c r="IV49" i="11"/>
  <c r="IA48" i="11"/>
  <c r="IA61" i="11"/>
  <c r="IA57" i="11"/>
  <c r="IU53" i="11"/>
  <c r="IQ53" i="11"/>
  <c r="IM53" i="11"/>
  <c r="IF53" i="11"/>
  <c r="IU51" i="11"/>
  <c r="IQ51" i="11"/>
  <c r="IM51" i="11"/>
  <c r="IF51" i="11"/>
  <c r="IP49" i="11"/>
  <c r="IJ48" i="11"/>
  <c r="IA64" i="11"/>
  <c r="IA56" i="11"/>
  <c r="IV53" i="11"/>
  <c r="IR53" i="11"/>
  <c r="IN53" i="11"/>
  <c r="IJ53" i="11"/>
  <c r="IT51" i="11"/>
  <c r="IP51" i="11"/>
  <c r="IL51" i="11"/>
  <c r="IA51" i="11"/>
  <c r="IM49" i="11"/>
  <c r="IA294" i="11"/>
  <c r="IA286" i="11"/>
  <c r="IV283" i="11"/>
  <c r="IR283" i="11"/>
  <c r="IN283" i="11"/>
  <c r="IJ283" i="11"/>
  <c r="IT281" i="11"/>
  <c r="IP281" i="11"/>
  <c r="IL281" i="11"/>
  <c r="IA281" i="11"/>
  <c r="IM279" i="11"/>
  <c r="IA296" i="11"/>
  <c r="IA289" i="11"/>
  <c r="IA285" i="11"/>
  <c r="IS283" i="11"/>
  <c r="IO283" i="11"/>
  <c r="IK283" i="11"/>
  <c r="IW281" i="11"/>
  <c r="IS281" i="11"/>
  <c r="IO281" i="11"/>
  <c r="IK281" i="11"/>
  <c r="IW279" i="11"/>
  <c r="IJ279" i="11"/>
  <c r="IA295" i="11"/>
  <c r="IA290" i="11"/>
  <c r="IW284" i="11"/>
  <c r="IT283" i="11"/>
  <c r="IP283" i="11"/>
  <c r="IL283" i="11"/>
  <c r="IV281" i="11"/>
  <c r="IR281" i="11"/>
  <c r="IN281" i="11"/>
  <c r="IJ281" i="11"/>
  <c r="IV279" i="11"/>
  <c r="IA278" i="11"/>
  <c r="IA291" i="11"/>
  <c r="IA287" i="11"/>
  <c r="IU283" i="11"/>
  <c r="IQ283" i="11"/>
  <c r="IM283" i="11"/>
  <c r="IF283" i="11"/>
  <c r="IU281" i="11"/>
  <c r="IQ281" i="11"/>
  <c r="IM281" i="11"/>
  <c r="IF281" i="11"/>
  <c r="IP279" i="11"/>
  <c r="IJ278" i="11"/>
  <c r="IA456" i="11"/>
  <c r="IA450" i="11"/>
  <c r="IW444" i="11"/>
  <c r="IT443" i="11"/>
  <c r="IP443" i="11"/>
  <c r="IL443" i="11"/>
  <c r="IV441" i="11"/>
  <c r="IR441" i="11"/>
  <c r="IN441" i="11"/>
  <c r="IJ441" i="11"/>
  <c r="IV439" i="11"/>
  <c r="IA438" i="11"/>
  <c r="IA451" i="11"/>
  <c r="IA447" i="11"/>
  <c r="IU443" i="11"/>
  <c r="IQ443" i="11"/>
  <c r="IM443" i="11"/>
  <c r="IF443" i="11"/>
  <c r="IU441" i="11"/>
  <c r="IQ441" i="11"/>
  <c r="IM441" i="11"/>
  <c r="IF441" i="11"/>
  <c r="IP439" i="11"/>
  <c r="IJ438" i="11"/>
  <c r="IA454" i="11"/>
  <c r="IA446" i="11"/>
  <c r="IV443" i="11"/>
  <c r="IR443" i="11"/>
  <c r="IN443" i="11"/>
  <c r="IJ443" i="11"/>
  <c r="IT441" i="11"/>
  <c r="IP441" i="11"/>
  <c r="IL441" i="11"/>
  <c r="IA441" i="11"/>
  <c r="IM439" i="11"/>
  <c r="IA455" i="11"/>
  <c r="IA449" i="11"/>
  <c r="IA445" i="11"/>
  <c r="IS443" i="11"/>
  <c r="IO443" i="11"/>
  <c r="IK443" i="11"/>
  <c r="IW441" i="11"/>
  <c r="IS441" i="11"/>
  <c r="IO441" i="11"/>
  <c r="IK441" i="11"/>
  <c r="IW439" i="11"/>
  <c r="IJ439" i="11"/>
  <c r="IA408" i="11"/>
  <c r="IA400" i="11"/>
  <c r="IV397" i="11"/>
  <c r="IR397" i="11"/>
  <c r="IN397" i="11"/>
  <c r="IJ397" i="11"/>
  <c r="IT395" i="11"/>
  <c r="IP395" i="11"/>
  <c r="IL395" i="11"/>
  <c r="IA395" i="11"/>
  <c r="IM393" i="11"/>
  <c r="IA409" i="11"/>
  <c r="IA403" i="11"/>
  <c r="IA399" i="11"/>
  <c r="IS397" i="11"/>
  <c r="IO397" i="11"/>
  <c r="IK397" i="11"/>
  <c r="IW395" i="11"/>
  <c r="IS395" i="11"/>
  <c r="IO395" i="11"/>
  <c r="IK395" i="11"/>
  <c r="IW393" i="11"/>
  <c r="IJ393" i="11"/>
  <c r="IA410" i="11"/>
  <c r="IA404" i="11"/>
  <c r="IW398" i="11"/>
  <c r="IT397" i="11"/>
  <c r="IP397" i="11"/>
  <c r="IL397" i="11"/>
  <c r="IV395" i="11"/>
  <c r="IR395" i="11"/>
  <c r="IN395" i="11"/>
  <c r="IJ395" i="11"/>
  <c r="IV393" i="11"/>
  <c r="IA392" i="11"/>
  <c r="IA405" i="11"/>
  <c r="IA401" i="11"/>
  <c r="IU397" i="11"/>
  <c r="IQ397" i="11"/>
  <c r="IM397" i="11"/>
  <c r="IF397" i="11"/>
  <c r="IU395" i="11"/>
  <c r="IQ395" i="11"/>
  <c r="IM395" i="11"/>
  <c r="IF395" i="11"/>
  <c r="IP393" i="11"/>
  <c r="IJ392" i="11"/>
  <c r="IA225" i="11"/>
  <c r="IV209" i="11"/>
  <c r="IJ211" i="11"/>
  <c r="IA208" i="11"/>
  <c r="IM209" i="11"/>
  <c r="IA211" i="11"/>
  <c r="IL211" i="11"/>
  <c r="IP211" i="11"/>
  <c r="IT211" i="11"/>
  <c r="IJ213" i="11"/>
  <c r="IN213" i="11"/>
  <c r="IR213" i="11"/>
  <c r="IV213" i="11"/>
  <c r="IA216" i="11"/>
  <c r="IA224" i="11"/>
  <c r="IJ208" i="11"/>
  <c r="IP209" i="11"/>
  <c r="IF211" i="11"/>
  <c r="IM211" i="11"/>
  <c r="IQ211" i="11"/>
  <c r="IU211" i="11"/>
  <c r="IF213" i="11"/>
  <c r="IM213" i="11"/>
  <c r="IQ213" i="11"/>
  <c r="IU213" i="11"/>
  <c r="IA217" i="11"/>
  <c r="IA221" i="11"/>
  <c r="IN211" i="11"/>
  <c r="IR211" i="11"/>
  <c r="IV211" i="11"/>
  <c r="IL213" i="11"/>
  <c r="IP213" i="11"/>
  <c r="IT213" i="11"/>
  <c r="IW214" i="11"/>
  <c r="IA220" i="11"/>
  <c r="IA226" i="11"/>
  <c r="IJ209" i="11"/>
  <c r="IW209" i="11"/>
  <c r="IK211" i="11"/>
  <c r="IO211" i="11"/>
  <c r="IS211" i="11"/>
  <c r="IW211" i="11"/>
  <c r="IK213" i="11"/>
  <c r="IO213" i="11"/>
  <c r="IS213" i="11"/>
  <c r="IA215" i="11"/>
  <c r="IA219" i="11"/>
  <c r="IA134" i="11"/>
  <c r="IJ117" i="11"/>
  <c r="IW117" i="11"/>
  <c r="IK119" i="11"/>
  <c r="IO119" i="11"/>
  <c r="IS119" i="11"/>
  <c r="IW119" i="11"/>
  <c r="IK121" i="11"/>
  <c r="IO121" i="11"/>
  <c r="IS121" i="11"/>
  <c r="IA123" i="11"/>
  <c r="IA127" i="11"/>
  <c r="IA133" i="11"/>
  <c r="IA116" i="11"/>
  <c r="IM117" i="11"/>
  <c r="IA119" i="11"/>
  <c r="IL119" i="11"/>
  <c r="IP119" i="11"/>
  <c r="IT119" i="11"/>
  <c r="IJ121" i="11"/>
  <c r="IN121" i="11"/>
  <c r="IR121" i="11"/>
  <c r="IV121" i="11"/>
  <c r="IA124" i="11"/>
  <c r="IA132" i="11"/>
  <c r="IJ116" i="11"/>
  <c r="IP117" i="11"/>
  <c r="IF119" i="11"/>
  <c r="IM119" i="11"/>
  <c r="IQ119" i="11"/>
  <c r="IU119" i="11"/>
  <c r="IF121" i="11"/>
  <c r="IM121" i="11"/>
  <c r="IQ121" i="11"/>
  <c r="IU121" i="11"/>
  <c r="IA125" i="11"/>
  <c r="IA129" i="11"/>
  <c r="IV117" i="11"/>
  <c r="IJ119" i="11"/>
  <c r="IN119" i="11"/>
  <c r="IR119" i="11"/>
  <c r="IV119" i="11"/>
  <c r="IL121" i="11"/>
  <c r="IP121" i="11"/>
  <c r="IT121" i="11"/>
  <c r="IW122" i="11"/>
  <c r="IA128" i="11"/>
  <c r="IA433" i="11"/>
  <c r="IV417" i="11"/>
  <c r="IJ419" i="11"/>
  <c r="IN419" i="11"/>
  <c r="IR419" i="11"/>
  <c r="IV419" i="11"/>
  <c r="IL421" i="11"/>
  <c r="IP421" i="11"/>
  <c r="IT421" i="11"/>
  <c r="IW422" i="11"/>
  <c r="IA428" i="11"/>
  <c r="IA434" i="11"/>
  <c r="IJ417" i="11"/>
  <c r="IW417" i="11"/>
  <c r="IK419" i="11"/>
  <c r="IO419" i="11"/>
  <c r="IS419" i="11"/>
  <c r="IW419" i="11"/>
  <c r="IK421" i="11"/>
  <c r="IO421" i="11"/>
  <c r="IS421" i="11"/>
  <c r="IA423" i="11"/>
  <c r="IA427" i="11"/>
  <c r="IA416" i="11"/>
  <c r="IM417" i="11"/>
  <c r="IA419" i="11"/>
  <c r="IL419" i="11"/>
  <c r="IP419" i="11"/>
  <c r="IT419" i="11"/>
  <c r="IJ421" i="11"/>
  <c r="IN421" i="11"/>
  <c r="IR421" i="11"/>
  <c r="IV421" i="11"/>
  <c r="IA424" i="11"/>
  <c r="IA432" i="11"/>
  <c r="IJ416" i="11"/>
  <c r="IP417" i="11"/>
  <c r="IF419" i="11"/>
  <c r="IM419" i="11"/>
  <c r="IQ419" i="11"/>
  <c r="IU419" i="11"/>
  <c r="IF421" i="11"/>
  <c r="IM421" i="11"/>
  <c r="IQ421" i="11"/>
  <c r="IU421" i="11"/>
  <c r="IA425" i="11"/>
  <c r="IA429" i="11"/>
  <c r="IA249" i="11"/>
  <c r="IA232" i="11"/>
  <c r="IM233" i="11"/>
  <c r="IA235" i="11"/>
  <c r="IL235" i="11"/>
  <c r="IP235" i="11"/>
  <c r="IT235" i="11"/>
  <c r="IJ237" i="11"/>
  <c r="IN237" i="11"/>
  <c r="IR237" i="11"/>
  <c r="IV237" i="11"/>
  <c r="IA240" i="11"/>
  <c r="IA248" i="11"/>
  <c r="IJ233" i="11"/>
  <c r="IW233" i="11"/>
  <c r="IK235" i="11"/>
  <c r="IO235" i="11"/>
  <c r="IS235" i="11"/>
  <c r="IW235" i="11"/>
  <c r="IK237" i="11"/>
  <c r="IO237" i="11"/>
  <c r="IS237" i="11"/>
  <c r="IA239" i="11"/>
  <c r="IA243" i="11"/>
  <c r="IV233" i="11"/>
  <c r="IJ235" i="11"/>
  <c r="IN235" i="11"/>
  <c r="IR235" i="11"/>
  <c r="IV235" i="11"/>
  <c r="IL237" i="11"/>
  <c r="IP237" i="11"/>
  <c r="IT237" i="11"/>
  <c r="IW238" i="11"/>
  <c r="IA244" i="11"/>
  <c r="IA250" i="11"/>
  <c r="IJ232" i="11"/>
  <c r="IP233" i="11"/>
  <c r="IF235" i="11"/>
  <c r="IM235" i="11"/>
  <c r="IQ235" i="11"/>
  <c r="IU235" i="11"/>
  <c r="IF237" i="11"/>
  <c r="IM237" i="11"/>
  <c r="IQ237" i="11"/>
  <c r="IU237" i="11"/>
  <c r="IA241" i="11"/>
  <c r="IA245" i="11"/>
  <c r="IA342" i="11"/>
  <c r="IA336" i="11"/>
  <c r="IW330" i="11"/>
  <c r="IT329" i="11"/>
  <c r="IP329" i="11"/>
  <c r="IL329" i="11"/>
  <c r="IV327" i="11"/>
  <c r="IR327" i="11"/>
  <c r="IN327" i="11"/>
  <c r="IJ327" i="11"/>
  <c r="IV325" i="11"/>
  <c r="IA324" i="11"/>
  <c r="IA337" i="11"/>
  <c r="IA333" i="11"/>
  <c r="IU329" i="11"/>
  <c r="IQ329" i="11"/>
  <c r="IM329" i="11"/>
  <c r="IF329" i="11"/>
  <c r="IU327" i="11"/>
  <c r="IQ327" i="11"/>
  <c r="IM327" i="11"/>
  <c r="IF327" i="11"/>
  <c r="IP325" i="11"/>
  <c r="IJ324" i="11"/>
  <c r="IA340" i="11"/>
  <c r="IA332" i="11"/>
  <c r="IV329" i="11"/>
  <c r="IR329" i="11"/>
  <c r="IN329" i="11"/>
  <c r="IJ329" i="11"/>
  <c r="IT327" i="11"/>
  <c r="IP327" i="11"/>
  <c r="IL327" i="11"/>
  <c r="IA327" i="11"/>
  <c r="IM325" i="11"/>
  <c r="IA341" i="11"/>
  <c r="IA335" i="11"/>
  <c r="IA331" i="11"/>
  <c r="IS329" i="11"/>
  <c r="IO329" i="11"/>
  <c r="IK329" i="11"/>
  <c r="IW327" i="11"/>
  <c r="IS327" i="11"/>
  <c r="IO327" i="11"/>
  <c r="IK327" i="11"/>
  <c r="IW325" i="11"/>
  <c r="IJ325" i="11"/>
  <c r="IA204" i="11"/>
  <c r="IA198" i="11"/>
  <c r="IW192" i="11"/>
  <c r="IT191" i="11"/>
  <c r="IP191" i="11"/>
  <c r="IL191" i="11"/>
  <c r="IV189" i="11"/>
  <c r="IR189" i="11"/>
  <c r="IN189" i="11"/>
  <c r="IJ189" i="11"/>
  <c r="IV187" i="11"/>
  <c r="IA186" i="11"/>
  <c r="IA199" i="11"/>
  <c r="IA195" i="11"/>
  <c r="IU191" i="11"/>
  <c r="IQ191" i="11"/>
  <c r="IM191" i="11"/>
  <c r="IF191" i="11"/>
  <c r="IU189" i="11"/>
  <c r="IQ189" i="11"/>
  <c r="IM189" i="11"/>
  <c r="IF189" i="11"/>
  <c r="IP187" i="11"/>
  <c r="IJ186" i="11"/>
  <c r="IA202" i="11"/>
  <c r="IA194" i="11"/>
  <c r="IV191" i="11"/>
  <c r="IR191" i="11"/>
  <c r="IN191" i="11"/>
  <c r="IJ191" i="11"/>
  <c r="IT189" i="11"/>
  <c r="IP189" i="11"/>
  <c r="IL189" i="11"/>
  <c r="IA189" i="11"/>
  <c r="IM187" i="11"/>
  <c r="IA203" i="11"/>
  <c r="IA197" i="11"/>
  <c r="IA193" i="11"/>
  <c r="IS191" i="11"/>
  <c r="IO191" i="11"/>
  <c r="IK191" i="11"/>
  <c r="IW189" i="11"/>
  <c r="IS189" i="11"/>
  <c r="IO189" i="11"/>
  <c r="IK189" i="11"/>
  <c r="IW187" i="11"/>
  <c r="IJ187" i="11"/>
  <c r="IA157" i="11"/>
  <c r="IA151" i="11"/>
  <c r="IA147" i="11"/>
  <c r="IS145" i="11"/>
  <c r="IW146" i="11"/>
  <c r="IQ145" i="11"/>
  <c r="IM145" i="11"/>
  <c r="IF145" i="11"/>
  <c r="IU143" i="11"/>
  <c r="IQ143" i="11"/>
  <c r="IM143" i="11"/>
  <c r="IF143" i="11"/>
  <c r="IP141" i="11"/>
  <c r="IJ140" i="11"/>
  <c r="IA152" i="11"/>
  <c r="IV145" i="11"/>
  <c r="IP145" i="11"/>
  <c r="IL145" i="11"/>
  <c r="IV143" i="11"/>
  <c r="IR143" i="11"/>
  <c r="IN143" i="11"/>
  <c r="IJ143" i="11"/>
  <c r="IV141" i="11"/>
  <c r="IA140" i="11"/>
  <c r="IA153" i="11"/>
  <c r="IA149" i="11"/>
  <c r="IU145" i="11"/>
  <c r="IA156" i="11"/>
  <c r="IT145" i="11"/>
  <c r="IO145" i="11"/>
  <c r="IK145" i="11"/>
  <c r="IW143" i="11"/>
  <c r="IS143" i="11"/>
  <c r="IO143" i="11"/>
  <c r="IK143" i="11"/>
  <c r="IW141" i="11"/>
  <c r="IJ141" i="11"/>
  <c r="IA158" i="11"/>
  <c r="IA148" i="11"/>
  <c r="IR145" i="11"/>
  <c r="IN145" i="11"/>
  <c r="IJ145" i="11"/>
  <c r="IT143" i="11"/>
  <c r="IP143" i="11"/>
  <c r="IL143" i="11"/>
  <c r="IA143" i="11"/>
  <c r="IM141" i="11"/>
  <c r="IA45" i="11"/>
  <c r="IJ28" i="11"/>
  <c r="IW28" i="11"/>
  <c r="IK30" i="11"/>
  <c r="IO30" i="11"/>
  <c r="IS30" i="11"/>
  <c r="IW30" i="11"/>
  <c r="IK32" i="11"/>
  <c r="IO32" i="11"/>
  <c r="IS32" i="11"/>
  <c r="IA34" i="11"/>
  <c r="IA38" i="11"/>
  <c r="IA44" i="11"/>
  <c r="IA27" i="11"/>
  <c r="IM28" i="11"/>
  <c r="IA30" i="11"/>
  <c r="IL30" i="11"/>
  <c r="IP30" i="11"/>
  <c r="IT30" i="11"/>
  <c r="IJ32" i="11"/>
  <c r="IN32" i="11"/>
  <c r="IR32" i="11"/>
  <c r="IV32" i="11"/>
  <c r="IA35" i="11"/>
  <c r="IA43" i="11"/>
  <c r="IJ27" i="11"/>
  <c r="IP28" i="11"/>
  <c r="IF30" i="11"/>
  <c r="IM30" i="11"/>
  <c r="IQ30" i="11"/>
  <c r="IU30" i="11"/>
  <c r="IF32" i="11"/>
  <c r="IM32" i="11"/>
  <c r="IQ32" i="11"/>
  <c r="IU32" i="11"/>
  <c r="IA36" i="11"/>
  <c r="IA40" i="11"/>
  <c r="IV28" i="11"/>
  <c r="IJ30" i="11"/>
  <c r="IN30" i="11"/>
  <c r="IR30" i="11"/>
  <c r="IV30" i="11"/>
  <c r="IL32" i="11"/>
  <c r="IP32" i="11"/>
  <c r="IT32" i="11"/>
  <c r="IW33" i="11"/>
  <c r="IA39" i="11"/>
  <c r="IA363" i="11"/>
  <c r="IA346" i="11"/>
  <c r="IM347" i="11"/>
  <c r="IA349" i="11"/>
  <c r="IL349" i="11"/>
  <c r="IP349" i="11"/>
  <c r="IT349" i="11"/>
  <c r="IJ351" i="11"/>
  <c r="IN351" i="11"/>
  <c r="IR351" i="11"/>
  <c r="IV351" i="11"/>
  <c r="IA354" i="11"/>
  <c r="IA362" i="11"/>
  <c r="IJ346" i="11"/>
  <c r="IP347" i="11"/>
  <c r="IF349" i="11"/>
  <c r="IM349" i="11"/>
  <c r="IQ349" i="11"/>
  <c r="IU349" i="11"/>
  <c r="IF351" i="11"/>
  <c r="IM351" i="11"/>
  <c r="IQ351" i="11"/>
  <c r="IU351" i="11"/>
  <c r="IA355" i="11"/>
  <c r="IA359" i="11"/>
  <c r="IV347" i="11"/>
  <c r="IJ349" i="11"/>
  <c r="IN349" i="11"/>
  <c r="IR349" i="11"/>
  <c r="IV349" i="11"/>
  <c r="IL351" i="11"/>
  <c r="IP351" i="11"/>
  <c r="IT351" i="11"/>
  <c r="IW352" i="11"/>
  <c r="IA358" i="11"/>
  <c r="IA364" i="11"/>
  <c r="IJ347" i="11"/>
  <c r="IW347" i="11"/>
  <c r="IK349" i="11"/>
  <c r="IO349" i="11"/>
  <c r="IS349" i="11"/>
  <c r="IW349" i="11"/>
  <c r="IK351" i="11"/>
  <c r="IO351" i="11"/>
  <c r="IS351" i="11"/>
  <c r="IA353" i="11"/>
  <c r="IA357" i="11"/>
  <c r="IP163" i="11"/>
  <c r="IJ162" i="11"/>
  <c r="IA178" i="11"/>
  <c r="IA170" i="11"/>
  <c r="IV167" i="11"/>
  <c r="IR167" i="11"/>
  <c r="IN167" i="11"/>
  <c r="IJ167" i="11"/>
  <c r="IT165" i="11"/>
  <c r="IP165" i="11"/>
  <c r="IL165" i="11"/>
  <c r="IA165" i="11"/>
  <c r="IM163" i="11"/>
  <c r="IJ163" i="11"/>
  <c r="IK165" i="11"/>
  <c r="IS165" i="11"/>
  <c r="IK167" i="11"/>
  <c r="IS167" i="11"/>
  <c r="IA173" i="11"/>
  <c r="IM165" i="11"/>
  <c r="IU165" i="11"/>
  <c r="IM167" i="11"/>
  <c r="IU167" i="11"/>
  <c r="IA175" i="11"/>
  <c r="IA180" i="11"/>
  <c r="IA174" i="11"/>
  <c r="IW168" i="11"/>
  <c r="IT167" i="11"/>
  <c r="IP167" i="11"/>
  <c r="IL167" i="11"/>
  <c r="IV165" i="11"/>
  <c r="IR165" i="11"/>
  <c r="IN165" i="11"/>
  <c r="IJ165" i="11"/>
  <c r="IV163" i="11"/>
  <c r="IA162" i="11"/>
  <c r="IW163" i="11"/>
  <c r="IO165" i="11"/>
  <c r="IW165" i="11"/>
  <c r="IO167" i="11"/>
  <c r="IA171" i="11"/>
  <c r="IA179" i="11"/>
  <c r="IF165" i="11"/>
  <c r="IQ165" i="11"/>
  <c r="IF167" i="11"/>
  <c r="IQ167" i="11"/>
  <c r="IA169" i="11"/>
  <c r="IA88" i="11"/>
  <c r="IJ71" i="11"/>
  <c r="IW71" i="11"/>
  <c r="IK73" i="11"/>
  <c r="IO73" i="11"/>
  <c r="IS73" i="11"/>
  <c r="IW73" i="11"/>
  <c r="IK75" i="11"/>
  <c r="IO75" i="11"/>
  <c r="IS75" i="11"/>
  <c r="IA77" i="11"/>
  <c r="IA81" i="11"/>
  <c r="IA87" i="11"/>
  <c r="IV71" i="11"/>
  <c r="IJ73" i="11"/>
  <c r="IN73" i="11"/>
  <c r="IR73" i="11"/>
  <c r="IV73" i="11"/>
  <c r="IL75" i="11"/>
  <c r="IP75" i="11"/>
  <c r="IT75" i="11"/>
  <c r="IW76" i="11"/>
  <c r="IA82" i="11"/>
  <c r="IJ70" i="11"/>
  <c r="IP71" i="11"/>
  <c r="IF73" i="11"/>
  <c r="IM73" i="11"/>
  <c r="IQ73" i="11"/>
  <c r="IU73" i="11"/>
  <c r="IF75" i="11"/>
  <c r="IM75" i="11"/>
  <c r="IQ75" i="11"/>
  <c r="IU75" i="11"/>
  <c r="IA79" i="11"/>
  <c r="IA83" i="11"/>
  <c r="IA70" i="11"/>
  <c r="IM71" i="11"/>
  <c r="IA73" i="11"/>
  <c r="IL73" i="11"/>
  <c r="IP73" i="11"/>
  <c r="IT73" i="11"/>
  <c r="IJ75" i="11"/>
  <c r="IN75" i="11"/>
  <c r="IR75" i="11"/>
  <c r="IV75" i="11"/>
  <c r="IA78" i="11"/>
  <c r="IA86" i="11"/>
  <c r="AX5" i="3"/>
  <c r="AX6" i="3"/>
  <c r="AX7" i="3"/>
  <c r="AX8" i="3"/>
  <c r="AX9" i="3" s="1"/>
  <c r="AX10" i="3"/>
  <c r="AX11" i="3"/>
  <c r="AX12" i="3"/>
  <c r="AX13" i="3"/>
  <c r="AX14" i="3"/>
  <c r="AX15" i="3"/>
  <c r="AX16" i="3"/>
  <c r="AX17" i="3"/>
  <c r="AX19" i="3"/>
  <c r="AX20" i="3"/>
  <c r="AX21" i="3"/>
  <c r="AX22" i="3"/>
  <c r="AX23" i="3"/>
  <c r="AX24" i="3"/>
  <c r="AX25" i="3"/>
  <c r="AX26" i="3"/>
  <c r="AX27" i="3"/>
  <c r="AX28" i="3"/>
  <c r="AX30" i="3"/>
  <c r="AX3" i="3"/>
  <c r="AX4" i="3" s="1"/>
  <c r="HQ2" i="11"/>
  <c r="GQ2" i="11"/>
  <c r="FQ2" i="11"/>
  <c r="EQ2" i="11"/>
  <c r="DQ2" i="11"/>
  <c r="CQ2" i="11"/>
  <c r="BQ2" i="11"/>
  <c r="BW12" i="11" s="1"/>
  <c r="AQ2" i="11"/>
  <c r="AW12" i="11" s="1"/>
  <c r="Q2" i="11"/>
  <c r="W12" i="11" s="1"/>
  <c r="I3" i="12" s="1"/>
  <c r="DY437" i="11" l="1"/>
  <c r="DY414" i="11"/>
  <c r="DZ414" i="11" s="1"/>
  <c r="DY391" i="11"/>
  <c r="DY369" i="11"/>
  <c r="DY345" i="11"/>
  <c r="DY323" i="11"/>
  <c r="DY276" i="11"/>
  <c r="DZ276" i="11" s="1"/>
  <c r="DY253" i="11"/>
  <c r="DY415" i="11"/>
  <c r="DY368" i="11"/>
  <c r="DZ368" i="11" s="1"/>
  <c r="DY299" i="11"/>
  <c r="DY277" i="11"/>
  <c r="DY231" i="11"/>
  <c r="DY184" i="11"/>
  <c r="DZ184" i="11" s="1"/>
  <c r="DY138" i="11"/>
  <c r="DZ138" i="11" s="1"/>
  <c r="DY92" i="11"/>
  <c r="DZ92" i="11" s="1"/>
  <c r="DY26" i="11"/>
  <c r="DY207" i="11"/>
  <c r="DY185" i="11"/>
  <c r="DY161" i="11"/>
  <c r="DY139" i="11"/>
  <c r="DY115" i="11"/>
  <c r="DY93" i="11"/>
  <c r="DY69" i="11"/>
  <c r="DY47" i="11"/>
  <c r="DV9" i="11"/>
  <c r="DT9" i="11"/>
  <c r="DR9" i="11"/>
  <c r="DP9" i="11"/>
  <c r="DN9" i="11"/>
  <c r="DL9" i="11"/>
  <c r="DJ9" i="11"/>
  <c r="DU9" i="11"/>
  <c r="DS9" i="11"/>
  <c r="DQ9" i="11"/>
  <c r="DO9" i="11"/>
  <c r="DM9" i="11"/>
  <c r="DK9" i="11"/>
  <c r="FY437" i="11"/>
  <c r="FY414" i="11"/>
  <c r="FZ414" i="11" s="1"/>
  <c r="FY391" i="11"/>
  <c r="FY369" i="11"/>
  <c r="FY345" i="11"/>
  <c r="FY323" i="11"/>
  <c r="FY276" i="11"/>
  <c r="FZ276" i="11" s="1"/>
  <c r="FY253" i="11"/>
  <c r="FY207" i="11"/>
  <c r="FY185" i="11"/>
  <c r="FY161" i="11"/>
  <c r="FY139" i="11"/>
  <c r="FY115" i="11"/>
  <c r="FY93" i="11"/>
  <c r="FY69" i="11"/>
  <c r="FY47" i="11"/>
  <c r="FY415" i="11"/>
  <c r="FY368" i="11"/>
  <c r="FZ368" i="11" s="1"/>
  <c r="FY299" i="11"/>
  <c r="FY277" i="11"/>
  <c r="FY231" i="11"/>
  <c r="FY184" i="11"/>
  <c r="FZ184" i="11" s="1"/>
  <c r="FY138" i="11"/>
  <c r="FZ138" i="11" s="1"/>
  <c r="FY92" i="11"/>
  <c r="FZ92" i="11" s="1"/>
  <c r="FY26" i="11"/>
  <c r="FV9" i="11"/>
  <c r="FT9" i="11"/>
  <c r="FR9" i="11"/>
  <c r="FP9" i="11"/>
  <c r="FN9" i="11"/>
  <c r="FL9" i="11"/>
  <c r="FJ9" i="11"/>
  <c r="FU9" i="11"/>
  <c r="FS9" i="11"/>
  <c r="FQ9" i="11"/>
  <c r="FO9" i="11"/>
  <c r="FM9" i="11"/>
  <c r="FK9" i="11"/>
  <c r="AY415" i="11"/>
  <c r="AY368" i="11"/>
  <c r="AZ368" i="11" s="1"/>
  <c r="AY277" i="11"/>
  <c r="AY276" i="11"/>
  <c r="AZ276" i="11" s="1"/>
  <c r="AY253" i="11"/>
  <c r="AY231" i="11"/>
  <c r="AY207" i="11"/>
  <c r="AY185" i="11"/>
  <c r="AY161" i="11"/>
  <c r="AY139" i="11"/>
  <c r="AY115" i="11"/>
  <c r="AY93" i="11"/>
  <c r="AY69" i="11"/>
  <c r="AY47" i="11"/>
  <c r="AY26" i="11"/>
  <c r="AY437" i="11"/>
  <c r="AY414" i="11"/>
  <c r="AZ414" i="11" s="1"/>
  <c r="AY391" i="11"/>
  <c r="AY369" i="11"/>
  <c r="AY345" i="11"/>
  <c r="AY323" i="11"/>
  <c r="AY299" i="11"/>
  <c r="AY184" i="11"/>
  <c r="AZ184" i="11" s="1"/>
  <c r="AY138" i="11"/>
  <c r="AZ138" i="11" s="1"/>
  <c r="AY92" i="11"/>
  <c r="AZ92" i="11" s="1"/>
  <c r="CY437" i="11"/>
  <c r="CY414" i="11"/>
  <c r="CZ414" i="11" s="1"/>
  <c r="CY391" i="11"/>
  <c r="CY369" i="11"/>
  <c r="CY345" i="11"/>
  <c r="CY323" i="11"/>
  <c r="CY276" i="11"/>
  <c r="CZ276" i="11" s="1"/>
  <c r="CY253" i="11"/>
  <c r="CY207" i="11"/>
  <c r="CY185" i="11"/>
  <c r="CY161" i="11"/>
  <c r="CY139" i="11"/>
  <c r="CY92" i="11"/>
  <c r="CZ92" i="11" s="1"/>
  <c r="CY26" i="11"/>
  <c r="CY415" i="11"/>
  <c r="CY368" i="11"/>
  <c r="CZ368" i="11" s="1"/>
  <c r="CY299" i="11"/>
  <c r="CY277" i="11"/>
  <c r="CY231" i="11"/>
  <c r="CY184" i="11"/>
  <c r="CZ184" i="11" s="1"/>
  <c r="CY138" i="11"/>
  <c r="CZ138" i="11" s="1"/>
  <c r="CY115" i="11"/>
  <c r="CY93" i="11"/>
  <c r="CY69" i="11"/>
  <c r="CY47" i="11"/>
  <c r="CU9" i="11"/>
  <c r="CS9" i="11"/>
  <c r="CQ9" i="11"/>
  <c r="CO9" i="11"/>
  <c r="CM9" i="11"/>
  <c r="CK9" i="11"/>
  <c r="CV9" i="11"/>
  <c r="CT9" i="11"/>
  <c r="CR9" i="11"/>
  <c r="CP9" i="11"/>
  <c r="CN9" i="11"/>
  <c r="CL9" i="11"/>
  <c r="CJ9" i="11"/>
  <c r="EY415" i="11"/>
  <c r="EY368" i="11"/>
  <c r="EZ368" i="11" s="1"/>
  <c r="EY299" i="11"/>
  <c r="EY277" i="11"/>
  <c r="EY231" i="11"/>
  <c r="EY184" i="11"/>
  <c r="EZ184" i="11" s="1"/>
  <c r="EY139" i="11"/>
  <c r="EY92" i="11"/>
  <c r="EZ92" i="11" s="1"/>
  <c r="EY26" i="11"/>
  <c r="EY437" i="11"/>
  <c r="EY414" i="11"/>
  <c r="EZ414" i="11" s="1"/>
  <c r="EY391" i="11"/>
  <c r="EY369" i="11"/>
  <c r="EY345" i="11"/>
  <c r="EY323" i="11"/>
  <c r="EY276" i="11"/>
  <c r="EZ276" i="11" s="1"/>
  <c r="EY253" i="11"/>
  <c r="EY207" i="11"/>
  <c r="EY185" i="11"/>
  <c r="EY161" i="11"/>
  <c r="EY138" i="11"/>
  <c r="EZ138" i="11" s="1"/>
  <c r="EY115" i="11"/>
  <c r="EY93" i="11"/>
  <c r="EY69" i="11"/>
  <c r="EY47" i="11"/>
  <c r="EV9" i="11"/>
  <c r="EU9" i="11"/>
  <c r="ES9" i="11"/>
  <c r="EQ9" i="11"/>
  <c r="EO9" i="11"/>
  <c r="EM9" i="11"/>
  <c r="EK9" i="11"/>
  <c r="ET9" i="11"/>
  <c r="ER9" i="11"/>
  <c r="EP9" i="11"/>
  <c r="EN9" i="11"/>
  <c r="EL9" i="11"/>
  <c r="EJ9" i="11"/>
  <c r="GY415" i="11"/>
  <c r="GY368" i="11"/>
  <c r="GZ368" i="11" s="1"/>
  <c r="GY299" i="11"/>
  <c r="GY277" i="11"/>
  <c r="GY231" i="11"/>
  <c r="GY184" i="11"/>
  <c r="GZ184" i="11" s="1"/>
  <c r="GY437" i="11"/>
  <c r="GY414" i="11"/>
  <c r="GZ414" i="11" s="1"/>
  <c r="GY391" i="11"/>
  <c r="GY369" i="11"/>
  <c r="GY345" i="11"/>
  <c r="GY323" i="11"/>
  <c r="GY276" i="11"/>
  <c r="GZ276" i="11" s="1"/>
  <c r="GY253" i="11"/>
  <c r="GY207" i="11"/>
  <c r="GY185" i="11"/>
  <c r="GY161" i="11"/>
  <c r="GY139" i="11"/>
  <c r="GY138" i="11"/>
  <c r="GZ138" i="11" s="1"/>
  <c r="GY92" i="11"/>
  <c r="GZ92" i="11" s="1"/>
  <c r="GY26" i="11"/>
  <c r="GY115" i="11"/>
  <c r="GY93" i="11"/>
  <c r="GY69" i="11"/>
  <c r="GY47" i="11"/>
  <c r="GU9" i="11"/>
  <c r="GS9" i="11"/>
  <c r="GQ9" i="11"/>
  <c r="GO9" i="11"/>
  <c r="GM9" i="11"/>
  <c r="GK9" i="11"/>
  <c r="GV9" i="11"/>
  <c r="GT9" i="11"/>
  <c r="GR9" i="11"/>
  <c r="GP9" i="11"/>
  <c r="GN9" i="11"/>
  <c r="GL9" i="11"/>
  <c r="GJ9" i="11"/>
  <c r="IW75" i="11"/>
  <c r="IW351" i="11"/>
  <c r="IW145" i="11"/>
  <c r="IW329" i="11"/>
  <c r="IW421" i="11"/>
  <c r="IW213" i="11"/>
  <c r="IW443" i="11"/>
  <c r="IW53" i="11"/>
  <c r="IW259" i="11"/>
  <c r="IW305" i="11"/>
  <c r="BY437" i="11"/>
  <c r="BY414" i="11"/>
  <c r="BZ414" i="11" s="1"/>
  <c r="BY391" i="11"/>
  <c r="BY369" i="11"/>
  <c r="BY345" i="11"/>
  <c r="BY323" i="11"/>
  <c r="BY276" i="11"/>
  <c r="BZ276" i="11" s="1"/>
  <c r="BY253" i="11"/>
  <c r="BY231" i="11"/>
  <c r="BY207" i="11"/>
  <c r="BY185" i="11"/>
  <c r="BY184" i="11"/>
  <c r="BZ184" i="11" s="1"/>
  <c r="BY161" i="11"/>
  <c r="BY138" i="11"/>
  <c r="BZ138" i="11" s="1"/>
  <c r="BY92" i="11"/>
  <c r="BZ92" i="11" s="1"/>
  <c r="BY415" i="11"/>
  <c r="BY368" i="11"/>
  <c r="BZ368" i="11" s="1"/>
  <c r="BY299" i="11"/>
  <c r="BY277" i="11"/>
  <c r="BY139" i="11"/>
  <c r="BY115" i="11"/>
  <c r="BY93" i="11"/>
  <c r="BY69" i="11"/>
  <c r="BY47" i="11"/>
  <c r="BY26" i="11"/>
  <c r="BV9" i="11"/>
  <c r="BR9" i="11"/>
  <c r="BP9" i="11"/>
  <c r="BN9" i="11"/>
  <c r="BL9" i="11"/>
  <c r="BJ9" i="11"/>
  <c r="BU9" i="11"/>
  <c r="BS9" i="11"/>
  <c r="BQ9" i="11"/>
  <c r="BO9" i="11"/>
  <c r="BM9" i="11"/>
  <c r="BK9" i="11"/>
  <c r="HY437" i="11"/>
  <c r="HY414" i="11"/>
  <c r="HZ414" i="11" s="1"/>
  <c r="HY391" i="11"/>
  <c r="HY369" i="11"/>
  <c r="HY345" i="11"/>
  <c r="HY323" i="11"/>
  <c r="HY276" i="11"/>
  <c r="HZ276" i="11" s="1"/>
  <c r="HY253" i="11"/>
  <c r="HY207" i="11"/>
  <c r="HY185" i="11"/>
  <c r="HY161" i="11"/>
  <c r="HY138" i="11"/>
  <c r="HZ138" i="11" s="1"/>
  <c r="HY115" i="11"/>
  <c r="HY93" i="11"/>
  <c r="HY69" i="11"/>
  <c r="HY47" i="11"/>
  <c r="HY415" i="11"/>
  <c r="HY368" i="11"/>
  <c r="HZ368" i="11" s="1"/>
  <c r="HY299" i="11"/>
  <c r="HY277" i="11"/>
  <c r="HY231" i="11"/>
  <c r="HY184" i="11"/>
  <c r="HZ184" i="11" s="1"/>
  <c r="HY139" i="11"/>
  <c r="HY92" i="11"/>
  <c r="HZ92" i="11" s="1"/>
  <c r="HY26" i="11"/>
  <c r="HV9" i="11"/>
  <c r="HT9" i="11"/>
  <c r="HR9" i="11"/>
  <c r="HP9" i="11"/>
  <c r="HN9" i="11"/>
  <c r="HL9" i="11"/>
  <c r="HJ9" i="11"/>
  <c r="HU9" i="11"/>
  <c r="HS9" i="11"/>
  <c r="HQ9" i="11"/>
  <c r="HO9" i="11"/>
  <c r="HM9" i="11"/>
  <c r="HK9" i="11"/>
  <c r="IW167" i="11"/>
  <c r="IW32" i="11"/>
  <c r="IW191" i="11"/>
  <c r="IW237" i="11"/>
  <c r="IW121" i="11"/>
  <c r="IW397" i="11"/>
  <c r="IW283" i="11"/>
  <c r="IW99" i="11"/>
  <c r="IW375" i="11"/>
  <c r="DA24" i="11"/>
  <c r="DA22" i="11"/>
  <c r="DA18" i="11"/>
  <c r="DA14" i="11"/>
  <c r="DW12" i="11"/>
  <c r="DU11" i="11"/>
  <c r="DS11" i="11"/>
  <c r="DQ11" i="11"/>
  <c r="DO11" i="11"/>
  <c r="DM11" i="11"/>
  <c r="DK11" i="11"/>
  <c r="DF11" i="11"/>
  <c r="DW9" i="11"/>
  <c r="DF9" i="11"/>
  <c r="DW7" i="11"/>
  <c r="DP7" i="11"/>
  <c r="DJ7" i="11"/>
  <c r="DJ6" i="11"/>
  <c r="DA23" i="11"/>
  <c r="DA19" i="11"/>
  <c r="DA17" i="11"/>
  <c r="DA15" i="11"/>
  <c r="DA13" i="11"/>
  <c r="DV11" i="11"/>
  <c r="DT11" i="11"/>
  <c r="DR11" i="11"/>
  <c r="DP11" i="11"/>
  <c r="DN11" i="11"/>
  <c r="DL11" i="11"/>
  <c r="DJ11" i="11"/>
  <c r="DA11" i="11"/>
  <c r="DA9" i="11"/>
  <c r="DV7" i="11"/>
  <c r="DM7" i="11"/>
  <c r="DA7" i="11"/>
  <c r="DA6" i="11"/>
  <c r="HA24" i="11"/>
  <c r="HA22" i="11"/>
  <c r="HA18" i="11"/>
  <c r="HA14" i="11"/>
  <c r="HW12" i="11"/>
  <c r="HU11" i="11"/>
  <c r="HS11" i="11"/>
  <c r="HQ11" i="11"/>
  <c r="HO11" i="11"/>
  <c r="HM11" i="11"/>
  <c r="HK11" i="11"/>
  <c r="HF11" i="11"/>
  <c r="HW9" i="11"/>
  <c r="HF9" i="11"/>
  <c r="HW7" i="11"/>
  <c r="HP7" i="11"/>
  <c r="HJ7" i="11"/>
  <c r="HJ6" i="11"/>
  <c r="HA23" i="11"/>
  <c r="HA19" i="11"/>
  <c r="HA17" i="11"/>
  <c r="HA15" i="11"/>
  <c r="HA13" i="11"/>
  <c r="HV11" i="11"/>
  <c r="HT11" i="11"/>
  <c r="HR11" i="11"/>
  <c r="HP11" i="11"/>
  <c r="HN11" i="11"/>
  <c r="HL11" i="11"/>
  <c r="HJ11" i="11"/>
  <c r="HA11" i="11"/>
  <c r="HA9" i="11"/>
  <c r="HV7" i="11"/>
  <c r="HM7" i="11"/>
  <c r="HA7" i="11"/>
  <c r="HA6" i="11"/>
  <c r="AW9" i="11"/>
  <c r="AU9" i="11"/>
  <c r="AS9" i="11"/>
  <c r="AQ9" i="11"/>
  <c r="AO9" i="11"/>
  <c r="AM9" i="11"/>
  <c r="AK9" i="11"/>
  <c r="AF9" i="11"/>
  <c r="AW7" i="11"/>
  <c r="AP7" i="11"/>
  <c r="AJ7" i="11"/>
  <c r="AV9" i="11"/>
  <c r="AT9" i="11"/>
  <c r="BT9" i="11" s="1"/>
  <c r="AR9" i="11"/>
  <c r="AP9" i="11"/>
  <c r="AN9" i="11"/>
  <c r="AL9" i="11"/>
  <c r="AJ9" i="11"/>
  <c r="AA9" i="11"/>
  <c r="AV7" i="11"/>
  <c r="AM7" i="11"/>
  <c r="AJ6" i="11"/>
  <c r="CA24" i="11"/>
  <c r="CA22" i="11"/>
  <c r="CA18" i="11"/>
  <c r="CA23" i="11"/>
  <c r="CA19" i="11"/>
  <c r="CA17" i="11"/>
  <c r="CA15" i="11"/>
  <c r="CA13" i="11"/>
  <c r="CV11" i="11"/>
  <c r="CT11" i="11"/>
  <c r="CR11" i="11"/>
  <c r="CP11" i="11"/>
  <c r="CN11" i="11"/>
  <c r="CL11" i="11"/>
  <c r="CJ11" i="11"/>
  <c r="CA11" i="11"/>
  <c r="CA14" i="11"/>
  <c r="CU11" i="11"/>
  <c r="CQ11" i="11"/>
  <c r="CM11" i="11"/>
  <c r="CF11" i="11"/>
  <c r="CF9" i="11"/>
  <c r="CW7" i="11"/>
  <c r="CP7" i="11"/>
  <c r="CJ7" i="11"/>
  <c r="CJ6" i="11"/>
  <c r="CW12" i="11"/>
  <c r="CS11" i="11"/>
  <c r="CO11" i="11"/>
  <c r="CK11" i="11"/>
  <c r="CW9" i="11"/>
  <c r="CA9" i="11"/>
  <c r="CV7" i="11"/>
  <c r="CM7" i="11"/>
  <c r="CA7" i="11"/>
  <c r="CA6" i="11"/>
  <c r="EA24" i="11"/>
  <c r="EA22" i="11"/>
  <c r="EA18" i="11"/>
  <c r="EA14" i="11"/>
  <c r="EW12" i="11"/>
  <c r="EU11" i="11"/>
  <c r="ES11" i="11"/>
  <c r="EQ11" i="11"/>
  <c r="EO11" i="11"/>
  <c r="EM11" i="11"/>
  <c r="EK11" i="11"/>
  <c r="EF11" i="11"/>
  <c r="EW9" i="11"/>
  <c r="EF9" i="11"/>
  <c r="EW7" i="11"/>
  <c r="EP7" i="11"/>
  <c r="EJ7" i="11"/>
  <c r="EJ6" i="11"/>
  <c r="EA23" i="11"/>
  <c r="EA19" i="11"/>
  <c r="EA17" i="11"/>
  <c r="EA15" i="11"/>
  <c r="EA13" i="11"/>
  <c r="EV11" i="11"/>
  <c r="ET11" i="11"/>
  <c r="ER11" i="11"/>
  <c r="EP11" i="11"/>
  <c r="EN11" i="11"/>
  <c r="EL11" i="11"/>
  <c r="EJ11" i="11"/>
  <c r="EA11" i="11"/>
  <c r="EA9" i="11"/>
  <c r="EV7" i="11"/>
  <c r="EM7" i="11"/>
  <c r="EA7" i="11"/>
  <c r="EA6" i="11"/>
  <c r="GA24" i="11"/>
  <c r="GA22" i="11"/>
  <c r="GA18" i="11"/>
  <c r="GA14" i="11"/>
  <c r="GW12" i="11"/>
  <c r="GU11" i="11"/>
  <c r="GS11" i="11"/>
  <c r="GQ11" i="11"/>
  <c r="GO11" i="11"/>
  <c r="GM11" i="11"/>
  <c r="GK11" i="11"/>
  <c r="GF11" i="11"/>
  <c r="GW9" i="11"/>
  <c r="GF9" i="11"/>
  <c r="GW7" i="11"/>
  <c r="GP7" i="11"/>
  <c r="GJ7" i="11"/>
  <c r="GJ6" i="11"/>
  <c r="GA23" i="11"/>
  <c r="GA19" i="11"/>
  <c r="GA17" i="11"/>
  <c r="GA15" i="11"/>
  <c r="GA13" i="11"/>
  <c r="GV11" i="11"/>
  <c r="GT11" i="11"/>
  <c r="GR11" i="11"/>
  <c r="GP11" i="11"/>
  <c r="GN11" i="11"/>
  <c r="GL11" i="11"/>
  <c r="GJ11" i="11"/>
  <c r="GA11" i="11"/>
  <c r="GA9" i="11"/>
  <c r="GV7" i="11"/>
  <c r="GM7" i="11"/>
  <c r="GA7" i="11"/>
  <c r="GA6" i="11"/>
  <c r="BA24" i="11"/>
  <c r="BA22" i="11"/>
  <c r="BA18" i="11"/>
  <c r="BA14" i="11"/>
  <c r="BU11" i="11"/>
  <c r="BS11" i="11"/>
  <c r="BQ11" i="11"/>
  <c r="BO11" i="11"/>
  <c r="BM11" i="11"/>
  <c r="BK11" i="11"/>
  <c r="BF11" i="11"/>
  <c r="BW9" i="11"/>
  <c r="BF9" i="11"/>
  <c r="BW7" i="11"/>
  <c r="BP7" i="11"/>
  <c r="BJ7" i="11"/>
  <c r="BJ6" i="11"/>
  <c r="BA23" i="11"/>
  <c r="BA19" i="11"/>
  <c r="BA17" i="11"/>
  <c r="BA15" i="11"/>
  <c r="BA13" i="11"/>
  <c r="BV11" i="11"/>
  <c r="BT11" i="11"/>
  <c r="BR11" i="11"/>
  <c r="BP11" i="11"/>
  <c r="BN11" i="11"/>
  <c r="BL11" i="11"/>
  <c r="BJ11" i="11"/>
  <c r="BA11" i="11"/>
  <c r="BA9" i="11"/>
  <c r="BV7" i="11"/>
  <c r="BM7" i="11"/>
  <c r="BA7" i="11"/>
  <c r="BA6" i="11"/>
  <c r="FA24" i="11"/>
  <c r="FA22" i="11"/>
  <c r="FA18" i="11"/>
  <c r="FA14" i="11"/>
  <c r="FW12" i="11"/>
  <c r="FU11" i="11"/>
  <c r="FS11" i="11"/>
  <c r="FQ11" i="11"/>
  <c r="FO11" i="11"/>
  <c r="FA23" i="11"/>
  <c r="FA19" i="11"/>
  <c r="FA17" i="11"/>
  <c r="FA15" i="11"/>
  <c r="FA13" i="11"/>
  <c r="FV11" i="11"/>
  <c r="FT11" i="11"/>
  <c r="FR11" i="11"/>
  <c r="FP11" i="11"/>
  <c r="FN11" i="11"/>
  <c r="FM11" i="11"/>
  <c r="FK11" i="11"/>
  <c r="FF11" i="11"/>
  <c r="FW9" i="11"/>
  <c r="FF9" i="11"/>
  <c r="FW7" i="11"/>
  <c r="FP7" i="11"/>
  <c r="FJ7" i="11"/>
  <c r="FJ6" i="11"/>
  <c r="FL11" i="11"/>
  <c r="FJ11" i="11"/>
  <c r="FA11" i="11"/>
  <c r="FA9" i="11"/>
  <c r="FV7" i="11"/>
  <c r="FM7" i="11"/>
  <c r="FA7" i="11"/>
  <c r="FA6" i="11"/>
  <c r="Y26" i="11"/>
  <c r="Y47" i="11"/>
  <c r="A13" i="11"/>
  <c r="AA13" i="11"/>
  <c r="A1" i="11"/>
  <c r="A2" i="11"/>
  <c r="AA6" i="11"/>
  <c r="F11" i="11"/>
  <c r="A19" i="11"/>
  <c r="AF11" i="11"/>
  <c r="AX29" i="3"/>
  <c r="AX31" i="3"/>
  <c r="Q5" i="11"/>
  <c r="AX18" i="3"/>
  <c r="D300" i="12"/>
  <c r="C300" i="12"/>
  <c r="B300" i="12"/>
  <c r="A300" i="12"/>
  <c r="H300" i="12" s="1"/>
  <c r="D299" i="12"/>
  <c r="C299" i="12"/>
  <c r="B299" i="12"/>
  <c r="A299" i="12"/>
  <c r="H299" i="12" s="1"/>
  <c r="D298" i="12"/>
  <c r="C298" i="12"/>
  <c r="B298" i="12"/>
  <c r="A298" i="12"/>
  <c r="H298" i="12" s="1"/>
  <c r="D297" i="12"/>
  <c r="C297" i="12"/>
  <c r="B297" i="12"/>
  <c r="A297" i="12"/>
  <c r="F297" i="12" s="1"/>
  <c r="D296" i="12"/>
  <c r="C296" i="12"/>
  <c r="B296" i="12"/>
  <c r="A296" i="12"/>
  <c r="H296" i="12" s="1"/>
  <c r="D295" i="12"/>
  <c r="C295" i="12"/>
  <c r="B295" i="12"/>
  <c r="A295" i="12"/>
  <c r="F295" i="12" s="1"/>
  <c r="D294" i="12"/>
  <c r="C294" i="12"/>
  <c r="B294" i="12"/>
  <c r="A294" i="12"/>
  <c r="H294" i="12" s="1"/>
  <c r="D293" i="12"/>
  <c r="C293" i="12"/>
  <c r="B293" i="12"/>
  <c r="A293" i="12"/>
  <c r="F293" i="12" s="1"/>
  <c r="D292" i="12"/>
  <c r="C292" i="12"/>
  <c r="B292" i="12"/>
  <c r="A292" i="12"/>
  <c r="H292" i="12" s="1"/>
  <c r="D291" i="12"/>
  <c r="C291" i="12"/>
  <c r="B291" i="12"/>
  <c r="A291" i="12"/>
  <c r="F291" i="12" s="1"/>
  <c r="D290" i="12"/>
  <c r="C290" i="12"/>
  <c r="B290" i="12"/>
  <c r="A290" i="12"/>
  <c r="H290" i="12" s="1"/>
  <c r="D289" i="12"/>
  <c r="C289" i="12"/>
  <c r="B289" i="12"/>
  <c r="A289" i="12"/>
  <c r="F289" i="12" s="1"/>
  <c r="D288" i="12"/>
  <c r="C288" i="12"/>
  <c r="B288" i="12"/>
  <c r="A288" i="12"/>
  <c r="H288" i="12" s="1"/>
  <c r="D287" i="12"/>
  <c r="C287" i="12"/>
  <c r="B287" i="12"/>
  <c r="A287" i="12"/>
  <c r="F287" i="12" s="1"/>
  <c r="D286" i="12"/>
  <c r="C286" i="12"/>
  <c r="B286" i="12"/>
  <c r="A286" i="12"/>
  <c r="H286" i="12" s="1"/>
  <c r="D285" i="12"/>
  <c r="C285" i="12"/>
  <c r="B285" i="12"/>
  <c r="A285" i="12"/>
  <c r="F285" i="12" s="1"/>
  <c r="D284" i="12"/>
  <c r="C284" i="12"/>
  <c r="B284" i="12"/>
  <c r="A284" i="12"/>
  <c r="H284" i="12" s="1"/>
  <c r="D283" i="12"/>
  <c r="C283" i="12"/>
  <c r="B283" i="12"/>
  <c r="A283" i="12"/>
  <c r="F283" i="12" s="1"/>
  <c r="D282" i="12"/>
  <c r="C282" i="12"/>
  <c r="B282" i="12"/>
  <c r="A282" i="12"/>
  <c r="H282" i="12" s="1"/>
  <c r="D281" i="12"/>
  <c r="C281" i="12"/>
  <c r="B281" i="12"/>
  <c r="A281" i="12"/>
  <c r="F281" i="12" s="1"/>
  <c r="D280" i="12"/>
  <c r="C280" i="12"/>
  <c r="B280" i="12"/>
  <c r="A280" i="12"/>
  <c r="H280" i="12" s="1"/>
  <c r="D279" i="12"/>
  <c r="C279" i="12"/>
  <c r="B279" i="12"/>
  <c r="A279" i="12"/>
  <c r="F279" i="12" s="1"/>
  <c r="D278" i="12"/>
  <c r="C278" i="12"/>
  <c r="B278" i="12"/>
  <c r="A278" i="12"/>
  <c r="H278" i="12" s="1"/>
  <c r="D277" i="12"/>
  <c r="C277" i="12"/>
  <c r="B277" i="12"/>
  <c r="A277" i="12"/>
  <c r="F277" i="12" s="1"/>
  <c r="D276" i="12"/>
  <c r="C276" i="12"/>
  <c r="B276" i="12"/>
  <c r="A276" i="12"/>
  <c r="H276" i="12" s="1"/>
  <c r="D275" i="12"/>
  <c r="C275" i="12"/>
  <c r="B275" i="12"/>
  <c r="A275" i="12"/>
  <c r="F275" i="12" s="1"/>
  <c r="D274" i="12"/>
  <c r="C274" i="12"/>
  <c r="B274" i="12"/>
  <c r="A274" i="12"/>
  <c r="H274" i="12" s="1"/>
  <c r="D273" i="12"/>
  <c r="C273" i="12"/>
  <c r="B273" i="12"/>
  <c r="A273" i="12"/>
  <c r="F273" i="12" s="1"/>
  <c r="D272" i="12"/>
  <c r="C272" i="12"/>
  <c r="B272" i="12"/>
  <c r="A272" i="12"/>
  <c r="H272" i="12" s="1"/>
  <c r="D271" i="12"/>
  <c r="C271" i="12"/>
  <c r="B271" i="12"/>
  <c r="A271" i="12"/>
  <c r="F271" i="12" s="1"/>
  <c r="D270" i="12"/>
  <c r="C270" i="12"/>
  <c r="B270" i="12"/>
  <c r="A270" i="12"/>
  <c r="H270" i="12" s="1"/>
  <c r="D269" i="12"/>
  <c r="C269" i="12"/>
  <c r="B269" i="12"/>
  <c r="A269" i="12"/>
  <c r="F269" i="12" s="1"/>
  <c r="D268" i="12"/>
  <c r="C268" i="12"/>
  <c r="B268" i="12"/>
  <c r="A268" i="12"/>
  <c r="H268" i="12" s="1"/>
  <c r="D267" i="12"/>
  <c r="C267" i="12"/>
  <c r="B267" i="12"/>
  <c r="A267" i="12"/>
  <c r="F267" i="12" s="1"/>
  <c r="D266" i="12"/>
  <c r="C266" i="12"/>
  <c r="B266" i="12"/>
  <c r="A266" i="12"/>
  <c r="H266" i="12" s="1"/>
  <c r="D265" i="12"/>
  <c r="C265" i="12"/>
  <c r="B265" i="12"/>
  <c r="A265" i="12"/>
  <c r="F265" i="12" s="1"/>
  <c r="D264" i="12"/>
  <c r="C264" i="12"/>
  <c r="B264" i="12"/>
  <c r="A264" i="12"/>
  <c r="H264" i="12" s="1"/>
  <c r="D263" i="12"/>
  <c r="C263" i="12"/>
  <c r="B263" i="12"/>
  <c r="A263" i="12"/>
  <c r="F263" i="12" s="1"/>
  <c r="D262" i="12"/>
  <c r="C262" i="12"/>
  <c r="B262" i="12"/>
  <c r="A262" i="12"/>
  <c r="H262" i="12" s="1"/>
  <c r="D261" i="12"/>
  <c r="C261" i="12"/>
  <c r="B261" i="12"/>
  <c r="A261" i="12"/>
  <c r="F261" i="12" s="1"/>
  <c r="D260" i="12"/>
  <c r="C260" i="12"/>
  <c r="B260" i="12"/>
  <c r="A260" i="12"/>
  <c r="H260" i="12" s="1"/>
  <c r="D259" i="12"/>
  <c r="C259" i="12"/>
  <c r="B259" i="12"/>
  <c r="A259" i="12"/>
  <c r="F259" i="12" s="1"/>
  <c r="D258" i="12"/>
  <c r="C258" i="12"/>
  <c r="B258" i="12"/>
  <c r="A258" i="12"/>
  <c r="H258" i="12" s="1"/>
  <c r="D257" i="12"/>
  <c r="C257" i="12"/>
  <c r="B257" i="12"/>
  <c r="A257" i="12"/>
  <c r="F257" i="12" s="1"/>
  <c r="D256" i="12"/>
  <c r="C256" i="12"/>
  <c r="B256" i="12"/>
  <c r="A256" i="12"/>
  <c r="H256" i="12" s="1"/>
  <c r="D255" i="12"/>
  <c r="C255" i="12"/>
  <c r="B255" i="12"/>
  <c r="A255" i="12"/>
  <c r="F255" i="12" s="1"/>
  <c r="D254" i="12"/>
  <c r="C254" i="12"/>
  <c r="B254" i="12"/>
  <c r="A254" i="12"/>
  <c r="H254" i="12" s="1"/>
  <c r="D253" i="12"/>
  <c r="C253" i="12"/>
  <c r="B253" i="12"/>
  <c r="A253" i="12"/>
  <c r="F253" i="12" s="1"/>
  <c r="D252" i="12"/>
  <c r="C252" i="12"/>
  <c r="B252" i="12"/>
  <c r="A252" i="12"/>
  <c r="H252" i="12" s="1"/>
  <c r="D251" i="12"/>
  <c r="C251" i="12"/>
  <c r="B251" i="12"/>
  <c r="A251" i="12"/>
  <c r="F251" i="12" s="1"/>
  <c r="D250" i="12"/>
  <c r="C250" i="12"/>
  <c r="B250" i="12"/>
  <c r="A250" i="12"/>
  <c r="H250" i="12" s="1"/>
  <c r="D249" i="12"/>
  <c r="C249" i="12"/>
  <c r="B249" i="12"/>
  <c r="A249" i="12"/>
  <c r="F249" i="12" s="1"/>
  <c r="D248" i="12"/>
  <c r="C248" i="12"/>
  <c r="B248" i="12"/>
  <c r="A248" i="12"/>
  <c r="H248" i="12" s="1"/>
  <c r="D247" i="12"/>
  <c r="C247" i="12"/>
  <c r="B247" i="12"/>
  <c r="A247" i="12"/>
  <c r="F247" i="12" s="1"/>
  <c r="D246" i="12"/>
  <c r="C246" i="12"/>
  <c r="B246" i="12"/>
  <c r="A246" i="12"/>
  <c r="H246" i="12" s="1"/>
  <c r="D245" i="12"/>
  <c r="C245" i="12"/>
  <c r="B245" i="12"/>
  <c r="A245" i="12"/>
  <c r="F245" i="12" s="1"/>
  <c r="D244" i="12"/>
  <c r="C244" i="12"/>
  <c r="B244" i="12"/>
  <c r="A244" i="12"/>
  <c r="H244" i="12" s="1"/>
  <c r="D243" i="12"/>
  <c r="C243" i="12"/>
  <c r="B243" i="12"/>
  <c r="A243" i="12"/>
  <c r="F243" i="12" s="1"/>
  <c r="D242" i="12"/>
  <c r="C242" i="12"/>
  <c r="B242" i="12"/>
  <c r="A242" i="12"/>
  <c r="H242" i="12" s="1"/>
  <c r="D241" i="12"/>
  <c r="C241" i="12"/>
  <c r="B241" i="12"/>
  <c r="A241" i="12"/>
  <c r="H241" i="12" s="1"/>
  <c r="D240" i="12"/>
  <c r="C240" i="12"/>
  <c r="B240" i="12"/>
  <c r="A240" i="12"/>
  <c r="F240" i="12" s="1"/>
  <c r="D239" i="12"/>
  <c r="C239" i="12"/>
  <c r="B239" i="12"/>
  <c r="A239" i="12"/>
  <c r="H239" i="12" s="1"/>
  <c r="D238" i="12"/>
  <c r="C238" i="12"/>
  <c r="B238" i="12"/>
  <c r="A238" i="12"/>
  <c r="F238" i="12" s="1"/>
  <c r="D237" i="12"/>
  <c r="C237" i="12"/>
  <c r="B237" i="12"/>
  <c r="A237" i="12"/>
  <c r="H237" i="12" s="1"/>
  <c r="D236" i="12"/>
  <c r="C236" i="12"/>
  <c r="B236" i="12"/>
  <c r="A236" i="12"/>
  <c r="F236" i="12" s="1"/>
  <c r="D235" i="12"/>
  <c r="C235" i="12"/>
  <c r="B235" i="12"/>
  <c r="A235" i="12"/>
  <c r="H235" i="12" s="1"/>
  <c r="D234" i="12"/>
  <c r="C234" i="12"/>
  <c r="B234" i="12"/>
  <c r="A234" i="12"/>
  <c r="F234" i="12" s="1"/>
  <c r="D233" i="12"/>
  <c r="C233" i="12"/>
  <c r="B233" i="12"/>
  <c r="A233" i="12"/>
  <c r="H233" i="12" s="1"/>
  <c r="D232" i="12"/>
  <c r="C232" i="12"/>
  <c r="B232" i="12"/>
  <c r="A232" i="12"/>
  <c r="F232" i="12" s="1"/>
  <c r="D231" i="12"/>
  <c r="C231" i="12"/>
  <c r="B231" i="12"/>
  <c r="A231" i="12"/>
  <c r="H231" i="12" s="1"/>
  <c r="D230" i="12"/>
  <c r="C230" i="12"/>
  <c r="B230" i="12"/>
  <c r="A230" i="12"/>
  <c r="F230" i="12" s="1"/>
  <c r="D229" i="12"/>
  <c r="C229" i="12"/>
  <c r="B229" i="12"/>
  <c r="A229" i="12"/>
  <c r="H229" i="12" s="1"/>
  <c r="D228" i="12"/>
  <c r="C228" i="12"/>
  <c r="B228" i="12"/>
  <c r="A228" i="12"/>
  <c r="F228" i="12" s="1"/>
  <c r="D227" i="12"/>
  <c r="C227" i="12"/>
  <c r="B227" i="12"/>
  <c r="A227" i="12"/>
  <c r="H227" i="12" s="1"/>
  <c r="D226" i="12"/>
  <c r="C226" i="12"/>
  <c r="B226" i="12"/>
  <c r="A226" i="12"/>
  <c r="F226" i="12" s="1"/>
  <c r="D225" i="12"/>
  <c r="C225" i="12"/>
  <c r="B225" i="12"/>
  <c r="A225" i="12"/>
  <c r="H225" i="12" s="1"/>
  <c r="D224" i="12"/>
  <c r="C224" i="12"/>
  <c r="B224" i="12"/>
  <c r="A224" i="12"/>
  <c r="F224" i="12" s="1"/>
  <c r="D223" i="12"/>
  <c r="C223" i="12"/>
  <c r="B223" i="12"/>
  <c r="A223" i="12"/>
  <c r="H223" i="12" s="1"/>
  <c r="D222" i="12"/>
  <c r="C222" i="12"/>
  <c r="B222" i="12"/>
  <c r="A222" i="12"/>
  <c r="F222" i="12" s="1"/>
  <c r="D221" i="12"/>
  <c r="C221" i="12"/>
  <c r="B221" i="12"/>
  <c r="A221" i="12"/>
  <c r="H221" i="12" s="1"/>
  <c r="D220" i="12"/>
  <c r="C220" i="12"/>
  <c r="B220" i="12"/>
  <c r="A220" i="12"/>
  <c r="F220" i="12" s="1"/>
  <c r="D219" i="12"/>
  <c r="C219" i="12"/>
  <c r="B219" i="12"/>
  <c r="A219" i="12"/>
  <c r="H219" i="12" s="1"/>
  <c r="D218" i="12"/>
  <c r="C218" i="12"/>
  <c r="B218" i="12"/>
  <c r="A218" i="12"/>
  <c r="F218" i="12" s="1"/>
  <c r="D217" i="12"/>
  <c r="C217" i="12"/>
  <c r="B217" i="12"/>
  <c r="A217" i="12"/>
  <c r="H217" i="12" s="1"/>
  <c r="D216" i="12"/>
  <c r="C216" i="12"/>
  <c r="B216" i="12"/>
  <c r="A216" i="12"/>
  <c r="F216" i="12" s="1"/>
  <c r="D215" i="12"/>
  <c r="C215" i="12"/>
  <c r="B215" i="12"/>
  <c r="A215" i="12"/>
  <c r="H215" i="12" s="1"/>
  <c r="D214" i="12"/>
  <c r="C214" i="12"/>
  <c r="B214" i="12"/>
  <c r="A214" i="12"/>
  <c r="F214" i="12" s="1"/>
  <c r="D213" i="12"/>
  <c r="C213" i="12"/>
  <c r="B213" i="12"/>
  <c r="A213" i="12"/>
  <c r="H213" i="12" s="1"/>
  <c r="D212" i="12"/>
  <c r="C212" i="12"/>
  <c r="B212" i="12"/>
  <c r="A212" i="12"/>
  <c r="F212" i="12" s="1"/>
  <c r="D211" i="12"/>
  <c r="C211" i="12"/>
  <c r="B211" i="12"/>
  <c r="A211" i="12"/>
  <c r="H211" i="12" s="1"/>
  <c r="D210" i="12"/>
  <c r="C210" i="12"/>
  <c r="B210" i="12"/>
  <c r="A210" i="12"/>
  <c r="F210" i="12" s="1"/>
  <c r="D209" i="12"/>
  <c r="C209" i="12"/>
  <c r="B209" i="12"/>
  <c r="A209" i="12"/>
  <c r="H209" i="12" s="1"/>
  <c r="D208" i="12"/>
  <c r="C208" i="12"/>
  <c r="B208" i="12"/>
  <c r="A208" i="12"/>
  <c r="F208" i="12" s="1"/>
  <c r="D207" i="12"/>
  <c r="C207" i="12"/>
  <c r="B207" i="12"/>
  <c r="A207" i="12"/>
  <c r="H207" i="12" s="1"/>
  <c r="D206" i="12"/>
  <c r="C206" i="12"/>
  <c r="B206" i="12"/>
  <c r="A206" i="12"/>
  <c r="F206" i="12" s="1"/>
  <c r="D205" i="12"/>
  <c r="C205" i="12"/>
  <c r="B205" i="12"/>
  <c r="A205" i="12"/>
  <c r="H205" i="12" s="1"/>
  <c r="D204" i="12"/>
  <c r="C204" i="12"/>
  <c r="B204" i="12"/>
  <c r="A204" i="12"/>
  <c r="F204" i="12" s="1"/>
  <c r="D203" i="12"/>
  <c r="C203" i="12"/>
  <c r="B203" i="12"/>
  <c r="A203" i="12"/>
  <c r="H203" i="12" s="1"/>
  <c r="D202" i="12"/>
  <c r="C202" i="12"/>
  <c r="B202" i="12"/>
  <c r="A202" i="12"/>
  <c r="F202" i="12" s="1"/>
  <c r="D201" i="12"/>
  <c r="C201" i="12"/>
  <c r="B201" i="12"/>
  <c r="A201" i="12"/>
  <c r="H201" i="12" s="1"/>
  <c r="D200" i="12"/>
  <c r="C200" i="12"/>
  <c r="B200" i="12"/>
  <c r="A200" i="12"/>
  <c r="F200" i="12" s="1"/>
  <c r="D199" i="12"/>
  <c r="C199" i="12"/>
  <c r="B199" i="12"/>
  <c r="A199" i="12"/>
  <c r="H199" i="12" s="1"/>
  <c r="D198" i="12"/>
  <c r="C198" i="12"/>
  <c r="B198" i="12"/>
  <c r="A198" i="12"/>
  <c r="F198" i="12" s="1"/>
  <c r="D197" i="12"/>
  <c r="C197" i="12"/>
  <c r="B197" i="12"/>
  <c r="A197" i="12"/>
  <c r="H197" i="12" s="1"/>
  <c r="D196" i="12"/>
  <c r="C196" i="12"/>
  <c r="B196" i="12"/>
  <c r="A196" i="12"/>
  <c r="F196" i="12" s="1"/>
  <c r="D195" i="12"/>
  <c r="C195" i="12"/>
  <c r="B195" i="12"/>
  <c r="A195" i="12"/>
  <c r="H195" i="12" s="1"/>
  <c r="D194" i="12"/>
  <c r="C194" i="12"/>
  <c r="B194" i="12"/>
  <c r="A194" i="12"/>
  <c r="F194" i="12" s="1"/>
  <c r="D193" i="12"/>
  <c r="C193" i="12"/>
  <c r="B193" i="12"/>
  <c r="A193" i="12"/>
  <c r="H193" i="12" s="1"/>
  <c r="D192" i="12"/>
  <c r="C192" i="12"/>
  <c r="B192" i="12"/>
  <c r="A192" i="12"/>
  <c r="F192" i="12" s="1"/>
  <c r="D191" i="12"/>
  <c r="C191" i="12"/>
  <c r="B191" i="12"/>
  <c r="A191" i="12"/>
  <c r="H191" i="12" s="1"/>
  <c r="D190" i="12"/>
  <c r="C190" i="12"/>
  <c r="B190" i="12"/>
  <c r="A190" i="12"/>
  <c r="F190" i="12" s="1"/>
  <c r="D189" i="12"/>
  <c r="C189" i="12"/>
  <c r="B189" i="12"/>
  <c r="A189" i="12"/>
  <c r="H189" i="12" s="1"/>
  <c r="D188" i="12"/>
  <c r="C188" i="12"/>
  <c r="B188" i="12"/>
  <c r="A188" i="12"/>
  <c r="F188" i="12" s="1"/>
  <c r="D187" i="12"/>
  <c r="C187" i="12"/>
  <c r="B187" i="12"/>
  <c r="A187" i="12"/>
  <c r="H187" i="12" s="1"/>
  <c r="D186" i="12"/>
  <c r="C186" i="12"/>
  <c r="B186" i="12"/>
  <c r="A186" i="12"/>
  <c r="F186" i="12" s="1"/>
  <c r="D185" i="12"/>
  <c r="C185" i="12"/>
  <c r="B185" i="12"/>
  <c r="A185" i="12"/>
  <c r="H185" i="12" s="1"/>
  <c r="D184" i="12"/>
  <c r="C184" i="12"/>
  <c r="B184" i="12"/>
  <c r="A184" i="12"/>
  <c r="F184" i="12" s="1"/>
  <c r="D183" i="12"/>
  <c r="C183" i="12"/>
  <c r="B183" i="12"/>
  <c r="A183" i="12"/>
  <c r="H183" i="12" s="1"/>
  <c r="D182" i="12"/>
  <c r="C182" i="12"/>
  <c r="B182" i="12"/>
  <c r="A182" i="12"/>
  <c r="F182" i="12" s="1"/>
  <c r="D181" i="12"/>
  <c r="C181" i="12"/>
  <c r="B181" i="12"/>
  <c r="A181" i="12"/>
  <c r="H181" i="12" s="1"/>
  <c r="D180" i="12"/>
  <c r="C180" i="12"/>
  <c r="B180" i="12"/>
  <c r="A180" i="12"/>
  <c r="F180" i="12" s="1"/>
  <c r="D179" i="12"/>
  <c r="C179" i="12"/>
  <c r="B179" i="12"/>
  <c r="A179" i="12"/>
  <c r="H179" i="12" s="1"/>
  <c r="D178" i="12"/>
  <c r="C178" i="12"/>
  <c r="B178" i="12"/>
  <c r="A178" i="12"/>
  <c r="F178" i="12" s="1"/>
  <c r="D177" i="12"/>
  <c r="C177" i="12"/>
  <c r="B177" i="12"/>
  <c r="A177" i="12"/>
  <c r="H177" i="12" s="1"/>
  <c r="D176" i="12"/>
  <c r="C176" i="12"/>
  <c r="B176" i="12"/>
  <c r="A176" i="12"/>
  <c r="F176" i="12" s="1"/>
  <c r="D175" i="12"/>
  <c r="C175" i="12"/>
  <c r="B175" i="12"/>
  <c r="A175" i="12"/>
  <c r="H175" i="12" s="1"/>
  <c r="D174" i="12"/>
  <c r="C174" i="12"/>
  <c r="B174" i="12"/>
  <c r="A174" i="12"/>
  <c r="F174" i="12" s="1"/>
  <c r="D173" i="12"/>
  <c r="C173" i="12"/>
  <c r="B173" i="12"/>
  <c r="A173" i="12"/>
  <c r="H173" i="12" s="1"/>
  <c r="D172" i="12"/>
  <c r="C172" i="12"/>
  <c r="B172" i="12"/>
  <c r="A172" i="12"/>
  <c r="F172" i="12" s="1"/>
  <c r="D171" i="12"/>
  <c r="C171" i="12"/>
  <c r="B171" i="12"/>
  <c r="A171" i="12"/>
  <c r="H171" i="12" s="1"/>
  <c r="D170" i="12"/>
  <c r="C170" i="12"/>
  <c r="B170" i="12"/>
  <c r="A170" i="12"/>
  <c r="F170" i="12" s="1"/>
  <c r="D169" i="12"/>
  <c r="C169" i="12"/>
  <c r="B169" i="12"/>
  <c r="A169" i="12"/>
  <c r="H169" i="12" s="1"/>
  <c r="D168" i="12"/>
  <c r="C168" i="12"/>
  <c r="B168" i="12"/>
  <c r="A168" i="12"/>
  <c r="F168" i="12" s="1"/>
  <c r="D167" i="12"/>
  <c r="C167" i="12"/>
  <c r="B167" i="12"/>
  <c r="A167" i="12"/>
  <c r="H167" i="12" s="1"/>
  <c r="D166" i="12"/>
  <c r="C166" i="12"/>
  <c r="B166" i="12"/>
  <c r="A166" i="12"/>
  <c r="F166" i="12" s="1"/>
  <c r="D165" i="12"/>
  <c r="C165" i="12"/>
  <c r="B165" i="12"/>
  <c r="A165" i="12"/>
  <c r="H165" i="12" s="1"/>
  <c r="D164" i="12"/>
  <c r="C164" i="12"/>
  <c r="B164" i="12"/>
  <c r="A164" i="12"/>
  <c r="F164" i="12" s="1"/>
  <c r="D163" i="12"/>
  <c r="C163" i="12"/>
  <c r="B163" i="12"/>
  <c r="A163" i="12"/>
  <c r="H163" i="12" s="1"/>
  <c r="D162" i="12"/>
  <c r="C162" i="12"/>
  <c r="B162" i="12"/>
  <c r="A162" i="12"/>
  <c r="F162" i="12" s="1"/>
  <c r="D161" i="12"/>
  <c r="C161" i="12"/>
  <c r="B161" i="12"/>
  <c r="A161" i="12"/>
  <c r="H161" i="12" s="1"/>
  <c r="D160" i="12"/>
  <c r="C160" i="12"/>
  <c r="B160" i="12"/>
  <c r="A160" i="12"/>
  <c r="F160" i="12" s="1"/>
  <c r="D159" i="12"/>
  <c r="C159" i="12"/>
  <c r="B159" i="12"/>
  <c r="A159" i="12"/>
  <c r="H159" i="12" s="1"/>
  <c r="D158" i="12"/>
  <c r="C158" i="12"/>
  <c r="B158" i="12"/>
  <c r="A158" i="12"/>
  <c r="D157" i="12"/>
  <c r="C157" i="12"/>
  <c r="B157" i="12"/>
  <c r="A157" i="12"/>
  <c r="H157" i="12" s="1"/>
  <c r="D156" i="12"/>
  <c r="C156" i="12"/>
  <c r="B156" i="12"/>
  <c r="A156" i="12"/>
  <c r="F156" i="12" s="1"/>
  <c r="D155" i="12"/>
  <c r="C155" i="12"/>
  <c r="B155" i="12"/>
  <c r="A155" i="12"/>
  <c r="H155" i="12" s="1"/>
  <c r="D154" i="12"/>
  <c r="C154" i="12"/>
  <c r="B154" i="12"/>
  <c r="A154" i="12"/>
  <c r="F154" i="12" s="1"/>
  <c r="D153" i="12"/>
  <c r="C153" i="12"/>
  <c r="B153" i="12"/>
  <c r="A153" i="12"/>
  <c r="H153" i="12" s="1"/>
  <c r="D152" i="12"/>
  <c r="C152" i="12"/>
  <c r="B152" i="12"/>
  <c r="A152" i="12"/>
  <c r="H152" i="12" s="1"/>
  <c r="D151" i="12"/>
  <c r="C151" i="12"/>
  <c r="B151" i="12"/>
  <c r="A151" i="12"/>
  <c r="H151" i="12" s="1"/>
  <c r="D150" i="12"/>
  <c r="C150" i="12"/>
  <c r="B150" i="12"/>
  <c r="A150" i="12"/>
  <c r="H150" i="12" s="1"/>
  <c r="D149" i="12"/>
  <c r="C149" i="12"/>
  <c r="B149" i="12"/>
  <c r="A149" i="12"/>
  <c r="H149" i="12" s="1"/>
  <c r="D148" i="12"/>
  <c r="C148" i="12"/>
  <c r="B148" i="12"/>
  <c r="A148" i="12"/>
  <c r="H148" i="12" s="1"/>
  <c r="D147" i="12"/>
  <c r="C147" i="12"/>
  <c r="B147" i="12"/>
  <c r="A147" i="12"/>
  <c r="H147" i="12" s="1"/>
  <c r="D146" i="12"/>
  <c r="C146" i="12"/>
  <c r="B146" i="12"/>
  <c r="A146" i="12"/>
  <c r="H146" i="12" s="1"/>
  <c r="D145" i="12"/>
  <c r="C145" i="12"/>
  <c r="B145" i="12"/>
  <c r="A145" i="12"/>
  <c r="H145" i="12" s="1"/>
  <c r="D144" i="12"/>
  <c r="C144" i="12"/>
  <c r="B144" i="12"/>
  <c r="A144" i="12"/>
  <c r="H144" i="12" s="1"/>
  <c r="D143" i="12"/>
  <c r="C143" i="12"/>
  <c r="B143" i="12"/>
  <c r="A143" i="12"/>
  <c r="H143" i="12" s="1"/>
  <c r="D142" i="12"/>
  <c r="C142" i="12"/>
  <c r="B142" i="12"/>
  <c r="A142" i="12"/>
  <c r="H142" i="12" s="1"/>
  <c r="D141" i="12"/>
  <c r="C141" i="12"/>
  <c r="B141" i="12"/>
  <c r="A141" i="12"/>
  <c r="H141" i="12" s="1"/>
  <c r="D140" i="12"/>
  <c r="C140" i="12"/>
  <c r="B140" i="12"/>
  <c r="A140" i="12"/>
  <c r="H140" i="12" s="1"/>
  <c r="D139" i="12"/>
  <c r="C139" i="12"/>
  <c r="B139" i="12"/>
  <c r="A139" i="12"/>
  <c r="H139" i="12" s="1"/>
  <c r="D138" i="12"/>
  <c r="C138" i="12"/>
  <c r="B138" i="12"/>
  <c r="A138" i="12"/>
  <c r="H138" i="12" s="1"/>
  <c r="D137" i="12"/>
  <c r="C137" i="12"/>
  <c r="B137" i="12"/>
  <c r="A137" i="12"/>
  <c r="H137" i="12" s="1"/>
  <c r="D136" i="12"/>
  <c r="C136" i="12"/>
  <c r="B136" i="12"/>
  <c r="A136" i="12"/>
  <c r="H136" i="12" s="1"/>
  <c r="D135" i="12"/>
  <c r="C135" i="12"/>
  <c r="B135" i="12"/>
  <c r="A135" i="12"/>
  <c r="H135" i="12" s="1"/>
  <c r="D134" i="12"/>
  <c r="C134" i="12"/>
  <c r="B134" i="12"/>
  <c r="A134" i="12"/>
  <c r="H134" i="12" s="1"/>
  <c r="D133" i="12"/>
  <c r="C133" i="12"/>
  <c r="B133" i="12"/>
  <c r="A133" i="12"/>
  <c r="H133" i="12" s="1"/>
  <c r="D132" i="12"/>
  <c r="C132" i="12"/>
  <c r="B132" i="12"/>
  <c r="A132" i="12"/>
  <c r="H132" i="12" s="1"/>
  <c r="D131" i="12"/>
  <c r="C131" i="12"/>
  <c r="B131" i="12"/>
  <c r="A131" i="12"/>
  <c r="H131" i="12" s="1"/>
  <c r="D130" i="12"/>
  <c r="C130" i="12"/>
  <c r="B130" i="12"/>
  <c r="A130" i="12"/>
  <c r="F130" i="12" s="1"/>
  <c r="D129" i="12"/>
  <c r="C129" i="12"/>
  <c r="B129" i="12"/>
  <c r="A129" i="12"/>
  <c r="H129" i="12" s="1"/>
  <c r="D128" i="12"/>
  <c r="C128" i="12"/>
  <c r="B128" i="12"/>
  <c r="A128" i="12"/>
  <c r="F128" i="12" s="1"/>
  <c r="D127" i="12"/>
  <c r="C127" i="12"/>
  <c r="B127" i="12"/>
  <c r="A127" i="12"/>
  <c r="H127" i="12" s="1"/>
  <c r="D126" i="12"/>
  <c r="C126" i="12"/>
  <c r="B126" i="12"/>
  <c r="A126" i="12"/>
  <c r="F126" i="12" s="1"/>
  <c r="D125" i="12"/>
  <c r="C125" i="12"/>
  <c r="B125" i="12"/>
  <c r="A125" i="12"/>
  <c r="H125" i="12" s="1"/>
  <c r="D124" i="12"/>
  <c r="C124" i="12"/>
  <c r="B124" i="12"/>
  <c r="A124" i="12"/>
  <c r="F124" i="12" s="1"/>
  <c r="D123" i="12"/>
  <c r="C123" i="12"/>
  <c r="B123" i="12"/>
  <c r="A123" i="12"/>
  <c r="H123" i="12" s="1"/>
  <c r="D122" i="12"/>
  <c r="C122" i="12"/>
  <c r="B122" i="12"/>
  <c r="A122" i="12"/>
  <c r="F122" i="12" s="1"/>
  <c r="D121" i="12"/>
  <c r="C121" i="12"/>
  <c r="B121" i="12"/>
  <c r="A121" i="12"/>
  <c r="H121" i="12" s="1"/>
  <c r="D120" i="12"/>
  <c r="C120" i="12"/>
  <c r="B120" i="12"/>
  <c r="A120" i="12"/>
  <c r="F120" i="12" s="1"/>
  <c r="D119" i="12"/>
  <c r="C119" i="12"/>
  <c r="B119" i="12"/>
  <c r="A119" i="12"/>
  <c r="H119" i="12" s="1"/>
  <c r="D118" i="12"/>
  <c r="C118" i="12"/>
  <c r="B118" i="12"/>
  <c r="A118" i="12"/>
  <c r="F118" i="12" s="1"/>
  <c r="D117" i="12"/>
  <c r="C117" i="12"/>
  <c r="B117" i="12"/>
  <c r="A117" i="12"/>
  <c r="H117" i="12" s="1"/>
  <c r="D116" i="12"/>
  <c r="C116" i="12"/>
  <c r="B116" i="12"/>
  <c r="A116" i="12"/>
  <c r="F116" i="12" s="1"/>
  <c r="D115" i="12"/>
  <c r="C115" i="12"/>
  <c r="B115" i="12"/>
  <c r="A115" i="12"/>
  <c r="H115" i="12" s="1"/>
  <c r="D114" i="12"/>
  <c r="C114" i="12"/>
  <c r="B114" i="12"/>
  <c r="A114" i="12"/>
  <c r="F114" i="12" s="1"/>
  <c r="D113" i="12"/>
  <c r="C113" i="12"/>
  <c r="B113" i="12"/>
  <c r="A113" i="12"/>
  <c r="H113" i="12" s="1"/>
  <c r="D112" i="12"/>
  <c r="C112" i="12"/>
  <c r="B112" i="12"/>
  <c r="A112" i="12"/>
  <c r="F112" i="12" s="1"/>
  <c r="D111" i="12"/>
  <c r="C111" i="12"/>
  <c r="B111" i="12"/>
  <c r="A111" i="12"/>
  <c r="H111" i="12" s="1"/>
  <c r="D110" i="12"/>
  <c r="C110" i="12"/>
  <c r="B110" i="12"/>
  <c r="A110" i="12"/>
  <c r="F110" i="12" s="1"/>
  <c r="D109" i="12"/>
  <c r="C109" i="12"/>
  <c r="B109" i="12"/>
  <c r="A109" i="12"/>
  <c r="H109" i="12" s="1"/>
  <c r="D108" i="12"/>
  <c r="C108" i="12"/>
  <c r="B108" i="12"/>
  <c r="A108" i="12"/>
  <c r="F108" i="12" s="1"/>
  <c r="D107" i="12"/>
  <c r="C107" i="12"/>
  <c r="B107" i="12"/>
  <c r="A107" i="12"/>
  <c r="H107" i="12" s="1"/>
  <c r="D106" i="12"/>
  <c r="C106" i="12"/>
  <c r="B106" i="12"/>
  <c r="A106" i="12"/>
  <c r="F106" i="12" s="1"/>
  <c r="D105" i="12"/>
  <c r="C105" i="12"/>
  <c r="B105" i="12"/>
  <c r="A105" i="12"/>
  <c r="H105" i="12" s="1"/>
  <c r="D104" i="12"/>
  <c r="C104" i="12"/>
  <c r="B104" i="12"/>
  <c r="A104" i="12"/>
  <c r="F104" i="12" s="1"/>
  <c r="D103" i="12"/>
  <c r="C103" i="12"/>
  <c r="B103" i="12"/>
  <c r="A103" i="12"/>
  <c r="H103" i="12" s="1"/>
  <c r="D102" i="12"/>
  <c r="C102" i="12"/>
  <c r="B102" i="12"/>
  <c r="A102" i="12"/>
  <c r="F102" i="12" s="1"/>
  <c r="D101" i="12"/>
  <c r="C101" i="12"/>
  <c r="B101" i="12"/>
  <c r="A101" i="12"/>
  <c r="H101" i="12" s="1"/>
  <c r="D100" i="12"/>
  <c r="C100" i="12"/>
  <c r="B100" i="12"/>
  <c r="A100" i="12"/>
  <c r="F100" i="12" s="1"/>
  <c r="D99" i="12"/>
  <c r="C99" i="12"/>
  <c r="B99" i="12"/>
  <c r="A99" i="12"/>
  <c r="H99" i="12" s="1"/>
  <c r="D98" i="12"/>
  <c r="C98" i="12"/>
  <c r="B98" i="12"/>
  <c r="A98" i="12"/>
  <c r="F98" i="12" s="1"/>
  <c r="D97" i="12"/>
  <c r="C97" i="12"/>
  <c r="B97" i="12"/>
  <c r="A97" i="12"/>
  <c r="H97" i="12" s="1"/>
  <c r="D96" i="12"/>
  <c r="C96" i="12"/>
  <c r="B96" i="12"/>
  <c r="A96" i="12"/>
  <c r="F96" i="12" s="1"/>
  <c r="D95" i="12"/>
  <c r="C95" i="12"/>
  <c r="B95" i="12"/>
  <c r="A95" i="12"/>
  <c r="H95" i="12" s="1"/>
  <c r="D94" i="12"/>
  <c r="C94" i="12"/>
  <c r="B94" i="12"/>
  <c r="A94" i="12"/>
  <c r="F94" i="12" s="1"/>
  <c r="D93" i="12"/>
  <c r="C93" i="12"/>
  <c r="B93" i="12"/>
  <c r="A93" i="12"/>
  <c r="H93" i="12" s="1"/>
  <c r="D92" i="12"/>
  <c r="C92" i="12"/>
  <c r="B92" i="12"/>
  <c r="A92" i="12"/>
  <c r="F92" i="12" s="1"/>
  <c r="D91" i="12"/>
  <c r="C91" i="12"/>
  <c r="B91" i="12"/>
  <c r="A91" i="12"/>
  <c r="H91" i="12" s="1"/>
  <c r="D90" i="12"/>
  <c r="C90" i="12"/>
  <c r="B90" i="12"/>
  <c r="A90" i="12"/>
  <c r="F90" i="12" s="1"/>
  <c r="D89" i="12"/>
  <c r="C89" i="12"/>
  <c r="B89" i="12"/>
  <c r="A89" i="12"/>
  <c r="H89" i="12" s="1"/>
  <c r="D88" i="12"/>
  <c r="C88" i="12"/>
  <c r="B88" i="12"/>
  <c r="A88" i="12"/>
  <c r="F88" i="12" s="1"/>
  <c r="D87" i="12"/>
  <c r="C87" i="12"/>
  <c r="B87" i="12"/>
  <c r="A87" i="12"/>
  <c r="H87" i="12" s="1"/>
  <c r="D86" i="12"/>
  <c r="C86" i="12"/>
  <c r="B86" i="12"/>
  <c r="A86" i="12"/>
  <c r="F86" i="12" s="1"/>
  <c r="D85" i="12"/>
  <c r="C85" i="12"/>
  <c r="B85" i="12"/>
  <c r="A85" i="12"/>
  <c r="H85" i="12" s="1"/>
  <c r="D84" i="12"/>
  <c r="C84" i="12"/>
  <c r="B84" i="12"/>
  <c r="A84" i="12"/>
  <c r="F84" i="12" s="1"/>
  <c r="D83" i="12"/>
  <c r="C83" i="12"/>
  <c r="B83" i="12"/>
  <c r="A83" i="12"/>
  <c r="H83" i="12" s="1"/>
  <c r="D82" i="12"/>
  <c r="C82" i="12"/>
  <c r="B82" i="12"/>
  <c r="A82" i="12"/>
  <c r="F82" i="12" s="1"/>
  <c r="D81" i="12"/>
  <c r="C81" i="12"/>
  <c r="B81" i="12"/>
  <c r="A81" i="12"/>
  <c r="H81" i="12" s="1"/>
  <c r="D80" i="12"/>
  <c r="C80" i="12"/>
  <c r="B80" i="12"/>
  <c r="A80" i="12"/>
  <c r="F80" i="12" s="1"/>
  <c r="D79" i="12"/>
  <c r="C79" i="12"/>
  <c r="B79" i="12"/>
  <c r="A79" i="12"/>
  <c r="H79" i="12" s="1"/>
  <c r="D78" i="12"/>
  <c r="C78" i="12"/>
  <c r="B78" i="12"/>
  <c r="A78" i="12"/>
  <c r="F78" i="12" s="1"/>
  <c r="D77" i="12"/>
  <c r="C77" i="12"/>
  <c r="B77" i="12"/>
  <c r="A77" i="12"/>
  <c r="H77" i="12" s="1"/>
  <c r="D76" i="12"/>
  <c r="C76" i="12"/>
  <c r="B76" i="12"/>
  <c r="A76" i="12"/>
  <c r="F76" i="12" s="1"/>
  <c r="D75" i="12"/>
  <c r="C75" i="12"/>
  <c r="B75" i="12"/>
  <c r="A75" i="12"/>
  <c r="H75" i="12" s="1"/>
  <c r="D74" i="12"/>
  <c r="C74" i="12"/>
  <c r="B74" i="12"/>
  <c r="A74" i="12"/>
  <c r="F74" i="12" s="1"/>
  <c r="D73" i="12"/>
  <c r="C73" i="12"/>
  <c r="B73" i="12"/>
  <c r="A73" i="12"/>
  <c r="H73" i="12" s="1"/>
  <c r="D72" i="12"/>
  <c r="C72" i="12"/>
  <c r="B72" i="12"/>
  <c r="A72" i="12"/>
  <c r="F72" i="12" s="1"/>
  <c r="D71" i="12"/>
  <c r="C71" i="12"/>
  <c r="B71" i="12"/>
  <c r="A71" i="12"/>
  <c r="H71" i="12" s="1"/>
  <c r="D70" i="12"/>
  <c r="C70" i="12"/>
  <c r="B70" i="12"/>
  <c r="A70" i="12"/>
  <c r="F70" i="12" s="1"/>
  <c r="D69" i="12"/>
  <c r="C69" i="12"/>
  <c r="B69" i="12"/>
  <c r="A69" i="12"/>
  <c r="H69" i="12" s="1"/>
  <c r="D68" i="12"/>
  <c r="C68" i="12"/>
  <c r="B68" i="12"/>
  <c r="A68" i="12"/>
  <c r="F68" i="12" s="1"/>
  <c r="D67" i="12"/>
  <c r="C67" i="12"/>
  <c r="B67" i="12"/>
  <c r="A67" i="12"/>
  <c r="H67" i="12" s="1"/>
  <c r="D66" i="12"/>
  <c r="C66" i="12"/>
  <c r="B66" i="12"/>
  <c r="A66" i="12"/>
  <c r="F66" i="12" s="1"/>
  <c r="D65" i="12"/>
  <c r="C65" i="12"/>
  <c r="B65" i="12"/>
  <c r="A65" i="12"/>
  <c r="H65" i="12" s="1"/>
  <c r="D64" i="12"/>
  <c r="C64" i="12"/>
  <c r="B64" i="12"/>
  <c r="A64" i="12"/>
  <c r="F64" i="12" s="1"/>
  <c r="D63" i="12"/>
  <c r="C63" i="12"/>
  <c r="B63" i="12"/>
  <c r="A63" i="12"/>
  <c r="H63" i="12" s="1"/>
  <c r="D62" i="12"/>
  <c r="C62" i="12"/>
  <c r="B62" i="12"/>
  <c r="A62" i="12"/>
  <c r="F62" i="12" s="1"/>
  <c r="D61" i="12"/>
  <c r="C61" i="12"/>
  <c r="B61" i="12"/>
  <c r="A61" i="12"/>
  <c r="H61" i="12" s="1"/>
  <c r="D60" i="12"/>
  <c r="C60" i="12"/>
  <c r="B60" i="12"/>
  <c r="A60" i="12"/>
  <c r="F60" i="12" s="1"/>
  <c r="D59" i="12"/>
  <c r="C59" i="12"/>
  <c r="B59" i="12"/>
  <c r="A59" i="12"/>
  <c r="H59" i="12" s="1"/>
  <c r="D58" i="12"/>
  <c r="C58" i="12"/>
  <c r="B58" i="12"/>
  <c r="A58" i="12"/>
  <c r="F58" i="12" s="1"/>
  <c r="D57" i="12"/>
  <c r="C57" i="12"/>
  <c r="B57" i="12"/>
  <c r="A57" i="12"/>
  <c r="H57" i="12" s="1"/>
  <c r="D56" i="12"/>
  <c r="C56" i="12"/>
  <c r="B56" i="12"/>
  <c r="A56" i="12"/>
  <c r="F56" i="12" s="1"/>
  <c r="D55" i="12"/>
  <c r="C55" i="12"/>
  <c r="B55" i="12"/>
  <c r="A55" i="12"/>
  <c r="H55" i="12" s="1"/>
  <c r="D54" i="12"/>
  <c r="C54" i="12"/>
  <c r="B54" i="12"/>
  <c r="A54" i="12"/>
  <c r="F54" i="12" s="1"/>
  <c r="D53" i="12"/>
  <c r="C53" i="12"/>
  <c r="B53" i="12"/>
  <c r="A53" i="12"/>
  <c r="H53" i="12" s="1"/>
  <c r="D52" i="12"/>
  <c r="C52" i="12"/>
  <c r="B52" i="12"/>
  <c r="A52" i="12"/>
  <c r="F52" i="12" s="1"/>
  <c r="D51" i="12"/>
  <c r="C51" i="12"/>
  <c r="B51" i="12"/>
  <c r="A51" i="12"/>
  <c r="H51" i="12" s="1"/>
  <c r="D50" i="12"/>
  <c r="C50" i="12"/>
  <c r="B50" i="12"/>
  <c r="F50" i="12"/>
  <c r="D49" i="12"/>
  <c r="C49" i="12"/>
  <c r="B49" i="12"/>
  <c r="H49" i="12"/>
  <c r="D48" i="12"/>
  <c r="C48" i="12"/>
  <c r="B48" i="12"/>
  <c r="F48" i="12"/>
  <c r="D47" i="12"/>
  <c r="C47" i="12"/>
  <c r="B47" i="12"/>
  <c r="H47" i="12"/>
  <c r="D46" i="12"/>
  <c r="C46" i="12"/>
  <c r="B46" i="12"/>
  <c r="F46" i="12"/>
  <c r="D45" i="12"/>
  <c r="C45" i="12"/>
  <c r="B45" i="12"/>
  <c r="H45" i="12"/>
  <c r="D44" i="12"/>
  <c r="C44" i="12"/>
  <c r="B44" i="12"/>
  <c r="F44" i="12"/>
  <c r="D43" i="12"/>
  <c r="C43" i="12"/>
  <c r="B43" i="12"/>
  <c r="H43" i="12"/>
  <c r="D42" i="12"/>
  <c r="C42" i="12"/>
  <c r="B42" i="12"/>
  <c r="F42" i="12"/>
  <c r="D41" i="12"/>
  <c r="C41" i="12"/>
  <c r="B41" i="12"/>
  <c r="D40" i="12"/>
  <c r="C40" i="12"/>
  <c r="B40" i="12"/>
  <c r="H40" i="12"/>
  <c r="D39" i="12"/>
  <c r="C39" i="12"/>
  <c r="B39" i="12"/>
  <c r="H39" i="12"/>
  <c r="D38" i="12"/>
  <c r="C38" i="12"/>
  <c r="B38" i="12"/>
  <c r="H38" i="12"/>
  <c r="D37" i="12"/>
  <c r="C37" i="12"/>
  <c r="B37" i="12"/>
  <c r="H37" i="12"/>
  <c r="D36" i="12"/>
  <c r="C36" i="12"/>
  <c r="B36" i="12"/>
  <c r="H36" i="12"/>
  <c r="D35" i="12"/>
  <c r="C35" i="12"/>
  <c r="B35" i="12"/>
  <c r="H35" i="12"/>
  <c r="D34" i="12"/>
  <c r="C34" i="12"/>
  <c r="B34" i="12"/>
  <c r="H34" i="12"/>
  <c r="D33" i="12"/>
  <c r="C33" i="12"/>
  <c r="B33" i="12"/>
  <c r="H33" i="12"/>
  <c r="D32" i="12"/>
  <c r="C32" i="12"/>
  <c r="B32" i="12"/>
  <c r="H32" i="12"/>
  <c r="D31" i="12"/>
  <c r="C31" i="12"/>
  <c r="B31" i="12"/>
  <c r="H31" i="12"/>
  <c r="D30" i="12"/>
  <c r="C30" i="12"/>
  <c r="B30" i="12"/>
  <c r="H30" i="12"/>
  <c r="D29" i="12"/>
  <c r="C29" i="12"/>
  <c r="B29" i="12"/>
  <c r="H29" i="12"/>
  <c r="D28" i="12"/>
  <c r="C28" i="12"/>
  <c r="B28" i="12"/>
  <c r="H28" i="12"/>
  <c r="D27" i="12"/>
  <c r="C27" i="12"/>
  <c r="B27" i="12"/>
  <c r="H27" i="12"/>
  <c r="D26" i="12"/>
  <c r="C26" i="12"/>
  <c r="B26" i="12"/>
  <c r="H26" i="12"/>
  <c r="H25" i="12"/>
  <c r="H24" i="12"/>
  <c r="H23" i="12"/>
  <c r="H22" i="12"/>
  <c r="G20" i="12"/>
  <c r="G17" i="12"/>
  <c r="F16" i="12"/>
  <c r="GW2" i="11"/>
  <c r="EW2" i="11"/>
  <c r="CW2" i="11"/>
  <c r="AW2" i="11"/>
  <c r="Y115" i="11"/>
  <c r="HA1" i="11"/>
  <c r="GA1" i="11"/>
  <c r="EQ1" i="11"/>
  <c r="DQ1" i="11"/>
  <c r="CA1" i="11"/>
  <c r="AQ1" i="11"/>
  <c r="AK31" i="6"/>
  <c r="AJ31" i="6"/>
  <c r="BI67" i="6" s="1"/>
  <c r="AK30" i="6"/>
  <c r="AJ30" i="6"/>
  <c r="BI66" i="6" s="1"/>
  <c r="AK29" i="6"/>
  <c r="AJ29" i="6"/>
  <c r="BI65" i="6" s="1"/>
  <c r="AK28" i="6"/>
  <c r="BI43" i="6" s="1"/>
  <c r="AJ28" i="6"/>
  <c r="AK27" i="6"/>
  <c r="BI42" i="6" s="1"/>
  <c r="AJ27" i="6"/>
  <c r="BG42" i="6" s="1"/>
  <c r="AK26" i="6"/>
  <c r="AJ26" i="6"/>
  <c r="AK25" i="6"/>
  <c r="AJ25" i="6"/>
  <c r="BI61" i="6" s="1"/>
  <c r="AK24" i="6"/>
  <c r="BI41" i="6" s="1"/>
  <c r="AJ24" i="6"/>
  <c r="BI60" i="6" s="1"/>
  <c r="S24" i="6"/>
  <c r="R24" i="6"/>
  <c r="Q24" i="6"/>
  <c r="T24" i="6" s="1"/>
  <c r="F24" i="6"/>
  <c r="E24" i="6"/>
  <c r="D24" i="6"/>
  <c r="C24" i="6"/>
  <c r="AK23" i="6"/>
  <c r="BI29" i="6" s="1"/>
  <c r="AJ23" i="6"/>
  <c r="BG29" i="6" s="1"/>
  <c r="S23" i="6"/>
  <c r="R23" i="6"/>
  <c r="T23" i="6" s="1"/>
  <c r="Q23" i="6"/>
  <c r="F23" i="6"/>
  <c r="E23" i="6"/>
  <c r="D23" i="6"/>
  <c r="C23" i="6"/>
  <c r="AK22" i="6"/>
  <c r="BI28" i="6" s="1"/>
  <c r="AJ22" i="6"/>
  <c r="BI59" i="6" s="1"/>
  <c r="S22" i="6"/>
  <c r="R22" i="6"/>
  <c r="T22" i="6" s="1"/>
  <c r="Q22" i="6"/>
  <c r="F22" i="6"/>
  <c r="E22" i="6"/>
  <c r="D22" i="6"/>
  <c r="C22" i="6"/>
  <c r="AK21" i="6"/>
  <c r="BI40" i="6" s="1"/>
  <c r="AJ21" i="6"/>
  <c r="BI58" i="6" s="1"/>
  <c r="S21" i="6"/>
  <c r="R21" i="6"/>
  <c r="T21" i="6" s="1"/>
  <c r="Q21" i="6"/>
  <c r="F21" i="6"/>
  <c r="E21" i="6"/>
  <c r="D21" i="6"/>
  <c r="C21" i="6"/>
  <c r="AK20" i="6"/>
  <c r="BI8" i="6" s="1"/>
  <c r="AJ20" i="6"/>
  <c r="S20" i="6"/>
  <c r="R20" i="6"/>
  <c r="T20" i="6" s="1"/>
  <c r="Q20" i="6"/>
  <c r="F20" i="6"/>
  <c r="E20" i="6"/>
  <c r="D20" i="6"/>
  <c r="C20" i="6"/>
  <c r="AK19" i="6"/>
  <c r="BI39" i="6" s="1"/>
  <c r="AJ19" i="6"/>
  <c r="BG39" i="6" s="1"/>
  <c r="S19" i="6"/>
  <c r="R19" i="6"/>
  <c r="Q19" i="6"/>
  <c r="T19" i="6" s="1"/>
  <c r="L19" i="6"/>
  <c r="J19" i="6"/>
  <c r="F19" i="6"/>
  <c r="E19" i="6"/>
  <c r="D19" i="6"/>
  <c r="C19" i="6"/>
  <c r="AK18" i="6"/>
  <c r="BI25" i="6" s="1"/>
  <c r="AJ18" i="6"/>
  <c r="BG25" i="6" s="1"/>
  <c r="S18" i="6"/>
  <c r="R18" i="6"/>
  <c r="Q18" i="6"/>
  <c r="T18" i="6" s="1"/>
  <c r="L18" i="6"/>
  <c r="J18" i="6"/>
  <c r="F18" i="6"/>
  <c r="E18" i="6"/>
  <c r="D18" i="6"/>
  <c r="C18" i="6"/>
  <c r="AK17" i="6"/>
  <c r="BI24" i="6" s="1"/>
  <c r="AJ17" i="6"/>
  <c r="BG24" i="6" s="1"/>
  <c r="S17" i="6"/>
  <c r="R17" i="6"/>
  <c r="Q17" i="6"/>
  <c r="T17" i="6" s="1"/>
  <c r="L17" i="6"/>
  <c r="J17" i="6"/>
  <c r="F17" i="6"/>
  <c r="E17" i="6"/>
  <c r="D17" i="6"/>
  <c r="C17" i="6"/>
  <c r="BA16" i="6"/>
  <c r="BI242" i="6" s="1"/>
  <c r="AK16" i="6"/>
  <c r="AJ16" i="6"/>
  <c r="S16" i="6"/>
  <c r="R16" i="6"/>
  <c r="Q16" i="6"/>
  <c r="T16" i="6" s="1"/>
  <c r="L16" i="6"/>
  <c r="J16" i="6"/>
  <c r="F16" i="6"/>
  <c r="E16" i="6"/>
  <c r="D16" i="6"/>
  <c r="C16" i="6"/>
  <c r="BA15" i="6"/>
  <c r="BI241" i="6" s="1"/>
  <c r="AK15" i="6"/>
  <c r="BI38" i="6" s="1"/>
  <c r="AJ15" i="6"/>
  <c r="BI57" i="6" s="1"/>
  <c r="AF15" i="6"/>
  <c r="AE15" i="6"/>
  <c r="AD15" i="6"/>
  <c r="AC15" i="6"/>
  <c r="AB15" i="6"/>
  <c r="AA15" i="6"/>
  <c r="Z15" i="6"/>
  <c r="Y15" i="6"/>
  <c r="X15" i="6"/>
  <c r="W15" i="6"/>
  <c r="AG15" i="6" s="1"/>
  <c r="S15" i="6"/>
  <c r="R15" i="6"/>
  <c r="Q15" i="6"/>
  <c r="T15" i="6" s="1"/>
  <c r="L15" i="6"/>
  <c r="J15" i="6"/>
  <c r="BI14" i="6"/>
  <c r="BG14" i="6"/>
  <c r="BA14" i="6"/>
  <c r="BI240" i="6" s="1"/>
  <c r="AU14" i="6"/>
  <c r="BI183" i="6" s="1"/>
  <c r="AK14" i="6"/>
  <c r="BI23" i="6" s="1"/>
  <c r="AJ14" i="6"/>
  <c r="BG23" i="6" s="1"/>
  <c r="AF14" i="6"/>
  <c r="AE14" i="6"/>
  <c r="AD14" i="6"/>
  <c r="AC14" i="6"/>
  <c r="AB14" i="6"/>
  <c r="AA14" i="6"/>
  <c r="Z14" i="6"/>
  <c r="Y14" i="6"/>
  <c r="X14" i="6"/>
  <c r="W14" i="6"/>
  <c r="AG14" i="6" s="1"/>
  <c r="S14" i="6"/>
  <c r="R14" i="6"/>
  <c r="T14" i="6" s="1"/>
  <c r="Q14" i="6"/>
  <c r="L14" i="6"/>
  <c r="J14" i="6"/>
  <c r="BG13" i="6"/>
  <c r="BA13" i="6"/>
  <c r="BI239" i="6" s="1"/>
  <c r="AU13" i="6"/>
  <c r="BI182" i="6" s="1"/>
  <c r="AK13" i="6"/>
  <c r="BI37" i="6" s="1"/>
  <c r="AJ13" i="6"/>
  <c r="BI56" i="6" s="1"/>
  <c r="AF13" i="6"/>
  <c r="AE13" i="6"/>
  <c r="AD13" i="6"/>
  <c r="AC13" i="6"/>
  <c r="AB13" i="6"/>
  <c r="AA13" i="6"/>
  <c r="Z13" i="6"/>
  <c r="Y13" i="6"/>
  <c r="X13" i="6"/>
  <c r="W13" i="6"/>
  <c r="AG13" i="6" s="1"/>
  <c r="S13" i="6"/>
  <c r="R13" i="6"/>
  <c r="Q13" i="6"/>
  <c r="T13" i="6" s="1"/>
  <c r="L13" i="6"/>
  <c r="J13" i="6"/>
  <c r="BG12" i="6"/>
  <c r="BA12" i="6"/>
  <c r="BI238" i="6" s="1"/>
  <c r="AU12" i="6"/>
  <c r="BI181" i="6" s="1"/>
  <c r="AK12" i="6"/>
  <c r="BI22" i="6" s="1"/>
  <c r="AJ12" i="6"/>
  <c r="BG22" i="6" s="1"/>
  <c r="AF12" i="6"/>
  <c r="AE12" i="6"/>
  <c r="AD12" i="6"/>
  <c r="AC12" i="6"/>
  <c r="AB12" i="6"/>
  <c r="AA12" i="6"/>
  <c r="Z12" i="6"/>
  <c r="Y12" i="6"/>
  <c r="X12" i="6"/>
  <c r="W12" i="6"/>
  <c r="AG12" i="6" s="1"/>
  <c r="S12" i="6"/>
  <c r="R12" i="6"/>
  <c r="T12" i="6" s="1"/>
  <c r="Q12" i="6"/>
  <c r="L12" i="6"/>
  <c r="J12" i="6"/>
  <c r="BI11" i="6"/>
  <c r="BG11" i="6"/>
  <c r="BA11" i="6"/>
  <c r="BI237" i="6" s="1"/>
  <c r="AU11" i="6"/>
  <c r="AK11" i="6"/>
  <c r="BI36" i="6" s="1"/>
  <c r="AJ11" i="6"/>
  <c r="BG36" i="6" s="1"/>
  <c r="AF11" i="6"/>
  <c r="AE11" i="6"/>
  <c r="AD11" i="6"/>
  <c r="AC11" i="6"/>
  <c r="AB11" i="6"/>
  <c r="AA11" i="6"/>
  <c r="Z11" i="6"/>
  <c r="Y11" i="6"/>
  <c r="X11" i="6"/>
  <c r="W11" i="6"/>
  <c r="AG11" i="6" s="1"/>
  <c r="S11" i="6"/>
  <c r="R11" i="6"/>
  <c r="Q11" i="6"/>
  <c r="T11" i="6" s="1"/>
  <c r="L11" i="6"/>
  <c r="J11" i="6"/>
  <c r="BI10" i="6"/>
  <c r="BG10" i="6"/>
  <c r="BA10" i="6"/>
  <c r="BI236" i="6" s="1"/>
  <c r="AU10" i="6"/>
  <c r="BI178" i="6" s="1"/>
  <c r="AS10" i="6"/>
  <c r="BI168" i="6" s="1"/>
  <c r="AK10" i="6"/>
  <c r="BI21" i="6" s="1"/>
  <c r="AJ10" i="6"/>
  <c r="BG21" i="6" s="1"/>
  <c r="AF10" i="6"/>
  <c r="AE10" i="6"/>
  <c r="AD10" i="6"/>
  <c r="AC10" i="6"/>
  <c r="AB10" i="6"/>
  <c r="AA10" i="6"/>
  <c r="Z10" i="6"/>
  <c r="Y10" i="6"/>
  <c r="X10" i="6"/>
  <c r="W10" i="6"/>
  <c r="AG10" i="6" s="1"/>
  <c r="S10" i="6"/>
  <c r="R10" i="6"/>
  <c r="Q10" i="6"/>
  <c r="T10" i="6" s="1"/>
  <c r="L10" i="6"/>
  <c r="J10" i="6"/>
  <c r="BG9" i="6"/>
  <c r="BA9" i="6"/>
  <c r="BI235" i="6" s="1"/>
  <c r="AW9" i="6"/>
  <c r="AU9" i="6"/>
  <c r="BI177" i="6" s="1"/>
  <c r="AS9" i="6"/>
  <c r="AK9" i="6"/>
  <c r="BI20" i="6" s="1"/>
  <c r="AJ9" i="6"/>
  <c r="BG20" i="6" s="1"/>
  <c r="AF9" i="6"/>
  <c r="AE9" i="6"/>
  <c r="AD9" i="6"/>
  <c r="AC9" i="6"/>
  <c r="AB9" i="6"/>
  <c r="AA9" i="6"/>
  <c r="Z9" i="6"/>
  <c r="Y9" i="6"/>
  <c r="X9" i="6"/>
  <c r="W9" i="6"/>
  <c r="AG9" i="6" s="1"/>
  <c r="S9" i="6"/>
  <c r="R9" i="6"/>
  <c r="T9" i="6" s="1"/>
  <c r="Q9" i="6"/>
  <c r="L9" i="6"/>
  <c r="J9" i="6"/>
  <c r="BG8" i="6"/>
  <c r="BA8" i="6"/>
  <c r="BI234" i="6" s="1"/>
  <c r="AW8" i="6"/>
  <c r="AU8" i="6"/>
  <c r="BI176" i="6" s="1"/>
  <c r="AS8" i="6"/>
  <c r="AQ8" i="6"/>
  <c r="AP8" i="6"/>
  <c r="AK8" i="6"/>
  <c r="BI19" i="6" s="1"/>
  <c r="AJ8" i="6"/>
  <c r="BG19" i="6" s="1"/>
  <c r="AF8" i="6"/>
  <c r="AE8" i="6"/>
  <c r="AD8" i="6"/>
  <c r="AC8" i="6"/>
  <c r="AB8" i="6"/>
  <c r="AA8" i="6"/>
  <c r="Z8" i="6"/>
  <c r="Y8" i="6"/>
  <c r="X8" i="6"/>
  <c r="W8" i="6"/>
  <c r="AG8" i="6" s="1"/>
  <c r="S8" i="6"/>
  <c r="R8" i="6"/>
  <c r="T8" i="6" s="1"/>
  <c r="Q8" i="6"/>
  <c r="L8" i="6"/>
  <c r="J8" i="6"/>
  <c r="J20" i="6" s="1"/>
  <c r="BI7" i="6"/>
  <c r="BA7" i="6"/>
  <c r="BI233" i="6" s="1"/>
  <c r="AY7" i="6"/>
  <c r="AW7" i="6"/>
  <c r="AU7" i="6"/>
  <c r="AS7" i="6"/>
  <c r="AQ7" i="6"/>
  <c r="AP7" i="6"/>
  <c r="AK7" i="6"/>
  <c r="BI35" i="6" s="1"/>
  <c r="AJ7" i="6"/>
  <c r="BG35" i="6" s="1"/>
  <c r="AF7" i="6"/>
  <c r="AE7" i="6"/>
  <c r="AD7" i="6"/>
  <c r="AC7" i="6"/>
  <c r="AB7" i="6"/>
  <c r="AA7" i="6"/>
  <c r="Z7" i="6"/>
  <c r="Y7" i="6"/>
  <c r="X7" i="6"/>
  <c r="W7" i="6"/>
  <c r="AG7" i="6" s="1"/>
  <c r="S7" i="6"/>
  <c r="R7" i="6"/>
  <c r="T7" i="6" s="1"/>
  <c r="Q7" i="6"/>
  <c r="K7" i="6"/>
  <c r="BI6" i="6"/>
  <c r="BG6" i="6"/>
  <c r="BC6" i="6"/>
  <c r="BA6" i="6"/>
  <c r="BI232" i="6" s="1"/>
  <c r="AY6" i="6"/>
  <c r="AW6" i="6"/>
  <c r="AU6" i="6"/>
  <c r="BI173" i="6" s="1"/>
  <c r="AS6" i="6"/>
  <c r="AQ6" i="6"/>
  <c r="AP6" i="6"/>
  <c r="AN6" i="6"/>
  <c r="AM6" i="6"/>
  <c r="AK6" i="6"/>
  <c r="BI34" i="6" s="1"/>
  <c r="AJ6" i="6"/>
  <c r="BG34" i="6" s="1"/>
  <c r="AF6" i="6"/>
  <c r="AE6" i="6"/>
  <c r="AD6" i="6"/>
  <c r="AC6" i="6"/>
  <c r="AB6" i="6"/>
  <c r="AA6" i="6"/>
  <c r="Z6" i="6"/>
  <c r="Y6" i="6"/>
  <c r="X6" i="6"/>
  <c r="W6" i="6"/>
  <c r="AG6" i="6" s="1"/>
  <c r="S6" i="6"/>
  <c r="R6" i="6"/>
  <c r="T6" i="6" s="1"/>
  <c r="Q6" i="6"/>
  <c r="BC5" i="6"/>
  <c r="BA5" i="6"/>
  <c r="BI231" i="6" s="1"/>
  <c r="AY5" i="6"/>
  <c r="AW5" i="6"/>
  <c r="AU5" i="6"/>
  <c r="BI172" i="6" s="1"/>
  <c r="AS5" i="6"/>
  <c r="AQ5" i="6"/>
  <c r="AP5" i="6"/>
  <c r="AN5" i="6"/>
  <c r="AM5" i="6"/>
  <c r="AK5" i="6"/>
  <c r="BI33" i="6" s="1"/>
  <c r="AJ5" i="6"/>
  <c r="BG33" i="6" s="1"/>
  <c r="AF5" i="6"/>
  <c r="AE5" i="6"/>
  <c r="AD5" i="6"/>
  <c r="AC5" i="6"/>
  <c r="AB5" i="6"/>
  <c r="AA5" i="6"/>
  <c r="Z5" i="6"/>
  <c r="Y5" i="6"/>
  <c r="X5" i="6"/>
  <c r="W5" i="6"/>
  <c r="AG5" i="6" s="1"/>
  <c r="S5" i="6"/>
  <c r="R5" i="6"/>
  <c r="T5" i="6" s="1"/>
  <c r="Q5" i="6"/>
  <c r="AF4" i="6"/>
  <c r="AF16" i="6" s="1"/>
  <c r="AE4" i="6"/>
  <c r="AE16" i="6" s="1"/>
  <c r="AD4" i="6"/>
  <c r="AD16" i="6" s="1"/>
  <c r="AC4" i="6"/>
  <c r="AC16" i="6" s="1"/>
  <c r="AB4" i="6"/>
  <c r="AB16" i="6" s="1"/>
  <c r="AA4" i="6"/>
  <c r="AA16" i="6" s="1"/>
  <c r="Z4" i="6"/>
  <c r="Z16" i="6" s="1"/>
  <c r="Y4" i="6"/>
  <c r="Y16" i="6" s="1"/>
  <c r="X4" i="6"/>
  <c r="X16" i="6" s="1"/>
  <c r="W4" i="6"/>
  <c r="AG4" i="6" s="1"/>
  <c r="S4" i="6"/>
  <c r="S25" i="6" s="1"/>
  <c r="R4" i="6"/>
  <c r="R25" i="6" s="1"/>
  <c r="Q4" i="6"/>
  <c r="Q25" i="6" s="1"/>
  <c r="K4" i="6"/>
  <c r="J4" i="6"/>
  <c r="I4" i="6"/>
  <c r="T74" i="2"/>
  <c r="S74" i="2"/>
  <c r="O73" i="2"/>
  <c r="D73" i="2"/>
  <c r="O72" i="2"/>
  <c r="D72" i="2"/>
  <c r="O71" i="2"/>
  <c r="D71" i="2"/>
  <c r="O70" i="2"/>
  <c r="D70" i="2"/>
  <c r="J68" i="2"/>
  <c r="G68" i="2"/>
  <c r="E68" i="2"/>
  <c r="D68" i="2"/>
  <c r="J67" i="2"/>
  <c r="G67" i="2"/>
  <c r="F67" i="2"/>
  <c r="E67" i="2"/>
  <c r="T64" i="2"/>
  <c r="S64" i="2"/>
  <c r="R64" i="2"/>
  <c r="K64" i="2"/>
  <c r="I64" i="2"/>
  <c r="T63" i="2"/>
  <c r="S63" i="2"/>
  <c r="R63" i="2"/>
  <c r="M63" i="2"/>
  <c r="L63" i="2"/>
  <c r="F63" i="2"/>
  <c r="E63" i="2"/>
  <c r="T62" i="2"/>
  <c r="S62" i="2"/>
  <c r="R62" i="2"/>
  <c r="E62" i="2"/>
  <c r="T60" i="2"/>
  <c r="S60" i="2"/>
  <c r="T59" i="2"/>
  <c r="S59" i="2"/>
  <c r="T58" i="2"/>
  <c r="S58" i="2"/>
  <c r="T57" i="2"/>
  <c r="S57" i="2"/>
  <c r="T56" i="2"/>
  <c r="S56" i="2"/>
  <c r="T55" i="2"/>
  <c r="S55" i="2"/>
  <c r="V53" i="2"/>
  <c r="S53" i="2"/>
  <c r="R53" i="2"/>
  <c r="P53" i="2"/>
  <c r="M53" i="2"/>
  <c r="L53" i="2"/>
  <c r="K53" i="2"/>
  <c r="I53" i="2"/>
  <c r="E53" i="2"/>
  <c r="V52" i="2"/>
  <c r="S52" i="2"/>
  <c r="R52" i="2"/>
  <c r="P52" i="2"/>
  <c r="M52" i="2"/>
  <c r="K52" i="2"/>
  <c r="I52" i="2"/>
  <c r="V51" i="2"/>
  <c r="S51" i="2"/>
  <c r="R51" i="2"/>
  <c r="N51" i="2"/>
  <c r="M51" i="2"/>
  <c r="L51" i="2"/>
  <c r="J51" i="2"/>
  <c r="E51" i="2"/>
  <c r="O48" i="2"/>
  <c r="K48" i="2"/>
  <c r="I48" i="2"/>
  <c r="K47" i="2"/>
  <c r="I47" i="2"/>
  <c r="D47" i="2"/>
  <c r="K46" i="2"/>
  <c r="I46" i="2"/>
  <c r="K45" i="2"/>
  <c r="F45" i="2"/>
  <c r="P44" i="2"/>
  <c r="M44" i="2"/>
  <c r="K44" i="2"/>
  <c r="J44" i="2"/>
  <c r="F44" i="2"/>
  <c r="O42" i="2"/>
  <c r="D42" i="2"/>
  <c r="O41" i="2"/>
  <c r="D41" i="2"/>
  <c r="K40" i="2"/>
  <c r="J40" i="2"/>
  <c r="I40" i="2"/>
  <c r="K38" i="2"/>
  <c r="J38" i="2"/>
  <c r="I38" i="2"/>
  <c r="G38" i="2"/>
  <c r="E38" i="2"/>
  <c r="N37" i="2"/>
  <c r="M37" i="2"/>
  <c r="L37" i="2"/>
  <c r="K37" i="2"/>
  <c r="J37" i="2"/>
  <c r="I37" i="2"/>
  <c r="E37" i="2"/>
  <c r="K36" i="2"/>
  <c r="J36" i="2"/>
  <c r="I36" i="2"/>
  <c r="G36" i="2"/>
  <c r="F36" i="2"/>
  <c r="E36" i="2"/>
  <c r="J33" i="2"/>
  <c r="J32" i="2"/>
  <c r="D30" i="2"/>
  <c r="K29" i="2"/>
  <c r="I29" i="2"/>
  <c r="D29" i="2"/>
  <c r="O28" i="2"/>
  <c r="K28" i="2"/>
  <c r="I28" i="2"/>
  <c r="O25" i="2"/>
  <c r="K25" i="2"/>
  <c r="I25" i="2"/>
  <c r="P24" i="2"/>
  <c r="M24" i="2"/>
  <c r="F24" i="2"/>
  <c r="D23" i="2"/>
  <c r="D22" i="2"/>
  <c r="D21" i="2"/>
  <c r="K20" i="2"/>
  <c r="O20" i="2" s="1"/>
  <c r="I20" i="2"/>
  <c r="K17" i="2"/>
  <c r="J17" i="2"/>
  <c r="I17" i="2"/>
  <c r="Q15" i="2"/>
  <c r="O13" i="2"/>
  <c r="O12" i="2"/>
  <c r="K12" i="2"/>
  <c r="J12" i="2"/>
  <c r="I12" i="2"/>
  <c r="J10" i="2"/>
  <c r="K9" i="2"/>
  <c r="J9" i="2"/>
  <c r="I9" i="2"/>
  <c r="V7" i="2"/>
  <c r="P7" i="2"/>
  <c r="M7" i="2"/>
  <c r="L7" i="2"/>
  <c r="E7" i="2"/>
  <c r="V6" i="2"/>
  <c r="N6" i="2"/>
  <c r="M6" i="2"/>
  <c r="L6" i="2"/>
  <c r="J6" i="2"/>
  <c r="F6" i="2"/>
  <c r="E6" i="2"/>
  <c r="V5" i="2"/>
  <c r="N5" i="2"/>
  <c r="M5" i="2"/>
  <c r="L5" i="2"/>
  <c r="J5" i="2"/>
  <c r="E5" i="2"/>
  <c r="AF4" i="2"/>
  <c r="AD4" i="2"/>
  <c r="J4" i="2"/>
  <c r="E4" i="2"/>
  <c r="AF3" i="2"/>
  <c r="AE3" i="2"/>
  <c r="AD3" i="2"/>
  <c r="H67" i="1"/>
  <c r="G67" i="1"/>
  <c r="F67" i="1"/>
  <c r="E67" i="1"/>
  <c r="D67" i="1"/>
  <c r="H66" i="1"/>
  <c r="G66" i="1"/>
  <c r="F66" i="1"/>
  <c r="E66" i="1"/>
  <c r="D66" i="1"/>
  <c r="H65" i="1"/>
  <c r="G65" i="1"/>
  <c r="F65" i="1"/>
  <c r="E65" i="1"/>
  <c r="D65" i="1"/>
  <c r="H64" i="1"/>
  <c r="G64" i="1"/>
  <c r="F64" i="1"/>
  <c r="E64" i="1"/>
  <c r="D64" i="1"/>
  <c r="H63" i="1"/>
  <c r="G63" i="1"/>
  <c r="F63" i="1"/>
  <c r="E63" i="1"/>
  <c r="D63" i="1"/>
  <c r="H62" i="1"/>
  <c r="G62" i="1"/>
  <c r="F62" i="1"/>
  <c r="E62" i="1"/>
  <c r="D62" i="1"/>
  <c r="H61" i="1"/>
  <c r="G61" i="1"/>
  <c r="F61" i="1"/>
  <c r="E61" i="1"/>
  <c r="D61" i="1"/>
  <c r="H60" i="1"/>
  <c r="G60" i="1"/>
  <c r="F60" i="1"/>
  <c r="E60" i="1"/>
  <c r="D60" i="1"/>
  <c r="H59" i="1"/>
  <c r="G59" i="1"/>
  <c r="F59" i="1"/>
  <c r="E59" i="1"/>
  <c r="D59" i="1"/>
  <c r="H58" i="1"/>
  <c r="G58" i="1"/>
  <c r="F58" i="1"/>
  <c r="E58" i="1"/>
  <c r="D58" i="1"/>
  <c r="H57" i="1"/>
  <c r="G57" i="1"/>
  <c r="F57" i="1"/>
  <c r="E57" i="1"/>
  <c r="D57" i="1"/>
  <c r="H56" i="1"/>
  <c r="G56" i="1"/>
  <c r="F56" i="1"/>
  <c r="E56" i="1"/>
  <c r="D56" i="1"/>
  <c r="H55" i="1"/>
  <c r="G55" i="1"/>
  <c r="F55" i="1"/>
  <c r="E55" i="1"/>
  <c r="D55" i="1"/>
  <c r="H54" i="1"/>
  <c r="G54" i="1"/>
  <c r="F54" i="1"/>
  <c r="E54" i="1"/>
  <c r="D54" i="1"/>
  <c r="H53" i="1"/>
  <c r="G53" i="1"/>
  <c r="F53" i="1"/>
  <c r="E53" i="1"/>
  <c r="D53" i="1"/>
  <c r="H52" i="1"/>
  <c r="G52" i="1"/>
  <c r="F52" i="1"/>
  <c r="E52" i="1"/>
  <c r="D52" i="1"/>
  <c r="H51" i="1"/>
  <c r="G51" i="1"/>
  <c r="F51" i="1"/>
  <c r="E51" i="1"/>
  <c r="D51" i="1"/>
  <c r="H50" i="1"/>
  <c r="G50" i="1"/>
  <c r="F50" i="1"/>
  <c r="E50" i="1"/>
  <c r="D50" i="1"/>
  <c r="H49" i="1"/>
  <c r="G49" i="1"/>
  <c r="F49" i="1"/>
  <c r="E49" i="1"/>
  <c r="D49" i="1"/>
  <c r="H48" i="1"/>
  <c r="G48" i="1"/>
  <c r="F48" i="1"/>
  <c r="E48" i="1"/>
  <c r="D48" i="1"/>
  <c r="H47" i="1"/>
  <c r="G47" i="1"/>
  <c r="F47" i="1"/>
  <c r="E47" i="1"/>
  <c r="D47" i="1"/>
  <c r="H46" i="1"/>
  <c r="G46" i="1"/>
  <c r="F46" i="1"/>
  <c r="E46" i="1"/>
  <c r="D46" i="1"/>
  <c r="H45" i="1"/>
  <c r="G45" i="1"/>
  <c r="F45" i="1"/>
  <c r="E45" i="1"/>
  <c r="D45" i="1"/>
  <c r="H44" i="1"/>
  <c r="G44" i="1"/>
  <c r="F44" i="1"/>
  <c r="E44" i="1"/>
  <c r="D44" i="1"/>
  <c r="H43" i="1"/>
  <c r="G43" i="1"/>
  <c r="F43" i="1"/>
  <c r="E43" i="1"/>
  <c r="D43" i="1"/>
  <c r="H42" i="1"/>
  <c r="G42" i="1"/>
  <c r="F42" i="1"/>
  <c r="E42" i="1"/>
  <c r="D42" i="1"/>
  <c r="H41" i="1"/>
  <c r="G41" i="1"/>
  <c r="F41" i="1"/>
  <c r="E41" i="1"/>
  <c r="D41" i="1"/>
  <c r="H40" i="1"/>
  <c r="G40" i="1"/>
  <c r="F40" i="1"/>
  <c r="E40" i="1"/>
  <c r="D40" i="1"/>
  <c r="H39" i="1"/>
  <c r="G39" i="1"/>
  <c r="F39" i="1"/>
  <c r="E39" i="1"/>
  <c r="D39" i="1"/>
  <c r="H38" i="1"/>
  <c r="G38" i="1"/>
  <c r="F38" i="1"/>
  <c r="E38" i="1"/>
  <c r="D38" i="1"/>
  <c r="H37" i="1"/>
  <c r="G37" i="1"/>
  <c r="F37" i="1"/>
  <c r="E37" i="1"/>
  <c r="D37" i="1"/>
  <c r="H36" i="1"/>
  <c r="G36" i="1"/>
  <c r="F36" i="1"/>
  <c r="E36" i="1"/>
  <c r="D36" i="1"/>
  <c r="H35" i="1"/>
  <c r="G35" i="1"/>
  <c r="F35" i="1"/>
  <c r="E35" i="1"/>
  <c r="D35" i="1"/>
  <c r="H34" i="1"/>
  <c r="G34" i="1"/>
  <c r="F34" i="1"/>
  <c r="E34" i="1"/>
  <c r="D34" i="1"/>
  <c r="P33" i="1"/>
  <c r="O33" i="1"/>
  <c r="H33" i="1"/>
  <c r="G33" i="1"/>
  <c r="F33" i="1"/>
  <c r="E33" i="1"/>
  <c r="D33" i="1"/>
  <c r="P32" i="1"/>
  <c r="O32" i="1"/>
  <c r="H32" i="1"/>
  <c r="G32" i="1"/>
  <c r="F32" i="1"/>
  <c r="E32" i="1"/>
  <c r="D32" i="1"/>
  <c r="P31" i="1"/>
  <c r="O31" i="1"/>
  <c r="H31" i="1"/>
  <c r="G31" i="1"/>
  <c r="F31" i="1"/>
  <c r="E31" i="1"/>
  <c r="D31" i="1"/>
  <c r="P30" i="1"/>
  <c r="O30" i="1"/>
  <c r="H30" i="1"/>
  <c r="G30" i="1"/>
  <c r="F30" i="1"/>
  <c r="E30" i="1"/>
  <c r="D30" i="1"/>
  <c r="P29" i="1"/>
  <c r="O29" i="1"/>
  <c r="H29" i="1"/>
  <c r="G29" i="1"/>
  <c r="F29" i="1"/>
  <c r="E29" i="1"/>
  <c r="D29" i="1"/>
  <c r="P28" i="1"/>
  <c r="O28" i="1"/>
  <c r="H28" i="1"/>
  <c r="G28" i="1"/>
  <c r="F28" i="1"/>
  <c r="E28" i="1"/>
  <c r="D28" i="1"/>
  <c r="P27" i="1"/>
  <c r="O27" i="1"/>
  <c r="H27" i="1"/>
  <c r="G27" i="1"/>
  <c r="F27" i="1"/>
  <c r="E27" i="1"/>
  <c r="D27" i="1"/>
  <c r="O26" i="1"/>
  <c r="H26" i="1"/>
  <c r="G26" i="1"/>
  <c r="F26" i="1"/>
  <c r="E26" i="1"/>
  <c r="D26" i="1"/>
  <c r="P25" i="1"/>
  <c r="O25" i="1"/>
  <c r="H25" i="1"/>
  <c r="G25" i="1"/>
  <c r="F25" i="1"/>
  <c r="E25" i="1"/>
  <c r="D25" i="1"/>
  <c r="P24" i="1"/>
  <c r="O24" i="1"/>
  <c r="H24" i="1"/>
  <c r="G24" i="1"/>
  <c r="F24" i="1"/>
  <c r="E24" i="1"/>
  <c r="D24" i="1"/>
  <c r="P23" i="1"/>
  <c r="O23" i="1"/>
  <c r="H23" i="1"/>
  <c r="G23" i="1"/>
  <c r="F23" i="1"/>
  <c r="E23" i="1"/>
  <c r="D23" i="1"/>
  <c r="P22" i="1"/>
  <c r="O22" i="1"/>
  <c r="H22" i="1"/>
  <c r="G22" i="1"/>
  <c r="F22" i="1"/>
  <c r="E22" i="1"/>
  <c r="D22" i="1"/>
  <c r="P21" i="1"/>
  <c r="O21" i="1"/>
  <c r="H21" i="1"/>
  <c r="G21" i="1"/>
  <c r="F21" i="1"/>
  <c r="E21" i="1"/>
  <c r="D21" i="1"/>
  <c r="P20" i="1"/>
  <c r="O20" i="1"/>
  <c r="H20" i="1"/>
  <c r="G20" i="1"/>
  <c r="F20" i="1"/>
  <c r="E20" i="1"/>
  <c r="D20" i="1"/>
  <c r="P19" i="1"/>
  <c r="O19" i="1"/>
  <c r="H19" i="1"/>
  <c r="G19" i="1"/>
  <c r="F19" i="1"/>
  <c r="E19" i="1"/>
  <c r="D19" i="1"/>
  <c r="P18" i="1"/>
  <c r="O18" i="1"/>
  <c r="H18" i="1"/>
  <c r="G18" i="1"/>
  <c r="F18" i="1"/>
  <c r="E18" i="1"/>
  <c r="D18" i="1"/>
  <c r="P17" i="1"/>
  <c r="O17" i="1"/>
  <c r="H17" i="1"/>
  <c r="G17" i="1"/>
  <c r="F17" i="1"/>
  <c r="E17" i="1"/>
  <c r="D17" i="1"/>
  <c r="P16" i="1"/>
  <c r="O16" i="1"/>
  <c r="H16" i="1"/>
  <c r="G16" i="1"/>
  <c r="F16" i="1"/>
  <c r="E16" i="1"/>
  <c r="D16" i="1"/>
  <c r="P15" i="1"/>
  <c r="O15" i="1"/>
  <c r="H15" i="1"/>
  <c r="G15" i="1"/>
  <c r="F15" i="1"/>
  <c r="E15" i="1"/>
  <c r="D15" i="1"/>
  <c r="P14" i="1"/>
  <c r="O14" i="1"/>
  <c r="H14" i="1"/>
  <c r="G14" i="1"/>
  <c r="F14" i="1"/>
  <c r="E14" i="1"/>
  <c r="D14" i="1"/>
  <c r="P13" i="1"/>
  <c r="O13" i="1"/>
  <c r="H13" i="1"/>
  <c r="G13" i="1"/>
  <c r="F13" i="1"/>
  <c r="E13" i="1"/>
  <c r="D13" i="1"/>
  <c r="P12" i="1"/>
  <c r="O12" i="1"/>
  <c r="H12" i="1"/>
  <c r="G12" i="1"/>
  <c r="F12" i="1"/>
  <c r="E12" i="1"/>
  <c r="D12" i="1"/>
  <c r="P11" i="1"/>
  <c r="O11" i="1"/>
  <c r="H11" i="1"/>
  <c r="G11" i="1"/>
  <c r="F11" i="1"/>
  <c r="E11" i="1"/>
  <c r="D11" i="1"/>
  <c r="P10" i="1"/>
  <c r="O10" i="1"/>
  <c r="H10" i="1"/>
  <c r="G10" i="1"/>
  <c r="F10" i="1"/>
  <c r="E10" i="1"/>
  <c r="D10" i="1"/>
  <c r="P9" i="1"/>
  <c r="O9" i="1"/>
  <c r="N9" i="1"/>
  <c r="H9" i="1"/>
  <c r="G9" i="1"/>
  <c r="F9" i="1"/>
  <c r="E9" i="1"/>
  <c r="D9" i="1"/>
  <c r="P8" i="1"/>
  <c r="O8" i="1"/>
  <c r="N8" i="1"/>
  <c r="H8" i="1"/>
  <c r="G8" i="1"/>
  <c r="F8" i="1"/>
  <c r="E8" i="1"/>
  <c r="D8" i="1"/>
  <c r="P7" i="1"/>
  <c r="O7" i="1"/>
  <c r="N7" i="1"/>
  <c r="H7" i="1"/>
  <c r="G7" i="1"/>
  <c r="F7" i="1"/>
  <c r="E7" i="1"/>
  <c r="D7" i="1"/>
  <c r="P6" i="1"/>
  <c r="O6" i="1"/>
  <c r="N6" i="1"/>
  <c r="H6" i="1"/>
  <c r="G6" i="1"/>
  <c r="F6" i="1"/>
  <c r="E6" i="1"/>
  <c r="D6" i="1"/>
  <c r="P5" i="1"/>
  <c r="O5" i="1"/>
  <c r="H5" i="1"/>
  <c r="G5" i="1"/>
  <c r="F5" i="1"/>
  <c r="E5" i="1"/>
  <c r="D5" i="1"/>
  <c r="R4" i="1"/>
  <c r="P4" i="1"/>
  <c r="O4" i="1"/>
  <c r="N4" i="1"/>
  <c r="H4" i="1"/>
  <c r="G4" i="1"/>
  <c r="F4" i="1"/>
  <c r="E4" i="1"/>
  <c r="D4" i="1"/>
  <c r="S3" i="1"/>
  <c r="R3" i="1"/>
  <c r="H3" i="1"/>
  <c r="G3" i="1"/>
  <c r="F3" i="1"/>
  <c r="E3" i="1"/>
  <c r="D3" i="1"/>
  <c r="S2" i="1"/>
  <c r="R2" i="1"/>
  <c r="H2" i="1"/>
  <c r="G2" i="1"/>
  <c r="F2" i="1"/>
  <c r="M5" i="1" s="1"/>
  <c r="M6" i="1" s="1"/>
  <c r="E2" i="1"/>
  <c r="D2" i="1"/>
  <c r="BG7" i="6" l="1"/>
  <c r="F300" i="12"/>
  <c r="BI12" i="6"/>
  <c r="AY2" i="6"/>
  <c r="AQ2" i="6"/>
  <c r="BG5" i="6"/>
  <c r="K42" i="1" a="1"/>
  <c r="K42" i="1" s="1"/>
  <c r="BI13" i="6"/>
  <c r="HA32" i="11"/>
  <c r="HA28" i="11"/>
  <c r="HA145" i="11"/>
  <c r="HZ139" i="11"/>
  <c r="HA141" i="11"/>
  <c r="HA237" i="11"/>
  <c r="HZ231" i="11"/>
  <c r="HA233" i="11"/>
  <c r="HA305" i="11"/>
  <c r="HZ299" i="11"/>
  <c r="HA301" i="11"/>
  <c r="HA421" i="11"/>
  <c r="HZ415" i="11"/>
  <c r="HA417" i="11"/>
  <c r="HA75" i="11"/>
  <c r="HZ69" i="11"/>
  <c r="HA71" i="11"/>
  <c r="HA121" i="11"/>
  <c r="HZ115" i="11"/>
  <c r="HA117" i="11"/>
  <c r="HA167" i="11"/>
  <c r="HZ161" i="11"/>
  <c r="HA163" i="11"/>
  <c r="HA213" i="11"/>
  <c r="HZ207" i="11"/>
  <c r="HA209" i="11"/>
  <c r="HA228" i="11" s="1"/>
  <c r="HA351" i="11"/>
  <c r="HZ345" i="11"/>
  <c r="HA347" i="11"/>
  <c r="HA397" i="11"/>
  <c r="HZ391" i="11"/>
  <c r="HA393" i="11"/>
  <c r="HA443" i="11"/>
  <c r="HA439" i="11"/>
  <c r="HZ437" i="11"/>
  <c r="BA32" i="11"/>
  <c r="BA28" i="11"/>
  <c r="BA75" i="11"/>
  <c r="BZ69" i="11"/>
  <c r="BA71" i="11"/>
  <c r="BA121" i="11"/>
  <c r="BZ115" i="11"/>
  <c r="BA117" i="11"/>
  <c r="BZ277" i="11"/>
  <c r="BA283" i="11"/>
  <c r="BA279" i="11"/>
  <c r="BZ161" i="11"/>
  <c r="BA167" i="11"/>
  <c r="BA163" i="11"/>
  <c r="BA191" i="11"/>
  <c r="BZ185" i="11"/>
  <c r="BA187" i="11"/>
  <c r="BA237" i="11"/>
  <c r="BA233" i="11"/>
  <c r="BZ231" i="11"/>
  <c r="BA351" i="11"/>
  <c r="BZ345" i="11"/>
  <c r="BA347" i="11"/>
  <c r="BA397" i="11"/>
  <c r="BZ391" i="11"/>
  <c r="BA393" i="11"/>
  <c r="BA443" i="11"/>
  <c r="BZ437" i="11"/>
  <c r="BA439" i="11"/>
  <c r="GA53" i="11"/>
  <c r="GZ26" i="11"/>
  <c r="GA49" i="11"/>
  <c r="GZ47" i="11"/>
  <c r="GA99" i="11"/>
  <c r="GZ93" i="11"/>
  <c r="GA95" i="11"/>
  <c r="GA32" i="11"/>
  <c r="GA28" i="11"/>
  <c r="GA167" i="11"/>
  <c r="GZ161" i="11"/>
  <c r="GA163" i="11"/>
  <c r="GA213" i="11"/>
  <c r="GZ207" i="11"/>
  <c r="GA209" i="11"/>
  <c r="GA228" i="11" s="1"/>
  <c r="GA351" i="11"/>
  <c r="GZ345" i="11"/>
  <c r="GA347" i="11"/>
  <c r="GA397" i="11"/>
  <c r="GZ391" i="11"/>
  <c r="GA393" i="11"/>
  <c r="GA443" i="11"/>
  <c r="GZ437" i="11"/>
  <c r="GA439" i="11"/>
  <c r="GA237" i="11"/>
  <c r="GZ231" i="11"/>
  <c r="GA233" i="11"/>
  <c r="GA305" i="11"/>
  <c r="GZ299" i="11"/>
  <c r="GA301" i="11"/>
  <c r="GA421" i="11"/>
  <c r="GZ415" i="11"/>
  <c r="GA417" i="11"/>
  <c r="EZ47" i="11"/>
  <c r="EZ26" i="11"/>
  <c r="EA49" i="11"/>
  <c r="EA53" i="11"/>
  <c r="EZ93" i="11"/>
  <c r="EA95" i="11"/>
  <c r="EA99" i="11"/>
  <c r="EZ185" i="11"/>
  <c r="EA191" i="11"/>
  <c r="EA187" i="11"/>
  <c r="EZ253" i="11"/>
  <c r="EA259" i="11"/>
  <c r="EA255" i="11"/>
  <c r="EA274" i="11" s="1"/>
  <c r="EA329" i="11"/>
  <c r="EZ323" i="11"/>
  <c r="EA325" i="11"/>
  <c r="EA375" i="11"/>
  <c r="EA371" i="11"/>
  <c r="EZ369" i="11"/>
  <c r="EA32" i="11"/>
  <c r="EA28" i="11"/>
  <c r="EA145" i="11"/>
  <c r="EZ139" i="11"/>
  <c r="EA141" i="11"/>
  <c r="EA237" i="11"/>
  <c r="EZ231" i="11"/>
  <c r="EA233" i="11"/>
  <c r="EA305" i="11"/>
  <c r="EZ299" i="11"/>
  <c r="EA301" i="11"/>
  <c r="EA421" i="11"/>
  <c r="EZ415" i="11"/>
  <c r="EA417" i="11"/>
  <c r="CZ47" i="11"/>
  <c r="CZ26" i="11"/>
  <c r="CA53" i="11"/>
  <c r="CA49" i="11"/>
  <c r="CZ93" i="11"/>
  <c r="CA99" i="11"/>
  <c r="CA95" i="11"/>
  <c r="CA237" i="11"/>
  <c r="CZ231" i="11"/>
  <c r="CA233" i="11"/>
  <c r="CA305" i="11"/>
  <c r="CZ299" i="11"/>
  <c r="CA301" i="11"/>
  <c r="CA421" i="11"/>
  <c r="CZ415" i="11"/>
  <c r="CA417" i="11"/>
  <c r="CA167" i="11"/>
  <c r="CZ161" i="11"/>
  <c r="CA163" i="11"/>
  <c r="CA213" i="11"/>
  <c r="CZ207" i="11"/>
  <c r="CA209" i="11"/>
  <c r="CA228" i="11" s="1"/>
  <c r="CA351" i="11"/>
  <c r="CZ345" i="11"/>
  <c r="CA347" i="11"/>
  <c r="CA397" i="11"/>
  <c r="CZ391" i="11"/>
  <c r="CA393" i="11"/>
  <c r="CA443" i="11"/>
  <c r="CZ437" i="11"/>
  <c r="CA439" i="11"/>
  <c r="AA305" i="11"/>
  <c r="AZ299" i="11"/>
  <c r="AA301" i="11"/>
  <c r="AA351" i="11"/>
  <c r="AZ345" i="11"/>
  <c r="AA347" i="11"/>
  <c r="AA397" i="11"/>
  <c r="AZ391" i="11"/>
  <c r="AA393" i="11"/>
  <c r="AA443" i="11"/>
  <c r="AZ437" i="11"/>
  <c r="AA439" i="11"/>
  <c r="AZ47" i="11"/>
  <c r="AA53" i="11"/>
  <c r="AZ26" i="11"/>
  <c r="AA49" i="11"/>
  <c r="AZ93" i="11"/>
  <c r="AA99" i="11"/>
  <c r="AA95" i="11"/>
  <c r="AZ139" i="11"/>
  <c r="AA145" i="11"/>
  <c r="AA141" i="11"/>
  <c r="AA191" i="11"/>
  <c r="AZ185" i="11"/>
  <c r="AA187" i="11"/>
  <c r="AA237" i="11"/>
  <c r="AZ231" i="11"/>
  <c r="AA233" i="11"/>
  <c r="FZ277" i="11"/>
  <c r="FA283" i="11"/>
  <c r="FA279" i="11"/>
  <c r="FA53" i="11"/>
  <c r="FZ26" i="11"/>
  <c r="FZ47" i="11"/>
  <c r="FA49" i="11"/>
  <c r="FA99" i="11"/>
  <c r="FZ93" i="11"/>
  <c r="FA95" i="11"/>
  <c r="FA145" i="11"/>
  <c r="FZ139" i="11"/>
  <c r="FA141" i="11"/>
  <c r="FZ185" i="11"/>
  <c r="FA191" i="11"/>
  <c r="FA187" i="11"/>
  <c r="FZ253" i="11"/>
  <c r="FA259" i="11"/>
  <c r="FA255" i="11"/>
  <c r="FA274" i="11" s="1"/>
  <c r="FA329" i="11"/>
  <c r="FZ323" i="11"/>
  <c r="FA325" i="11"/>
  <c r="FA375" i="11"/>
  <c r="FA371" i="11"/>
  <c r="FZ369" i="11"/>
  <c r="DA75" i="11"/>
  <c r="DZ69" i="11"/>
  <c r="DA71" i="11"/>
  <c r="DA121" i="11"/>
  <c r="DZ115" i="11"/>
  <c r="DA117" i="11"/>
  <c r="DA167" i="11"/>
  <c r="DZ161" i="11"/>
  <c r="DA163" i="11"/>
  <c r="DA213" i="11"/>
  <c r="DZ207" i="11"/>
  <c r="DA209" i="11"/>
  <c r="DA228" i="11" s="1"/>
  <c r="DA283" i="11"/>
  <c r="DZ277" i="11"/>
  <c r="DA279" i="11"/>
  <c r="DA259" i="11"/>
  <c r="DZ253" i="11"/>
  <c r="DA255" i="11"/>
  <c r="DA274" i="11" s="1"/>
  <c r="DA329" i="11"/>
  <c r="DZ323" i="11"/>
  <c r="DA325" i="11"/>
  <c r="DA375" i="11"/>
  <c r="DA371" i="11"/>
  <c r="DZ369" i="11"/>
  <c r="HZ277" i="11"/>
  <c r="HA279" i="11"/>
  <c r="HA283" i="11"/>
  <c r="HZ47" i="11"/>
  <c r="HZ26" i="11"/>
  <c r="HA53" i="11"/>
  <c r="HA49" i="11"/>
  <c r="HZ93" i="11"/>
  <c r="HA99" i="11"/>
  <c r="HA95" i="11"/>
  <c r="HZ185" i="11"/>
  <c r="HA187" i="11"/>
  <c r="HA191" i="11"/>
  <c r="HZ253" i="11"/>
  <c r="HA255" i="11"/>
  <c r="HA274" i="11" s="1"/>
  <c r="HA259" i="11"/>
  <c r="HA329" i="11"/>
  <c r="HZ323" i="11"/>
  <c r="HA325" i="11"/>
  <c r="HA375" i="11"/>
  <c r="HZ369" i="11"/>
  <c r="HA371" i="11"/>
  <c r="BZ47" i="11"/>
  <c r="BZ26" i="11"/>
  <c r="BA49" i="11"/>
  <c r="BA53" i="11"/>
  <c r="BZ93" i="11"/>
  <c r="BA95" i="11"/>
  <c r="BA99" i="11"/>
  <c r="BA145" i="11"/>
  <c r="BZ139" i="11"/>
  <c r="BA141" i="11"/>
  <c r="BA305" i="11"/>
  <c r="BZ299" i="11"/>
  <c r="BA301" i="11"/>
  <c r="BA421" i="11"/>
  <c r="BZ415" i="11"/>
  <c r="BA417" i="11"/>
  <c r="BZ207" i="11"/>
  <c r="BA209" i="11"/>
  <c r="BA228" i="11" s="1"/>
  <c r="BA213" i="11"/>
  <c r="BZ253" i="11"/>
  <c r="BA259" i="11"/>
  <c r="BA255" i="11"/>
  <c r="BA274" i="11" s="1"/>
  <c r="BA329" i="11"/>
  <c r="BZ323" i="11"/>
  <c r="BA325" i="11"/>
  <c r="BZ369" i="11"/>
  <c r="BA375" i="11"/>
  <c r="BA371" i="11"/>
  <c r="GA75" i="11"/>
  <c r="GZ69" i="11"/>
  <c r="GA71" i="11"/>
  <c r="GA121" i="11"/>
  <c r="GZ115" i="11"/>
  <c r="GA117" i="11"/>
  <c r="GA145" i="11"/>
  <c r="GA141" i="11"/>
  <c r="GZ139" i="11"/>
  <c r="GZ185" i="11"/>
  <c r="GA187" i="11"/>
  <c r="GA191" i="11"/>
  <c r="GZ253" i="11"/>
  <c r="GA255" i="11"/>
  <c r="GA274" i="11" s="1"/>
  <c r="GA259" i="11"/>
  <c r="GA329" i="11"/>
  <c r="GZ323" i="11"/>
  <c r="GA325" i="11"/>
  <c r="GA375" i="11"/>
  <c r="GA371" i="11"/>
  <c r="GZ369" i="11"/>
  <c r="GZ277" i="11"/>
  <c r="GA279" i="11"/>
  <c r="GA283" i="11"/>
  <c r="EA75" i="11"/>
  <c r="EZ69" i="11"/>
  <c r="EA71" i="11"/>
  <c r="EA121" i="11"/>
  <c r="EZ115" i="11"/>
  <c r="EA117" i="11"/>
  <c r="EA167" i="11"/>
  <c r="EZ161" i="11"/>
  <c r="EA163" i="11"/>
  <c r="EA213" i="11"/>
  <c r="EZ207" i="11"/>
  <c r="EA209" i="11"/>
  <c r="EA228" i="11" s="1"/>
  <c r="EA351" i="11"/>
  <c r="EZ345" i="11"/>
  <c r="EA347" i="11"/>
  <c r="EA397" i="11"/>
  <c r="EZ391" i="11"/>
  <c r="EA393" i="11"/>
  <c r="EA443" i="11"/>
  <c r="EZ437" i="11"/>
  <c r="EA439" i="11"/>
  <c r="EZ277" i="11"/>
  <c r="EA283" i="11"/>
  <c r="EA279" i="11"/>
  <c r="CA75" i="11"/>
  <c r="CZ69" i="11"/>
  <c r="CA71" i="11"/>
  <c r="CA121" i="11"/>
  <c r="CZ115" i="11"/>
  <c r="CA117" i="11"/>
  <c r="CZ277" i="11"/>
  <c r="CA283" i="11"/>
  <c r="CA279" i="11"/>
  <c r="CA32" i="11"/>
  <c r="CA28" i="11"/>
  <c r="CZ139" i="11"/>
  <c r="CA141" i="11"/>
  <c r="CA145" i="11"/>
  <c r="CZ185" i="11"/>
  <c r="CA191" i="11"/>
  <c r="CA187" i="11"/>
  <c r="CZ253" i="11"/>
  <c r="CA259" i="11"/>
  <c r="CA255" i="11"/>
  <c r="CA274" i="11" s="1"/>
  <c r="CA329" i="11"/>
  <c r="CZ323" i="11"/>
  <c r="CA325" i="11"/>
  <c r="CA375" i="11"/>
  <c r="CA371" i="11"/>
  <c r="CZ369" i="11"/>
  <c r="AZ323" i="11"/>
  <c r="AA329" i="11"/>
  <c r="AA325" i="11"/>
  <c r="AZ369" i="11"/>
  <c r="AA371" i="11"/>
  <c r="AA375" i="11"/>
  <c r="AA32" i="11"/>
  <c r="AA28" i="11"/>
  <c r="AA75" i="11"/>
  <c r="AZ69" i="11"/>
  <c r="AA71" i="11"/>
  <c r="AA121" i="11"/>
  <c r="AZ115" i="11"/>
  <c r="AA117" i="11"/>
  <c r="AA167" i="11"/>
  <c r="AZ161" i="11"/>
  <c r="AA163" i="11"/>
  <c r="AZ207" i="11"/>
  <c r="AA209" i="11"/>
  <c r="AA228" i="11" s="1"/>
  <c r="AA213" i="11"/>
  <c r="AZ253" i="11"/>
  <c r="AA259" i="11"/>
  <c r="AA255" i="11"/>
  <c r="AA274" i="11" s="1"/>
  <c r="AA283" i="11"/>
  <c r="AZ277" i="11"/>
  <c r="AA279" i="11"/>
  <c r="AA421" i="11"/>
  <c r="AZ415" i="11"/>
  <c r="AA417" i="11"/>
  <c r="FA32" i="11"/>
  <c r="FA28" i="11"/>
  <c r="FA237" i="11"/>
  <c r="FZ231" i="11"/>
  <c r="FA233" i="11"/>
  <c r="FA305" i="11"/>
  <c r="FZ299" i="11"/>
  <c r="FA301" i="11"/>
  <c r="FA421" i="11"/>
  <c r="FZ415" i="11"/>
  <c r="FA417" i="11"/>
  <c r="FA75" i="11"/>
  <c r="FZ69" i="11"/>
  <c r="FA71" i="11"/>
  <c r="FA121" i="11"/>
  <c r="FZ115" i="11"/>
  <c r="FA117" i="11"/>
  <c r="FA167" i="11"/>
  <c r="FZ161" i="11"/>
  <c r="FA163" i="11"/>
  <c r="FA213" i="11"/>
  <c r="FZ207" i="11"/>
  <c r="FA209" i="11"/>
  <c r="FA228" i="11" s="1"/>
  <c r="FA351" i="11"/>
  <c r="FZ345" i="11"/>
  <c r="FA347" i="11"/>
  <c r="FA397" i="11"/>
  <c r="FZ391" i="11"/>
  <c r="FA393" i="11"/>
  <c r="FA443" i="11"/>
  <c r="FZ437" i="11"/>
  <c r="FA439" i="11"/>
  <c r="DZ47" i="11"/>
  <c r="DZ26" i="11"/>
  <c r="DA53" i="11"/>
  <c r="DA49" i="11"/>
  <c r="DZ93" i="11"/>
  <c r="DA99" i="11"/>
  <c r="DA95" i="11"/>
  <c r="DZ139" i="11"/>
  <c r="DA145" i="11"/>
  <c r="DA141" i="11"/>
  <c r="DA191" i="11"/>
  <c r="DZ185" i="11"/>
  <c r="DA187" i="11"/>
  <c r="DA32" i="11"/>
  <c r="DA28" i="11"/>
  <c r="DA237" i="11"/>
  <c r="DZ231" i="11"/>
  <c r="DA233" i="11"/>
  <c r="DA305" i="11"/>
  <c r="DZ299" i="11"/>
  <c r="DA301" i="11"/>
  <c r="DA421" i="11"/>
  <c r="DZ415" i="11"/>
  <c r="DA417" i="11"/>
  <c r="DA351" i="11"/>
  <c r="DZ345" i="11"/>
  <c r="DA347" i="11"/>
  <c r="DA397" i="11"/>
  <c r="DZ391" i="11"/>
  <c r="DA393" i="11"/>
  <c r="DA443" i="11"/>
  <c r="DZ437" i="11"/>
  <c r="DA439" i="11"/>
  <c r="HW11" i="11"/>
  <c r="DW11" i="11"/>
  <c r="CW11" i="11"/>
  <c r="A121" i="11"/>
  <c r="A117" i="11"/>
  <c r="A53" i="11"/>
  <c r="A49" i="11"/>
  <c r="FW11" i="11"/>
  <c r="BW11" i="11"/>
  <c r="GW11" i="11"/>
  <c r="EW11" i="11"/>
  <c r="Z47" i="11"/>
  <c r="Z26" i="11"/>
  <c r="A32" i="11"/>
  <c r="A28" i="11"/>
  <c r="AP2" i="6"/>
  <c r="E14" i="6"/>
  <c r="AG16" i="6"/>
  <c r="W16" i="6"/>
  <c r="T4" i="6"/>
  <c r="T25" i="6" s="1"/>
  <c r="AS2" i="6"/>
  <c r="AW2" i="6"/>
  <c r="BI9" i="6"/>
  <c r="D14" i="6"/>
  <c r="F14" i="6"/>
  <c r="AU2" i="6"/>
  <c r="AX32" i="3"/>
  <c r="AX33" i="3" s="1"/>
  <c r="G4" i="12"/>
  <c r="H4" i="12" s="1"/>
  <c r="F299" i="12"/>
  <c r="E300" i="12"/>
  <c r="E299" i="12"/>
  <c r="L4" i="6"/>
  <c r="Q1" i="11"/>
  <c r="AA1" i="11"/>
  <c r="BQ1" i="11"/>
  <c r="CQ1" i="11"/>
  <c r="EA1" i="11"/>
  <c r="FQ1" i="11"/>
  <c r="GQ1" i="11"/>
  <c r="HQ1" i="11"/>
  <c r="AA2" i="11"/>
  <c r="CA2" i="11"/>
  <c r="EA2" i="11"/>
  <c r="GA2" i="11"/>
  <c r="G18" i="12"/>
  <c r="G19" i="12"/>
  <c r="F19" i="12"/>
  <c r="F24" i="12"/>
  <c r="F28" i="12"/>
  <c r="F32" i="12"/>
  <c r="F36" i="12"/>
  <c r="F40" i="12"/>
  <c r="F134" i="12"/>
  <c r="F138" i="12"/>
  <c r="F142" i="12"/>
  <c r="F146" i="12"/>
  <c r="F150" i="12"/>
  <c r="F153" i="12"/>
  <c r="F155" i="12"/>
  <c r="F159" i="12"/>
  <c r="F163" i="12"/>
  <c r="F167" i="12"/>
  <c r="F171" i="12"/>
  <c r="F175" i="12"/>
  <c r="F179" i="12"/>
  <c r="F183" i="12"/>
  <c r="F187" i="12"/>
  <c r="F191" i="12"/>
  <c r="F195" i="12"/>
  <c r="F199" i="12"/>
  <c r="F203" i="12"/>
  <c r="F207" i="12"/>
  <c r="F211" i="12"/>
  <c r="F215" i="12"/>
  <c r="F219" i="12"/>
  <c r="F223" i="12"/>
  <c r="F227" i="12"/>
  <c r="F231" i="12"/>
  <c r="F235" i="12"/>
  <c r="F239" i="12"/>
  <c r="G13" i="12"/>
  <c r="G14" i="12"/>
  <c r="G15" i="12" s="1"/>
  <c r="H15" i="12" s="1"/>
  <c r="F14" i="12"/>
  <c r="F17" i="12"/>
  <c r="G21" i="12"/>
  <c r="H21" i="12" s="1"/>
  <c r="F21" i="12"/>
  <c r="F22" i="12"/>
  <c r="F26" i="12"/>
  <c r="F30" i="12"/>
  <c r="F34" i="12"/>
  <c r="F38" i="12"/>
  <c r="F132" i="12"/>
  <c r="F136" i="12"/>
  <c r="F140" i="12"/>
  <c r="F144" i="12"/>
  <c r="F148" i="12"/>
  <c r="F152" i="12"/>
  <c r="H154" i="12"/>
  <c r="F157" i="12"/>
  <c r="F161" i="12"/>
  <c r="F165" i="12"/>
  <c r="F169" i="12"/>
  <c r="F173" i="12"/>
  <c r="F177" i="12"/>
  <c r="F181" i="12"/>
  <c r="F185" i="12"/>
  <c r="F189" i="12"/>
  <c r="F193" i="12"/>
  <c r="F197" i="12"/>
  <c r="F201" i="12"/>
  <c r="F205" i="12"/>
  <c r="F209" i="12"/>
  <c r="F213" i="12"/>
  <c r="F217" i="12"/>
  <c r="F221" i="12"/>
  <c r="F225" i="12"/>
  <c r="F229" i="12"/>
  <c r="F233" i="12"/>
  <c r="F237" i="12"/>
  <c r="F241" i="12"/>
  <c r="G18" i="6"/>
  <c r="G19" i="6"/>
  <c r="G20" i="6"/>
  <c r="AJ2" i="6"/>
  <c r="BC2" i="6"/>
  <c r="AN2" i="6"/>
  <c r="G21" i="6"/>
  <c r="G22" i="6"/>
  <c r="G23" i="6"/>
  <c r="G24" i="6"/>
  <c r="G16" i="6"/>
  <c r="G17" i="6"/>
  <c r="AM2" i="6"/>
  <c r="L20" i="6"/>
  <c r="BA2" i="6"/>
  <c r="BI5" i="6"/>
  <c r="C14" i="6"/>
  <c r="AK2" i="6"/>
  <c r="BI102" i="6"/>
  <c r="BI100" i="6"/>
  <c r="BI103" i="6"/>
  <c r="BI101" i="6"/>
  <c r="BI99" i="6"/>
  <c r="BG89" i="6"/>
  <c r="BG88" i="6"/>
  <c r="BG87" i="6"/>
  <c r="BG86" i="6"/>
  <c r="BG85" i="6"/>
  <c r="BI129" i="6"/>
  <c r="BI128" i="6"/>
  <c r="BG115" i="6"/>
  <c r="BG114" i="6"/>
  <c r="BI144" i="6"/>
  <c r="BI145" i="6"/>
  <c r="BI143" i="6"/>
  <c r="BI202" i="6"/>
  <c r="BI203" i="6"/>
  <c r="BI201" i="6"/>
  <c r="BI96" i="6"/>
  <c r="BI95" i="6"/>
  <c r="BI94" i="6"/>
  <c r="BI93" i="6"/>
  <c r="BI92" i="6"/>
  <c r="BI91" i="6"/>
  <c r="BI90" i="6"/>
  <c r="BI118" i="6"/>
  <c r="BI117" i="6"/>
  <c r="BI116" i="6"/>
  <c r="BI221" i="6"/>
  <c r="BI222" i="6"/>
  <c r="BI257" i="6"/>
  <c r="BI255" i="6"/>
  <c r="BI253" i="6"/>
  <c r="BI251" i="6"/>
  <c r="BI256" i="6"/>
  <c r="BI254" i="6"/>
  <c r="BI252" i="6"/>
  <c r="BI120" i="6"/>
  <c r="BI119" i="6"/>
  <c r="BI175" i="6"/>
  <c r="BI174" i="6"/>
  <c r="BI227" i="6"/>
  <c r="BI225" i="6"/>
  <c r="BI223" i="6"/>
  <c r="BI226" i="6"/>
  <c r="BI224" i="6"/>
  <c r="BI125" i="6"/>
  <c r="BI124" i="6"/>
  <c r="BI123" i="6"/>
  <c r="BI122" i="6"/>
  <c r="BI121" i="6"/>
  <c r="BI166" i="6"/>
  <c r="BI164" i="6"/>
  <c r="BI167" i="6"/>
  <c r="BI165" i="6"/>
  <c r="BI163" i="6"/>
  <c r="BI212" i="6"/>
  <c r="BI210" i="6"/>
  <c r="BI211" i="6"/>
  <c r="BI63" i="6"/>
  <c r="BI62" i="6"/>
  <c r="BG26" i="6"/>
  <c r="BG27" i="6"/>
  <c r="BI64" i="6"/>
  <c r="BG43" i="6"/>
  <c r="BG28" i="6"/>
  <c r="BG30" i="6"/>
  <c r="BG37" i="6"/>
  <c r="BG38" i="6"/>
  <c r="BG40" i="6"/>
  <c r="BG41" i="6"/>
  <c r="BI89" i="6"/>
  <c r="BI88" i="6"/>
  <c r="BI87" i="6"/>
  <c r="BI86" i="6"/>
  <c r="BI85" i="6"/>
  <c r="BI115" i="6"/>
  <c r="BI114" i="6"/>
  <c r="BI219" i="6"/>
  <c r="BI217" i="6"/>
  <c r="BI220" i="6"/>
  <c r="BI218" i="6"/>
  <c r="BI216" i="6"/>
  <c r="BI249" i="6"/>
  <c r="BI247" i="6"/>
  <c r="BI250" i="6"/>
  <c r="BI248" i="6"/>
  <c r="BI246" i="6"/>
  <c r="BI110" i="6"/>
  <c r="BI108" i="6"/>
  <c r="BI106" i="6"/>
  <c r="BI104" i="6"/>
  <c r="BI109" i="6"/>
  <c r="BI107" i="6"/>
  <c r="BI105" i="6"/>
  <c r="BG96" i="6"/>
  <c r="BG95" i="6"/>
  <c r="BG94" i="6"/>
  <c r="BG93" i="6"/>
  <c r="BG92" i="6"/>
  <c r="BG91" i="6"/>
  <c r="BG90" i="6"/>
  <c r="BI131" i="6"/>
  <c r="BI132" i="6"/>
  <c r="BI130" i="6"/>
  <c r="BG118" i="6"/>
  <c r="BG117" i="6"/>
  <c r="BG116" i="6"/>
  <c r="BI158" i="6"/>
  <c r="BI148" i="6"/>
  <c r="BI146" i="6"/>
  <c r="BI157" i="6"/>
  <c r="BI147" i="6"/>
  <c r="BI204" i="6"/>
  <c r="BI205" i="6"/>
  <c r="BI133" i="6"/>
  <c r="BI134" i="6"/>
  <c r="BG120" i="6"/>
  <c r="BG119" i="6"/>
  <c r="BI160" i="6"/>
  <c r="BI150" i="6"/>
  <c r="BI159" i="6"/>
  <c r="BI149" i="6"/>
  <c r="BI206" i="6"/>
  <c r="BI207" i="6"/>
  <c r="BI139" i="6"/>
  <c r="BI137" i="6"/>
  <c r="BI135" i="6"/>
  <c r="BI138" i="6"/>
  <c r="BI136" i="6"/>
  <c r="BG125" i="6"/>
  <c r="BG124" i="6"/>
  <c r="BG123" i="6"/>
  <c r="BG122" i="6"/>
  <c r="BG121" i="6"/>
  <c r="BI162" i="6"/>
  <c r="BI154" i="6"/>
  <c r="BI152" i="6"/>
  <c r="BI161" i="6"/>
  <c r="BI153" i="6"/>
  <c r="BI151" i="6"/>
  <c r="BI208" i="6"/>
  <c r="BI209" i="6"/>
  <c r="BI179" i="6"/>
  <c r="BI180" i="6"/>
  <c r="BI26" i="6"/>
  <c r="BI27" i="6"/>
  <c r="BI30" i="6"/>
  <c r="Z115" i="11"/>
  <c r="BA1" i="11"/>
  <c r="DA1" i="11"/>
  <c r="FA1" i="11"/>
  <c r="W2" i="11"/>
  <c r="BA2" i="11"/>
  <c r="BW2" i="11"/>
  <c r="DA2" i="11"/>
  <c r="DW2" i="11"/>
  <c r="FA2" i="11"/>
  <c r="FW2" i="11"/>
  <c r="HA2" i="11"/>
  <c r="HW2" i="11"/>
  <c r="Q3" i="11"/>
  <c r="AQ3" i="11"/>
  <c r="BQ3" i="11"/>
  <c r="CQ3" i="11"/>
  <c r="DQ3" i="11"/>
  <c r="EQ3" i="11"/>
  <c r="FQ3" i="11"/>
  <c r="GQ3" i="11"/>
  <c r="HQ3" i="11"/>
  <c r="Q4" i="11"/>
  <c r="AQ4" i="11"/>
  <c r="BQ4" i="11"/>
  <c r="CQ4" i="11"/>
  <c r="DQ4" i="11"/>
  <c r="EQ4" i="11"/>
  <c r="FQ4" i="11"/>
  <c r="GQ4" i="11"/>
  <c r="HQ4" i="11"/>
  <c r="AQ5" i="11"/>
  <c r="BQ5" i="11"/>
  <c r="CQ5" i="11"/>
  <c r="DQ5" i="11"/>
  <c r="EQ5" i="11"/>
  <c r="FQ5" i="11"/>
  <c r="GQ5" i="11"/>
  <c r="HQ5" i="11"/>
  <c r="A7" i="11"/>
  <c r="K11" i="11"/>
  <c r="M11" i="11"/>
  <c r="O11" i="11"/>
  <c r="Q11" i="11"/>
  <c r="S11" i="11"/>
  <c r="U11" i="11"/>
  <c r="AA11" i="11"/>
  <c r="AJ11" i="11"/>
  <c r="AL11" i="11"/>
  <c r="AN11" i="11"/>
  <c r="AP11" i="11"/>
  <c r="AR11" i="11"/>
  <c r="AT11" i="11"/>
  <c r="AV11" i="11"/>
  <c r="AA14" i="11"/>
  <c r="A15" i="11"/>
  <c r="A17" i="11"/>
  <c r="AA18" i="11"/>
  <c r="AA22" i="11"/>
  <c r="A23" i="11"/>
  <c r="AA24" i="11"/>
  <c r="Y69" i="11"/>
  <c r="Y437" i="11"/>
  <c r="Y415" i="11"/>
  <c r="Y414" i="11"/>
  <c r="Z414" i="11" s="1"/>
  <c r="Y391" i="11"/>
  <c r="Y369" i="11"/>
  <c r="Y368" i="11"/>
  <c r="Z368" i="11" s="1"/>
  <c r="Y345" i="11"/>
  <c r="Y323" i="11"/>
  <c r="Y277" i="11"/>
  <c r="Y276" i="11"/>
  <c r="Z276" i="11" s="1"/>
  <c r="Y299" i="11"/>
  <c r="Y231" i="11"/>
  <c r="Y185" i="11"/>
  <c r="Y184" i="11"/>
  <c r="Z184" i="11" s="1"/>
  <c r="Y253" i="11"/>
  <c r="Y207" i="11"/>
  <c r="Y161" i="11"/>
  <c r="Y139" i="11"/>
  <c r="Y138" i="11"/>
  <c r="Z138" i="11" s="1"/>
  <c r="A3" i="11"/>
  <c r="AA3" i="11"/>
  <c r="BA3" i="11"/>
  <c r="CA3" i="11"/>
  <c r="DA3" i="11"/>
  <c r="EA3" i="11"/>
  <c r="FA3" i="11"/>
  <c r="GA3" i="11"/>
  <c r="HA3" i="11"/>
  <c r="A4" i="11"/>
  <c r="AA4" i="11"/>
  <c r="BA4" i="11"/>
  <c r="CA4" i="11"/>
  <c r="DA4" i="11"/>
  <c r="EA4" i="11"/>
  <c r="FA4" i="11"/>
  <c r="GA4" i="11"/>
  <c r="HA4" i="11"/>
  <c r="A5" i="11"/>
  <c r="AA5" i="11"/>
  <c r="BA5" i="11"/>
  <c r="CA5" i="11"/>
  <c r="DA5" i="11"/>
  <c r="EA5" i="11"/>
  <c r="FA5" i="11"/>
  <c r="GA5" i="11"/>
  <c r="HA5" i="11"/>
  <c r="A6" i="11"/>
  <c r="AA7" i="11"/>
  <c r="A11" i="11"/>
  <c r="J11" i="11"/>
  <c r="L11" i="11"/>
  <c r="N11" i="11"/>
  <c r="P11" i="11"/>
  <c r="R11" i="11"/>
  <c r="T11" i="11"/>
  <c r="V11" i="11"/>
  <c r="AK11" i="11"/>
  <c r="AM11" i="11"/>
  <c r="AO11" i="11"/>
  <c r="AQ11" i="11"/>
  <c r="AS11" i="11"/>
  <c r="AU11" i="11"/>
  <c r="A14" i="11"/>
  <c r="AA15" i="11"/>
  <c r="AA17" i="11"/>
  <c r="A18" i="11"/>
  <c r="AA19" i="11"/>
  <c r="A22" i="11"/>
  <c r="AA23" i="11"/>
  <c r="A24" i="11"/>
  <c r="Y92" i="11"/>
  <c r="Z92" i="11" s="1"/>
  <c r="Y93" i="11"/>
  <c r="G16" i="12"/>
  <c r="H19" i="12"/>
  <c r="G5" i="12"/>
  <c r="H5" i="12" s="1"/>
  <c r="H14" i="12"/>
  <c r="H17" i="12"/>
  <c r="F4" i="12"/>
  <c r="F5" i="12"/>
  <c r="F6" i="12"/>
  <c r="F7" i="12"/>
  <c r="F8" i="12"/>
  <c r="F9" i="12"/>
  <c r="F10" i="12"/>
  <c r="F11" i="12"/>
  <c r="F12" i="12"/>
  <c r="F13" i="12"/>
  <c r="H13" i="12"/>
  <c r="E14" i="12"/>
  <c r="F15" i="12"/>
  <c r="E16" i="12"/>
  <c r="E17" i="12"/>
  <c r="F18" i="12"/>
  <c r="H18" i="12"/>
  <c r="E19" i="12"/>
  <c r="F20" i="12"/>
  <c r="H20" i="12"/>
  <c r="E21" i="12"/>
  <c r="E22" i="12"/>
  <c r="F23" i="12"/>
  <c r="E24" i="12"/>
  <c r="F25" i="12"/>
  <c r="E26" i="12"/>
  <c r="F27" i="12"/>
  <c r="E28" i="12"/>
  <c r="F29" i="12"/>
  <c r="E30" i="12"/>
  <c r="F31" i="12"/>
  <c r="E32" i="12"/>
  <c r="F33" i="12"/>
  <c r="E34" i="12"/>
  <c r="F35" i="12"/>
  <c r="E36" i="12"/>
  <c r="F37" i="12"/>
  <c r="E38" i="12"/>
  <c r="F39" i="12"/>
  <c r="E40" i="12"/>
  <c r="E4" i="12"/>
  <c r="E5" i="12"/>
  <c r="E6" i="12"/>
  <c r="E7" i="12"/>
  <c r="E8" i="12"/>
  <c r="E9" i="12"/>
  <c r="E10" i="12"/>
  <c r="E11" i="12"/>
  <c r="E12" i="12"/>
  <c r="E13" i="12"/>
  <c r="E15" i="12"/>
  <c r="E18" i="12"/>
  <c r="E20" i="12"/>
  <c r="E23" i="12"/>
  <c r="E25" i="12"/>
  <c r="E27" i="12"/>
  <c r="E29" i="12"/>
  <c r="E31" i="12"/>
  <c r="E33" i="12"/>
  <c r="E35" i="12"/>
  <c r="E37" i="12"/>
  <c r="E39" i="12"/>
  <c r="H41" i="12"/>
  <c r="E41" i="12"/>
  <c r="F41" i="12"/>
  <c r="E42" i="12"/>
  <c r="H42" i="12"/>
  <c r="F43" i="12"/>
  <c r="E44" i="12"/>
  <c r="H44" i="12"/>
  <c r="F45" i="12"/>
  <c r="E46" i="12"/>
  <c r="H46" i="12"/>
  <c r="F47" i="12"/>
  <c r="E48" i="12"/>
  <c r="H48" i="12"/>
  <c r="F49" i="12"/>
  <c r="E50" i="12"/>
  <c r="H50" i="12"/>
  <c r="F51" i="12"/>
  <c r="E52" i="12"/>
  <c r="H52" i="12"/>
  <c r="F53" i="12"/>
  <c r="E54" i="12"/>
  <c r="H54" i="12"/>
  <c r="F55" i="12"/>
  <c r="E56" i="12"/>
  <c r="H56" i="12"/>
  <c r="F57" i="12"/>
  <c r="E58" i="12"/>
  <c r="H58" i="12"/>
  <c r="F59" i="12"/>
  <c r="E60" i="12"/>
  <c r="H60" i="12"/>
  <c r="F61" i="12"/>
  <c r="E62" i="12"/>
  <c r="H62" i="12"/>
  <c r="F63" i="12"/>
  <c r="E64" i="12"/>
  <c r="H64" i="12"/>
  <c r="F65" i="12"/>
  <c r="E66" i="12"/>
  <c r="H66" i="12"/>
  <c r="F67" i="12"/>
  <c r="E68" i="12"/>
  <c r="H68" i="12"/>
  <c r="F69" i="12"/>
  <c r="E70" i="12"/>
  <c r="H70" i="12"/>
  <c r="F71" i="12"/>
  <c r="E72" i="12"/>
  <c r="H72" i="12"/>
  <c r="F73" i="12"/>
  <c r="E74" i="12"/>
  <c r="H74" i="12"/>
  <c r="F75" i="12"/>
  <c r="E76" i="12"/>
  <c r="H76" i="12"/>
  <c r="F77" i="12"/>
  <c r="E78" i="12"/>
  <c r="H78" i="12"/>
  <c r="F79" i="12"/>
  <c r="E80" i="12"/>
  <c r="H80" i="12"/>
  <c r="F81" i="12"/>
  <c r="E82" i="12"/>
  <c r="H82" i="12"/>
  <c r="F83" i="12"/>
  <c r="E84" i="12"/>
  <c r="H84" i="12"/>
  <c r="F85" i="12"/>
  <c r="E86" i="12"/>
  <c r="H86" i="12"/>
  <c r="F87" i="12"/>
  <c r="E88" i="12"/>
  <c r="H88" i="12"/>
  <c r="F89" i="12"/>
  <c r="E90" i="12"/>
  <c r="H90" i="12"/>
  <c r="F91" i="12"/>
  <c r="E92" i="12"/>
  <c r="H92" i="12"/>
  <c r="F93" i="12"/>
  <c r="E94" i="12"/>
  <c r="H94" i="12"/>
  <c r="F95" i="12"/>
  <c r="E96" i="12"/>
  <c r="H96" i="12"/>
  <c r="F97" i="12"/>
  <c r="E98" i="12"/>
  <c r="H98" i="12"/>
  <c r="F99" i="12"/>
  <c r="E100" i="12"/>
  <c r="H100" i="12"/>
  <c r="F101" i="12"/>
  <c r="E102" i="12"/>
  <c r="H102" i="12"/>
  <c r="F103" i="12"/>
  <c r="E104" i="12"/>
  <c r="H104" i="12"/>
  <c r="F105" i="12"/>
  <c r="E106" i="12"/>
  <c r="H106" i="12"/>
  <c r="F107" i="12"/>
  <c r="E108" i="12"/>
  <c r="H108" i="12"/>
  <c r="F109" i="12"/>
  <c r="E110" i="12"/>
  <c r="H110" i="12"/>
  <c r="F111" i="12"/>
  <c r="E112" i="12"/>
  <c r="H112" i="12"/>
  <c r="F113" i="12"/>
  <c r="E114" i="12"/>
  <c r="H114" i="12"/>
  <c r="F115" i="12"/>
  <c r="E116" i="12"/>
  <c r="H116" i="12"/>
  <c r="F117" i="12"/>
  <c r="E118" i="12"/>
  <c r="H118" i="12"/>
  <c r="F119" i="12"/>
  <c r="E120" i="12"/>
  <c r="H120" i="12"/>
  <c r="F121" i="12"/>
  <c r="E122" i="12"/>
  <c r="H122" i="12"/>
  <c r="F123" i="12"/>
  <c r="E124" i="12"/>
  <c r="H124" i="12"/>
  <c r="F125" i="12"/>
  <c r="E126" i="12"/>
  <c r="H126" i="12"/>
  <c r="F127" i="12"/>
  <c r="E128" i="12"/>
  <c r="H128" i="12"/>
  <c r="F129" i="12"/>
  <c r="E130" i="12"/>
  <c r="H130" i="12"/>
  <c r="F131" i="12"/>
  <c r="E132" i="12"/>
  <c r="F133" i="12"/>
  <c r="E134" i="12"/>
  <c r="F135" i="12"/>
  <c r="E136" i="12"/>
  <c r="F137" i="12"/>
  <c r="E138" i="12"/>
  <c r="F139" i="12"/>
  <c r="E140" i="12"/>
  <c r="F141" i="12"/>
  <c r="E142" i="12"/>
  <c r="F143" i="12"/>
  <c r="E144" i="12"/>
  <c r="F145" i="12"/>
  <c r="E146" i="12"/>
  <c r="F147" i="12"/>
  <c r="E148" i="12"/>
  <c r="F149" i="12"/>
  <c r="E150" i="12"/>
  <c r="F151" i="12"/>
  <c r="E152" i="12"/>
  <c r="E154" i="12"/>
  <c r="H156" i="12"/>
  <c r="F158" i="12"/>
  <c r="H158" i="12"/>
  <c r="E158" i="12"/>
  <c r="E43" i="12"/>
  <c r="E45" i="12"/>
  <c r="E47" i="12"/>
  <c r="E49" i="12"/>
  <c r="E51" i="12"/>
  <c r="E53" i="12"/>
  <c r="E55" i="12"/>
  <c r="E57" i="12"/>
  <c r="E59" i="12"/>
  <c r="E61" i="12"/>
  <c r="E63" i="12"/>
  <c r="E65" i="12"/>
  <c r="E67" i="12"/>
  <c r="E69" i="12"/>
  <c r="E71" i="12"/>
  <c r="E73" i="12"/>
  <c r="E75" i="12"/>
  <c r="E77" i="12"/>
  <c r="E79" i="12"/>
  <c r="E81" i="12"/>
  <c r="E83" i="12"/>
  <c r="E85" i="12"/>
  <c r="E87" i="12"/>
  <c r="E89" i="12"/>
  <c r="E91" i="12"/>
  <c r="E93" i="12"/>
  <c r="E95" i="12"/>
  <c r="E97" i="12"/>
  <c r="E99" i="12"/>
  <c r="E101" i="12"/>
  <c r="E103" i="12"/>
  <c r="E105" i="12"/>
  <c r="E107" i="12"/>
  <c r="E109" i="12"/>
  <c r="E111" i="12"/>
  <c r="E113" i="12"/>
  <c r="E115" i="12"/>
  <c r="E117" i="12"/>
  <c r="E119" i="12"/>
  <c r="E121" i="12"/>
  <c r="E123" i="12"/>
  <c r="E125" i="12"/>
  <c r="E127" i="12"/>
  <c r="E129" i="12"/>
  <c r="E131" i="12"/>
  <c r="E133" i="12"/>
  <c r="E135" i="12"/>
  <c r="E137" i="12"/>
  <c r="E139" i="12"/>
  <c r="E141" i="12"/>
  <c r="E143" i="12"/>
  <c r="E145" i="12"/>
  <c r="E147" i="12"/>
  <c r="E149" i="12"/>
  <c r="E151" i="12"/>
  <c r="E156" i="12"/>
  <c r="E160" i="12"/>
  <c r="H160" i="12"/>
  <c r="E162" i="12"/>
  <c r="H162" i="12"/>
  <c r="E164" i="12"/>
  <c r="H164" i="12"/>
  <c r="E166" i="12"/>
  <c r="H166" i="12"/>
  <c r="E168" i="12"/>
  <c r="H168" i="12"/>
  <c r="E170" i="12"/>
  <c r="H170" i="12"/>
  <c r="E172" i="12"/>
  <c r="H172" i="12"/>
  <c r="E174" i="12"/>
  <c r="H174" i="12"/>
  <c r="E176" i="12"/>
  <c r="H176" i="12"/>
  <c r="E178" i="12"/>
  <c r="H178" i="12"/>
  <c r="E180" i="12"/>
  <c r="H180" i="12"/>
  <c r="E182" i="12"/>
  <c r="H182" i="12"/>
  <c r="E184" i="12"/>
  <c r="H184" i="12"/>
  <c r="E186" i="12"/>
  <c r="H186" i="12"/>
  <c r="E188" i="12"/>
  <c r="H188" i="12"/>
  <c r="E190" i="12"/>
  <c r="H190" i="12"/>
  <c r="E192" i="12"/>
  <c r="H192" i="12"/>
  <c r="E194" i="12"/>
  <c r="H194" i="12"/>
  <c r="E196" i="12"/>
  <c r="H196" i="12"/>
  <c r="E198" i="12"/>
  <c r="H198" i="12"/>
  <c r="E200" i="12"/>
  <c r="H200" i="12"/>
  <c r="E202" i="12"/>
  <c r="H202" i="12"/>
  <c r="E204" i="12"/>
  <c r="H204" i="12"/>
  <c r="E206" i="12"/>
  <c r="H206" i="12"/>
  <c r="E208" i="12"/>
  <c r="H208" i="12"/>
  <c r="E210" i="12"/>
  <c r="H210" i="12"/>
  <c r="E212" i="12"/>
  <c r="H212" i="12"/>
  <c r="E214" i="12"/>
  <c r="H214" i="12"/>
  <c r="E216" i="12"/>
  <c r="H216" i="12"/>
  <c r="E218" i="12"/>
  <c r="H218" i="12"/>
  <c r="E220" i="12"/>
  <c r="H220" i="12"/>
  <c r="E222" i="12"/>
  <c r="H222" i="12"/>
  <c r="E224" i="12"/>
  <c r="H224" i="12"/>
  <c r="E226" i="12"/>
  <c r="H226" i="12"/>
  <c r="E228" i="12"/>
  <c r="H228" i="12"/>
  <c r="E230" i="12"/>
  <c r="H230" i="12"/>
  <c r="E232" i="12"/>
  <c r="H232" i="12"/>
  <c r="E234" i="12"/>
  <c r="H234" i="12"/>
  <c r="E236" i="12"/>
  <c r="H236" i="12"/>
  <c r="E238" i="12"/>
  <c r="H238" i="12"/>
  <c r="E240" i="12"/>
  <c r="H240" i="12"/>
  <c r="E242" i="12"/>
  <c r="E153" i="12"/>
  <c r="E155" i="12"/>
  <c r="E157" i="12"/>
  <c r="E159" i="12"/>
  <c r="E161" i="12"/>
  <c r="E163" i="12"/>
  <c r="E165" i="12"/>
  <c r="E167" i="12"/>
  <c r="E169" i="12"/>
  <c r="E171" i="12"/>
  <c r="E173" i="12"/>
  <c r="E175" i="12"/>
  <c r="E177" i="12"/>
  <c r="E179" i="12"/>
  <c r="E181" i="12"/>
  <c r="E183" i="12"/>
  <c r="E185" i="12"/>
  <c r="E187" i="12"/>
  <c r="E189" i="12"/>
  <c r="E191" i="12"/>
  <c r="E193" i="12"/>
  <c r="E195" i="12"/>
  <c r="E197" i="12"/>
  <c r="E199" i="12"/>
  <c r="E201" i="12"/>
  <c r="E203" i="12"/>
  <c r="E205" i="12"/>
  <c r="E207" i="12"/>
  <c r="E209" i="12"/>
  <c r="E211" i="12"/>
  <c r="E213" i="12"/>
  <c r="E215" i="12"/>
  <c r="E217" i="12"/>
  <c r="E219" i="12"/>
  <c r="E221" i="12"/>
  <c r="E223" i="12"/>
  <c r="E225" i="12"/>
  <c r="E227" i="12"/>
  <c r="E229" i="12"/>
  <c r="E231" i="12"/>
  <c r="E233" i="12"/>
  <c r="E235" i="12"/>
  <c r="E237" i="12"/>
  <c r="E239" i="12"/>
  <c r="E241" i="12"/>
  <c r="F242" i="12"/>
  <c r="E243" i="12"/>
  <c r="H243" i="12"/>
  <c r="F244" i="12"/>
  <c r="E245" i="12"/>
  <c r="H245" i="12"/>
  <c r="F246" i="12"/>
  <c r="E247" i="12"/>
  <c r="H247" i="12"/>
  <c r="F248" i="12"/>
  <c r="E249" i="12"/>
  <c r="H249" i="12"/>
  <c r="F250" i="12"/>
  <c r="E251" i="12"/>
  <c r="H251" i="12"/>
  <c r="F252" i="12"/>
  <c r="E253" i="12"/>
  <c r="H253" i="12"/>
  <c r="F254" i="12"/>
  <c r="E255" i="12"/>
  <c r="H255" i="12"/>
  <c r="F256" i="12"/>
  <c r="E257" i="12"/>
  <c r="H257" i="12"/>
  <c r="F258" i="12"/>
  <c r="E259" i="12"/>
  <c r="H259" i="12"/>
  <c r="F260" i="12"/>
  <c r="E261" i="12"/>
  <c r="H261" i="12"/>
  <c r="F262" i="12"/>
  <c r="E263" i="12"/>
  <c r="H263" i="12"/>
  <c r="F264" i="12"/>
  <c r="E265" i="12"/>
  <c r="H265" i="12"/>
  <c r="F266" i="12"/>
  <c r="E267" i="12"/>
  <c r="H267" i="12"/>
  <c r="F268" i="12"/>
  <c r="E269" i="12"/>
  <c r="H269" i="12"/>
  <c r="F270" i="12"/>
  <c r="E271" i="12"/>
  <c r="H271" i="12"/>
  <c r="F272" i="12"/>
  <c r="E273" i="12"/>
  <c r="H273" i="12"/>
  <c r="F274" i="12"/>
  <c r="E275" i="12"/>
  <c r="H275" i="12"/>
  <c r="F276" i="12"/>
  <c r="E277" i="12"/>
  <c r="H277" i="12"/>
  <c r="F278" i="12"/>
  <c r="E279" i="12"/>
  <c r="H279" i="12"/>
  <c r="F280" i="12"/>
  <c r="E281" i="12"/>
  <c r="H281" i="12"/>
  <c r="F282" i="12"/>
  <c r="E283" i="12"/>
  <c r="H283" i="12"/>
  <c r="F284" i="12"/>
  <c r="E285" i="12"/>
  <c r="H285" i="12"/>
  <c r="F286" i="12"/>
  <c r="E287" i="12"/>
  <c r="H287" i="12"/>
  <c r="F288" i="12"/>
  <c r="E289" i="12"/>
  <c r="H289" i="12"/>
  <c r="F290" i="12"/>
  <c r="E291" i="12"/>
  <c r="H291" i="12"/>
  <c r="F292" i="12"/>
  <c r="E293" i="12"/>
  <c r="H293" i="12"/>
  <c r="F294" i="12"/>
  <c r="E295" i="12"/>
  <c r="H295" i="12"/>
  <c r="F296" i="12"/>
  <c r="E297" i="12"/>
  <c r="H297" i="12"/>
  <c r="F298" i="12"/>
  <c r="E244" i="12"/>
  <c r="E246" i="12"/>
  <c r="E248" i="12"/>
  <c r="E250" i="12"/>
  <c r="E252" i="12"/>
  <c r="E254" i="12"/>
  <c r="E256" i="12"/>
  <c r="E258" i="12"/>
  <c r="E260" i="12"/>
  <c r="E262" i="12"/>
  <c r="E264" i="12"/>
  <c r="E266" i="12"/>
  <c r="E268" i="12"/>
  <c r="E270" i="12"/>
  <c r="E272" i="12"/>
  <c r="E274" i="12"/>
  <c r="E276" i="12"/>
  <c r="E278" i="12"/>
  <c r="E280" i="12"/>
  <c r="E282" i="12"/>
  <c r="E284" i="12"/>
  <c r="E286" i="12"/>
  <c r="E288" i="12"/>
  <c r="E290" i="12"/>
  <c r="E292" i="12"/>
  <c r="E294" i="12"/>
  <c r="E296" i="12"/>
  <c r="E298" i="12"/>
  <c r="K43" i="1" l="1"/>
  <c r="K47" i="1"/>
  <c r="K46" i="1"/>
  <c r="K49" i="1"/>
  <c r="K44" i="1"/>
  <c r="K48" i="1"/>
  <c r="K45" i="1"/>
  <c r="HA356" i="11"/>
  <c r="HA288" i="11"/>
  <c r="HA218" i="11"/>
  <c r="HA80" i="11"/>
  <c r="HA448" i="11"/>
  <c r="HA426" i="11"/>
  <c r="HA402" i="11"/>
  <c r="HA380" i="11"/>
  <c r="HA334" i="11"/>
  <c r="HA310" i="11"/>
  <c r="HA264" i="11"/>
  <c r="HA242" i="11"/>
  <c r="HA196" i="11"/>
  <c r="HA172" i="11"/>
  <c r="HA150" i="11"/>
  <c r="HA126" i="11"/>
  <c r="HA104" i="11"/>
  <c r="HA58" i="11"/>
  <c r="HA37" i="11"/>
  <c r="FA356" i="11"/>
  <c r="FA288" i="11"/>
  <c r="FA218" i="11"/>
  <c r="FA126" i="11"/>
  <c r="FA80" i="11"/>
  <c r="FA448" i="11"/>
  <c r="FA426" i="11"/>
  <c r="FA402" i="11"/>
  <c r="FA380" i="11"/>
  <c r="FA334" i="11"/>
  <c r="FA310" i="11"/>
  <c r="FA264" i="11"/>
  <c r="FA242" i="11"/>
  <c r="FA196" i="11"/>
  <c r="FA172" i="11"/>
  <c r="FA150" i="11"/>
  <c r="FA104" i="11"/>
  <c r="FA58" i="11"/>
  <c r="FA37" i="11"/>
  <c r="DA356" i="11"/>
  <c r="DA288" i="11"/>
  <c r="DA448" i="11"/>
  <c r="DA426" i="11"/>
  <c r="DA402" i="11"/>
  <c r="DA380" i="11"/>
  <c r="DA334" i="11"/>
  <c r="DA310" i="11"/>
  <c r="DA264" i="11"/>
  <c r="DA242" i="11"/>
  <c r="DA196" i="11"/>
  <c r="DA150" i="11"/>
  <c r="DA104" i="11"/>
  <c r="DA58" i="11"/>
  <c r="DA37" i="11"/>
  <c r="DA218" i="11"/>
  <c r="DA172" i="11"/>
  <c r="DA126" i="11"/>
  <c r="DA80" i="11"/>
  <c r="BA356" i="11"/>
  <c r="BA288" i="11"/>
  <c r="BA264" i="11"/>
  <c r="BA150" i="11"/>
  <c r="BA104" i="11"/>
  <c r="BA58" i="11"/>
  <c r="BA37" i="11"/>
  <c r="BA448" i="11"/>
  <c r="BA426" i="11"/>
  <c r="BA402" i="11"/>
  <c r="BA380" i="11"/>
  <c r="BA334" i="11"/>
  <c r="BA310" i="11"/>
  <c r="BA242" i="11"/>
  <c r="BA218" i="11"/>
  <c r="BA196" i="11"/>
  <c r="BA172" i="11"/>
  <c r="BA126" i="11"/>
  <c r="BA80" i="11"/>
  <c r="DA410" i="11"/>
  <c r="DA404" i="11"/>
  <c r="DW398" i="11"/>
  <c r="DT397" i="11"/>
  <c r="DP397" i="11"/>
  <c r="DL397" i="11"/>
  <c r="DV395" i="11"/>
  <c r="DR395" i="11"/>
  <c r="DN395" i="11"/>
  <c r="DJ395" i="11"/>
  <c r="DV393" i="11"/>
  <c r="DA392" i="11"/>
  <c r="DA405" i="11"/>
  <c r="DA401" i="11"/>
  <c r="DU397" i="11"/>
  <c r="DQ397" i="11"/>
  <c r="DM397" i="11"/>
  <c r="DF397" i="11"/>
  <c r="DU395" i="11"/>
  <c r="DQ395" i="11"/>
  <c r="DM395" i="11"/>
  <c r="DF395" i="11"/>
  <c r="DP393" i="11"/>
  <c r="DJ392" i="11"/>
  <c r="DA408" i="11"/>
  <c r="DA400" i="11"/>
  <c r="DV397" i="11"/>
  <c r="DR397" i="11"/>
  <c r="DN397" i="11"/>
  <c r="DJ397" i="11"/>
  <c r="DT395" i="11"/>
  <c r="DP395" i="11"/>
  <c r="DL395" i="11"/>
  <c r="DA395" i="11"/>
  <c r="DM393" i="11"/>
  <c r="DA409" i="11"/>
  <c r="DA403" i="11"/>
  <c r="DA399" i="11"/>
  <c r="DS397" i="11"/>
  <c r="DO397" i="11"/>
  <c r="DK397" i="11"/>
  <c r="DW395" i="11"/>
  <c r="DS395" i="11"/>
  <c r="DO395" i="11"/>
  <c r="DK395" i="11"/>
  <c r="DW393" i="11"/>
  <c r="DJ393" i="11"/>
  <c r="DA433" i="11"/>
  <c r="DA416" i="11"/>
  <c r="DM417" i="11"/>
  <c r="DA419" i="11"/>
  <c r="DL419" i="11"/>
  <c r="DP419" i="11"/>
  <c r="DT419" i="11"/>
  <c r="DJ421" i="11"/>
  <c r="DN421" i="11"/>
  <c r="DR421" i="11"/>
  <c r="DV421" i="11"/>
  <c r="DA424" i="11"/>
  <c r="DA432" i="11"/>
  <c r="DJ416" i="11"/>
  <c r="DP417" i="11"/>
  <c r="DF419" i="11"/>
  <c r="DM419" i="11"/>
  <c r="DQ419" i="11"/>
  <c r="DU419" i="11"/>
  <c r="DF421" i="11"/>
  <c r="DM421" i="11"/>
  <c r="DQ421" i="11"/>
  <c r="DU421" i="11"/>
  <c r="DA425" i="11"/>
  <c r="DA429" i="11"/>
  <c r="DV417" i="11"/>
  <c r="DJ419" i="11"/>
  <c r="DN419" i="11"/>
  <c r="DR419" i="11"/>
  <c r="DV419" i="11"/>
  <c r="DL421" i="11"/>
  <c r="DP421" i="11"/>
  <c r="DT421" i="11"/>
  <c r="DW422" i="11"/>
  <c r="DA428" i="11"/>
  <c r="DA434" i="11"/>
  <c r="DJ417" i="11"/>
  <c r="DW417" i="11"/>
  <c r="DK419" i="11"/>
  <c r="DO419" i="11"/>
  <c r="DS419" i="11"/>
  <c r="DW419" i="11"/>
  <c r="DK421" i="11"/>
  <c r="DO421" i="11"/>
  <c r="DS421" i="11"/>
  <c r="DA423" i="11"/>
  <c r="DA427" i="11"/>
  <c r="DA249" i="11"/>
  <c r="DV233" i="11"/>
  <c r="DJ235" i="11"/>
  <c r="DN235" i="11"/>
  <c r="DR235" i="11"/>
  <c r="DV235" i="11"/>
  <c r="DL237" i="11"/>
  <c r="DP237" i="11"/>
  <c r="DT237" i="11"/>
  <c r="DW238" i="11"/>
  <c r="DA244" i="11"/>
  <c r="DA250" i="11"/>
  <c r="DJ232" i="11"/>
  <c r="DP233" i="11"/>
  <c r="DF235" i="11"/>
  <c r="DM235" i="11"/>
  <c r="DQ235" i="11"/>
  <c r="DU235" i="11"/>
  <c r="DF237" i="11"/>
  <c r="DM237" i="11"/>
  <c r="DQ237" i="11"/>
  <c r="DU237" i="11"/>
  <c r="DA241" i="11"/>
  <c r="DA245" i="11"/>
  <c r="DA232" i="11"/>
  <c r="DM233" i="11"/>
  <c r="DA235" i="11"/>
  <c r="DL235" i="11"/>
  <c r="DP235" i="11"/>
  <c r="DT235" i="11"/>
  <c r="DJ237" i="11"/>
  <c r="DN237" i="11"/>
  <c r="DR237" i="11"/>
  <c r="DV237" i="11"/>
  <c r="DA240" i="11"/>
  <c r="DA248" i="11"/>
  <c r="DJ233" i="11"/>
  <c r="DW233" i="11"/>
  <c r="DK235" i="11"/>
  <c r="DO235" i="11"/>
  <c r="DS235" i="11"/>
  <c r="DW235" i="11"/>
  <c r="DK237" i="11"/>
  <c r="DO237" i="11"/>
  <c r="DS237" i="11"/>
  <c r="DA239" i="11"/>
  <c r="DA243" i="11"/>
  <c r="DA107" i="11"/>
  <c r="DA103" i="11"/>
  <c r="DU99" i="11"/>
  <c r="DQ99" i="11"/>
  <c r="DM99" i="11"/>
  <c r="DF99" i="11"/>
  <c r="DU97" i="11"/>
  <c r="DQ97" i="11"/>
  <c r="DM97" i="11"/>
  <c r="DF97" i="11"/>
  <c r="DP95" i="11"/>
  <c r="DJ94" i="11"/>
  <c r="DA110" i="11"/>
  <c r="DA102" i="11"/>
  <c r="DV99" i="11"/>
  <c r="DR99" i="11"/>
  <c r="DN99" i="11"/>
  <c r="DJ99" i="11"/>
  <c r="DT97" i="11"/>
  <c r="DP97" i="11"/>
  <c r="DL97" i="11"/>
  <c r="DA97" i="11"/>
  <c r="DM95" i="11"/>
  <c r="DA111" i="11"/>
  <c r="DA105" i="11"/>
  <c r="DA101" i="11"/>
  <c r="DS99" i="11"/>
  <c r="DO99" i="11"/>
  <c r="DK99" i="11"/>
  <c r="DW97" i="11"/>
  <c r="DS97" i="11"/>
  <c r="DO97" i="11"/>
  <c r="DK97" i="11"/>
  <c r="DW95" i="11"/>
  <c r="DJ95" i="11"/>
  <c r="DA112" i="11"/>
  <c r="DA106" i="11"/>
  <c r="DW100" i="11"/>
  <c r="DT99" i="11"/>
  <c r="DP99" i="11"/>
  <c r="DL99" i="11"/>
  <c r="DV97" i="11"/>
  <c r="DR97" i="11"/>
  <c r="DN97" i="11"/>
  <c r="DJ97" i="11"/>
  <c r="DV95" i="11"/>
  <c r="DA94" i="11"/>
  <c r="DA65" i="11"/>
  <c r="DA61" i="11"/>
  <c r="DA59" i="11"/>
  <c r="DA55" i="11"/>
  <c r="DS53" i="11"/>
  <c r="DO53" i="11"/>
  <c r="DK53" i="11"/>
  <c r="DW51" i="11"/>
  <c r="DS51" i="11"/>
  <c r="DO51" i="11"/>
  <c r="DK51" i="11"/>
  <c r="DW49" i="11"/>
  <c r="DJ49" i="11"/>
  <c r="DA66" i="11"/>
  <c r="DA60" i="11"/>
  <c r="DW54" i="11"/>
  <c r="DT53" i="11"/>
  <c r="DP53" i="11"/>
  <c r="DL53" i="11"/>
  <c r="DV51" i="11"/>
  <c r="DR51" i="11"/>
  <c r="DN51" i="11"/>
  <c r="DJ51" i="11"/>
  <c r="DV49" i="11"/>
  <c r="DA48" i="11"/>
  <c r="DA57" i="11"/>
  <c r="DU53" i="11"/>
  <c r="DQ53" i="11"/>
  <c r="DM53" i="11"/>
  <c r="DF53" i="11"/>
  <c r="DU51" i="11"/>
  <c r="DQ51" i="11"/>
  <c r="DM51" i="11"/>
  <c r="DF51" i="11"/>
  <c r="DP49" i="11"/>
  <c r="DJ48" i="11"/>
  <c r="DA64" i="11"/>
  <c r="DA56" i="11"/>
  <c r="DV53" i="11"/>
  <c r="DR53" i="11"/>
  <c r="DN53" i="11"/>
  <c r="DJ53" i="11"/>
  <c r="DT51" i="11"/>
  <c r="DP51" i="11"/>
  <c r="DL51" i="11"/>
  <c r="DA51" i="11"/>
  <c r="DM49" i="11"/>
  <c r="FA456" i="11"/>
  <c r="FA450" i="11"/>
  <c r="FW444" i="11"/>
  <c r="FT443" i="11"/>
  <c r="FP443" i="11"/>
  <c r="FL443" i="11"/>
  <c r="FV441" i="11"/>
  <c r="FR441" i="11"/>
  <c r="FN441" i="11"/>
  <c r="FJ441" i="11"/>
  <c r="FV439" i="11"/>
  <c r="FA438" i="11"/>
  <c r="FA451" i="11"/>
  <c r="FA447" i="11"/>
  <c r="FU443" i="11"/>
  <c r="FQ443" i="11"/>
  <c r="FM443" i="11"/>
  <c r="FF443" i="11"/>
  <c r="FU441" i="11"/>
  <c r="FQ441" i="11"/>
  <c r="FM441" i="11"/>
  <c r="FF441" i="11"/>
  <c r="FP439" i="11"/>
  <c r="FJ438" i="11"/>
  <c r="FA454" i="11"/>
  <c r="FA446" i="11"/>
  <c r="FV443" i="11"/>
  <c r="FR443" i="11"/>
  <c r="FN443" i="11"/>
  <c r="FJ443" i="11"/>
  <c r="FT441" i="11"/>
  <c r="FP441" i="11"/>
  <c r="FL441" i="11"/>
  <c r="FA441" i="11"/>
  <c r="FM439" i="11"/>
  <c r="FA455" i="11"/>
  <c r="FA449" i="11"/>
  <c r="FA445" i="11"/>
  <c r="FS443" i="11"/>
  <c r="FO443" i="11"/>
  <c r="FK443" i="11"/>
  <c r="FW441" i="11"/>
  <c r="FS441" i="11"/>
  <c r="FO441" i="11"/>
  <c r="FK441" i="11"/>
  <c r="FW439" i="11"/>
  <c r="FJ439" i="11"/>
  <c r="FA363" i="11"/>
  <c r="FV347" i="11"/>
  <c r="FJ349" i="11"/>
  <c r="FN349" i="11"/>
  <c r="FR349" i="11"/>
  <c r="FV349" i="11"/>
  <c r="FL351" i="11"/>
  <c r="FP351" i="11"/>
  <c r="FT351" i="11"/>
  <c r="FW352" i="11"/>
  <c r="FA358" i="11"/>
  <c r="FA364" i="11"/>
  <c r="FJ347" i="11"/>
  <c r="FW347" i="11"/>
  <c r="FK349" i="11"/>
  <c r="FO349" i="11"/>
  <c r="FS349" i="11"/>
  <c r="FW349" i="11"/>
  <c r="FK351" i="11"/>
  <c r="FO351" i="11"/>
  <c r="FS351" i="11"/>
  <c r="FA353" i="11"/>
  <c r="FA357" i="11"/>
  <c r="FA346" i="11"/>
  <c r="FM347" i="11"/>
  <c r="FA349" i="11"/>
  <c r="FL349" i="11"/>
  <c r="FP349" i="11"/>
  <c r="FT349" i="11"/>
  <c r="FJ351" i="11"/>
  <c r="FN351" i="11"/>
  <c r="FR351" i="11"/>
  <c r="FV351" i="11"/>
  <c r="FA354" i="11"/>
  <c r="FA362" i="11"/>
  <c r="FJ346" i="11"/>
  <c r="FP347" i="11"/>
  <c r="FF349" i="11"/>
  <c r="FM349" i="11"/>
  <c r="FQ349" i="11"/>
  <c r="FU349" i="11"/>
  <c r="FF351" i="11"/>
  <c r="FM351" i="11"/>
  <c r="FQ351" i="11"/>
  <c r="FU351" i="11"/>
  <c r="FA355" i="11"/>
  <c r="FA359" i="11"/>
  <c r="FA175" i="11"/>
  <c r="FA169" i="11"/>
  <c r="FQ167" i="11"/>
  <c r="FF167" i="11"/>
  <c r="FQ165" i="11"/>
  <c r="FF165" i="11"/>
  <c r="FJ162" i="11"/>
  <c r="FU167" i="11"/>
  <c r="FM167" i="11"/>
  <c r="FU165" i="11"/>
  <c r="FM165" i="11"/>
  <c r="FP163" i="11"/>
  <c r="FA178" i="11"/>
  <c r="FA170" i="11"/>
  <c r="FV167" i="11"/>
  <c r="FR167" i="11"/>
  <c r="FN167" i="11"/>
  <c r="FJ167" i="11"/>
  <c r="FT165" i="11"/>
  <c r="FP165" i="11"/>
  <c r="FL165" i="11"/>
  <c r="FA165" i="11"/>
  <c r="FM163" i="11"/>
  <c r="FJ163" i="11"/>
  <c r="FK165" i="11"/>
  <c r="FS165" i="11"/>
  <c r="FK167" i="11"/>
  <c r="FS167" i="11"/>
  <c r="FA173" i="11"/>
  <c r="FA180" i="11"/>
  <c r="FA174" i="11"/>
  <c r="FW168" i="11"/>
  <c r="FT167" i="11"/>
  <c r="FP167" i="11"/>
  <c r="FL167" i="11"/>
  <c r="FV165" i="11"/>
  <c r="FR165" i="11"/>
  <c r="FN165" i="11"/>
  <c r="FJ165" i="11"/>
  <c r="FV163" i="11"/>
  <c r="FA162" i="11"/>
  <c r="FW163" i="11"/>
  <c r="FO165" i="11"/>
  <c r="FW165" i="11"/>
  <c r="FO167" i="11"/>
  <c r="FA171" i="11"/>
  <c r="FA179" i="11"/>
  <c r="FA87" i="11"/>
  <c r="FV71" i="11"/>
  <c r="FJ73" i="11"/>
  <c r="FN73" i="11"/>
  <c r="FR73" i="11"/>
  <c r="FV73" i="11"/>
  <c r="FL75" i="11"/>
  <c r="FP75" i="11"/>
  <c r="FT75" i="11"/>
  <c r="FW76" i="11"/>
  <c r="FA82" i="11"/>
  <c r="FA88" i="11"/>
  <c r="FJ70" i="11"/>
  <c r="FP71" i="11"/>
  <c r="FF73" i="11"/>
  <c r="FM73" i="11"/>
  <c r="FQ73" i="11"/>
  <c r="FU73" i="11"/>
  <c r="FF75" i="11"/>
  <c r="FM75" i="11"/>
  <c r="FQ75" i="11"/>
  <c r="FU75" i="11"/>
  <c r="FA79" i="11"/>
  <c r="FA83" i="11"/>
  <c r="FA70" i="11"/>
  <c r="FM71" i="11"/>
  <c r="FA73" i="11"/>
  <c r="FL73" i="11"/>
  <c r="FP73" i="11"/>
  <c r="FT73" i="11"/>
  <c r="FJ75" i="11"/>
  <c r="FN75" i="11"/>
  <c r="FR75" i="11"/>
  <c r="FV75" i="11"/>
  <c r="FA78" i="11"/>
  <c r="FA86" i="11"/>
  <c r="FJ71" i="11"/>
  <c r="FW71" i="11"/>
  <c r="FK73" i="11"/>
  <c r="FO73" i="11"/>
  <c r="FS73" i="11"/>
  <c r="FW73" i="11"/>
  <c r="FK75" i="11"/>
  <c r="FO75" i="11"/>
  <c r="FS75" i="11"/>
  <c r="FA77" i="11"/>
  <c r="FA81" i="11"/>
  <c r="FA313" i="11"/>
  <c r="FA309" i="11"/>
  <c r="FU305" i="11"/>
  <c r="FQ305" i="11"/>
  <c r="FM305" i="11"/>
  <c r="FF305" i="11"/>
  <c r="FA316" i="11"/>
  <c r="FA308" i="11"/>
  <c r="FV305" i="11"/>
  <c r="FR305" i="11"/>
  <c r="FN305" i="11"/>
  <c r="FJ305" i="11"/>
  <c r="FT303" i="11"/>
  <c r="FP303" i="11"/>
  <c r="FL303" i="11"/>
  <c r="FA303" i="11"/>
  <c r="FM301" i="11"/>
  <c r="FJ301" i="11"/>
  <c r="FK303" i="11"/>
  <c r="FS303" i="11"/>
  <c r="FP301" i="11"/>
  <c r="FM303" i="11"/>
  <c r="FU303" i="11"/>
  <c r="FA317" i="11"/>
  <c r="FA311" i="11"/>
  <c r="FA307" i="11"/>
  <c r="FS305" i="11"/>
  <c r="FO305" i="11"/>
  <c r="FK305" i="11"/>
  <c r="FA318" i="11"/>
  <c r="FA312" i="11"/>
  <c r="FW306" i="11"/>
  <c r="FT305" i="11"/>
  <c r="FP305" i="11"/>
  <c r="FL305" i="11"/>
  <c r="FV303" i="11"/>
  <c r="FR303" i="11"/>
  <c r="FN303" i="11"/>
  <c r="FJ303" i="11"/>
  <c r="FV301" i="11"/>
  <c r="FA300" i="11"/>
  <c r="FW301" i="11"/>
  <c r="FO303" i="11"/>
  <c r="FW303" i="11"/>
  <c r="FJ300" i="11"/>
  <c r="FF303" i="11"/>
  <c r="FQ303" i="11"/>
  <c r="AA433" i="11"/>
  <c r="AA416" i="11"/>
  <c r="AM417" i="11"/>
  <c r="AA419" i="11"/>
  <c r="AL419" i="11"/>
  <c r="AP419" i="11"/>
  <c r="AT419" i="11"/>
  <c r="AJ421" i="11"/>
  <c r="AN421" i="11"/>
  <c r="AR421" i="11"/>
  <c r="AV421" i="11"/>
  <c r="AA424" i="11"/>
  <c r="AA432" i="11"/>
  <c r="AJ416" i="11"/>
  <c r="AP417" i="11"/>
  <c r="AF419" i="11"/>
  <c r="AM419" i="11"/>
  <c r="AQ419" i="11"/>
  <c r="AU419" i="11"/>
  <c r="AF421" i="11"/>
  <c r="AM421" i="11"/>
  <c r="AQ421" i="11"/>
  <c r="AU421" i="11"/>
  <c r="AA425" i="11"/>
  <c r="AA429" i="11"/>
  <c r="AV417" i="11"/>
  <c r="AJ419" i="11"/>
  <c r="AN419" i="11"/>
  <c r="AR419" i="11"/>
  <c r="AV419" i="11"/>
  <c r="AL421" i="11"/>
  <c r="AP421" i="11"/>
  <c r="AT421" i="11"/>
  <c r="AW422" i="11"/>
  <c r="AA428" i="11"/>
  <c r="AA434" i="11"/>
  <c r="AJ417" i="11"/>
  <c r="AW417" i="11"/>
  <c r="AK419" i="11"/>
  <c r="AO419" i="11"/>
  <c r="AS419" i="11"/>
  <c r="AW419" i="11"/>
  <c r="AK421" i="11"/>
  <c r="AO421" i="11"/>
  <c r="AS421" i="11"/>
  <c r="AA423" i="11"/>
  <c r="AA427" i="11"/>
  <c r="AA225" i="11"/>
  <c r="AA219" i="11"/>
  <c r="AA215" i="11"/>
  <c r="AS213" i="11"/>
  <c r="AO213" i="11"/>
  <c r="AK213" i="11"/>
  <c r="AW211" i="11"/>
  <c r="AS211" i="11"/>
  <c r="AO211" i="11"/>
  <c r="AK211" i="11"/>
  <c r="AW209" i="11"/>
  <c r="AJ209" i="11"/>
  <c r="AJ211" i="11"/>
  <c r="AR211" i="11"/>
  <c r="AJ213" i="11"/>
  <c r="AR213" i="11"/>
  <c r="AA216" i="11"/>
  <c r="AA226" i="11"/>
  <c r="AM209" i="11"/>
  <c r="AL211" i="11"/>
  <c r="AT211" i="11"/>
  <c r="AL213" i="11"/>
  <c r="AT213" i="11"/>
  <c r="AA224" i="11"/>
  <c r="AA221" i="11"/>
  <c r="AA217" i="11"/>
  <c r="AU213" i="11"/>
  <c r="AQ213" i="11"/>
  <c r="AM213" i="11"/>
  <c r="AF213" i="11"/>
  <c r="AU211" i="11"/>
  <c r="AQ211" i="11"/>
  <c r="AM211" i="11"/>
  <c r="AF211" i="11"/>
  <c r="AP209" i="11"/>
  <c r="AJ208" i="11"/>
  <c r="AV209" i="11"/>
  <c r="AN211" i="11"/>
  <c r="AV211" i="11"/>
  <c r="AN213" i="11"/>
  <c r="AV213" i="11"/>
  <c r="AA220" i="11"/>
  <c r="AA208" i="11"/>
  <c r="AA211" i="11"/>
  <c r="AP211" i="11"/>
  <c r="AP213" i="11"/>
  <c r="AW214" i="11"/>
  <c r="AA180" i="11"/>
  <c r="AJ163" i="11"/>
  <c r="AW163" i="11"/>
  <c r="AK165" i="11"/>
  <c r="AO165" i="11"/>
  <c r="AS165" i="11"/>
  <c r="AW165" i="11"/>
  <c r="AK167" i="11"/>
  <c r="AO167" i="11"/>
  <c r="AS167" i="11"/>
  <c r="AA169" i="11"/>
  <c r="AA173" i="11"/>
  <c r="AA179" i="11"/>
  <c r="AV163" i="11"/>
  <c r="AJ165" i="11"/>
  <c r="AN165" i="11"/>
  <c r="AR165" i="11"/>
  <c r="AV165" i="11"/>
  <c r="AL167" i="11"/>
  <c r="AP167" i="11"/>
  <c r="AT167" i="11"/>
  <c r="AW168" i="11"/>
  <c r="AA174" i="11"/>
  <c r="AJ162" i="11"/>
  <c r="AP163" i="11"/>
  <c r="AF165" i="11"/>
  <c r="AM165" i="11"/>
  <c r="AQ165" i="11"/>
  <c r="AU165" i="11"/>
  <c r="AF167" i="11"/>
  <c r="AM167" i="11"/>
  <c r="AQ167" i="11"/>
  <c r="AU167" i="11"/>
  <c r="AA171" i="11"/>
  <c r="AA175" i="11"/>
  <c r="AA162" i="11"/>
  <c r="AM163" i="11"/>
  <c r="AA165" i="11"/>
  <c r="AL165" i="11"/>
  <c r="AP165" i="11"/>
  <c r="AT165" i="11"/>
  <c r="AJ167" i="11"/>
  <c r="AN167" i="11"/>
  <c r="AR167" i="11"/>
  <c r="AV167" i="11"/>
  <c r="AA170" i="11"/>
  <c r="AA178" i="11"/>
  <c r="AA83" i="11"/>
  <c r="AA77" i="11"/>
  <c r="AQ75" i="11"/>
  <c r="AF75" i="11"/>
  <c r="AQ73" i="11"/>
  <c r="AF73" i="11"/>
  <c r="AJ70" i="11"/>
  <c r="AU75" i="11"/>
  <c r="AM75" i="11"/>
  <c r="AU73" i="11"/>
  <c r="AM73" i="11"/>
  <c r="AP71" i="11"/>
  <c r="AN75" i="11"/>
  <c r="AJ75" i="11"/>
  <c r="AT73" i="11"/>
  <c r="AP73" i="11"/>
  <c r="AL73" i="11"/>
  <c r="AA73" i="11"/>
  <c r="AM71" i="11"/>
  <c r="AJ71" i="11"/>
  <c r="AK73" i="11"/>
  <c r="AS73" i="11"/>
  <c r="AK75" i="11"/>
  <c r="AS75" i="11"/>
  <c r="AA81" i="11"/>
  <c r="AA88" i="11"/>
  <c r="AA82" i="11"/>
  <c r="AW76" i="11"/>
  <c r="AT75" i="11"/>
  <c r="AP75" i="11"/>
  <c r="AL75" i="11"/>
  <c r="AV73" i="11"/>
  <c r="AR73" i="11"/>
  <c r="AN73" i="11"/>
  <c r="AJ73" i="11"/>
  <c r="AV71" i="11"/>
  <c r="AA70" i="11"/>
  <c r="AW71" i="11"/>
  <c r="AO73" i="11"/>
  <c r="AW73" i="11"/>
  <c r="AO75" i="11"/>
  <c r="AA79" i="11"/>
  <c r="AA87" i="11"/>
  <c r="AA86" i="11"/>
  <c r="AA78" i="11"/>
  <c r="AV75" i="11"/>
  <c r="AR75" i="11"/>
  <c r="AA387" i="11"/>
  <c r="AA381" i="11"/>
  <c r="AA377" i="11"/>
  <c r="AS375" i="11"/>
  <c r="AA388" i="11"/>
  <c r="AA382" i="11"/>
  <c r="AW376" i="11"/>
  <c r="AT375" i="11"/>
  <c r="AO375" i="11"/>
  <c r="AK375" i="11"/>
  <c r="AW373" i="11"/>
  <c r="AS373" i="11"/>
  <c r="AO373" i="11"/>
  <c r="AK373" i="11"/>
  <c r="AW371" i="11"/>
  <c r="AJ371" i="11"/>
  <c r="AP375" i="11"/>
  <c r="AL375" i="11"/>
  <c r="AV373" i="11"/>
  <c r="AR373" i="11"/>
  <c r="AN373" i="11"/>
  <c r="AJ373" i="11"/>
  <c r="AV371" i="11"/>
  <c r="AA370" i="11"/>
  <c r="AA383" i="11"/>
  <c r="AA379" i="11"/>
  <c r="AU375" i="11"/>
  <c r="AQ375" i="11"/>
  <c r="AA386" i="11"/>
  <c r="AA378" i="11"/>
  <c r="AV375" i="11"/>
  <c r="AR375" i="11"/>
  <c r="AM375" i="11"/>
  <c r="AF375" i="11"/>
  <c r="AU373" i="11"/>
  <c r="AQ373" i="11"/>
  <c r="AM373" i="11"/>
  <c r="AF373" i="11"/>
  <c r="AP371" i="11"/>
  <c r="AJ370" i="11"/>
  <c r="AN375" i="11"/>
  <c r="AJ375" i="11"/>
  <c r="AT373" i="11"/>
  <c r="AP373" i="11"/>
  <c r="AL373" i="11"/>
  <c r="AA373" i="11"/>
  <c r="AM371" i="11"/>
  <c r="CA388" i="11"/>
  <c r="CA382" i="11"/>
  <c r="CW376" i="11"/>
  <c r="CT375" i="11"/>
  <c r="CA387" i="11"/>
  <c r="CA379" i="11"/>
  <c r="CP375" i="11"/>
  <c r="CL375" i="11"/>
  <c r="CV373" i="11"/>
  <c r="CR373" i="11"/>
  <c r="CN373" i="11"/>
  <c r="CJ373" i="11"/>
  <c r="CV371" i="11"/>
  <c r="CA370" i="11"/>
  <c r="CA377" i="11"/>
  <c r="CQ375" i="11"/>
  <c r="CM375" i="11"/>
  <c r="CF375" i="11"/>
  <c r="CU373" i="11"/>
  <c r="CQ373" i="11"/>
  <c r="CM373" i="11"/>
  <c r="CF373" i="11"/>
  <c r="CP371" i="11"/>
  <c r="CJ370" i="11"/>
  <c r="CA386" i="11"/>
  <c r="CA378" i="11"/>
  <c r="CV375" i="11"/>
  <c r="CR375" i="11"/>
  <c r="CA381" i="11"/>
  <c r="CS375" i="11"/>
  <c r="CN375" i="11"/>
  <c r="CJ375" i="11"/>
  <c r="CT373" i="11"/>
  <c r="CP373" i="11"/>
  <c r="CL373" i="11"/>
  <c r="CA373" i="11"/>
  <c r="CM371" i="11"/>
  <c r="CA383" i="11"/>
  <c r="CU375" i="11"/>
  <c r="CO375" i="11"/>
  <c r="CK375" i="11"/>
  <c r="CW373" i="11"/>
  <c r="CS373" i="11"/>
  <c r="CO373" i="11"/>
  <c r="CK373" i="11"/>
  <c r="CW371" i="11"/>
  <c r="CJ371" i="11"/>
  <c r="CA342" i="11"/>
  <c r="CA336" i="11"/>
  <c r="CW330" i="11"/>
  <c r="CT329" i="11"/>
  <c r="CP329" i="11"/>
  <c r="CL329" i="11"/>
  <c r="CV327" i="11"/>
  <c r="CR327" i="11"/>
  <c r="CN327" i="11"/>
  <c r="CJ327" i="11"/>
  <c r="CV325" i="11"/>
  <c r="CA324" i="11"/>
  <c r="CA337" i="11"/>
  <c r="CA333" i="11"/>
  <c r="CU329" i="11"/>
  <c r="CQ329" i="11"/>
  <c r="CM329" i="11"/>
  <c r="CF329" i="11"/>
  <c r="CU327" i="11"/>
  <c r="CQ327" i="11"/>
  <c r="CM327" i="11"/>
  <c r="CF327" i="11"/>
  <c r="CP325" i="11"/>
  <c r="CJ324" i="11"/>
  <c r="CA340" i="11"/>
  <c r="CA332" i="11"/>
  <c r="CV329" i="11"/>
  <c r="CR329" i="11"/>
  <c r="CN329" i="11"/>
  <c r="CJ329" i="11"/>
  <c r="CT327" i="11"/>
  <c r="CP327" i="11"/>
  <c r="CL327" i="11"/>
  <c r="CA327" i="11"/>
  <c r="CM325" i="11"/>
  <c r="CA341" i="11"/>
  <c r="CA335" i="11"/>
  <c r="CA331" i="11"/>
  <c r="CS329" i="11"/>
  <c r="CO329" i="11"/>
  <c r="CK329" i="11"/>
  <c r="CW327" i="11"/>
  <c r="CS327" i="11"/>
  <c r="CO327" i="11"/>
  <c r="CK327" i="11"/>
  <c r="CW325" i="11"/>
  <c r="CJ325" i="11"/>
  <c r="CA271" i="11"/>
  <c r="CA265" i="11"/>
  <c r="CA261" i="11"/>
  <c r="CS259" i="11"/>
  <c r="CO259" i="11"/>
  <c r="CK259" i="11"/>
  <c r="CW257" i="11"/>
  <c r="CS257" i="11"/>
  <c r="CO257" i="11"/>
  <c r="CK257" i="11"/>
  <c r="CW255" i="11"/>
  <c r="CJ255" i="11"/>
  <c r="CA272" i="11"/>
  <c r="CA266" i="11"/>
  <c r="CW260" i="11"/>
  <c r="CT259" i="11"/>
  <c r="CP259" i="11"/>
  <c r="CL259" i="11"/>
  <c r="CV257" i="11"/>
  <c r="CR257" i="11"/>
  <c r="CN257" i="11"/>
  <c r="CJ257" i="11"/>
  <c r="CV255" i="11"/>
  <c r="CA254" i="11"/>
  <c r="CA267" i="11"/>
  <c r="CA263" i="11"/>
  <c r="CU259" i="11"/>
  <c r="CQ259" i="11"/>
  <c r="CM259" i="11"/>
  <c r="CF259" i="11"/>
  <c r="CU257" i="11"/>
  <c r="CQ257" i="11"/>
  <c r="CM257" i="11"/>
  <c r="CF257" i="11"/>
  <c r="CP255" i="11"/>
  <c r="CJ254" i="11"/>
  <c r="CA270" i="11"/>
  <c r="CA262" i="11"/>
  <c r="CV259" i="11"/>
  <c r="CR259" i="11"/>
  <c r="CN259" i="11"/>
  <c r="CJ259" i="11"/>
  <c r="CT257" i="11"/>
  <c r="CP257" i="11"/>
  <c r="CL257" i="11"/>
  <c r="CA257" i="11"/>
  <c r="CM255" i="11"/>
  <c r="CA157" i="11"/>
  <c r="CA151" i="11"/>
  <c r="CA147" i="11"/>
  <c r="CS145" i="11"/>
  <c r="CW146" i="11"/>
  <c r="CQ145" i="11"/>
  <c r="CM145" i="11"/>
  <c r="CF145" i="11"/>
  <c r="CU143" i="11"/>
  <c r="CQ143" i="11"/>
  <c r="CM143" i="11"/>
  <c r="CF143" i="11"/>
  <c r="CP141" i="11"/>
  <c r="CJ140" i="11"/>
  <c r="CA152" i="11"/>
  <c r="CV145" i="11"/>
  <c r="CP145" i="11"/>
  <c r="CL145" i="11"/>
  <c r="CV143" i="11"/>
  <c r="CR143" i="11"/>
  <c r="CN143" i="11"/>
  <c r="CJ143" i="11"/>
  <c r="CV141" i="11"/>
  <c r="CA140" i="11"/>
  <c r="CA153" i="11"/>
  <c r="CA149" i="11"/>
  <c r="CU145" i="11"/>
  <c r="CA156" i="11"/>
  <c r="CT145" i="11"/>
  <c r="CO145" i="11"/>
  <c r="CK145" i="11"/>
  <c r="CW143" i="11"/>
  <c r="CS143" i="11"/>
  <c r="CO143" i="11"/>
  <c r="CK143" i="11"/>
  <c r="CW141" i="11"/>
  <c r="CJ141" i="11"/>
  <c r="CA158" i="11"/>
  <c r="CA148" i="11"/>
  <c r="CR145" i="11"/>
  <c r="CN145" i="11"/>
  <c r="CJ145" i="11"/>
  <c r="CT143" i="11"/>
  <c r="CP143" i="11"/>
  <c r="CL143" i="11"/>
  <c r="CA143" i="11"/>
  <c r="CM141" i="11"/>
  <c r="CA88" i="11"/>
  <c r="CJ71" i="11"/>
  <c r="CW71" i="11"/>
  <c r="CK73" i="11"/>
  <c r="CO73" i="11"/>
  <c r="CS73" i="11"/>
  <c r="CW73" i="11"/>
  <c r="CK75" i="11"/>
  <c r="CO75" i="11"/>
  <c r="CS75" i="11"/>
  <c r="CA77" i="11"/>
  <c r="CA81" i="11"/>
  <c r="CA87" i="11"/>
  <c r="CA70" i="11"/>
  <c r="CM71" i="11"/>
  <c r="CA73" i="11"/>
  <c r="CL73" i="11"/>
  <c r="CP73" i="11"/>
  <c r="CT73" i="11"/>
  <c r="CJ75" i="11"/>
  <c r="CN75" i="11"/>
  <c r="CR75" i="11"/>
  <c r="CV75" i="11"/>
  <c r="CA78" i="11"/>
  <c r="CA86" i="11"/>
  <c r="CJ70" i="11"/>
  <c r="CP71" i="11"/>
  <c r="CF73" i="11"/>
  <c r="CM73" i="11"/>
  <c r="CQ73" i="11"/>
  <c r="CU73" i="11"/>
  <c r="CF75" i="11"/>
  <c r="CM75" i="11"/>
  <c r="CQ75" i="11"/>
  <c r="CU75" i="11"/>
  <c r="CA79" i="11"/>
  <c r="CA83" i="11"/>
  <c r="CV71" i="11"/>
  <c r="CJ73" i="11"/>
  <c r="CN73" i="11"/>
  <c r="CR73" i="11"/>
  <c r="CV73" i="11"/>
  <c r="CL75" i="11"/>
  <c r="CP75" i="11"/>
  <c r="CT75" i="11"/>
  <c r="CW76" i="11"/>
  <c r="CA82" i="11"/>
  <c r="EA295" i="11"/>
  <c r="EA289" i="11"/>
  <c r="EA285" i="11"/>
  <c r="ES283" i="11"/>
  <c r="EO283" i="11"/>
  <c r="EK283" i="11"/>
  <c r="EW281" i="11"/>
  <c r="ES281" i="11"/>
  <c r="EO281" i="11"/>
  <c r="EK281" i="11"/>
  <c r="EW279" i="11"/>
  <c r="EJ279" i="11"/>
  <c r="EA296" i="11"/>
  <c r="EA290" i="11"/>
  <c r="EW284" i="11"/>
  <c r="ET283" i="11"/>
  <c r="EP283" i="11"/>
  <c r="EL283" i="11"/>
  <c r="EV281" i="11"/>
  <c r="ER281" i="11"/>
  <c r="EN281" i="11"/>
  <c r="EJ281" i="11"/>
  <c r="EV279" i="11"/>
  <c r="EA278" i="11"/>
  <c r="EA291" i="11"/>
  <c r="EA287" i="11"/>
  <c r="EU283" i="11"/>
  <c r="EQ283" i="11"/>
  <c r="EM283" i="11"/>
  <c r="EF283" i="11"/>
  <c r="EU281" i="11"/>
  <c r="EQ281" i="11"/>
  <c r="EM281" i="11"/>
  <c r="EF281" i="11"/>
  <c r="EP279" i="11"/>
  <c r="EJ278" i="11"/>
  <c r="EA294" i="11"/>
  <c r="EA286" i="11"/>
  <c r="EV283" i="11"/>
  <c r="ER283" i="11"/>
  <c r="EN283" i="11"/>
  <c r="EJ283" i="11"/>
  <c r="ET281" i="11"/>
  <c r="EP281" i="11"/>
  <c r="EL281" i="11"/>
  <c r="EA281" i="11"/>
  <c r="EM279" i="11"/>
  <c r="EA454" i="11"/>
  <c r="EA446" i="11"/>
  <c r="EV443" i="11"/>
  <c r="ER443" i="11"/>
  <c r="EN443" i="11"/>
  <c r="EJ443" i="11"/>
  <c r="ET441" i="11"/>
  <c r="EP441" i="11"/>
  <c r="EL441" i="11"/>
  <c r="EA441" i="11"/>
  <c r="EM439" i="11"/>
  <c r="EA455" i="11"/>
  <c r="EA449" i="11"/>
  <c r="EA445" i="11"/>
  <c r="ES443" i="11"/>
  <c r="EO443" i="11"/>
  <c r="EK443" i="11"/>
  <c r="EW441" i="11"/>
  <c r="ES441" i="11"/>
  <c r="EO441" i="11"/>
  <c r="EK441" i="11"/>
  <c r="EW439" i="11"/>
  <c r="EJ439" i="11"/>
  <c r="EA456" i="11"/>
  <c r="EA450" i="11"/>
  <c r="EW444" i="11"/>
  <c r="ET443" i="11"/>
  <c r="EP443" i="11"/>
  <c r="EL443" i="11"/>
  <c r="EV441" i="11"/>
  <c r="ER441" i="11"/>
  <c r="EN441" i="11"/>
  <c r="EJ441" i="11"/>
  <c r="EV439" i="11"/>
  <c r="EA438" i="11"/>
  <c r="EA451" i="11"/>
  <c r="EA447" i="11"/>
  <c r="EU443" i="11"/>
  <c r="EQ443" i="11"/>
  <c r="EM443" i="11"/>
  <c r="EF443" i="11"/>
  <c r="EU441" i="11"/>
  <c r="EQ441" i="11"/>
  <c r="EM441" i="11"/>
  <c r="EF441" i="11"/>
  <c r="EP439" i="11"/>
  <c r="EJ438" i="11"/>
  <c r="EA363" i="11"/>
  <c r="EV347" i="11"/>
  <c r="EJ349" i="11"/>
  <c r="EN349" i="11"/>
  <c r="ER349" i="11"/>
  <c r="EV349" i="11"/>
  <c r="EL351" i="11"/>
  <c r="EP351" i="11"/>
  <c r="ET351" i="11"/>
  <c r="EW352" i="11"/>
  <c r="EA358" i="11"/>
  <c r="EA364" i="11"/>
  <c r="EJ347" i="11"/>
  <c r="EW347" i="11"/>
  <c r="EK349" i="11"/>
  <c r="EO349" i="11"/>
  <c r="ES349" i="11"/>
  <c r="EW349" i="11"/>
  <c r="EK351" i="11"/>
  <c r="EO351" i="11"/>
  <c r="ES351" i="11"/>
  <c r="EA353" i="11"/>
  <c r="EA357" i="11"/>
  <c r="EA346" i="11"/>
  <c r="EM347" i="11"/>
  <c r="EA349" i="11"/>
  <c r="EL349" i="11"/>
  <c r="EP349" i="11"/>
  <c r="ET349" i="11"/>
  <c r="EJ351" i="11"/>
  <c r="EN351" i="11"/>
  <c r="ER351" i="11"/>
  <c r="EV351" i="11"/>
  <c r="EA354" i="11"/>
  <c r="EA362" i="11"/>
  <c r="EJ346" i="11"/>
  <c r="EP347" i="11"/>
  <c r="EF349" i="11"/>
  <c r="EM349" i="11"/>
  <c r="EQ349" i="11"/>
  <c r="EU349" i="11"/>
  <c r="EF351" i="11"/>
  <c r="EM351" i="11"/>
  <c r="EQ351" i="11"/>
  <c r="EU351" i="11"/>
  <c r="EA355" i="11"/>
  <c r="EA359" i="11"/>
  <c r="EU167" i="11"/>
  <c r="EM167" i="11"/>
  <c r="EU165" i="11"/>
  <c r="EM165" i="11"/>
  <c r="EP163" i="11"/>
  <c r="EA175" i="11"/>
  <c r="EA169" i="11"/>
  <c r="EQ167" i="11"/>
  <c r="EF167" i="11"/>
  <c r="EQ165" i="11"/>
  <c r="EF165" i="11"/>
  <c r="EJ162" i="11"/>
  <c r="EA178" i="11"/>
  <c r="EA170" i="11"/>
  <c r="EV167" i="11"/>
  <c r="ER167" i="11"/>
  <c r="EN167" i="11"/>
  <c r="EJ167" i="11"/>
  <c r="ET165" i="11"/>
  <c r="EP165" i="11"/>
  <c r="EL165" i="11"/>
  <c r="EA165" i="11"/>
  <c r="EM163" i="11"/>
  <c r="EJ163" i="11"/>
  <c r="EK165" i="11"/>
  <c r="ES165" i="11"/>
  <c r="EK167" i="11"/>
  <c r="ES167" i="11"/>
  <c r="EA173" i="11"/>
  <c r="EA180" i="11"/>
  <c r="EA174" i="11"/>
  <c r="EW168" i="11"/>
  <c r="ET167" i="11"/>
  <c r="EP167" i="11"/>
  <c r="EL167" i="11"/>
  <c r="EV165" i="11"/>
  <c r="ER165" i="11"/>
  <c r="EN165" i="11"/>
  <c r="EJ165" i="11"/>
  <c r="EV163" i="11"/>
  <c r="EA162" i="11"/>
  <c r="EW163" i="11"/>
  <c r="EO165" i="11"/>
  <c r="EW165" i="11"/>
  <c r="EO167" i="11"/>
  <c r="EA171" i="11"/>
  <c r="EA179" i="11"/>
  <c r="EA88" i="11"/>
  <c r="EJ70" i="11"/>
  <c r="EP71" i="11"/>
  <c r="EF73" i="11"/>
  <c r="EM73" i="11"/>
  <c r="EQ73" i="11"/>
  <c r="EU73" i="11"/>
  <c r="EF75" i="11"/>
  <c r="EM75" i="11"/>
  <c r="EQ75" i="11"/>
  <c r="EU75" i="11"/>
  <c r="EA79" i="11"/>
  <c r="EA83" i="11"/>
  <c r="EV71" i="11"/>
  <c r="EJ73" i="11"/>
  <c r="EN73" i="11"/>
  <c r="ER73" i="11"/>
  <c r="EV73" i="11"/>
  <c r="EL75" i="11"/>
  <c r="EP75" i="11"/>
  <c r="ET75" i="11"/>
  <c r="EW76" i="11"/>
  <c r="EA82" i="11"/>
  <c r="EJ71" i="11"/>
  <c r="EW71" i="11"/>
  <c r="EK73" i="11"/>
  <c r="EO73" i="11"/>
  <c r="ES73" i="11"/>
  <c r="EW73" i="11"/>
  <c r="EK75" i="11"/>
  <c r="EO75" i="11"/>
  <c r="ES75" i="11"/>
  <c r="EA77" i="11"/>
  <c r="EA81" i="11"/>
  <c r="EA87" i="11"/>
  <c r="EA70" i="11"/>
  <c r="EM71" i="11"/>
  <c r="EA73" i="11"/>
  <c r="EL73" i="11"/>
  <c r="EP73" i="11"/>
  <c r="ET73" i="11"/>
  <c r="EJ75" i="11"/>
  <c r="EN75" i="11"/>
  <c r="ER75" i="11"/>
  <c r="EV75" i="11"/>
  <c r="EA78" i="11"/>
  <c r="EA86" i="11"/>
  <c r="GA291" i="11"/>
  <c r="GA287" i="11"/>
  <c r="GA285" i="11"/>
  <c r="GS283" i="11"/>
  <c r="GO283" i="11"/>
  <c r="GK283" i="11"/>
  <c r="GW281" i="11"/>
  <c r="GS281" i="11"/>
  <c r="GO281" i="11"/>
  <c r="GK281" i="11"/>
  <c r="GW279" i="11"/>
  <c r="GJ279" i="11"/>
  <c r="GA296" i="11"/>
  <c r="GA286" i="11"/>
  <c r="GV283" i="11"/>
  <c r="GR283" i="11"/>
  <c r="GN283" i="11"/>
  <c r="GJ283" i="11"/>
  <c r="GT281" i="11"/>
  <c r="GP281" i="11"/>
  <c r="GL281" i="11"/>
  <c r="GA281" i="11"/>
  <c r="GM279" i="11"/>
  <c r="GA295" i="11"/>
  <c r="GA289" i="11"/>
  <c r="GA294" i="11"/>
  <c r="GU283" i="11"/>
  <c r="GQ283" i="11"/>
  <c r="GM283" i="11"/>
  <c r="GF283" i="11"/>
  <c r="GU281" i="11"/>
  <c r="GQ281" i="11"/>
  <c r="GM281" i="11"/>
  <c r="GF281" i="11"/>
  <c r="GP279" i="11"/>
  <c r="GJ278" i="11"/>
  <c r="GA290" i="11"/>
  <c r="GW284" i="11"/>
  <c r="GT283" i="11"/>
  <c r="GP283" i="11"/>
  <c r="GL283" i="11"/>
  <c r="GV281" i="11"/>
  <c r="GR281" i="11"/>
  <c r="GN281" i="11"/>
  <c r="GJ281" i="11"/>
  <c r="GV279" i="11"/>
  <c r="GA278" i="11"/>
  <c r="GA199" i="11"/>
  <c r="GA195" i="11"/>
  <c r="GU191" i="11"/>
  <c r="GQ191" i="11"/>
  <c r="GM191" i="11"/>
  <c r="GF191" i="11"/>
  <c r="GU189" i="11"/>
  <c r="GQ189" i="11"/>
  <c r="GM189" i="11"/>
  <c r="GF189" i="11"/>
  <c r="GP187" i="11"/>
  <c r="GJ186" i="11"/>
  <c r="GA202" i="11"/>
  <c r="GA194" i="11"/>
  <c r="GV191" i="11"/>
  <c r="GR191" i="11"/>
  <c r="GN191" i="11"/>
  <c r="GJ191" i="11"/>
  <c r="GT189" i="11"/>
  <c r="GP189" i="11"/>
  <c r="GL189" i="11"/>
  <c r="GA189" i="11"/>
  <c r="GM187" i="11"/>
  <c r="GA203" i="11"/>
  <c r="GA197" i="11"/>
  <c r="GA193" i="11"/>
  <c r="GS191" i="11"/>
  <c r="GO191" i="11"/>
  <c r="GK191" i="11"/>
  <c r="GW189" i="11"/>
  <c r="GS189" i="11"/>
  <c r="GO189" i="11"/>
  <c r="GK189" i="11"/>
  <c r="GW187" i="11"/>
  <c r="GJ187" i="11"/>
  <c r="GA204" i="11"/>
  <c r="GA198" i="11"/>
  <c r="GW192" i="11"/>
  <c r="GT191" i="11"/>
  <c r="GP191" i="11"/>
  <c r="GL191" i="11"/>
  <c r="GV189" i="11"/>
  <c r="GR189" i="11"/>
  <c r="GN189" i="11"/>
  <c r="GJ189" i="11"/>
  <c r="GV187" i="11"/>
  <c r="GA186" i="11"/>
  <c r="GA87" i="11"/>
  <c r="GA70" i="11"/>
  <c r="GM71" i="11"/>
  <c r="GA73" i="11"/>
  <c r="GL73" i="11"/>
  <c r="GP73" i="11"/>
  <c r="GT73" i="11"/>
  <c r="GJ75" i="11"/>
  <c r="GN75" i="11"/>
  <c r="GR75" i="11"/>
  <c r="GV75" i="11"/>
  <c r="GA78" i="11"/>
  <c r="GA86" i="11"/>
  <c r="GJ71" i="11"/>
  <c r="GW71" i="11"/>
  <c r="GK73" i="11"/>
  <c r="GO73" i="11"/>
  <c r="GS73" i="11"/>
  <c r="GW73" i="11"/>
  <c r="GK75" i="11"/>
  <c r="GO75" i="11"/>
  <c r="GS75" i="11"/>
  <c r="GA77" i="11"/>
  <c r="GA81" i="11"/>
  <c r="GV71" i="11"/>
  <c r="GJ73" i="11"/>
  <c r="GN73" i="11"/>
  <c r="GR73" i="11"/>
  <c r="GV73" i="11"/>
  <c r="GL75" i="11"/>
  <c r="GP75" i="11"/>
  <c r="GT75" i="11"/>
  <c r="GW76" i="11"/>
  <c r="GA82" i="11"/>
  <c r="GA88" i="11"/>
  <c r="GJ70" i="11"/>
  <c r="GP71" i="11"/>
  <c r="GF73" i="11"/>
  <c r="GM73" i="11"/>
  <c r="GQ73" i="11"/>
  <c r="GU73" i="11"/>
  <c r="GF75" i="11"/>
  <c r="GM75" i="11"/>
  <c r="GQ75" i="11"/>
  <c r="GU75" i="11"/>
  <c r="GA79" i="11"/>
  <c r="GA83" i="11"/>
  <c r="BA387" i="11"/>
  <c r="BA381" i="11"/>
  <c r="BA377" i="11"/>
  <c r="BS375" i="11"/>
  <c r="BA388" i="11"/>
  <c r="BA382" i="11"/>
  <c r="BV375" i="11"/>
  <c r="BO375" i="11"/>
  <c r="BK375" i="11"/>
  <c r="BW373" i="11"/>
  <c r="BS373" i="11"/>
  <c r="BO373" i="11"/>
  <c r="BK373" i="11"/>
  <c r="BW371" i="11"/>
  <c r="BJ371" i="11"/>
  <c r="BW376" i="11"/>
  <c r="BP375" i="11"/>
  <c r="BL375" i="11"/>
  <c r="BV373" i="11"/>
  <c r="BR373" i="11"/>
  <c r="BN373" i="11"/>
  <c r="BJ373" i="11"/>
  <c r="BV371" i="11"/>
  <c r="BA370" i="11"/>
  <c r="BA383" i="11"/>
  <c r="BA379" i="11"/>
  <c r="BU375" i="11"/>
  <c r="BQ375" i="11"/>
  <c r="BA386" i="11"/>
  <c r="BA378" i="11"/>
  <c r="BR375" i="11"/>
  <c r="BM375" i="11"/>
  <c r="BF375" i="11"/>
  <c r="BU373" i="11"/>
  <c r="BQ373" i="11"/>
  <c r="BM373" i="11"/>
  <c r="BF373" i="11"/>
  <c r="BP371" i="11"/>
  <c r="BJ370" i="11"/>
  <c r="BT375" i="11"/>
  <c r="BN375" i="11"/>
  <c r="BJ375" i="11"/>
  <c r="BT373" i="11"/>
  <c r="BP373" i="11"/>
  <c r="BL373" i="11"/>
  <c r="BA373" i="11"/>
  <c r="BM371" i="11"/>
  <c r="BA341" i="11"/>
  <c r="BA335" i="11"/>
  <c r="BA331" i="11"/>
  <c r="BS329" i="11"/>
  <c r="BO329" i="11"/>
  <c r="BK329" i="11"/>
  <c r="BW327" i="11"/>
  <c r="BS327" i="11"/>
  <c r="BO327" i="11"/>
  <c r="BK327" i="11"/>
  <c r="BW325" i="11"/>
  <c r="BJ325" i="11"/>
  <c r="BA342" i="11"/>
  <c r="BA336" i="11"/>
  <c r="BW330" i="11"/>
  <c r="BT329" i="11"/>
  <c r="BP329" i="11"/>
  <c r="BL329" i="11"/>
  <c r="BV327" i="11"/>
  <c r="BR327" i="11"/>
  <c r="BN327" i="11"/>
  <c r="BJ327" i="11"/>
  <c r="BV325" i="11"/>
  <c r="BA324" i="11"/>
  <c r="BA337" i="11"/>
  <c r="BA333" i="11"/>
  <c r="BU329" i="11"/>
  <c r="BQ329" i="11"/>
  <c r="BM329" i="11"/>
  <c r="BF329" i="11"/>
  <c r="BU327" i="11"/>
  <c r="BQ327" i="11"/>
  <c r="BM327" i="11"/>
  <c r="BF327" i="11"/>
  <c r="BP325" i="11"/>
  <c r="BJ324" i="11"/>
  <c r="BA340" i="11"/>
  <c r="BA332" i="11"/>
  <c r="BV329" i="11"/>
  <c r="BR329" i="11"/>
  <c r="BN329" i="11"/>
  <c r="BJ329" i="11"/>
  <c r="BT327" i="11"/>
  <c r="BP327" i="11"/>
  <c r="BL327" i="11"/>
  <c r="BA327" i="11"/>
  <c r="BM325" i="11"/>
  <c r="BT259" i="11"/>
  <c r="BL259" i="11"/>
  <c r="BT257" i="11"/>
  <c r="BL257" i="11"/>
  <c r="BM255" i="11"/>
  <c r="BA270" i="11"/>
  <c r="BW260" i="11"/>
  <c r="BP259" i="11"/>
  <c r="BP257" i="11"/>
  <c r="BA257" i="11"/>
  <c r="BA254" i="11"/>
  <c r="BA271" i="11"/>
  <c r="BA265" i="11"/>
  <c r="BA261" i="11"/>
  <c r="BS259" i="11"/>
  <c r="BO259" i="11"/>
  <c r="BK259" i="11"/>
  <c r="BW257" i="11"/>
  <c r="BS257" i="11"/>
  <c r="BO257" i="11"/>
  <c r="BK257" i="11"/>
  <c r="BW255" i="11"/>
  <c r="BJ255" i="11"/>
  <c r="BJ257" i="11"/>
  <c r="BR257" i="11"/>
  <c r="BJ259" i="11"/>
  <c r="BR259" i="11"/>
  <c r="BA262" i="11"/>
  <c r="BA272" i="11"/>
  <c r="BA267" i="11"/>
  <c r="BA263" i="11"/>
  <c r="BU259" i="11"/>
  <c r="BQ259" i="11"/>
  <c r="BM259" i="11"/>
  <c r="BF259" i="11"/>
  <c r="BU257" i="11"/>
  <c r="BQ257" i="11"/>
  <c r="BM257" i="11"/>
  <c r="BF257" i="11"/>
  <c r="BP255" i="11"/>
  <c r="BJ254" i="11"/>
  <c r="BV255" i="11"/>
  <c r="BN257" i="11"/>
  <c r="BV257" i="11"/>
  <c r="BN259" i="11"/>
  <c r="BV259" i="11"/>
  <c r="BA266" i="11"/>
  <c r="BA313" i="11"/>
  <c r="BJ300" i="11"/>
  <c r="BF303" i="11"/>
  <c r="BQ303" i="11"/>
  <c r="BF305" i="11"/>
  <c r="BQ305" i="11"/>
  <c r="BA307" i="11"/>
  <c r="BA318" i="11"/>
  <c r="BA312" i="11"/>
  <c r="BW306" i="11"/>
  <c r="BT305" i="11"/>
  <c r="BP305" i="11"/>
  <c r="BL305" i="11"/>
  <c r="BV303" i="11"/>
  <c r="BR303" i="11"/>
  <c r="BN303" i="11"/>
  <c r="BJ303" i="11"/>
  <c r="BV301" i="11"/>
  <c r="BA300" i="11"/>
  <c r="BW301" i="11"/>
  <c r="BO303" i="11"/>
  <c r="BW303" i="11"/>
  <c r="BO305" i="11"/>
  <c r="BA309" i="11"/>
  <c r="BA317" i="11"/>
  <c r="BP301" i="11"/>
  <c r="BM303" i="11"/>
  <c r="BU303" i="11"/>
  <c r="BM305" i="11"/>
  <c r="BU305" i="11"/>
  <c r="BA316" i="11"/>
  <c r="BA308" i="11"/>
  <c r="BV305" i="11"/>
  <c r="BR305" i="11"/>
  <c r="BN305" i="11"/>
  <c r="BJ305" i="11"/>
  <c r="BT303" i="11"/>
  <c r="BP303" i="11"/>
  <c r="BL303" i="11"/>
  <c r="BA303" i="11"/>
  <c r="BM301" i="11"/>
  <c r="BJ301" i="11"/>
  <c r="BK303" i="11"/>
  <c r="BS303" i="11"/>
  <c r="BK305" i="11"/>
  <c r="BS305" i="11"/>
  <c r="BA311" i="11"/>
  <c r="BA45" i="11"/>
  <c r="BA39" i="11"/>
  <c r="BW33" i="11"/>
  <c r="BT32" i="11"/>
  <c r="BP32" i="11"/>
  <c r="BL32" i="11"/>
  <c r="BV30" i="11"/>
  <c r="BR30" i="11"/>
  <c r="BN30" i="11"/>
  <c r="BJ30" i="11"/>
  <c r="BV28" i="11"/>
  <c r="BA27" i="11"/>
  <c r="BA40" i="11"/>
  <c r="BA36" i="11"/>
  <c r="BU32" i="11"/>
  <c r="BQ32" i="11"/>
  <c r="BM32" i="11"/>
  <c r="BF32" i="11"/>
  <c r="BU30" i="11"/>
  <c r="BQ30" i="11"/>
  <c r="BM30" i="11"/>
  <c r="BF30" i="11"/>
  <c r="BP28" i="11"/>
  <c r="BJ27" i="11"/>
  <c r="BA43" i="11"/>
  <c r="BA35" i="11"/>
  <c r="BV32" i="11"/>
  <c r="BR32" i="11"/>
  <c r="BN32" i="11"/>
  <c r="BJ32" i="11"/>
  <c r="BT30" i="11"/>
  <c r="BP30" i="11"/>
  <c r="BL30" i="11"/>
  <c r="BA30" i="11"/>
  <c r="BM28" i="11"/>
  <c r="BA44" i="11"/>
  <c r="BA38" i="11"/>
  <c r="BA34" i="11"/>
  <c r="BS32" i="11"/>
  <c r="BO32" i="11"/>
  <c r="BK32" i="11"/>
  <c r="BW30" i="11"/>
  <c r="BS30" i="11"/>
  <c r="BO30" i="11"/>
  <c r="BK30" i="11"/>
  <c r="BW28" i="11"/>
  <c r="BJ28" i="11"/>
  <c r="HA340" i="11"/>
  <c r="HA332" i="11"/>
  <c r="HV329" i="11"/>
  <c r="HR329" i="11"/>
  <c r="HN329" i="11"/>
  <c r="HJ329" i="11"/>
  <c r="HT327" i="11"/>
  <c r="HP327" i="11"/>
  <c r="HL327" i="11"/>
  <c r="HA327" i="11"/>
  <c r="HM325" i="11"/>
  <c r="HA341" i="11"/>
  <c r="HA335" i="11"/>
  <c r="HA331" i="11"/>
  <c r="HS329" i="11"/>
  <c r="HO329" i="11"/>
  <c r="HK329" i="11"/>
  <c r="HW327" i="11"/>
  <c r="HS327" i="11"/>
  <c r="HO327" i="11"/>
  <c r="HK327" i="11"/>
  <c r="HW325" i="11"/>
  <c r="HJ325" i="11"/>
  <c r="HA342" i="11"/>
  <c r="HA336" i="11"/>
  <c r="HW330" i="11"/>
  <c r="HT329" i="11"/>
  <c r="HP329" i="11"/>
  <c r="HL329" i="11"/>
  <c r="HV327" i="11"/>
  <c r="HR327" i="11"/>
  <c r="HN327" i="11"/>
  <c r="HJ327" i="11"/>
  <c r="HV325" i="11"/>
  <c r="HA324" i="11"/>
  <c r="HA337" i="11"/>
  <c r="HA333" i="11"/>
  <c r="HU329" i="11"/>
  <c r="HQ329" i="11"/>
  <c r="HM329" i="11"/>
  <c r="HF329" i="11"/>
  <c r="HU327" i="11"/>
  <c r="HQ327" i="11"/>
  <c r="HM327" i="11"/>
  <c r="HF327" i="11"/>
  <c r="HP325" i="11"/>
  <c r="HJ324" i="11"/>
  <c r="HA271" i="11"/>
  <c r="HA265" i="11"/>
  <c r="HA261" i="11"/>
  <c r="HS259" i="11"/>
  <c r="HO259" i="11"/>
  <c r="HK259" i="11"/>
  <c r="HW257" i="11"/>
  <c r="HS257" i="11"/>
  <c r="HO257" i="11"/>
  <c r="HK257" i="11"/>
  <c r="HW255" i="11"/>
  <c r="HJ255" i="11"/>
  <c r="HA272" i="11"/>
  <c r="HA266" i="11"/>
  <c r="HW260" i="11"/>
  <c r="HT259" i="11"/>
  <c r="HP259" i="11"/>
  <c r="HL259" i="11"/>
  <c r="HV257" i="11"/>
  <c r="HR257" i="11"/>
  <c r="HN257" i="11"/>
  <c r="HJ257" i="11"/>
  <c r="HV255" i="11"/>
  <c r="HA254" i="11"/>
  <c r="HA267" i="11"/>
  <c r="HA263" i="11"/>
  <c r="HU259" i="11"/>
  <c r="HQ259" i="11"/>
  <c r="HM259" i="11"/>
  <c r="HF259" i="11"/>
  <c r="HU257" i="11"/>
  <c r="HQ257" i="11"/>
  <c r="HM257" i="11"/>
  <c r="HF257" i="11"/>
  <c r="HP255" i="11"/>
  <c r="HJ254" i="11"/>
  <c r="HA270" i="11"/>
  <c r="HA262" i="11"/>
  <c r="HV259" i="11"/>
  <c r="HR259" i="11"/>
  <c r="HN259" i="11"/>
  <c r="HJ259" i="11"/>
  <c r="HT257" i="11"/>
  <c r="HP257" i="11"/>
  <c r="HL257" i="11"/>
  <c r="HA257" i="11"/>
  <c r="HM255" i="11"/>
  <c r="HA111" i="11"/>
  <c r="HA105" i="11"/>
  <c r="HA101" i="11"/>
  <c r="HS99" i="11"/>
  <c r="HO99" i="11"/>
  <c r="HK99" i="11"/>
  <c r="HW97" i="11"/>
  <c r="HS97" i="11"/>
  <c r="HO97" i="11"/>
  <c r="HK97" i="11"/>
  <c r="HW95" i="11"/>
  <c r="HJ95" i="11"/>
  <c r="HA112" i="11"/>
  <c r="HA106" i="11"/>
  <c r="HW100" i="11"/>
  <c r="HT99" i="11"/>
  <c r="HP99" i="11"/>
  <c r="HL99" i="11"/>
  <c r="HV97" i="11"/>
  <c r="HR97" i="11"/>
  <c r="HN97" i="11"/>
  <c r="HJ97" i="11"/>
  <c r="HV95" i="11"/>
  <c r="HA94" i="11"/>
  <c r="HA107" i="11"/>
  <c r="HA103" i="11"/>
  <c r="HU99" i="11"/>
  <c r="HQ99" i="11"/>
  <c r="HM99" i="11"/>
  <c r="HF99" i="11"/>
  <c r="HU97" i="11"/>
  <c r="HQ97" i="11"/>
  <c r="HM97" i="11"/>
  <c r="HF97" i="11"/>
  <c r="HP95" i="11"/>
  <c r="HJ94" i="11"/>
  <c r="HA110" i="11"/>
  <c r="HA102" i="11"/>
  <c r="HV99" i="11"/>
  <c r="HR99" i="11"/>
  <c r="HN99" i="11"/>
  <c r="HJ99" i="11"/>
  <c r="HT97" i="11"/>
  <c r="HP97" i="11"/>
  <c r="HL97" i="11"/>
  <c r="HA97" i="11"/>
  <c r="HM95" i="11"/>
  <c r="HA61" i="11"/>
  <c r="HA57" i="11"/>
  <c r="HU53" i="11"/>
  <c r="HQ53" i="11"/>
  <c r="HM53" i="11"/>
  <c r="HF53" i="11"/>
  <c r="HU51" i="11"/>
  <c r="HQ51" i="11"/>
  <c r="HM51" i="11"/>
  <c r="HF51" i="11"/>
  <c r="HP49" i="11"/>
  <c r="HJ48" i="11"/>
  <c r="HA64" i="11"/>
  <c r="HA56" i="11"/>
  <c r="HV53" i="11"/>
  <c r="HR53" i="11"/>
  <c r="HN53" i="11"/>
  <c r="HJ53" i="11"/>
  <c r="HT51" i="11"/>
  <c r="HP51" i="11"/>
  <c r="HL51" i="11"/>
  <c r="HA51" i="11"/>
  <c r="HM49" i="11"/>
  <c r="HA65" i="11"/>
  <c r="HA59" i="11"/>
  <c r="HA55" i="11"/>
  <c r="HS53" i="11"/>
  <c r="HO53" i="11"/>
  <c r="HK53" i="11"/>
  <c r="HW51" i="11"/>
  <c r="HS51" i="11"/>
  <c r="HO51" i="11"/>
  <c r="HK51" i="11"/>
  <c r="HW49" i="11"/>
  <c r="HJ49" i="11"/>
  <c r="HA66" i="11"/>
  <c r="HA60" i="11"/>
  <c r="HW54" i="11"/>
  <c r="HT53" i="11"/>
  <c r="HP53" i="11"/>
  <c r="HL53" i="11"/>
  <c r="HV51" i="11"/>
  <c r="HR51" i="11"/>
  <c r="HN51" i="11"/>
  <c r="HJ51" i="11"/>
  <c r="HV49" i="11"/>
  <c r="HA48" i="11"/>
  <c r="DA386" i="11"/>
  <c r="DA378" i="11"/>
  <c r="DV375" i="11"/>
  <c r="DR375" i="11"/>
  <c r="DA381" i="11"/>
  <c r="DS375" i="11"/>
  <c r="DN375" i="11"/>
  <c r="DJ375" i="11"/>
  <c r="DT373" i="11"/>
  <c r="DP373" i="11"/>
  <c r="DL373" i="11"/>
  <c r="DA373" i="11"/>
  <c r="DM371" i="11"/>
  <c r="DA383" i="11"/>
  <c r="DU375" i="11"/>
  <c r="DO375" i="11"/>
  <c r="DK375" i="11"/>
  <c r="DW373" i="11"/>
  <c r="DS373" i="11"/>
  <c r="DO373" i="11"/>
  <c r="DK373" i="11"/>
  <c r="DW371" i="11"/>
  <c r="DJ371" i="11"/>
  <c r="DA388" i="11"/>
  <c r="DA382" i="11"/>
  <c r="DW376" i="11"/>
  <c r="DT375" i="11"/>
  <c r="DA387" i="11"/>
  <c r="DA379" i="11"/>
  <c r="DP375" i="11"/>
  <c r="DL375" i="11"/>
  <c r="DV373" i="11"/>
  <c r="DR373" i="11"/>
  <c r="DN373" i="11"/>
  <c r="DJ373" i="11"/>
  <c r="DV371" i="11"/>
  <c r="DA370" i="11"/>
  <c r="DA377" i="11"/>
  <c r="DQ375" i="11"/>
  <c r="DM375" i="11"/>
  <c r="DF375" i="11"/>
  <c r="DU373" i="11"/>
  <c r="DQ373" i="11"/>
  <c r="DM373" i="11"/>
  <c r="DF373" i="11"/>
  <c r="DP371" i="11"/>
  <c r="DJ370" i="11"/>
  <c r="DA340" i="11"/>
  <c r="DA332" i="11"/>
  <c r="DV329" i="11"/>
  <c r="DR329" i="11"/>
  <c r="DN329" i="11"/>
  <c r="DJ329" i="11"/>
  <c r="DT327" i="11"/>
  <c r="DP327" i="11"/>
  <c r="DL327" i="11"/>
  <c r="DA327" i="11"/>
  <c r="DM325" i="11"/>
  <c r="DA341" i="11"/>
  <c r="DA335" i="11"/>
  <c r="DA331" i="11"/>
  <c r="DS329" i="11"/>
  <c r="DO329" i="11"/>
  <c r="DK329" i="11"/>
  <c r="DW327" i="11"/>
  <c r="DS327" i="11"/>
  <c r="DO327" i="11"/>
  <c r="DK327" i="11"/>
  <c r="DW325" i="11"/>
  <c r="DJ325" i="11"/>
  <c r="DA342" i="11"/>
  <c r="DA336" i="11"/>
  <c r="DW330" i="11"/>
  <c r="DT329" i="11"/>
  <c r="DP329" i="11"/>
  <c r="DL329" i="11"/>
  <c r="DV327" i="11"/>
  <c r="DR327" i="11"/>
  <c r="DN327" i="11"/>
  <c r="DJ327" i="11"/>
  <c r="DV325" i="11"/>
  <c r="DA324" i="11"/>
  <c r="DA337" i="11"/>
  <c r="DA333" i="11"/>
  <c r="DU329" i="11"/>
  <c r="DQ329" i="11"/>
  <c r="DM329" i="11"/>
  <c r="DF329" i="11"/>
  <c r="DU327" i="11"/>
  <c r="DQ327" i="11"/>
  <c r="DM327" i="11"/>
  <c r="DF327" i="11"/>
  <c r="DP325" i="11"/>
  <c r="DJ324" i="11"/>
  <c r="DA295" i="11"/>
  <c r="DA289" i="11"/>
  <c r="DA285" i="11"/>
  <c r="DW284" i="11"/>
  <c r="DT283" i="11"/>
  <c r="DP283" i="11"/>
  <c r="DL283" i="11"/>
  <c r="DV281" i="11"/>
  <c r="DR281" i="11"/>
  <c r="DN281" i="11"/>
  <c r="DJ281" i="11"/>
  <c r="DV279" i="11"/>
  <c r="DA278" i="11"/>
  <c r="DA290" i="11"/>
  <c r="DU283" i="11"/>
  <c r="DQ283" i="11"/>
  <c r="DM283" i="11"/>
  <c r="DF283" i="11"/>
  <c r="DU281" i="11"/>
  <c r="DQ281" i="11"/>
  <c r="DM281" i="11"/>
  <c r="DF281" i="11"/>
  <c r="DP279" i="11"/>
  <c r="DJ278" i="11"/>
  <c r="DA291" i="11"/>
  <c r="DA287" i="11"/>
  <c r="DA294" i="11"/>
  <c r="DV283" i="11"/>
  <c r="DR283" i="11"/>
  <c r="DN283" i="11"/>
  <c r="DJ283" i="11"/>
  <c r="DT281" i="11"/>
  <c r="DP281" i="11"/>
  <c r="DL281" i="11"/>
  <c r="DA281" i="11"/>
  <c r="DM279" i="11"/>
  <c r="DA296" i="11"/>
  <c r="DA286" i="11"/>
  <c r="DS283" i="11"/>
  <c r="DO283" i="11"/>
  <c r="DK283" i="11"/>
  <c r="DW281" i="11"/>
  <c r="DS281" i="11"/>
  <c r="DO281" i="11"/>
  <c r="DK281" i="11"/>
  <c r="DW279" i="11"/>
  <c r="DJ279" i="11"/>
  <c r="DU165" i="11"/>
  <c r="DM165" i="11"/>
  <c r="DP163" i="11"/>
  <c r="DQ165" i="11"/>
  <c r="DF165" i="11"/>
  <c r="DJ162" i="11"/>
  <c r="DA178" i="11"/>
  <c r="DA170" i="11"/>
  <c r="DV167" i="11"/>
  <c r="DR167" i="11"/>
  <c r="DN167" i="11"/>
  <c r="DJ167" i="11"/>
  <c r="DT165" i="11"/>
  <c r="DP165" i="11"/>
  <c r="DL165" i="11"/>
  <c r="DA165" i="11"/>
  <c r="DM163" i="11"/>
  <c r="DJ163" i="11"/>
  <c r="DK165" i="11"/>
  <c r="DS165" i="11"/>
  <c r="DK167" i="11"/>
  <c r="DS167" i="11"/>
  <c r="DA173" i="11"/>
  <c r="DM167" i="11"/>
  <c r="DU167" i="11"/>
  <c r="DA175" i="11"/>
  <c r="DA180" i="11"/>
  <c r="DA174" i="11"/>
  <c r="DW168" i="11"/>
  <c r="DT167" i="11"/>
  <c r="DP167" i="11"/>
  <c r="DL167" i="11"/>
  <c r="DV165" i="11"/>
  <c r="DR165" i="11"/>
  <c r="DN165" i="11"/>
  <c r="DJ165" i="11"/>
  <c r="DV163" i="11"/>
  <c r="DA162" i="11"/>
  <c r="DW163" i="11"/>
  <c r="DO165" i="11"/>
  <c r="DW165" i="11"/>
  <c r="DO167" i="11"/>
  <c r="DA171" i="11"/>
  <c r="DA179" i="11"/>
  <c r="DF167" i="11"/>
  <c r="DQ167" i="11"/>
  <c r="DA169" i="11"/>
  <c r="DA88" i="11"/>
  <c r="DJ71" i="11"/>
  <c r="DW71" i="11"/>
  <c r="DK73" i="11"/>
  <c r="DO73" i="11"/>
  <c r="DS73" i="11"/>
  <c r="DW73" i="11"/>
  <c r="DK75" i="11"/>
  <c r="DO75" i="11"/>
  <c r="DS75" i="11"/>
  <c r="DA77" i="11"/>
  <c r="DA81" i="11"/>
  <c r="DA87" i="11"/>
  <c r="DV71" i="11"/>
  <c r="DJ73" i="11"/>
  <c r="DN73" i="11"/>
  <c r="DR73" i="11"/>
  <c r="DV73" i="11"/>
  <c r="DL75" i="11"/>
  <c r="DP75" i="11"/>
  <c r="DT75" i="11"/>
  <c r="DW76" i="11"/>
  <c r="DA82" i="11"/>
  <c r="DJ70" i="11"/>
  <c r="DP71" i="11"/>
  <c r="DF73" i="11"/>
  <c r="DM73" i="11"/>
  <c r="DQ73" i="11"/>
  <c r="DU73" i="11"/>
  <c r="DF75" i="11"/>
  <c r="DM75" i="11"/>
  <c r="DQ75" i="11"/>
  <c r="DU75" i="11"/>
  <c r="DA79" i="11"/>
  <c r="DA83" i="11"/>
  <c r="DA70" i="11"/>
  <c r="DM71" i="11"/>
  <c r="DA73" i="11"/>
  <c r="DL73" i="11"/>
  <c r="DP73" i="11"/>
  <c r="DT73" i="11"/>
  <c r="DJ75" i="11"/>
  <c r="DN75" i="11"/>
  <c r="DR75" i="11"/>
  <c r="DV75" i="11"/>
  <c r="DA78" i="11"/>
  <c r="DA86" i="11"/>
  <c r="FA388" i="11"/>
  <c r="FA382" i="11"/>
  <c r="FW376" i="11"/>
  <c r="FT375" i="11"/>
  <c r="FA387" i="11"/>
  <c r="FA379" i="11"/>
  <c r="FP375" i="11"/>
  <c r="FL375" i="11"/>
  <c r="FV373" i="11"/>
  <c r="FR373" i="11"/>
  <c r="FN373" i="11"/>
  <c r="FJ373" i="11"/>
  <c r="FV371" i="11"/>
  <c r="FA370" i="11"/>
  <c r="FA377" i="11"/>
  <c r="FQ375" i="11"/>
  <c r="FM375" i="11"/>
  <c r="FF375" i="11"/>
  <c r="FU373" i="11"/>
  <c r="FQ373" i="11"/>
  <c r="FM373" i="11"/>
  <c r="FF373" i="11"/>
  <c r="FP371" i="11"/>
  <c r="FJ370" i="11"/>
  <c r="FA386" i="11"/>
  <c r="FA378" i="11"/>
  <c r="FV375" i="11"/>
  <c r="FR375" i="11"/>
  <c r="FA381" i="11"/>
  <c r="FS375" i="11"/>
  <c r="FN375" i="11"/>
  <c r="FJ375" i="11"/>
  <c r="FT373" i="11"/>
  <c r="FP373" i="11"/>
  <c r="FL373" i="11"/>
  <c r="FA373" i="11"/>
  <c r="FM371" i="11"/>
  <c r="FA383" i="11"/>
  <c r="FU375" i="11"/>
  <c r="FO375" i="11"/>
  <c r="FK375" i="11"/>
  <c r="FW373" i="11"/>
  <c r="FS373" i="11"/>
  <c r="FO373" i="11"/>
  <c r="FK373" i="11"/>
  <c r="FW371" i="11"/>
  <c r="FJ371" i="11"/>
  <c r="FA342" i="11"/>
  <c r="FA336" i="11"/>
  <c r="FW330" i="11"/>
  <c r="FT329" i="11"/>
  <c r="FP329" i="11"/>
  <c r="FL329" i="11"/>
  <c r="FV327" i="11"/>
  <c r="FR327" i="11"/>
  <c r="FN327" i="11"/>
  <c r="FJ327" i="11"/>
  <c r="FV325" i="11"/>
  <c r="FA324" i="11"/>
  <c r="FA337" i="11"/>
  <c r="FA333" i="11"/>
  <c r="FU329" i="11"/>
  <c r="FQ329" i="11"/>
  <c r="FM329" i="11"/>
  <c r="FF329" i="11"/>
  <c r="FU327" i="11"/>
  <c r="FQ327" i="11"/>
  <c r="FM327" i="11"/>
  <c r="FF327" i="11"/>
  <c r="FP325" i="11"/>
  <c r="FJ324" i="11"/>
  <c r="FA340" i="11"/>
  <c r="FA332" i="11"/>
  <c r="FV329" i="11"/>
  <c r="FR329" i="11"/>
  <c r="FN329" i="11"/>
  <c r="FJ329" i="11"/>
  <c r="FT327" i="11"/>
  <c r="FP327" i="11"/>
  <c r="FL327" i="11"/>
  <c r="FA327" i="11"/>
  <c r="FM325" i="11"/>
  <c r="FA341" i="11"/>
  <c r="FA335" i="11"/>
  <c r="FA331" i="11"/>
  <c r="FS329" i="11"/>
  <c r="FO329" i="11"/>
  <c r="FK329" i="11"/>
  <c r="FW327" i="11"/>
  <c r="FS327" i="11"/>
  <c r="FO327" i="11"/>
  <c r="FK327" i="11"/>
  <c r="FW325" i="11"/>
  <c r="FJ325" i="11"/>
  <c r="FA267" i="11"/>
  <c r="FA263" i="11"/>
  <c r="FU259" i="11"/>
  <c r="FQ259" i="11"/>
  <c r="FM259" i="11"/>
  <c r="FF259" i="11"/>
  <c r="FU257" i="11"/>
  <c r="FQ257" i="11"/>
  <c r="FM257" i="11"/>
  <c r="FF257" i="11"/>
  <c r="FP255" i="11"/>
  <c r="FJ254" i="11"/>
  <c r="FA270" i="11"/>
  <c r="FA262" i="11"/>
  <c r="FV259" i="11"/>
  <c r="FR259" i="11"/>
  <c r="FN259" i="11"/>
  <c r="FJ259" i="11"/>
  <c r="FT257" i="11"/>
  <c r="FP257" i="11"/>
  <c r="FL257" i="11"/>
  <c r="FA257" i="11"/>
  <c r="FM255" i="11"/>
  <c r="FA271" i="11"/>
  <c r="FA265" i="11"/>
  <c r="FA261" i="11"/>
  <c r="FS259" i="11"/>
  <c r="FO259" i="11"/>
  <c r="FK259" i="11"/>
  <c r="FW257" i="11"/>
  <c r="FS257" i="11"/>
  <c r="FO257" i="11"/>
  <c r="FK257" i="11"/>
  <c r="FW255" i="11"/>
  <c r="FJ255" i="11"/>
  <c r="FA272" i="11"/>
  <c r="FA266" i="11"/>
  <c r="FW260" i="11"/>
  <c r="FT259" i="11"/>
  <c r="FP259" i="11"/>
  <c r="FL259" i="11"/>
  <c r="FV257" i="11"/>
  <c r="FR257" i="11"/>
  <c r="FN257" i="11"/>
  <c r="FJ257" i="11"/>
  <c r="FV255" i="11"/>
  <c r="FA254" i="11"/>
  <c r="FA112" i="11"/>
  <c r="FA106" i="11"/>
  <c r="FW100" i="11"/>
  <c r="FT99" i="11"/>
  <c r="FP99" i="11"/>
  <c r="FL99" i="11"/>
  <c r="FV97" i="11"/>
  <c r="FR97" i="11"/>
  <c r="FN97" i="11"/>
  <c r="FJ97" i="11"/>
  <c r="FV95" i="11"/>
  <c r="FA94" i="11"/>
  <c r="FA107" i="11"/>
  <c r="FA103" i="11"/>
  <c r="FU99" i="11"/>
  <c r="FQ99" i="11"/>
  <c r="FM99" i="11"/>
  <c r="FF99" i="11"/>
  <c r="FU97" i="11"/>
  <c r="FQ97" i="11"/>
  <c r="FM97" i="11"/>
  <c r="FF97" i="11"/>
  <c r="FP95" i="11"/>
  <c r="FJ94" i="11"/>
  <c r="FA110" i="11"/>
  <c r="FA102" i="11"/>
  <c r="FV99" i="11"/>
  <c r="FR99" i="11"/>
  <c r="FN99" i="11"/>
  <c r="FJ99" i="11"/>
  <c r="FT97" i="11"/>
  <c r="FP97" i="11"/>
  <c r="FL97" i="11"/>
  <c r="FA97" i="11"/>
  <c r="FM95" i="11"/>
  <c r="FA111" i="11"/>
  <c r="FA105" i="11"/>
  <c r="FA101" i="11"/>
  <c r="FS99" i="11"/>
  <c r="FO99" i="11"/>
  <c r="FK99" i="11"/>
  <c r="FW97" i="11"/>
  <c r="FS97" i="11"/>
  <c r="FO97" i="11"/>
  <c r="FK97" i="11"/>
  <c r="FW95" i="11"/>
  <c r="FJ95" i="11"/>
  <c r="FA44" i="11"/>
  <c r="FA27" i="11"/>
  <c r="FM28" i="11"/>
  <c r="FA30" i="11"/>
  <c r="FL30" i="11"/>
  <c r="FP30" i="11"/>
  <c r="FT30" i="11"/>
  <c r="FJ32" i="11"/>
  <c r="FN32" i="11"/>
  <c r="FR32" i="11"/>
  <c r="FV32" i="11"/>
  <c r="FA35" i="11"/>
  <c r="FA43" i="11"/>
  <c r="FJ27" i="11"/>
  <c r="FP28" i="11"/>
  <c r="FF30" i="11"/>
  <c r="FM30" i="11"/>
  <c r="FQ30" i="11"/>
  <c r="FU30" i="11"/>
  <c r="FF32" i="11"/>
  <c r="FM32" i="11"/>
  <c r="FQ32" i="11"/>
  <c r="FU32" i="11"/>
  <c r="FA36" i="11"/>
  <c r="FA40" i="11"/>
  <c r="FV28" i="11"/>
  <c r="FJ30" i="11"/>
  <c r="FN30" i="11"/>
  <c r="FR30" i="11"/>
  <c r="FV30" i="11"/>
  <c r="FL32" i="11"/>
  <c r="FP32" i="11"/>
  <c r="FT32" i="11"/>
  <c r="FW33" i="11"/>
  <c r="FA39" i="11"/>
  <c r="FA45" i="11"/>
  <c r="FJ28" i="11"/>
  <c r="FW28" i="11"/>
  <c r="FK30" i="11"/>
  <c r="FO30" i="11"/>
  <c r="FS30" i="11"/>
  <c r="FW30" i="11"/>
  <c r="FK32" i="11"/>
  <c r="FO32" i="11"/>
  <c r="FS32" i="11"/>
  <c r="FA34" i="11"/>
  <c r="FA38" i="11"/>
  <c r="FA295" i="11"/>
  <c r="FA289" i="11"/>
  <c r="FA294" i="11"/>
  <c r="FU283" i="11"/>
  <c r="FQ283" i="11"/>
  <c r="FM283" i="11"/>
  <c r="FF283" i="11"/>
  <c r="FU281" i="11"/>
  <c r="FQ281" i="11"/>
  <c r="FM281" i="11"/>
  <c r="FF281" i="11"/>
  <c r="FP279" i="11"/>
  <c r="FJ278" i="11"/>
  <c r="FA290" i="11"/>
  <c r="FW284" i="11"/>
  <c r="FT283" i="11"/>
  <c r="FP283" i="11"/>
  <c r="FL283" i="11"/>
  <c r="FV281" i="11"/>
  <c r="FR281" i="11"/>
  <c r="FN281" i="11"/>
  <c r="FJ281" i="11"/>
  <c r="FV279" i="11"/>
  <c r="FA278" i="11"/>
  <c r="FA291" i="11"/>
  <c r="FA287" i="11"/>
  <c r="FA285" i="11"/>
  <c r="FS283" i="11"/>
  <c r="FO283" i="11"/>
  <c r="FK283" i="11"/>
  <c r="FW281" i="11"/>
  <c r="FS281" i="11"/>
  <c r="FO281" i="11"/>
  <c r="FK281" i="11"/>
  <c r="FW279" i="11"/>
  <c r="FJ279" i="11"/>
  <c r="FA296" i="11"/>
  <c r="FA286" i="11"/>
  <c r="FV283" i="11"/>
  <c r="FR283" i="11"/>
  <c r="FN283" i="11"/>
  <c r="FJ283" i="11"/>
  <c r="FT281" i="11"/>
  <c r="FP281" i="11"/>
  <c r="FL281" i="11"/>
  <c r="FA281" i="11"/>
  <c r="FM279" i="11"/>
  <c r="AA250" i="11"/>
  <c r="AA244" i="11"/>
  <c r="AW238" i="11"/>
  <c r="AT237" i="11"/>
  <c r="AP237" i="11"/>
  <c r="AL237" i="11"/>
  <c r="AV235" i="11"/>
  <c r="AR235" i="11"/>
  <c r="AN235" i="11"/>
  <c r="AJ235" i="11"/>
  <c r="AV233" i="11"/>
  <c r="AA232" i="11"/>
  <c r="AA245" i="11"/>
  <c r="AA241" i="11"/>
  <c r="AU237" i="11"/>
  <c r="AQ237" i="11"/>
  <c r="AM237" i="11"/>
  <c r="AF237" i="11"/>
  <c r="AU235" i="11"/>
  <c r="AQ235" i="11"/>
  <c r="AM235" i="11"/>
  <c r="AF235" i="11"/>
  <c r="AP233" i="11"/>
  <c r="AJ232" i="11"/>
  <c r="AA248" i="11"/>
  <c r="AA240" i="11"/>
  <c r="AV237" i="11"/>
  <c r="AR237" i="11"/>
  <c r="AN237" i="11"/>
  <c r="AJ237" i="11"/>
  <c r="AT235" i="11"/>
  <c r="AP235" i="11"/>
  <c r="AL235" i="11"/>
  <c r="AA235" i="11"/>
  <c r="AM233" i="11"/>
  <c r="AA249" i="11"/>
  <c r="AA243" i="11"/>
  <c r="AA239" i="11"/>
  <c r="AS237" i="11"/>
  <c r="AO237" i="11"/>
  <c r="AK237" i="11"/>
  <c r="AW235" i="11"/>
  <c r="AS235" i="11"/>
  <c r="AO235" i="11"/>
  <c r="AK235" i="11"/>
  <c r="AW233" i="11"/>
  <c r="AJ233" i="11"/>
  <c r="AT99" i="11"/>
  <c r="AL99" i="11"/>
  <c r="AT97" i="11"/>
  <c r="AL97" i="11"/>
  <c r="AM95" i="11"/>
  <c r="AA110" i="11"/>
  <c r="AW100" i="11"/>
  <c r="AP99" i="11"/>
  <c r="AP97" i="11"/>
  <c r="AA97" i="11"/>
  <c r="AA94" i="11"/>
  <c r="AA111" i="11"/>
  <c r="AA105" i="11"/>
  <c r="AA101" i="11"/>
  <c r="AS99" i="11"/>
  <c r="AO99" i="11"/>
  <c r="AK99" i="11"/>
  <c r="AW97" i="11"/>
  <c r="AS97" i="11"/>
  <c r="AO97" i="11"/>
  <c r="AK97" i="11"/>
  <c r="AW95" i="11"/>
  <c r="AJ95" i="11"/>
  <c r="AJ97" i="11"/>
  <c r="AR97" i="11"/>
  <c r="AJ99" i="11"/>
  <c r="AR99" i="11"/>
  <c r="AA102" i="11"/>
  <c r="AA112" i="11"/>
  <c r="AA107" i="11"/>
  <c r="AA103" i="11"/>
  <c r="AU99" i="11"/>
  <c r="AQ99" i="11"/>
  <c r="AM99" i="11"/>
  <c r="AF99" i="11"/>
  <c r="AU97" i="11"/>
  <c r="AQ97" i="11"/>
  <c r="AM97" i="11"/>
  <c r="AF97" i="11"/>
  <c r="AP95" i="11"/>
  <c r="AJ94" i="11"/>
  <c r="AV95" i="11"/>
  <c r="AN97" i="11"/>
  <c r="AV97" i="11"/>
  <c r="AN99" i="11"/>
  <c r="AV99" i="11"/>
  <c r="AA106" i="11"/>
  <c r="AA43" i="11"/>
  <c r="AA35" i="11"/>
  <c r="AV32" i="11"/>
  <c r="AR32" i="11"/>
  <c r="AN32" i="11"/>
  <c r="AJ32" i="11"/>
  <c r="AT30" i="11"/>
  <c r="AP30" i="11"/>
  <c r="AL30" i="11"/>
  <c r="AA30" i="11"/>
  <c r="AM28" i="11"/>
  <c r="AA44" i="11"/>
  <c r="AA38" i="11"/>
  <c r="AA34" i="11"/>
  <c r="AS32" i="11"/>
  <c r="AO32" i="11"/>
  <c r="AK32" i="11"/>
  <c r="AW30" i="11"/>
  <c r="AS30" i="11"/>
  <c r="AO30" i="11"/>
  <c r="AK30" i="11"/>
  <c r="AW28" i="11"/>
  <c r="AJ28" i="11"/>
  <c r="AA45" i="11"/>
  <c r="AA39" i="11"/>
  <c r="AW33" i="11"/>
  <c r="AT32" i="11"/>
  <c r="AP32" i="11"/>
  <c r="AL32" i="11"/>
  <c r="AV30" i="11"/>
  <c r="AR30" i="11"/>
  <c r="AN30" i="11"/>
  <c r="AJ30" i="11"/>
  <c r="AV28" i="11"/>
  <c r="AA27" i="11"/>
  <c r="AA40" i="11"/>
  <c r="AA36" i="11"/>
  <c r="AU32" i="11"/>
  <c r="AQ32" i="11"/>
  <c r="AM32" i="11"/>
  <c r="AF32" i="11"/>
  <c r="AU30" i="11"/>
  <c r="AQ30" i="11"/>
  <c r="AM30" i="11"/>
  <c r="AF30" i="11"/>
  <c r="AP28" i="11"/>
  <c r="AJ27" i="11"/>
  <c r="AA65" i="11"/>
  <c r="AA59" i="11"/>
  <c r="AA55" i="11"/>
  <c r="AS53" i="11"/>
  <c r="AO53" i="11"/>
  <c r="AK53" i="11"/>
  <c r="AA66" i="11"/>
  <c r="AA56" i="11"/>
  <c r="AR53" i="11"/>
  <c r="AJ53" i="11"/>
  <c r="AU51" i="11"/>
  <c r="AQ51" i="11"/>
  <c r="AM51" i="11"/>
  <c r="AF51" i="11"/>
  <c r="AP49" i="11"/>
  <c r="AJ48" i="11"/>
  <c r="AL53" i="11"/>
  <c r="AR51" i="11"/>
  <c r="AJ51" i="11"/>
  <c r="AW54" i="11"/>
  <c r="AP53" i="11"/>
  <c r="AP51" i="11"/>
  <c r="AA51" i="11"/>
  <c r="AA48" i="11"/>
  <c r="AA61" i="11"/>
  <c r="AA57" i="11"/>
  <c r="AU53" i="11"/>
  <c r="AQ53" i="11"/>
  <c r="AM53" i="11"/>
  <c r="AF53" i="11"/>
  <c r="AA60" i="11"/>
  <c r="AV53" i="11"/>
  <c r="AN53" i="11"/>
  <c r="AW51" i="11"/>
  <c r="AS51" i="11"/>
  <c r="AO51" i="11"/>
  <c r="AK51" i="11"/>
  <c r="AW49" i="11"/>
  <c r="AJ49" i="11"/>
  <c r="AA64" i="11"/>
  <c r="AV51" i="11"/>
  <c r="AN51" i="11"/>
  <c r="AV49" i="11"/>
  <c r="AT53" i="11"/>
  <c r="AT51" i="11"/>
  <c r="AL51" i="11"/>
  <c r="AM49" i="11"/>
  <c r="AA456" i="11"/>
  <c r="AA450" i="11"/>
  <c r="AW444" i="11"/>
  <c r="AT443" i="11"/>
  <c r="AP443" i="11"/>
  <c r="AL443" i="11"/>
  <c r="AV441" i="11"/>
  <c r="AR441" i="11"/>
  <c r="AN441" i="11"/>
  <c r="AJ441" i="11"/>
  <c r="AV439" i="11"/>
  <c r="AA438" i="11"/>
  <c r="AA451" i="11"/>
  <c r="AA447" i="11"/>
  <c r="AU443" i="11"/>
  <c r="AQ443" i="11"/>
  <c r="AM443" i="11"/>
  <c r="AF443" i="11"/>
  <c r="AU441" i="11"/>
  <c r="AQ441" i="11"/>
  <c r="AM441" i="11"/>
  <c r="AF441" i="11"/>
  <c r="AP439" i="11"/>
  <c r="AJ438" i="11"/>
  <c r="AA454" i="11"/>
  <c r="AA446" i="11"/>
  <c r="AV443" i="11"/>
  <c r="AR443" i="11"/>
  <c r="AN443" i="11"/>
  <c r="AJ443" i="11"/>
  <c r="AT441" i="11"/>
  <c r="AP441" i="11"/>
  <c r="AL441" i="11"/>
  <c r="AA441" i="11"/>
  <c r="AM439" i="11"/>
  <c r="AA455" i="11"/>
  <c r="AA449" i="11"/>
  <c r="AA445" i="11"/>
  <c r="AS443" i="11"/>
  <c r="AO443" i="11"/>
  <c r="AK443" i="11"/>
  <c r="AW441" i="11"/>
  <c r="AS441" i="11"/>
  <c r="AO441" i="11"/>
  <c r="AK441" i="11"/>
  <c r="AW439" i="11"/>
  <c r="AJ439" i="11"/>
  <c r="AU351" i="11"/>
  <c r="AM351" i="11"/>
  <c r="AU349" i="11"/>
  <c r="AM349" i="11"/>
  <c r="AP347" i="11"/>
  <c r="AA359" i="11"/>
  <c r="AA353" i="11"/>
  <c r="AQ351" i="11"/>
  <c r="AF351" i="11"/>
  <c r="AQ349" i="11"/>
  <c r="AF349" i="11"/>
  <c r="AJ346" i="11"/>
  <c r="AA362" i="11"/>
  <c r="AA354" i="11"/>
  <c r="AV351" i="11"/>
  <c r="AR351" i="11"/>
  <c r="AN351" i="11"/>
  <c r="AJ351" i="11"/>
  <c r="AT349" i="11"/>
  <c r="AP349" i="11"/>
  <c r="AL349" i="11"/>
  <c r="AA349" i="11"/>
  <c r="AM347" i="11"/>
  <c r="AJ347" i="11"/>
  <c r="AK349" i="11"/>
  <c r="AS349" i="11"/>
  <c r="AK351" i="11"/>
  <c r="AS351" i="11"/>
  <c r="AA357" i="11"/>
  <c r="AA364" i="11"/>
  <c r="AA358" i="11"/>
  <c r="AW352" i="11"/>
  <c r="AT351" i="11"/>
  <c r="AP351" i="11"/>
  <c r="AL351" i="11"/>
  <c r="AV349" i="11"/>
  <c r="AR349" i="11"/>
  <c r="AN349" i="11"/>
  <c r="AJ349" i="11"/>
  <c r="AV347" i="11"/>
  <c r="AA346" i="11"/>
  <c r="AW347" i="11"/>
  <c r="AO349" i="11"/>
  <c r="AW349" i="11"/>
  <c r="AO351" i="11"/>
  <c r="AA355" i="11"/>
  <c r="AA363" i="11"/>
  <c r="CA456" i="11"/>
  <c r="CA450" i="11"/>
  <c r="CW444" i="11"/>
  <c r="CT443" i="11"/>
  <c r="CP443" i="11"/>
  <c r="CL443" i="11"/>
  <c r="CV441" i="11"/>
  <c r="CR441" i="11"/>
  <c r="CN441" i="11"/>
  <c r="CJ441" i="11"/>
  <c r="CV439" i="11"/>
  <c r="CA438" i="11"/>
  <c r="CA451" i="11"/>
  <c r="CA447" i="11"/>
  <c r="CU443" i="11"/>
  <c r="CQ443" i="11"/>
  <c r="CM443" i="11"/>
  <c r="CF443" i="11"/>
  <c r="CU441" i="11"/>
  <c r="CQ441" i="11"/>
  <c r="CM441" i="11"/>
  <c r="CF441" i="11"/>
  <c r="CP439" i="11"/>
  <c r="CJ438" i="11"/>
  <c r="CA454" i="11"/>
  <c r="CA446" i="11"/>
  <c r="CV443" i="11"/>
  <c r="CR443" i="11"/>
  <c r="CN443" i="11"/>
  <c r="CJ443" i="11"/>
  <c r="CT441" i="11"/>
  <c r="CP441" i="11"/>
  <c r="CL441" i="11"/>
  <c r="CA441" i="11"/>
  <c r="CM439" i="11"/>
  <c r="CA455" i="11"/>
  <c r="CA449" i="11"/>
  <c r="CA445" i="11"/>
  <c r="CS443" i="11"/>
  <c r="CO443" i="11"/>
  <c r="CK443" i="11"/>
  <c r="CW441" i="11"/>
  <c r="CS441" i="11"/>
  <c r="CO441" i="11"/>
  <c r="CK441" i="11"/>
  <c r="CW439" i="11"/>
  <c r="CJ439" i="11"/>
  <c r="CA363" i="11"/>
  <c r="CV347" i="11"/>
  <c r="CJ349" i="11"/>
  <c r="CN349" i="11"/>
  <c r="CR349" i="11"/>
  <c r="CV349" i="11"/>
  <c r="CL351" i="11"/>
  <c r="CP351" i="11"/>
  <c r="CT351" i="11"/>
  <c r="CW352" i="11"/>
  <c r="CA358" i="11"/>
  <c r="CA364" i="11"/>
  <c r="CJ347" i="11"/>
  <c r="CW347" i="11"/>
  <c r="CK349" i="11"/>
  <c r="CO349" i="11"/>
  <c r="CS349" i="11"/>
  <c r="CW349" i="11"/>
  <c r="CK351" i="11"/>
  <c r="CO351" i="11"/>
  <c r="CS351" i="11"/>
  <c r="CA353" i="11"/>
  <c r="CA357" i="11"/>
  <c r="CA346" i="11"/>
  <c r="CM347" i="11"/>
  <c r="CA349" i="11"/>
  <c r="CL349" i="11"/>
  <c r="CP349" i="11"/>
  <c r="CT349" i="11"/>
  <c r="CJ351" i="11"/>
  <c r="CN351" i="11"/>
  <c r="CR351" i="11"/>
  <c r="CV351" i="11"/>
  <c r="CA354" i="11"/>
  <c r="CA362" i="11"/>
  <c r="CJ346" i="11"/>
  <c r="CP347" i="11"/>
  <c r="CF349" i="11"/>
  <c r="CM349" i="11"/>
  <c r="CQ349" i="11"/>
  <c r="CU349" i="11"/>
  <c r="CF351" i="11"/>
  <c r="CM351" i="11"/>
  <c r="CQ351" i="11"/>
  <c r="CU351" i="11"/>
  <c r="CA355" i="11"/>
  <c r="CA359" i="11"/>
  <c r="CA175" i="11"/>
  <c r="CA169" i="11"/>
  <c r="CQ167" i="11"/>
  <c r="CF167" i="11"/>
  <c r="CQ165" i="11"/>
  <c r="CF165" i="11"/>
  <c r="CJ162" i="11"/>
  <c r="CU167" i="11"/>
  <c r="CM167" i="11"/>
  <c r="CU165" i="11"/>
  <c r="CM165" i="11"/>
  <c r="CP163" i="11"/>
  <c r="CA180" i="11"/>
  <c r="CA174" i="11"/>
  <c r="CW168" i="11"/>
  <c r="CT167" i="11"/>
  <c r="CP167" i="11"/>
  <c r="CL167" i="11"/>
  <c r="CV165" i="11"/>
  <c r="CR165" i="11"/>
  <c r="CN165" i="11"/>
  <c r="CJ165" i="11"/>
  <c r="CV163" i="11"/>
  <c r="CA162" i="11"/>
  <c r="CW163" i="11"/>
  <c r="CO165" i="11"/>
  <c r="CW165" i="11"/>
  <c r="CO167" i="11"/>
  <c r="CA171" i="11"/>
  <c r="CA179" i="11"/>
  <c r="CA178" i="11"/>
  <c r="CA170" i="11"/>
  <c r="CV167" i="11"/>
  <c r="CR167" i="11"/>
  <c r="CN167" i="11"/>
  <c r="CJ167" i="11"/>
  <c r="CT165" i="11"/>
  <c r="CP165" i="11"/>
  <c r="CL165" i="11"/>
  <c r="CA165" i="11"/>
  <c r="CM163" i="11"/>
  <c r="CJ163" i="11"/>
  <c r="CK165" i="11"/>
  <c r="CS165" i="11"/>
  <c r="CK167" i="11"/>
  <c r="CS167" i="11"/>
  <c r="CA173" i="11"/>
  <c r="CA313" i="11"/>
  <c r="CA309" i="11"/>
  <c r="CU305" i="11"/>
  <c r="CQ305" i="11"/>
  <c r="CM305" i="11"/>
  <c r="CF305" i="11"/>
  <c r="CA316" i="11"/>
  <c r="CA308" i="11"/>
  <c r="CV305" i="11"/>
  <c r="CR305" i="11"/>
  <c r="CN305" i="11"/>
  <c r="CJ305" i="11"/>
  <c r="CT303" i="11"/>
  <c r="CP303" i="11"/>
  <c r="CL303" i="11"/>
  <c r="CA303" i="11"/>
  <c r="CM301" i="11"/>
  <c r="CJ301" i="11"/>
  <c r="CK303" i="11"/>
  <c r="CS303" i="11"/>
  <c r="CP301" i="11"/>
  <c r="CM303" i="11"/>
  <c r="CU303" i="11"/>
  <c r="CA317" i="11"/>
  <c r="CA311" i="11"/>
  <c r="CA307" i="11"/>
  <c r="CS305" i="11"/>
  <c r="CO305" i="11"/>
  <c r="CK305" i="11"/>
  <c r="CA318" i="11"/>
  <c r="CA312" i="11"/>
  <c r="CW306" i="11"/>
  <c r="CT305" i="11"/>
  <c r="CP305" i="11"/>
  <c r="CL305" i="11"/>
  <c r="CV303" i="11"/>
  <c r="CR303" i="11"/>
  <c r="CN303" i="11"/>
  <c r="CJ303" i="11"/>
  <c r="CV301" i="11"/>
  <c r="CA300" i="11"/>
  <c r="CW301" i="11"/>
  <c r="CO303" i="11"/>
  <c r="CW303" i="11"/>
  <c r="CJ300" i="11"/>
  <c r="CF303" i="11"/>
  <c r="CQ303" i="11"/>
  <c r="CA45" i="11"/>
  <c r="CJ28" i="11"/>
  <c r="CW28" i="11"/>
  <c r="CK30" i="11"/>
  <c r="CO30" i="11"/>
  <c r="CS30" i="11"/>
  <c r="CW30" i="11"/>
  <c r="CK32" i="11"/>
  <c r="CO32" i="11"/>
  <c r="CS32" i="11"/>
  <c r="CA34" i="11"/>
  <c r="CA38" i="11"/>
  <c r="CA44" i="11"/>
  <c r="CV28" i="11"/>
  <c r="CJ30" i="11"/>
  <c r="CN30" i="11"/>
  <c r="CR30" i="11"/>
  <c r="CV30" i="11"/>
  <c r="CL32" i="11"/>
  <c r="CP32" i="11"/>
  <c r="CT32" i="11"/>
  <c r="CW33" i="11"/>
  <c r="CA39" i="11"/>
  <c r="CJ27" i="11"/>
  <c r="CP28" i="11"/>
  <c r="CF30" i="11"/>
  <c r="CM30" i="11"/>
  <c r="CQ30" i="11"/>
  <c r="CU30" i="11"/>
  <c r="CF32" i="11"/>
  <c r="CM32" i="11"/>
  <c r="CQ32" i="11"/>
  <c r="CU32" i="11"/>
  <c r="CA36" i="11"/>
  <c r="CA40" i="11"/>
  <c r="CA27" i="11"/>
  <c r="CM28" i="11"/>
  <c r="CA30" i="11"/>
  <c r="CL30" i="11"/>
  <c r="CP30" i="11"/>
  <c r="CT30" i="11"/>
  <c r="CJ32" i="11"/>
  <c r="CN32" i="11"/>
  <c r="CR32" i="11"/>
  <c r="CV32" i="11"/>
  <c r="CA35" i="11"/>
  <c r="CA43" i="11"/>
  <c r="EA313" i="11"/>
  <c r="EA309" i="11"/>
  <c r="EU305" i="11"/>
  <c r="EQ305" i="11"/>
  <c r="EM305" i="11"/>
  <c r="EF305" i="11"/>
  <c r="EA316" i="11"/>
  <c r="EA308" i="11"/>
  <c r="EV305" i="11"/>
  <c r="ER305" i="11"/>
  <c r="EN305" i="11"/>
  <c r="EJ305" i="11"/>
  <c r="ET303" i="11"/>
  <c r="EP303" i="11"/>
  <c r="EL303" i="11"/>
  <c r="EA303" i="11"/>
  <c r="EM301" i="11"/>
  <c r="EJ301" i="11"/>
  <c r="EK303" i="11"/>
  <c r="ES303" i="11"/>
  <c r="EP301" i="11"/>
  <c r="EM303" i="11"/>
  <c r="EU303" i="11"/>
  <c r="EA317" i="11"/>
  <c r="EA311" i="11"/>
  <c r="EA307" i="11"/>
  <c r="ES305" i="11"/>
  <c r="EO305" i="11"/>
  <c r="EK305" i="11"/>
  <c r="EA318" i="11"/>
  <c r="EA312" i="11"/>
  <c r="EW306" i="11"/>
  <c r="ET305" i="11"/>
  <c r="EP305" i="11"/>
  <c r="EL305" i="11"/>
  <c r="EV303" i="11"/>
  <c r="ER303" i="11"/>
  <c r="EN303" i="11"/>
  <c r="EJ303" i="11"/>
  <c r="EV301" i="11"/>
  <c r="EA300" i="11"/>
  <c r="EW301" i="11"/>
  <c r="EO303" i="11"/>
  <c r="EW303" i="11"/>
  <c r="EJ300" i="11"/>
  <c r="EF303" i="11"/>
  <c r="EQ303" i="11"/>
  <c r="EA158" i="11"/>
  <c r="EV141" i="11"/>
  <c r="EJ143" i="11"/>
  <c r="EN143" i="11"/>
  <c r="ER143" i="11"/>
  <c r="EV143" i="11"/>
  <c r="EL145" i="11"/>
  <c r="EP145" i="11"/>
  <c r="EV145" i="11"/>
  <c r="EA152" i="11"/>
  <c r="EA153" i="11"/>
  <c r="EA149" i="11"/>
  <c r="EU145" i="11"/>
  <c r="EJ140" i="11"/>
  <c r="EP141" i="11"/>
  <c r="EF143" i="11"/>
  <c r="EM143" i="11"/>
  <c r="EQ143" i="11"/>
  <c r="EU143" i="11"/>
  <c r="EF145" i="11"/>
  <c r="EM145" i="11"/>
  <c r="EQ145" i="11"/>
  <c r="EW146" i="11"/>
  <c r="EA140" i="11"/>
  <c r="EM141" i="11"/>
  <c r="EA143" i="11"/>
  <c r="EL143" i="11"/>
  <c r="EP143" i="11"/>
  <c r="ET143" i="11"/>
  <c r="EJ145" i="11"/>
  <c r="EN145" i="11"/>
  <c r="ER145" i="11"/>
  <c r="EA148" i="11"/>
  <c r="EA157" i="11"/>
  <c r="EA151" i="11"/>
  <c r="EA147" i="11"/>
  <c r="ES145" i="11"/>
  <c r="EJ141" i="11"/>
  <c r="EW141" i="11"/>
  <c r="EK143" i="11"/>
  <c r="EO143" i="11"/>
  <c r="ES143" i="11"/>
  <c r="EW143" i="11"/>
  <c r="EK145" i="11"/>
  <c r="EO145" i="11"/>
  <c r="ET145" i="11"/>
  <c r="EA156" i="11"/>
  <c r="EA386" i="11"/>
  <c r="EA378" i="11"/>
  <c r="EV375" i="11"/>
  <c r="ER375" i="11"/>
  <c r="EA381" i="11"/>
  <c r="ES375" i="11"/>
  <c r="EN375" i="11"/>
  <c r="EJ375" i="11"/>
  <c r="ET373" i="11"/>
  <c r="EP373" i="11"/>
  <c r="EL373" i="11"/>
  <c r="EA373" i="11"/>
  <c r="EM371" i="11"/>
  <c r="EA383" i="11"/>
  <c r="EU375" i="11"/>
  <c r="EO375" i="11"/>
  <c r="EK375" i="11"/>
  <c r="EW373" i="11"/>
  <c r="ES373" i="11"/>
  <c r="EO373" i="11"/>
  <c r="EK373" i="11"/>
  <c r="EW371" i="11"/>
  <c r="EJ371" i="11"/>
  <c r="EA388" i="11"/>
  <c r="EA382" i="11"/>
  <c r="EW376" i="11"/>
  <c r="ET375" i="11"/>
  <c r="EA387" i="11"/>
  <c r="EA379" i="11"/>
  <c r="EP375" i="11"/>
  <c r="EL375" i="11"/>
  <c r="EV373" i="11"/>
  <c r="ER373" i="11"/>
  <c r="EN373" i="11"/>
  <c r="EJ373" i="11"/>
  <c r="EV371" i="11"/>
  <c r="EA370" i="11"/>
  <c r="EA377" i="11"/>
  <c r="EQ375" i="11"/>
  <c r="EM375" i="11"/>
  <c r="EF375" i="11"/>
  <c r="EU373" i="11"/>
  <c r="EQ373" i="11"/>
  <c r="EM373" i="11"/>
  <c r="EF373" i="11"/>
  <c r="EP371" i="11"/>
  <c r="EJ370" i="11"/>
  <c r="EA340" i="11"/>
  <c r="EA332" i="11"/>
  <c r="EV329" i="11"/>
  <c r="ER329" i="11"/>
  <c r="EN329" i="11"/>
  <c r="EJ329" i="11"/>
  <c r="ET327" i="11"/>
  <c r="EP327" i="11"/>
  <c r="EL327" i="11"/>
  <c r="EA327" i="11"/>
  <c r="EM325" i="11"/>
  <c r="EA341" i="11"/>
  <c r="EA335" i="11"/>
  <c r="EA331" i="11"/>
  <c r="ES329" i="11"/>
  <c r="EO329" i="11"/>
  <c r="EK329" i="11"/>
  <c r="EW327" i="11"/>
  <c r="ES327" i="11"/>
  <c r="EO327" i="11"/>
  <c r="EK327" i="11"/>
  <c r="EW325" i="11"/>
  <c r="EJ325" i="11"/>
  <c r="EA342" i="11"/>
  <c r="EA336" i="11"/>
  <c r="EW330" i="11"/>
  <c r="ET329" i="11"/>
  <c r="EP329" i="11"/>
  <c r="EL329" i="11"/>
  <c r="EV327" i="11"/>
  <c r="ER327" i="11"/>
  <c r="EN327" i="11"/>
  <c r="EJ327" i="11"/>
  <c r="EV325" i="11"/>
  <c r="EA324" i="11"/>
  <c r="EA337" i="11"/>
  <c r="EA333" i="11"/>
  <c r="EU329" i="11"/>
  <c r="EQ329" i="11"/>
  <c r="EM329" i="11"/>
  <c r="EF329" i="11"/>
  <c r="EU327" i="11"/>
  <c r="EQ327" i="11"/>
  <c r="EM327" i="11"/>
  <c r="EF327" i="11"/>
  <c r="EP325" i="11"/>
  <c r="EJ324" i="11"/>
  <c r="EA267" i="11"/>
  <c r="EA263" i="11"/>
  <c r="EU259" i="11"/>
  <c r="EQ259" i="11"/>
  <c r="EM259" i="11"/>
  <c r="EF259" i="11"/>
  <c r="EU257" i="11"/>
  <c r="EQ257" i="11"/>
  <c r="EM257" i="11"/>
  <c r="EF257" i="11"/>
  <c r="EP255" i="11"/>
  <c r="EJ254" i="11"/>
  <c r="EA270" i="11"/>
  <c r="EA262" i="11"/>
  <c r="EV259" i="11"/>
  <c r="ER259" i="11"/>
  <c r="EN259" i="11"/>
  <c r="EJ259" i="11"/>
  <c r="ET257" i="11"/>
  <c r="EP257" i="11"/>
  <c r="EL257" i="11"/>
  <c r="EA257" i="11"/>
  <c r="EM255" i="11"/>
  <c r="EA271" i="11"/>
  <c r="EA265" i="11"/>
  <c r="EA261" i="11"/>
  <c r="ES259" i="11"/>
  <c r="EO259" i="11"/>
  <c r="EK259" i="11"/>
  <c r="EW257" i="11"/>
  <c r="ES257" i="11"/>
  <c r="EO257" i="11"/>
  <c r="EK257" i="11"/>
  <c r="EW255" i="11"/>
  <c r="EJ255" i="11"/>
  <c r="EA272" i="11"/>
  <c r="EA266" i="11"/>
  <c r="EW260" i="11"/>
  <c r="ET259" i="11"/>
  <c r="EP259" i="11"/>
  <c r="EL259" i="11"/>
  <c r="EV257" i="11"/>
  <c r="ER257" i="11"/>
  <c r="EN257" i="11"/>
  <c r="EJ257" i="11"/>
  <c r="EV255" i="11"/>
  <c r="EA254" i="11"/>
  <c r="EA107" i="11"/>
  <c r="EA103" i="11"/>
  <c r="EU99" i="11"/>
  <c r="EQ99" i="11"/>
  <c r="EM99" i="11"/>
  <c r="EF99" i="11"/>
  <c r="EU97" i="11"/>
  <c r="EQ97" i="11"/>
  <c r="EM97" i="11"/>
  <c r="EF97" i="11"/>
  <c r="EP95" i="11"/>
  <c r="EJ94" i="11"/>
  <c r="EA110" i="11"/>
  <c r="EA102" i="11"/>
  <c r="EV99" i="11"/>
  <c r="ER99" i="11"/>
  <c r="EN99" i="11"/>
  <c r="EJ99" i="11"/>
  <c r="ET97" i="11"/>
  <c r="EP97" i="11"/>
  <c r="EL97" i="11"/>
  <c r="EA97" i="11"/>
  <c r="EM95" i="11"/>
  <c r="EA111" i="11"/>
  <c r="EA105" i="11"/>
  <c r="EA101" i="11"/>
  <c r="ES99" i="11"/>
  <c r="EO99" i="11"/>
  <c r="EK99" i="11"/>
  <c r="EW97" i="11"/>
  <c r="ES97" i="11"/>
  <c r="EO97" i="11"/>
  <c r="EK97" i="11"/>
  <c r="EW95" i="11"/>
  <c r="EJ95" i="11"/>
  <c r="EA112" i="11"/>
  <c r="EA106" i="11"/>
  <c r="EW100" i="11"/>
  <c r="ET99" i="11"/>
  <c r="EP99" i="11"/>
  <c r="EL99" i="11"/>
  <c r="EV97" i="11"/>
  <c r="ER97" i="11"/>
  <c r="EN97" i="11"/>
  <c r="EJ97" i="11"/>
  <c r="EV95" i="11"/>
  <c r="EA94" i="11"/>
  <c r="EA65" i="11"/>
  <c r="EA59" i="11"/>
  <c r="EA55" i="11"/>
  <c r="ES53" i="11"/>
  <c r="EO53" i="11"/>
  <c r="EK53" i="11"/>
  <c r="EW51" i="11"/>
  <c r="ES51" i="11"/>
  <c r="EO51" i="11"/>
  <c r="EK51" i="11"/>
  <c r="EW49" i="11"/>
  <c r="EJ49" i="11"/>
  <c r="EA66" i="11"/>
  <c r="EA60" i="11"/>
  <c r="EW54" i="11"/>
  <c r="ET53" i="11"/>
  <c r="EP53" i="11"/>
  <c r="EL53" i="11"/>
  <c r="EV51" i="11"/>
  <c r="ER51" i="11"/>
  <c r="EN51" i="11"/>
  <c r="EJ51" i="11"/>
  <c r="EV49" i="11"/>
  <c r="EA48" i="11"/>
  <c r="EA61" i="11"/>
  <c r="EA57" i="11"/>
  <c r="EU53" i="11"/>
  <c r="EQ53" i="11"/>
  <c r="EM53" i="11"/>
  <c r="EF53" i="11"/>
  <c r="EU51" i="11"/>
  <c r="EQ51" i="11"/>
  <c r="EM51" i="11"/>
  <c r="EF51" i="11"/>
  <c r="EP49" i="11"/>
  <c r="EJ48" i="11"/>
  <c r="EA64" i="11"/>
  <c r="EA56" i="11"/>
  <c r="EV53" i="11"/>
  <c r="ER53" i="11"/>
  <c r="EN53" i="11"/>
  <c r="EJ53" i="11"/>
  <c r="ET51" i="11"/>
  <c r="EP51" i="11"/>
  <c r="EL51" i="11"/>
  <c r="EA51" i="11"/>
  <c r="EM49" i="11"/>
  <c r="GA433" i="11"/>
  <c r="GA416" i="11"/>
  <c r="GM417" i="11"/>
  <c r="GA419" i="11"/>
  <c r="GL419" i="11"/>
  <c r="GP419" i="11"/>
  <c r="GT419" i="11"/>
  <c r="GJ421" i="11"/>
  <c r="GN421" i="11"/>
  <c r="GR421" i="11"/>
  <c r="GV421" i="11"/>
  <c r="GA424" i="11"/>
  <c r="GA432" i="11"/>
  <c r="GJ416" i="11"/>
  <c r="GP417" i="11"/>
  <c r="GF419" i="11"/>
  <c r="GM419" i="11"/>
  <c r="GQ419" i="11"/>
  <c r="GU419" i="11"/>
  <c r="GF421" i="11"/>
  <c r="GM421" i="11"/>
  <c r="GQ421" i="11"/>
  <c r="GU421" i="11"/>
  <c r="GA425" i="11"/>
  <c r="GA429" i="11"/>
  <c r="GV417" i="11"/>
  <c r="GJ419" i="11"/>
  <c r="GN419" i="11"/>
  <c r="GR419" i="11"/>
  <c r="GV419" i="11"/>
  <c r="GL421" i="11"/>
  <c r="GP421" i="11"/>
  <c r="GT421" i="11"/>
  <c r="GW422" i="11"/>
  <c r="GA428" i="11"/>
  <c r="GA434" i="11"/>
  <c r="GJ417" i="11"/>
  <c r="GW417" i="11"/>
  <c r="GK419" i="11"/>
  <c r="GO419" i="11"/>
  <c r="GS419" i="11"/>
  <c r="GW419" i="11"/>
  <c r="GK421" i="11"/>
  <c r="GO421" i="11"/>
  <c r="GS421" i="11"/>
  <c r="GA423" i="11"/>
  <c r="GA427" i="11"/>
  <c r="GA250" i="11"/>
  <c r="GJ232" i="11"/>
  <c r="GP233" i="11"/>
  <c r="GF235" i="11"/>
  <c r="GM235" i="11"/>
  <c r="GQ235" i="11"/>
  <c r="GU235" i="11"/>
  <c r="GF237" i="11"/>
  <c r="GM237" i="11"/>
  <c r="GQ237" i="11"/>
  <c r="GU237" i="11"/>
  <c r="GA241" i="11"/>
  <c r="GA245" i="11"/>
  <c r="GV233" i="11"/>
  <c r="GJ235" i="11"/>
  <c r="GN235" i="11"/>
  <c r="GR235" i="11"/>
  <c r="GV235" i="11"/>
  <c r="GJ233" i="11"/>
  <c r="GW233" i="11"/>
  <c r="GK235" i="11"/>
  <c r="GO235" i="11"/>
  <c r="GS235" i="11"/>
  <c r="GW235" i="11"/>
  <c r="GK237" i="11"/>
  <c r="GO237" i="11"/>
  <c r="GS237" i="11"/>
  <c r="GA239" i="11"/>
  <c r="GA243" i="11"/>
  <c r="GA249" i="11"/>
  <c r="GA232" i="11"/>
  <c r="GM233" i="11"/>
  <c r="GA235" i="11"/>
  <c r="GL235" i="11"/>
  <c r="GP235" i="11"/>
  <c r="GT235" i="11"/>
  <c r="GJ237" i="11"/>
  <c r="GN237" i="11"/>
  <c r="GR237" i="11"/>
  <c r="GV237" i="11"/>
  <c r="GA240" i="11"/>
  <c r="GA248" i="11"/>
  <c r="GL237" i="11"/>
  <c r="GP237" i="11"/>
  <c r="GT237" i="11"/>
  <c r="GW238" i="11"/>
  <c r="GA244" i="11"/>
  <c r="GA410" i="11"/>
  <c r="GA404" i="11"/>
  <c r="GW398" i="11"/>
  <c r="GT397" i="11"/>
  <c r="GP397" i="11"/>
  <c r="GL397" i="11"/>
  <c r="GV395" i="11"/>
  <c r="GR395" i="11"/>
  <c r="GN395" i="11"/>
  <c r="GJ395" i="11"/>
  <c r="GV393" i="11"/>
  <c r="GA392" i="11"/>
  <c r="GA405" i="11"/>
  <c r="GA401" i="11"/>
  <c r="GU397" i="11"/>
  <c r="GQ397" i="11"/>
  <c r="GM397" i="11"/>
  <c r="GF397" i="11"/>
  <c r="GU395" i="11"/>
  <c r="GQ395" i="11"/>
  <c r="GM395" i="11"/>
  <c r="GF395" i="11"/>
  <c r="GP393" i="11"/>
  <c r="GJ392" i="11"/>
  <c r="GA408" i="11"/>
  <c r="GA400" i="11"/>
  <c r="GV397" i="11"/>
  <c r="GR397" i="11"/>
  <c r="GN397" i="11"/>
  <c r="GJ397" i="11"/>
  <c r="GT395" i="11"/>
  <c r="GP395" i="11"/>
  <c r="GL395" i="11"/>
  <c r="GA395" i="11"/>
  <c r="GM393" i="11"/>
  <c r="GA409" i="11"/>
  <c r="GA403" i="11"/>
  <c r="GA399" i="11"/>
  <c r="GS397" i="11"/>
  <c r="GO397" i="11"/>
  <c r="GK397" i="11"/>
  <c r="GW395" i="11"/>
  <c r="GS395" i="11"/>
  <c r="GO395" i="11"/>
  <c r="GK395" i="11"/>
  <c r="GW393" i="11"/>
  <c r="GJ393" i="11"/>
  <c r="GA226" i="11"/>
  <c r="GJ208" i="11"/>
  <c r="GP209" i="11"/>
  <c r="GF211" i="11"/>
  <c r="GM211" i="11"/>
  <c r="GQ211" i="11"/>
  <c r="GU211" i="11"/>
  <c r="GF213" i="11"/>
  <c r="GM213" i="11"/>
  <c r="GQ213" i="11"/>
  <c r="GU213" i="11"/>
  <c r="GA217" i="11"/>
  <c r="GA221" i="11"/>
  <c r="GA208" i="11"/>
  <c r="GM209" i="11"/>
  <c r="GA211" i="11"/>
  <c r="GL211" i="11"/>
  <c r="GP211" i="11"/>
  <c r="GT211" i="11"/>
  <c r="GJ213" i="11"/>
  <c r="GN213" i="11"/>
  <c r="GR213" i="11"/>
  <c r="GV213" i="11"/>
  <c r="GA216" i="11"/>
  <c r="GA224" i="11"/>
  <c r="GJ209" i="11"/>
  <c r="GW209" i="11"/>
  <c r="GK211" i="11"/>
  <c r="GO211" i="11"/>
  <c r="GS211" i="11"/>
  <c r="GW211" i="11"/>
  <c r="GK213" i="11"/>
  <c r="GO213" i="11"/>
  <c r="GS213" i="11"/>
  <c r="GA215" i="11"/>
  <c r="GA219" i="11"/>
  <c r="GA225" i="11"/>
  <c r="GV209" i="11"/>
  <c r="GJ211" i="11"/>
  <c r="GN211" i="11"/>
  <c r="GR211" i="11"/>
  <c r="GV211" i="11"/>
  <c r="GL213" i="11"/>
  <c r="GP213" i="11"/>
  <c r="GT213" i="11"/>
  <c r="GW214" i="11"/>
  <c r="GA220" i="11"/>
  <c r="GA112" i="11"/>
  <c r="GA106" i="11"/>
  <c r="GW100" i="11"/>
  <c r="GT99" i="11"/>
  <c r="GP99" i="11"/>
  <c r="GL99" i="11"/>
  <c r="GV97" i="11"/>
  <c r="GR97" i="11"/>
  <c r="GN97" i="11"/>
  <c r="GJ97" i="11"/>
  <c r="GV95" i="11"/>
  <c r="GA94" i="11"/>
  <c r="GA107" i="11"/>
  <c r="GA103" i="11"/>
  <c r="GU99" i="11"/>
  <c r="GQ99" i="11"/>
  <c r="GM99" i="11"/>
  <c r="GF99" i="11"/>
  <c r="GU97" i="11"/>
  <c r="GQ97" i="11"/>
  <c r="GM97" i="11"/>
  <c r="GF97" i="11"/>
  <c r="GP95" i="11"/>
  <c r="GJ94" i="11"/>
  <c r="GA110" i="11"/>
  <c r="GA102" i="11"/>
  <c r="GV99" i="11"/>
  <c r="GR99" i="11"/>
  <c r="GN99" i="11"/>
  <c r="GJ99" i="11"/>
  <c r="GT97" i="11"/>
  <c r="GP97" i="11"/>
  <c r="GL97" i="11"/>
  <c r="GA97" i="11"/>
  <c r="GM95" i="11"/>
  <c r="GA111" i="11"/>
  <c r="GA105" i="11"/>
  <c r="GA101" i="11"/>
  <c r="GS99" i="11"/>
  <c r="GO99" i="11"/>
  <c r="GK99" i="11"/>
  <c r="GW97" i="11"/>
  <c r="GS97" i="11"/>
  <c r="GO97" i="11"/>
  <c r="GK97" i="11"/>
  <c r="GW95" i="11"/>
  <c r="GJ95" i="11"/>
  <c r="GA64" i="11"/>
  <c r="GA56" i="11"/>
  <c r="GV53" i="11"/>
  <c r="GR53" i="11"/>
  <c r="GN53" i="11"/>
  <c r="GJ53" i="11"/>
  <c r="GT51" i="11"/>
  <c r="GP51" i="11"/>
  <c r="GL51" i="11"/>
  <c r="GA51" i="11"/>
  <c r="GM49" i="11"/>
  <c r="GA65" i="11"/>
  <c r="GA59" i="11"/>
  <c r="GA55" i="11"/>
  <c r="GS53" i="11"/>
  <c r="GO53" i="11"/>
  <c r="GK53" i="11"/>
  <c r="GW51" i="11"/>
  <c r="GS51" i="11"/>
  <c r="GO51" i="11"/>
  <c r="GK51" i="11"/>
  <c r="GW49" i="11"/>
  <c r="GJ49" i="11"/>
  <c r="GA66" i="11"/>
  <c r="GA60" i="11"/>
  <c r="GW54" i="11"/>
  <c r="GT53" i="11"/>
  <c r="GP53" i="11"/>
  <c r="GL53" i="11"/>
  <c r="GV51" i="11"/>
  <c r="GR51" i="11"/>
  <c r="GN51" i="11"/>
  <c r="GJ51" i="11"/>
  <c r="GV49" i="11"/>
  <c r="GA48" i="11"/>
  <c r="GA61" i="11"/>
  <c r="GA57" i="11"/>
  <c r="GU53" i="11"/>
  <c r="GQ53" i="11"/>
  <c r="GM53" i="11"/>
  <c r="GF53" i="11"/>
  <c r="GU51" i="11"/>
  <c r="GQ51" i="11"/>
  <c r="GM51" i="11"/>
  <c r="GF51" i="11"/>
  <c r="GP49" i="11"/>
  <c r="GJ48" i="11"/>
  <c r="GA44" i="11"/>
  <c r="GV28" i="11"/>
  <c r="GJ30" i="11"/>
  <c r="GN30" i="11"/>
  <c r="GR30" i="11"/>
  <c r="GV30" i="11"/>
  <c r="GL32" i="11"/>
  <c r="GP32" i="11"/>
  <c r="GT32" i="11"/>
  <c r="GW33" i="11"/>
  <c r="GA39" i="11"/>
  <c r="GA45" i="11"/>
  <c r="GJ28" i="11"/>
  <c r="GW28" i="11"/>
  <c r="GK30" i="11"/>
  <c r="GO30" i="11"/>
  <c r="GS30" i="11"/>
  <c r="GW30" i="11"/>
  <c r="GK32" i="11"/>
  <c r="GO32" i="11"/>
  <c r="GS32" i="11"/>
  <c r="GA34" i="11"/>
  <c r="GA38" i="11"/>
  <c r="GA27" i="11"/>
  <c r="GM28" i="11"/>
  <c r="GA30" i="11"/>
  <c r="GL30" i="11"/>
  <c r="GP30" i="11"/>
  <c r="GT30" i="11"/>
  <c r="GJ32" i="11"/>
  <c r="GN32" i="11"/>
  <c r="GR32" i="11"/>
  <c r="GV32" i="11"/>
  <c r="GA35" i="11"/>
  <c r="GA43" i="11"/>
  <c r="GJ27" i="11"/>
  <c r="GP28" i="11"/>
  <c r="GF30" i="11"/>
  <c r="GM30" i="11"/>
  <c r="GQ30" i="11"/>
  <c r="GU30" i="11"/>
  <c r="GF32" i="11"/>
  <c r="GM32" i="11"/>
  <c r="GQ32" i="11"/>
  <c r="GU32" i="11"/>
  <c r="GA36" i="11"/>
  <c r="GA40" i="11"/>
  <c r="BA410" i="11"/>
  <c r="BA404" i="11"/>
  <c r="BW398" i="11"/>
  <c r="BT397" i="11"/>
  <c r="BP397" i="11"/>
  <c r="BL397" i="11"/>
  <c r="BV395" i="11"/>
  <c r="BR395" i="11"/>
  <c r="BN395" i="11"/>
  <c r="BJ395" i="11"/>
  <c r="BV393" i="11"/>
  <c r="BA392" i="11"/>
  <c r="BA405" i="11"/>
  <c r="BA401" i="11"/>
  <c r="BU397" i="11"/>
  <c r="BQ397" i="11"/>
  <c r="BM397" i="11"/>
  <c r="BF397" i="11"/>
  <c r="BU395" i="11"/>
  <c r="BQ395" i="11"/>
  <c r="BM395" i="11"/>
  <c r="BF395" i="11"/>
  <c r="BP393" i="11"/>
  <c r="BJ392" i="11"/>
  <c r="BA408" i="11"/>
  <c r="BA400" i="11"/>
  <c r="BV397" i="11"/>
  <c r="BR397" i="11"/>
  <c r="BN397" i="11"/>
  <c r="BJ397" i="11"/>
  <c r="BT395" i="11"/>
  <c r="BP395" i="11"/>
  <c r="BL395" i="11"/>
  <c r="BA395" i="11"/>
  <c r="BM393" i="11"/>
  <c r="BA409" i="11"/>
  <c r="BA403" i="11"/>
  <c r="BA399" i="11"/>
  <c r="BS397" i="11"/>
  <c r="BO397" i="11"/>
  <c r="BK397" i="11"/>
  <c r="BW395" i="11"/>
  <c r="BS395" i="11"/>
  <c r="BO395" i="11"/>
  <c r="BK395" i="11"/>
  <c r="BW393" i="11"/>
  <c r="BJ393" i="11"/>
  <c r="BA294" i="11"/>
  <c r="BM279" i="11"/>
  <c r="BL281" i="11"/>
  <c r="BT281" i="11"/>
  <c r="BL283" i="11"/>
  <c r="BT283" i="11"/>
  <c r="BA291" i="11"/>
  <c r="BA287" i="11"/>
  <c r="BU283" i="11"/>
  <c r="BQ283" i="11"/>
  <c r="BM283" i="11"/>
  <c r="BF283" i="11"/>
  <c r="BU281" i="11"/>
  <c r="BQ281" i="11"/>
  <c r="BM281" i="11"/>
  <c r="BF281" i="11"/>
  <c r="BP279" i="11"/>
  <c r="BJ278" i="11"/>
  <c r="BV279" i="11"/>
  <c r="BN281" i="11"/>
  <c r="BV281" i="11"/>
  <c r="BN283" i="11"/>
  <c r="BV283" i="11"/>
  <c r="BA290" i="11"/>
  <c r="BA278" i="11"/>
  <c r="BA281" i="11"/>
  <c r="BP281" i="11"/>
  <c r="BP283" i="11"/>
  <c r="BW284" i="11"/>
  <c r="BA295" i="11"/>
  <c r="BA289" i="11"/>
  <c r="BA285" i="11"/>
  <c r="BS283" i="11"/>
  <c r="BO283" i="11"/>
  <c r="BK283" i="11"/>
  <c r="BW281" i="11"/>
  <c r="BS281" i="11"/>
  <c r="BO281" i="11"/>
  <c r="BK281" i="11"/>
  <c r="BW279" i="11"/>
  <c r="BJ279" i="11"/>
  <c r="BJ281" i="11"/>
  <c r="BR281" i="11"/>
  <c r="BJ283" i="11"/>
  <c r="BR283" i="11"/>
  <c r="BA286" i="11"/>
  <c r="BA296" i="11"/>
  <c r="BA134" i="11"/>
  <c r="BJ116" i="11"/>
  <c r="BP117" i="11"/>
  <c r="BF119" i="11"/>
  <c r="BM119" i="11"/>
  <c r="BQ119" i="11"/>
  <c r="BU119" i="11"/>
  <c r="BF121" i="11"/>
  <c r="BM121" i="11"/>
  <c r="BQ121" i="11"/>
  <c r="BU121" i="11"/>
  <c r="BJ117" i="11"/>
  <c r="BW117" i="11"/>
  <c r="BK119" i="11"/>
  <c r="BO119" i="11"/>
  <c r="BS119" i="11"/>
  <c r="BW119" i="11"/>
  <c r="BK121" i="11"/>
  <c r="BO121" i="11"/>
  <c r="BS121" i="11"/>
  <c r="BA123" i="11"/>
  <c r="BA127" i="11"/>
  <c r="BA133" i="11"/>
  <c r="BA116" i="11"/>
  <c r="BM117" i="11"/>
  <c r="BA119" i="11"/>
  <c r="BL119" i="11"/>
  <c r="BP119" i="11"/>
  <c r="BT119" i="11"/>
  <c r="BJ121" i="11"/>
  <c r="BN121" i="11"/>
  <c r="BR121" i="11"/>
  <c r="BV121" i="11"/>
  <c r="BA124" i="11"/>
  <c r="BA132" i="11"/>
  <c r="BA125" i="11"/>
  <c r="BA129" i="11"/>
  <c r="BV117" i="11"/>
  <c r="BJ119" i="11"/>
  <c r="BN119" i="11"/>
  <c r="BR119" i="11"/>
  <c r="BV119" i="11"/>
  <c r="BL121" i="11"/>
  <c r="BP121" i="11"/>
  <c r="BT121" i="11"/>
  <c r="BW122" i="11"/>
  <c r="BA128" i="11"/>
  <c r="HA363" i="11"/>
  <c r="HA346" i="11"/>
  <c r="HM347" i="11"/>
  <c r="HA349" i="11"/>
  <c r="HL349" i="11"/>
  <c r="HP349" i="11"/>
  <c r="HT349" i="11"/>
  <c r="HJ351" i="11"/>
  <c r="HN351" i="11"/>
  <c r="HR351" i="11"/>
  <c r="HV351" i="11"/>
  <c r="HA354" i="11"/>
  <c r="HA362" i="11"/>
  <c r="HJ346" i="11"/>
  <c r="HP347" i="11"/>
  <c r="HF349" i="11"/>
  <c r="HM349" i="11"/>
  <c r="HQ349" i="11"/>
  <c r="HU349" i="11"/>
  <c r="HF351" i="11"/>
  <c r="HM351" i="11"/>
  <c r="HQ351" i="11"/>
  <c r="HU351" i="11"/>
  <c r="HA355" i="11"/>
  <c r="HA359" i="11"/>
  <c r="HV347" i="11"/>
  <c r="HJ349" i="11"/>
  <c r="HN349" i="11"/>
  <c r="HR349" i="11"/>
  <c r="HV349" i="11"/>
  <c r="HL351" i="11"/>
  <c r="HP351" i="11"/>
  <c r="HT351" i="11"/>
  <c r="HW352" i="11"/>
  <c r="HA358" i="11"/>
  <c r="HA364" i="11"/>
  <c r="HJ347" i="11"/>
  <c r="HW347" i="11"/>
  <c r="HK349" i="11"/>
  <c r="HO349" i="11"/>
  <c r="HS349" i="11"/>
  <c r="HW349" i="11"/>
  <c r="HK351" i="11"/>
  <c r="HO351" i="11"/>
  <c r="HS351" i="11"/>
  <c r="HA353" i="11"/>
  <c r="HA357" i="11"/>
  <c r="HA175" i="11"/>
  <c r="HA169" i="11"/>
  <c r="HQ167" i="11"/>
  <c r="HF167" i="11"/>
  <c r="HQ165" i="11"/>
  <c r="HF165" i="11"/>
  <c r="HJ162" i="11"/>
  <c r="HU167" i="11"/>
  <c r="HM167" i="11"/>
  <c r="HU165" i="11"/>
  <c r="HM165" i="11"/>
  <c r="HP163" i="11"/>
  <c r="HA180" i="11"/>
  <c r="HA174" i="11"/>
  <c r="HW168" i="11"/>
  <c r="HT167" i="11"/>
  <c r="HP167" i="11"/>
  <c r="HL167" i="11"/>
  <c r="HV165" i="11"/>
  <c r="HR165" i="11"/>
  <c r="HN165" i="11"/>
  <c r="HJ165" i="11"/>
  <c r="HV163" i="11"/>
  <c r="HA162" i="11"/>
  <c r="HW163" i="11"/>
  <c r="HO165" i="11"/>
  <c r="HW165" i="11"/>
  <c r="HO167" i="11"/>
  <c r="HA171" i="11"/>
  <c r="HA179" i="11"/>
  <c r="HA178" i="11"/>
  <c r="HA170" i="11"/>
  <c r="HV167" i="11"/>
  <c r="HR167" i="11"/>
  <c r="HN167" i="11"/>
  <c r="HJ167" i="11"/>
  <c r="HT165" i="11"/>
  <c r="HP165" i="11"/>
  <c r="HL165" i="11"/>
  <c r="HA165" i="11"/>
  <c r="HM163" i="11"/>
  <c r="HJ163" i="11"/>
  <c r="HK165" i="11"/>
  <c r="HS165" i="11"/>
  <c r="HK167" i="11"/>
  <c r="HS167" i="11"/>
  <c r="HA173" i="11"/>
  <c r="HA88" i="11"/>
  <c r="HJ71" i="11"/>
  <c r="HW71" i="11"/>
  <c r="HK73" i="11"/>
  <c r="HO73" i="11"/>
  <c r="HS73" i="11"/>
  <c r="HW73" i="11"/>
  <c r="HK75" i="11"/>
  <c r="HO75" i="11"/>
  <c r="HS75" i="11"/>
  <c r="HA77" i="11"/>
  <c r="HA81" i="11"/>
  <c r="HA87" i="11"/>
  <c r="HA70" i="11"/>
  <c r="HM71" i="11"/>
  <c r="HA73" i="11"/>
  <c r="HL73" i="11"/>
  <c r="HP73" i="11"/>
  <c r="HT73" i="11"/>
  <c r="HJ75" i="11"/>
  <c r="HN75" i="11"/>
  <c r="HR75" i="11"/>
  <c r="HV75" i="11"/>
  <c r="HA78" i="11"/>
  <c r="HA86" i="11"/>
  <c r="HJ70" i="11"/>
  <c r="HP71" i="11"/>
  <c r="HF73" i="11"/>
  <c r="HM73" i="11"/>
  <c r="HQ73" i="11"/>
  <c r="HU73" i="11"/>
  <c r="HF75" i="11"/>
  <c r="HM75" i="11"/>
  <c r="HQ75" i="11"/>
  <c r="HU75" i="11"/>
  <c r="HA79" i="11"/>
  <c r="HA83" i="11"/>
  <c r="HV71" i="11"/>
  <c r="HJ73" i="11"/>
  <c r="HN73" i="11"/>
  <c r="HR73" i="11"/>
  <c r="HV73" i="11"/>
  <c r="HL75" i="11"/>
  <c r="HP75" i="11"/>
  <c r="HT75" i="11"/>
  <c r="HW76" i="11"/>
  <c r="HA82" i="11"/>
  <c r="HA317" i="11"/>
  <c r="HA311" i="11"/>
  <c r="HA307" i="11"/>
  <c r="HS305" i="11"/>
  <c r="HO305" i="11"/>
  <c r="HK305" i="11"/>
  <c r="HA318" i="11"/>
  <c r="HA312" i="11"/>
  <c r="HW306" i="11"/>
  <c r="HT305" i="11"/>
  <c r="HP305" i="11"/>
  <c r="HL305" i="11"/>
  <c r="HV303" i="11"/>
  <c r="HR303" i="11"/>
  <c r="HN303" i="11"/>
  <c r="HJ303" i="11"/>
  <c r="HV301" i="11"/>
  <c r="HA300" i="11"/>
  <c r="HW301" i="11"/>
  <c r="HO303" i="11"/>
  <c r="HW303" i="11"/>
  <c r="HJ300" i="11"/>
  <c r="HF303" i="11"/>
  <c r="HQ303" i="11"/>
  <c r="HA313" i="11"/>
  <c r="HA309" i="11"/>
  <c r="HU305" i="11"/>
  <c r="HQ305" i="11"/>
  <c r="HM305" i="11"/>
  <c r="HF305" i="11"/>
  <c r="HA316" i="11"/>
  <c r="HA308" i="11"/>
  <c r="HV305" i="11"/>
  <c r="HR305" i="11"/>
  <c r="HN305" i="11"/>
  <c r="HJ305" i="11"/>
  <c r="HT303" i="11"/>
  <c r="HP303" i="11"/>
  <c r="HL303" i="11"/>
  <c r="HA303" i="11"/>
  <c r="HM301" i="11"/>
  <c r="HJ301" i="11"/>
  <c r="HK303" i="11"/>
  <c r="HS303" i="11"/>
  <c r="HP301" i="11"/>
  <c r="HM303" i="11"/>
  <c r="HU303" i="11"/>
  <c r="HA158" i="11"/>
  <c r="HA140" i="11"/>
  <c r="HM141" i="11"/>
  <c r="HA143" i="11"/>
  <c r="HL143" i="11"/>
  <c r="HP143" i="11"/>
  <c r="HT143" i="11"/>
  <c r="HJ145" i="11"/>
  <c r="HN145" i="11"/>
  <c r="HR145" i="11"/>
  <c r="HA148" i="11"/>
  <c r="HA157" i="11"/>
  <c r="HA151" i="11"/>
  <c r="HA147" i="11"/>
  <c r="HS145" i="11"/>
  <c r="HJ141" i="11"/>
  <c r="HW141" i="11"/>
  <c r="HK143" i="11"/>
  <c r="HO143" i="11"/>
  <c r="HS143" i="11"/>
  <c r="HW143" i="11"/>
  <c r="HK145" i="11"/>
  <c r="HO145" i="11"/>
  <c r="HT145" i="11"/>
  <c r="HA156" i="11"/>
  <c r="HV141" i="11"/>
  <c r="HJ143" i="11"/>
  <c r="HN143" i="11"/>
  <c r="HR143" i="11"/>
  <c r="HV143" i="11"/>
  <c r="HL145" i="11"/>
  <c r="HP145" i="11"/>
  <c r="HV145" i="11"/>
  <c r="HA152" i="11"/>
  <c r="HA153" i="11"/>
  <c r="HA149" i="11"/>
  <c r="HU145" i="11"/>
  <c r="HJ140" i="11"/>
  <c r="HP141" i="11"/>
  <c r="HF143" i="11"/>
  <c r="HM143" i="11"/>
  <c r="HQ143" i="11"/>
  <c r="HU143" i="11"/>
  <c r="HF145" i="11"/>
  <c r="HM145" i="11"/>
  <c r="HQ145" i="11"/>
  <c r="HW146" i="11"/>
  <c r="GA448" i="11"/>
  <c r="GA426" i="11"/>
  <c r="GA402" i="11"/>
  <c r="GA380" i="11"/>
  <c r="GA334" i="11"/>
  <c r="GA310" i="11"/>
  <c r="GA264" i="11"/>
  <c r="GA242" i="11"/>
  <c r="GA196" i="11"/>
  <c r="GA172" i="11"/>
  <c r="GA150" i="11"/>
  <c r="GA356" i="11"/>
  <c r="GA288" i="11"/>
  <c r="GA218" i="11"/>
  <c r="GA104" i="11"/>
  <c r="GA58" i="11"/>
  <c r="GA37" i="11"/>
  <c r="GA126" i="11"/>
  <c r="GA80" i="11"/>
  <c r="EA448" i="11"/>
  <c r="EA426" i="11"/>
  <c r="EA402" i="11"/>
  <c r="EA380" i="11"/>
  <c r="EA334" i="11"/>
  <c r="EA310" i="11"/>
  <c r="EA264" i="11"/>
  <c r="EA242" i="11"/>
  <c r="EA196" i="11"/>
  <c r="EA172" i="11"/>
  <c r="EA150" i="11"/>
  <c r="EA126" i="11"/>
  <c r="EA104" i="11"/>
  <c r="EA58" i="11"/>
  <c r="EA37" i="11"/>
  <c r="EA356" i="11"/>
  <c r="EA288" i="11"/>
  <c r="EA218" i="11"/>
  <c r="EA80" i="11"/>
  <c r="CA356" i="11"/>
  <c r="CA288" i="11"/>
  <c r="CA218" i="11"/>
  <c r="CA126" i="11"/>
  <c r="CA104" i="11"/>
  <c r="CA58" i="11"/>
  <c r="CA37" i="11"/>
  <c r="CA448" i="11"/>
  <c r="CA426" i="11"/>
  <c r="CA402" i="11"/>
  <c r="CA380" i="11"/>
  <c r="CA334" i="11"/>
  <c r="CA310" i="11"/>
  <c r="CA264" i="11"/>
  <c r="CA242" i="11"/>
  <c r="CA196" i="11"/>
  <c r="CA172" i="11"/>
  <c r="CA150" i="11"/>
  <c r="CA80" i="11"/>
  <c r="AA448" i="11"/>
  <c r="AA426" i="11"/>
  <c r="AA402" i="11"/>
  <c r="AA380" i="11"/>
  <c r="AA356" i="11"/>
  <c r="AA310" i="11"/>
  <c r="AA288" i="11"/>
  <c r="AA172" i="11"/>
  <c r="AA104" i="11"/>
  <c r="AA334" i="11"/>
  <c r="AA264" i="11"/>
  <c r="AA242" i="11"/>
  <c r="AA218" i="11"/>
  <c r="AA196" i="11"/>
  <c r="AA150" i="11"/>
  <c r="AA126" i="11"/>
  <c r="AA80" i="11"/>
  <c r="AA58" i="11"/>
  <c r="AA37" i="11"/>
  <c r="DA454" i="11"/>
  <c r="DA446" i="11"/>
  <c r="DV443" i="11"/>
  <c r="DR443" i="11"/>
  <c r="DN443" i="11"/>
  <c r="DJ443" i="11"/>
  <c r="DT441" i="11"/>
  <c r="DP441" i="11"/>
  <c r="DL441" i="11"/>
  <c r="DA441" i="11"/>
  <c r="DM439" i="11"/>
  <c r="DA455" i="11"/>
  <c r="DA449" i="11"/>
  <c r="DA445" i="11"/>
  <c r="DS443" i="11"/>
  <c r="DO443" i="11"/>
  <c r="DK443" i="11"/>
  <c r="DW441" i="11"/>
  <c r="DS441" i="11"/>
  <c r="DO441" i="11"/>
  <c r="DK441" i="11"/>
  <c r="DW439" i="11"/>
  <c r="DJ439" i="11"/>
  <c r="DA456" i="11"/>
  <c r="DA450" i="11"/>
  <c r="DW444" i="11"/>
  <c r="DT443" i="11"/>
  <c r="DP443" i="11"/>
  <c r="DL443" i="11"/>
  <c r="DV441" i="11"/>
  <c r="DR441" i="11"/>
  <c r="DN441" i="11"/>
  <c r="DJ441" i="11"/>
  <c r="DV439" i="11"/>
  <c r="DA438" i="11"/>
  <c r="DA451" i="11"/>
  <c r="DA447" i="11"/>
  <c r="DU443" i="11"/>
  <c r="DQ443" i="11"/>
  <c r="DM443" i="11"/>
  <c r="DF443" i="11"/>
  <c r="DU441" i="11"/>
  <c r="DQ441" i="11"/>
  <c r="DM441" i="11"/>
  <c r="DF441" i="11"/>
  <c r="DP439" i="11"/>
  <c r="DJ438" i="11"/>
  <c r="DA363" i="11"/>
  <c r="DV347" i="11"/>
  <c r="DJ349" i="11"/>
  <c r="DN349" i="11"/>
  <c r="DR349" i="11"/>
  <c r="DV349" i="11"/>
  <c r="DL351" i="11"/>
  <c r="DP351" i="11"/>
  <c r="DT351" i="11"/>
  <c r="DW352" i="11"/>
  <c r="DA358" i="11"/>
  <c r="DA364" i="11"/>
  <c r="DJ347" i="11"/>
  <c r="DW347" i="11"/>
  <c r="DK349" i="11"/>
  <c r="DO349" i="11"/>
  <c r="DS349" i="11"/>
  <c r="DW349" i="11"/>
  <c r="DK351" i="11"/>
  <c r="DO351" i="11"/>
  <c r="DS351" i="11"/>
  <c r="DA353" i="11"/>
  <c r="DA357" i="11"/>
  <c r="DA346" i="11"/>
  <c r="DM347" i="11"/>
  <c r="DA349" i="11"/>
  <c r="DL349" i="11"/>
  <c r="DP349" i="11"/>
  <c r="DT349" i="11"/>
  <c r="DJ351" i="11"/>
  <c r="DN351" i="11"/>
  <c r="DR351" i="11"/>
  <c r="DV351" i="11"/>
  <c r="DA354" i="11"/>
  <c r="DA362" i="11"/>
  <c r="DJ346" i="11"/>
  <c r="DP347" i="11"/>
  <c r="DF349" i="11"/>
  <c r="DM349" i="11"/>
  <c r="DQ349" i="11"/>
  <c r="DU349" i="11"/>
  <c r="DF351" i="11"/>
  <c r="DM351" i="11"/>
  <c r="DQ351" i="11"/>
  <c r="DU351" i="11"/>
  <c r="DA355" i="11"/>
  <c r="DA359" i="11"/>
  <c r="DA313" i="11"/>
  <c r="DA309" i="11"/>
  <c r="DU305" i="11"/>
  <c r="DQ305" i="11"/>
  <c r="DM305" i="11"/>
  <c r="DF305" i="11"/>
  <c r="DA316" i="11"/>
  <c r="DA308" i="11"/>
  <c r="DV305" i="11"/>
  <c r="DR305" i="11"/>
  <c r="DN305" i="11"/>
  <c r="DJ305" i="11"/>
  <c r="DT303" i="11"/>
  <c r="DP303" i="11"/>
  <c r="DL303" i="11"/>
  <c r="DA303" i="11"/>
  <c r="DM301" i="11"/>
  <c r="DJ301" i="11"/>
  <c r="DK303" i="11"/>
  <c r="DS303" i="11"/>
  <c r="DP301" i="11"/>
  <c r="DM303" i="11"/>
  <c r="DU303" i="11"/>
  <c r="DA317" i="11"/>
  <c r="DA311" i="11"/>
  <c r="DA307" i="11"/>
  <c r="DS305" i="11"/>
  <c r="DO305" i="11"/>
  <c r="DK305" i="11"/>
  <c r="DA318" i="11"/>
  <c r="DA312" i="11"/>
  <c r="DW306" i="11"/>
  <c r="DT305" i="11"/>
  <c r="DP305" i="11"/>
  <c r="DL305" i="11"/>
  <c r="DV303" i="11"/>
  <c r="DR303" i="11"/>
  <c r="DN303" i="11"/>
  <c r="DJ303" i="11"/>
  <c r="DV301" i="11"/>
  <c r="DA300" i="11"/>
  <c r="DW301" i="11"/>
  <c r="DO303" i="11"/>
  <c r="DW303" i="11"/>
  <c r="DJ300" i="11"/>
  <c r="DF303" i="11"/>
  <c r="DQ303" i="11"/>
  <c r="DA202" i="11"/>
  <c r="DA194" i="11"/>
  <c r="DV191" i="11"/>
  <c r="DR191" i="11"/>
  <c r="DN191" i="11"/>
  <c r="DJ191" i="11"/>
  <c r="DT189" i="11"/>
  <c r="DP189" i="11"/>
  <c r="DL189" i="11"/>
  <c r="DA189" i="11"/>
  <c r="DM187" i="11"/>
  <c r="DA203" i="11"/>
  <c r="DA197" i="11"/>
  <c r="DA193" i="11"/>
  <c r="DS191" i="11"/>
  <c r="DO191" i="11"/>
  <c r="DK191" i="11"/>
  <c r="DW189" i="11"/>
  <c r="DS189" i="11"/>
  <c r="DO189" i="11"/>
  <c r="DK189" i="11"/>
  <c r="DW187" i="11"/>
  <c r="DJ187" i="11"/>
  <c r="DA204" i="11"/>
  <c r="DA198" i="11"/>
  <c r="DW192" i="11"/>
  <c r="DT191" i="11"/>
  <c r="DP191" i="11"/>
  <c r="DL191" i="11"/>
  <c r="DV189" i="11"/>
  <c r="DR189" i="11"/>
  <c r="DN189" i="11"/>
  <c r="DJ189" i="11"/>
  <c r="DV187" i="11"/>
  <c r="DA186" i="11"/>
  <c r="DA199" i="11"/>
  <c r="DA195" i="11"/>
  <c r="DU191" i="11"/>
  <c r="DQ191" i="11"/>
  <c r="DM191" i="11"/>
  <c r="DF191" i="11"/>
  <c r="DU189" i="11"/>
  <c r="DQ189" i="11"/>
  <c r="DM189" i="11"/>
  <c r="DF189" i="11"/>
  <c r="DP187" i="11"/>
  <c r="DJ186" i="11"/>
  <c r="DA157" i="11"/>
  <c r="DA151" i="11"/>
  <c r="DA147" i="11"/>
  <c r="DS145" i="11"/>
  <c r="DO145" i="11"/>
  <c r="DW146" i="11"/>
  <c r="DP145" i="11"/>
  <c r="DK145" i="11"/>
  <c r="DW143" i="11"/>
  <c r="DS143" i="11"/>
  <c r="DO143" i="11"/>
  <c r="DK143" i="11"/>
  <c r="DW141" i="11"/>
  <c r="DJ141" i="11"/>
  <c r="DA158" i="11"/>
  <c r="DA148" i="11"/>
  <c r="DR145" i="11"/>
  <c r="DL145" i="11"/>
  <c r="DV143" i="11"/>
  <c r="DR143" i="11"/>
  <c r="DN143" i="11"/>
  <c r="DJ143" i="11"/>
  <c r="DV141" i="11"/>
  <c r="DA140" i="11"/>
  <c r="DA153" i="11"/>
  <c r="DA149" i="11"/>
  <c r="DU145" i="11"/>
  <c r="DQ145" i="11"/>
  <c r="DA156" i="11"/>
  <c r="DT145" i="11"/>
  <c r="DM145" i="11"/>
  <c r="DF145" i="11"/>
  <c r="DU143" i="11"/>
  <c r="DQ143" i="11"/>
  <c r="DM143" i="11"/>
  <c r="DF143" i="11"/>
  <c r="DP141" i="11"/>
  <c r="DJ140" i="11"/>
  <c r="DA152" i="11"/>
  <c r="DV145" i="11"/>
  <c r="DN145" i="11"/>
  <c r="DJ145" i="11"/>
  <c r="DT143" i="11"/>
  <c r="DP143" i="11"/>
  <c r="DL143" i="11"/>
  <c r="DA143" i="11"/>
  <c r="DM141" i="11"/>
  <c r="DA45" i="11"/>
  <c r="DJ28" i="11"/>
  <c r="DW28" i="11"/>
  <c r="DK30" i="11"/>
  <c r="DO30" i="11"/>
  <c r="DS30" i="11"/>
  <c r="DW30" i="11"/>
  <c r="DK32" i="11"/>
  <c r="DO32" i="11"/>
  <c r="DS32" i="11"/>
  <c r="DA34" i="11"/>
  <c r="DA38" i="11"/>
  <c r="DA44" i="11"/>
  <c r="DA27" i="11"/>
  <c r="DM28" i="11"/>
  <c r="DA30" i="11"/>
  <c r="DL30" i="11"/>
  <c r="DP30" i="11"/>
  <c r="DT30" i="11"/>
  <c r="DJ32" i="11"/>
  <c r="DN32" i="11"/>
  <c r="DR32" i="11"/>
  <c r="DV32" i="11"/>
  <c r="DA35" i="11"/>
  <c r="DA43" i="11"/>
  <c r="DJ27" i="11"/>
  <c r="DP28" i="11"/>
  <c r="DF30" i="11"/>
  <c r="DM30" i="11"/>
  <c r="DQ30" i="11"/>
  <c r="DU30" i="11"/>
  <c r="DF32" i="11"/>
  <c r="DM32" i="11"/>
  <c r="DQ32" i="11"/>
  <c r="DU32" i="11"/>
  <c r="DA36" i="11"/>
  <c r="DA40" i="11"/>
  <c r="DV28" i="11"/>
  <c r="DJ30" i="11"/>
  <c r="DN30" i="11"/>
  <c r="DR30" i="11"/>
  <c r="DV30" i="11"/>
  <c r="DL32" i="11"/>
  <c r="DP32" i="11"/>
  <c r="DT32" i="11"/>
  <c r="DW33" i="11"/>
  <c r="DA39" i="11"/>
  <c r="FA408" i="11"/>
  <c r="FA400" i="11"/>
  <c r="FV397" i="11"/>
  <c r="FR397" i="11"/>
  <c r="FN397" i="11"/>
  <c r="FJ397" i="11"/>
  <c r="FT395" i="11"/>
  <c r="FP395" i="11"/>
  <c r="FL395" i="11"/>
  <c r="FA395" i="11"/>
  <c r="FM393" i="11"/>
  <c r="FA409" i="11"/>
  <c r="FA403" i="11"/>
  <c r="FA399" i="11"/>
  <c r="FS397" i="11"/>
  <c r="FO397" i="11"/>
  <c r="FK397" i="11"/>
  <c r="FW395" i="11"/>
  <c r="FS395" i="11"/>
  <c r="FO395" i="11"/>
  <c r="FK395" i="11"/>
  <c r="FW393" i="11"/>
  <c r="FJ393" i="11"/>
  <c r="FA410" i="11"/>
  <c r="FA404" i="11"/>
  <c r="FW398" i="11"/>
  <c r="FT397" i="11"/>
  <c r="FP397" i="11"/>
  <c r="FL397" i="11"/>
  <c r="FV395" i="11"/>
  <c r="FR395" i="11"/>
  <c r="FN395" i="11"/>
  <c r="FJ395" i="11"/>
  <c r="FV393" i="11"/>
  <c r="FA392" i="11"/>
  <c r="FA405" i="11"/>
  <c r="FA401" i="11"/>
  <c r="FU397" i="11"/>
  <c r="FQ397" i="11"/>
  <c r="FM397" i="11"/>
  <c r="FF397" i="11"/>
  <c r="FU395" i="11"/>
  <c r="FQ395" i="11"/>
  <c r="FM395" i="11"/>
  <c r="FF395" i="11"/>
  <c r="FP393" i="11"/>
  <c r="FJ392" i="11"/>
  <c r="FA226" i="11"/>
  <c r="FJ209" i="11"/>
  <c r="FW209" i="11"/>
  <c r="FK211" i="11"/>
  <c r="FO211" i="11"/>
  <c r="FS211" i="11"/>
  <c r="FW211" i="11"/>
  <c r="FK213" i="11"/>
  <c r="FO213" i="11"/>
  <c r="FS213" i="11"/>
  <c r="FA215" i="11"/>
  <c r="FA219" i="11"/>
  <c r="FA225" i="11"/>
  <c r="FV209" i="11"/>
  <c r="FJ211" i="11"/>
  <c r="FN211" i="11"/>
  <c r="FR211" i="11"/>
  <c r="FV211" i="11"/>
  <c r="FL213" i="11"/>
  <c r="FP213" i="11"/>
  <c r="FT213" i="11"/>
  <c r="FW214" i="11"/>
  <c r="FA220" i="11"/>
  <c r="FJ208" i="11"/>
  <c r="FP209" i="11"/>
  <c r="FF211" i="11"/>
  <c r="FM211" i="11"/>
  <c r="FQ211" i="11"/>
  <c r="FU211" i="11"/>
  <c r="FF213" i="11"/>
  <c r="FM213" i="11"/>
  <c r="FQ213" i="11"/>
  <c r="FU213" i="11"/>
  <c r="FA217" i="11"/>
  <c r="FA221" i="11"/>
  <c r="FA208" i="11"/>
  <c r="FM209" i="11"/>
  <c r="FA211" i="11"/>
  <c r="FL211" i="11"/>
  <c r="FP211" i="11"/>
  <c r="FT211" i="11"/>
  <c r="FJ213" i="11"/>
  <c r="FN213" i="11"/>
  <c r="FR213" i="11"/>
  <c r="FV213" i="11"/>
  <c r="FA216" i="11"/>
  <c r="FA224" i="11"/>
  <c r="FA133" i="11"/>
  <c r="FA116" i="11"/>
  <c r="FM117" i="11"/>
  <c r="FA119" i="11"/>
  <c r="FL119" i="11"/>
  <c r="FP119" i="11"/>
  <c r="FT119" i="11"/>
  <c r="FJ121" i="11"/>
  <c r="FN121" i="11"/>
  <c r="FR121" i="11"/>
  <c r="FV121" i="11"/>
  <c r="FA124" i="11"/>
  <c r="FA132" i="11"/>
  <c r="FJ116" i="11"/>
  <c r="FP117" i="11"/>
  <c r="FF119" i="11"/>
  <c r="FM119" i="11"/>
  <c r="FQ119" i="11"/>
  <c r="FU119" i="11"/>
  <c r="FF121" i="11"/>
  <c r="FM121" i="11"/>
  <c r="FQ121" i="11"/>
  <c r="FU121" i="11"/>
  <c r="FA125" i="11"/>
  <c r="FA129" i="11"/>
  <c r="FV117" i="11"/>
  <c r="FJ119" i="11"/>
  <c r="FN119" i="11"/>
  <c r="FR119" i="11"/>
  <c r="FV119" i="11"/>
  <c r="FL121" i="11"/>
  <c r="FP121" i="11"/>
  <c r="FT121" i="11"/>
  <c r="FW122" i="11"/>
  <c r="FA128" i="11"/>
  <c r="FA134" i="11"/>
  <c r="FJ117" i="11"/>
  <c r="FW117" i="11"/>
  <c r="FK119" i="11"/>
  <c r="FO119" i="11"/>
  <c r="FS119" i="11"/>
  <c r="FW119" i="11"/>
  <c r="FK121" i="11"/>
  <c r="FO121" i="11"/>
  <c r="FS121" i="11"/>
  <c r="FA123" i="11"/>
  <c r="FA127" i="11"/>
  <c r="FA433" i="11"/>
  <c r="FA416" i="11"/>
  <c r="FM417" i="11"/>
  <c r="FA419" i="11"/>
  <c r="FL419" i="11"/>
  <c r="FP419" i="11"/>
  <c r="FT419" i="11"/>
  <c r="FJ421" i="11"/>
  <c r="FN421" i="11"/>
  <c r="FR421" i="11"/>
  <c r="FV421" i="11"/>
  <c r="FA424" i="11"/>
  <c r="FA432" i="11"/>
  <c r="FJ416" i="11"/>
  <c r="FP417" i="11"/>
  <c r="FF419" i="11"/>
  <c r="FM419" i="11"/>
  <c r="FQ419" i="11"/>
  <c r="FU419" i="11"/>
  <c r="FF421" i="11"/>
  <c r="FM421" i="11"/>
  <c r="FQ421" i="11"/>
  <c r="FU421" i="11"/>
  <c r="FA425" i="11"/>
  <c r="FA429" i="11"/>
  <c r="FV417" i="11"/>
  <c r="FJ419" i="11"/>
  <c r="FN419" i="11"/>
  <c r="FR419" i="11"/>
  <c r="FV419" i="11"/>
  <c r="FL421" i="11"/>
  <c r="FP421" i="11"/>
  <c r="FT421" i="11"/>
  <c r="FW422" i="11"/>
  <c r="FA428" i="11"/>
  <c r="FA434" i="11"/>
  <c r="FJ417" i="11"/>
  <c r="FW417" i="11"/>
  <c r="FK419" i="11"/>
  <c r="FO419" i="11"/>
  <c r="FS419" i="11"/>
  <c r="FW419" i="11"/>
  <c r="FK421" i="11"/>
  <c r="FO421" i="11"/>
  <c r="FS421" i="11"/>
  <c r="FA423" i="11"/>
  <c r="FA427" i="11"/>
  <c r="FA250" i="11"/>
  <c r="FJ233" i="11"/>
  <c r="FW233" i="11"/>
  <c r="FK235" i="11"/>
  <c r="FO235" i="11"/>
  <c r="FS235" i="11"/>
  <c r="FW235" i="11"/>
  <c r="FK237" i="11"/>
  <c r="FO237" i="11"/>
  <c r="FS237" i="11"/>
  <c r="FA239" i="11"/>
  <c r="FA243" i="11"/>
  <c r="FA249" i="11"/>
  <c r="FA232" i="11"/>
  <c r="FM233" i="11"/>
  <c r="FA235" i="11"/>
  <c r="FL235" i="11"/>
  <c r="FP235" i="11"/>
  <c r="FT235" i="11"/>
  <c r="FJ237" i="11"/>
  <c r="FN237" i="11"/>
  <c r="FR237" i="11"/>
  <c r="FV237" i="11"/>
  <c r="FA240" i="11"/>
  <c r="FA248" i="11"/>
  <c r="FJ232" i="11"/>
  <c r="FP233" i="11"/>
  <c r="FF235" i="11"/>
  <c r="FM235" i="11"/>
  <c r="FQ235" i="11"/>
  <c r="FU235" i="11"/>
  <c r="FF237" i="11"/>
  <c r="FM237" i="11"/>
  <c r="FQ237" i="11"/>
  <c r="FU237" i="11"/>
  <c r="FA241" i="11"/>
  <c r="FA245" i="11"/>
  <c r="FV233" i="11"/>
  <c r="FJ235" i="11"/>
  <c r="FN235" i="11"/>
  <c r="FR235" i="11"/>
  <c r="FV235" i="11"/>
  <c r="FL237" i="11"/>
  <c r="FP237" i="11"/>
  <c r="FT237" i="11"/>
  <c r="FW238" i="11"/>
  <c r="FA244" i="11"/>
  <c r="AA295" i="11"/>
  <c r="AV279" i="11"/>
  <c r="AJ281" i="11"/>
  <c r="AN281" i="11"/>
  <c r="AR281" i="11"/>
  <c r="AV281" i="11"/>
  <c r="AL283" i="11"/>
  <c r="AP283" i="11"/>
  <c r="AT283" i="11"/>
  <c r="AW284" i="11"/>
  <c r="AA290" i="11"/>
  <c r="AA296" i="11"/>
  <c r="AJ278" i="11"/>
  <c r="AP279" i="11"/>
  <c r="AF281" i="11"/>
  <c r="AM281" i="11"/>
  <c r="AQ281" i="11"/>
  <c r="AU281" i="11"/>
  <c r="AF283" i="11"/>
  <c r="AM283" i="11"/>
  <c r="AQ283" i="11"/>
  <c r="AU283" i="11"/>
  <c r="AA287" i="11"/>
  <c r="AA291" i="11"/>
  <c r="AA278" i="11"/>
  <c r="AM279" i="11"/>
  <c r="AA281" i="11"/>
  <c r="AL281" i="11"/>
  <c r="AP281" i="11"/>
  <c r="AT281" i="11"/>
  <c r="AJ283" i="11"/>
  <c r="AN283" i="11"/>
  <c r="AR283" i="11"/>
  <c r="AV283" i="11"/>
  <c r="AA286" i="11"/>
  <c r="AA294" i="11"/>
  <c r="AJ279" i="11"/>
  <c r="AW279" i="11"/>
  <c r="AK281" i="11"/>
  <c r="AO281" i="11"/>
  <c r="AS281" i="11"/>
  <c r="AW281" i="11"/>
  <c r="AK283" i="11"/>
  <c r="AO283" i="11"/>
  <c r="AS283" i="11"/>
  <c r="AA285" i="11"/>
  <c r="AA289" i="11"/>
  <c r="AA267" i="11"/>
  <c r="AA263" i="11"/>
  <c r="AU259" i="11"/>
  <c r="AQ259" i="11"/>
  <c r="AM259" i="11"/>
  <c r="AF259" i="11"/>
  <c r="AU257" i="11"/>
  <c r="AQ257" i="11"/>
  <c r="AM257" i="11"/>
  <c r="AF257" i="11"/>
  <c r="AP255" i="11"/>
  <c r="AJ254" i="11"/>
  <c r="AA270" i="11"/>
  <c r="AA262" i="11"/>
  <c r="AV259" i="11"/>
  <c r="AR259" i="11"/>
  <c r="AN259" i="11"/>
  <c r="AJ259" i="11"/>
  <c r="AT257" i="11"/>
  <c r="AP257" i="11"/>
  <c r="AL257" i="11"/>
  <c r="AA257" i="11"/>
  <c r="AM255" i="11"/>
  <c r="AA271" i="11"/>
  <c r="AA265" i="11"/>
  <c r="AA261" i="11"/>
  <c r="AS259" i="11"/>
  <c r="AO259" i="11"/>
  <c r="AK259" i="11"/>
  <c r="AW257" i="11"/>
  <c r="AS257" i="11"/>
  <c r="AO257" i="11"/>
  <c r="AK257" i="11"/>
  <c r="AW255" i="11"/>
  <c r="AJ255" i="11"/>
  <c r="AA272" i="11"/>
  <c r="AA266" i="11"/>
  <c r="AW260" i="11"/>
  <c r="AT259" i="11"/>
  <c r="AP259" i="11"/>
  <c r="AL259" i="11"/>
  <c r="AV257" i="11"/>
  <c r="AR257" i="11"/>
  <c r="AN257" i="11"/>
  <c r="AJ257" i="11"/>
  <c r="AV255" i="11"/>
  <c r="AA254" i="11"/>
  <c r="AA129" i="11"/>
  <c r="AA123" i="11"/>
  <c r="AQ121" i="11"/>
  <c r="AF121" i="11"/>
  <c r="AQ119" i="11"/>
  <c r="AF119" i="11"/>
  <c r="AJ116" i="11"/>
  <c r="AU121" i="11"/>
  <c r="AM121" i="11"/>
  <c r="AU119" i="11"/>
  <c r="AM119" i="11"/>
  <c r="AP117" i="11"/>
  <c r="AA132" i="11"/>
  <c r="AA124" i="11"/>
  <c r="AV121" i="11"/>
  <c r="AR121" i="11"/>
  <c r="AN121" i="11"/>
  <c r="AJ121" i="11"/>
  <c r="AT119" i="11"/>
  <c r="AP119" i="11"/>
  <c r="AL119" i="11"/>
  <c r="AA119" i="11"/>
  <c r="AM117" i="11"/>
  <c r="AJ117" i="11"/>
  <c r="AK119" i="11"/>
  <c r="AS119" i="11"/>
  <c r="AK121" i="11"/>
  <c r="AS121" i="11"/>
  <c r="AA127" i="11"/>
  <c r="AA134" i="11"/>
  <c r="AA128" i="11"/>
  <c r="AW122" i="11"/>
  <c r="AT121" i="11"/>
  <c r="AP121" i="11"/>
  <c r="AL121" i="11"/>
  <c r="AV119" i="11"/>
  <c r="AR119" i="11"/>
  <c r="AN119" i="11"/>
  <c r="AJ119" i="11"/>
  <c r="AV117" i="11"/>
  <c r="AA116" i="11"/>
  <c r="AW117" i="11"/>
  <c r="AO119" i="11"/>
  <c r="AW119" i="11"/>
  <c r="AO121" i="11"/>
  <c r="AA125" i="11"/>
  <c r="AA133" i="11"/>
  <c r="AA340" i="11"/>
  <c r="AW330" i="11"/>
  <c r="AP329" i="11"/>
  <c r="AP327" i="11"/>
  <c r="AA327" i="11"/>
  <c r="AA324" i="11"/>
  <c r="AT329" i="11"/>
  <c r="AL329" i="11"/>
  <c r="AT327" i="11"/>
  <c r="AL327" i="11"/>
  <c r="AM325" i="11"/>
  <c r="AA341" i="11"/>
  <c r="AA335" i="11"/>
  <c r="AA331" i="11"/>
  <c r="AS329" i="11"/>
  <c r="AO329" i="11"/>
  <c r="AK329" i="11"/>
  <c r="AW327" i="11"/>
  <c r="AS327" i="11"/>
  <c r="AO327" i="11"/>
  <c r="AK327" i="11"/>
  <c r="AW325" i="11"/>
  <c r="AJ325" i="11"/>
  <c r="AJ327" i="11"/>
  <c r="AR327" i="11"/>
  <c r="AJ329" i="11"/>
  <c r="AR329" i="11"/>
  <c r="AA332" i="11"/>
  <c r="AA342" i="11"/>
  <c r="AA337" i="11"/>
  <c r="AA333" i="11"/>
  <c r="AU329" i="11"/>
  <c r="AQ329" i="11"/>
  <c r="AM329" i="11"/>
  <c r="AF329" i="11"/>
  <c r="AU327" i="11"/>
  <c r="AQ327" i="11"/>
  <c r="AM327" i="11"/>
  <c r="AF327" i="11"/>
  <c r="AP325" i="11"/>
  <c r="AJ324" i="11"/>
  <c r="AV325" i="11"/>
  <c r="AN327" i="11"/>
  <c r="AV327" i="11"/>
  <c r="AN329" i="11"/>
  <c r="AV329" i="11"/>
  <c r="AA336" i="11"/>
  <c r="CA199" i="11"/>
  <c r="CA195" i="11"/>
  <c r="CU191" i="11"/>
  <c r="CQ191" i="11"/>
  <c r="CM191" i="11"/>
  <c r="CF191" i="11"/>
  <c r="CU189" i="11"/>
  <c r="CQ189" i="11"/>
  <c r="CM189" i="11"/>
  <c r="CF189" i="11"/>
  <c r="CP187" i="11"/>
  <c r="CJ186" i="11"/>
  <c r="CA202" i="11"/>
  <c r="CA194" i="11"/>
  <c r="CV191" i="11"/>
  <c r="CR191" i="11"/>
  <c r="CN191" i="11"/>
  <c r="CJ191" i="11"/>
  <c r="CT189" i="11"/>
  <c r="CP189" i="11"/>
  <c r="CL189" i="11"/>
  <c r="CA189" i="11"/>
  <c r="CM187" i="11"/>
  <c r="CA203" i="11"/>
  <c r="CA197" i="11"/>
  <c r="CA193" i="11"/>
  <c r="CS191" i="11"/>
  <c r="CO191" i="11"/>
  <c r="CK191" i="11"/>
  <c r="CW189" i="11"/>
  <c r="CS189" i="11"/>
  <c r="CO189" i="11"/>
  <c r="CK189" i="11"/>
  <c r="CW187" i="11"/>
  <c r="CJ187" i="11"/>
  <c r="CA204" i="11"/>
  <c r="CA198" i="11"/>
  <c r="CW192" i="11"/>
  <c r="CT191" i="11"/>
  <c r="CP191" i="11"/>
  <c r="CL191" i="11"/>
  <c r="CV189" i="11"/>
  <c r="CR189" i="11"/>
  <c r="CN189" i="11"/>
  <c r="CJ189" i="11"/>
  <c r="CV187" i="11"/>
  <c r="CA186" i="11"/>
  <c r="CA295" i="11"/>
  <c r="CA289" i="11"/>
  <c r="CA285" i="11"/>
  <c r="CS283" i="11"/>
  <c r="CO283" i="11"/>
  <c r="CK283" i="11"/>
  <c r="CW281" i="11"/>
  <c r="CS281" i="11"/>
  <c r="CO281" i="11"/>
  <c r="CK281" i="11"/>
  <c r="CW279" i="11"/>
  <c r="CJ279" i="11"/>
  <c r="CA296" i="11"/>
  <c r="CA290" i="11"/>
  <c r="CW284" i="11"/>
  <c r="CT283" i="11"/>
  <c r="CP283" i="11"/>
  <c r="CL283" i="11"/>
  <c r="CV281" i="11"/>
  <c r="CR281" i="11"/>
  <c r="CN281" i="11"/>
  <c r="CJ281" i="11"/>
  <c r="CV279" i="11"/>
  <c r="CA278" i="11"/>
  <c r="CA291" i="11"/>
  <c r="CA287" i="11"/>
  <c r="CU283" i="11"/>
  <c r="CQ283" i="11"/>
  <c r="CM283" i="11"/>
  <c r="CF283" i="11"/>
  <c r="CU281" i="11"/>
  <c r="CQ281" i="11"/>
  <c r="CM281" i="11"/>
  <c r="CF281" i="11"/>
  <c r="CP279" i="11"/>
  <c r="CJ278" i="11"/>
  <c r="CA294" i="11"/>
  <c r="CA286" i="11"/>
  <c r="CV283" i="11"/>
  <c r="CR283" i="11"/>
  <c r="CN283" i="11"/>
  <c r="CJ283" i="11"/>
  <c r="CT281" i="11"/>
  <c r="CP281" i="11"/>
  <c r="CL281" i="11"/>
  <c r="CA281" i="11"/>
  <c r="CM279" i="11"/>
  <c r="CA132" i="11"/>
  <c r="CA124" i="11"/>
  <c r="CV121" i="11"/>
  <c r="CR121" i="11"/>
  <c r="CN121" i="11"/>
  <c r="CJ121" i="11"/>
  <c r="CT119" i="11"/>
  <c r="CP119" i="11"/>
  <c r="CL119" i="11"/>
  <c r="CA119" i="11"/>
  <c r="CM117" i="11"/>
  <c r="CA133" i="11"/>
  <c r="CA127" i="11"/>
  <c r="CA123" i="11"/>
  <c r="CS121" i="11"/>
  <c r="CO121" i="11"/>
  <c r="CK121" i="11"/>
  <c r="CW119" i="11"/>
  <c r="CS119" i="11"/>
  <c r="CO119" i="11"/>
  <c r="CK119" i="11"/>
  <c r="CW117" i="11"/>
  <c r="CJ117" i="11"/>
  <c r="CA134" i="11"/>
  <c r="CA128" i="11"/>
  <c r="CW122" i="11"/>
  <c r="CT121" i="11"/>
  <c r="CP121" i="11"/>
  <c r="CL121" i="11"/>
  <c r="CV119" i="11"/>
  <c r="CR119" i="11"/>
  <c r="CN119" i="11"/>
  <c r="CJ119" i="11"/>
  <c r="CV117" i="11"/>
  <c r="CA116" i="11"/>
  <c r="CA129" i="11"/>
  <c r="CA125" i="11"/>
  <c r="CU121" i="11"/>
  <c r="CQ121" i="11"/>
  <c r="CM121" i="11"/>
  <c r="CF121" i="11"/>
  <c r="CU119" i="11"/>
  <c r="CQ119" i="11"/>
  <c r="CM119" i="11"/>
  <c r="CF119" i="11"/>
  <c r="CP117" i="11"/>
  <c r="CJ116" i="11"/>
  <c r="EA410" i="11"/>
  <c r="EA404" i="11"/>
  <c r="EW398" i="11"/>
  <c r="ET397" i="11"/>
  <c r="EP397" i="11"/>
  <c r="EL397" i="11"/>
  <c r="EV395" i="11"/>
  <c r="ER395" i="11"/>
  <c r="EN395" i="11"/>
  <c r="EJ395" i="11"/>
  <c r="EV393" i="11"/>
  <c r="EA392" i="11"/>
  <c r="EA405" i="11"/>
  <c r="EA401" i="11"/>
  <c r="EU397" i="11"/>
  <c r="EQ397" i="11"/>
  <c r="EM397" i="11"/>
  <c r="EF397" i="11"/>
  <c r="EU395" i="11"/>
  <c r="EQ395" i="11"/>
  <c r="EM395" i="11"/>
  <c r="EF395" i="11"/>
  <c r="EP393" i="11"/>
  <c r="EJ392" i="11"/>
  <c r="EA408" i="11"/>
  <c r="EA400" i="11"/>
  <c r="EV397" i="11"/>
  <c r="ER397" i="11"/>
  <c r="EN397" i="11"/>
  <c r="EJ397" i="11"/>
  <c r="ET395" i="11"/>
  <c r="EP395" i="11"/>
  <c r="EL395" i="11"/>
  <c r="EA395" i="11"/>
  <c r="EM393" i="11"/>
  <c r="EA409" i="11"/>
  <c r="EA403" i="11"/>
  <c r="EA399" i="11"/>
  <c r="ES397" i="11"/>
  <c r="EO397" i="11"/>
  <c r="EK397" i="11"/>
  <c r="EW395" i="11"/>
  <c r="ES395" i="11"/>
  <c r="EO395" i="11"/>
  <c r="EK395" i="11"/>
  <c r="EW393" i="11"/>
  <c r="EJ393" i="11"/>
  <c r="EA226" i="11"/>
  <c r="EJ209" i="11"/>
  <c r="EW209" i="11"/>
  <c r="EK211" i="11"/>
  <c r="EO211" i="11"/>
  <c r="ES211" i="11"/>
  <c r="EW211" i="11"/>
  <c r="EK213" i="11"/>
  <c r="EO213" i="11"/>
  <c r="ES213" i="11"/>
  <c r="EA215" i="11"/>
  <c r="EA219" i="11"/>
  <c r="EA225" i="11"/>
  <c r="EV209" i="11"/>
  <c r="EJ211" i="11"/>
  <c r="EN211" i="11"/>
  <c r="ER211" i="11"/>
  <c r="EV211" i="11"/>
  <c r="EL213" i="11"/>
  <c r="EP213" i="11"/>
  <c r="ET213" i="11"/>
  <c r="EW214" i="11"/>
  <c r="EA220" i="11"/>
  <c r="EJ208" i="11"/>
  <c r="EP209" i="11"/>
  <c r="EF211" i="11"/>
  <c r="EM211" i="11"/>
  <c r="EQ211" i="11"/>
  <c r="EU211" i="11"/>
  <c r="EF213" i="11"/>
  <c r="EM213" i="11"/>
  <c r="EQ213" i="11"/>
  <c r="EU213" i="11"/>
  <c r="EA217" i="11"/>
  <c r="EA221" i="11"/>
  <c r="EA208" i="11"/>
  <c r="EM209" i="11"/>
  <c r="EA211" i="11"/>
  <c r="EL211" i="11"/>
  <c r="EP211" i="11"/>
  <c r="ET211" i="11"/>
  <c r="EJ213" i="11"/>
  <c r="EN213" i="11"/>
  <c r="ER213" i="11"/>
  <c r="EV213" i="11"/>
  <c r="EA216" i="11"/>
  <c r="EA224" i="11"/>
  <c r="EA132" i="11"/>
  <c r="EA124" i="11"/>
  <c r="EV121" i="11"/>
  <c r="ER121" i="11"/>
  <c r="EN121" i="11"/>
  <c r="EJ121" i="11"/>
  <c r="ET119" i="11"/>
  <c r="EP119" i="11"/>
  <c r="EL119" i="11"/>
  <c r="EA119" i="11"/>
  <c r="EM117" i="11"/>
  <c r="EA133" i="11"/>
  <c r="EA127" i="11"/>
  <c r="EA123" i="11"/>
  <c r="ES121" i="11"/>
  <c r="EO121" i="11"/>
  <c r="EK121" i="11"/>
  <c r="EW119" i="11"/>
  <c r="ES119" i="11"/>
  <c r="EO119" i="11"/>
  <c r="EK119" i="11"/>
  <c r="EW117" i="11"/>
  <c r="EJ117" i="11"/>
  <c r="EA134" i="11"/>
  <c r="EA128" i="11"/>
  <c r="EW122" i="11"/>
  <c r="ET121" i="11"/>
  <c r="EP121" i="11"/>
  <c r="EL121" i="11"/>
  <c r="EV119" i="11"/>
  <c r="ER119" i="11"/>
  <c r="EN119" i="11"/>
  <c r="EJ119" i="11"/>
  <c r="EV117" i="11"/>
  <c r="EA116" i="11"/>
  <c r="EA129" i="11"/>
  <c r="EA125" i="11"/>
  <c r="EU121" i="11"/>
  <c r="EQ121" i="11"/>
  <c r="EM121" i="11"/>
  <c r="EF121" i="11"/>
  <c r="EU119" i="11"/>
  <c r="EQ119" i="11"/>
  <c r="EM119" i="11"/>
  <c r="EF119" i="11"/>
  <c r="EP117" i="11"/>
  <c r="EJ116" i="11"/>
  <c r="GA386" i="11"/>
  <c r="GA378" i="11"/>
  <c r="GV375" i="11"/>
  <c r="GR375" i="11"/>
  <c r="GA381" i="11"/>
  <c r="GS375" i="11"/>
  <c r="GN375" i="11"/>
  <c r="GJ375" i="11"/>
  <c r="GT373" i="11"/>
  <c r="GP373" i="11"/>
  <c r="GL373" i="11"/>
  <c r="GA373" i="11"/>
  <c r="GM371" i="11"/>
  <c r="GA383" i="11"/>
  <c r="GU375" i="11"/>
  <c r="GO375" i="11"/>
  <c r="GK375" i="11"/>
  <c r="GW373" i="11"/>
  <c r="GS373" i="11"/>
  <c r="GO373" i="11"/>
  <c r="GK373" i="11"/>
  <c r="GW371" i="11"/>
  <c r="GJ371" i="11"/>
  <c r="GA388" i="11"/>
  <c r="GA382" i="11"/>
  <c r="GW376" i="11"/>
  <c r="GT375" i="11"/>
  <c r="GA387" i="11"/>
  <c r="GA379" i="11"/>
  <c r="GP375" i="11"/>
  <c r="GL375" i="11"/>
  <c r="GV373" i="11"/>
  <c r="GR373" i="11"/>
  <c r="GN373" i="11"/>
  <c r="GJ373" i="11"/>
  <c r="GV371" i="11"/>
  <c r="GA370" i="11"/>
  <c r="GA377" i="11"/>
  <c r="GQ375" i="11"/>
  <c r="GM375" i="11"/>
  <c r="GF375" i="11"/>
  <c r="GU373" i="11"/>
  <c r="GQ373" i="11"/>
  <c r="GM373" i="11"/>
  <c r="GF373" i="11"/>
  <c r="GP371" i="11"/>
  <c r="GJ370" i="11"/>
  <c r="GA342" i="11"/>
  <c r="GA336" i="11"/>
  <c r="GW330" i="11"/>
  <c r="GT329" i="11"/>
  <c r="GP329" i="11"/>
  <c r="GL329" i="11"/>
  <c r="GV327" i="11"/>
  <c r="GR327" i="11"/>
  <c r="GN327" i="11"/>
  <c r="GJ327" i="11"/>
  <c r="GV325" i="11"/>
  <c r="GA324" i="11"/>
  <c r="GA337" i="11"/>
  <c r="GA333" i="11"/>
  <c r="GU329" i="11"/>
  <c r="GQ329" i="11"/>
  <c r="GM329" i="11"/>
  <c r="GF329" i="11"/>
  <c r="GU327" i="11"/>
  <c r="GQ327" i="11"/>
  <c r="GM327" i="11"/>
  <c r="GF327" i="11"/>
  <c r="GP325" i="11"/>
  <c r="GJ324" i="11"/>
  <c r="GA340" i="11"/>
  <c r="GA332" i="11"/>
  <c r="GV329" i="11"/>
  <c r="GR329" i="11"/>
  <c r="GN329" i="11"/>
  <c r="GJ329" i="11"/>
  <c r="GT327" i="11"/>
  <c r="GP327" i="11"/>
  <c r="GL327" i="11"/>
  <c r="GA327" i="11"/>
  <c r="GM325" i="11"/>
  <c r="GA341" i="11"/>
  <c r="GA335" i="11"/>
  <c r="GA331" i="11"/>
  <c r="GS329" i="11"/>
  <c r="GO329" i="11"/>
  <c r="GK329" i="11"/>
  <c r="GW327" i="11"/>
  <c r="GS327" i="11"/>
  <c r="GO327" i="11"/>
  <c r="GK327" i="11"/>
  <c r="GW325" i="11"/>
  <c r="GJ325" i="11"/>
  <c r="GA271" i="11"/>
  <c r="GA265" i="11"/>
  <c r="GA261" i="11"/>
  <c r="GS259" i="11"/>
  <c r="GO259" i="11"/>
  <c r="GK259" i="11"/>
  <c r="GW257" i="11"/>
  <c r="GS257" i="11"/>
  <c r="GO257" i="11"/>
  <c r="GK257" i="11"/>
  <c r="GW255" i="11"/>
  <c r="GJ255" i="11"/>
  <c r="GA272" i="11"/>
  <c r="GA266" i="11"/>
  <c r="GW260" i="11"/>
  <c r="GT259" i="11"/>
  <c r="GP259" i="11"/>
  <c r="GL259" i="11"/>
  <c r="GV257" i="11"/>
  <c r="GR257" i="11"/>
  <c r="GN257" i="11"/>
  <c r="GJ257" i="11"/>
  <c r="GV255" i="11"/>
  <c r="GA254" i="11"/>
  <c r="GA267" i="11"/>
  <c r="GA263" i="11"/>
  <c r="GU259" i="11"/>
  <c r="GQ259" i="11"/>
  <c r="GM259" i="11"/>
  <c r="GF259" i="11"/>
  <c r="GU257" i="11"/>
  <c r="GQ257" i="11"/>
  <c r="GM257" i="11"/>
  <c r="GF257" i="11"/>
  <c r="GP255" i="11"/>
  <c r="GJ254" i="11"/>
  <c r="GA270" i="11"/>
  <c r="GA262" i="11"/>
  <c r="GV259" i="11"/>
  <c r="GR259" i="11"/>
  <c r="GN259" i="11"/>
  <c r="GJ259" i="11"/>
  <c r="GT257" i="11"/>
  <c r="GP257" i="11"/>
  <c r="GL257" i="11"/>
  <c r="GA257" i="11"/>
  <c r="GM255" i="11"/>
  <c r="GA153" i="11"/>
  <c r="GA149" i="11"/>
  <c r="GU145" i="11"/>
  <c r="GQ145" i="11"/>
  <c r="GM145" i="11"/>
  <c r="GW146" i="11"/>
  <c r="GP145" i="11"/>
  <c r="GJ145" i="11"/>
  <c r="GT143" i="11"/>
  <c r="GP143" i="11"/>
  <c r="GL143" i="11"/>
  <c r="GA143" i="11"/>
  <c r="GM141" i="11"/>
  <c r="GA158" i="11"/>
  <c r="GA148" i="11"/>
  <c r="GR145" i="11"/>
  <c r="GK145" i="11"/>
  <c r="GW143" i="11"/>
  <c r="GS143" i="11"/>
  <c r="GO143" i="11"/>
  <c r="GK143" i="11"/>
  <c r="GW141" i="11"/>
  <c r="GJ141" i="11"/>
  <c r="GA157" i="11"/>
  <c r="GA151" i="11"/>
  <c r="GA147" i="11"/>
  <c r="GS145" i="11"/>
  <c r="GO145" i="11"/>
  <c r="GA156" i="11"/>
  <c r="GT145" i="11"/>
  <c r="GL145" i="11"/>
  <c r="GV143" i="11"/>
  <c r="GR143" i="11"/>
  <c r="GN143" i="11"/>
  <c r="GJ143" i="11"/>
  <c r="GV141" i="11"/>
  <c r="GA140" i="11"/>
  <c r="GA152" i="11"/>
  <c r="GV145" i="11"/>
  <c r="GN145" i="11"/>
  <c r="GF145" i="11"/>
  <c r="GU143" i="11"/>
  <c r="GQ143" i="11"/>
  <c r="GM143" i="11"/>
  <c r="GF143" i="11"/>
  <c r="GP141" i="11"/>
  <c r="GJ140" i="11"/>
  <c r="GA133" i="11"/>
  <c r="GV117" i="11"/>
  <c r="GJ119" i="11"/>
  <c r="GN119" i="11"/>
  <c r="GR119" i="11"/>
  <c r="GV119" i="11"/>
  <c r="GL121" i="11"/>
  <c r="GP121" i="11"/>
  <c r="GT121" i="11"/>
  <c r="GW122" i="11"/>
  <c r="GA128" i="11"/>
  <c r="GA134" i="11"/>
  <c r="GJ117" i="11"/>
  <c r="GW117" i="11"/>
  <c r="GK119" i="11"/>
  <c r="GO119" i="11"/>
  <c r="GS119" i="11"/>
  <c r="GW119" i="11"/>
  <c r="GK121" i="11"/>
  <c r="GO121" i="11"/>
  <c r="GS121" i="11"/>
  <c r="GA123" i="11"/>
  <c r="GA127" i="11"/>
  <c r="GA116" i="11"/>
  <c r="GM117" i="11"/>
  <c r="GA119" i="11"/>
  <c r="GL119" i="11"/>
  <c r="GP119" i="11"/>
  <c r="GT119" i="11"/>
  <c r="GJ121" i="11"/>
  <c r="GN121" i="11"/>
  <c r="GR121" i="11"/>
  <c r="GV121" i="11"/>
  <c r="GA124" i="11"/>
  <c r="GA132" i="11"/>
  <c r="GJ116" i="11"/>
  <c r="GP117" i="11"/>
  <c r="GF119" i="11"/>
  <c r="GM119" i="11"/>
  <c r="GQ119" i="11"/>
  <c r="GU119" i="11"/>
  <c r="GF121" i="11"/>
  <c r="GM121" i="11"/>
  <c r="GQ121" i="11"/>
  <c r="GU121" i="11"/>
  <c r="GA125" i="11"/>
  <c r="GA129" i="11"/>
  <c r="BA225" i="11"/>
  <c r="BA219" i="11"/>
  <c r="BA215" i="11"/>
  <c r="BS213" i="11"/>
  <c r="BO213" i="11"/>
  <c r="BK213" i="11"/>
  <c r="BW211" i="11"/>
  <c r="BS211" i="11"/>
  <c r="BO211" i="11"/>
  <c r="BK211" i="11"/>
  <c r="BW209" i="11"/>
  <c r="BJ209" i="11"/>
  <c r="BA226" i="11"/>
  <c r="BA220" i="11"/>
  <c r="BW214" i="11"/>
  <c r="BT213" i="11"/>
  <c r="BP213" i="11"/>
  <c r="BL213" i="11"/>
  <c r="BV211" i="11"/>
  <c r="BR211" i="11"/>
  <c r="BN211" i="11"/>
  <c r="BJ211" i="11"/>
  <c r="BV209" i="11"/>
  <c r="BA208" i="11"/>
  <c r="BA221" i="11"/>
  <c r="BA217" i="11"/>
  <c r="BU213" i="11"/>
  <c r="BQ213" i="11"/>
  <c r="BM213" i="11"/>
  <c r="BF213" i="11"/>
  <c r="BU211" i="11"/>
  <c r="BQ211" i="11"/>
  <c r="BM211" i="11"/>
  <c r="BF211" i="11"/>
  <c r="BP209" i="11"/>
  <c r="BJ208" i="11"/>
  <c r="BA224" i="11"/>
  <c r="BA216" i="11"/>
  <c r="BV213" i="11"/>
  <c r="BR213" i="11"/>
  <c r="BN213" i="11"/>
  <c r="BJ213" i="11"/>
  <c r="BT211" i="11"/>
  <c r="BP211" i="11"/>
  <c r="BL211" i="11"/>
  <c r="BA211" i="11"/>
  <c r="BM209" i="11"/>
  <c r="BA433" i="11"/>
  <c r="BA416" i="11"/>
  <c r="BM417" i="11"/>
  <c r="BA419" i="11"/>
  <c r="BL419" i="11"/>
  <c r="BP419" i="11"/>
  <c r="BT419" i="11"/>
  <c r="BJ421" i="11"/>
  <c r="BN421" i="11"/>
  <c r="BR421" i="11"/>
  <c r="BV421" i="11"/>
  <c r="BA424" i="11"/>
  <c r="BA432" i="11"/>
  <c r="BJ416" i="11"/>
  <c r="BP417" i="11"/>
  <c r="BF419" i="11"/>
  <c r="BM419" i="11"/>
  <c r="BQ419" i="11"/>
  <c r="BU419" i="11"/>
  <c r="BF421" i="11"/>
  <c r="BM421" i="11"/>
  <c r="BQ421" i="11"/>
  <c r="BU421" i="11"/>
  <c r="BA425" i="11"/>
  <c r="BA429" i="11"/>
  <c r="BV417" i="11"/>
  <c r="BJ419" i="11"/>
  <c r="BN419" i="11"/>
  <c r="BR419" i="11"/>
  <c r="BV419" i="11"/>
  <c r="BL421" i="11"/>
  <c r="BP421" i="11"/>
  <c r="BT421" i="11"/>
  <c r="BW422" i="11"/>
  <c r="BA428" i="11"/>
  <c r="BA434" i="11"/>
  <c r="BJ417" i="11"/>
  <c r="BW417" i="11"/>
  <c r="BK419" i="11"/>
  <c r="BO419" i="11"/>
  <c r="BS419" i="11"/>
  <c r="BW419" i="11"/>
  <c r="BK421" i="11"/>
  <c r="BO421" i="11"/>
  <c r="BS421" i="11"/>
  <c r="BA423" i="11"/>
  <c r="BA427" i="11"/>
  <c r="BU145" i="11"/>
  <c r="BM145" i="11"/>
  <c r="BU143" i="11"/>
  <c r="BM143" i="11"/>
  <c r="BP141" i="11"/>
  <c r="BA153" i="11"/>
  <c r="BA147" i="11"/>
  <c r="BQ145" i="11"/>
  <c r="BF145" i="11"/>
  <c r="BQ143" i="11"/>
  <c r="BF143" i="11"/>
  <c r="BJ140" i="11"/>
  <c r="BA156" i="11"/>
  <c r="BA148" i="11"/>
  <c r="BV145" i="11"/>
  <c r="BR145" i="11"/>
  <c r="BN145" i="11"/>
  <c r="BJ145" i="11"/>
  <c r="BT143" i="11"/>
  <c r="BP143" i="11"/>
  <c r="BL143" i="11"/>
  <c r="BA143" i="11"/>
  <c r="BM141" i="11"/>
  <c r="BJ141" i="11"/>
  <c r="BK143" i="11"/>
  <c r="BS143" i="11"/>
  <c r="BK145" i="11"/>
  <c r="BS145" i="11"/>
  <c r="BA151" i="11"/>
  <c r="BA158" i="11"/>
  <c r="BA152" i="11"/>
  <c r="BW146" i="11"/>
  <c r="BT145" i="11"/>
  <c r="BP145" i="11"/>
  <c r="BL145" i="11"/>
  <c r="BV143" i="11"/>
  <c r="BR143" i="11"/>
  <c r="BN143" i="11"/>
  <c r="BJ143" i="11"/>
  <c r="BV141" i="11"/>
  <c r="BA140" i="11"/>
  <c r="BW141" i="11"/>
  <c r="BO143" i="11"/>
  <c r="BW143" i="11"/>
  <c r="BO145" i="11"/>
  <c r="BA149" i="11"/>
  <c r="BA157" i="11"/>
  <c r="BA107" i="11"/>
  <c r="BA103" i="11"/>
  <c r="BU99" i="11"/>
  <c r="BQ99" i="11"/>
  <c r="BM99" i="11"/>
  <c r="BF99" i="11"/>
  <c r="BU97" i="11"/>
  <c r="BQ97" i="11"/>
  <c r="BM97" i="11"/>
  <c r="BF97" i="11"/>
  <c r="BP95" i="11"/>
  <c r="BJ94" i="11"/>
  <c r="BA110" i="11"/>
  <c r="BA102" i="11"/>
  <c r="BV99" i="11"/>
  <c r="BR99" i="11"/>
  <c r="BN99" i="11"/>
  <c r="BJ99" i="11"/>
  <c r="BT97" i="11"/>
  <c r="BP97" i="11"/>
  <c r="BL97" i="11"/>
  <c r="BA97" i="11"/>
  <c r="BM95" i="11"/>
  <c r="BA111" i="11"/>
  <c r="BA105" i="11"/>
  <c r="BA101" i="11"/>
  <c r="BS99" i="11"/>
  <c r="BO99" i="11"/>
  <c r="BK99" i="11"/>
  <c r="BW97" i="11"/>
  <c r="BS97" i="11"/>
  <c r="BO97" i="11"/>
  <c r="BK97" i="11"/>
  <c r="BW95" i="11"/>
  <c r="BJ95" i="11"/>
  <c r="BA112" i="11"/>
  <c r="BA106" i="11"/>
  <c r="BW100" i="11"/>
  <c r="BT99" i="11"/>
  <c r="BP99" i="11"/>
  <c r="BL99" i="11"/>
  <c r="BV97" i="11"/>
  <c r="BR97" i="11"/>
  <c r="BN97" i="11"/>
  <c r="BJ97" i="11"/>
  <c r="BV95" i="11"/>
  <c r="BA94" i="11"/>
  <c r="BA65" i="11"/>
  <c r="BA59" i="11"/>
  <c r="BA55" i="11"/>
  <c r="BS53" i="11"/>
  <c r="BO53" i="11"/>
  <c r="BK53" i="11"/>
  <c r="BW51" i="11"/>
  <c r="BS51" i="11"/>
  <c r="BO51" i="11"/>
  <c r="BK51" i="11"/>
  <c r="BW49" i="11"/>
  <c r="BJ49" i="11"/>
  <c r="BA66" i="11"/>
  <c r="BA60" i="11"/>
  <c r="BV53" i="11"/>
  <c r="BP53" i="11"/>
  <c r="BT51" i="11"/>
  <c r="BL51" i="11"/>
  <c r="BM49" i="11"/>
  <c r="BA56" i="11"/>
  <c r="BN53" i="11"/>
  <c r="BV51" i="11"/>
  <c r="BN51" i="11"/>
  <c r="BV49" i="11"/>
  <c r="BA61" i="11"/>
  <c r="BA57" i="11"/>
  <c r="BU53" i="11"/>
  <c r="BQ53" i="11"/>
  <c r="BM53" i="11"/>
  <c r="BF53" i="11"/>
  <c r="BU51" i="11"/>
  <c r="BQ51" i="11"/>
  <c r="BM51" i="11"/>
  <c r="BF51" i="11"/>
  <c r="BP49" i="11"/>
  <c r="BJ48" i="11"/>
  <c r="BA64" i="11"/>
  <c r="BW54" i="11"/>
  <c r="BT53" i="11"/>
  <c r="BL53" i="11"/>
  <c r="BP51" i="11"/>
  <c r="BA51" i="11"/>
  <c r="BA48" i="11"/>
  <c r="BR53" i="11"/>
  <c r="BJ53" i="11"/>
  <c r="BR51" i="11"/>
  <c r="BJ51" i="11"/>
  <c r="HA386" i="11"/>
  <c r="HA378" i="11"/>
  <c r="HV375" i="11"/>
  <c r="HR375" i="11"/>
  <c r="HA381" i="11"/>
  <c r="HS375" i="11"/>
  <c r="HN375" i="11"/>
  <c r="HJ375" i="11"/>
  <c r="HT373" i="11"/>
  <c r="HP373" i="11"/>
  <c r="HL373" i="11"/>
  <c r="HA373" i="11"/>
  <c r="HM371" i="11"/>
  <c r="HA383" i="11"/>
  <c r="HU375" i="11"/>
  <c r="HO375" i="11"/>
  <c r="HK375" i="11"/>
  <c r="HW373" i="11"/>
  <c r="HS373" i="11"/>
  <c r="HO373" i="11"/>
  <c r="HK373" i="11"/>
  <c r="HW371" i="11"/>
  <c r="HJ371" i="11"/>
  <c r="HA388" i="11"/>
  <c r="HA382" i="11"/>
  <c r="HW376" i="11"/>
  <c r="HT375" i="11"/>
  <c r="HA387" i="11"/>
  <c r="HA379" i="11"/>
  <c r="HP375" i="11"/>
  <c r="HL375" i="11"/>
  <c r="HV373" i="11"/>
  <c r="HR373" i="11"/>
  <c r="HN373" i="11"/>
  <c r="HJ373" i="11"/>
  <c r="HV371" i="11"/>
  <c r="HA370" i="11"/>
  <c r="HA377" i="11"/>
  <c r="HQ375" i="11"/>
  <c r="HM375" i="11"/>
  <c r="HF375" i="11"/>
  <c r="HU373" i="11"/>
  <c r="HQ373" i="11"/>
  <c r="HM373" i="11"/>
  <c r="HF373" i="11"/>
  <c r="HP371" i="11"/>
  <c r="HJ370" i="11"/>
  <c r="HA199" i="11"/>
  <c r="HA195" i="11"/>
  <c r="HU191" i="11"/>
  <c r="HQ191" i="11"/>
  <c r="HM191" i="11"/>
  <c r="HF191" i="11"/>
  <c r="HU189" i="11"/>
  <c r="HQ189" i="11"/>
  <c r="HM189" i="11"/>
  <c r="HF189" i="11"/>
  <c r="HP187" i="11"/>
  <c r="HJ186" i="11"/>
  <c r="HA202" i="11"/>
  <c r="HA194" i="11"/>
  <c r="HV191" i="11"/>
  <c r="HR191" i="11"/>
  <c r="HN191" i="11"/>
  <c r="HJ191" i="11"/>
  <c r="HT189" i="11"/>
  <c r="HP189" i="11"/>
  <c r="HL189" i="11"/>
  <c r="HA189" i="11"/>
  <c r="HM187" i="11"/>
  <c r="HA203" i="11"/>
  <c r="HA197" i="11"/>
  <c r="HA193" i="11"/>
  <c r="HS191" i="11"/>
  <c r="HO191" i="11"/>
  <c r="HK191" i="11"/>
  <c r="HW189" i="11"/>
  <c r="HS189" i="11"/>
  <c r="HO189" i="11"/>
  <c r="HK189" i="11"/>
  <c r="HW187" i="11"/>
  <c r="HJ187" i="11"/>
  <c r="HA204" i="11"/>
  <c r="HA198" i="11"/>
  <c r="HW192" i="11"/>
  <c r="HT191" i="11"/>
  <c r="HP191" i="11"/>
  <c r="HL191" i="11"/>
  <c r="HV189" i="11"/>
  <c r="HR189" i="11"/>
  <c r="HN189" i="11"/>
  <c r="HJ189" i="11"/>
  <c r="HV187" i="11"/>
  <c r="HA186" i="11"/>
  <c r="HA45" i="11"/>
  <c r="HJ28" i="11"/>
  <c r="HW28" i="11"/>
  <c r="HK30" i="11"/>
  <c r="HO30" i="11"/>
  <c r="HS30" i="11"/>
  <c r="HW30" i="11"/>
  <c r="HK32" i="11"/>
  <c r="HO32" i="11"/>
  <c r="HS32" i="11"/>
  <c r="HA34" i="11"/>
  <c r="HA38" i="11"/>
  <c r="HA44" i="11"/>
  <c r="HV28" i="11"/>
  <c r="HJ30" i="11"/>
  <c r="HN30" i="11"/>
  <c r="HR30" i="11"/>
  <c r="HV30" i="11"/>
  <c r="HL32" i="11"/>
  <c r="HP32" i="11"/>
  <c r="HT32" i="11"/>
  <c r="HW33" i="11"/>
  <c r="HA39" i="11"/>
  <c r="HJ27" i="11"/>
  <c r="HP28" i="11"/>
  <c r="HF30" i="11"/>
  <c r="HM30" i="11"/>
  <c r="HQ30" i="11"/>
  <c r="HU30" i="11"/>
  <c r="HF32" i="11"/>
  <c r="HM32" i="11"/>
  <c r="HQ32" i="11"/>
  <c r="HU32" i="11"/>
  <c r="HA36" i="11"/>
  <c r="HA40" i="11"/>
  <c r="HA27" i="11"/>
  <c r="HM28" i="11"/>
  <c r="HA30" i="11"/>
  <c r="HL30" i="11"/>
  <c r="HP30" i="11"/>
  <c r="HT30" i="11"/>
  <c r="HJ32" i="11"/>
  <c r="HN32" i="11"/>
  <c r="HR32" i="11"/>
  <c r="HV32" i="11"/>
  <c r="HA35" i="11"/>
  <c r="HA43" i="11"/>
  <c r="HA291" i="11"/>
  <c r="HA287" i="11"/>
  <c r="HU283" i="11"/>
  <c r="HQ283" i="11"/>
  <c r="HM283" i="11"/>
  <c r="HF283" i="11"/>
  <c r="HU281" i="11"/>
  <c r="HQ281" i="11"/>
  <c r="HM281" i="11"/>
  <c r="HF281" i="11"/>
  <c r="HP279" i="11"/>
  <c r="HJ278" i="11"/>
  <c r="HA294" i="11"/>
  <c r="HA286" i="11"/>
  <c r="HV283" i="11"/>
  <c r="HR283" i="11"/>
  <c r="HN283" i="11"/>
  <c r="HJ283" i="11"/>
  <c r="HT281" i="11"/>
  <c r="HP281" i="11"/>
  <c r="HL281" i="11"/>
  <c r="HA281" i="11"/>
  <c r="HM279" i="11"/>
  <c r="HA295" i="11"/>
  <c r="HA289" i="11"/>
  <c r="HA285" i="11"/>
  <c r="HS283" i="11"/>
  <c r="HO283" i="11"/>
  <c r="HK283" i="11"/>
  <c r="HW281" i="11"/>
  <c r="HS281" i="11"/>
  <c r="HO281" i="11"/>
  <c r="HK281" i="11"/>
  <c r="HW279" i="11"/>
  <c r="HJ279" i="11"/>
  <c r="HA296" i="11"/>
  <c r="HA290" i="11"/>
  <c r="HW284" i="11"/>
  <c r="HT283" i="11"/>
  <c r="HP283" i="11"/>
  <c r="HL283" i="11"/>
  <c r="HV281" i="11"/>
  <c r="HR281" i="11"/>
  <c r="HN281" i="11"/>
  <c r="HJ281" i="11"/>
  <c r="HV279" i="11"/>
  <c r="HA278" i="11"/>
  <c r="DA270" i="11"/>
  <c r="DA262" i="11"/>
  <c r="DV259" i="11"/>
  <c r="DR259" i="11"/>
  <c r="DN259" i="11"/>
  <c r="DJ259" i="11"/>
  <c r="DT257" i="11"/>
  <c r="DP257" i="11"/>
  <c r="DL257" i="11"/>
  <c r="DA257" i="11"/>
  <c r="DM255" i="11"/>
  <c r="DA271" i="11"/>
  <c r="DA265" i="11"/>
  <c r="DA261" i="11"/>
  <c r="DS259" i="11"/>
  <c r="DO259" i="11"/>
  <c r="DK259" i="11"/>
  <c r="DW257" i="11"/>
  <c r="DS257" i="11"/>
  <c r="DO257" i="11"/>
  <c r="DK257" i="11"/>
  <c r="DW255" i="11"/>
  <c r="DJ255" i="11"/>
  <c r="DA272" i="11"/>
  <c r="DA266" i="11"/>
  <c r="DW260" i="11"/>
  <c r="DT259" i="11"/>
  <c r="DP259" i="11"/>
  <c r="DL259" i="11"/>
  <c r="DV257" i="11"/>
  <c r="DR257" i="11"/>
  <c r="DN257" i="11"/>
  <c r="DJ257" i="11"/>
  <c r="DV255" i="11"/>
  <c r="DA254" i="11"/>
  <c r="DA267" i="11"/>
  <c r="DA263" i="11"/>
  <c r="DU259" i="11"/>
  <c r="DQ259" i="11"/>
  <c r="DM259" i="11"/>
  <c r="DF259" i="11"/>
  <c r="DU257" i="11"/>
  <c r="DQ257" i="11"/>
  <c r="DM257" i="11"/>
  <c r="DF257" i="11"/>
  <c r="DP255" i="11"/>
  <c r="DJ254" i="11"/>
  <c r="DA225" i="11"/>
  <c r="DV209" i="11"/>
  <c r="DJ211" i="11"/>
  <c r="DN211" i="11"/>
  <c r="DR211" i="11"/>
  <c r="DV211" i="11"/>
  <c r="DL213" i="11"/>
  <c r="DP213" i="11"/>
  <c r="DT213" i="11"/>
  <c r="DW214" i="11"/>
  <c r="DA220" i="11"/>
  <c r="DA226" i="11"/>
  <c r="DJ209" i="11"/>
  <c r="DW209" i="11"/>
  <c r="DK211" i="11"/>
  <c r="DO211" i="11"/>
  <c r="DS211" i="11"/>
  <c r="DW211" i="11"/>
  <c r="DK213" i="11"/>
  <c r="DO213" i="11"/>
  <c r="DS213" i="11"/>
  <c r="DA215" i="11"/>
  <c r="DA219" i="11"/>
  <c r="DA208" i="11"/>
  <c r="DM209" i="11"/>
  <c r="DA211" i="11"/>
  <c r="DL211" i="11"/>
  <c r="DP211" i="11"/>
  <c r="DT211" i="11"/>
  <c r="DJ213" i="11"/>
  <c r="DN213" i="11"/>
  <c r="DR213" i="11"/>
  <c r="DV213" i="11"/>
  <c r="DA216" i="11"/>
  <c r="DA224" i="11"/>
  <c r="DJ208" i="11"/>
  <c r="DP209" i="11"/>
  <c r="DF211" i="11"/>
  <c r="DM211" i="11"/>
  <c r="DQ211" i="11"/>
  <c r="DU211" i="11"/>
  <c r="DF213" i="11"/>
  <c r="DM213" i="11"/>
  <c r="DQ213" i="11"/>
  <c r="DU213" i="11"/>
  <c r="DA217" i="11"/>
  <c r="DA221" i="11"/>
  <c r="DA134" i="11"/>
  <c r="DJ117" i="11"/>
  <c r="DW117" i="11"/>
  <c r="DK119" i="11"/>
  <c r="DO119" i="11"/>
  <c r="DS119" i="11"/>
  <c r="DW119" i="11"/>
  <c r="DK121" i="11"/>
  <c r="DO121" i="11"/>
  <c r="DS121" i="11"/>
  <c r="DA123" i="11"/>
  <c r="DA127" i="11"/>
  <c r="DA133" i="11"/>
  <c r="DA116" i="11"/>
  <c r="DM117" i="11"/>
  <c r="DA119" i="11"/>
  <c r="DL119" i="11"/>
  <c r="DP119" i="11"/>
  <c r="DT119" i="11"/>
  <c r="DJ121" i="11"/>
  <c r="DN121" i="11"/>
  <c r="DR121" i="11"/>
  <c r="DV121" i="11"/>
  <c r="DA124" i="11"/>
  <c r="DA132" i="11"/>
  <c r="DJ116" i="11"/>
  <c r="DP117" i="11"/>
  <c r="DF119" i="11"/>
  <c r="DM119" i="11"/>
  <c r="DQ119" i="11"/>
  <c r="DU119" i="11"/>
  <c r="DF121" i="11"/>
  <c r="DM121" i="11"/>
  <c r="DQ121" i="11"/>
  <c r="DU121" i="11"/>
  <c r="DA125" i="11"/>
  <c r="DA129" i="11"/>
  <c r="DV117" i="11"/>
  <c r="DJ119" i="11"/>
  <c r="DN119" i="11"/>
  <c r="DR119" i="11"/>
  <c r="DV119" i="11"/>
  <c r="DL121" i="11"/>
  <c r="DP121" i="11"/>
  <c r="DT121" i="11"/>
  <c r="DW122" i="11"/>
  <c r="DA128" i="11"/>
  <c r="FA203" i="11"/>
  <c r="FA197" i="11"/>
  <c r="FA193" i="11"/>
  <c r="FS191" i="11"/>
  <c r="FO191" i="11"/>
  <c r="FK191" i="11"/>
  <c r="FW189" i="11"/>
  <c r="FS189" i="11"/>
  <c r="FO189" i="11"/>
  <c r="FK189" i="11"/>
  <c r="FW187" i="11"/>
  <c r="FJ187" i="11"/>
  <c r="FA204" i="11"/>
  <c r="FA198" i="11"/>
  <c r="FW192" i="11"/>
  <c r="FT191" i="11"/>
  <c r="FP191" i="11"/>
  <c r="FL191" i="11"/>
  <c r="FV189" i="11"/>
  <c r="FR189" i="11"/>
  <c r="FN189" i="11"/>
  <c r="FJ189" i="11"/>
  <c r="FV187" i="11"/>
  <c r="FA186" i="11"/>
  <c r="FA199" i="11"/>
  <c r="FA195" i="11"/>
  <c r="FU191" i="11"/>
  <c r="FQ191" i="11"/>
  <c r="FM191" i="11"/>
  <c r="FF191" i="11"/>
  <c r="FU189" i="11"/>
  <c r="FQ189" i="11"/>
  <c r="FM189" i="11"/>
  <c r="FF189" i="11"/>
  <c r="FP187" i="11"/>
  <c r="FJ186" i="11"/>
  <c r="FA202" i="11"/>
  <c r="FA194" i="11"/>
  <c r="FV191" i="11"/>
  <c r="FR191" i="11"/>
  <c r="FN191" i="11"/>
  <c r="FJ191" i="11"/>
  <c r="FT189" i="11"/>
  <c r="FP189" i="11"/>
  <c r="FL189" i="11"/>
  <c r="FA189" i="11"/>
  <c r="FM187" i="11"/>
  <c r="FA157" i="11"/>
  <c r="FA151" i="11"/>
  <c r="FA147" i="11"/>
  <c r="FS145" i="11"/>
  <c r="FO145" i="11"/>
  <c r="FA156" i="11"/>
  <c r="FT145" i="11"/>
  <c r="FL145" i="11"/>
  <c r="FV143" i="11"/>
  <c r="FR143" i="11"/>
  <c r="FN143" i="11"/>
  <c r="FJ143" i="11"/>
  <c r="FV141" i="11"/>
  <c r="FA140" i="11"/>
  <c r="FA152" i="11"/>
  <c r="FV145" i="11"/>
  <c r="FN145" i="11"/>
  <c r="FF145" i="11"/>
  <c r="FU143" i="11"/>
  <c r="FQ143" i="11"/>
  <c r="FM143" i="11"/>
  <c r="FF143" i="11"/>
  <c r="FP141" i="11"/>
  <c r="FJ140" i="11"/>
  <c r="FA153" i="11"/>
  <c r="FA149" i="11"/>
  <c r="FU145" i="11"/>
  <c r="FQ145" i="11"/>
  <c r="FM145" i="11"/>
  <c r="FW146" i="11"/>
  <c r="FP145" i="11"/>
  <c r="FJ145" i="11"/>
  <c r="FT143" i="11"/>
  <c r="FP143" i="11"/>
  <c r="FL143" i="11"/>
  <c r="FA143" i="11"/>
  <c r="FM141" i="11"/>
  <c r="FA158" i="11"/>
  <c r="FA148" i="11"/>
  <c r="FR145" i="11"/>
  <c r="FK145" i="11"/>
  <c r="FW143" i="11"/>
  <c r="FS143" i="11"/>
  <c r="FO143" i="11"/>
  <c r="FK143" i="11"/>
  <c r="FW141" i="11"/>
  <c r="FJ141" i="11"/>
  <c r="FA66" i="11"/>
  <c r="FA60" i="11"/>
  <c r="FW54" i="11"/>
  <c r="FT53" i="11"/>
  <c r="FP53" i="11"/>
  <c r="FL53" i="11"/>
  <c r="FV51" i="11"/>
  <c r="FR51" i="11"/>
  <c r="FN51" i="11"/>
  <c r="FJ51" i="11"/>
  <c r="FV49" i="11"/>
  <c r="FA48" i="11"/>
  <c r="FA61" i="11"/>
  <c r="FA57" i="11"/>
  <c r="FU53" i="11"/>
  <c r="FQ53" i="11"/>
  <c r="FM53" i="11"/>
  <c r="FF53" i="11"/>
  <c r="FU51" i="11"/>
  <c r="FQ51" i="11"/>
  <c r="FM51" i="11"/>
  <c r="FF51" i="11"/>
  <c r="FP49" i="11"/>
  <c r="FJ48" i="11"/>
  <c r="FA64" i="11"/>
  <c r="FA56" i="11"/>
  <c r="FV53" i="11"/>
  <c r="FR53" i="11"/>
  <c r="FN53" i="11"/>
  <c r="FJ53" i="11"/>
  <c r="FT51" i="11"/>
  <c r="FP51" i="11"/>
  <c r="FL51" i="11"/>
  <c r="FA51" i="11"/>
  <c r="FM49" i="11"/>
  <c r="FA65" i="11"/>
  <c r="FA59" i="11"/>
  <c r="FA55" i="11"/>
  <c r="FS53" i="11"/>
  <c r="FO53" i="11"/>
  <c r="FK53" i="11"/>
  <c r="FW51" i="11"/>
  <c r="FS51" i="11"/>
  <c r="FO51" i="11"/>
  <c r="FK51" i="11"/>
  <c r="FW49" i="11"/>
  <c r="FJ49" i="11"/>
  <c r="AA204" i="11"/>
  <c r="AA198" i="11"/>
  <c r="AW192" i="11"/>
  <c r="AT191" i="11"/>
  <c r="AP191" i="11"/>
  <c r="AL191" i="11"/>
  <c r="AV189" i="11"/>
  <c r="AR189" i="11"/>
  <c r="AN189" i="11"/>
  <c r="AJ189" i="11"/>
  <c r="AV187" i="11"/>
  <c r="AA203" i="11"/>
  <c r="AA195" i="11"/>
  <c r="AO191" i="11"/>
  <c r="AW189" i="11"/>
  <c r="AO189" i="11"/>
  <c r="AW187" i="11"/>
  <c r="AJ186" i="11"/>
  <c r="AA193" i="11"/>
  <c r="AQ191" i="11"/>
  <c r="AF191" i="11"/>
  <c r="AQ189" i="11"/>
  <c r="AF189" i="11"/>
  <c r="AA186" i="11"/>
  <c r="AA202" i="11"/>
  <c r="AA194" i="11"/>
  <c r="AV191" i="11"/>
  <c r="AR191" i="11"/>
  <c r="AN191" i="11"/>
  <c r="AJ191" i="11"/>
  <c r="AT189" i="11"/>
  <c r="AP189" i="11"/>
  <c r="AL189" i="11"/>
  <c r="AA189" i="11"/>
  <c r="AM187" i="11"/>
  <c r="AA197" i="11"/>
  <c r="AS191" i="11"/>
  <c r="AK191" i="11"/>
  <c r="AS189" i="11"/>
  <c r="AK189" i="11"/>
  <c r="AJ187" i="11"/>
  <c r="AA199" i="11"/>
  <c r="AU191" i="11"/>
  <c r="AM191" i="11"/>
  <c r="AU189" i="11"/>
  <c r="AM189" i="11"/>
  <c r="AP187" i="11"/>
  <c r="AA157" i="11"/>
  <c r="AA151" i="11"/>
  <c r="AA147" i="11"/>
  <c r="AS145" i="11"/>
  <c r="AO145" i="11"/>
  <c r="AK145" i="11"/>
  <c r="AW143" i="11"/>
  <c r="AS143" i="11"/>
  <c r="AO143" i="11"/>
  <c r="AK143" i="11"/>
  <c r="AW141" i="11"/>
  <c r="AJ141" i="11"/>
  <c r="AA158" i="11"/>
  <c r="AA152" i="11"/>
  <c r="AW146" i="11"/>
  <c r="AT145" i="11"/>
  <c r="AP145" i="11"/>
  <c r="AL145" i="11"/>
  <c r="AV143" i="11"/>
  <c r="AR143" i="11"/>
  <c r="AN143" i="11"/>
  <c r="AJ143" i="11"/>
  <c r="AV141" i="11"/>
  <c r="AA140" i="11"/>
  <c r="AA153" i="11"/>
  <c r="AA149" i="11"/>
  <c r="AU145" i="11"/>
  <c r="AQ145" i="11"/>
  <c r="AM145" i="11"/>
  <c r="AF145" i="11"/>
  <c r="AU143" i="11"/>
  <c r="AQ143" i="11"/>
  <c r="AM143" i="11"/>
  <c r="AF143" i="11"/>
  <c r="AP141" i="11"/>
  <c r="AJ140" i="11"/>
  <c r="AA156" i="11"/>
  <c r="AA148" i="11"/>
  <c r="AV145" i="11"/>
  <c r="AR145" i="11"/>
  <c r="AN145" i="11"/>
  <c r="AJ145" i="11"/>
  <c r="AT143" i="11"/>
  <c r="AP143" i="11"/>
  <c r="AL143" i="11"/>
  <c r="AA143" i="11"/>
  <c r="AM141" i="11"/>
  <c r="AA408" i="11"/>
  <c r="AA400" i="11"/>
  <c r="AV397" i="11"/>
  <c r="AR397" i="11"/>
  <c r="AN397" i="11"/>
  <c r="AJ397" i="11"/>
  <c r="AT395" i="11"/>
  <c r="AP395" i="11"/>
  <c r="AL395" i="11"/>
  <c r="AA395" i="11"/>
  <c r="AM393" i="11"/>
  <c r="AA409" i="11"/>
  <c r="AA403" i="11"/>
  <c r="AA399" i="11"/>
  <c r="AS397" i="11"/>
  <c r="AO397" i="11"/>
  <c r="AK397" i="11"/>
  <c r="AW395" i="11"/>
  <c r="AS395" i="11"/>
  <c r="AO395" i="11"/>
  <c r="AK395" i="11"/>
  <c r="AW393" i="11"/>
  <c r="AJ393" i="11"/>
  <c r="AA410" i="11"/>
  <c r="AA404" i="11"/>
  <c r="AW398" i="11"/>
  <c r="AT397" i="11"/>
  <c r="AP397" i="11"/>
  <c r="AL397" i="11"/>
  <c r="AV395" i="11"/>
  <c r="AR395" i="11"/>
  <c r="AN395" i="11"/>
  <c r="AJ395" i="11"/>
  <c r="AV393" i="11"/>
  <c r="AA392" i="11"/>
  <c r="AA405" i="11"/>
  <c r="AA401" i="11"/>
  <c r="AU397" i="11"/>
  <c r="AQ397" i="11"/>
  <c r="AM397" i="11"/>
  <c r="AF397" i="11"/>
  <c r="AU395" i="11"/>
  <c r="AQ395" i="11"/>
  <c r="AM395" i="11"/>
  <c r="AF395" i="11"/>
  <c r="AP393" i="11"/>
  <c r="AJ392" i="11"/>
  <c r="AA318" i="11"/>
  <c r="AA312" i="11"/>
  <c r="AW306" i="11"/>
  <c r="AT305" i="11"/>
  <c r="AP305" i="11"/>
  <c r="AL305" i="11"/>
  <c r="AV303" i="11"/>
  <c r="AR303" i="11"/>
  <c r="AA311" i="11"/>
  <c r="AS305" i="11"/>
  <c r="AK305" i="11"/>
  <c r="AS303" i="11"/>
  <c r="AN303" i="11"/>
  <c r="AJ303" i="11"/>
  <c r="AV301" i="11"/>
  <c r="AA300" i="11"/>
  <c r="AA307" i="11"/>
  <c r="AQ305" i="11"/>
  <c r="AF305" i="11"/>
  <c r="AQ303" i="11"/>
  <c r="AM303" i="11"/>
  <c r="AF303" i="11"/>
  <c r="AP301" i="11"/>
  <c r="AJ300" i="11"/>
  <c r="AA316" i="11"/>
  <c r="AA308" i="11"/>
  <c r="AV305" i="11"/>
  <c r="AR305" i="11"/>
  <c r="AN305" i="11"/>
  <c r="AJ305" i="11"/>
  <c r="AT303" i="11"/>
  <c r="AA317" i="11"/>
  <c r="AA309" i="11"/>
  <c r="AO305" i="11"/>
  <c r="AW303" i="11"/>
  <c r="AP303" i="11"/>
  <c r="AL303" i="11"/>
  <c r="AA303" i="11"/>
  <c r="AM301" i="11"/>
  <c r="AA313" i="11"/>
  <c r="AU305" i="11"/>
  <c r="AM305" i="11"/>
  <c r="AU303" i="11"/>
  <c r="AO303" i="11"/>
  <c r="AK303" i="11"/>
  <c r="AW301" i="11"/>
  <c r="AJ301" i="11"/>
  <c r="CA408" i="11"/>
  <c r="CA400" i="11"/>
  <c r="CV397" i="11"/>
  <c r="CR397" i="11"/>
  <c r="CN397" i="11"/>
  <c r="CJ397" i="11"/>
  <c r="CT395" i="11"/>
  <c r="CP395" i="11"/>
  <c r="CL395" i="11"/>
  <c r="CA395" i="11"/>
  <c r="CM393" i="11"/>
  <c r="CA409" i="11"/>
  <c r="CA403" i="11"/>
  <c r="CA399" i="11"/>
  <c r="CS397" i="11"/>
  <c r="CO397" i="11"/>
  <c r="CK397" i="11"/>
  <c r="CW395" i="11"/>
  <c r="CS395" i="11"/>
  <c r="CO395" i="11"/>
  <c r="CK395" i="11"/>
  <c r="CW393" i="11"/>
  <c r="CJ393" i="11"/>
  <c r="CA410" i="11"/>
  <c r="CA404" i="11"/>
  <c r="CW398" i="11"/>
  <c r="CT397" i="11"/>
  <c r="CP397" i="11"/>
  <c r="CL397" i="11"/>
  <c r="CV395" i="11"/>
  <c r="CR395" i="11"/>
  <c r="CN395" i="11"/>
  <c r="CJ395" i="11"/>
  <c r="CV393" i="11"/>
  <c r="CA392" i="11"/>
  <c r="CA405" i="11"/>
  <c r="CA401" i="11"/>
  <c r="CU397" i="11"/>
  <c r="CQ397" i="11"/>
  <c r="CM397" i="11"/>
  <c r="CF397" i="11"/>
  <c r="CU395" i="11"/>
  <c r="CQ395" i="11"/>
  <c r="CM395" i="11"/>
  <c r="CF395" i="11"/>
  <c r="CP393" i="11"/>
  <c r="CJ392" i="11"/>
  <c r="CA226" i="11"/>
  <c r="CJ209" i="11"/>
  <c r="CW209" i="11"/>
  <c r="CK211" i="11"/>
  <c r="CO211" i="11"/>
  <c r="CS211" i="11"/>
  <c r="CW211" i="11"/>
  <c r="CK213" i="11"/>
  <c r="CO213" i="11"/>
  <c r="CS213" i="11"/>
  <c r="CA215" i="11"/>
  <c r="CA219" i="11"/>
  <c r="CA225" i="11"/>
  <c r="CV209" i="11"/>
  <c r="CJ211" i="11"/>
  <c r="CN211" i="11"/>
  <c r="CR211" i="11"/>
  <c r="CV211" i="11"/>
  <c r="CL213" i="11"/>
  <c r="CP213" i="11"/>
  <c r="CT213" i="11"/>
  <c r="CW214" i="11"/>
  <c r="CA220" i="11"/>
  <c r="CJ208" i="11"/>
  <c r="CP209" i="11"/>
  <c r="CF211" i="11"/>
  <c r="CM211" i="11"/>
  <c r="CQ211" i="11"/>
  <c r="CU211" i="11"/>
  <c r="CF213" i="11"/>
  <c r="CM213" i="11"/>
  <c r="CQ213" i="11"/>
  <c r="CU213" i="11"/>
  <c r="CA217" i="11"/>
  <c r="CA221" i="11"/>
  <c r="CA208" i="11"/>
  <c r="CM209" i="11"/>
  <c r="CA211" i="11"/>
  <c r="CL211" i="11"/>
  <c r="CP211" i="11"/>
  <c r="CT211" i="11"/>
  <c r="CJ213" i="11"/>
  <c r="CN213" i="11"/>
  <c r="CR213" i="11"/>
  <c r="CV213" i="11"/>
  <c r="CA216" i="11"/>
  <c r="CA224" i="11"/>
  <c r="CA433" i="11"/>
  <c r="CA416" i="11"/>
  <c r="CM417" i="11"/>
  <c r="CA419" i="11"/>
  <c r="CL419" i="11"/>
  <c r="CP419" i="11"/>
  <c r="CT419" i="11"/>
  <c r="CJ421" i="11"/>
  <c r="CN421" i="11"/>
  <c r="CR421" i="11"/>
  <c r="CV421" i="11"/>
  <c r="CA424" i="11"/>
  <c r="CA432" i="11"/>
  <c r="CJ416" i="11"/>
  <c r="CP417" i="11"/>
  <c r="CF419" i="11"/>
  <c r="CM419" i="11"/>
  <c r="CQ419" i="11"/>
  <c r="CU419" i="11"/>
  <c r="CF421" i="11"/>
  <c r="CM421" i="11"/>
  <c r="CQ421" i="11"/>
  <c r="CU421" i="11"/>
  <c r="CA425" i="11"/>
  <c r="CA429" i="11"/>
  <c r="CV417" i="11"/>
  <c r="CJ419" i="11"/>
  <c r="CN419" i="11"/>
  <c r="CR419" i="11"/>
  <c r="CV419" i="11"/>
  <c r="CL421" i="11"/>
  <c r="CP421" i="11"/>
  <c r="CT421" i="11"/>
  <c r="CW422" i="11"/>
  <c r="CA428" i="11"/>
  <c r="CA434" i="11"/>
  <c r="CJ417" i="11"/>
  <c r="CW417" i="11"/>
  <c r="CK419" i="11"/>
  <c r="CO419" i="11"/>
  <c r="CS419" i="11"/>
  <c r="CW419" i="11"/>
  <c r="CK421" i="11"/>
  <c r="CO421" i="11"/>
  <c r="CS421" i="11"/>
  <c r="CA423" i="11"/>
  <c r="CA427" i="11"/>
  <c r="CA250" i="11"/>
  <c r="CJ233" i="11"/>
  <c r="CW233" i="11"/>
  <c r="CK235" i="11"/>
  <c r="CO235" i="11"/>
  <c r="CS235" i="11"/>
  <c r="CW235" i="11"/>
  <c r="CK237" i="11"/>
  <c r="CO237" i="11"/>
  <c r="CS237" i="11"/>
  <c r="CA239" i="11"/>
  <c r="CA243" i="11"/>
  <c r="CA249" i="11"/>
  <c r="CA232" i="11"/>
  <c r="CM233" i="11"/>
  <c r="CA235" i="11"/>
  <c r="CL235" i="11"/>
  <c r="CP235" i="11"/>
  <c r="CT235" i="11"/>
  <c r="CJ237" i="11"/>
  <c r="CN237" i="11"/>
  <c r="CR237" i="11"/>
  <c r="CV237" i="11"/>
  <c r="CA240" i="11"/>
  <c r="CA248" i="11"/>
  <c r="CJ232" i="11"/>
  <c r="CP233" i="11"/>
  <c r="CF235" i="11"/>
  <c r="CM235" i="11"/>
  <c r="CQ235" i="11"/>
  <c r="CU235" i="11"/>
  <c r="CF237" i="11"/>
  <c r="CM237" i="11"/>
  <c r="CQ237" i="11"/>
  <c r="CU237" i="11"/>
  <c r="CA241" i="11"/>
  <c r="CA245" i="11"/>
  <c r="CV233" i="11"/>
  <c r="CJ235" i="11"/>
  <c r="CN235" i="11"/>
  <c r="CR235" i="11"/>
  <c r="CV235" i="11"/>
  <c r="CL237" i="11"/>
  <c r="CP237" i="11"/>
  <c r="CT237" i="11"/>
  <c r="CW238" i="11"/>
  <c r="CA244" i="11"/>
  <c r="CA111" i="11"/>
  <c r="CA105" i="11"/>
  <c r="CA101" i="11"/>
  <c r="CS99" i="11"/>
  <c r="CO99" i="11"/>
  <c r="CK99" i="11"/>
  <c r="CW97" i="11"/>
  <c r="CS97" i="11"/>
  <c r="CO97" i="11"/>
  <c r="CK97" i="11"/>
  <c r="CW95" i="11"/>
  <c r="CJ95" i="11"/>
  <c r="CA112" i="11"/>
  <c r="CA106" i="11"/>
  <c r="CW100" i="11"/>
  <c r="CT99" i="11"/>
  <c r="CP99" i="11"/>
  <c r="CL99" i="11"/>
  <c r="CV97" i="11"/>
  <c r="CR97" i="11"/>
  <c r="CN97" i="11"/>
  <c r="CJ97" i="11"/>
  <c r="CV95" i="11"/>
  <c r="CA94" i="11"/>
  <c r="CA107" i="11"/>
  <c r="CA103" i="11"/>
  <c r="CU99" i="11"/>
  <c r="CQ99" i="11"/>
  <c r="CM99" i="11"/>
  <c r="CF99" i="11"/>
  <c r="CU97" i="11"/>
  <c r="CQ97" i="11"/>
  <c r="CM97" i="11"/>
  <c r="CF97" i="11"/>
  <c r="CP95" i="11"/>
  <c r="CJ94" i="11"/>
  <c r="CA110" i="11"/>
  <c r="CA102" i="11"/>
  <c r="CV99" i="11"/>
  <c r="CR99" i="11"/>
  <c r="CN99" i="11"/>
  <c r="CJ99" i="11"/>
  <c r="CT97" i="11"/>
  <c r="CP97" i="11"/>
  <c r="CL97" i="11"/>
  <c r="CA97" i="11"/>
  <c r="CM95" i="11"/>
  <c r="CA61" i="11"/>
  <c r="CA57" i="11"/>
  <c r="CU53" i="11"/>
  <c r="CQ53" i="11"/>
  <c r="CM53" i="11"/>
  <c r="CF53" i="11"/>
  <c r="CU51" i="11"/>
  <c r="CQ51" i="11"/>
  <c r="CM51" i="11"/>
  <c r="CF51" i="11"/>
  <c r="CP49" i="11"/>
  <c r="CJ48" i="11"/>
  <c r="CA64" i="11"/>
  <c r="CA56" i="11"/>
  <c r="CV53" i="11"/>
  <c r="CR53" i="11"/>
  <c r="CN53" i="11"/>
  <c r="CJ53" i="11"/>
  <c r="CT51" i="11"/>
  <c r="CP51" i="11"/>
  <c r="CL51" i="11"/>
  <c r="CA51" i="11"/>
  <c r="CM49" i="11"/>
  <c r="CA65" i="11"/>
  <c r="CA59" i="11"/>
  <c r="CA55" i="11"/>
  <c r="CS53" i="11"/>
  <c r="CO53" i="11"/>
  <c r="CK53" i="11"/>
  <c r="CW51" i="11"/>
  <c r="CS51" i="11"/>
  <c r="CO51" i="11"/>
  <c r="CK51" i="11"/>
  <c r="CW49" i="11"/>
  <c r="CJ49" i="11"/>
  <c r="CA66" i="11"/>
  <c r="CA60" i="11"/>
  <c r="CW54" i="11"/>
  <c r="CT53" i="11"/>
  <c r="CP53" i="11"/>
  <c r="CL53" i="11"/>
  <c r="CV51" i="11"/>
  <c r="CR51" i="11"/>
  <c r="CN51" i="11"/>
  <c r="CJ51" i="11"/>
  <c r="CV49" i="11"/>
  <c r="CA48" i="11"/>
  <c r="EA433" i="11"/>
  <c r="EA416" i="11"/>
  <c r="EM417" i="11"/>
  <c r="EA419" i="11"/>
  <c r="EL419" i="11"/>
  <c r="EP419" i="11"/>
  <c r="ET419" i="11"/>
  <c r="EJ421" i="11"/>
  <c r="EN421" i="11"/>
  <c r="ER421" i="11"/>
  <c r="EV421" i="11"/>
  <c r="EA424" i="11"/>
  <c r="EA432" i="11"/>
  <c r="EJ416" i="11"/>
  <c r="EP417" i="11"/>
  <c r="EF419" i="11"/>
  <c r="EM419" i="11"/>
  <c r="EQ419" i="11"/>
  <c r="EU419" i="11"/>
  <c r="EF421" i="11"/>
  <c r="EM421" i="11"/>
  <c r="EQ421" i="11"/>
  <c r="EU421" i="11"/>
  <c r="EA425" i="11"/>
  <c r="EA429" i="11"/>
  <c r="EV417" i="11"/>
  <c r="EJ419" i="11"/>
  <c r="EN419" i="11"/>
  <c r="ER419" i="11"/>
  <c r="EV419" i="11"/>
  <c r="EL421" i="11"/>
  <c r="EP421" i="11"/>
  <c r="ET421" i="11"/>
  <c r="EW422" i="11"/>
  <c r="EA428" i="11"/>
  <c r="EA434" i="11"/>
  <c r="EJ417" i="11"/>
  <c r="EW417" i="11"/>
  <c r="EK419" i="11"/>
  <c r="EO419" i="11"/>
  <c r="ES419" i="11"/>
  <c r="EW419" i="11"/>
  <c r="EK421" i="11"/>
  <c r="EO421" i="11"/>
  <c r="ES421" i="11"/>
  <c r="EA423" i="11"/>
  <c r="EA427" i="11"/>
  <c r="EA250" i="11"/>
  <c r="EJ233" i="11"/>
  <c r="EW233" i="11"/>
  <c r="EK235" i="11"/>
  <c r="EO235" i="11"/>
  <c r="ES235" i="11"/>
  <c r="EW235" i="11"/>
  <c r="EK237" i="11"/>
  <c r="EO237" i="11"/>
  <c r="ES237" i="11"/>
  <c r="EA239" i="11"/>
  <c r="EA243" i="11"/>
  <c r="EA249" i="11"/>
  <c r="EA232" i="11"/>
  <c r="EM233" i="11"/>
  <c r="EA235" i="11"/>
  <c r="EL235" i="11"/>
  <c r="EP235" i="11"/>
  <c r="ET235" i="11"/>
  <c r="EJ237" i="11"/>
  <c r="EN237" i="11"/>
  <c r="ER237" i="11"/>
  <c r="EV237" i="11"/>
  <c r="EA240" i="11"/>
  <c r="EA248" i="11"/>
  <c r="EJ232" i="11"/>
  <c r="EP233" i="11"/>
  <c r="EF235" i="11"/>
  <c r="EM235" i="11"/>
  <c r="EQ235" i="11"/>
  <c r="EU235" i="11"/>
  <c r="EF237" i="11"/>
  <c r="EM237" i="11"/>
  <c r="EQ237" i="11"/>
  <c r="EU237" i="11"/>
  <c r="EA241" i="11"/>
  <c r="EA245" i="11"/>
  <c r="EV233" i="11"/>
  <c r="EJ235" i="11"/>
  <c r="EN235" i="11"/>
  <c r="ER235" i="11"/>
  <c r="EV235" i="11"/>
  <c r="EL237" i="11"/>
  <c r="EP237" i="11"/>
  <c r="ET237" i="11"/>
  <c r="EW238" i="11"/>
  <c r="EA244" i="11"/>
  <c r="EA203" i="11"/>
  <c r="EA197" i="11"/>
  <c r="EA193" i="11"/>
  <c r="ES191" i="11"/>
  <c r="EO191" i="11"/>
  <c r="EK191" i="11"/>
  <c r="EW189" i="11"/>
  <c r="ES189" i="11"/>
  <c r="EO189" i="11"/>
  <c r="EK189" i="11"/>
  <c r="EW187" i="11"/>
  <c r="EJ187" i="11"/>
  <c r="EA204" i="11"/>
  <c r="EA198" i="11"/>
  <c r="EW192" i="11"/>
  <c r="ET191" i="11"/>
  <c r="EP191" i="11"/>
  <c r="EL191" i="11"/>
  <c r="EV189" i="11"/>
  <c r="ER189" i="11"/>
  <c r="EN189" i="11"/>
  <c r="EJ189" i="11"/>
  <c r="EV187" i="11"/>
  <c r="EA186" i="11"/>
  <c r="EA199" i="11"/>
  <c r="EA195" i="11"/>
  <c r="EU191" i="11"/>
  <c r="EQ191" i="11"/>
  <c r="EM191" i="11"/>
  <c r="EF191" i="11"/>
  <c r="EU189" i="11"/>
  <c r="EQ189" i="11"/>
  <c r="EM189" i="11"/>
  <c r="EF189" i="11"/>
  <c r="EP187" i="11"/>
  <c r="EJ186" i="11"/>
  <c r="EA202" i="11"/>
  <c r="EA194" i="11"/>
  <c r="EV191" i="11"/>
  <c r="ER191" i="11"/>
  <c r="EN191" i="11"/>
  <c r="EJ191" i="11"/>
  <c r="ET189" i="11"/>
  <c r="EP189" i="11"/>
  <c r="EL189" i="11"/>
  <c r="EA189" i="11"/>
  <c r="EM187" i="11"/>
  <c r="EA45" i="11"/>
  <c r="EJ27" i="11"/>
  <c r="EP28" i="11"/>
  <c r="EF30" i="11"/>
  <c r="EM30" i="11"/>
  <c r="EQ30" i="11"/>
  <c r="EU30" i="11"/>
  <c r="EF32" i="11"/>
  <c r="EM32" i="11"/>
  <c r="EQ32" i="11"/>
  <c r="EU32" i="11"/>
  <c r="EA36" i="11"/>
  <c r="EA40" i="11"/>
  <c r="EA27" i="11"/>
  <c r="EM28" i="11"/>
  <c r="EA30" i="11"/>
  <c r="EL30" i="11"/>
  <c r="EP30" i="11"/>
  <c r="ET30" i="11"/>
  <c r="EJ32" i="11"/>
  <c r="EN32" i="11"/>
  <c r="ER32" i="11"/>
  <c r="EV32" i="11"/>
  <c r="EA35" i="11"/>
  <c r="EA43" i="11"/>
  <c r="EJ28" i="11"/>
  <c r="EW28" i="11"/>
  <c r="EK30" i="11"/>
  <c r="EO30" i="11"/>
  <c r="ES30" i="11"/>
  <c r="EW30" i="11"/>
  <c r="EK32" i="11"/>
  <c r="EO32" i="11"/>
  <c r="ES32" i="11"/>
  <c r="EA34" i="11"/>
  <c r="EA38" i="11"/>
  <c r="EA44" i="11"/>
  <c r="EV28" i="11"/>
  <c r="EJ30" i="11"/>
  <c r="EN30" i="11"/>
  <c r="ER30" i="11"/>
  <c r="EV30" i="11"/>
  <c r="EL32" i="11"/>
  <c r="EP32" i="11"/>
  <c r="ET32" i="11"/>
  <c r="EW33" i="11"/>
  <c r="EA39" i="11"/>
  <c r="GA317" i="11"/>
  <c r="GA311" i="11"/>
  <c r="GA307" i="11"/>
  <c r="GS305" i="11"/>
  <c r="GO305" i="11"/>
  <c r="GK305" i="11"/>
  <c r="GA318" i="11"/>
  <c r="GA312" i="11"/>
  <c r="GW306" i="11"/>
  <c r="GT305" i="11"/>
  <c r="GP305" i="11"/>
  <c r="GL305" i="11"/>
  <c r="GV303" i="11"/>
  <c r="GR303" i="11"/>
  <c r="GN303" i="11"/>
  <c r="GJ303" i="11"/>
  <c r="GV301" i="11"/>
  <c r="GA300" i="11"/>
  <c r="GW301" i="11"/>
  <c r="GO303" i="11"/>
  <c r="GW303" i="11"/>
  <c r="GA313" i="11"/>
  <c r="GA309" i="11"/>
  <c r="GU305" i="11"/>
  <c r="GQ305" i="11"/>
  <c r="GM305" i="11"/>
  <c r="GF305" i="11"/>
  <c r="GA316" i="11"/>
  <c r="GA308" i="11"/>
  <c r="GV305" i="11"/>
  <c r="GR305" i="11"/>
  <c r="GN305" i="11"/>
  <c r="GJ305" i="11"/>
  <c r="GT303" i="11"/>
  <c r="GP303" i="11"/>
  <c r="GL303" i="11"/>
  <c r="GA303" i="11"/>
  <c r="GM301" i="11"/>
  <c r="GJ301" i="11"/>
  <c r="GK303" i="11"/>
  <c r="GS303" i="11"/>
  <c r="GP301" i="11"/>
  <c r="GM303" i="11"/>
  <c r="GU303" i="11"/>
  <c r="GJ300" i="11"/>
  <c r="GF303" i="11"/>
  <c r="GQ303" i="11"/>
  <c r="GA456" i="11"/>
  <c r="GA450" i="11"/>
  <c r="GW444" i="11"/>
  <c r="GT443" i="11"/>
  <c r="GP443" i="11"/>
  <c r="GL443" i="11"/>
  <c r="GV441" i="11"/>
  <c r="GR441" i="11"/>
  <c r="GN441" i="11"/>
  <c r="GJ441" i="11"/>
  <c r="GV439" i="11"/>
  <c r="GA438" i="11"/>
  <c r="GA451" i="11"/>
  <c r="GA447" i="11"/>
  <c r="GU443" i="11"/>
  <c r="GQ443" i="11"/>
  <c r="GM443" i="11"/>
  <c r="GF443" i="11"/>
  <c r="GU441" i="11"/>
  <c r="GQ441" i="11"/>
  <c r="GM441" i="11"/>
  <c r="GF441" i="11"/>
  <c r="GP439" i="11"/>
  <c r="GJ438" i="11"/>
  <c r="GA454" i="11"/>
  <c r="GA446" i="11"/>
  <c r="GV443" i="11"/>
  <c r="GR443" i="11"/>
  <c r="GN443" i="11"/>
  <c r="GJ443" i="11"/>
  <c r="GT441" i="11"/>
  <c r="GP441" i="11"/>
  <c r="GL441" i="11"/>
  <c r="GA441" i="11"/>
  <c r="GM439" i="11"/>
  <c r="GA455" i="11"/>
  <c r="GA449" i="11"/>
  <c r="GA445" i="11"/>
  <c r="GS443" i="11"/>
  <c r="GO443" i="11"/>
  <c r="GK443" i="11"/>
  <c r="GW441" i="11"/>
  <c r="GS441" i="11"/>
  <c r="GO441" i="11"/>
  <c r="GK441" i="11"/>
  <c r="GW439" i="11"/>
  <c r="GJ439" i="11"/>
  <c r="GA363" i="11"/>
  <c r="GV347" i="11"/>
  <c r="GJ349" i="11"/>
  <c r="GN349" i="11"/>
  <c r="GR349" i="11"/>
  <c r="GV349" i="11"/>
  <c r="GL351" i="11"/>
  <c r="GP351" i="11"/>
  <c r="GT351" i="11"/>
  <c r="GW352" i="11"/>
  <c r="GA358" i="11"/>
  <c r="GA364" i="11"/>
  <c r="GJ347" i="11"/>
  <c r="GW347" i="11"/>
  <c r="GK349" i="11"/>
  <c r="GO349" i="11"/>
  <c r="GS349" i="11"/>
  <c r="GW349" i="11"/>
  <c r="GK351" i="11"/>
  <c r="GO351" i="11"/>
  <c r="GS351" i="11"/>
  <c r="GA353" i="11"/>
  <c r="GA357" i="11"/>
  <c r="GA346" i="11"/>
  <c r="GM347" i="11"/>
  <c r="GA349" i="11"/>
  <c r="GL349" i="11"/>
  <c r="GP349" i="11"/>
  <c r="GT349" i="11"/>
  <c r="GJ351" i="11"/>
  <c r="GN351" i="11"/>
  <c r="GR351" i="11"/>
  <c r="GV351" i="11"/>
  <c r="GA354" i="11"/>
  <c r="GA362" i="11"/>
  <c r="GJ346" i="11"/>
  <c r="GP347" i="11"/>
  <c r="GF349" i="11"/>
  <c r="GM349" i="11"/>
  <c r="GQ349" i="11"/>
  <c r="GU349" i="11"/>
  <c r="GF351" i="11"/>
  <c r="GM351" i="11"/>
  <c r="GQ351" i="11"/>
  <c r="GU351" i="11"/>
  <c r="GA355" i="11"/>
  <c r="GA359" i="11"/>
  <c r="GU167" i="11"/>
  <c r="GM167" i="11"/>
  <c r="GU165" i="11"/>
  <c r="GM165" i="11"/>
  <c r="GP163" i="11"/>
  <c r="GA175" i="11"/>
  <c r="GA169" i="11"/>
  <c r="GQ167" i="11"/>
  <c r="GF167" i="11"/>
  <c r="GQ165" i="11"/>
  <c r="GF165" i="11"/>
  <c r="GJ162" i="11"/>
  <c r="GA180" i="11"/>
  <c r="GA174" i="11"/>
  <c r="GW168" i="11"/>
  <c r="GT167" i="11"/>
  <c r="GP167" i="11"/>
  <c r="GL167" i="11"/>
  <c r="GV165" i="11"/>
  <c r="GR165" i="11"/>
  <c r="GN165" i="11"/>
  <c r="GJ165" i="11"/>
  <c r="GV163" i="11"/>
  <c r="GA162" i="11"/>
  <c r="GW163" i="11"/>
  <c r="GO165" i="11"/>
  <c r="GW165" i="11"/>
  <c r="GO167" i="11"/>
  <c r="GA171" i="11"/>
  <c r="GA179" i="11"/>
  <c r="GA178" i="11"/>
  <c r="GA170" i="11"/>
  <c r="GV167" i="11"/>
  <c r="GR167" i="11"/>
  <c r="GN167" i="11"/>
  <c r="GJ167" i="11"/>
  <c r="GT165" i="11"/>
  <c r="GP165" i="11"/>
  <c r="GL165" i="11"/>
  <c r="GA165" i="11"/>
  <c r="GM163" i="11"/>
  <c r="GJ163" i="11"/>
  <c r="GK165" i="11"/>
  <c r="GS165" i="11"/>
  <c r="GK167" i="11"/>
  <c r="GS167" i="11"/>
  <c r="GA173" i="11"/>
  <c r="BA454" i="11"/>
  <c r="BA446" i="11"/>
  <c r="BV443" i="11"/>
  <c r="BR443" i="11"/>
  <c r="BN443" i="11"/>
  <c r="BJ443" i="11"/>
  <c r="BT441" i="11"/>
  <c r="BP441" i="11"/>
  <c r="BL441" i="11"/>
  <c r="BA441" i="11"/>
  <c r="BM439" i="11"/>
  <c r="BA455" i="11"/>
  <c r="BA449" i="11"/>
  <c r="BA445" i="11"/>
  <c r="BS443" i="11"/>
  <c r="BO443" i="11"/>
  <c r="BK443" i="11"/>
  <c r="BW441" i="11"/>
  <c r="BS441" i="11"/>
  <c r="BO441" i="11"/>
  <c r="BK441" i="11"/>
  <c r="BW439" i="11"/>
  <c r="BJ439" i="11"/>
  <c r="BA456" i="11"/>
  <c r="BA450" i="11"/>
  <c r="BW444" i="11"/>
  <c r="BT443" i="11"/>
  <c r="BP443" i="11"/>
  <c r="BL443" i="11"/>
  <c r="BV441" i="11"/>
  <c r="BR441" i="11"/>
  <c r="BN441" i="11"/>
  <c r="BJ441" i="11"/>
  <c r="BV439" i="11"/>
  <c r="BA438" i="11"/>
  <c r="BA451" i="11"/>
  <c r="BA447" i="11"/>
  <c r="BU443" i="11"/>
  <c r="BQ443" i="11"/>
  <c r="BM443" i="11"/>
  <c r="BF443" i="11"/>
  <c r="BU441" i="11"/>
  <c r="BQ441" i="11"/>
  <c r="BM441" i="11"/>
  <c r="BF441" i="11"/>
  <c r="BP439" i="11"/>
  <c r="BJ438" i="11"/>
  <c r="BA364" i="11"/>
  <c r="BJ347" i="11"/>
  <c r="BW347" i="11"/>
  <c r="BK349" i="11"/>
  <c r="BO349" i="11"/>
  <c r="BS349" i="11"/>
  <c r="BW349" i="11"/>
  <c r="BK351" i="11"/>
  <c r="BO351" i="11"/>
  <c r="BS351" i="11"/>
  <c r="BA353" i="11"/>
  <c r="BA357" i="11"/>
  <c r="BA363" i="11"/>
  <c r="BA346" i="11"/>
  <c r="BM347" i="11"/>
  <c r="BA349" i="11"/>
  <c r="BL349" i="11"/>
  <c r="BP349" i="11"/>
  <c r="BT349" i="11"/>
  <c r="BJ351" i="11"/>
  <c r="BN351" i="11"/>
  <c r="BR351" i="11"/>
  <c r="BV351" i="11"/>
  <c r="BA354" i="11"/>
  <c r="BA362" i="11"/>
  <c r="BJ346" i="11"/>
  <c r="BP347" i="11"/>
  <c r="BF349" i="11"/>
  <c r="BM349" i="11"/>
  <c r="BQ349" i="11"/>
  <c r="BU349" i="11"/>
  <c r="BF351" i="11"/>
  <c r="BM351" i="11"/>
  <c r="BQ351" i="11"/>
  <c r="BU351" i="11"/>
  <c r="BA355" i="11"/>
  <c r="BA359" i="11"/>
  <c r="BV347" i="11"/>
  <c r="BJ349" i="11"/>
  <c r="BN349" i="11"/>
  <c r="BR349" i="11"/>
  <c r="BV349" i="11"/>
  <c r="BL351" i="11"/>
  <c r="BP351" i="11"/>
  <c r="BT351" i="11"/>
  <c r="BW352" i="11"/>
  <c r="BA358" i="11"/>
  <c r="BA248" i="11"/>
  <c r="BA240" i="11"/>
  <c r="BV237" i="11"/>
  <c r="BR237" i="11"/>
  <c r="BN237" i="11"/>
  <c r="BJ237" i="11"/>
  <c r="BT235" i="11"/>
  <c r="BP235" i="11"/>
  <c r="BL235" i="11"/>
  <c r="BA245" i="11"/>
  <c r="BU237" i="11"/>
  <c r="BM237" i="11"/>
  <c r="BU235" i="11"/>
  <c r="BM235" i="11"/>
  <c r="BW233" i="11"/>
  <c r="BJ233" i="11"/>
  <c r="BA249" i="11"/>
  <c r="BA241" i="11"/>
  <c r="BO237" i="11"/>
  <c r="BW235" i="11"/>
  <c r="BO235" i="11"/>
  <c r="BA235" i="11"/>
  <c r="BM233" i="11"/>
  <c r="BA250" i="11"/>
  <c r="BA244" i="11"/>
  <c r="BW238" i="11"/>
  <c r="BT237" i="11"/>
  <c r="BP237" i="11"/>
  <c r="BL237" i="11"/>
  <c r="BV235" i="11"/>
  <c r="BR235" i="11"/>
  <c r="BN235" i="11"/>
  <c r="BJ235" i="11"/>
  <c r="BA239" i="11"/>
  <c r="BQ237" i="11"/>
  <c r="BF237" i="11"/>
  <c r="BQ235" i="11"/>
  <c r="BF235" i="11"/>
  <c r="BP233" i="11"/>
  <c r="BJ232" i="11"/>
  <c r="BA243" i="11"/>
  <c r="BS237" i="11"/>
  <c r="BK237" i="11"/>
  <c r="BS235" i="11"/>
  <c r="BK235" i="11"/>
  <c r="BV233" i="11"/>
  <c r="BA232" i="11"/>
  <c r="BF189" i="11"/>
  <c r="BJ186" i="11"/>
  <c r="BP187" i="11"/>
  <c r="BA204" i="11"/>
  <c r="BA198" i="11"/>
  <c r="BW192" i="11"/>
  <c r="BT191" i="11"/>
  <c r="BP191" i="11"/>
  <c r="BL191" i="11"/>
  <c r="BV189" i="11"/>
  <c r="BR189" i="11"/>
  <c r="BN189" i="11"/>
  <c r="BJ189" i="11"/>
  <c r="BV187" i="11"/>
  <c r="BA186" i="11"/>
  <c r="BA199" i="11"/>
  <c r="BA195" i="11"/>
  <c r="BU191" i="11"/>
  <c r="BQ191" i="11"/>
  <c r="BM191" i="11"/>
  <c r="BF191" i="11"/>
  <c r="BU189" i="11"/>
  <c r="BQ189" i="11"/>
  <c r="BM189" i="11"/>
  <c r="BW187" i="11"/>
  <c r="BA202" i="11"/>
  <c r="BA194" i="11"/>
  <c r="BV191" i="11"/>
  <c r="BR191" i="11"/>
  <c r="BN191" i="11"/>
  <c r="BJ191" i="11"/>
  <c r="BT189" i="11"/>
  <c r="BP189" i="11"/>
  <c r="BL189" i="11"/>
  <c r="BA189" i="11"/>
  <c r="BM187" i="11"/>
  <c r="BA203" i="11"/>
  <c r="BA197" i="11"/>
  <c r="BA193" i="11"/>
  <c r="BS191" i="11"/>
  <c r="BO191" i="11"/>
  <c r="BK191" i="11"/>
  <c r="BW189" i="11"/>
  <c r="BS189" i="11"/>
  <c r="BO189" i="11"/>
  <c r="BJ187" i="11"/>
  <c r="BK189" i="11"/>
  <c r="BA175" i="11"/>
  <c r="BA171" i="11"/>
  <c r="BU167" i="11"/>
  <c r="BQ167" i="11"/>
  <c r="BM167" i="11"/>
  <c r="BF167" i="11"/>
  <c r="BU165" i="11"/>
  <c r="BQ165" i="11"/>
  <c r="BM165" i="11"/>
  <c r="BF165" i="11"/>
  <c r="BP163" i="11"/>
  <c r="BJ162" i="11"/>
  <c r="BV163" i="11"/>
  <c r="BN165" i="11"/>
  <c r="BV165" i="11"/>
  <c r="BN167" i="11"/>
  <c r="BV167" i="11"/>
  <c r="BA174" i="11"/>
  <c r="BA162" i="11"/>
  <c r="BA165" i="11"/>
  <c r="BP165" i="11"/>
  <c r="BP167" i="11"/>
  <c r="BW168" i="11"/>
  <c r="BA179" i="11"/>
  <c r="BA173" i="11"/>
  <c r="BA169" i="11"/>
  <c r="BS167" i="11"/>
  <c r="BO167" i="11"/>
  <c r="BK167" i="11"/>
  <c r="BW165" i="11"/>
  <c r="BS165" i="11"/>
  <c r="BO165" i="11"/>
  <c r="BK165" i="11"/>
  <c r="BW163" i="11"/>
  <c r="BJ163" i="11"/>
  <c r="BJ165" i="11"/>
  <c r="BR165" i="11"/>
  <c r="BJ167" i="11"/>
  <c r="BR167" i="11"/>
  <c r="BA170" i="11"/>
  <c r="BA180" i="11"/>
  <c r="BM163" i="11"/>
  <c r="BL165" i="11"/>
  <c r="BT165" i="11"/>
  <c r="BL167" i="11"/>
  <c r="BT167" i="11"/>
  <c r="BA178" i="11"/>
  <c r="BA88" i="11"/>
  <c r="BJ70" i="11"/>
  <c r="BP71" i="11"/>
  <c r="BF73" i="11"/>
  <c r="BM73" i="11"/>
  <c r="BQ73" i="11"/>
  <c r="BU73" i="11"/>
  <c r="BF75" i="11"/>
  <c r="BM75" i="11"/>
  <c r="BQ75" i="11"/>
  <c r="BU75" i="11"/>
  <c r="BA79" i="11"/>
  <c r="BA83" i="11"/>
  <c r="BV71" i="11"/>
  <c r="BJ73" i="11"/>
  <c r="BN73" i="11"/>
  <c r="BR73" i="11"/>
  <c r="BV73" i="11"/>
  <c r="BL75" i="11"/>
  <c r="BP75" i="11"/>
  <c r="BT75" i="11"/>
  <c r="BW76" i="11"/>
  <c r="BA82" i="11"/>
  <c r="BJ71" i="11"/>
  <c r="BW71" i="11"/>
  <c r="BK73" i="11"/>
  <c r="BO73" i="11"/>
  <c r="BS73" i="11"/>
  <c r="BW73" i="11"/>
  <c r="BK75" i="11"/>
  <c r="BO75" i="11"/>
  <c r="BS75" i="11"/>
  <c r="BA77" i="11"/>
  <c r="BA81" i="11"/>
  <c r="BA87" i="11"/>
  <c r="BA70" i="11"/>
  <c r="BM71" i="11"/>
  <c r="BA73" i="11"/>
  <c r="BL73" i="11"/>
  <c r="BP73" i="11"/>
  <c r="BT73" i="11"/>
  <c r="BJ75" i="11"/>
  <c r="BN75" i="11"/>
  <c r="BR75" i="11"/>
  <c r="BV75" i="11"/>
  <c r="BA78" i="11"/>
  <c r="BA86" i="11"/>
  <c r="HA454" i="11"/>
  <c r="HA446" i="11"/>
  <c r="HV443" i="11"/>
  <c r="HR443" i="11"/>
  <c r="HN443" i="11"/>
  <c r="HJ443" i="11"/>
  <c r="HT441" i="11"/>
  <c r="HP441" i="11"/>
  <c r="HL441" i="11"/>
  <c r="HA441" i="11"/>
  <c r="HM439" i="11"/>
  <c r="HA455" i="11"/>
  <c r="HA449" i="11"/>
  <c r="HA445" i="11"/>
  <c r="HS443" i="11"/>
  <c r="HO443" i="11"/>
  <c r="HK443" i="11"/>
  <c r="HW441" i="11"/>
  <c r="HS441" i="11"/>
  <c r="HO441" i="11"/>
  <c r="HK441" i="11"/>
  <c r="HW439" i="11"/>
  <c r="HJ439" i="11"/>
  <c r="HA456" i="11"/>
  <c r="HA450" i="11"/>
  <c r="HW444" i="11"/>
  <c r="HT443" i="11"/>
  <c r="HP443" i="11"/>
  <c r="HL443" i="11"/>
  <c r="HV441" i="11"/>
  <c r="HR441" i="11"/>
  <c r="HN441" i="11"/>
  <c r="HJ441" i="11"/>
  <c r="HV439" i="11"/>
  <c r="HA438" i="11"/>
  <c r="HA451" i="11"/>
  <c r="HA447" i="11"/>
  <c r="HU443" i="11"/>
  <c r="HQ443" i="11"/>
  <c r="HM443" i="11"/>
  <c r="HF443" i="11"/>
  <c r="HU441" i="11"/>
  <c r="HQ441" i="11"/>
  <c r="HM441" i="11"/>
  <c r="HF441" i="11"/>
  <c r="HP439" i="11"/>
  <c r="HJ438" i="11"/>
  <c r="HA410" i="11"/>
  <c r="HA404" i="11"/>
  <c r="HW398" i="11"/>
  <c r="HT397" i="11"/>
  <c r="HP397" i="11"/>
  <c r="HL397" i="11"/>
  <c r="HV395" i="11"/>
  <c r="HR395" i="11"/>
  <c r="HN395" i="11"/>
  <c r="HJ395" i="11"/>
  <c r="HV393" i="11"/>
  <c r="HA392" i="11"/>
  <c r="HA405" i="11"/>
  <c r="HA401" i="11"/>
  <c r="HU397" i="11"/>
  <c r="HQ397" i="11"/>
  <c r="HM397" i="11"/>
  <c r="HF397" i="11"/>
  <c r="HU395" i="11"/>
  <c r="HQ395" i="11"/>
  <c r="HM395" i="11"/>
  <c r="HF395" i="11"/>
  <c r="HP393" i="11"/>
  <c r="HJ392" i="11"/>
  <c r="HA408" i="11"/>
  <c r="HA400" i="11"/>
  <c r="HV397" i="11"/>
  <c r="HR397" i="11"/>
  <c r="HN397" i="11"/>
  <c r="HJ397" i="11"/>
  <c r="HT395" i="11"/>
  <c r="HP395" i="11"/>
  <c r="HL395" i="11"/>
  <c r="HA395" i="11"/>
  <c r="HM393" i="11"/>
  <c r="HA409" i="11"/>
  <c r="HA403" i="11"/>
  <c r="HA399" i="11"/>
  <c r="HS397" i="11"/>
  <c r="HO397" i="11"/>
  <c r="HK397" i="11"/>
  <c r="HW395" i="11"/>
  <c r="HS395" i="11"/>
  <c r="HO395" i="11"/>
  <c r="HK395" i="11"/>
  <c r="HW393" i="11"/>
  <c r="HJ393" i="11"/>
  <c r="HA226" i="11"/>
  <c r="HJ208" i="11"/>
  <c r="HP209" i="11"/>
  <c r="HF211" i="11"/>
  <c r="HM211" i="11"/>
  <c r="HQ211" i="11"/>
  <c r="HU211" i="11"/>
  <c r="HF213" i="11"/>
  <c r="HM213" i="11"/>
  <c r="HQ213" i="11"/>
  <c r="HU213" i="11"/>
  <c r="HJ209" i="11"/>
  <c r="HW209" i="11"/>
  <c r="HK211" i="11"/>
  <c r="HO211" i="11"/>
  <c r="HS211" i="11"/>
  <c r="HW211" i="11"/>
  <c r="HK213" i="11"/>
  <c r="HO213" i="11"/>
  <c r="HS213" i="11"/>
  <c r="HA215" i="11"/>
  <c r="HA217" i="11"/>
  <c r="HA221" i="11"/>
  <c r="HA208" i="11"/>
  <c r="HM209" i="11"/>
  <c r="HA211" i="11"/>
  <c r="HL211" i="11"/>
  <c r="HP211" i="11"/>
  <c r="HT211" i="11"/>
  <c r="HJ213" i="11"/>
  <c r="HN213" i="11"/>
  <c r="HR213" i="11"/>
  <c r="HV213" i="11"/>
  <c r="HA216" i="11"/>
  <c r="HA224" i="11"/>
  <c r="HA219" i="11"/>
  <c r="HA225" i="11"/>
  <c r="HV209" i="11"/>
  <c r="HJ211" i="11"/>
  <c r="HN211" i="11"/>
  <c r="HR211" i="11"/>
  <c r="HV211" i="11"/>
  <c r="HL213" i="11"/>
  <c r="HP213" i="11"/>
  <c r="HT213" i="11"/>
  <c r="HW214" i="11"/>
  <c r="HA220" i="11"/>
  <c r="HA132" i="11"/>
  <c r="HA124" i="11"/>
  <c r="HV121" i="11"/>
  <c r="HR121" i="11"/>
  <c r="HN121" i="11"/>
  <c r="HJ121" i="11"/>
  <c r="HT119" i="11"/>
  <c r="HP119" i="11"/>
  <c r="HL119" i="11"/>
  <c r="HA119" i="11"/>
  <c r="HM117" i="11"/>
  <c r="HA133" i="11"/>
  <c r="HA127" i="11"/>
  <c r="HA123" i="11"/>
  <c r="HS121" i="11"/>
  <c r="HO121" i="11"/>
  <c r="HK121" i="11"/>
  <c r="HW119" i="11"/>
  <c r="HS119" i="11"/>
  <c r="HO119" i="11"/>
  <c r="HK119" i="11"/>
  <c r="HW117" i="11"/>
  <c r="HJ117" i="11"/>
  <c r="HA134" i="11"/>
  <c r="HA128" i="11"/>
  <c r="HW122" i="11"/>
  <c r="HT121" i="11"/>
  <c r="HP121" i="11"/>
  <c r="HL121" i="11"/>
  <c r="HV119" i="11"/>
  <c r="HR119" i="11"/>
  <c r="HN119" i="11"/>
  <c r="HJ119" i="11"/>
  <c r="HV117" i="11"/>
  <c r="HA116" i="11"/>
  <c r="HA129" i="11"/>
  <c r="HA125" i="11"/>
  <c r="HU121" i="11"/>
  <c r="HQ121" i="11"/>
  <c r="HM121" i="11"/>
  <c r="HF121" i="11"/>
  <c r="HU119" i="11"/>
  <c r="HQ119" i="11"/>
  <c r="HM119" i="11"/>
  <c r="HF119" i="11"/>
  <c r="HP117" i="11"/>
  <c r="HJ116" i="11"/>
  <c r="HA433" i="11"/>
  <c r="HV417" i="11"/>
  <c r="HJ419" i="11"/>
  <c r="HN419" i="11"/>
  <c r="HR419" i="11"/>
  <c r="HV419" i="11"/>
  <c r="HL421" i="11"/>
  <c r="HP421" i="11"/>
  <c r="HT421" i="11"/>
  <c r="HW422" i="11"/>
  <c r="HA428" i="11"/>
  <c r="HA434" i="11"/>
  <c r="HJ417" i="11"/>
  <c r="HW417" i="11"/>
  <c r="HK419" i="11"/>
  <c r="HO419" i="11"/>
  <c r="HS419" i="11"/>
  <c r="HW419" i="11"/>
  <c r="HK421" i="11"/>
  <c r="HO421" i="11"/>
  <c r="HS421" i="11"/>
  <c r="HA423" i="11"/>
  <c r="HA427" i="11"/>
  <c r="HA416" i="11"/>
  <c r="HM417" i="11"/>
  <c r="HA419" i="11"/>
  <c r="HL419" i="11"/>
  <c r="HP419" i="11"/>
  <c r="HT419" i="11"/>
  <c r="HJ421" i="11"/>
  <c r="HN421" i="11"/>
  <c r="HR421" i="11"/>
  <c r="HV421" i="11"/>
  <c r="HA424" i="11"/>
  <c r="HA432" i="11"/>
  <c r="HJ416" i="11"/>
  <c r="HP417" i="11"/>
  <c r="HF419" i="11"/>
  <c r="HM419" i="11"/>
  <c r="HQ419" i="11"/>
  <c r="HU419" i="11"/>
  <c r="HF421" i="11"/>
  <c r="HM421" i="11"/>
  <c r="HQ421" i="11"/>
  <c r="HU421" i="11"/>
  <c r="HA425" i="11"/>
  <c r="HA429" i="11"/>
  <c r="HA250" i="11"/>
  <c r="HJ232" i="11"/>
  <c r="HP233" i="11"/>
  <c r="HF235" i="11"/>
  <c r="HM235" i="11"/>
  <c r="HQ235" i="11"/>
  <c r="HU235" i="11"/>
  <c r="HF237" i="11"/>
  <c r="HM237" i="11"/>
  <c r="HQ237" i="11"/>
  <c r="HU237" i="11"/>
  <c r="HA241" i="11"/>
  <c r="HA245" i="11"/>
  <c r="HV233" i="11"/>
  <c r="HJ235" i="11"/>
  <c r="HN235" i="11"/>
  <c r="HR235" i="11"/>
  <c r="HV235" i="11"/>
  <c r="HL237" i="11"/>
  <c r="HP237" i="11"/>
  <c r="HT237" i="11"/>
  <c r="HW238" i="11"/>
  <c r="HA244" i="11"/>
  <c r="HJ233" i="11"/>
  <c r="HW233" i="11"/>
  <c r="HK235" i="11"/>
  <c r="HO235" i="11"/>
  <c r="HS235" i="11"/>
  <c r="HW235" i="11"/>
  <c r="HK237" i="11"/>
  <c r="HO237" i="11"/>
  <c r="HS237" i="11"/>
  <c r="HA239" i="11"/>
  <c r="HA243" i="11"/>
  <c r="HA249" i="11"/>
  <c r="HA232" i="11"/>
  <c r="HM233" i="11"/>
  <c r="HA235" i="11"/>
  <c r="HL235" i="11"/>
  <c r="HP235" i="11"/>
  <c r="HT235" i="11"/>
  <c r="HJ237" i="11"/>
  <c r="HN237" i="11"/>
  <c r="HR237" i="11"/>
  <c r="HV237" i="11"/>
  <c r="HA240" i="11"/>
  <c r="HA248" i="11"/>
  <c r="A95" i="11"/>
  <c r="A99" i="11"/>
  <c r="HA16" i="11"/>
  <c r="FA16" i="11"/>
  <c r="DA16" i="11"/>
  <c r="BA16" i="11"/>
  <c r="A37" i="11"/>
  <c r="A126" i="11"/>
  <c r="A58" i="11"/>
  <c r="A141" i="11"/>
  <c r="A145" i="11"/>
  <c r="A213" i="11"/>
  <c r="A209" i="11"/>
  <c r="A233" i="11"/>
  <c r="A237" i="11"/>
  <c r="A325" i="11"/>
  <c r="A329" i="11"/>
  <c r="A397" i="11"/>
  <c r="A393" i="11"/>
  <c r="A417" i="11"/>
  <c r="A421" i="11"/>
  <c r="A71" i="11"/>
  <c r="A75" i="11"/>
  <c r="W51" i="11"/>
  <c r="A65" i="11"/>
  <c r="A61" i="11"/>
  <c r="A59" i="11"/>
  <c r="A57" i="11"/>
  <c r="A55" i="11"/>
  <c r="V53" i="11"/>
  <c r="T53" i="11"/>
  <c r="R53" i="11"/>
  <c r="P53" i="11"/>
  <c r="N53" i="11"/>
  <c r="L53" i="11"/>
  <c r="J53" i="11"/>
  <c r="U51" i="11"/>
  <c r="S51" i="11"/>
  <c r="Q51" i="11"/>
  <c r="O51" i="11"/>
  <c r="M51" i="11"/>
  <c r="K51" i="11"/>
  <c r="F51" i="11"/>
  <c r="W49" i="11"/>
  <c r="P49" i="11"/>
  <c r="J49" i="11"/>
  <c r="J48" i="11"/>
  <c r="A66" i="11"/>
  <c r="A64" i="11"/>
  <c r="A60" i="11"/>
  <c r="A56" i="11"/>
  <c r="W54" i="11"/>
  <c r="U53" i="11"/>
  <c r="S53" i="11"/>
  <c r="Q53" i="11"/>
  <c r="O53" i="11"/>
  <c r="M53" i="11"/>
  <c r="K53" i="11"/>
  <c r="F53" i="11"/>
  <c r="V51" i="11"/>
  <c r="T51" i="11"/>
  <c r="R51" i="11"/>
  <c r="P51" i="11"/>
  <c r="N51" i="11"/>
  <c r="L51" i="11"/>
  <c r="J51" i="11"/>
  <c r="A51" i="11"/>
  <c r="V49" i="11"/>
  <c r="M49" i="11"/>
  <c r="A48" i="11"/>
  <c r="GA16" i="11"/>
  <c r="EA16" i="11"/>
  <c r="CA16" i="11"/>
  <c r="A167" i="11"/>
  <c r="A163" i="11"/>
  <c r="A259" i="11"/>
  <c r="A255" i="11"/>
  <c r="A187" i="11"/>
  <c r="A191" i="11"/>
  <c r="A305" i="11"/>
  <c r="A301" i="11"/>
  <c r="A279" i="11"/>
  <c r="A283" i="11"/>
  <c r="A351" i="11"/>
  <c r="A347" i="11"/>
  <c r="A371" i="11"/>
  <c r="A375" i="11"/>
  <c r="A443" i="11"/>
  <c r="A439" i="11"/>
  <c r="W119" i="11"/>
  <c r="A133" i="11"/>
  <c r="A129" i="11"/>
  <c r="A127" i="11"/>
  <c r="A125" i="11"/>
  <c r="A123" i="11"/>
  <c r="V121" i="11"/>
  <c r="T121" i="11"/>
  <c r="R121" i="11"/>
  <c r="P121" i="11"/>
  <c r="N121" i="11"/>
  <c r="L121" i="11"/>
  <c r="J121" i="11"/>
  <c r="U119" i="11"/>
  <c r="S119" i="11"/>
  <c r="Q119" i="11"/>
  <c r="O119" i="11"/>
  <c r="M119" i="11"/>
  <c r="K119" i="11"/>
  <c r="F119" i="11"/>
  <c r="W117" i="11"/>
  <c r="P117" i="11"/>
  <c r="J117" i="11"/>
  <c r="J116" i="11"/>
  <c r="A134" i="11"/>
  <c r="A132" i="11"/>
  <c r="A128" i="11"/>
  <c r="A124" i="11"/>
  <c r="W122" i="11"/>
  <c r="U121" i="11"/>
  <c r="S121" i="11"/>
  <c r="Q121" i="11"/>
  <c r="O121" i="11"/>
  <c r="M121" i="11"/>
  <c r="K121" i="11"/>
  <c r="F121" i="11"/>
  <c r="V119" i="11"/>
  <c r="T119" i="11"/>
  <c r="R119" i="11"/>
  <c r="P119" i="11"/>
  <c r="N119" i="11"/>
  <c r="L119" i="11"/>
  <c r="J119" i="11"/>
  <c r="A119" i="11"/>
  <c r="V117" i="11"/>
  <c r="M117" i="11"/>
  <c r="A116" i="11"/>
  <c r="A30" i="11"/>
  <c r="W30" i="11"/>
  <c r="N30" i="11"/>
  <c r="J27" i="11"/>
  <c r="V28" i="11"/>
  <c r="M28" i="11"/>
  <c r="V30" i="11"/>
  <c r="T30" i="11"/>
  <c r="R30" i="11"/>
  <c r="P30" i="11"/>
  <c r="M30" i="11"/>
  <c r="K30" i="11"/>
  <c r="F30" i="11"/>
  <c r="W28" i="11"/>
  <c r="P28" i="11"/>
  <c r="J28" i="11"/>
  <c r="U30" i="11"/>
  <c r="S30" i="11"/>
  <c r="Q30" i="11"/>
  <c r="O30" i="11"/>
  <c r="L30" i="11"/>
  <c r="J30" i="11"/>
  <c r="A45" i="11"/>
  <c r="F32" i="11"/>
  <c r="M32" i="11"/>
  <c r="Q32" i="11"/>
  <c r="U32" i="11"/>
  <c r="A36" i="11"/>
  <c r="A40" i="11"/>
  <c r="A27" i="11"/>
  <c r="J32" i="11"/>
  <c r="N32" i="11"/>
  <c r="R32" i="11"/>
  <c r="V32" i="11"/>
  <c r="A35" i="11"/>
  <c r="A43" i="11"/>
  <c r="K32" i="11"/>
  <c r="O32" i="11"/>
  <c r="S32" i="11"/>
  <c r="A34" i="11"/>
  <c r="A38" i="11"/>
  <c r="A44" i="11"/>
  <c r="L32" i="11"/>
  <c r="P32" i="11"/>
  <c r="T32" i="11"/>
  <c r="W33" i="11"/>
  <c r="A39" i="11"/>
  <c r="G14" i="6"/>
  <c r="W11" i="11"/>
  <c r="AA16" i="11"/>
  <c r="Z161" i="11"/>
  <c r="Z253" i="11"/>
  <c r="A274" i="11"/>
  <c r="Z185" i="11"/>
  <c r="Z299" i="11"/>
  <c r="Z277" i="11"/>
  <c r="Z345" i="11"/>
  <c r="Z369" i="11"/>
  <c r="Z437" i="11"/>
  <c r="AW11" i="11"/>
  <c r="Z93" i="11"/>
  <c r="A16" i="11"/>
  <c r="Z139" i="11"/>
  <c r="Z207" i="11"/>
  <c r="A218" i="11" s="1"/>
  <c r="A228" i="11"/>
  <c r="Z231" i="11"/>
  <c r="A242" i="11" s="1"/>
  <c r="Z323" i="11"/>
  <c r="Z391" i="11"/>
  <c r="A402" i="11" s="1"/>
  <c r="Z415" i="11"/>
  <c r="Z69" i="11"/>
  <c r="A80" i="11" s="1"/>
  <c r="G6" i="12"/>
  <c r="H16" i="12"/>
  <c r="FW283" i="11" l="1"/>
  <c r="HW99" i="11"/>
  <c r="EW53" i="11"/>
  <c r="CW259" i="11"/>
  <c r="GW305" i="11"/>
  <c r="AW145" i="11"/>
  <c r="FW191" i="11"/>
  <c r="BW213" i="11"/>
  <c r="CW283" i="11"/>
  <c r="DW145" i="11"/>
  <c r="HW305" i="11"/>
  <c r="BW329" i="11"/>
  <c r="HW421" i="11"/>
  <c r="HW213" i="11"/>
  <c r="HW443" i="11"/>
  <c r="BW167" i="11"/>
  <c r="BW191" i="11"/>
  <c r="BW237" i="11"/>
  <c r="BW443" i="11"/>
  <c r="GW351" i="11"/>
  <c r="EW191" i="11"/>
  <c r="EW421" i="11"/>
  <c r="CW99" i="11"/>
  <c r="CW421" i="11"/>
  <c r="CW397" i="11"/>
  <c r="AW397" i="11"/>
  <c r="AW191" i="11"/>
  <c r="FW145" i="11"/>
  <c r="DW121" i="11"/>
  <c r="DW259" i="11"/>
  <c r="HW32" i="11"/>
  <c r="HW375" i="11"/>
  <c r="BW53" i="11"/>
  <c r="BW99" i="11"/>
  <c r="BW421" i="11"/>
  <c r="GW121" i="11"/>
  <c r="GW259" i="11"/>
  <c r="GW375" i="11"/>
  <c r="EW213" i="11"/>
  <c r="CW121" i="11"/>
  <c r="CW191" i="11"/>
  <c r="AW121" i="11"/>
  <c r="FW421" i="11"/>
  <c r="FW213" i="11"/>
  <c r="DW32" i="11"/>
  <c r="DW191" i="11"/>
  <c r="DW351" i="11"/>
  <c r="HW145" i="11"/>
  <c r="HW75" i="11"/>
  <c r="HW351" i="11"/>
  <c r="BW283" i="11"/>
  <c r="GW32" i="11"/>
  <c r="GW99" i="11"/>
  <c r="GW397" i="11"/>
  <c r="GW237" i="11"/>
  <c r="GW421" i="11"/>
  <c r="EW99" i="11"/>
  <c r="EW329" i="11"/>
  <c r="EW145" i="11"/>
  <c r="CW32" i="11"/>
  <c r="CW167" i="11"/>
  <c r="CW443" i="11"/>
  <c r="AW443" i="11"/>
  <c r="AW32" i="11"/>
  <c r="AW237" i="11"/>
  <c r="FW32" i="11"/>
  <c r="FW259" i="11"/>
  <c r="FW375" i="11"/>
  <c r="DW167" i="11"/>
  <c r="DW283" i="11"/>
  <c r="DW329" i="11"/>
  <c r="HW53" i="11"/>
  <c r="HW259" i="11"/>
  <c r="BW32" i="11"/>
  <c r="BW259" i="11"/>
  <c r="BW375" i="11"/>
  <c r="GW191" i="11"/>
  <c r="EW75" i="11"/>
  <c r="EW351" i="11"/>
  <c r="EW283" i="11"/>
  <c r="CW145" i="11"/>
  <c r="CW329" i="11"/>
  <c r="AW375" i="11"/>
  <c r="AW167" i="11"/>
  <c r="AW213" i="11"/>
  <c r="AW421" i="11"/>
  <c r="FW351" i="11"/>
  <c r="DW53" i="11"/>
  <c r="DW397" i="11"/>
  <c r="HW237" i="11"/>
  <c r="HW121" i="11"/>
  <c r="HW397" i="11"/>
  <c r="BW75" i="11"/>
  <c r="BW351" i="11"/>
  <c r="GW167" i="11"/>
  <c r="GW443" i="11"/>
  <c r="EW32" i="11"/>
  <c r="EW237" i="11"/>
  <c r="CW53" i="11"/>
  <c r="CW237" i="11"/>
  <c r="CW213" i="11"/>
  <c r="AW305" i="11"/>
  <c r="FW53" i="11"/>
  <c r="DW213" i="11"/>
  <c r="HW283" i="11"/>
  <c r="HW191" i="11"/>
  <c r="BW145" i="11"/>
  <c r="GW145" i="11"/>
  <c r="GW329" i="11"/>
  <c r="EW121" i="11"/>
  <c r="EW397" i="11"/>
  <c r="AW329" i="11"/>
  <c r="AW259" i="11"/>
  <c r="AW283" i="11"/>
  <c r="FW237" i="11"/>
  <c r="FW121" i="11"/>
  <c r="FW397" i="11"/>
  <c r="DW305" i="11"/>
  <c r="DW443" i="11"/>
  <c r="HW167" i="11"/>
  <c r="BW121" i="11"/>
  <c r="BW397" i="11"/>
  <c r="GW53" i="11"/>
  <c r="GW213" i="11"/>
  <c r="EW259" i="11"/>
  <c r="EW375" i="11"/>
  <c r="EW305" i="11"/>
  <c r="CW305" i="11"/>
  <c r="CW351" i="11"/>
  <c r="AW351" i="11"/>
  <c r="AW53" i="11"/>
  <c r="AW99" i="11"/>
  <c r="FW99" i="11"/>
  <c r="FW329" i="11"/>
  <c r="DW75" i="11"/>
  <c r="DW375" i="11"/>
  <c r="HW329" i="11"/>
  <c r="BW305" i="11"/>
  <c r="GW75" i="11"/>
  <c r="GW283" i="11"/>
  <c r="EW167" i="11"/>
  <c r="EW443" i="11"/>
  <c r="CW75" i="11"/>
  <c r="CW375" i="11"/>
  <c r="AW75" i="11"/>
  <c r="FW305" i="11"/>
  <c r="FW75" i="11"/>
  <c r="FW167" i="11"/>
  <c r="FW443" i="11"/>
  <c r="DW99" i="11"/>
  <c r="DW237" i="11"/>
  <c r="DW421" i="11"/>
  <c r="W281" i="11"/>
  <c r="A296" i="11"/>
  <c r="A294" i="11"/>
  <c r="A290" i="11"/>
  <c r="A286" i="11"/>
  <c r="W284" i="11"/>
  <c r="U283" i="11"/>
  <c r="S283" i="11"/>
  <c r="Q283" i="11"/>
  <c r="O283" i="11"/>
  <c r="M283" i="11"/>
  <c r="K283" i="11"/>
  <c r="F283" i="11"/>
  <c r="V281" i="11"/>
  <c r="T281" i="11"/>
  <c r="R281" i="11"/>
  <c r="P281" i="11"/>
  <c r="N281" i="11"/>
  <c r="L281" i="11"/>
  <c r="J281" i="11"/>
  <c r="A281" i="11"/>
  <c r="V279" i="11"/>
  <c r="M279" i="11"/>
  <c r="A278" i="11"/>
  <c r="A295" i="11"/>
  <c r="A291" i="11"/>
  <c r="A289" i="11"/>
  <c r="A287" i="11"/>
  <c r="A285" i="11"/>
  <c r="V283" i="11"/>
  <c r="T283" i="11"/>
  <c r="R283" i="11"/>
  <c r="P283" i="11"/>
  <c r="N283" i="11"/>
  <c r="L283" i="11"/>
  <c r="J283" i="11"/>
  <c r="U281" i="11"/>
  <c r="S281" i="11"/>
  <c r="Q281" i="11"/>
  <c r="O281" i="11"/>
  <c r="M281" i="11"/>
  <c r="K281" i="11"/>
  <c r="F281" i="11"/>
  <c r="W279" i="11"/>
  <c r="P279" i="11"/>
  <c r="J279" i="11"/>
  <c r="J278" i="11"/>
  <c r="W419" i="11"/>
  <c r="A434" i="11"/>
  <c r="A432" i="11"/>
  <c r="A428" i="11"/>
  <c r="A424" i="11"/>
  <c r="W422" i="11"/>
  <c r="U421" i="11"/>
  <c r="S421" i="11"/>
  <c r="Q421" i="11"/>
  <c r="O421" i="11"/>
  <c r="M421" i="11"/>
  <c r="K421" i="11"/>
  <c r="F421" i="11"/>
  <c r="V419" i="11"/>
  <c r="T419" i="11"/>
  <c r="R419" i="11"/>
  <c r="P419" i="11"/>
  <c r="N419" i="11"/>
  <c r="L419" i="11"/>
  <c r="J419" i="11"/>
  <c r="A419" i="11"/>
  <c r="V417" i="11"/>
  <c r="M417" i="11"/>
  <c r="A416" i="11"/>
  <c r="A433" i="11"/>
  <c r="A429" i="11"/>
  <c r="A427" i="11"/>
  <c r="A425" i="11"/>
  <c r="A423" i="11"/>
  <c r="V421" i="11"/>
  <c r="T421" i="11"/>
  <c r="R421" i="11"/>
  <c r="P421" i="11"/>
  <c r="N421" i="11"/>
  <c r="L421" i="11"/>
  <c r="J421" i="11"/>
  <c r="U419" i="11"/>
  <c r="S419" i="11"/>
  <c r="Q419" i="11"/>
  <c r="O419" i="11"/>
  <c r="M419" i="11"/>
  <c r="K419" i="11"/>
  <c r="F419" i="11"/>
  <c r="W417" i="11"/>
  <c r="P417" i="11"/>
  <c r="J417" i="11"/>
  <c r="J416" i="11"/>
  <c r="W327" i="11"/>
  <c r="A342" i="11"/>
  <c r="A340" i="11"/>
  <c r="A336" i="11"/>
  <c r="A332" i="11"/>
  <c r="W330" i="11"/>
  <c r="U329" i="11"/>
  <c r="S329" i="11"/>
  <c r="Q329" i="11"/>
  <c r="O329" i="11"/>
  <c r="M329" i="11"/>
  <c r="K329" i="11"/>
  <c r="F329" i="11"/>
  <c r="V327" i="11"/>
  <c r="T327" i="11"/>
  <c r="R327" i="11"/>
  <c r="P327" i="11"/>
  <c r="N327" i="11"/>
  <c r="L327" i="11"/>
  <c r="J327" i="11"/>
  <c r="A327" i="11"/>
  <c r="V325" i="11"/>
  <c r="M325" i="11"/>
  <c r="A324" i="11"/>
  <c r="A341" i="11"/>
  <c r="A337" i="11"/>
  <c r="A335" i="11"/>
  <c r="A333" i="11"/>
  <c r="A331" i="11"/>
  <c r="V329" i="11"/>
  <c r="T329" i="11"/>
  <c r="R329" i="11"/>
  <c r="P329" i="11"/>
  <c r="N329" i="11"/>
  <c r="L329" i="11"/>
  <c r="J329" i="11"/>
  <c r="U327" i="11"/>
  <c r="S327" i="11"/>
  <c r="Q327" i="11"/>
  <c r="O327" i="11"/>
  <c r="M327" i="11"/>
  <c r="K327" i="11"/>
  <c r="F327" i="11"/>
  <c r="W325" i="11"/>
  <c r="P325" i="11"/>
  <c r="J325" i="11"/>
  <c r="J324" i="11"/>
  <c r="W143" i="11"/>
  <c r="A158" i="11"/>
  <c r="A156" i="11"/>
  <c r="A152" i="11"/>
  <c r="A148" i="11"/>
  <c r="W146" i="11"/>
  <c r="U145" i="11"/>
  <c r="S145" i="11"/>
  <c r="Q145" i="11"/>
  <c r="O145" i="11"/>
  <c r="M145" i="11"/>
  <c r="K145" i="11"/>
  <c r="F145" i="11"/>
  <c r="V143" i="11"/>
  <c r="T143" i="11"/>
  <c r="R143" i="11"/>
  <c r="P143" i="11"/>
  <c r="N143" i="11"/>
  <c r="L143" i="11"/>
  <c r="J143" i="11"/>
  <c r="A143" i="11"/>
  <c r="V141" i="11"/>
  <c r="M141" i="11"/>
  <c r="A140" i="11"/>
  <c r="A157" i="11"/>
  <c r="A153" i="11"/>
  <c r="A151" i="11"/>
  <c r="A149" i="11"/>
  <c r="A147" i="11"/>
  <c r="V145" i="11"/>
  <c r="T145" i="11"/>
  <c r="R145" i="11"/>
  <c r="P145" i="11"/>
  <c r="N145" i="11"/>
  <c r="L145" i="11"/>
  <c r="J145" i="11"/>
  <c r="U143" i="11"/>
  <c r="S143" i="11"/>
  <c r="Q143" i="11"/>
  <c r="O143" i="11"/>
  <c r="M143" i="11"/>
  <c r="K143" i="11"/>
  <c r="F143" i="11"/>
  <c r="W141" i="11"/>
  <c r="P141" i="11"/>
  <c r="J141" i="11"/>
  <c r="J140" i="11"/>
  <c r="W97" i="11"/>
  <c r="A112" i="11"/>
  <c r="A110" i="11"/>
  <c r="A106" i="11"/>
  <c r="A102" i="11"/>
  <c r="W100" i="11"/>
  <c r="U99" i="11"/>
  <c r="S99" i="11"/>
  <c r="Q99" i="11"/>
  <c r="O99" i="11"/>
  <c r="M99" i="11"/>
  <c r="K99" i="11"/>
  <c r="F99" i="11"/>
  <c r="V97" i="11"/>
  <c r="T97" i="11"/>
  <c r="R97" i="11"/>
  <c r="P97" i="11"/>
  <c r="N97" i="11"/>
  <c r="L97" i="11"/>
  <c r="J97" i="11"/>
  <c r="A97" i="11"/>
  <c r="V95" i="11"/>
  <c r="M95" i="11"/>
  <c r="A94" i="11"/>
  <c r="A111" i="11"/>
  <c r="A107" i="11"/>
  <c r="A105" i="11"/>
  <c r="A103" i="11"/>
  <c r="A101" i="11"/>
  <c r="V99" i="11"/>
  <c r="T99" i="11"/>
  <c r="R99" i="11"/>
  <c r="P99" i="11"/>
  <c r="N99" i="11"/>
  <c r="L99" i="11"/>
  <c r="J99" i="11"/>
  <c r="U97" i="11"/>
  <c r="S97" i="11"/>
  <c r="Q97" i="11"/>
  <c r="O97" i="11"/>
  <c r="M97" i="11"/>
  <c r="K97" i="11"/>
  <c r="F97" i="11"/>
  <c r="W95" i="11"/>
  <c r="P95" i="11"/>
  <c r="J95" i="11"/>
  <c r="J94" i="11"/>
  <c r="W441" i="11"/>
  <c r="A455" i="11"/>
  <c r="A451" i="11"/>
  <c r="A449" i="11"/>
  <c r="A447" i="11"/>
  <c r="A445" i="11"/>
  <c r="V443" i="11"/>
  <c r="T443" i="11"/>
  <c r="R443" i="11"/>
  <c r="P443" i="11"/>
  <c r="N443" i="11"/>
  <c r="L443" i="11"/>
  <c r="J443" i="11"/>
  <c r="U441" i="11"/>
  <c r="S441" i="11"/>
  <c r="Q441" i="11"/>
  <c r="O441" i="11"/>
  <c r="M441" i="11"/>
  <c r="K441" i="11"/>
  <c r="F441" i="11"/>
  <c r="W439" i="11"/>
  <c r="P439" i="11"/>
  <c r="J439" i="11"/>
  <c r="J438" i="11"/>
  <c r="A456" i="11"/>
  <c r="A454" i="11"/>
  <c r="A450" i="11"/>
  <c r="A446" i="11"/>
  <c r="W444" i="11"/>
  <c r="U443" i="11"/>
  <c r="S443" i="11"/>
  <c r="Q443" i="11"/>
  <c r="O443" i="11"/>
  <c r="M443" i="11"/>
  <c r="K443" i="11"/>
  <c r="F443" i="11"/>
  <c r="V441" i="11"/>
  <c r="T441" i="11"/>
  <c r="R441" i="11"/>
  <c r="P441" i="11"/>
  <c r="N441" i="11"/>
  <c r="L441" i="11"/>
  <c r="J441" i="11"/>
  <c r="A441" i="11"/>
  <c r="V439" i="11"/>
  <c r="M439" i="11"/>
  <c r="A438" i="11"/>
  <c r="W349" i="11"/>
  <c r="A363" i="11"/>
  <c r="A359" i="11"/>
  <c r="A357" i="11"/>
  <c r="A355" i="11"/>
  <c r="A353" i="11"/>
  <c r="V351" i="11"/>
  <c r="T351" i="11"/>
  <c r="R351" i="11"/>
  <c r="P351" i="11"/>
  <c r="N351" i="11"/>
  <c r="L351" i="11"/>
  <c r="J351" i="11"/>
  <c r="U349" i="11"/>
  <c r="S349" i="11"/>
  <c r="Q349" i="11"/>
  <c r="O349" i="11"/>
  <c r="M349" i="11"/>
  <c r="K349" i="11"/>
  <c r="F349" i="11"/>
  <c r="W347" i="11"/>
  <c r="P347" i="11"/>
  <c r="J347" i="11"/>
  <c r="J346" i="11"/>
  <c r="A364" i="11"/>
  <c r="A362" i="11"/>
  <c r="A358" i="11"/>
  <c r="A354" i="11"/>
  <c r="W352" i="11"/>
  <c r="U351" i="11"/>
  <c r="S351" i="11"/>
  <c r="Q351" i="11"/>
  <c r="O351" i="11"/>
  <c r="M351" i="11"/>
  <c r="K351" i="11"/>
  <c r="F351" i="11"/>
  <c r="V349" i="11"/>
  <c r="T349" i="11"/>
  <c r="R349" i="11"/>
  <c r="P349" i="11"/>
  <c r="N349" i="11"/>
  <c r="L349" i="11"/>
  <c r="J349" i="11"/>
  <c r="A349" i="11"/>
  <c r="V347" i="11"/>
  <c r="M347" i="11"/>
  <c r="A346" i="11"/>
  <c r="W303" i="11"/>
  <c r="A317" i="11"/>
  <c r="A313" i="11"/>
  <c r="A311" i="11"/>
  <c r="A309" i="11"/>
  <c r="A307" i="11"/>
  <c r="V305" i="11"/>
  <c r="T305" i="11"/>
  <c r="R305" i="11"/>
  <c r="P305" i="11"/>
  <c r="N305" i="11"/>
  <c r="L305" i="11"/>
  <c r="J305" i="11"/>
  <c r="U303" i="11"/>
  <c r="S303" i="11"/>
  <c r="Q303" i="11"/>
  <c r="O303" i="11"/>
  <c r="M303" i="11"/>
  <c r="K303" i="11"/>
  <c r="F303" i="11"/>
  <c r="W301" i="11"/>
  <c r="P301" i="11"/>
  <c r="J301" i="11"/>
  <c r="J300" i="11"/>
  <c r="A318" i="11"/>
  <c r="A316" i="11"/>
  <c r="A312" i="11"/>
  <c r="A308" i="11"/>
  <c r="W306" i="11"/>
  <c r="U305" i="11"/>
  <c r="S305" i="11"/>
  <c r="Q305" i="11"/>
  <c r="O305" i="11"/>
  <c r="M305" i="11"/>
  <c r="K305" i="11"/>
  <c r="F305" i="11"/>
  <c r="V303" i="11"/>
  <c r="T303" i="11"/>
  <c r="R303" i="11"/>
  <c r="P303" i="11"/>
  <c r="N303" i="11"/>
  <c r="L303" i="11"/>
  <c r="J303" i="11"/>
  <c r="A303" i="11"/>
  <c r="V301" i="11"/>
  <c r="M301" i="11"/>
  <c r="A300" i="11"/>
  <c r="W165" i="11"/>
  <c r="A179" i="11"/>
  <c r="A175" i="11"/>
  <c r="A173" i="11"/>
  <c r="A171" i="11"/>
  <c r="A169" i="11"/>
  <c r="V167" i="11"/>
  <c r="T167" i="11"/>
  <c r="R167" i="11"/>
  <c r="P167" i="11"/>
  <c r="N167" i="11"/>
  <c r="L167" i="11"/>
  <c r="J167" i="11"/>
  <c r="U165" i="11"/>
  <c r="S165" i="11"/>
  <c r="Q165" i="11"/>
  <c r="O165" i="11"/>
  <c r="M165" i="11"/>
  <c r="K165" i="11"/>
  <c r="F165" i="11"/>
  <c r="W163" i="11"/>
  <c r="P163" i="11"/>
  <c r="J163" i="11"/>
  <c r="J162" i="11"/>
  <c r="A180" i="11"/>
  <c r="A178" i="11"/>
  <c r="A174" i="11"/>
  <c r="A170" i="11"/>
  <c r="W168" i="11"/>
  <c r="U167" i="11"/>
  <c r="S167" i="11"/>
  <c r="Q167" i="11"/>
  <c r="O167" i="11"/>
  <c r="M167" i="11"/>
  <c r="K167" i="11"/>
  <c r="F167" i="11"/>
  <c r="V165" i="11"/>
  <c r="T165" i="11"/>
  <c r="R165" i="11"/>
  <c r="P165" i="11"/>
  <c r="N165" i="11"/>
  <c r="L165" i="11"/>
  <c r="J165" i="11"/>
  <c r="A165" i="11"/>
  <c r="V163" i="11"/>
  <c r="M163" i="11"/>
  <c r="A162" i="11"/>
  <c r="W53" i="11"/>
  <c r="A172" i="11"/>
  <c r="A150" i="11"/>
  <c r="A310" i="11"/>
  <c r="A334" i="11"/>
  <c r="A426" i="11"/>
  <c r="W73" i="11"/>
  <c r="A87" i="11"/>
  <c r="A88" i="11"/>
  <c r="A86" i="11"/>
  <c r="A82" i="11"/>
  <c r="A78" i="11"/>
  <c r="W76" i="11"/>
  <c r="U75" i="11"/>
  <c r="S75" i="11"/>
  <c r="Q75" i="11"/>
  <c r="O75" i="11"/>
  <c r="M75" i="11"/>
  <c r="K75" i="11"/>
  <c r="F75" i="11"/>
  <c r="V73" i="11"/>
  <c r="T73" i="11"/>
  <c r="R73" i="11"/>
  <c r="P73" i="11"/>
  <c r="N73" i="11"/>
  <c r="L73" i="11"/>
  <c r="J73" i="11"/>
  <c r="A73" i="11"/>
  <c r="V71" i="11"/>
  <c r="M71" i="11"/>
  <c r="A70" i="11"/>
  <c r="A83" i="11"/>
  <c r="A81" i="11"/>
  <c r="A79" i="11"/>
  <c r="A77" i="11"/>
  <c r="V75" i="11"/>
  <c r="T75" i="11"/>
  <c r="R75" i="11"/>
  <c r="P75" i="11"/>
  <c r="N75" i="11"/>
  <c r="L75" i="11"/>
  <c r="J75" i="11"/>
  <c r="U73" i="11"/>
  <c r="S73" i="11"/>
  <c r="Q73" i="11"/>
  <c r="O73" i="11"/>
  <c r="M73" i="11"/>
  <c r="K73" i="11"/>
  <c r="F73" i="11"/>
  <c r="W71" i="11"/>
  <c r="P71" i="11"/>
  <c r="J71" i="11"/>
  <c r="J70" i="11"/>
  <c r="W395" i="11"/>
  <c r="A409" i="11"/>
  <c r="A405" i="11"/>
  <c r="A403" i="11"/>
  <c r="A401" i="11"/>
  <c r="A399" i="11"/>
  <c r="V397" i="11"/>
  <c r="T397" i="11"/>
  <c r="R397" i="11"/>
  <c r="P397" i="11"/>
  <c r="N397" i="11"/>
  <c r="L397" i="11"/>
  <c r="J397" i="11"/>
  <c r="U395" i="11"/>
  <c r="S395" i="11"/>
  <c r="Q395" i="11"/>
  <c r="O395" i="11"/>
  <c r="M395" i="11"/>
  <c r="K395" i="11"/>
  <c r="F395" i="11"/>
  <c r="W393" i="11"/>
  <c r="P393" i="11"/>
  <c r="J393" i="11"/>
  <c r="J392" i="11"/>
  <c r="A410" i="11"/>
  <c r="A408" i="11"/>
  <c r="A404" i="11"/>
  <c r="A400" i="11"/>
  <c r="W398" i="11"/>
  <c r="U397" i="11"/>
  <c r="S397" i="11"/>
  <c r="Q397" i="11"/>
  <c r="O397" i="11"/>
  <c r="M397" i="11"/>
  <c r="K397" i="11"/>
  <c r="F397" i="11"/>
  <c r="V395" i="11"/>
  <c r="T395" i="11"/>
  <c r="R395" i="11"/>
  <c r="P395" i="11"/>
  <c r="N395" i="11"/>
  <c r="L395" i="11"/>
  <c r="J395" i="11"/>
  <c r="A395" i="11"/>
  <c r="V393" i="11"/>
  <c r="M393" i="11"/>
  <c r="A392" i="11"/>
  <c r="W235" i="11"/>
  <c r="A250" i="11"/>
  <c r="A248" i="11"/>
  <c r="A244" i="11"/>
  <c r="A240" i="11"/>
  <c r="W238" i="11"/>
  <c r="U237" i="11"/>
  <c r="S237" i="11"/>
  <c r="Q237" i="11"/>
  <c r="O237" i="11"/>
  <c r="M237" i="11"/>
  <c r="K237" i="11"/>
  <c r="F237" i="11"/>
  <c r="V235" i="11"/>
  <c r="T235" i="11"/>
  <c r="R235" i="11"/>
  <c r="P235" i="11"/>
  <c r="N235" i="11"/>
  <c r="L235" i="11"/>
  <c r="J235" i="11"/>
  <c r="A235" i="11"/>
  <c r="V233" i="11"/>
  <c r="M233" i="11"/>
  <c r="A232" i="11"/>
  <c r="A249" i="11"/>
  <c r="A245" i="11"/>
  <c r="A243" i="11"/>
  <c r="A241" i="11"/>
  <c r="A239" i="11"/>
  <c r="V237" i="11"/>
  <c r="T237" i="11"/>
  <c r="R237" i="11"/>
  <c r="P237" i="11"/>
  <c r="N237" i="11"/>
  <c r="L237" i="11"/>
  <c r="J237" i="11"/>
  <c r="U235" i="11"/>
  <c r="S235" i="11"/>
  <c r="Q235" i="11"/>
  <c r="O235" i="11"/>
  <c r="M235" i="11"/>
  <c r="K235" i="11"/>
  <c r="F235" i="11"/>
  <c r="W233" i="11"/>
  <c r="P233" i="11"/>
  <c r="J233" i="11"/>
  <c r="J232" i="11"/>
  <c r="W211" i="11"/>
  <c r="A225" i="11"/>
  <c r="A221" i="11"/>
  <c r="A219" i="11"/>
  <c r="A217" i="11"/>
  <c r="A215" i="11"/>
  <c r="V213" i="11"/>
  <c r="A226" i="11"/>
  <c r="A224" i="11"/>
  <c r="A220" i="11"/>
  <c r="A216" i="11"/>
  <c r="W214" i="11"/>
  <c r="U213" i="11"/>
  <c r="T213" i="11"/>
  <c r="R213" i="11"/>
  <c r="P213" i="11"/>
  <c r="N213" i="11"/>
  <c r="L213" i="11"/>
  <c r="J213" i="11"/>
  <c r="U211" i="11"/>
  <c r="S211" i="11"/>
  <c r="Q211" i="11"/>
  <c r="O211" i="11"/>
  <c r="M211" i="11"/>
  <c r="K211" i="11"/>
  <c r="F211" i="11"/>
  <c r="W209" i="11"/>
  <c r="P209" i="11"/>
  <c r="J209" i="11"/>
  <c r="J208" i="11"/>
  <c r="S213" i="11"/>
  <c r="Q213" i="11"/>
  <c r="O213" i="11"/>
  <c r="M213" i="11"/>
  <c r="K213" i="11"/>
  <c r="F213" i="11"/>
  <c r="V211" i="11"/>
  <c r="T211" i="11"/>
  <c r="R211" i="11"/>
  <c r="P211" i="11"/>
  <c r="N211" i="11"/>
  <c r="L211" i="11"/>
  <c r="J211" i="11"/>
  <c r="A211" i="11"/>
  <c r="V209" i="11"/>
  <c r="M209" i="11"/>
  <c r="A208" i="11"/>
  <c r="W373" i="11"/>
  <c r="A388" i="11"/>
  <c r="A386" i="11"/>
  <c r="A382" i="11"/>
  <c r="A378" i="11"/>
  <c r="W376" i="11"/>
  <c r="U375" i="11"/>
  <c r="S375" i="11"/>
  <c r="Q375" i="11"/>
  <c r="O375" i="11"/>
  <c r="M375" i="11"/>
  <c r="K375" i="11"/>
  <c r="F375" i="11"/>
  <c r="V373" i="11"/>
  <c r="T373" i="11"/>
  <c r="R373" i="11"/>
  <c r="P373" i="11"/>
  <c r="N373" i="11"/>
  <c r="L373" i="11"/>
  <c r="J373" i="11"/>
  <c r="A373" i="11"/>
  <c r="V371" i="11"/>
  <c r="M371" i="11"/>
  <c r="A370" i="11"/>
  <c r="A387" i="11"/>
  <c r="A383" i="11"/>
  <c r="A381" i="11"/>
  <c r="A379" i="11"/>
  <c r="A377" i="11"/>
  <c r="V375" i="11"/>
  <c r="T375" i="11"/>
  <c r="R375" i="11"/>
  <c r="P375" i="11"/>
  <c r="N375" i="11"/>
  <c r="L375" i="11"/>
  <c r="J375" i="11"/>
  <c r="U373" i="11"/>
  <c r="S373" i="11"/>
  <c r="Q373" i="11"/>
  <c r="O373" i="11"/>
  <c r="M373" i="11"/>
  <c r="K373" i="11"/>
  <c r="F373" i="11"/>
  <c r="W371" i="11"/>
  <c r="P371" i="11"/>
  <c r="J371" i="11"/>
  <c r="J370" i="11"/>
  <c r="W189" i="11"/>
  <c r="A204" i="11"/>
  <c r="A202" i="11"/>
  <c r="A198" i="11"/>
  <c r="A194" i="11"/>
  <c r="W192" i="11"/>
  <c r="U191" i="11"/>
  <c r="S191" i="11"/>
  <c r="Q191" i="11"/>
  <c r="O191" i="11"/>
  <c r="M191" i="11"/>
  <c r="K191" i="11"/>
  <c r="F191" i="11"/>
  <c r="V189" i="11"/>
  <c r="T189" i="11"/>
  <c r="R189" i="11"/>
  <c r="P189" i="11"/>
  <c r="N189" i="11"/>
  <c r="L189" i="11"/>
  <c r="J189" i="11"/>
  <c r="A189" i="11"/>
  <c r="V187" i="11"/>
  <c r="M187" i="11"/>
  <c r="A186" i="11"/>
  <c r="A203" i="11"/>
  <c r="A199" i="11"/>
  <c r="A197" i="11"/>
  <c r="A195" i="11"/>
  <c r="A193" i="11"/>
  <c r="V191" i="11"/>
  <c r="T191" i="11"/>
  <c r="R191" i="11"/>
  <c r="P191" i="11"/>
  <c r="N191" i="11"/>
  <c r="L191" i="11"/>
  <c r="J191" i="11"/>
  <c r="U189" i="11"/>
  <c r="S189" i="11"/>
  <c r="Q189" i="11"/>
  <c r="O189" i="11"/>
  <c r="M189" i="11"/>
  <c r="K189" i="11"/>
  <c r="F189" i="11"/>
  <c r="W187" i="11"/>
  <c r="P187" i="11"/>
  <c r="J187" i="11"/>
  <c r="J186" i="11"/>
  <c r="W257" i="11"/>
  <c r="A271" i="11"/>
  <c r="A267" i="11"/>
  <c r="A265" i="11"/>
  <c r="A263" i="11"/>
  <c r="A261" i="11"/>
  <c r="V259" i="11"/>
  <c r="T259" i="11"/>
  <c r="R259" i="11"/>
  <c r="P259" i="11"/>
  <c r="N259" i="11"/>
  <c r="L259" i="11"/>
  <c r="J259" i="11"/>
  <c r="U257" i="11"/>
  <c r="S257" i="11"/>
  <c r="Q257" i="11"/>
  <c r="O257" i="11"/>
  <c r="M257" i="11"/>
  <c r="K257" i="11"/>
  <c r="F257" i="11"/>
  <c r="W255" i="11"/>
  <c r="P255" i="11"/>
  <c r="J255" i="11"/>
  <c r="J254" i="11"/>
  <c r="A272" i="11"/>
  <c r="A270" i="11"/>
  <c r="A266" i="11"/>
  <c r="A262" i="11"/>
  <c r="W260" i="11"/>
  <c r="U259" i="11"/>
  <c r="S259" i="11"/>
  <c r="Q259" i="11"/>
  <c r="O259" i="11"/>
  <c r="M259" i="11"/>
  <c r="K259" i="11"/>
  <c r="F259" i="11"/>
  <c r="V257" i="11"/>
  <c r="T257" i="11"/>
  <c r="R257" i="11"/>
  <c r="P257" i="11"/>
  <c r="N257" i="11"/>
  <c r="L257" i="11"/>
  <c r="J257" i="11"/>
  <c r="A257" i="11"/>
  <c r="V255" i="11"/>
  <c r="M255" i="11"/>
  <c r="A254" i="11"/>
  <c r="W121" i="11"/>
  <c r="A104" i="11"/>
  <c r="A196" i="11"/>
  <c r="A264" i="11"/>
  <c r="A356" i="11"/>
  <c r="A448" i="11"/>
  <c r="A288" i="11"/>
  <c r="A380" i="11"/>
  <c r="W32" i="11"/>
  <c r="AX37" i="3"/>
  <c r="G7" i="12"/>
  <c r="H6" i="12"/>
  <c r="W283" i="11" l="1"/>
  <c r="W375" i="11"/>
  <c r="W237" i="11"/>
  <c r="W397" i="11"/>
  <c r="W75" i="11"/>
  <c r="W421" i="11"/>
  <c r="W259" i="11"/>
  <c r="W191" i="11"/>
  <c r="W167" i="11"/>
  <c r="W351" i="11"/>
  <c r="W145" i="11"/>
  <c r="W213" i="11"/>
  <c r="W305" i="11"/>
  <c r="W443" i="11"/>
  <c r="W99" i="11"/>
  <c r="W329" i="11"/>
  <c r="I4" i="12"/>
  <c r="I17" i="12"/>
  <c r="I18" i="12"/>
  <c r="I13" i="12"/>
  <c r="I19" i="12"/>
  <c r="I20" i="12"/>
  <c r="I14" i="12"/>
  <c r="I15" i="12"/>
  <c r="I5" i="12"/>
  <c r="I7" i="12"/>
  <c r="I6" i="12"/>
  <c r="I16" i="12"/>
  <c r="I24" i="12"/>
  <c r="I28" i="12"/>
  <c r="I32" i="12"/>
  <c r="I36" i="12"/>
  <c r="I40" i="12"/>
  <c r="I44" i="12"/>
  <c r="I48" i="12"/>
  <c r="I52" i="12"/>
  <c r="I56" i="12"/>
  <c r="I60" i="12"/>
  <c r="I64" i="12"/>
  <c r="I68" i="12"/>
  <c r="I72" i="12"/>
  <c r="I76" i="12"/>
  <c r="I80" i="12"/>
  <c r="I84" i="12"/>
  <c r="I88" i="12"/>
  <c r="I92" i="12"/>
  <c r="I96" i="12"/>
  <c r="I100" i="12"/>
  <c r="I104" i="12"/>
  <c r="I108" i="12"/>
  <c r="I112" i="12"/>
  <c r="I116" i="12"/>
  <c r="I120" i="12"/>
  <c r="I124" i="12"/>
  <c r="I128" i="12"/>
  <c r="I132" i="12"/>
  <c r="I136" i="12"/>
  <c r="I140" i="12"/>
  <c r="I144" i="12"/>
  <c r="I148" i="12"/>
  <c r="I152" i="12"/>
  <c r="I156" i="12"/>
  <c r="I160" i="12"/>
  <c r="I164" i="12"/>
  <c r="I168" i="12"/>
  <c r="I172" i="12"/>
  <c r="I176" i="12"/>
  <c r="I180" i="12"/>
  <c r="I184" i="12"/>
  <c r="I188" i="12"/>
  <c r="I192" i="12"/>
  <c r="I196" i="12"/>
  <c r="I200" i="12"/>
  <c r="I204" i="12"/>
  <c r="I208" i="12"/>
  <c r="I212" i="12"/>
  <c r="I217" i="12"/>
  <c r="I221" i="12"/>
  <c r="I225" i="12"/>
  <c r="I229" i="12"/>
  <c r="I233" i="12"/>
  <c r="I237" i="12"/>
  <c r="I241" i="12"/>
  <c r="I245" i="12"/>
  <c r="I249" i="12"/>
  <c r="I253" i="12"/>
  <c r="I257" i="12"/>
  <c r="I261" i="12"/>
  <c r="I265" i="12"/>
  <c r="I269" i="12"/>
  <c r="I273" i="12"/>
  <c r="I277" i="12"/>
  <c r="I281" i="12"/>
  <c r="I285" i="12"/>
  <c r="I289" i="12"/>
  <c r="I293" i="12"/>
  <c r="I297" i="12"/>
  <c r="I21" i="12"/>
  <c r="I25" i="12"/>
  <c r="I29" i="12"/>
  <c r="I33" i="12"/>
  <c r="I37" i="12"/>
  <c r="I41" i="12"/>
  <c r="I45" i="12"/>
  <c r="I49" i="12"/>
  <c r="I53" i="12"/>
  <c r="I57" i="12"/>
  <c r="I61" i="12"/>
  <c r="I65" i="12"/>
  <c r="I69" i="12"/>
  <c r="I73" i="12"/>
  <c r="I77" i="12"/>
  <c r="I81" i="12"/>
  <c r="I85" i="12"/>
  <c r="I89" i="12"/>
  <c r="I93" i="12"/>
  <c r="I97" i="12"/>
  <c r="I101" i="12"/>
  <c r="I105" i="12"/>
  <c r="I109" i="12"/>
  <c r="I113" i="12"/>
  <c r="I117" i="12"/>
  <c r="I121" i="12"/>
  <c r="I125" i="12"/>
  <c r="I129" i="12"/>
  <c r="I133" i="12"/>
  <c r="I137" i="12"/>
  <c r="I141" i="12"/>
  <c r="I145" i="12"/>
  <c r="I149" i="12"/>
  <c r="I153" i="12"/>
  <c r="I157" i="12"/>
  <c r="I161" i="12"/>
  <c r="I165" i="12"/>
  <c r="I169" i="12"/>
  <c r="I173" i="12"/>
  <c r="I177" i="12"/>
  <c r="I181" i="12"/>
  <c r="I185" i="12"/>
  <c r="I189" i="12"/>
  <c r="I193" i="12"/>
  <c r="I197" i="12"/>
  <c r="I201" i="12"/>
  <c r="I205" i="12"/>
  <c r="I209" i="12"/>
  <c r="I213" i="12"/>
  <c r="I218" i="12"/>
  <c r="I222" i="12"/>
  <c r="I226" i="12"/>
  <c r="I230" i="12"/>
  <c r="I234" i="12"/>
  <c r="I238" i="12"/>
  <c r="I242" i="12"/>
  <c r="I246" i="12"/>
  <c r="I250" i="12"/>
  <c r="I254" i="12"/>
  <c r="I258" i="12"/>
  <c r="I262" i="12"/>
  <c r="I266" i="12"/>
  <c r="I270" i="12"/>
  <c r="I274" i="12"/>
  <c r="I278" i="12"/>
  <c r="I282" i="12"/>
  <c r="I286" i="12"/>
  <c r="I290" i="12"/>
  <c r="I294" i="12"/>
  <c r="I298" i="12"/>
  <c r="I22" i="12"/>
  <c r="I26" i="12"/>
  <c r="I30" i="12"/>
  <c r="I34" i="12"/>
  <c r="I38" i="12"/>
  <c r="I42" i="12"/>
  <c r="I46" i="12"/>
  <c r="I50" i="12"/>
  <c r="I54" i="12"/>
  <c r="I58" i="12"/>
  <c r="I62" i="12"/>
  <c r="I66" i="12"/>
  <c r="I70" i="12"/>
  <c r="I74" i="12"/>
  <c r="I78" i="12"/>
  <c r="I82" i="12"/>
  <c r="I86" i="12"/>
  <c r="I90" i="12"/>
  <c r="I94" i="12"/>
  <c r="I98" i="12"/>
  <c r="I102" i="12"/>
  <c r="I106" i="12"/>
  <c r="I110" i="12"/>
  <c r="I114" i="12"/>
  <c r="I118" i="12"/>
  <c r="I122" i="12"/>
  <c r="I126" i="12"/>
  <c r="I130" i="12"/>
  <c r="I134" i="12"/>
  <c r="I138" i="12"/>
  <c r="I142" i="12"/>
  <c r="I146" i="12"/>
  <c r="I150" i="12"/>
  <c r="I154" i="12"/>
  <c r="I158" i="12"/>
  <c r="I162" i="12"/>
  <c r="I166" i="12"/>
  <c r="I170" i="12"/>
  <c r="I174" i="12"/>
  <c r="I178" i="12"/>
  <c r="I182" i="12"/>
  <c r="I186" i="12"/>
  <c r="I190" i="12"/>
  <c r="I194" i="12"/>
  <c r="I198" i="12"/>
  <c r="I202" i="12"/>
  <c r="I206" i="12"/>
  <c r="I210" i="12"/>
  <c r="I214" i="12"/>
  <c r="I219" i="12"/>
  <c r="I223" i="12"/>
  <c r="I227" i="12"/>
  <c r="I231" i="12"/>
  <c r="I235" i="12"/>
  <c r="I239" i="12"/>
  <c r="I243" i="12"/>
  <c r="I247" i="12"/>
  <c r="I251" i="12"/>
  <c r="I255" i="12"/>
  <c r="I259" i="12"/>
  <c r="I263" i="12"/>
  <c r="I267" i="12"/>
  <c r="I271" i="12"/>
  <c r="I275" i="12"/>
  <c r="I279" i="12"/>
  <c r="I283" i="12"/>
  <c r="I287" i="12"/>
  <c r="I291" i="12"/>
  <c r="I295" i="12"/>
  <c r="I299" i="12"/>
  <c r="I23" i="12"/>
  <c r="I27" i="12"/>
  <c r="I31" i="12"/>
  <c r="I35" i="12"/>
  <c r="I39" i="12"/>
  <c r="I43" i="12"/>
  <c r="I47" i="12"/>
  <c r="I51" i="12"/>
  <c r="I55" i="12"/>
  <c r="I59" i="12"/>
  <c r="I63" i="12"/>
  <c r="I67" i="12"/>
  <c r="I71" i="12"/>
  <c r="I75" i="12"/>
  <c r="I79" i="12"/>
  <c r="I83" i="12"/>
  <c r="I87" i="12"/>
  <c r="I91" i="12"/>
  <c r="I95" i="12"/>
  <c r="I99" i="12"/>
  <c r="I103" i="12"/>
  <c r="I107" i="12"/>
  <c r="I111" i="12"/>
  <c r="I115" i="12"/>
  <c r="I119" i="12"/>
  <c r="I123" i="12"/>
  <c r="I127" i="12"/>
  <c r="I131" i="12"/>
  <c r="I135" i="12"/>
  <c r="I139" i="12"/>
  <c r="I143" i="12"/>
  <c r="I147" i="12"/>
  <c r="I151" i="12"/>
  <c r="I155" i="12"/>
  <c r="I159" i="12"/>
  <c r="I163" i="12"/>
  <c r="I167" i="12"/>
  <c r="I171" i="12"/>
  <c r="I175" i="12"/>
  <c r="I179" i="12"/>
  <c r="I183" i="12"/>
  <c r="I187" i="12"/>
  <c r="I191" i="12"/>
  <c r="I195" i="12"/>
  <c r="I199" i="12"/>
  <c r="I203" i="12"/>
  <c r="I207" i="12"/>
  <c r="I211" i="12"/>
  <c r="I215" i="12"/>
  <c r="I216" i="12"/>
  <c r="I220" i="12"/>
  <c r="I224" i="12"/>
  <c r="I228" i="12"/>
  <c r="I232" i="12"/>
  <c r="I236" i="12"/>
  <c r="I240" i="12"/>
  <c r="I244" i="12"/>
  <c r="I248" i="12"/>
  <c r="I252" i="12"/>
  <c r="I256" i="12"/>
  <c r="I260" i="12"/>
  <c r="I264" i="12"/>
  <c r="I268" i="12"/>
  <c r="I272" i="12"/>
  <c r="I276" i="12"/>
  <c r="I280" i="12"/>
  <c r="I284" i="12"/>
  <c r="I288" i="12"/>
  <c r="I292" i="12"/>
  <c r="I296" i="12"/>
  <c r="I300" i="12"/>
  <c r="H7" i="12"/>
  <c r="G8" i="12"/>
  <c r="AX38" i="3" l="1"/>
  <c r="AX39" i="3" s="1"/>
  <c r="AX40" i="3" s="1"/>
  <c r="AX41" i="3" s="1"/>
  <c r="AX42" i="3" s="1"/>
  <c r="AX43" i="3" s="1"/>
  <c r="AX44" i="3" s="1"/>
  <c r="AX45" i="3" s="1"/>
  <c r="AX46" i="3" s="1"/>
  <c r="AX47" i="3" s="1"/>
  <c r="AX48" i="3" s="1"/>
  <c r="AX49" i="3" s="1"/>
  <c r="AX50" i="3" s="1"/>
  <c r="AX51" i="3" s="1"/>
  <c r="AX52" i="3" s="1"/>
  <c r="AX53" i="3" s="1"/>
  <c r="AX54" i="3" s="1"/>
  <c r="AX55" i="3" s="1"/>
  <c r="AX56" i="3" s="1"/>
  <c r="AX57" i="3" s="1"/>
  <c r="AX58" i="3" s="1"/>
  <c r="AX59" i="3" s="1"/>
  <c r="AX60" i="3" s="1"/>
  <c r="AX61" i="3" s="1"/>
  <c r="AX62" i="3" s="1"/>
  <c r="AX63" i="3" s="1"/>
  <c r="AX64" i="3" s="1"/>
  <c r="AX65" i="3" s="1"/>
  <c r="AX66" i="3" s="1"/>
  <c r="AX67" i="3" s="1"/>
  <c r="AX68" i="3" s="1"/>
  <c r="AX69" i="3" s="1"/>
  <c r="AX70" i="3" s="1"/>
  <c r="AX71" i="3" s="1"/>
  <c r="AX72" i="3" s="1"/>
  <c r="AX73" i="3" s="1"/>
  <c r="AX74" i="3" s="1"/>
  <c r="AX75" i="3" s="1"/>
  <c r="AX76" i="3" s="1"/>
  <c r="AX77" i="3" s="1"/>
  <c r="AX78" i="3" s="1"/>
  <c r="AX79" i="3" s="1"/>
  <c r="AX80" i="3" s="1"/>
  <c r="AX81" i="3" s="1"/>
  <c r="AX82" i="3" s="1"/>
  <c r="AX83" i="3" s="1"/>
  <c r="AX84" i="3" s="1"/>
  <c r="AX85" i="3" s="1"/>
  <c r="AX86" i="3" s="1"/>
  <c r="AX87" i="3" s="1"/>
  <c r="AX88" i="3" s="1"/>
  <c r="AX89" i="3" s="1"/>
  <c r="AX90" i="3" s="1"/>
  <c r="AX91" i="3" s="1"/>
  <c r="AX92" i="3" s="1"/>
  <c r="AX93" i="3" s="1"/>
  <c r="AX94" i="3" s="1"/>
  <c r="AX95" i="3" s="1"/>
  <c r="AX96" i="3" s="1"/>
  <c r="AX97" i="3" s="1"/>
  <c r="AX98" i="3" s="1"/>
  <c r="AX99" i="3" s="1"/>
  <c r="AX100" i="3" s="1"/>
  <c r="AX101" i="3" s="1"/>
  <c r="AX102" i="3" s="1"/>
  <c r="AX103" i="3" s="1"/>
  <c r="AX104" i="3" s="1"/>
  <c r="AX105" i="3" s="1"/>
  <c r="AX106" i="3" s="1"/>
  <c r="AX107" i="3" s="1"/>
  <c r="AX108" i="3" s="1"/>
  <c r="AX109" i="3" s="1"/>
  <c r="AX110" i="3" s="1"/>
  <c r="AX111" i="3" s="1"/>
  <c r="AX112" i="3" s="1"/>
  <c r="AX113" i="3" s="1"/>
  <c r="AX114" i="3" s="1"/>
  <c r="AX115" i="3" s="1"/>
  <c r="AX116" i="3" s="1"/>
  <c r="AX117" i="3" s="1"/>
  <c r="AX118" i="3" s="1"/>
  <c r="AX119" i="3" s="1"/>
  <c r="AX120" i="3" s="1"/>
  <c r="AX121" i="3" s="1"/>
  <c r="AX122" i="3" s="1"/>
  <c r="AX123" i="3" s="1"/>
  <c r="AX124" i="3" s="1"/>
  <c r="AX125" i="3" s="1"/>
  <c r="AX126" i="3" s="1"/>
  <c r="AX127" i="3" s="1"/>
  <c r="AX128" i="3" s="1"/>
  <c r="AX129" i="3" s="1"/>
  <c r="AX130" i="3" s="1"/>
  <c r="AX131" i="3" s="1"/>
  <c r="AX132" i="3" s="1"/>
  <c r="AX133" i="3" s="1"/>
  <c r="AX134" i="3" s="1"/>
  <c r="AX135" i="3" s="1"/>
  <c r="AX136" i="3" s="1"/>
  <c r="AX137" i="3" s="1"/>
  <c r="AX138" i="3" s="1"/>
  <c r="AX139" i="3" s="1"/>
  <c r="AX140" i="3" s="1"/>
  <c r="AX141" i="3" s="1"/>
  <c r="AX142" i="3" s="1"/>
  <c r="AX143" i="3" s="1"/>
  <c r="AX144" i="3" s="1"/>
  <c r="AX145" i="3" s="1"/>
  <c r="AX146" i="3" s="1"/>
  <c r="AX147" i="3" s="1"/>
  <c r="AX148" i="3" s="1"/>
  <c r="AX149" i="3" s="1"/>
  <c r="AX150" i="3" s="1"/>
  <c r="AX151" i="3" s="1"/>
  <c r="AX152" i="3" s="1"/>
  <c r="AX153" i="3" s="1"/>
  <c r="AX154" i="3" s="1"/>
  <c r="AX155" i="3" s="1"/>
  <c r="AX156" i="3" s="1"/>
  <c r="AX157" i="3" s="1"/>
  <c r="AX158" i="3" s="1"/>
  <c r="AX159" i="3" s="1"/>
  <c r="AX160" i="3" s="1"/>
  <c r="AX161" i="3" s="1"/>
  <c r="AX162" i="3" s="1"/>
  <c r="AX163" i="3" s="1"/>
  <c r="AX164" i="3" s="1"/>
  <c r="AX165" i="3" s="1"/>
  <c r="AX166" i="3" s="1"/>
  <c r="AX167" i="3" s="1"/>
  <c r="AX168" i="3" s="1"/>
  <c r="AX169" i="3" s="1"/>
  <c r="AX170" i="3" s="1"/>
  <c r="AX171" i="3" s="1"/>
  <c r="AX172" i="3" s="1"/>
  <c r="AX173" i="3" s="1"/>
  <c r="AX174" i="3" s="1"/>
  <c r="AX175" i="3" s="1"/>
  <c r="AX176" i="3" s="1"/>
  <c r="AX177" i="3" s="1"/>
  <c r="AX178" i="3" s="1"/>
  <c r="AX179" i="3" s="1"/>
  <c r="AX180" i="3" s="1"/>
  <c r="AX181" i="3" s="1"/>
  <c r="AX182" i="3" s="1"/>
  <c r="AX183" i="3" s="1"/>
  <c r="AX184" i="3" s="1"/>
  <c r="AX185" i="3" s="1"/>
  <c r="AX186" i="3" s="1"/>
  <c r="AX187" i="3" s="1"/>
  <c r="AX188" i="3" s="1"/>
  <c r="AX189" i="3" s="1"/>
  <c r="AX190" i="3" s="1"/>
  <c r="AX191" i="3" s="1"/>
  <c r="AX192" i="3" s="1"/>
  <c r="AX193" i="3" s="1"/>
  <c r="AX194" i="3" s="1"/>
  <c r="AX195" i="3" s="1"/>
  <c r="AX196" i="3" s="1"/>
  <c r="AX197" i="3" s="1"/>
  <c r="AX198" i="3" s="1"/>
  <c r="AX199" i="3" s="1"/>
  <c r="AX200" i="3" s="1"/>
  <c r="AX201" i="3" s="1"/>
  <c r="AX202" i="3" s="1"/>
  <c r="AX203" i="3" s="1"/>
  <c r="AX204" i="3" s="1"/>
  <c r="AX205" i="3" s="1"/>
  <c r="AX206" i="3" s="1"/>
  <c r="AX207" i="3" s="1"/>
  <c r="AX208" i="3" s="1"/>
  <c r="AX209" i="3" s="1"/>
  <c r="AX210" i="3" s="1"/>
  <c r="AX211" i="3" s="1"/>
  <c r="AX212" i="3" s="1"/>
  <c r="AX213" i="3" s="1"/>
  <c r="AX214" i="3" s="1"/>
  <c r="AX215" i="3" s="1"/>
  <c r="AX216" i="3" s="1"/>
  <c r="AX217" i="3" s="1"/>
  <c r="AX218" i="3" s="1"/>
  <c r="AX219" i="3" s="1"/>
  <c r="AX220" i="3" s="1"/>
  <c r="AX221" i="3" s="1"/>
  <c r="AX222" i="3" s="1"/>
  <c r="AX223" i="3" s="1"/>
  <c r="AX224" i="3" s="1"/>
  <c r="AX225" i="3" s="1"/>
  <c r="AX226" i="3" s="1"/>
  <c r="AX227" i="3" s="1"/>
  <c r="AX228" i="3" s="1"/>
  <c r="AX229" i="3" s="1"/>
  <c r="AX230" i="3" s="1"/>
  <c r="AX231" i="3" s="1"/>
  <c r="AX232" i="3" s="1"/>
  <c r="AX233" i="3" s="1"/>
  <c r="AX234" i="3" s="1"/>
  <c r="AX235" i="3" s="1"/>
  <c r="AX236" i="3" s="1"/>
  <c r="AX237" i="3" s="1"/>
  <c r="AX238" i="3" s="1"/>
  <c r="AX239" i="3" s="1"/>
  <c r="AX240" i="3" s="1"/>
  <c r="AX241" i="3" s="1"/>
  <c r="AX242" i="3" s="1"/>
  <c r="AX243" i="3" s="1"/>
  <c r="AX244" i="3" s="1"/>
  <c r="AX245" i="3" s="1"/>
  <c r="AX246" i="3" s="1"/>
  <c r="AX247" i="3" s="1"/>
  <c r="AX248" i="3" s="1"/>
  <c r="AX249" i="3" s="1"/>
  <c r="AX250" i="3" s="1"/>
  <c r="AX251" i="3" s="1"/>
  <c r="AX252" i="3" s="1"/>
  <c r="AX253" i="3" s="1"/>
  <c r="AX254" i="3" s="1"/>
  <c r="AX255" i="3" s="1"/>
  <c r="AX256" i="3" s="1"/>
  <c r="AX257" i="3" s="1"/>
  <c r="AX258" i="3" s="1"/>
  <c r="AX259" i="3" s="1"/>
  <c r="AX260" i="3" s="1"/>
  <c r="AX261" i="3" s="1"/>
  <c r="AX262" i="3" s="1"/>
  <c r="AX263" i="3" s="1"/>
  <c r="AX264" i="3" s="1"/>
  <c r="AX265" i="3" s="1"/>
  <c r="AX266" i="3" s="1"/>
  <c r="AX267" i="3" s="1"/>
  <c r="AX268" i="3" s="1"/>
  <c r="AX269" i="3" s="1"/>
  <c r="AX270" i="3" s="1"/>
  <c r="AX271" i="3" s="1"/>
  <c r="AX272" i="3" s="1"/>
  <c r="AX273" i="3" s="1"/>
  <c r="AX274" i="3" s="1"/>
  <c r="AX275" i="3" s="1"/>
  <c r="AX276" i="3" s="1"/>
  <c r="AX277" i="3" s="1"/>
  <c r="AX278" i="3" s="1"/>
  <c r="AX279" i="3" s="1"/>
  <c r="AX280" i="3" s="1"/>
  <c r="AX281" i="3" s="1"/>
  <c r="AX282" i="3" s="1"/>
  <c r="AX283" i="3" s="1"/>
  <c r="AX284" i="3" s="1"/>
  <c r="AX285" i="3" s="1"/>
  <c r="AX286" i="3" s="1"/>
  <c r="AX287" i="3" s="1"/>
  <c r="AX288" i="3" s="1"/>
  <c r="AX289" i="3" s="1"/>
  <c r="AX290" i="3" s="1"/>
  <c r="AX291" i="3" s="1"/>
  <c r="AX292" i="3" s="1"/>
  <c r="AX293" i="3" s="1"/>
  <c r="AX294" i="3" s="1"/>
  <c r="AX295" i="3" s="1"/>
  <c r="AX296" i="3" s="1"/>
  <c r="AX297" i="3" s="1"/>
  <c r="AX298" i="3" s="1"/>
  <c r="AX299" i="3" s="1"/>
  <c r="I8" i="12"/>
  <c r="G9" i="12"/>
  <c r="H8" i="12"/>
  <c r="I9" i="12" l="1"/>
  <c r="H9" i="12"/>
  <c r="G10" i="12"/>
  <c r="H10" i="12" s="1"/>
  <c r="I10" i="12" l="1"/>
  <c r="G11" i="12"/>
  <c r="I11" i="12" l="1"/>
  <c r="H11" i="12"/>
  <c r="G12" i="12"/>
  <c r="I12" i="12" l="1"/>
  <c r="H12" i="12"/>
</calcChain>
</file>

<file path=xl/sharedStrings.xml><?xml version="1.0" encoding="utf-8"?>
<sst xmlns="http://schemas.openxmlformats.org/spreadsheetml/2006/main" count="2418" uniqueCount="625">
  <si>
    <t>SKU</t>
  </si>
  <si>
    <t>FABRIC</t>
  </si>
  <si>
    <t>EVOLUTION COLLECTION</t>
  </si>
  <si>
    <t>JACKETS</t>
  </si>
  <si>
    <t>DJT SUB 01</t>
  </si>
  <si>
    <t>Signature Jacket</t>
  </si>
  <si>
    <t>4206 (WHITE)</t>
  </si>
  <si>
    <t>Varsity Jacket</t>
  </si>
  <si>
    <t>4261 (WHITE)</t>
  </si>
  <si>
    <t>BJT SUB 01</t>
  </si>
  <si>
    <t>Bomber Jacket</t>
  </si>
  <si>
    <t>HUN SUB</t>
  </si>
  <si>
    <t>Hoodie Jacket</t>
  </si>
  <si>
    <t>TOPS AND TEES</t>
  </si>
  <si>
    <t>STA SUB 01</t>
  </si>
  <si>
    <t>Strappy Sport Bra</t>
  </si>
  <si>
    <t>COB SUPP</t>
  </si>
  <si>
    <t>Jazzy Sport Bra</t>
  </si>
  <si>
    <t>CRV SUB</t>
  </si>
  <si>
    <t>JABON (WHITE)</t>
  </si>
  <si>
    <t>HSC SUB 01</t>
  </si>
  <si>
    <t>Halter Sport Crop</t>
  </si>
  <si>
    <t>HAL SUB</t>
  </si>
  <si>
    <t>Halter Top</t>
  </si>
  <si>
    <t>BCT SUB</t>
  </si>
  <si>
    <t>Boys Cut Tank Top</t>
  </si>
  <si>
    <t>NACAR (WHITE)</t>
  </si>
  <si>
    <t>BBJ SUB 01</t>
  </si>
  <si>
    <t>Baseball Jersey</t>
  </si>
  <si>
    <t>HIDROTECH (BLACK &amp; WHITE)</t>
  </si>
  <si>
    <t xml:space="preserve">OFT SUB </t>
  </si>
  <si>
    <t>Off The Shoulder</t>
  </si>
  <si>
    <t>OPN SUB 01</t>
  </si>
  <si>
    <t>Open Back Crop Top</t>
  </si>
  <si>
    <t>LEGGINGS AND PANTS</t>
  </si>
  <si>
    <t>HWL SUB 01</t>
  </si>
  <si>
    <t>High Waist Leggings</t>
  </si>
  <si>
    <t>LEG SUB 03</t>
  </si>
  <si>
    <t>Performance Leggings</t>
  </si>
  <si>
    <t>LEG SUB 02</t>
  </si>
  <si>
    <t>2 Panels Jazzy Leggings</t>
  </si>
  <si>
    <t>COL SUPP</t>
  </si>
  <si>
    <t>Jazzy Leggings 4 Panels</t>
  </si>
  <si>
    <t>JGR SUB 01</t>
  </si>
  <si>
    <t>Tappered Jogger Pant</t>
  </si>
  <si>
    <t>CAP SUB 01</t>
  </si>
  <si>
    <t>Performance Capri</t>
  </si>
  <si>
    <t>PJB SUB</t>
  </si>
  <si>
    <t>Pyjama Bottoms</t>
  </si>
  <si>
    <t>SUAVESTAR (WHITE)</t>
  </si>
  <si>
    <t>SHORTS</t>
  </si>
  <si>
    <t>SKO SUB 01</t>
  </si>
  <si>
    <t>Skort</t>
  </si>
  <si>
    <t>CHE SUB 01</t>
  </si>
  <si>
    <t>ProFit Short</t>
  </si>
  <si>
    <t>COS SUPP</t>
  </si>
  <si>
    <t>Jazzy Short</t>
  </si>
  <si>
    <t>BODIES</t>
  </si>
  <si>
    <t>BDS SUB 01</t>
  </si>
  <si>
    <t>Jazzy Body Suit</t>
  </si>
  <si>
    <t>LEO SUB 01</t>
  </si>
  <si>
    <t>Gymnastics Leotard</t>
  </si>
  <si>
    <t>ONYX COLLECTION</t>
  </si>
  <si>
    <t>DJT ONYX 01 - 02</t>
  </si>
  <si>
    <t>Onix Fitted Jacket</t>
  </si>
  <si>
    <t>VAR ONYX 01 - 02</t>
  </si>
  <si>
    <t>4126 (BLACK)</t>
  </si>
  <si>
    <t>Wind Breaker Jacket</t>
  </si>
  <si>
    <t xml:space="preserve">TOPS </t>
  </si>
  <si>
    <t>BRA ONYX 01 - 02</t>
  </si>
  <si>
    <t>Sport Bra</t>
  </si>
  <si>
    <t>4206 (BLACK)</t>
  </si>
  <si>
    <t>FTT ONYX 02</t>
  </si>
  <si>
    <t>Female Tank Top</t>
  </si>
  <si>
    <t>MTT ONYX</t>
  </si>
  <si>
    <t>Men's Tank Top</t>
  </si>
  <si>
    <t>BOTTOMS</t>
  </si>
  <si>
    <t>Male Short</t>
  </si>
  <si>
    <t>CHE ONYX 01 - 02</t>
  </si>
  <si>
    <t>Onix Fitted Short</t>
  </si>
  <si>
    <t>SKO ONYX 01 -02</t>
  </si>
  <si>
    <t>HWL ONYX 01</t>
  </si>
  <si>
    <t>HWL ONYX 02</t>
  </si>
  <si>
    <t>STREET COLLECTION</t>
  </si>
  <si>
    <t>VAR 50</t>
  </si>
  <si>
    <t>SANTA CRUZ</t>
  </si>
  <si>
    <t>RCH 50</t>
  </si>
  <si>
    <t>Raw Edge Crop Hoddie</t>
  </si>
  <si>
    <t>HUN 50</t>
  </si>
  <si>
    <t>TEES</t>
  </si>
  <si>
    <t>OFT 46</t>
  </si>
  <si>
    <t>VISCOSA</t>
  </si>
  <si>
    <t>HLR 946</t>
  </si>
  <si>
    <t>Hi - Lo Racer</t>
  </si>
  <si>
    <t>TUT 946</t>
  </si>
  <si>
    <t>Tie Up Tee</t>
  </si>
  <si>
    <t>CRO 46</t>
  </si>
  <si>
    <t>Crop Tank Top</t>
  </si>
  <si>
    <t>CRV 46</t>
  </si>
  <si>
    <t>Crop V Neck</t>
  </si>
  <si>
    <t>BCT 946</t>
  </si>
  <si>
    <t xml:space="preserve">BLACK   KIDS </t>
  </si>
  <si>
    <t>HHP 50</t>
  </si>
  <si>
    <t>Hip Hop Sweatpant</t>
  </si>
  <si>
    <t>SSK 50</t>
  </si>
  <si>
    <t>Skinny Sweatpants</t>
  </si>
  <si>
    <t>RSH 50</t>
  </si>
  <si>
    <t>Raw Edge Short</t>
  </si>
  <si>
    <t>ACCESORIES</t>
  </si>
  <si>
    <t>BAG SUB 01</t>
  </si>
  <si>
    <t>Custom Team Duffle Bag</t>
  </si>
  <si>
    <t>BCK SUB 01</t>
  </si>
  <si>
    <t>Custom Team Back Pack</t>
  </si>
  <si>
    <t>HBA SUPP</t>
  </si>
  <si>
    <t>Headband</t>
  </si>
  <si>
    <t>SLD SUB</t>
  </si>
  <si>
    <t>LONA CAMPERO (WHITE)</t>
  </si>
  <si>
    <t>BOW SUB 01</t>
  </si>
  <si>
    <t>Custom Team Bow</t>
  </si>
  <si>
    <t>CINTA FAYA (WHITE) 75 MM</t>
  </si>
  <si>
    <t xml:space="preserve">SCA SUB </t>
  </si>
  <si>
    <t>Scarf</t>
  </si>
  <si>
    <t>WHOLESALE</t>
  </si>
  <si>
    <t>DJT ONYX 03</t>
  </si>
  <si>
    <t>ONYX Fitted Jacket</t>
  </si>
  <si>
    <t>WBJ SUB 01</t>
  </si>
  <si>
    <t>Fully Sublimated Windbreaker</t>
  </si>
  <si>
    <t>FPT ONYX02</t>
  </si>
  <si>
    <t>ONYX Female Performance Tee</t>
  </si>
  <si>
    <t>FPTL  ONYX 02</t>
  </si>
  <si>
    <t>ONYX Female Performance Tee Long Sleeve</t>
  </si>
  <si>
    <t>MPT  ONYX02</t>
  </si>
  <si>
    <t>Onyx Male Performance Tee</t>
  </si>
  <si>
    <t>MPTL  ONYX02</t>
  </si>
  <si>
    <t>Onyx Male Performance Tee Long Sleeve</t>
  </si>
  <si>
    <t>SHAB CHIC</t>
  </si>
  <si>
    <t>MPP SUB 01</t>
  </si>
  <si>
    <t>Men's Performance Pullover</t>
  </si>
  <si>
    <t>HIDROTECH (WHITE)</t>
  </si>
  <si>
    <t>WPP SUB 01</t>
  </si>
  <si>
    <t>Women's Performance Pullover</t>
  </si>
  <si>
    <t>LEG SUB 01</t>
  </si>
  <si>
    <t>BRIEF</t>
  </si>
  <si>
    <t>SUPPLEX (BLACK)</t>
  </si>
  <si>
    <t>NOMBRE PRENDA</t>
  </si>
  <si>
    <t>SKU PRENDA</t>
  </si>
  <si>
    <t>TELA PRINCIPAL</t>
  </si>
  <si>
    <t>TELA SECUNDARIA</t>
  </si>
  <si>
    <t>CIERRE PRINCIPAL</t>
  </si>
  <si>
    <t>CIERRE BOLSILLO</t>
  </si>
  <si>
    <t>CIERRE INVISIBLE</t>
  </si>
  <si>
    <t>HILO</t>
  </si>
  <si>
    <t>HILO ELASTICO</t>
  </si>
  <si>
    <t>FORRO</t>
  </si>
  <si>
    <t>ELASTICO</t>
  </si>
  <si>
    <t>F. CINTURA</t>
  </si>
  <si>
    <t>F. PUÑOS</t>
  </si>
  <si>
    <t>F. CUELLO</t>
  </si>
  <si>
    <t>MAYA</t>
  </si>
  <si>
    <t>CORDON</t>
  </si>
  <si>
    <t>BOTONES</t>
  </si>
  <si>
    <t>BORDADO</t>
  </si>
  <si>
    <t>ESTAMPADO</t>
  </si>
  <si>
    <t>VINILO</t>
  </si>
  <si>
    <t>APLIQUE LIMELIGHT</t>
  </si>
  <si>
    <t>ETIQUETA SD</t>
  </si>
  <si>
    <t>ETIQUETA LIMELIGHT</t>
  </si>
  <si>
    <t>E  V  O  L  U  T  I  O  N     C  O  L  L  E  C  T  I  O  N</t>
  </si>
  <si>
    <t>Leggings Full Sublimated</t>
  </si>
  <si>
    <t>O  N  Y  X       C  O  L  L  E  C  T  I  O  N</t>
  </si>
  <si>
    <t xml:space="preserve">ONYX Yoga Jacket </t>
  </si>
  <si>
    <t xml:space="preserve">ONYX Varsity Jacket </t>
  </si>
  <si>
    <t xml:space="preserve">ONYX Wind Breaker Jacket </t>
  </si>
  <si>
    <t xml:space="preserve">ONYX Sport Bra </t>
  </si>
  <si>
    <t xml:space="preserve">ONYX Female Tank Top </t>
  </si>
  <si>
    <t xml:space="preserve">ONYX Men's Tank Top </t>
  </si>
  <si>
    <t xml:space="preserve">ONYX Tappered Jogger Pant </t>
  </si>
  <si>
    <t xml:space="preserve">ONYX Male Short </t>
  </si>
  <si>
    <t xml:space="preserve">ONYX Pro Fit Short </t>
  </si>
  <si>
    <t xml:space="preserve">ONYX Skort </t>
  </si>
  <si>
    <t xml:space="preserve">ONYX High Waist Leggings </t>
  </si>
  <si>
    <t>S  T  R  E  E  T     C  O  L  L  E  C  T  I  O  N</t>
  </si>
  <si>
    <t>Varsity Jacket 50</t>
  </si>
  <si>
    <t>Hoodie Jacket 50</t>
  </si>
  <si>
    <t>Off The Shoulder 46</t>
  </si>
  <si>
    <t>Crop V Neck 46</t>
  </si>
  <si>
    <t>Boys Cut Tank Top 46</t>
  </si>
  <si>
    <t>W  H  O  L  E  S  A  L  E</t>
  </si>
  <si>
    <t>Shabby Chic</t>
  </si>
  <si>
    <t>Nombe Prenda</t>
  </si>
  <si>
    <t>SKU Prenda</t>
  </si>
  <si>
    <t xml:space="preserve">Tela </t>
  </si>
  <si>
    <t>Lona  1</t>
  </si>
  <si>
    <t>Lona  2</t>
  </si>
  <si>
    <t xml:space="preserve"> Forro</t>
  </si>
  <si>
    <t>Malla Cargadera</t>
  </si>
  <si>
    <t>Malla Bolsillo</t>
  </si>
  <si>
    <t>Riata</t>
  </si>
  <si>
    <t xml:space="preserve"> Resorte</t>
  </si>
  <si>
    <t xml:space="preserve"> Morralera</t>
  </si>
  <si>
    <t xml:space="preserve"> Cierre</t>
  </si>
  <si>
    <t xml:space="preserve">Jumbolon 1 </t>
  </si>
  <si>
    <t>Jumbolon 2</t>
  </si>
  <si>
    <t>Jumbolon 3</t>
  </si>
  <si>
    <t>Hilo</t>
  </si>
  <si>
    <t>Embono</t>
  </si>
  <si>
    <t>Cambri</t>
  </si>
  <si>
    <t>Neopreno</t>
  </si>
  <si>
    <t>Tira Hombros</t>
  </si>
  <si>
    <t>Hombrera  Trabilla Agarradera</t>
  </si>
  <si>
    <t>Mosqueton Argolla  Llaves</t>
  </si>
  <si>
    <t>suelas</t>
  </si>
  <si>
    <t>A  C  C  E  S  O  R  I  E  S</t>
  </si>
  <si>
    <t>SLIDES</t>
  </si>
  <si>
    <t>Style</t>
  </si>
  <si>
    <t>Collection</t>
  </si>
  <si>
    <t>JACKETS E</t>
  </si>
  <si>
    <t>JACKETS O</t>
  </si>
  <si>
    <t>BOTTOMS O</t>
  </si>
  <si>
    <t>JACKETS S</t>
  </si>
  <si>
    <t>BOTTOMS S</t>
  </si>
  <si>
    <t>JACKETS W</t>
  </si>
  <si>
    <t>TEES S</t>
  </si>
  <si>
    <t>TEES W</t>
  </si>
  <si>
    <t>BOTTOMS W</t>
  </si>
  <si>
    <t>Onyx Fitted Jacket</t>
  </si>
  <si>
    <t>Custom Team  Slides</t>
  </si>
  <si>
    <t>Onyx Female Performance Tee Long Sleeve</t>
  </si>
  <si>
    <t>Onyx Female Performance Tee</t>
  </si>
  <si>
    <t>Brief</t>
  </si>
  <si>
    <t>Shabby Chic T Shirt</t>
  </si>
  <si>
    <t>Clothes</t>
  </si>
  <si>
    <t>Cro V Neck</t>
  </si>
  <si>
    <t>Varsity Jacket E</t>
  </si>
  <si>
    <t>Varsity Jacket O</t>
  </si>
  <si>
    <t>Varsity Jacket S</t>
  </si>
  <si>
    <t>Vendedor</t>
  </si>
  <si>
    <t>YXS</t>
  </si>
  <si>
    <t>YS</t>
  </si>
  <si>
    <t>YM</t>
  </si>
  <si>
    <t>YL</t>
  </si>
  <si>
    <t>XS</t>
  </si>
  <si>
    <t>S</t>
  </si>
  <si>
    <t>M</t>
  </si>
  <si>
    <t>L</t>
  </si>
  <si>
    <t>XL</t>
  </si>
  <si>
    <t>XXL</t>
  </si>
  <si>
    <t>TOPS</t>
  </si>
  <si>
    <t>Amarillo</t>
  </si>
  <si>
    <t>Azul</t>
  </si>
  <si>
    <t>Rojo</t>
  </si>
  <si>
    <t>Verde</t>
  </si>
  <si>
    <t>Vendedores</t>
  </si>
  <si>
    <t>Margarita</t>
  </si>
  <si>
    <t>Juan</t>
  </si>
  <si>
    <t>Felipe</t>
  </si>
  <si>
    <t>Marcela</t>
  </si>
  <si>
    <t>Cliente</t>
  </si>
  <si>
    <t># Cliente</t>
  </si>
  <si>
    <t>Fecha Pedido</t>
  </si>
  <si>
    <t>Fecha Despacho</t>
  </si>
  <si>
    <t>Cliente Especial</t>
  </si>
  <si>
    <t>PO#</t>
  </si>
  <si>
    <t>RM#</t>
  </si>
  <si>
    <t>Arte Existente</t>
  </si>
  <si>
    <t>Negro</t>
  </si>
  <si>
    <t>Blanco</t>
  </si>
  <si>
    <t>LINEA N3Z (separable)</t>
  </si>
  <si>
    <t>#</t>
  </si>
  <si>
    <t>blanco</t>
  </si>
  <si>
    <t>talla x tamaño</t>
  </si>
  <si>
    <t>BJT-SUB</t>
  </si>
  <si>
    <t>CIERRE BOLSILLO – LINEA 21</t>
  </si>
  <si>
    <t>LINEA N3U (fijo)</t>
  </si>
  <si>
    <t>LINEA HF (fijo)</t>
  </si>
  <si>
    <t>LINEA 5U (separable - metálico)</t>
  </si>
  <si>
    <t>HUN-50</t>
  </si>
  <si>
    <t xml:space="preserve"> LINEA QX</t>
  </si>
  <si>
    <t>BOMBAI NIQUEL</t>
  </si>
  <si>
    <t>LINEA 72</t>
  </si>
  <si>
    <t xml:space="preserve"> INVISIBLE LINEA N25</t>
  </si>
  <si>
    <t/>
  </si>
  <si>
    <t>4206 (WHITE)/SUPPLEX CLAVEL (BLACK)</t>
  </si>
  <si>
    <t>42060 (BLACK)/MENELAOS (BLACK LINING)</t>
  </si>
  <si>
    <t>4102 (BLACK)/MESH 10030 (BLACK)/JABON (WHITE)</t>
  </si>
  <si>
    <t>SKO ONYX 01 - 02</t>
  </si>
  <si>
    <t>42060 (BLACK)/MALLA CROCHET(BLACK)</t>
  </si>
  <si>
    <t>High Waist Leggings 2</t>
  </si>
  <si>
    <t>High Waist Leggings 1</t>
  </si>
  <si>
    <t>30150 (WHTE)/30150 (BLACK)</t>
  </si>
  <si>
    <t>Onyx Tappered Jogger Pant</t>
  </si>
  <si>
    <t xml:space="preserve">INVENTARIO </t>
  </si>
  <si>
    <t>INSUMO</t>
  </si>
  <si>
    <t>TOTAL</t>
  </si>
  <si>
    <t>COSTO TOTAL</t>
  </si>
  <si>
    <t>CANTIDAD MIN</t>
  </si>
  <si>
    <t>CANTIDAD MAX</t>
  </si>
  <si>
    <t>ORDEN  COMPRA PENDIENTE</t>
  </si>
  <si>
    <t>APLIQUES LIMELIGHT</t>
  </si>
  <si>
    <t>ETIQUETAS LIMELIGHT</t>
  </si>
  <si>
    <t>ETIQUETAS SOUL DANCER</t>
  </si>
  <si>
    <t>CIERRES</t>
  </si>
  <si>
    <t>MARQUILLAS COMPOSICION</t>
  </si>
  <si>
    <t>STICKERS TALLAS</t>
  </si>
  <si>
    <t>CORDONES</t>
  </si>
  <si>
    <t>COLOR</t>
  </si>
  <si>
    <t>PLANO 1,1</t>
  </si>
  <si>
    <t>PLANO 1.3</t>
  </si>
  <si>
    <t>DANCE 1.1</t>
  </si>
  <si>
    <t>DANCE 1.3</t>
  </si>
  <si>
    <t>Morado</t>
  </si>
  <si>
    <t>Azul Navy</t>
  </si>
  <si>
    <t>Fucsia</t>
  </si>
  <si>
    <t>TAMAÑO X TALLA</t>
  </si>
  <si>
    <t>DIBUJANDO</t>
  </si>
  <si>
    <t>CON DIBUJO</t>
  </si>
  <si>
    <t>FAJONES</t>
  </si>
  <si>
    <t>TOTAL           X          COLOR</t>
  </si>
  <si>
    <t>NEGRO</t>
  </si>
  <si>
    <t>BLANCO</t>
  </si>
  <si>
    <t>GRIS</t>
  </si>
  <si>
    <t>NEGRO RAYA BLANCA</t>
  </si>
  <si>
    <t>AMARILLO</t>
  </si>
  <si>
    <t>FUCSIA</t>
  </si>
  <si>
    <t>ROSA</t>
  </si>
  <si>
    <t>ROSA OSCURO</t>
  </si>
  <si>
    <t xml:space="preserve">MORADO </t>
  </si>
  <si>
    <t>MORADO OPACO</t>
  </si>
  <si>
    <t>AZUL CLARO</t>
  </si>
  <si>
    <t>AZUL MARINO - NAVY</t>
  </si>
  <si>
    <t>AZUL LILA</t>
  </si>
  <si>
    <t>AZUL VIOLETA</t>
  </si>
  <si>
    <t>AZUL OSCURO</t>
  </si>
  <si>
    <t>AZUL  REY</t>
  </si>
  <si>
    <t>ROJO</t>
  </si>
  <si>
    <t>GRIS SPORT</t>
  </si>
  <si>
    <t>GRIS OSCURO</t>
  </si>
  <si>
    <t>FUCSIA CON  RAYA NEGRA</t>
  </si>
  <si>
    <t>TOTAL  X FAJON</t>
  </si>
  <si>
    <t>TALLA</t>
  </si>
  <si>
    <t>93% POLYESTER 7% SPANDEX</t>
  </si>
  <si>
    <t>92% POLYESTER  8% SPANDEX</t>
  </si>
  <si>
    <t>90% NYLON  10% SPANDEX</t>
  </si>
  <si>
    <t>85% POLYESTER  15% SPANDEX</t>
  </si>
  <si>
    <t>65% POLYESTER  35% COTTON</t>
  </si>
  <si>
    <t>80% POLYESTER  20% SPANDEX</t>
  </si>
  <si>
    <t>90% COTTON  10% SPANDEX</t>
  </si>
  <si>
    <t>97% VISCOSE  3% SPANDEX</t>
  </si>
  <si>
    <t>4C</t>
  </si>
  <si>
    <t>6C</t>
  </si>
  <si>
    <t>LINEA QX</t>
  </si>
  <si>
    <t>LINEA N25(Invisible)</t>
  </si>
  <si>
    <t>LINEA 5U(Metal)</t>
  </si>
  <si>
    <t>LINEA N3Z (Separable)</t>
  </si>
  <si>
    <t>LINEA 21(Bolsillo)</t>
  </si>
  <si>
    <t>LINEA N3U(Fijo)</t>
  </si>
  <si>
    <t>LINEA HF(Fijo)</t>
  </si>
  <si>
    <t>N3Z</t>
  </si>
  <si>
    <t>N3U</t>
  </si>
  <si>
    <t>HF</t>
  </si>
  <si>
    <t>5U</t>
  </si>
  <si>
    <t>N25</t>
  </si>
  <si>
    <t>Talla</t>
  </si>
  <si>
    <t>QX</t>
  </si>
  <si>
    <t>Bombai</t>
  </si>
  <si>
    <t>RefInsu</t>
  </si>
  <si>
    <t>Insumo</t>
  </si>
  <si>
    <t>Insumos</t>
  </si>
  <si>
    <t>STICKERS</t>
  </si>
  <si>
    <t>80% COTTON 20% SPANDEX</t>
  </si>
  <si>
    <t># Compra</t>
  </si>
  <si>
    <t>Acc</t>
  </si>
  <si>
    <t>Und</t>
  </si>
  <si>
    <t>Fabric</t>
  </si>
  <si>
    <t>Forro</t>
  </si>
  <si>
    <t>Material</t>
  </si>
  <si>
    <t>Ref</t>
  </si>
  <si>
    <t>Tamaño</t>
  </si>
  <si>
    <t>Color</t>
  </si>
  <si>
    <t>Fecha</t>
  </si>
  <si>
    <t>Color Fajon</t>
  </si>
  <si>
    <t>USA</t>
  </si>
  <si>
    <t>Canada</t>
  </si>
  <si>
    <t>(60X14)cm (sin quiebre)</t>
  </si>
  <si>
    <t>(60X10)cm (con quiebre)</t>
  </si>
  <si>
    <t>(100X14)cm (con quiebre en mitad)</t>
  </si>
  <si>
    <t>TOTAL           X          TALLA</t>
  </si>
  <si>
    <t>MARQUILLAS DE COMPOSICION</t>
  </si>
  <si>
    <t>Total</t>
  </si>
  <si>
    <t>Cierre</t>
  </si>
  <si>
    <t>Destino</t>
  </si>
  <si>
    <t>VAR SUB</t>
  </si>
  <si>
    <t>JGR ONYX</t>
  </si>
  <si>
    <t>FRENTE</t>
  </si>
  <si>
    <t>TRASERO</t>
  </si>
  <si>
    <t>MSH ONYX</t>
  </si>
  <si>
    <t>WBJ ONYX</t>
  </si>
  <si>
    <t>Soul Dancer</t>
  </si>
  <si>
    <t>EN BLANCO</t>
  </si>
  <si>
    <t>Cordon</t>
  </si>
  <si>
    <t>Cor Color</t>
  </si>
  <si>
    <t>XS-S-M-L-XL-XXL</t>
  </si>
  <si>
    <t>4C-6C-YXS-YS-YM-YL</t>
  </si>
  <si>
    <t>NEON</t>
  </si>
  <si>
    <t>Arte</t>
  </si>
  <si>
    <t>Ubicacion Nombre</t>
  </si>
  <si>
    <t>Pecho Derecho</t>
  </si>
  <si>
    <t>Pecho Izquierdo</t>
  </si>
  <si>
    <t>Espalda</t>
  </si>
  <si>
    <t>Si Existe</t>
  </si>
  <si>
    <t>Si</t>
  </si>
  <si>
    <t>No</t>
  </si>
  <si>
    <t>Nombre</t>
  </si>
  <si>
    <t>Ubicación</t>
  </si>
  <si>
    <t>Instrucciones</t>
  </si>
  <si>
    <t>Morralera</t>
  </si>
  <si>
    <t>23/06/2020</t>
  </si>
  <si>
    <t>08/07/2020</t>
  </si>
  <si>
    <t>Hola</t>
  </si>
  <si>
    <t>No Existe</t>
  </si>
  <si>
    <t>Agua</t>
  </si>
  <si>
    <t>Proceso</t>
  </si>
  <si>
    <t>Cid</t>
  </si>
  <si>
    <t>34</t>
  </si>
  <si>
    <t>DANCE</t>
  </si>
  <si>
    <t>Confirmacion Fecha</t>
  </si>
  <si>
    <t>sss</t>
  </si>
  <si>
    <t>333</t>
  </si>
  <si>
    <t>PLANO</t>
  </si>
  <si>
    <t>hhhh</t>
  </si>
  <si>
    <t>Estado</t>
  </si>
  <si>
    <t>sasas</t>
  </si>
  <si>
    <t>Diseño</t>
  </si>
  <si>
    <t>Impresión</t>
  </si>
  <si>
    <t>Sublimación</t>
  </si>
  <si>
    <t>Corte</t>
  </si>
  <si>
    <t>Confección</t>
  </si>
  <si>
    <t>Empaque</t>
  </si>
  <si>
    <t>Despacho</t>
  </si>
  <si>
    <t>Procesos Activos</t>
  </si>
  <si>
    <t>PO# 13</t>
  </si>
  <si>
    <t>24/06/2020</t>
  </si>
  <si>
    <t>09/07/2020</t>
  </si>
  <si>
    <t>fdfdf</t>
  </si>
  <si>
    <t>PO# 14</t>
  </si>
  <si>
    <t>gfg</t>
  </si>
  <si>
    <t>PO# 8</t>
  </si>
  <si>
    <t>PO# 9</t>
  </si>
  <si>
    <t>PO# 10</t>
  </si>
  <si>
    <t>PO# 11</t>
  </si>
  <si>
    <t>PO# 12</t>
  </si>
  <si>
    <t>PO #</t>
  </si>
  <si>
    <t>Prenda</t>
  </si>
  <si>
    <t>F. Comienzo</t>
  </si>
  <si>
    <t>F. Despacho</t>
  </si>
  <si>
    <t>PO# 15</t>
  </si>
  <si>
    <t>C4</t>
  </si>
  <si>
    <t>Niña</t>
  </si>
  <si>
    <t>Joven</t>
  </si>
  <si>
    <t>Adulto</t>
  </si>
  <si>
    <t>C6 C13</t>
  </si>
  <si>
    <t>YXS C1</t>
  </si>
  <si>
    <t>YS C2</t>
  </si>
  <si>
    <t>YM C3</t>
  </si>
  <si>
    <t>YL C4</t>
  </si>
  <si>
    <t>XS A5</t>
  </si>
  <si>
    <t>S A6</t>
  </si>
  <si>
    <t>M A7</t>
  </si>
  <si>
    <t>L A8</t>
  </si>
  <si>
    <t>XL A9</t>
  </si>
  <si>
    <t>XXL A10</t>
  </si>
  <si>
    <t>1 Size</t>
  </si>
  <si>
    <t>d</t>
  </si>
  <si>
    <t>Recuerda los colores</t>
  </si>
  <si>
    <t>25/06/2020</t>
  </si>
  <si>
    <t>PO# 16</t>
  </si>
  <si>
    <t>10/07/2020</t>
  </si>
  <si>
    <t>12</t>
  </si>
  <si>
    <t>PO# 17</t>
  </si>
  <si>
    <t>26/06/2020</t>
  </si>
  <si>
    <t>11/07/2020</t>
  </si>
  <si>
    <t>PO# 18</t>
  </si>
  <si>
    <t>26/06/2021</t>
  </si>
  <si>
    <t>11/07/2021</t>
  </si>
  <si>
    <t>ITEM #</t>
  </si>
  <si>
    <t>PO# 19</t>
  </si>
  <si>
    <t>27/06/2020</t>
  </si>
  <si>
    <t>12/07/2020</t>
  </si>
  <si>
    <t>PO# 20</t>
  </si>
  <si>
    <t>aaaa</t>
  </si>
  <si>
    <t>PO# 21</t>
  </si>
  <si>
    <t>29/06/2020</t>
  </si>
  <si>
    <t>14/07/2020</t>
  </si>
  <si>
    <t>PO #     ITEM #</t>
  </si>
  <si>
    <t>Estilo</t>
  </si>
  <si>
    <t>Tallas</t>
  </si>
  <si>
    <t>FABRIC LIST - EVOLUTION COLLECTION</t>
  </si>
  <si>
    <t>PRODUCT NAME</t>
  </si>
  <si>
    <t>AVERAGE RANGE PER GARMENT</t>
  </si>
  <si>
    <t>COMPOSITION</t>
  </si>
  <si>
    <t>0,60 - 1,15</t>
  </si>
  <si>
    <t>80 % POLYESTER 20 % SPANDEX</t>
  </si>
  <si>
    <t xml:space="preserve">VAR SUB </t>
  </si>
  <si>
    <t>0,70 - 1,10</t>
  </si>
  <si>
    <t>100 % POLYESTER</t>
  </si>
  <si>
    <t>Lining 4059 (BLACK &amp; WHITE)</t>
  </si>
  <si>
    <t>0,20 - 0,35</t>
  </si>
  <si>
    <t>0,85 - 1,13</t>
  </si>
  <si>
    <t>0,15 - 0,30</t>
  </si>
  <si>
    <t>Entretela 522 (WHITE)</t>
  </si>
  <si>
    <t>1 - 1,70</t>
  </si>
  <si>
    <t>0,13 - 0,20</t>
  </si>
  <si>
    <t>0,12 - 0,25</t>
  </si>
  <si>
    <t>0,13 - 0,28</t>
  </si>
  <si>
    <t>0,13 - 0,21</t>
  </si>
  <si>
    <t xml:space="preserve">CRO V NECK </t>
  </si>
  <si>
    <t>0,35 - 0,40</t>
  </si>
  <si>
    <t>93 % POLYESTER 7 % SPANDEX</t>
  </si>
  <si>
    <t>0,09 - 0,17</t>
  </si>
  <si>
    <t>POWERNET (BLACK &amp; WHITE)</t>
  </si>
  <si>
    <t>0,08 - 0,10</t>
  </si>
  <si>
    <t>86 %NYLON 14 % SPANDEX</t>
  </si>
  <si>
    <t>0,10 - 0,15</t>
  </si>
  <si>
    <t>0,22 - 0,30</t>
  </si>
  <si>
    <t>MALLA FANTASIA (BLACK)</t>
  </si>
  <si>
    <t xml:space="preserve">0,14 - 0,20 </t>
  </si>
  <si>
    <t>85 % NYLON 15 % SPANDEX</t>
  </si>
  <si>
    <t>MALLA VALIANA (WHITE)</t>
  </si>
  <si>
    <t>0,14 - 0,20</t>
  </si>
  <si>
    <t>94 % POLY 6 % SPANDEX</t>
  </si>
  <si>
    <t>94% POL 6% SPANDEX</t>
  </si>
  <si>
    <t>1,20 - 1,40</t>
  </si>
  <si>
    <t>100 % POL MICROFIBRA</t>
  </si>
  <si>
    <t>0,45 - 1</t>
  </si>
  <si>
    <t>0,20 - 0,25</t>
  </si>
  <si>
    <t>0,10 - 0,18</t>
  </si>
  <si>
    <t>0,55 - 0,75</t>
  </si>
  <si>
    <t>SUPPLEX CLAVEL (BLACK)</t>
  </si>
  <si>
    <t>0,50 - 0,70</t>
  </si>
  <si>
    <t>87 % NYLON 13 % SPANDEX</t>
  </si>
  <si>
    <t>0,08 - 0,15</t>
  </si>
  <si>
    <t>0,06 - 0,22</t>
  </si>
  <si>
    <t>0,20 - 0,60</t>
  </si>
  <si>
    <t>0,20 - 0,31</t>
  </si>
  <si>
    <t>0,52 - 0,58</t>
  </si>
  <si>
    <t>0,85 - 1,10</t>
  </si>
  <si>
    <t>0,15 - 0,22</t>
  </si>
  <si>
    <t>0,21 - 0,75</t>
  </si>
  <si>
    <t>0,08 - 0,12</t>
  </si>
  <si>
    <t>1,05 -1,15</t>
  </si>
  <si>
    <t>0,20 - 0,30</t>
  </si>
  <si>
    <t>94 % POLYESTER 6 % SPANDEX</t>
  </si>
  <si>
    <t>0,09 - 0,18</t>
  </si>
  <si>
    <t>0,10 - 0,14</t>
  </si>
  <si>
    <t>0,10 - 0,20</t>
  </si>
  <si>
    <t>0,11 - 0,20</t>
  </si>
  <si>
    <t>4241 (WHITE)</t>
  </si>
  <si>
    <t>0,24 - 0,35</t>
  </si>
  <si>
    <t>85 % POLYESTER 15 % SPANDEX</t>
  </si>
  <si>
    <t>Lining</t>
  </si>
  <si>
    <t>0,30 - 0,40</t>
  </si>
  <si>
    <t>0.8 - 0,18</t>
  </si>
  <si>
    <t>FABRIC  LIST  -   ONYX COLLECTION</t>
  </si>
  <si>
    <t>42060 (BLACK)</t>
  </si>
  <si>
    <t>MENELAOS (BLACK LINING)</t>
  </si>
  <si>
    <t>84 % POLIAMIDA 16 % SPANDEX</t>
  </si>
  <si>
    <t>ENTRETELA 522 (BLACK)</t>
  </si>
  <si>
    <t>86 % POLYESTER 14 % SPANDEX</t>
  </si>
  <si>
    <t>Lining (BLACK) 4059</t>
  </si>
  <si>
    <t xml:space="preserve">WBJ ONYX </t>
  </si>
  <si>
    <t>ORINOCO ECO (BLACK)</t>
  </si>
  <si>
    <t>84 % POL RECY  12 % SPANDEX</t>
  </si>
  <si>
    <t>DUNGA(BLACK LINING)</t>
  </si>
  <si>
    <t>0,15  - 0,25</t>
  </si>
  <si>
    <t>0,08 - 0,20</t>
  </si>
  <si>
    <t>4102 (BLACK)</t>
  </si>
  <si>
    <t>0,40 - 0,60</t>
  </si>
  <si>
    <t>MESH 10030 (BLACK)</t>
  </si>
  <si>
    <t>0,02 - 0,05</t>
  </si>
  <si>
    <t>0,04 - 0,08</t>
  </si>
  <si>
    <t>0,08 - 0,13</t>
  </si>
  <si>
    <t xml:space="preserve">JGR ONYX </t>
  </si>
  <si>
    <t xml:space="preserve">MSH ONYX </t>
  </si>
  <si>
    <t>0,15 - 0,32</t>
  </si>
  <si>
    <t>MENELAOS (BLACK)</t>
  </si>
  <si>
    <t>MALLA CROCHET(BLACK)</t>
  </si>
  <si>
    <t>FABRIC LIST - STREET COLLECTION</t>
  </si>
  <si>
    <t>65 % COTTON 31 % POLY 4 % SPANDEX</t>
  </si>
  <si>
    <t>0,80 - 1,10</t>
  </si>
  <si>
    <t>1,28 - 1,55</t>
  </si>
  <si>
    <t>97 %  VISCOSA 3 % SPANDEX</t>
  </si>
  <si>
    <t>0,30 - 0,65</t>
  </si>
  <si>
    <t>0,50 - 0, 80</t>
  </si>
  <si>
    <t>0,22 - 0,37</t>
  </si>
  <si>
    <t>0,44-0,65</t>
  </si>
  <si>
    <t>65 % POL 35 % ALGODON</t>
  </si>
  <si>
    <t>0,70 - 1,32</t>
  </si>
  <si>
    <t>0,80 - 0,90</t>
  </si>
  <si>
    <t>FABRIC  LIST  -   ACCESORIES</t>
  </si>
  <si>
    <t>30150 (WHTE)</t>
  </si>
  <si>
    <t>30150 (BLACK)</t>
  </si>
  <si>
    <t>LONA MORRAL (BLACK)</t>
  </si>
  <si>
    <t>0,22-0,29</t>
  </si>
  <si>
    <t>CUSTOM TEAM  SLIDES</t>
  </si>
  <si>
    <t>ORION (WHITE)</t>
  </si>
  <si>
    <t>NEOPRENO</t>
  </si>
  <si>
    <t>CINTA FAYA (WHITE) 9 MM</t>
  </si>
  <si>
    <t>CAUCHO</t>
  </si>
  <si>
    <t>FABRIC  LIST  -   WHOLESALE</t>
  </si>
  <si>
    <t>42060 (WHITE)</t>
  </si>
  <si>
    <t>(Fully Sublimated)</t>
  </si>
  <si>
    <t>Lining (WHITE) 4059</t>
  </si>
  <si>
    <t>UNIVERSAL LYCRA (WHITE)</t>
  </si>
  <si>
    <t>96 % POLY 4 % SPANDEX</t>
  </si>
  <si>
    <t>LAMEGA (WHITE) LIning</t>
  </si>
  <si>
    <t>4241 (Binding)</t>
  </si>
  <si>
    <t>0,08 - 0,16</t>
  </si>
  <si>
    <t>0,04 - 0,13</t>
  </si>
  <si>
    <t>0,08 -0,18</t>
  </si>
  <si>
    <t>0,05 - 0,13</t>
  </si>
  <si>
    <t>SHABBY CHIC T SHIRT</t>
  </si>
  <si>
    <t>0,50 - 0,80</t>
  </si>
  <si>
    <t>LEGGINGS FULL SUBLIMATED</t>
  </si>
  <si>
    <t>0,60 - 0,75</t>
  </si>
  <si>
    <t>4206(BLACK)</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</si>
</sst>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_(* \(#,##0.00\);_(* &quot;-&quot;??_);_(@_)"/>
    <numFmt numFmtId="164" formatCode="#,##0&quot; cm&quot;"/>
    <numFmt numFmtId="165" formatCode="_-* #,##0_-;\-* #,##0_-;_-* &quot;-&quot;??_-;_-@_-"/>
    <numFmt numFmtId="166" formatCode="dd/mm/yyyy;@"/>
  </numFmts>
  <fonts count="31" x14ac:knownFonts="1">
    <font>
      <sz val="11"/>
      <color theme="1"/>
      <name val="Calibri"/>
      <family val="2"/>
      <scheme val="minor"/>
    </font>
    <font>
      <b/>
      <sz val="11"/>
      <color theme="1"/>
      <name val="Calibri"/>
      <family val="2"/>
      <scheme val="minor"/>
    </font>
    <font>
      <sz val="12"/>
      <color theme="1"/>
      <name val="Calibri"/>
      <family val="2"/>
      <scheme val="minor"/>
    </font>
    <font>
      <b/>
      <sz val="14"/>
      <color rgb="FF000000"/>
      <name val="Calibri"/>
      <family val="2"/>
      <scheme val="minor"/>
    </font>
    <font>
      <sz val="11"/>
      <color rgb="FF000000"/>
      <name val="Calibri"/>
      <family val="2"/>
      <scheme val="minor"/>
    </font>
    <font>
      <b/>
      <i/>
      <sz val="11"/>
      <color theme="1"/>
      <name val="Calibri"/>
      <family val="2"/>
      <scheme val="minor"/>
    </font>
    <font>
      <b/>
      <sz val="14"/>
      <color theme="0"/>
      <name val="Calibri"/>
      <family val="2"/>
      <scheme val="minor"/>
    </font>
    <font>
      <sz val="12"/>
      <name val="Calibri"/>
      <family val="2"/>
      <scheme val="minor"/>
    </font>
    <font>
      <sz val="9"/>
      <color theme="1"/>
      <name val="Calibri"/>
      <family val="2"/>
      <scheme val="minor"/>
    </font>
    <font>
      <b/>
      <sz val="16"/>
      <color theme="1"/>
      <name val="Calibri"/>
      <family val="2"/>
      <scheme val="minor"/>
    </font>
    <font>
      <b/>
      <sz val="14"/>
      <color theme="0"/>
      <name val="Calibri"/>
      <family val="2"/>
      <scheme val="minor"/>
    </font>
    <font>
      <sz val="11"/>
      <color theme="1"/>
      <name val="Calibri"/>
      <family val="2"/>
      <scheme val="minor"/>
    </font>
    <font>
      <sz val="10"/>
      <color theme="1"/>
      <name val="Calibri"/>
      <family val="2"/>
      <scheme val="minor"/>
    </font>
    <font>
      <b/>
      <i/>
      <sz val="16"/>
      <color theme="1"/>
      <name val="Calibri"/>
      <family val="2"/>
      <scheme val="minor"/>
    </font>
    <font>
      <b/>
      <sz val="20"/>
      <color theme="1"/>
      <name val="Calibri"/>
      <family val="2"/>
      <scheme val="minor"/>
    </font>
    <font>
      <sz val="11"/>
      <name val="Calibri"/>
      <family val="2"/>
      <scheme val="minor"/>
    </font>
    <font>
      <b/>
      <sz val="10"/>
      <color theme="1"/>
      <name val="Calibri"/>
      <family val="2"/>
      <scheme val="minor"/>
    </font>
    <font>
      <b/>
      <sz val="12"/>
      <color theme="1"/>
      <name val="Calibri"/>
      <family val="2"/>
      <scheme val="minor"/>
    </font>
    <font>
      <b/>
      <sz val="11"/>
      <color theme="1"/>
      <name val="Arial Unicode MS"/>
      <family val="2"/>
    </font>
    <font>
      <sz val="18"/>
      <color rgb="FF000000"/>
      <name val="Calibri"/>
      <family val="2"/>
      <scheme val="minor"/>
    </font>
    <font>
      <sz val="11"/>
      <color theme="0"/>
      <name val="Calibri"/>
      <family val="2"/>
      <scheme val="minor"/>
    </font>
    <font>
      <sz val="16"/>
      <color theme="1"/>
      <name val="Calibri"/>
      <family val="2"/>
      <scheme val="minor"/>
    </font>
    <font>
      <b/>
      <sz val="16"/>
      <color rgb="FF000000"/>
      <name val="Calibri"/>
      <family val="2"/>
      <scheme val="minor"/>
    </font>
    <font>
      <b/>
      <sz val="22"/>
      <color rgb="FF000000"/>
      <name val="Calibri"/>
      <family val="2"/>
      <scheme val="minor"/>
    </font>
    <font>
      <sz val="10"/>
      <name val="Calibri"/>
      <family val="2"/>
      <scheme val="minor"/>
    </font>
    <font>
      <sz val="24"/>
      <color rgb="FFFFFFFF"/>
      <name val="Calibri"/>
      <family val="2"/>
      <scheme val="minor"/>
    </font>
    <font>
      <b/>
      <sz val="11"/>
      <color rgb="FF000000"/>
      <name val="Calibri"/>
      <family val="2"/>
      <scheme val="minor"/>
    </font>
    <font>
      <b/>
      <sz val="24"/>
      <color rgb="FF000000"/>
      <name val="Calibri"/>
      <family val="2"/>
      <scheme val="minor"/>
    </font>
    <font>
      <b/>
      <sz val="24"/>
      <color rgb="FFFFFFFF"/>
      <name val="Calibri"/>
      <family val="2"/>
      <scheme val="minor"/>
    </font>
    <font>
      <sz val="11"/>
      <color rgb="FF000000"/>
      <name val="Arial"/>
      <family val="2"/>
    </font>
    <font>
      <sz val="12"/>
      <color rgb="FF000000"/>
      <name val="Calibri"/>
      <family val="2"/>
      <scheme val="minor"/>
    </font>
  </fonts>
  <fills count="37">
    <fill>
      <patternFill patternType="none"/>
    </fill>
    <fill>
      <patternFill patternType="gray125"/>
    </fill>
    <fill>
      <patternFill patternType="solid">
        <fgColor rgb="FFD9E1F2"/>
        <bgColor indexed="64"/>
      </patternFill>
    </fill>
    <fill>
      <patternFill patternType="solid">
        <fgColor rgb="FFD9D9D9"/>
        <bgColor indexed="64"/>
      </patternFill>
    </fill>
    <fill>
      <patternFill patternType="solid">
        <fgColor rgb="FFBF9FFF"/>
        <bgColor indexed="64"/>
      </patternFill>
    </fill>
    <fill>
      <patternFill patternType="solid">
        <fgColor rgb="FF00CC99"/>
        <bgColor indexed="64"/>
      </patternFill>
    </fill>
    <fill>
      <patternFill patternType="solid">
        <fgColor rgb="FFC6E0B4"/>
        <bgColor indexed="64"/>
      </patternFill>
    </fill>
    <fill>
      <patternFill patternType="solid">
        <fgColor theme="9" tint="0.59999389629810485"/>
        <bgColor indexed="64"/>
      </patternFill>
    </fill>
    <fill>
      <patternFill patternType="solid">
        <fgColor theme="0"/>
        <bgColor indexed="64"/>
      </patternFill>
    </fill>
    <fill>
      <patternFill patternType="solid">
        <fgColor rgb="FFD9E1F2"/>
        <bgColor rgb="FF000000"/>
      </patternFill>
    </fill>
    <fill>
      <patternFill patternType="solid">
        <fgColor rgb="FFFFFF00"/>
        <bgColor indexed="64"/>
      </patternFill>
    </fill>
    <fill>
      <patternFill patternType="solid">
        <fgColor rgb="FFD0CECE"/>
        <bgColor rgb="FF000000"/>
      </patternFill>
    </fill>
    <fill>
      <patternFill patternType="solid">
        <fgColor rgb="FFBF9FFF"/>
        <bgColor rgb="FF000000"/>
      </patternFill>
    </fill>
    <fill>
      <patternFill patternType="solid">
        <fgColor rgb="FFC6E0B4"/>
        <bgColor rgb="FF000000"/>
      </patternFill>
    </fill>
    <fill>
      <patternFill patternType="solid">
        <fgColor theme="0"/>
        <bgColor rgb="FF000000"/>
      </patternFill>
    </fill>
    <fill>
      <patternFill patternType="solid">
        <fgColor theme="4"/>
        <bgColor theme="4"/>
      </patternFill>
    </fill>
    <fill>
      <patternFill patternType="solid">
        <fgColor rgb="FFD9E1F2"/>
        <bgColor theme="4" tint="0.79998168889431442"/>
      </patternFill>
    </fill>
    <fill>
      <patternFill patternType="solid">
        <fgColor rgb="FFD9D9D9"/>
        <bgColor theme="4" tint="0.79998168889431442"/>
      </patternFill>
    </fill>
    <fill>
      <patternFill patternType="solid">
        <fgColor rgb="FFBF9FFF"/>
        <bgColor theme="4" tint="0.79998168889431442"/>
      </patternFill>
    </fill>
    <fill>
      <patternFill patternType="solid">
        <fgColor rgb="FF00CC99"/>
        <bgColor theme="4" tint="0.79998168889431442"/>
      </patternFill>
    </fill>
    <fill>
      <patternFill patternType="solid">
        <fgColor rgb="FFC6E0B4"/>
        <bgColor theme="4" tint="0.79998168889431442"/>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249977111117893"/>
        <bgColor indexed="64"/>
      </patternFill>
    </fill>
    <fill>
      <patternFill patternType="solid">
        <fgColor rgb="FFFCD5B4"/>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9" tint="0.39997558519241921"/>
        <bgColor indexed="64"/>
      </patternFill>
    </fill>
    <fill>
      <patternFill patternType="solid">
        <fgColor rgb="FFFFFFFF"/>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rgb="FF9BC2E6"/>
        <bgColor rgb="FF000000"/>
      </patternFill>
    </fill>
    <fill>
      <patternFill patternType="solid">
        <fgColor rgb="FF000000"/>
        <bgColor rgb="FF000000"/>
      </patternFill>
    </fill>
    <fill>
      <patternFill patternType="solid">
        <fgColor rgb="FF8080FE"/>
        <bgColor rgb="FF000000"/>
      </patternFill>
    </fill>
    <fill>
      <patternFill patternType="solid">
        <fgColor rgb="FF00CC99"/>
        <bgColor rgb="FF000000"/>
      </patternFill>
    </fill>
    <fill>
      <patternFill patternType="solid">
        <fgColor rgb="FF548235"/>
        <bgColor rgb="FF000000"/>
      </patternFill>
    </fill>
  </fills>
  <borders count="108">
    <border>
      <left/>
      <right/>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diagonal/>
    </border>
    <border>
      <left/>
      <right style="medium">
        <color indexed="64"/>
      </right>
      <top/>
      <bottom/>
      <diagonal/>
    </border>
    <border>
      <left style="thin">
        <color indexed="64"/>
      </left>
      <right style="thin">
        <color indexed="64"/>
      </right>
      <top/>
      <bottom/>
      <diagonal/>
    </border>
    <border>
      <left style="medium">
        <color indexed="64"/>
      </left>
      <right style="thin">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theme="4" tint="0.39997558519241921"/>
      </bottom>
      <diagonal/>
    </border>
    <border>
      <left style="thin">
        <color indexed="64"/>
      </left>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medium">
        <color indexed="64"/>
      </right>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medium">
        <color indexed="64"/>
      </bottom>
      <diagonal/>
    </border>
    <border>
      <left/>
      <right/>
      <top style="thin">
        <color indexed="64"/>
      </top>
      <bottom/>
      <diagonal/>
    </border>
    <border>
      <left style="thin">
        <color indexed="64"/>
      </left>
      <right/>
      <top/>
      <bottom/>
      <diagonal/>
    </border>
    <border>
      <left/>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top/>
      <bottom style="medium">
        <color indexed="64"/>
      </bottom>
      <diagonal/>
    </border>
    <border>
      <left/>
      <right style="medium">
        <color indexed="64"/>
      </right>
      <top style="thin">
        <color indexed="64"/>
      </top>
      <bottom style="thin">
        <color indexed="64"/>
      </bottom>
      <diagonal/>
    </border>
    <border>
      <left/>
      <right style="thin">
        <color indexed="64"/>
      </right>
      <top style="thin">
        <color indexed="64"/>
      </top>
      <bottom/>
      <diagonal/>
    </border>
    <border>
      <left/>
      <right style="medium">
        <color indexed="64"/>
      </right>
      <top style="medium">
        <color indexed="64"/>
      </top>
      <bottom style="thin">
        <color indexed="64"/>
      </bottom>
      <diagonal/>
    </border>
    <border>
      <left/>
      <right/>
      <top style="medium">
        <color rgb="FF000000"/>
      </top>
      <bottom style="medium">
        <color rgb="FF000000"/>
      </bottom>
      <diagonal/>
    </border>
    <border>
      <left/>
      <right style="medium">
        <color indexed="64"/>
      </right>
      <top style="medium">
        <color rgb="FF000000"/>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thin">
        <color indexed="64"/>
      </left>
      <right style="thin">
        <color indexed="64"/>
      </right>
      <top style="medium">
        <color rgb="FF000000"/>
      </top>
      <bottom style="thin">
        <color indexed="64"/>
      </bottom>
      <diagonal/>
    </border>
    <border>
      <left style="thin">
        <color indexed="64"/>
      </left>
      <right style="thin">
        <color indexed="64"/>
      </right>
      <top style="medium">
        <color rgb="FF000000"/>
      </top>
      <bottom/>
      <diagonal/>
    </border>
    <border>
      <left style="thin">
        <color rgb="FF000000"/>
      </left>
      <right style="thin">
        <color indexed="64"/>
      </right>
      <top style="thin">
        <color rgb="FF000000"/>
      </top>
      <bottom style="thin">
        <color indexed="64"/>
      </bottom>
      <diagonal/>
    </border>
    <border>
      <left style="thin">
        <color rgb="FF000000"/>
      </left>
      <right style="thin">
        <color indexed="64"/>
      </right>
      <top/>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rgb="FF000000"/>
      </top>
      <bottom/>
      <diagonal/>
    </border>
    <border>
      <left style="thin">
        <color indexed="64"/>
      </left>
      <right/>
      <top style="thin">
        <color rgb="FF000000"/>
      </top>
      <bottom/>
      <diagonal/>
    </border>
    <border>
      <left style="thin">
        <color indexed="64"/>
      </left>
      <right style="thin">
        <color indexed="64"/>
      </right>
      <top/>
      <bottom style="medium">
        <color rgb="FF000000"/>
      </bottom>
      <diagonal/>
    </border>
    <border>
      <left style="thin">
        <color indexed="64"/>
      </left>
      <right/>
      <top/>
      <bottom style="medium">
        <color rgb="FF000000"/>
      </bottom>
      <diagonal/>
    </border>
    <border>
      <left style="medium">
        <color indexed="64"/>
      </left>
      <right/>
      <top style="medium">
        <color rgb="FF000000"/>
      </top>
      <bottom style="medium">
        <color indexed="64"/>
      </bottom>
      <diagonal/>
    </border>
    <border>
      <left/>
      <right/>
      <top style="medium">
        <color rgb="FF000000"/>
      </top>
      <bottom style="medium">
        <color indexed="64"/>
      </bottom>
      <diagonal/>
    </border>
    <border>
      <left style="thin">
        <color indexed="64"/>
      </left>
      <right style="medium">
        <color indexed="64"/>
      </right>
      <top/>
      <bottom/>
      <diagonal/>
    </border>
    <border>
      <left style="medium">
        <color indexed="64"/>
      </left>
      <right/>
      <top style="medium">
        <color rgb="FF000000"/>
      </top>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diagonal/>
    </border>
    <border>
      <left style="thin">
        <color rgb="FF000000"/>
      </left>
      <right style="medium">
        <color indexed="64"/>
      </right>
      <top style="thin">
        <color rgb="FF000000"/>
      </top>
      <bottom style="thin">
        <color rgb="FF000000"/>
      </bottom>
      <diagonal/>
    </border>
    <border>
      <left style="thin">
        <color rgb="FF000000"/>
      </left>
      <right style="medium">
        <color indexed="64"/>
      </right>
      <top style="thin">
        <color rgb="FF000000"/>
      </top>
      <bottom/>
      <diagonal/>
    </border>
    <border>
      <left style="medium">
        <color indexed="64"/>
      </left>
      <right/>
      <top style="medium">
        <color rgb="FF000000"/>
      </top>
      <bottom style="medium">
        <color rgb="FF000000"/>
      </bottom>
      <diagonal/>
    </border>
    <border>
      <left style="medium">
        <color indexed="64"/>
      </left>
      <right style="thin">
        <color indexed="64"/>
      </right>
      <top style="medium">
        <color rgb="FF000000"/>
      </top>
      <bottom style="thin">
        <color indexed="64"/>
      </bottom>
      <diagonal/>
    </border>
    <border>
      <left/>
      <right style="medium">
        <color indexed="64"/>
      </right>
      <top style="medium">
        <color rgb="FF000000"/>
      </top>
      <bottom style="thin">
        <color indexed="64"/>
      </bottom>
      <diagonal/>
    </border>
    <border>
      <left style="medium">
        <color indexed="64"/>
      </left>
      <right style="thin">
        <color indexed="64"/>
      </right>
      <top style="thin">
        <color rgb="FF000000"/>
      </top>
      <bottom/>
      <diagonal/>
    </border>
    <border>
      <left style="thin">
        <color indexed="64"/>
      </left>
      <right style="medium">
        <color indexed="64"/>
      </right>
      <top style="thin">
        <color rgb="FF000000"/>
      </top>
      <bottom/>
      <diagonal/>
    </border>
    <border>
      <left style="medium">
        <color indexed="64"/>
      </left>
      <right style="thin">
        <color indexed="64"/>
      </right>
      <top/>
      <bottom style="medium">
        <color rgb="FF000000"/>
      </bottom>
      <diagonal/>
    </border>
    <border>
      <left style="thin">
        <color indexed="64"/>
      </left>
      <right style="medium">
        <color indexed="64"/>
      </right>
      <top/>
      <bottom style="medium">
        <color rgb="FF000000"/>
      </bottom>
      <diagonal/>
    </border>
    <border>
      <left/>
      <right style="medium">
        <color indexed="64"/>
      </right>
      <top style="medium">
        <color rgb="FF000000"/>
      </top>
      <bottom style="medium">
        <color indexed="64"/>
      </bottom>
      <diagonal/>
    </border>
  </borders>
  <cellStyleXfs count="2">
    <xf numFmtId="0" fontId="0" fillId="0" borderId="0"/>
    <xf numFmtId="43" fontId="11" fillId="0" borderId="0" applyFont="0" applyFill="0" applyBorder="0" applyAlignment="0" applyProtection="0"/>
  </cellStyleXfs>
  <cellXfs count="889">
    <xf numFmtId="0" fontId="0" fillId="0" borderId="0" xfId="0"/>
    <xf numFmtId="0" fontId="0" fillId="0" borderId="1" xfId="0" applyBorder="1"/>
    <xf numFmtId="0" fontId="0" fillId="0" borderId="11" xfId="0" applyBorder="1"/>
    <xf numFmtId="0" fontId="0" fillId="0" borderId="0" xfId="0" applyAlignment="1">
      <alignment horizontal="center"/>
    </xf>
    <xf numFmtId="0" fontId="0" fillId="0" borderId="0" xfId="0" applyAlignment="1">
      <alignment horizontal="center" vertical="center"/>
    </xf>
    <xf numFmtId="0" fontId="4" fillId="0" borderId="7" xfId="0" applyFont="1" applyBorder="1"/>
    <xf numFmtId="0" fontId="4" fillId="0" borderId="1" xfId="0" applyFont="1" applyBorder="1"/>
    <xf numFmtId="0" fontId="4" fillId="0" borderId="16" xfId="0" applyFont="1" applyBorder="1"/>
    <xf numFmtId="0" fontId="0" fillId="10" borderId="16" xfId="0" applyFill="1" applyBorder="1" applyAlignment="1">
      <alignment horizontal="left"/>
    </xf>
    <xf numFmtId="0" fontId="0" fillId="10" borderId="7" xfId="0" applyFill="1" applyBorder="1" applyAlignment="1">
      <alignment horizontal="left"/>
    </xf>
    <xf numFmtId="0" fontId="0" fillId="10" borderId="1" xfId="0" applyFill="1" applyBorder="1" applyAlignment="1">
      <alignment horizontal="left" wrapText="1"/>
    </xf>
    <xf numFmtId="0" fontId="4" fillId="0" borderId="35" xfId="0" applyFont="1" applyBorder="1"/>
    <xf numFmtId="0" fontId="4" fillId="0" borderId="39" xfId="0" applyFont="1" applyBorder="1" applyAlignment="1">
      <alignment horizontal="left" vertical="center" wrapText="1"/>
    </xf>
    <xf numFmtId="0" fontId="4" fillId="0" borderId="23" xfId="0" applyFont="1" applyBorder="1" applyAlignment="1">
      <alignment horizontal="left" vertical="center" wrapText="1"/>
    </xf>
    <xf numFmtId="0" fontId="4" fillId="0" borderId="40" xfId="0" applyFont="1" applyBorder="1"/>
    <xf numFmtId="0" fontId="4" fillId="0" borderId="41" xfId="0" applyFont="1" applyBorder="1" applyAlignment="1">
      <alignment wrapText="1"/>
    </xf>
    <xf numFmtId="0" fontId="3" fillId="14" borderId="0" xfId="0" applyFont="1" applyFill="1" applyBorder="1" applyAlignment="1">
      <alignment horizontal="left" vertical="center"/>
    </xf>
    <xf numFmtId="0" fontId="2" fillId="2" borderId="16" xfId="0" applyFont="1" applyFill="1" applyBorder="1" applyAlignment="1">
      <alignment vertical="center"/>
    </xf>
    <xf numFmtId="0" fontId="2" fillId="3" borderId="16" xfId="0" applyFont="1" applyFill="1" applyBorder="1" applyAlignment="1">
      <alignment vertical="center"/>
    </xf>
    <xf numFmtId="0" fontId="2" fillId="3" borderId="7" xfId="0" applyFont="1" applyFill="1" applyBorder="1" applyAlignment="1">
      <alignment vertical="center"/>
    </xf>
    <xf numFmtId="0" fontId="2" fillId="5" borderId="7" xfId="0" applyFont="1" applyFill="1" applyBorder="1" applyAlignment="1">
      <alignment vertical="center"/>
    </xf>
    <xf numFmtId="0" fontId="2" fillId="5" borderId="1" xfId="0" applyFont="1" applyFill="1" applyBorder="1" applyAlignment="1">
      <alignment vertical="center"/>
    </xf>
    <xf numFmtId="0" fontId="2" fillId="4" borderId="1" xfId="0" applyFont="1" applyFill="1" applyBorder="1" applyAlignment="1">
      <alignment vertical="center"/>
    </xf>
    <xf numFmtId="0" fontId="2" fillId="4" borderId="1" xfId="0" applyFont="1" applyFill="1" applyBorder="1" applyAlignment="1"/>
    <xf numFmtId="0" fontId="2" fillId="4" borderId="21" xfId="0" applyFont="1" applyFill="1" applyBorder="1" applyAlignment="1">
      <alignment vertical="center"/>
    </xf>
    <xf numFmtId="0" fontId="2" fillId="4" borderId="20" xfId="0" applyFont="1" applyFill="1" applyBorder="1" applyAlignment="1">
      <alignment vertical="center"/>
    </xf>
    <xf numFmtId="0" fontId="2" fillId="4" borderId="24" xfId="0" applyFont="1" applyFill="1" applyBorder="1" applyAlignment="1">
      <alignment vertical="center"/>
    </xf>
    <xf numFmtId="0" fontId="2" fillId="4" borderId="28" xfId="0" applyFont="1" applyFill="1" applyBorder="1" applyAlignment="1">
      <alignment vertical="center"/>
    </xf>
    <xf numFmtId="0" fontId="2" fillId="4" borderId="25" xfId="0" applyFont="1" applyFill="1" applyBorder="1" applyAlignment="1"/>
    <xf numFmtId="0" fontId="2" fillId="3" borderId="1" xfId="0" applyFont="1" applyFill="1" applyBorder="1" applyAlignment="1">
      <alignment vertical="center"/>
    </xf>
    <xf numFmtId="0" fontId="2" fillId="3" borderId="21" xfId="0" applyFont="1" applyFill="1" applyBorder="1" applyAlignment="1">
      <alignment vertical="center"/>
    </xf>
    <xf numFmtId="0" fontId="2" fillId="3" borderId="20" xfId="0" applyFont="1" applyFill="1" applyBorder="1" applyAlignment="1">
      <alignment vertical="center"/>
    </xf>
    <xf numFmtId="0" fontId="2" fillId="3" borderId="24" xfId="0" applyFont="1" applyFill="1" applyBorder="1" applyAlignment="1">
      <alignment vertical="center"/>
    </xf>
    <xf numFmtId="0" fontId="2" fillId="3" borderId="25" xfId="0" applyFont="1" applyFill="1" applyBorder="1" applyAlignment="1">
      <alignment vertical="center"/>
    </xf>
    <xf numFmtId="0" fontId="2" fillId="6" borderId="1" xfId="0" applyFont="1" applyFill="1" applyBorder="1" applyAlignment="1">
      <alignment vertical="center"/>
    </xf>
    <xf numFmtId="0" fontId="2" fillId="2" borderId="1" xfId="0" applyFont="1" applyFill="1" applyBorder="1" applyAlignment="1">
      <alignment vertical="center"/>
    </xf>
    <xf numFmtId="0" fontId="2" fillId="2" borderId="21" xfId="0" applyFont="1" applyFill="1" applyBorder="1" applyAlignment="1">
      <alignment vertical="center"/>
    </xf>
    <xf numFmtId="0" fontId="2" fillId="2" borderId="20" xfId="0" applyFont="1" applyFill="1" applyBorder="1" applyAlignment="1">
      <alignment vertical="center"/>
    </xf>
    <xf numFmtId="0" fontId="2" fillId="2" borderId="24" xfId="0" applyFont="1" applyFill="1" applyBorder="1" applyAlignment="1">
      <alignment vertical="center"/>
    </xf>
    <xf numFmtId="0" fontId="2" fillId="2" borderId="28" xfId="0" applyFont="1" applyFill="1" applyBorder="1" applyAlignment="1">
      <alignment vertical="center"/>
    </xf>
    <xf numFmtId="0" fontId="2" fillId="2" borderId="25" xfId="0" applyFont="1" applyFill="1" applyBorder="1" applyAlignment="1">
      <alignment vertical="center"/>
    </xf>
    <xf numFmtId="0" fontId="2" fillId="4" borderId="25" xfId="0" applyFont="1" applyFill="1" applyBorder="1" applyAlignment="1">
      <alignment vertical="center"/>
    </xf>
    <xf numFmtId="0" fontId="0" fillId="0" borderId="0" xfId="0" applyFont="1"/>
    <xf numFmtId="0" fontId="2" fillId="2" borderId="33" xfId="0" applyFont="1" applyFill="1" applyBorder="1" applyAlignment="1">
      <alignment vertical="center"/>
    </xf>
    <xf numFmtId="0" fontId="6" fillId="15" borderId="34" xfId="0" applyFont="1" applyFill="1" applyBorder="1" applyAlignment="1">
      <alignment horizontal="center" vertical="center"/>
    </xf>
    <xf numFmtId="0" fontId="6" fillId="15" borderId="32" xfId="0" applyFont="1" applyFill="1" applyBorder="1" applyAlignment="1">
      <alignment horizontal="center" vertical="center"/>
    </xf>
    <xf numFmtId="0" fontId="2" fillId="4" borderId="16" xfId="0" applyFont="1" applyFill="1" applyBorder="1" applyAlignment="1">
      <alignment vertical="center"/>
    </xf>
    <xf numFmtId="0" fontId="2" fillId="4" borderId="20" xfId="0" applyFont="1" applyFill="1" applyBorder="1" applyAlignment="1"/>
    <xf numFmtId="0" fontId="2" fillId="4" borderId="7" xfId="0" applyFont="1" applyFill="1" applyBorder="1" applyAlignment="1">
      <alignment vertical="center"/>
    </xf>
    <xf numFmtId="0" fontId="2" fillId="2" borderId="7" xfId="0" applyFont="1" applyFill="1" applyBorder="1" applyAlignment="1">
      <alignment vertical="center"/>
    </xf>
    <xf numFmtId="0" fontId="2" fillId="16" borderId="45" xfId="0" applyFont="1" applyFill="1" applyBorder="1"/>
    <xf numFmtId="0" fontId="2" fillId="2" borderId="11" xfId="0" applyFont="1" applyFill="1" applyBorder="1" applyAlignment="1">
      <alignment vertical="center"/>
    </xf>
    <xf numFmtId="0" fontId="2" fillId="2" borderId="11" xfId="0" applyFont="1" applyFill="1" applyBorder="1"/>
    <xf numFmtId="0" fontId="2" fillId="16" borderId="11" xfId="0" applyFont="1" applyFill="1" applyBorder="1"/>
    <xf numFmtId="0" fontId="2" fillId="16" borderId="26" xfId="0" applyFont="1" applyFill="1" applyBorder="1"/>
    <xf numFmtId="0" fontId="6" fillId="15" borderId="43" xfId="0" applyFont="1" applyFill="1" applyBorder="1" applyAlignment="1">
      <alignment horizontal="center" vertical="center"/>
    </xf>
    <xf numFmtId="0" fontId="6" fillId="15" borderId="47" xfId="0" applyFont="1" applyFill="1" applyBorder="1" applyAlignment="1">
      <alignment horizontal="center" vertical="center"/>
    </xf>
    <xf numFmtId="0" fontId="8" fillId="0" borderId="0" xfId="0" applyFont="1" applyAlignment="1">
      <alignment horizontal="center"/>
    </xf>
    <xf numFmtId="0" fontId="8" fillId="0" borderId="0" xfId="0" applyFont="1"/>
    <xf numFmtId="0" fontId="0" fillId="0" borderId="0" xfId="0" applyFont="1" applyAlignment="1">
      <alignment horizontal="center"/>
    </xf>
    <xf numFmtId="0" fontId="1" fillId="0" borderId="1" xfId="0" applyFont="1" applyBorder="1" applyAlignment="1">
      <alignment horizontal="center"/>
    </xf>
    <xf numFmtId="0" fontId="1" fillId="0" borderId="1" xfId="0" applyFont="1" applyFill="1" applyBorder="1" applyAlignment="1">
      <alignment horizontal="center"/>
    </xf>
    <xf numFmtId="0" fontId="0" fillId="0" borderId="1" xfId="0" applyBorder="1" applyAlignment="1">
      <alignment horizontal="center" vertical="center" wrapText="1"/>
    </xf>
    <xf numFmtId="0" fontId="0" fillId="10" borderId="1" xfId="0" applyFill="1" applyBorder="1" applyAlignment="1">
      <alignment horizontal="center" vertical="center"/>
    </xf>
    <xf numFmtId="164" fontId="0" fillId="0" borderId="24" xfId="0" applyNumberFormat="1" applyBorder="1" applyAlignment="1">
      <alignment horizontal="center" vertical="center" wrapText="1"/>
    </xf>
    <xf numFmtId="164" fontId="0" fillId="0" borderId="28" xfId="0" applyNumberFormat="1" applyBorder="1" applyAlignment="1">
      <alignment horizontal="center" vertical="center" wrapText="1"/>
    </xf>
    <xf numFmtId="164" fontId="0" fillId="0" borderId="21" xfId="0" applyNumberFormat="1" applyBorder="1" applyAlignment="1">
      <alignment horizontal="center" vertical="center" wrapText="1"/>
    </xf>
    <xf numFmtId="164" fontId="0" fillId="0" borderId="0" xfId="0" applyNumberFormat="1" applyAlignment="1">
      <alignment horizontal="center"/>
    </xf>
    <xf numFmtId="0" fontId="0" fillId="0" borderId="27" xfId="0" applyBorder="1" applyAlignment="1">
      <alignment horizontal="center"/>
    </xf>
    <xf numFmtId="0" fontId="1" fillId="0" borderId="1" xfId="0" applyFont="1" applyBorder="1" applyAlignment="1">
      <alignment horizontal="center" vertical="center"/>
    </xf>
    <xf numFmtId="0" fontId="8" fillId="0" borderId="0" xfId="0" applyFont="1" applyAlignment="1">
      <alignment horizontal="center" vertical="center"/>
    </xf>
    <xf numFmtId="0" fontId="0" fillId="0" borderId="0" xfId="0" applyAlignment="1"/>
    <xf numFmtId="0" fontId="0" fillId="0" borderId="0" xfId="0" applyAlignment="1">
      <alignment wrapText="1"/>
    </xf>
    <xf numFmtId="0" fontId="2" fillId="16" borderId="1" xfId="0" applyFont="1" applyFill="1" applyBorder="1"/>
    <xf numFmtId="0" fontId="2" fillId="2" borderId="1" xfId="0" applyFont="1" applyFill="1" applyBorder="1"/>
    <xf numFmtId="0" fontId="2" fillId="3" borderId="1" xfId="0" applyFont="1" applyFill="1" applyBorder="1"/>
    <xf numFmtId="0" fontId="2" fillId="17" borderId="1" xfId="0" applyFont="1" applyFill="1" applyBorder="1"/>
    <xf numFmtId="0" fontId="2" fillId="18" borderId="1" xfId="0" applyFont="1" applyFill="1" applyBorder="1" applyAlignment="1">
      <alignment vertical="center"/>
    </xf>
    <xf numFmtId="0" fontId="2" fillId="18" borderId="1" xfId="0" applyFont="1" applyFill="1" applyBorder="1"/>
    <xf numFmtId="0" fontId="2" fillId="4" borderId="1" xfId="0" applyFont="1" applyFill="1" applyBorder="1"/>
    <xf numFmtId="0" fontId="2" fillId="5" borderId="1" xfId="0" applyFont="1" applyFill="1" applyBorder="1"/>
    <xf numFmtId="0" fontId="2" fillId="19" borderId="1" xfId="0" applyFont="1" applyFill="1" applyBorder="1"/>
    <xf numFmtId="0" fontId="2" fillId="6" borderId="1" xfId="0" applyFont="1" applyFill="1" applyBorder="1" applyAlignment="1">
      <alignment horizontal="left" vertical="center" wrapText="1"/>
    </xf>
    <xf numFmtId="0" fontId="2" fillId="20" borderId="1" xfId="0" applyFont="1" applyFill="1" applyBorder="1" applyAlignment="1">
      <alignment horizontal="left" vertical="center" wrapText="1"/>
    </xf>
    <xf numFmtId="0" fontId="2" fillId="3" borderId="7" xfId="0" applyFont="1" applyFill="1" applyBorder="1"/>
    <xf numFmtId="0" fontId="2" fillId="17" borderId="7" xfId="0" applyFont="1" applyFill="1" applyBorder="1"/>
    <xf numFmtId="0" fontId="2" fillId="16" borderId="20" xfId="0" applyFont="1" applyFill="1" applyBorder="1"/>
    <xf numFmtId="0" fontId="2" fillId="2" borderId="12" xfId="0" applyFont="1" applyFill="1" applyBorder="1"/>
    <xf numFmtId="0" fontId="2" fillId="16" borderId="12" xfId="0" applyFont="1" applyFill="1" applyBorder="1"/>
    <xf numFmtId="0" fontId="2" fillId="16" borderId="25" xfId="0" applyFont="1" applyFill="1" applyBorder="1"/>
    <xf numFmtId="0" fontId="2" fillId="16" borderId="16" xfId="0" applyFont="1" applyFill="1" applyBorder="1"/>
    <xf numFmtId="0" fontId="2" fillId="16" borderId="17" xfId="0" applyFont="1" applyFill="1" applyBorder="1"/>
    <xf numFmtId="0" fontId="2" fillId="2" borderId="23" xfId="0" applyFont="1" applyFill="1" applyBorder="1" applyAlignment="1">
      <alignment vertical="center"/>
    </xf>
    <xf numFmtId="0" fontId="2" fillId="2" borderId="7" xfId="0" applyFont="1" applyFill="1" applyBorder="1"/>
    <xf numFmtId="0" fontId="2" fillId="16" borderId="9" xfId="0" applyFont="1" applyFill="1" applyBorder="1"/>
    <xf numFmtId="0" fontId="2" fillId="2" borderId="20" xfId="0" applyFont="1" applyFill="1" applyBorder="1"/>
    <xf numFmtId="0" fontId="2" fillId="2" borderId="22" xfId="0" applyFont="1" applyFill="1" applyBorder="1"/>
    <xf numFmtId="0" fontId="2" fillId="16" borderId="27" xfId="0" applyFont="1" applyFill="1" applyBorder="1"/>
    <xf numFmtId="0" fontId="2" fillId="3" borderId="20" xfId="0" applyFont="1" applyFill="1" applyBorder="1"/>
    <xf numFmtId="0" fontId="2" fillId="17" borderId="22" xfId="0" applyFont="1" applyFill="1" applyBorder="1"/>
    <xf numFmtId="0" fontId="2" fillId="3" borderId="12" xfId="0" applyFont="1" applyFill="1" applyBorder="1"/>
    <xf numFmtId="0" fontId="2" fillId="3" borderId="28" xfId="0" applyFont="1" applyFill="1" applyBorder="1" applyAlignment="1">
      <alignment vertical="center"/>
    </xf>
    <xf numFmtId="0" fontId="2" fillId="17" borderId="25" xfId="0" applyFont="1" applyFill="1" applyBorder="1"/>
    <xf numFmtId="0" fontId="2" fillId="3" borderId="27" xfId="0" applyFont="1" applyFill="1" applyBorder="1"/>
    <xf numFmtId="0" fontId="2" fillId="3" borderId="16" xfId="0" applyFont="1" applyFill="1" applyBorder="1"/>
    <xf numFmtId="0" fontId="2" fillId="18" borderId="7" xfId="0" applyFont="1" applyFill="1" applyBorder="1"/>
    <xf numFmtId="0" fontId="2" fillId="18" borderId="20" xfId="0" applyFont="1" applyFill="1" applyBorder="1" applyAlignment="1">
      <alignment vertical="center"/>
    </xf>
    <xf numFmtId="0" fontId="2" fillId="18" borderId="22" xfId="0" applyFont="1" applyFill="1" applyBorder="1" applyAlignment="1">
      <alignment vertical="center"/>
    </xf>
    <xf numFmtId="0" fontId="2" fillId="18" borderId="12" xfId="0" applyFont="1" applyFill="1" applyBorder="1"/>
    <xf numFmtId="0" fontId="2" fillId="4" borderId="25" xfId="0" applyFont="1" applyFill="1" applyBorder="1"/>
    <xf numFmtId="0" fontId="2" fillId="4" borderId="16" xfId="0" applyFont="1" applyFill="1" applyBorder="1"/>
    <xf numFmtId="0" fontId="2" fillId="5" borderId="7" xfId="0" applyFont="1" applyFill="1" applyBorder="1"/>
    <xf numFmtId="0" fontId="2" fillId="18" borderId="20" xfId="0" applyFont="1" applyFill="1" applyBorder="1"/>
    <xf numFmtId="0" fontId="2" fillId="18" borderId="22" xfId="0" applyFont="1" applyFill="1" applyBorder="1"/>
    <xf numFmtId="0" fontId="2" fillId="18" borderId="25" xfId="0" applyFont="1" applyFill="1" applyBorder="1"/>
    <xf numFmtId="0" fontId="2" fillId="18" borderId="27" xfId="0" applyFont="1" applyFill="1" applyBorder="1"/>
    <xf numFmtId="0" fontId="2" fillId="6" borderId="7" xfId="0" applyFont="1" applyFill="1" applyBorder="1" applyAlignment="1">
      <alignment horizontal="left" vertical="center" wrapText="1"/>
    </xf>
    <xf numFmtId="0" fontId="2" fillId="6" borderId="16" xfId="0" applyFont="1" applyFill="1" applyBorder="1" applyAlignment="1">
      <alignment horizontal="left" vertical="center" wrapText="1"/>
    </xf>
    <xf numFmtId="0" fontId="2" fillId="16" borderId="20" xfId="0" applyFont="1" applyFill="1" applyBorder="1" applyAlignment="1">
      <alignment horizontal="center"/>
    </xf>
    <xf numFmtId="0" fontId="2" fillId="2" borderId="1" xfId="0" applyFont="1" applyFill="1" applyBorder="1" applyAlignment="1">
      <alignment horizontal="center" vertical="center"/>
    </xf>
    <xf numFmtId="0" fontId="2" fillId="2" borderId="1" xfId="0" applyFont="1" applyFill="1" applyBorder="1" applyAlignment="1">
      <alignment horizontal="center"/>
    </xf>
    <xf numFmtId="0" fontId="2" fillId="16" borderId="25" xfId="0" applyFont="1" applyFill="1" applyBorder="1" applyAlignment="1">
      <alignment horizontal="center"/>
    </xf>
    <xf numFmtId="0" fontId="2" fillId="2" borderId="7" xfId="0" applyFont="1" applyFill="1" applyBorder="1" applyAlignment="1">
      <alignment horizontal="center" vertical="center"/>
    </xf>
    <xf numFmtId="0" fontId="2" fillId="16" borderId="1" xfId="0" applyFont="1" applyFill="1" applyBorder="1" applyAlignment="1">
      <alignment horizontal="center"/>
    </xf>
    <xf numFmtId="0" fontId="2" fillId="16" borderId="16" xfId="0" applyFont="1" applyFill="1" applyBorder="1" applyAlignment="1">
      <alignment horizontal="center"/>
    </xf>
    <xf numFmtId="0" fontId="2" fillId="2" borderId="20" xfId="0" applyFont="1" applyFill="1" applyBorder="1" applyAlignment="1">
      <alignment horizontal="center"/>
    </xf>
    <xf numFmtId="0" fontId="2" fillId="16" borderId="7" xfId="0" applyFont="1" applyFill="1" applyBorder="1" applyAlignment="1">
      <alignment horizontal="center"/>
    </xf>
    <xf numFmtId="0" fontId="2" fillId="17" borderId="7" xfId="0" applyFont="1" applyFill="1" applyBorder="1" applyAlignment="1">
      <alignment horizontal="center"/>
    </xf>
    <xf numFmtId="0" fontId="2" fillId="3" borderId="1" xfId="0" applyFont="1" applyFill="1" applyBorder="1" applyAlignment="1">
      <alignment horizontal="center"/>
    </xf>
    <xf numFmtId="0" fontId="2" fillId="17" borderId="20" xfId="0" applyFont="1" applyFill="1" applyBorder="1" applyAlignment="1">
      <alignment horizontal="center"/>
    </xf>
    <xf numFmtId="0" fontId="2" fillId="3" borderId="25" xfId="0" applyFont="1" applyFill="1" applyBorder="1" applyAlignment="1">
      <alignment horizontal="center"/>
    </xf>
    <xf numFmtId="0" fontId="2" fillId="17" borderId="1" xfId="0" applyFont="1" applyFill="1" applyBorder="1" applyAlignment="1">
      <alignment horizontal="center"/>
    </xf>
    <xf numFmtId="0" fontId="2" fillId="3" borderId="16" xfId="0" applyFont="1" applyFill="1" applyBorder="1" applyAlignment="1">
      <alignment horizontal="center"/>
    </xf>
    <xf numFmtId="0" fontId="2" fillId="18" borderId="20" xfId="0" applyFont="1" applyFill="1" applyBorder="1" applyAlignment="1">
      <alignment horizontal="center" vertical="center"/>
    </xf>
    <xf numFmtId="0" fontId="2" fillId="18" borderId="1" xfId="0" applyFont="1" applyFill="1" applyBorder="1" applyAlignment="1">
      <alignment horizontal="center"/>
    </xf>
    <xf numFmtId="0" fontId="2" fillId="4" borderId="25" xfId="0" applyFont="1" applyFill="1" applyBorder="1" applyAlignment="1">
      <alignment horizontal="center"/>
    </xf>
    <xf numFmtId="0" fontId="2" fillId="18" borderId="7" xfId="0" applyFont="1" applyFill="1" applyBorder="1" applyAlignment="1">
      <alignment horizontal="center"/>
    </xf>
    <xf numFmtId="0" fontId="2" fillId="4" borderId="1" xfId="0" applyFont="1" applyFill="1" applyBorder="1" applyAlignment="1">
      <alignment horizontal="center"/>
    </xf>
    <xf numFmtId="0" fontId="2" fillId="18" borderId="1" xfId="0" applyFont="1" applyFill="1" applyBorder="1" applyAlignment="1">
      <alignment horizontal="center" vertical="center"/>
    </xf>
    <xf numFmtId="0" fontId="2" fillId="4" borderId="16" xfId="0" applyFont="1" applyFill="1" applyBorder="1" applyAlignment="1">
      <alignment horizontal="center"/>
    </xf>
    <xf numFmtId="0" fontId="2" fillId="18" borderId="20" xfId="0" applyFont="1" applyFill="1" applyBorder="1" applyAlignment="1">
      <alignment horizontal="center"/>
    </xf>
    <xf numFmtId="0" fontId="2" fillId="4" borderId="1" xfId="0" applyFont="1" applyFill="1" applyBorder="1" applyAlignment="1">
      <alignment horizontal="center" vertical="center"/>
    </xf>
    <xf numFmtId="0" fontId="2" fillId="18" borderId="25" xfId="0" applyFont="1" applyFill="1" applyBorder="1" applyAlignment="1">
      <alignment horizontal="center"/>
    </xf>
    <xf numFmtId="0" fontId="2" fillId="5" borderId="7" xfId="0" applyFont="1" applyFill="1" applyBorder="1" applyAlignment="1">
      <alignment horizontal="center"/>
    </xf>
    <xf numFmtId="0" fontId="2" fillId="19" borderId="1" xfId="0" applyFont="1" applyFill="1" applyBorder="1" applyAlignment="1">
      <alignment horizontal="center"/>
    </xf>
    <xf numFmtId="0" fontId="2" fillId="5" borderId="1" xfId="0" applyFont="1" applyFill="1" applyBorder="1" applyAlignment="1">
      <alignment horizontal="center"/>
    </xf>
    <xf numFmtId="0" fontId="2" fillId="6" borderId="7" xfId="0" applyFont="1" applyFill="1" applyBorder="1" applyAlignment="1">
      <alignment horizontal="center" vertical="center" wrapText="1"/>
    </xf>
    <xf numFmtId="0" fontId="2" fillId="20" borderId="1" xfId="0" applyFont="1" applyFill="1" applyBorder="1" applyAlignment="1">
      <alignment horizontal="center" vertical="center" wrapText="1"/>
    </xf>
    <xf numFmtId="0" fontId="2" fillId="6" borderId="1" xfId="0" applyFont="1" applyFill="1" applyBorder="1" applyAlignment="1">
      <alignment horizontal="center" vertical="center" wrapText="1"/>
    </xf>
    <xf numFmtId="0" fontId="2" fillId="6" borderId="16" xfId="0" applyFont="1" applyFill="1" applyBorder="1" applyAlignment="1">
      <alignment horizontal="center" vertical="center" wrapText="1"/>
    </xf>
    <xf numFmtId="0" fontId="10" fillId="15" borderId="3" xfId="0" applyFont="1" applyFill="1" applyBorder="1" applyAlignment="1">
      <alignment horizontal="center" vertical="center"/>
    </xf>
    <xf numFmtId="0" fontId="10" fillId="15" borderId="0" xfId="0" applyFont="1" applyFill="1" applyBorder="1" applyAlignment="1">
      <alignment horizontal="center" vertical="center"/>
    </xf>
    <xf numFmtId="0" fontId="2" fillId="2" borderId="8" xfId="0" applyFont="1" applyFill="1" applyBorder="1" applyAlignment="1">
      <alignment vertical="center"/>
    </xf>
    <xf numFmtId="165" fontId="0" fillId="10" borderId="20" xfId="1" applyNumberFormat="1" applyFont="1" applyFill="1" applyBorder="1" applyAlignment="1">
      <alignment horizontal="center" vertical="center"/>
    </xf>
    <xf numFmtId="3" fontId="0" fillId="10" borderId="1" xfId="0" applyNumberFormat="1" applyFill="1" applyBorder="1" applyAlignment="1">
      <alignment horizontal="center" vertical="center"/>
    </xf>
    <xf numFmtId="165" fontId="0" fillId="10" borderId="1" xfId="1" applyNumberFormat="1" applyFont="1" applyFill="1" applyBorder="1" applyAlignment="1">
      <alignment horizontal="center" vertical="center"/>
    </xf>
    <xf numFmtId="0" fontId="0" fillId="10" borderId="54" xfId="0" applyFill="1" applyBorder="1" applyAlignment="1">
      <alignment horizontal="center" vertical="center"/>
    </xf>
    <xf numFmtId="0" fontId="1" fillId="10" borderId="39" xfId="0" applyFont="1" applyFill="1" applyBorder="1" applyAlignment="1">
      <alignment horizontal="center" vertical="center"/>
    </xf>
    <xf numFmtId="0" fontId="0" fillId="23" borderId="20" xfId="0" applyFill="1" applyBorder="1" applyAlignment="1"/>
    <xf numFmtId="0" fontId="0" fillId="24" borderId="20" xfId="0" applyFill="1" applyBorder="1" applyAlignment="1"/>
    <xf numFmtId="0" fontId="0" fillId="23" borderId="1" xfId="0" applyFill="1" applyBorder="1" applyAlignment="1"/>
    <xf numFmtId="0" fontId="0" fillId="24" borderId="1" xfId="0" applyFill="1" applyBorder="1" applyAlignment="1"/>
    <xf numFmtId="0" fontId="0" fillId="23" borderId="54" xfId="0" applyFill="1" applyBorder="1" applyAlignment="1"/>
    <xf numFmtId="0" fontId="0" fillId="24" borderId="54" xfId="0" applyFill="1" applyBorder="1" applyAlignment="1"/>
    <xf numFmtId="0" fontId="5" fillId="21" borderId="4" xfId="0" applyFont="1" applyFill="1" applyBorder="1" applyAlignment="1">
      <alignment vertical="center"/>
    </xf>
    <xf numFmtId="0" fontId="5" fillId="21" borderId="5" xfId="0" applyFont="1" applyFill="1" applyBorder="1" applyAlignment="1">
      <alignment vertical="center"/>
    </xf>
    <xf numFmtId="0" fontId="5" fillId="21" borderId="2" xfId="0" applyFont="1" applyFill="1" applyBorder="1" applyAlignment="1">
      <alignment vertical="center"/>
    </xf>
    <xf numFmtId="0" fontId="0" fillId="0" borderId="0" xfId="0" applyAlignment="1">
      <alignment horizontal="center" wrapText="1"/>
    </xf>
    <xf numFmtId="164" fontId="0" fillId="0" borderId="24" xfId="0" applyNumberFormat="1" applyFill="1" applyBorder="1" applyAlignment="1">
      <alignment horizontal="center" vertical="center" wrapText="1"/>
    </xf>
    <xf numFmtId="0" fontId="5" fillId="22" borderId="4" xfId="0" applyFont="1" applyFill="1" applyBorder="1" applyAlignment="1"/>
    <xf numFmtId="0" fontId="5" fillId="22" borderId="5" xfId="0" applyFont="1" applyFill="1" applyBorder="1" applyAlignment="1"/>
    <xf numFmtId="0" fontId="5" fillId="22" borderId="2" xfId="0" applyFont="1" applyFill="1" applyBorder="1" applyAlignment="1"/>
    <xf numFmtId="0" fontId="1" fillId="0" borderId="30" xfId="0" applyFont="1" applyBorder="1" applyAlignment="1">
      <alignment horizontal="center"/>
    </xf>
    <xf numFmtId="0" fontId="0" fillId="0" borderId="30" xfId="0" applyFont="1" applyBorder="1" applyAlignment="1">
      <alignment horizontal="center"/>
    </xf>
    <xf numFmtId="0" fontId="0" fillId="0" borderId="29" xfId="0" applyFont="1" applyBorder="1" applyAlignment="1">
      <alignment horizontal="center"/>
    </xf>
    <xf numFmtId="164" fontId="0" fillId="0" borderId="21" xfId="0" applyNumberFormat="1" applyFont="1" applyBorder="1" applyAlignment="1">
      <alignment horizontal="center" vertical="center" wrapText="1"/>
    </xf>
    <xf numFmtId="164" fontId="0" fillId="0" borderId="21" xfId="0" applyNumberFormat="1" applyFont="1" applyBorder="1" applyAlignment="1">
      <alignment horizontal="center" vertical="center"/>
    </xf>
    <xf numFmtId="164" fontId="0" fillId="0" borderId="3" xfId="0" applyNumberFormat="1" applyFont="1" applyBorder="1" applyAlignment="1">
      <alignment horizontal="center" vertical="center" wrapText="1"/>
    </xf>
    <xf numFmtId="164" fontId="1" fillId="0" borderId="4" xfId="0" applyNumberFormat="1" applyFont="1" applyBorder="1" applyAlignment="1">
      <alignment horizontal="center" vertical="center" wrapText="1"/>
    </xf>
    <xf numFmtId="164" fontId="0" fillId="0" borderId="24" xfId="0" applyNumberFormat="1" applyBorder="1" applyAlignment="1">
      <alignment horizontal="center"/>
    </xf>
    <xf numFmtId="164" fontId="0" fillId="0" borderId="28" xfId="0" applyNumberFormat="1" applyBorder="1" applyAlignment="1">
      <alignment horizontal="center"/>
    </xf>
    <xf numFmtId="164" fontId="0" fillId="0" borderId="58" xfId="0" applyNumberFormat="1" applyFont="1" applyBorder="1" applyAlignment="1">
      <alignment horizontal="center" vertical="center" wrapText="1"/>
    </xf>
    <xf numFmtId="164" fontId="1" fillId="0" borderId="59" xfId="0" applyNumberFormat="1" applyFont="1" applyBorder="1" applyAlignment="1">
      <alignment horizontal="center"/>
    </xf>
    <xf numFmtId="3" fontId="5" fillId="21" borderId="5" xfId="0" applyNumberFormat="1" applyFont="1" applyFill="1" applyBorder="1" applyAlignment="1">
      <alignment vertical="center"/>
    </xf>
    <xf numFmtId="3" fontId="5" fillId="21" borderId="2" xfId="0" applyNumberFormat="1" applyFont="1" applyFill="1" applyBorder="1" applyAlignment="1">
      <alignment vertical="center"/>
    </xf>
    <xf numFmtId="0" fontId="0" fillId="0" borderId="0" xfId="0" applyBorder="1" applyAlignment="1">
      <alignment horizontal="left" vertical="center"/>
    </xf>
    <xf numFmtId="0" fontId="0" fillId="0" borderId="11" xfId="0" applyBorder="1" applyAlignment="1">
      <alignment horizontal="left" vertical="center"/>
    </xf>
    <xf numFmtId="0" fontId="0" fillId="0" borderId="10" xfId="0" applyBorder="1" applyAlignment="1">
      <alignment horizontal="left" vertical="center"/>
    </xf>
    <xf numFmtId="0" fontId="1" fillId="0" borderId="6" xfId="0" applyFont="1" applyBorder="1" applyAlignment="1">
      <alignment horizontal="center" vertical="center"/>
    </xf>
    <xf numFmtId="0" fontId="15" fillId="0" borderId="1" xfId="0" applyFont="1" applyBorder="1"/>
    <xf numFmtId="0" fontId="0" fillId="0" borderId="1" xfId="0" applyBorder="1" applyAlignment="1">
      <alignment horizontal="left" vertical="center"/>
    </xf>
    <xf numFmtId="0" fontId="1" fillId="0" borderId="7" xfId="0" applyFont="1" applyBorder="1" applyAlignment="1">
      <alignment horizontal="center" vertical="center" wrapText="1"/>
    </xf>
    <xf numFmtId="0" fontId="0" fillId="0" borderId="0" xfId="0" applyAlignment="1">
      <alignment horizontal="center"/>
    </xf>
    <xf numFmtId="0" fontId="1" fillId="0" borderId="0" xfId="0" applyFont="1" applyAlignment="1">
      <alignment horizontal="center" vertical="center"/>
    </xf>
    <xf numFmtId="0" fontId="1" fillId="0" borderId="51" xfId="0" applyFont="1" applyBorder="1" applyAlignment="1">
      <alignment horizontal="center" vertical="center"/>
    </xf>
    <xf numFmtId="166" fontId="0" fillId="0" borderId="0" xfId="0" applyNumberFormat="1" applyAlignment="1">
      <alignment horizontal="center"/>
    </xf>
    <xf numFmtId="3" fontId="1" fillId="10" borderId="38" xfId="0" applyNumberFormat="1" applyFont="1" applyFill="1" applyBorder="1" applyAlignment="1">
      <alignment horizontal="center"/>
    </xf>
    <xf numFmtId="0" fontId="1" fillId="10" borderId="41" xfId="0" applyFont="1" applyFill="1" applyBorder="1" applyAlignment="1">
      <alignment horizontal="center" vertical="center"/>
    </xf>
    <xf numFmtId="0" fontId="0" fillId="0" borderId="22" xfId="0" applyBorder="1" applyAlignment="1">
      <alignment horizontal="center"/>
    </xf>
    <xf numFmtId="0" fontId="1" fillId="10" borderId="3" xfId="0" applyFont="1" applyFill="1" applyBorder="1" applyAlignment="1">
      <alignment horizontal="center" vertical="center" wrapText="1"/>
    </xf>
    <xf numFmtId="0" fontId="0" fillId="0" borderId="41" xfId="0" applyBorder="1"/>
    <xf numFmtId="0" fontId="1" fillId="0" borderId="3" xfId="0" applyFont="1" applyFill="1" applyBorder="1" applyAlignment="1">
      <alignment horizontal="center" vertical="center"/>
    </xf>
    <xf numFmtId="0" fontId="0" fillId="0" borderId="39" xfId="0" applyBorder="1" applyAlignment="1"/>
    <xf numFmtId="0" fontId="0" fillId="0" borderId="40" xfId="0" applyBorder="1" applyAlignment="1"/>
    <xf numFmtId="0" fontId="1" fillId="0" borderId="10" xfId="0" applyFont="1" applyBorder="1" applyAlignment="1">
      <alignment horizontal="center" vertical="center"/>
    </xf>
    <xf numFmtId="0" fontId="1" fillId="0" borderId="0" xfId="0" applyFont="1" applyBorder="1" applyAlignment="1">
      <alignment horizontal="center" vertical="center"/>
    </xf>
    <xf numFmtId="0" fontId="0" fillId="0" borderId="0" xfId="0" applyBorder="1" applyAlignment="1">
      <alignment horizontal="center"/>
    </xf>
    <xf numFmtId="1" fontId="0" fillId="0" borderId="1" xfId="0" applyNumberFormat="1" applyFont="1" applyBorder="1" applyAlignment="1">
      <alignment horizontal="center" vertical="center" wrapText="1"/>
    </xf>
    <xf numFmtId="1" fontId="0" fillId="0" borderId="20" xfId="0" applyNumberFormat="1" applyFont="1" applyBorder="1" applyAlignment="1">
      <alignment horizontal="center" vertical="center" wrapText="1"/>
    </xf>
    <xf numFmtId="1" fontId="0" fillId="0" borderId="12" xfId="0" applyNumberFormat="1" applyFont="1" applyBorder="1" applyAlignment="1">
      <alignment horizontal="center" vertical="center" wrapText="1"/>
    </xf>
    <xf numFmtId="164" fontId="0" fillId="0" borderId="10" xfId="0" applyNumberFormat="1" applyBorder="1" applyAlignment="1">
      <alignment horizontal="center" vertical="center" wrapText="1"/>
    </xf>
    <xf numFmtId="164" fontId="0" fillId="0" borderId="30" xfId="0" applyNumberFormat="1" applyFont="1" applyBorder="1" applyAlignment="1">
      <alignment horizontal="center" vertical="center" wrapText="1"/>
    </xf>
    <xf numFmtId="164" fontId="0" fillId="0" borderId="21" xfId="0" applyNumberFormat="1" applyBorder="1" applyAlignment="1">
      <alignment horizontal="center"/>
    </xf>
    <xf numFmtId="0" fontId="0" fillId="0" borderId="20" xfId="0" applyFont="1" applyBorder="1" applyAlignment="1">
      <alignment horizontal="center"/>
    </xf>
    <xf numFmtId="0" fontId="0" fillId="0" borderId="22" xfId="0" applyFont="1" applyBorder="1" applyAlignment="1">
      <alignment horizontal="center"/>
    </xf>
    <xf numFmtId="0" fontId="0" fillId="0" borderId="1" xfId="0" applyFont="1" applyBorder="1" applyAlignment="1">
      <alignment horizontal="center"/>
    </xf>
    <xf numFmtId="0" fontId="0" fillId="0" borderId="12" xfId="0" applyFont="1" applyBorder="1" applyAlignment="1">
      <alignment horizontal="center"/>
    </xf>
    <xf numFmtId="0" fontId="0" fillId="0" borderId="25" xfId="0" applyFont="1" applyBorder="1" applyAlignment="1">
      <alignment horizontal="center"/>
    </xf>
    <xf numFmtId="0" fontId="0" fillId="0" borderId="27" xfId="0" applyFont="1" applyBorder="1" applyAlignment="1">
      <alignment horizontal="center"/>
    </xf>
    <xf numFmtId="3" fontId="0" fillId="0" borderId="20" xfId="0" applyNumberFormat="1" applyFont="1" applyBorder="1" applyAlignment="1">
      <alignment horizontal="center" vertical="center" wrapText="1"/>
    </xf>
    <xf numFmtId="3" fontId="0" fillId="0" borderId="22" xfId="0" applyNumberFormat="1" applyFont="1" applyBorder="1" applyAlignment="1">
      <alignment horizontal="center" vertical="center" wrapText="1"/>
    </xf>
    <xf numFmtId="3" fontId="0" fillId="0" borderId="25" xfId="0" applyNumberFormat="1" applyFont="1" applyBorder="1" applyAlignment="1">
      <alignment horizontal="center" vertical="center" wrapText="1"/>
    </xf>
    <xf numFmtId="3" fontId="0" fillId="0" borderId="27" xfId="0" applyNumberFormat="1" applyFont="1" applyBorder="1" applyAlignment="1">
      <alignment horizontal="center" vertical="center" wrapText="1"/>
    </xf>
    <xf numFmtId="164" fontId="1" fillId="0" borderId="29" xfId="0" applyNumberFormat="1" applyFont="1" applyBorder="1" applyAlignment="1">
      <alignment horizontal="center" vertical="center" wrapText="1"/>
    </xf>
    <xf numFmtId="0" fontId="0" fillId="0" borderId="9" xfId="0" applyFont="1" applyBorder="1" applyAlignment="1">
      <alignment horizontal="center"/>
    </xf>
    <xf numFmtId="0" fontId="0" fillId="0" borderId="55" xfId="0" applyFont="1" applyBorder="1" applyAlignment="1">
      <alignment horizontal="center"/>
    </xf>
    <xf numFmtId="164" fontId="1" fillId="0" borderId="30" xfId="0" applyNumberFormat="1" applyFont="1" applyBorder="1" applyAlignment="1">
      <alignment horizontal="center" vertical="center" wrapText="1"/>
    </xf>
    <xf numFmtId="166" fontId="1" fillId="0" borderId="1" xfId="0" applyNumberFormat="1" applyFont="1" applyBorder="1" applyAlignment="1">
      <alignment horizontal="center"/>
    </xf>
    <xf numFmtId="0" fontId="0" fillId="0" borderId="0" xfId="0" applyAlignment="1">
      <alignment horizontal="center"/>
    </xf>
    <xf numFmtId="0" fontId="1" fillId="0" borderId="1" xfId="0" applyFont="1" applyBorder="1" applyAlignment="1">
      <alignment horizont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166" fontId="1" fillId="0" borderId="5" xfId="0" applyNumberFormat="1" applyFont="1" applyBorder="1" applyAlignment="1">
      <alignment horizontal="center" vertical="center"/>
    </xf>
    <xf numFmtId="164" fontId="1" fillId="0" borderId="5" xfId="0" applyNumberFormat="1" applyFont="1" applyBorder="1" applyAlignment="1">
      <alignment horizontal="center" vertical="center"/>
    </xf>
    <xf numFmtId="0" fontId="1" fillId="0" borderId="5" xfId="0" applyFont="1" applyBorder="1" applyAlignment="1">
      <alignment horizontal="center" vertical="center"/>
    </xf>
    <xf numFmtId="3" fontId="5" fillId="21" borderId="4" xfId="0" applyNumberFormat="1" applyFont="1" applyFill="1" applyBorder="1" applyAlignment="1">
      <alignment vertical="center"/>
    </xf>
    <xf numFmtId="0" fontId="0" fillId="0" borderId="0" xfId="0" applyAlignment="1">
      <alignment horizontal="center"/>
    </xf>
    <xf numFmtId="0" fontId="12" fillId="0" borderId="0" xfId="0" applyFont="1" applyAlignment="1">
      <alignment horizontal="center" vertical="center"/>
    </xf>
    <xf numFmtId="0" fontId="16" fillId="0" borderId="1" xfId="0" applyFont="1" applyBorder="1" applyAlignment="1">
      <alignment horizontal="center" vertical="center"/>
    </xf>
    <xf numFmtId="0" fontId="5" fillId="22" borderId="4" xfId="0" applyFont="1" applyFill="1" applyBorder="1" applyAlignment="1">
      <alignment wrapText="1"/>
    </xf>
    <xf numFmtId="0" fontId="5" fillId="22" borderId="5" xfId="0" applyFont="1" applyFill="1" applyBorder="1" applyAlignment="1">
      <alignment wrapText="1"/>
    </xf>
    <xf numFmtId="0" fontId="5" fillId="22" borderId="2" xfId="0" applyFont="1" applyFill="1" applyBorder="1" applyAlignment="1">
      <alignment wrapText="1"/>
    </xf>
    <xf numFmtId="164" fontId="0" fillId="0" borderId="62" xfId="0" applyNumberFormat="1" applyBorder="1" applyAlignment="1">
      <alignment horizontal="center" vertical="center" wrapText="1"/>
    </xf>
    <xf numFmtId="164" fontId="0" fillId="0" borderId="46" xfId="0" applyNumberFormat="1" applyBorder="1" applyAlignment="1">
      <alignment horizontal="center" vertical="center" wrapText="1"/>
    </xf>
    <xf numFmtId="164" fontId="0" fillId="0" borderId="31" xfId="0" applyNumberFormat="1" applyFont="1" applyBorder="1" applyAlignment="1">
      <alignment horizontal="center" vertical="center" wrapText="1"/>
    </xf>
    <xf numFmtId="0" fontId="5" fillId="22" borderId="4" xfId="0" applyFont="1" applyFill="1" applyBorder="1" applyAlignment="1">
      <alignment vertical="center" wrapText="1"/>
    </xf>
    <xf numFmtId="0" fontId="5" fillId="22" borderId="5" xfId="0" applyFont="1" applyFill="1" applyBorder="1" applyAlignment="1">
      <alignment vertical="center" wrapText="1"/>
    </xf>
    <xf numFmtId="0" fontId="5" fillId="22" borderId="2" xfId="0" applyFont="1" applyFill="1" applyBorder="1" applyAlignment="1">
      <alignment vertical="center" wrapText="1"/>
    </xf>
    <xf numFmtId="0" fontId="5" fillId="22" borderId="4" xfId="0" applyFont="1" applyFill="1" applyBorder="1" applyAlignment="1">
      <alignment vertical="center"/>
    </xf>
    <xf numFmtId="0" fontId="0" fillId="0" borderId="45" xfId="0" applyFont="1" applyBorder="1" applyAlignment="1">
      <alignment horizontal="center"/>
    </xf>
    <xf numFmtId="0" fontId="0" fillId="0" borderId="11" xfId="0" applyFont="1" applyBorder="1" applyAlignment="1">
      <alignment horizontal="center"/>
    </xf>
    <xf numFmtId="0" fontId="0" fillId="0" borderId="26" xfId="0" applyFont="1" applyBorder="1" applyAlignment="1">
      <alignment horizontal="center"/>
    </xf>
    <xf numFmtId="164" fontId="0" fillId="0" borderId="62" xfId="0" applyNumberFormat="1" applyBorder="1" applyAlignment="1">
      <alignment horizontal="center"/>
    </xf>
    <xf numFmtId="164" fontId="0" fillId="0" borderId="46" xfId="0" applyNumberFormat="1" applyBorder="1" applyAlignment="1">
      <alignment horizontal="center"/>
    </xf>
    <xf numFmtId="164" fontId="1" fillId="0" borderId="30" xfId="0" applyNumberFormat="1" applyFont="1" applyBorder="1" applyAlignment="1">
      <alignment horizontal="center"/>
    </xf>
    <xf numFmtId="164" fontId="0" fillId="0" borderId="29" xfId="0" applyNumberFormat="1" applyFont="1" applyBorder="1" applyAlignment="1">
      <alignment horizontal="center" vertical="center" wrapText="1"/>
    </xf>
    <xf numFmtId="3" fontId="1" fillId="10" borderId="39" xfId="0" applyNumberFormat="1" applyFont="1" applyFill="1" applyBorder="1" applyAlignment="1">
      <alignment horizontal="center" wrapText="1"/>
    </xf>
    <xf numFmtId="3" fontId="1" fillId="10" borderId="61" xfId="0" applyNumberFormat="1" applyFont="1" applyFill="1" applyBorder="1" applyAlignment="1">
      <alignment horizontal="center" vertical="center" wrapText="1"/>
    </xf>
    <xf numFmtId="3" fontId="1" fillId="10" borderId="40" xfId="0" applyNumberFormat="1" applyFont="1" applyFill="1" applyBorder="1" applyAlignment="1">
      <alignment horizontal="center" wrapText="1"/>
    </xf>
    <xf numFmtId="3" fontId="1" fillId="10" borderId="40" xfId="0" applyNumberFormat="1" applyFont="1" applyFill="1" applyBorder="1" applyAlignment="1">
      <alignment horizontal="center" vertical="center" wrapText="1"/>
    </xf>
    <xf numFmtId="0" fontId="1" fillId="10" borderId="49" xfId="0" applyFont="1" applyFill="1" applyBorder="1" applyAlignment="1">
      <alignment horizontal="center" wrapText="1"/>
    </xf>
    <xf numFmtId="3" fontId="1" fillId="10" borderId="50" xfId="0" applyNumberFormat="1" applyFont="1" applyFill="1" applyBorder="1" applyAlignment="1">
      <alignment horizontal="center" vertical="center" wrapText="1"/>
    </xf>
    <xf numFmtId="3" fontId="1" fillId="10" borderId="57" xfId="0" applyNumberFormat="1" applyFont="1" applyFill="1" applyBorder="1" applyAlignment="1">
      <alignment horizontal="center" vertical="center" wrapText="1"/>
    </xf>
    <xf numFmtId="3" fontId="1" fillId="10" borderId="3" xfId="0" applyNumberFormat="1" applyFont="1" applyFill="1" applyBorder="1" applyAlignment="1">
      <alignment horizontal="center" vertical="center" wrapText="1"/>
    </xf>
    <xf numFmtId="3" fontId="1" fillId="10" borderId="41" xfId="0" applyNumberFormat="1" applyFont="1" applyFill="1" applyBorder="1" applyAlignment="1">
      <alignment horizontal="center" wrapText="1"/>
    </xf>
    <xf numFmtId="3" fontId="1" fillId="10" borderId="49" xfId="0" applyNumberFormat="1" applyFont="1" applyFill="1" applyBorder="1" applyAlignment="1">
      <alignment horizontal="center" vertical="center" wrapText="1"/>
    </xf>
    <xf numFmtId="3" fontId="1" fillId="10" borderId="2" xfId="0" applyNumberFormat="1" applyFont="1" applyFill="1" applyBorder="1" applyAlignment="1">
      <alignment horizontal="center" vertical="center" wrapText="1"/>
    </xf>
    <xf numFmtId="0" fontId="1" fillId="10" borderId="53" xfId="0" applyFont="1" applyFill="1" applyBorder="1" applyAlignment="1">
      <alignment horizontal="center" vertical="center"/>
    </xf>
    <xf numFmtId="1" fontId="0" fillId="0" borderId="22" xfId="0" applyNumberFormat="1" applyFont="1" applyBorder="1" applyAlignment="1">
      <alignment horizontal="center" vertical="center" wrapText="1"/>
    </xf>
    <xf numFmtId="164" fontId="0" fillId="0" borderId="28" xfId="0" applyNumberFormat="1" applyFill="1" applyBorder="1" applyAlignment="1">
      <alignment horizontal="center" vertical="center" wrapText="1"/>
    </xf>
    <xf numFmtId="1" fontId="0" fillId="0" borderId="25" xfId="0" applyNumberFormat="1" applyFont="1" applyBorder="1" applyAlignment="1">
      <alignment horizontal="center" vertical="center" wrapText="1"/>
    </xf>
    <xf numFmtId="1" fontId="0" fillId="0" borderId="27" xfId="0" applyNumberFormat="1" applyFont="1" applyBorder="1" applyAlignment="1">
      <alignment horizontal="center" vertical="center" wrapText="1"/>
    </xf>
    <xf numFmtId="0" fontId="1" fillId="10" borderId="4" xfId="0" applyFont="1" applyFill="1" applyBorder="1" applyAlignment="1">
      <alignment horizontal="center"/>
    </xf>
    <xf numFmtId="1" fontId="1" fillId="10" borderId="3" xfId="0" applyNumberFormat="1" applyFont="1" applyFill="1" applyBorder="1" applyAlignment="1">
      <alignment horizontal="center"/>
    </xf>
    <xf numFmtId="0" fontId="1" fillId="0" borderId="1" xfId="0" applyFont="1" applyBorder="1" applyAlignment="1">
      <alignment horizontal="center"/>
    </xf>
    <xf numFmtId="164" fontId="0" fillId="0" borderId="62" xfId="0" applyNumberFormat="1" applyFont="1" applyBorder="1" applyAlignment="1">
      <alignment horizontal="center" vertical="center" wrapText="1"/>
    </xf>
    <xf numFmtId="0" fontId="18" fillId="7" borderId="29" xfId="0" applyFont="1" applyFill="1" applyBorder="1" applyAlignment="1">
      <alignment horizontal="center" vertical="center" wrapText="1"/>
    </xf>
    <xf numFmtId="0" fontId="18" fillId="7" borderId="3" xfId="0" applyFont="1" applyFill="1" applyBorder="1" applyAlignment="1">
      <alignment horizontal="center" vertical="center" wrapText="1"/>
    </xf>
    <xf numFmtId="0" fontId="18" fillId="8" borderId="0" xfId="0" applyFont="1" applyFill="1" applyBorder="1" applyAlignment="1">
      <alignment horizontal="center" vertical="center" wrapText="1"/>
    </xf>
    <xf numFmtId="0" fontId="1" fillId="7" borderId="3" xfId="0" applyFont="1" applyFill="1" applyBorder="1" applyAlignment="1">
      <alignment horizontal="center" vertical="center" wrapText="1"/>
    </xf>
    <xf numFmtId="0" fontId="1" fillId="0" borderId="1" xfId="0" applyFont="1" applyBorder="1" applyAlignment="1">
      <alignment horizontal="center"/>
    </xf>
    <xf numFmtId="0" fontId="0" fillId="0" borderId="0" xfId="0" applyBorder="1"/>
    <xf numFmtId="0" fontId="1" fillId="10" borderId="29" xfId="0" applyFont="1" applyFill="1" applyBorder="1" applyAlignment="1">
      <alignment horizontal="center"/>
    </xf>
    <xf numFmtId="0" fontId="0" fillId="0" borderId="0" xfId="0" applyFont="1" applyAlignment="1">
      <alignment wrapText="1"/>
    </xf>
    <xf numFmtId="164" fontId="0" fillId="0" borderId="24" xfId="0" applyNumberFormat="1" applyFont="1" applyBorder="1" applyAlignment="1">
      <alignment horizontal="center" vertical="center" wrapText="1"/>
    </xf>
    <xf numFmtId="164" fontId="0" fillId="0" borderId="24" xfId="0" applyNumberFormat="1" applyFont="1" applyBorder="1" applyAlignment="1">
      <alignment horizontal="center"/>
    </xf>
    <xf numFmtId="0" fontId="0" fillId="0" borderId="11" xfId="0" applyBorder="1" applyAlignment="1">
      <alignment horizontal="center"/>
    </xf>
    <xf numFmtId="0" fontId="1" fillId="10" borderId="3" xfId="0" applyFont="1" applyFill="1" applyBorder="1" applyAlignment="1">
      <alignment horizontal="center"/>
    </xf>
    <xf numFmtId="0" fontId="1" fillId="10" borderId="39" xfId="0" applyFont="1" applyFill="1" applyBorder="1" applyAlignment="1">
      <alignment horizontal="center"/>
    </xf>
    <xf numFmtId="0" fontId="1" fillId="10" borderId="40" xfId="0" applyFont="1" applyFill="1" applyBorder="1" applyAlignment="1">
      <alignment horizontal="center"/>
    </xf>
    <xf numFmtId="0" fontId="1" fillId="10" borderId="41" xfId="0" applyFont="1" applyFill="1" applyBorder="1" applyAlignment="1">
      <alignment horizontal="center"/>
    </xf>
    <xf numFmtId="0" fontId="1" fillId="10" borderId="49" xfId="0" applyFont="1" applyFill="1" applyBorder="1" applyAlignment="1">
      <alignment horizontal="center"/>
    </xf>
    <xf numFmtId="0" fontId="1" fillId="10" borderId="66" xfId="0" applyFont="1" applyFill="1" applyBorder="1" applyAlignment="1">
      <alignment horizontal="center"/>
    </xf>
    <xf numFmtId="0" fontId="1" fillId="10" borderId="2" xfId="0" applyFont="1" applyFill="1" applyBorder="1" applyAlignment="1">
      <alignment horizontal="center"/>
    </xf>
    <xf numFmtId="0" fontId="1" fillId="27" borderId="21" xfId="0" applyFont="1" applyFill="1" applyBorder="1" applyAlignment="1">
      <alignment horizontal="center" vertical="center"/>
    </xf>
    <xf numFmtId="0" fontId="1" fillId="27" borderId="22" xfId="0" applyFont="1" applyFill="1" applyBorder="1" applyAlignment="1">
      <alignment horizontal="center" vertical="center"/>
    </xf>
    <xf numFmtId="0" fontId="1" fillId="27" borderId="24" xfId="0" applyFont="1" applyFill="1" applyBorder="1" applyAlignment="1">
      <alignment horizontal="center" vertical="center"/>
    </xf>
    <xf numFmtId="0" fontId="1" fillId="27" borderId="12" xfId="0" applyFont="1" applyFill="1" applyBorder="1" applyAlignment="1">
      <alignment horizontal="center" vertical="center"/>
    </xf>
    <xf numFmtId="0" fontId="1" fillId="27" borderId="28" xfId="0" applyFont="1" applyFill="1" applyBorder="1" applyAlignment="1">
      <alignment horizontal="center" vertical="center"/>
    </xf>
    <xf numFmtId="0" fontId="1" fillId="27" borderId="27" xfId="0" applyFont="1" applyFill="1" applyBorder="1" applyAlignment="1">
      <alignment horizontal="center" vertical="center"/>
    </xf>
    <xf numFmtId="0" fontId="0" fillId="27" borderId="64" xfId="0" applyFill="1" applyBorder="1" applyAlignment="1">
      <alignment horizontal="center" vertical="center"/>
    </xf>
    <xf numFmtId="0" fontId="0" fillId="27" borderId="39" xfId="0" applyFill="1" applyBorder="1" applyAlignment="1">
      <alignment horizontal="center" vertical="center"/>
    </xf>
    <xf numFmtId="0" fontId="0" fillId="27" borderId="65" xfId="0" applyFill="1" applyBorder="1" applyAlignment="1">
      <alignment horizontal="center" vertical="center"/>
    </xf>
    <xf numFmtId="0" fontId="0" fillId="27" borderId="18" xfId="0" applyFill="1" applyBorder="1" applyAlignment="1">
      <alignment horizontal="center" vertical="center"/>
    </xf>
    <xf numFmtId="0" fontId="0" fillId="27" borderId="41" xfId="0" applyFill="1" applyBorder="1" applyAlignment="1">
      <alignment horizontal="center" vertical="center"/>
    </xf>
    <xf numFmtId="0" fontId="0" fillId="27" borderId="46" xfId="0" applyFill="1" applyBorder="1" applyAlignment="1">
      <alignment horizontal="center" vertical="center"/>
    </xf>
    <xf numFmtId="0" fontId="1" fillId="27" borderId="43" xfId="0" applyFont="1" applyFill="1" applyBorder="1" applyAlignment="1">
      <alignment horizontal="center"/>
    </xf>
    <xf numFmtId="0" fontId="0" fillId="27" borderId="21" xfId="0" applyFill="1" applyBorder="1"/>
    <xf numFmtId="0" fontId="0" fillId="27" borderId="20" xfId="0" applyFill="1" applyBorder="1" applyAlignment="1">
      <alignment horizontal="center"/>
    </xf>
    <xf numFmtId="0" fontId="0" fillId="27" borderId="45" xfId="0" applyFill="1" applyBorder="1" applyAlignment="1">
      <alignment horizontal="center"/>
    </xf>
    <xf numFmtId="0" fontId="0" fillId="27" borderId="24" xfId="0" applyFill="1" applyBorder="1"/>
    <xf numFmtId="0" fontId="0" fillId="27" borderId="1" xfId="0" applyFill="1" applyBorder="1" applyAlignment="1">
      <alignment horizontal="center"/>
    </xf>
    <xf numFmtId="0" fontId="0" fillId="27" borderId="11" xfId="0" applyFill="1" applyBorder="1" applyAlignment="1">
      <alignment horizontal="center"/>
    </xf>
    <xf numFmtId="0" fontId="0" fillId="27" borderId="28" xfId="0" applyFill="1" applyBorder="1"/>
    <xf numFmtId="0" fontId="0" fillId="27" borderId="25" xfId="0" applyFill="1" applyBorder="1" applyAlignment="1">
      <alignment horizontal="center"/>
    </xf>
    <xf numFmtId="0" fontId="0" fillId="27" borderId="26" xfId="0" applyFill="1" applyBorder="1" applyAlignment="1">
      <alignment horizontal="center"/>
    </xf>
    <xf numFmtId="0" fontId="1" fillId="27" borderId="45" xfId="0" applyFont="1" applyFill="1" applyBorder="1" applyAlignment="1">
      <alignment horizontal="center" vertical="center"/>
    </xf>
    <xf numFmtId="0" fontId="1" fillId="27" borderId="11" xfId="0" applyFont="1" applyFill="1" applyBorder="1" applyAlignment="1">
      <alignment horizontal="center" vertical="center"/>
    </xf>
    <xf numFmtId="0" fontId="1" fillId="27" borderId="26" xfId="0" applyFont="1" applyFill="1" applyBorder="1" applyAlignment="1">
      <alignment horizontal="center" vertical="center"/>
    </xf>
    <xf numFmtId="0" fontId="0" fillId="0" borderId="0" xfId="0" applyFont="1" applyBorder="1"/>
    <xf numFmtId="0" fontId="1" fillId="27" borderId="3" xfId="0" applyFont="1" applyFill="1" applyBorder="1" applyAlignment="1">
      <alignment horizontal="center" vertical="center" wrapText="1"/>
    </xf>
    <xf numFmtId="0" fontId="1" fillId="27" borderId="2" xfId="0" applyFont="1" applyFill="1" applyBorder="1" applyAlignment="1">
      <alignment horizontal="center" vertical="center" wrapText="1"/>
    </xf>
    <xf numFmtId="0" fontId="0" fillId="27" borderId="23" xfId="0" applyFill="1" applyBorder="1" applyAlignment="1">
      <alignment vertical="center" wrapText="1"/>
    </xf>
    <xf numFmtId="3" fontId="0" fillId="27" borderId="7" xfId="0" applyNumberFormat="1" applyFill="1" applyBorder="1" applyAlignment="1">
      <alignment horizontal="center" vertical="center" wrapText="1"/>
    </xf>
    <xf numFmtId="0" fontId="0" fillId="27" borderId="24" xfId="0" applyFill="1" applyBorder="1" applyAlignment="1">
      <alignment vertical="center" wrapText="1"/>
    </xf>
    <xf numFmtId="0" fontId="0" fillId="27" borderId="24" xfId="0" applyFont="1" applyFill="1" applyBorder="1" applyAlignment="1">
      <alignment vertical="center" wrapText="1"/>
    </xf>
    <xf numFmtId="3" fontId="0" fillId="27" borderId="7" xfId="0" applyNumberFormat="1" applyFont="1" applyFill="1" applyBorder="1" applyAlignment="1">
      <alignment horizontal="center" vertical="center" wrapText="1"/>
    </xf>
    <xf numFmtId="0" fontId="0" fillId="27" borderId="33" xfId="0" applyFill="1" applyBorder="1" applyAlignment="1">
      <alignment vertical="center" wrapText="1"/>
    </xf>
    <xf numFmtId="0" fontId="1" fillId="27" borderId="49" xfId="0" applyFont="1" applyFill="1" applyBorder="1" applyAlignment="1">
      <alignment horizontal="center" vertical="center" wrapText="1"/>
    </xf>
    <xf numFmtId="0" fontId="1" fillId="27" borderId="50" xfId="0" applyFont="1" applyFill="1" applyBorder="1" applyAlignment="1">
      <alignment horizontal="center" vertical="center" wrapText="1"/>
    </xf>
    <xf numFmtId="0" fontId="1" fillId="27" borderId="57" xfId="0" applyFont="1" applyFill="1" applyBorder="1" applyAlignment="1">
      <alignment horizontal="center" vertical="center" wrapText="1"/>
    </xf>
    <xf numFmtId="0" fontId="0" fillId="27" borderId="23" xfId="0" applyFill="1" applyBorder="1" applyAlignment="1">
      <alignment horizontal="center" wrapText="1"/>
    </xf>
    <xf numFmtId="0" fontId="0" fillId="27" borderId="24" xfId="0" applyFill="1" applyBorder="1" applyAlignment="1">
      <alignment horizontal="center" wrapText="1"/>
    </xf>
    <xf numFmtId="0" fontId="0" fillId="27" borderId="33" xfId="0" applyFont="1" applyFill="1" applyBorder="1" applyAlignment="1">
      <alignment horizontal="center" wrapText="1"/>
    </xf>
    <xf numFmtId="0" fontId="5" fillId="27" borderId="29" xfId="0" applyFont="1" applyFill="1" applyBorder="1" applyAlignment="1"/>
    <xf numFmtId="164" fontId="5" fillId="27" borderId="29" xfId="0" applyNumberFormat="1" applyFont="1" applyFill="1" applyBorder="1" applyAlignment="1">
      <alignment horizontal="center" vertical="center" wrapText="1"/>
    </xf>
    <xf numFmtId="0" fontId="0" fillId="27" borderId="32" xfId="0" applyNumberFormat="1" applyFill="1" applyBorder="1" applyAlignment="1">
      <alignment horizontal="center" vertical="center" wrapText="1"/>
    </xf>
    <xf numFmtId="0" fontId="5" fillId="27" borderId="32" xfId="0" applyFont="1" applyFill="1" applyBorder="1" applyAlignment="1">
      <alignment horizontal="center" vertical="center" wrapText="1"/>
    </xf>
    <xf numFmtId="0" fontId="0" fillId="27" borderId="32" xfId="0" applyFill="1" applyBorder="1" applyAlignment="1">
      <alignment horizontal="center" vertical="center" wrapText="1"/>
    </xf>
    <xf numFmtId="164" fontId="0" fillId="27" borderId="20" xfId="0" applyNumberFormat="1" applyFill="1" applyBorder="1" applyAlignment="1">
      <alignment horizontal="center" vertical="center" wrapText="1"/>
    </xf>
    <xf numFmtId="3" fontId="0" fillId="27" borderId="20" xfId="0" applyNumberFormat="1" applyFill="1" applyBorder="1" applyAlignment="1">
      <alignment horizontal="center" vertical="center" wrapText="1"/>
    </xf>
    <xf numFmtId="3" fontId="0" fillId="27" borderId="22" xfId="0" applyNumberFormat="1" applyFill="1" applyBorder="1" applyAlignment="1">
      <alignment horizontal="center" vertical="center" wrapText="1"/>
    </xf>
    <xf numFmtId="164" fontId="0" fillId="27" borderId="1" xfId="0" applyNumberFormat="1" applyFill="1" applyBorder="1" applyAlignment="1">
      <alignment horizontal="center" vertical="center" wrapText="1"/>
    </xf>
    <xf numFmtId="3" fontId="0" fillId="27" borderId="1" xfId="0" applyNumberFormat="1" applyFill="1" applyBorder="1" applyAlignment="1">
      <alignment horizontal="center" vertical="center" wrapText="1"/>
    </xf>
    <xf numFmtId="3" fontId="0" fillId="27" borderId="12" xfId="0" applyNumberFormat="1" applyFill="1" applyBorder="1" applyAlignment="1">
      <alignment horizontal="center" vertical="center" wrapText="1"/>
    </xf>
    <xf numFmtId="164" fontId="0" fillId="27" borderId="1" xfId="0" applyNumberFormat="1" applyFont="1" applyFill="1" applyBorder="1" applyAlignment="1">
      <alignment horizontal="center" vertical="center" wrapText="1"/>
    </xf>
    <xf numFmtId="3" fontId="0" fillId="27" borderId="1" xfId="0" applyNumberFormat="1" applyFont="1" applyFill="1" applyBorder="1" applyAlignment="1">
      <alignment horizontal="center" vertical="center" wrapText="1"/>
    </xf>
    <xf numFmtId="3" fontId="0" fillId="27" borderId="12" xfId="0" applyNumberFormat="1" applyFont="1" applyFill="1" applyBorder="1" applyAlignment="1">
      <alignment horizontal="center" vertical="center" wrapText="1"/>
    </xf>
    <xf numFmtId="164" fontId="0" fillId="27" borderId="25" xfId="0" applyNumberFormat="1" applyFill="1" applyBorder="1" applyAlignment="1">
      <alignment horizontal="center" vertical="center" wrapText="1"/>
    </xf>
    <xf numFmtId="3" fontId="0" fillId="27" borderId="25" xfId="0" applyNumberFormat="1" applyFill="1" applyBorder="1" applyAlignment="1">
      <alignment horizontal="center"/>
    </xf>
    <xf numFmtId="3" fontId="0" fillId="27" borderId="27" xfId="0" applyNumberFormat="1" applyFill="1" applyBorder="1" applyAlignment="1">
      <alignment horizontal="center"/>
    </xf>
    <xf numFmtId="3" fontId="0" fillId="27" borderId="1" xfId="0" applyNumberFormat="1" applyFill="1" applyBorder="1" applyAlignment="1">
      <alignment horizontal="center"/>
    </xf>
    <xf numFmtId="3" fontId="0" fillId="27" borderId="12" xfId="0" applyNumberFormat="1" applyFill="1" applyBorder="1" applyAlignment="1">
      <alignment horizontal="center"/>
    </xf>
    <xf numFmtId="0" fontId="1" fillId="27" borderId="33" xfId="0" applyFont="1" applyFill="1" applyBorder="1" applyAlignment="1">
      <alignment horizontal="center" vertical="center"/>
    </xf>
    <xf numFmtId="164" fontId="0" fillId="27" borderId="16" xfId="0" applyNumberFormat="1" applyFill="1" applyBorder="1" applyAlignment="1">
      <alignment horizontal="center" vertical="center" wrapText="1"/>
    </xf>
    <xf numFmtId="3" fontId="0" fillId="27" borderId="16" xfId="0" applyNumberFormat="1" applyFill="1" applyBorder="1" applyAlignment="1">
      <alignment horizontal="center"/>
    </xf>
    <xf numFmtId="3" fontId="0" fillId="27" borderId="17" xfId="0" applyNumberFormat="1" applyFill="1" applyBorder="1" applyAlignment="1">
      <alignment horizontal="center"/>
    </xf>
    <xf numFmtId="0" fontId="5" fillId="27" borderId="29" xfId="0" applyFont="1" applyFill="1" applyBorder="1" applyAlignment="1">
      <alignment horizontal="center"/>
    </xf>
    <xf numFmtId="3" fontId="0" fillId="27" borderId="32" xfId="0" applyNumberFormat="1" applyFill="1" applyBorder="1" applyAlignment="1">
      <alignment horizontal="center" vertical="center" wrapText="1"/>
    </xf>
    <xf numFmtId="164" fontId="0" fillId="27" borderId="21" xfId="0" applyNumberFormat="1" applyFill="1" applyBorder="1" applyAlignment="1">
      <alignment horizontal="center" vertical="center" wrapText="1"/>
    </xf>
    <xf numFmtId="164" fontId="0" fillId="27" borderId="24" xfId="0" applyNumberFormat="1" applyFill="1" applyBorder="1" applyAlignment="1">
      <alignment horizontal="center" vertical="center" wrapText="1"/>
    </xf>
    <xf numFmtId="164" fontId="0" fillId="27" borderId="28" xfId="0" applyNumberFormat="1" applyFill="1" applyBorder="1" applyAlignment="1">
      <alignment horizontal="center" vertical="center" wrapText="1"/>
    </xf>
    <xf numFmtId="3" fontId="0" fillId="27" borderId="25" xfId="0" applyNumberFormat="1" applyFill="1" applyBorder="1" applyAlignment="1">
      <alignment horizontal="center" vertical="center" wrapText="1"/>
    </xf>
    <xf numFmtId="3" fontId="0" fillId="27" borderId="27" xfId="0" applyNumberFormat="1" applyFill="1" applyBorder="1" applyAlignment="1">
      <alignment horizontal="center" vertical="center" wrapText="1"/>
    </xf>
    <xf numFmtId="164" fontId="5" fillId="27" borderId="50" xfId="0" applyNumberFormat="1" applyFont="1" applyFill="1" applyBorder="1" applyAlignment="1">
      <alignment horizontal="center" vertical="center" wrapText="1"/>
    </xf>
    <xf numFmtId="0" fontId="0" fillId="27" borderId="51" xfId="0" applyFill="1" applyBorder="1" applyAlignment="1">
      <alignment horizontal="center" vertical="center" wrapText="1"/>
    </xf>
    <xf numFmtId="164" fontId="0" fillId="27" borderId="7" xfId="0" applyNumberFormat="1" applyFill="1" applyBorder="1" applyAlignment="1">
      <alignment horizontal="center" vertical="center" wrapText="1"/>
    </xf>
    <xf numFmtId="1" fontId="0" fillId="27" borderId="9" xfId="0" applyNumberFormat="1" applyFill="1" applyBorder="1" applyAlignment="1">
      <alignment horizontal="center" vertical="center" wrapText="1"/>
    </xf>
    <xf numFmtId="1" fontId="0" fillId="27" borderId="12" xfId="0" applyNumberFormat="1" applyFill="1" applyBorder="1" applyAlignment="1">
      <alignment horizontal="center" vertical="center" wrapText="1"/>
    </xf>
    <xf numFmtId="1" fontId="0" fillId="27" borderId="12" xfId="0" applyNumberFormat="1" applyFill="1" applyBorder="1" applyAlignment="1">
      <alignment horizontal="center"/>
    </xf>
    <xf numFmtId="1" fontId="0" fillId="27" borderId="27" xfId="0" applyNumberFormat="1" applyFill="1" applyBorder="1" applyAlignment="1">
      <alignment horizontal="center"/>
    </xf>
    <xf numFmtId="0" fontId="0" fillId="27" borderId="22" xfId="0" applyFill="1" applyBorder="1" applyAlignment="1">
      <alignment horizontal="center" vertical="center" wrapText="1"/>
    </xf>
    <xf numFmtId="0" fontId="0" fillId="27" borderId="12" xfId="0" applyFill="1" applyBorder="1" applyAlignment="1">
      <alignment horizontal="center" vertical="center" wrapText="1"/>
    </xf>
    <xf numFmtId="0" fontId="0" fillId="27" borderId="12" xfId="0" applyFill="1" applyBorder="1" applyAlignment="1">
      <alignment horizontal="center"/>
    </xf>
    <xf numFmtId="0" fontId="0" fillId="27" borderId="27" xfId="0" applyFill="1" applyBorder="1" applyAlignment="1">
      <alignment horizontal="center"/>
    </xf>
    <xf numFmtId="164" fontId="5" fillId="27" borderId="60" xfId="0" applyNumberFormat="1" applyFont="1" applyFill="1" applyBorder="1" applyAlignment="1">
      <alignment horizontal="center" vertical="center" wrapText="1"/>
    </xf>
    <xf numFmtId="0" fontId="0" fillId="27" borderId="60" xfId="0" applyFill="1" applyBorder="1" applyAlignment="1">
      <alignment horizontal="center" vertical="center" wrapText="1"/>
    </xf>
    <xf numFmtId="0" fontId="5" fillId="27" borderId="60" xfId="0" applyFont="1" applyFill="1" applyBorder="1" applyAlignment="1">
      <alignment horizontal="center" vertical="center" wrapText="1"/>
    </xf>
    <xf numFmtId="0" fontId="0" fillId="27" borderId="58" xfId="0" applyFill="1" applyBorder="1" applyAlignment="1">
      <alignment horizontal="center" vertical="center" wrapText="1"/>
    </xf>
    <xf numFmtId="164" fontId="0" fillId="27" borderId="20" xfId="0" applyNumberFormat="1" applyFill="1" applyBorder="1" applyAlignment="1">
      <alignment horizontal="center" vertical="center"/>
    </xf>
    <xf numFmtId="3" fontId="0" fillId="27" borderId="20" xfId="0" applyNumberFormat="1" applyFill="1" applyBorder="1" applyAlignment="1">
      <alignment horizontal="center" vertical="center"/>
    </xf>
    <xf numFmtId="3" fontId="0" fillId="27" borderId="22" xfId="0" applyNumberFormat="1" applyFill="1" applyBorder="1" applyAlignment="1">
      <alignment horizontal="center" vertical="center"/>
    </xf>
    <xf numFmtId="164" fontId="0" fillId="27" borderId="1" xfId="0" applyNumberFormat="1" applyFill="1" applyBorder="1" applyAlignment="1">
      <alignment horizontal="center" vertical="center"/>
    </xf>
    <xf numFmtId="3" fontId="0" fillId="27" borderId="1" xfId="0" applyNumberFormat="1" applyFill="1" applyBorder="1" applyAlignment="1">
      <alignment horizontal="center" vertical="center"/>
    </xf>
    <xf numFmtId="3" fontId="0" fillId="27" borderId="12" xfId="0" applyNumberFormat="1" applyFill="1" applyBorder="1" applyAlignment="1">
      <alignment horizontal="center" vertical="center"/>
    </xf>
    <xf numFmtId="3" fontId="0" fillId="27" borderId="25" xfId="0" applyNumberFormat="1" applyFill="1" applyBorder="1" applyAlignment="1">
      <alignment horizontal="center" vertical="center"/>
    </xf>
    <xf numFmtId="3" fontId="0" fillId="27" borderId="27" xfId="0" applyNumberFormat="1" applyFill="1" applyBorder="1" applyAlignment="1">
      <alignment horizontal="center" vertical="center"/>
    </xf>
    <xf numFmtId="164" fontId="5" fillId="27" borderId="52" xfId="0" applyNumberFormat="1" applyFont="1" applyFill="1" applyBorder="1" applyAlignment="1">
      <alignment horizontal="center" vertical="center" wrapText="1"/>
    </xf>
    <xf numFmtId="0" fontId="0" fillId="27" borderId="29" xfId="0" applyFill="1" applyBorder="1" applyAlignment="1">
      <alignment horizontal="center" vertical="center" wrapText="1"/>
    </xf>
    <xf numFmtId="0" fontId="5" fillId="27" borderId="3" xfId="0" applyFont="1" applyFill="1" applyBorder="1" applyAlignment="1">
      <alignment horizontal="center"/>
    </xf>
    <xf numFmtId="164" fontId="5" fillId="27" borderId="3" xfId="0" applyNumberFormat="1" applyFont="1" applyFill="1" applyBorder="1" applyAlignment="1">
      <alignment horizontal="center" vertical="center" wrapText="1"/>
    </xf>
    <xf numFmtId="0" fontId="0" fillId="27" borderId="5" xfId="0" applyFill="1" applyBorder="1" applyAlignment="1">
      <alignment horizontal="center" vertical="center" wrapText="1"/>
    </xf>
    <xf numFmtId="0" fontId="5" fillId="27" borderId="3" xfId="0" applyFont="1" applyFill="1" applyBorder="1" applyAlignment="1">
      <alignment horizontal="center" vertical="center" wrapText="1"/>
    </xf>
    <xf numFmtId="0" fontId="0" fillId="27" borderId="2" xfId="0" applyFill="1" applyBorder="1" applyAlignment="1">
      <alignment horizontal="center" vertical="center" wrapText="1"/>
    </xf>
    <xf numFmtId="0" fontId="1" fillId="27" borderId="23" xfId="0" applyFont="1" applyFill="1" applyBorder="1" applyAlignment="1">
      <alignment horizontal="center" vertical="center"/>
    </xf>
    <xf numFmtId="164" fontId="0" fillId="27" borderId="7" xfId="0" applyNumberFormat="1" applyFill="1" applyBorder="1" applyAlignment="1">
      <alignment horizontal="center" vertical="center"/>
    </xf>
    <xf numFmtId="0" fontId="0" fillId="27" borderId="7" xfId="0" applyFill="1" applyBorder="1" applyAlignment="1">
      <alignment horizontal="center" vertical="center"/>
    </xf>
    <xf numFmtId="0" fontId="0" fillId="27" borderId="22" xfId="0" applyFill="1" applyBorder="1" applyAlignment="1">
      <alignment horizontal="center" vertical="center"/>
    </xf>
    <xf numFmtId="0" fontId="0" fillId="27" borderId="9" xfId="0" applyFill="1" applyBorder="1" applyAlignment="1">
      <alignment horizontal="center" vertical="center"/>
    </xf>
    <xf numFmtId="0" fontId="0" fillId="27" borderId="55" xfId="0" applyFill="1" applyBorder="1" applyAlignment="1">
      <alignment horizontal="center" vertical="center"/>
    </xf>
    <xf numFmtId="0" fontId="0" fillId="27" borderId="3" xfId="0" applyFill="1" applyBorder="1" applyAlignment="1">
      <alignment horizontal="center" vertical="center" wrapText="1"/>
    </xf>
    <xf numFmtId="0" fontId="0" fillId="27" borderId="12" xfId="0" applyFill="1" applyBorder="1" applyAlignment="1">
      <alignment horizontal="center" vertical="center"/>
    </xf>
    <xf numFmtId="0" fontId="0" fillId="27" borderId="27" xfId="0" applyFill="1" applyBorder="1" applyAlignment="1">
      <alignment horizontal="center" vertical="center"/>
    </xf>
    <xf numFmtId="164" fontId="5" fillId="27" borderId="30" xfId="0" applyNumberFormat="1" applyFont="1" applyFill="1" applyBorder="1" applyAlignment="1">
      <alignment horizontal="center" vertical="center" wrapText="1"/>
    </xf>
    <xf numFmtId="0" fontId="5" fillId="27" borderId="29" xfId="0" applyFont="1" applyFill="1" applyBorder="1" applyAlignment="1">
      <alignment horizontal="center" vertical="center" wrapText="1"/>
    </xf>
    <xf numFmtId="0" fontId="0" fillId="27" borderId="27" xfId="0" applyFill="1" applyBorder="1" applyAlignment="1">
      <alignment horizontal="center" vertical="center" wrapText="1"/>
    </xf>
    <xf numFmtId="164" fontId="5" fillId="27" borderId="29" xfId="0" applyNumberFormat="1" applyFont="1" applyFill="1" applyBorder="1" applyAlignment="1">
      <alignment horizontal="center"/>
    </xf>
    <xf numFmtId="0" fontId="5" fillId="27" borderId="32" xfId="0" applyFont="1" applyFill="1" applyBorder="1" applyAlignment="1">
      <alignment horizontal="center"/>
    </xf>
    <xf numFmtId="164" fontId="0" fillId="27" borderId="20" xfId="0" applyNumberFormat="1" applyFill="1" applyBorder="1" applyAlignment="1">
      <alignment horizontal="center"/>
    </xf>
    <xf numFmtId="0" fontId="0" fillId="27" borderId="22" xfId="0" applyFill="1" applyBorder="1" applyAlignment="1">
      <alignment horizontal="center"/>
    </xf>
    <xf numFmtId="164" fontId="0" fillId="27" borderId="1" xfId="0" applyNumberFormat="1" applyFill="1" applyBorder="1" applyAlignment="1">
      <alignment horizontal="center"/>
    </xf>
    <xf numFmtId="164" fontId="0" fillId="27" borderId="25" xfId="0" applyNumberFormat="1" applyFill="1" applyBorder="1" applyAlignment="1">
      <alignment horizontal="center"/>
    </xf>
    <xf numFmtId="164" fontId="5" fillId="27" borderId="3" xfId="0" applyNumberFormat="1" applyFont="1" applyFill="1" applyBorder="1" applyAlignment="1">
      <alignment horizontal="center"/>
    </xf>
    <xf numFmtId="0" fontId="5" fillId="27" borderId="2" xfId="0" applyFont="1" applyFill="1" applyBorder="1" applyAlignment="1">
      <alignment horizontal="center"/>
    </xf>
    <xf numFmtId="0" fontId="0" fillId="27" borderId="9" xfId="0" applyFill="1" applyBorder="1" applyAlignment="1">
      <alignment horizontal="center"/>
    </xf>
    <xf numFmtId="0" fontId="0" fillId="27" borderId="55" xfId="0" applyFill="1" applyBorder="1" applyAlignment="1">
      <alignment horizontal="center"/>
    </xf>
    <xf numFmtId="0" fontId="1" fillId="27" borderId="3" xfId="0" applyFont="1" applyFill="1" applyBorder="1" applyAlignment="1">
      <alignment horizontal="center" vertical="center"/>
    </xf>
    <xf numFmtId="0" fontId="0" fillId="27" borderId="21" xfId="0" applyFill="1" applyBorder="1" applyAlignment="1">
      <alignment horizontal="left" vertical="center"/>
    </xf>
    <xf numFmtId="0" fontId="0" fillId="27" borderId="24" xfId="0" applyFill="1" applyBorder="1" applyAlignment="1">
      <alignment horizontal="left" vertical="center"/>
    </xf>
    <xf numFmtId="0" fontId="0" fillId="27" borderId="53" xfId="0" applyFill="1" applyBorder="1" applyAlignment="1">
      <alignment horizontal="left" vertical="center"/>
    </xf>
    <xf numFmtId="0" fontId="0" fillId="27" borderId="20" xfId="0" applyFill="1" applyBorder="1" applyAlignment="1"/>
    <xf numFmtId="0" fontId="0" fillId="27" borderId="1" xfId="0" applyFill="1" applyBorder="1" applyAlignment="1">
      <alignment horizontal="center" vertical="center"/>
    </xf>
    <xf numFmtId="0" fontId="12" fillId="27" borderId="1" xfId="0" applyFont="1" applyFill="1" applyBorder="1" applyAlignment="1">
      <alignment horizontal="center" vertical="center"/>
    </xf>
    <xf numFmtId="0" fontId="0" fillId="27" borderId="54" xfId="0" applyFill="1" applyBorder="1" applyAlignment="1">
      <alignment horizontal="center" vertical="center"/>
    </xf>
    <xf numFmtId="0" fontId="0" fillId="27" borderId="22" xfId="0" applyFill="1" applyBorder="1" applyAlignment="1"/>
    <xf numFmtId="0" fontId="0" fillId="27" borderId="12" xfId="0" applyFill="1" applyBorder="1" applyAlignment="1"/>
    <xf numFmtId="0" fontId="0" fillId="27" borderId="55" xfId="0" applyFill="1" applyBorder="1" applyAlignment="1"/>
    <xf numFmtId="0" fontId="1" fillId="0" borderId="11" xfId="0" applyFont="1" applyBorder="1" applyAlignment="1">
      <alignment horizontal="center"/>
    </xf>
    <xf numFmtId="0" fontId="1" fillId="0" borderId="0" xfId="0" applyFont="1" applyBorder="1" applyAlignment="1">
      <alignment horizontal="center"/>
    </xf>
    <xf numFmtId="0" fontId="0" fillId="22" borderId="11" xfId="0" applyFill="1" applyBorder="1" applyAlignment="1">
      <alignment horizontal="left" vertical="center"/>
    </xf>
    <xf numFmtId="0" fontId="0" fillId="0" borderId="11" xfId="0" applyBorder="1" applyAlignment="1">
      <alignment horizontal="center" vertical="center" wrapText="1"/>
    </xf>
    <xf numFmtId="0" fontId="4" fillId="0" borderId="40" xfId="0" applyFont="1" applyBorder="1" applyAlignment="1">
      <alignment horizontal="left" vertical="center"/>
    </xf>
    <xf numFmtId="0" fontId="4" fillId="0" borderId="24" xfId="0" applyFont="1" applyBorder="1" applyAlignment="1">
      <alignment horizontal="left" vertical="center"/>
    </xf>
    <xf numFmtId="0" fontId="0" fillId="0" borderId="7" xfId="0" applyBorder="1" applyAlignment="1">
      <alignment horizontal="left" vertical="center"/>
    </xf>
    <xf numFmtId="0" fontId="0" fillId="0" borderId="16" xfId="0" applyBorder="1" applyAlignment="1">
      <alignment horizontal="left" vertical="center"/>
    </xf>
    <xf numFmtId="0" fontId="0" fillId="0" borderId="1" xfId="0" applyBorder="1" applyAlignment="1">
      <alignment horizontal="left" vertical="center" wrapText="1"/>
    </xf>
    <xf numFmtId="0" fontId="0" fillId="10" borderId="1" xfId="0" applyFill="1" applyBorder="1" applyAlignment="1">
      <alignment horizontal="left" vertical="center"/>
    </xf>
    <xf numFmtId="0" fontId="0" fillId="10" borderId="16" xfId="0" applyFill="1" applyBorder="1" applyAlignment="1">
      <alignment horizontal="left" vertical="center"/>
    </xf>
    <xf numFmtId="0" fontId="0" fillId="10" borderId="7" xfId="0" applyFill="1" applyBorder="1" applyAlignment="1">
      <alignment horizontal="left" vertical="center"/>
    </xf>
    <xf numFmtId="0" fontId="0" fillId="0" borderId="25" xfId="0" applyBorder="1" applyAlignment="1">
      <alignment horizontal="left" vertical="center"/>
    </xf>
    <xf numFmtId="0" fontId="0" fillId="0" borderId="0" xfId="0" applyAlignment="1">
      <alignment horizontal="left" vertical="center"/>
    </xf>
    <xf numFmtId="0" fontId="0" fillId="0" borderId="0" xfId="0" applyFont="1" applyAlignment="1">
      <alignment horizontal="center" vertical="center"/>
    </xf>
    <xf numFmtId="0" fontId="0" fillId="0" borderId="0" xfId="0" applyAlignment="1">
      <alignment horizontal="left"/>
    </xf>
    <xf numFmtId="0" fontId="4" fillId="0" borderId="39" xfId="0" applyFont="1" applyBorder="1" applyAlignment="1">
      <alignment horizontal="left"/>
    </xf>
    <xf numFmtId="0" fontId="4" fillId="0" borderId="6" xfId="0" applyFont="1" applyBorder="1" applyAlignment="1">
      <alignment horizontal="left"/>
    </xf>
    <xf numFmtId="0" fontId="0" fillId="0" borderId="7" xfId="0" applyBorder="1" applyAlignment="1">
      <alignment horizontal="left"/>
    </xf>
    <xf numFmtId="0" fontId="0" fillId="0" borderId="9" xfId="0" applyBorder="1" applyAlignment="1">
      <alignment horizontal="left"/>
    </xf>
    <xf numFmtId="0" fontId="4" fillId="0" borderId="23" xfId="0" applyFont="1" applyBorder="1" applyAlignment="1">
      <alignment horizontal="left"/>
    </xf>
    <xf numFmtId="0" fontId="0" fillId="8" borderId="7" xfId="0" applyFill="1" applyBorder="1" applyAlignment="1">
      <alignment horizontal="left"/>
    </xf>
    <xf numFmtId="0" fontId="0" fillId="0" borderId="8" xfId="0" applyBorder="1" applyAlignment="1">
      <alignment horizontal="left"/>
    </xf>
    <xf numFmtId="0" fontId="0" fillId="0" borderId="21" xfId="0" applyBorder="1" applyAlignment="1">
      <alignment horizontal="left"/>
    </xf>
    <xf numFmtId="0" fontId="0" fillId="8" borderId="20" xfId="0" applyFill="1" applyBorder="1" applyAlignment="1">
      <alignment horizontal="left"/>
    </xf>
    <xf numFmtId="0" fontId="0" fillId="10" borderId="22" xfId="0" applyFill="1" applyBorder="1" applyAlignment="1">
      <alignment horizontal="left"/>
    </xf>
    <xf numFmtId="0" fontId="4" fillId="0" borderId="40" xfId="0" applyFont="1" applyBorder="1" applyAlignment="1">
      <alignment horizontal="left"/>
    </xf>
    <xf numFmtId="0" fontId="4" fillId="0" borderId="10" xfId="0" applyFont="1" applyBorder="1" applyAlignment="1">
      <alignment horizontal="left"/>
    </xf>
    <xf numFmtId="0" fontId="0" fillId="10" borderId="1" xfId="0" applyFill="1" applyBorder="1" applyAlignment="1">
      <alignment horizontal="left"/>
    </xf>
    <xf numFmtId="0" fontId="0" fillId="0" borderId="1" xfId="0" applyBorder="1" applyAlignment="1">
      <alignment horizontal="left"/>
    </xf>
    <xf numFmtId="0" fontId="0" fillId="0" borderId="12" xfId="0" applyBorder="1" applyAlignment="1">
      <alignment horizontal="left"/>
    </xf>
    <xf numFmtId="0" fontId="0" fillId="8" borderId="1" xfId="0" applyFill="1" applyBorder="1" applyAlignment="1">
      <alignment horizontal="left"/>
    </xf>
    <xf numFmtId="0" fontId="0" fillId="0" borderId="11" xfId="0" applyBorder="1" applyAlignment="1">
      <alignment horizontal="left"/>
    </xf>
    <xf numFmtId="0" fontId="0" fillId="0" borderId="24" xfId="0" applyBorder="1" applyAlignment="1">
      <alignment horizontal="left"/>
    </xf>
    <xf numFmtId="0" fontId="0" fillId="10" borderId="12" xfId="0" applyFill="1" applyBorder="1" applyAlignment="1">
      <alignment horizontal="left"/>
    </xf>
    <xf numFmtId="0" fontId="4" fillId="0" borderId="24" xfId="0" applyFont="1" applyBorder="1" applyAlignment="1">
      <alignment horizontal="left"/>
    </xf>
    <xf numFmtId="0" fontId="4" fillId="0" borderId="33" xfId="0" applyFont="1" applyBorder="1" applyAlignment="1">
      <alignment horizontal="left"/>
    </xf>
    <xf numFmtId="0" fontId="0" fillId="0" borderId="16" xfId="0" applyBorder="1" applyAlignment="1">
      <alignment horizontal="left"/>
    </xf>
    <xf numFmtId="0" fontId="0" fillId="0" borderId="15" xfId="0" applyBorder="1" applyAlignment="1">
      <alignment horizontal="left"/>
    </xf>
    <xf numFmtId="0" fontId="0" fillId="0" borderId="28" xfId="0" applyBorder="1" applyAlignment="1">
      <alignment horizontal="left"/>
    </xf>
    <xf numFmtId="0" fontId="0" fillId="10" borderId="25" xfId="0" applyFill="1" applyBorder="1" applyAlignment="1">
      <alignment horizontal="left"/>
    </xf>
    <xf numFmtId="0" fontId="0" fillId="10" borderId="27" xfId="0" applyFill="1" applyBorder="1" applyAlignment="1">
      <alignment horizontal="left"/>
    </xf>
    <xf numFmtId="0" fontId="4" fillId="0" borderId="41" xfId="0" applyFont="1" applyBorder="1" applyAlignment="1">
      <alignment horizontal="left"/>
    </xf>
    <xf numFmtId="0" fontId="4" fillId="0" borderId="42" xfId="0" applyFont="1" applyBorder="1" applyAlignment="1">
      <alignment horizontal="left"/>
    </xf>
    <xf numFmtId="0" fontId="0" fillId="0" borderId="25" xfId="0" applyBorder="1" applyAlignment="1">
      <alignment horizontal="left"/>
    </xf>
    <xf numFmtId="0" fontId="0" fillId="0" borderId="27" xfId="0" applyBorder="1" applyAlignment="1">
      <alignment horizontal="left"/>
    </xf>
    <xf numFmtId="0" fontId="4" fillId="0" borderId="23" xfId="0" applyFont="1" applyBorder="1" applyAlignment="1">
      <alignment horizontal="left" vertical="center"/>
    </xf>
    <xf numFmtId="0" fontId="0" fillId="0" borderId="20" xfId="0" applyBorder="1" applyAlignment="1">
      <alignment horizontal="left"/>
    </xf>
    <xf numFmtId="0" fontId="4" fillId="0" borderId="36" xfId="0" applyFont="1" applyBorder="1" applyAlignment="1">
      <alignment horizontal="left"/>
    </xf>
    <xf numFmtId="0" fontId="0" fillId="0" borderId="33" xfId="0" applyBorder="1" applyAlignment="1">
      <alignment horizontal="left"/>
    </xf>
    <xf numFmtId="0" fontId="0" fillId="10" borderId="17" xfId="0" applyFill="1" applyBorder="1" applyAlignment="1">
      <alignment horizontal="left"/>
    </xf>
    <xf numFmtId="0" fontId="0" fillId="0" borderId="16" xfId="0" applyFill="1" applyBorder="1" applyAlignment="1">
      <alignment horizontal="left"/>
    </xf>
    <xf numFmtId="0" fontId="0" fillId="10" borderId="20" xfId="0" applyFill="1" applyBorder="1" applyAlignment="1">
      <alignment horizontal="left"/>
    </xf>
    <xf numFmtId="0" fontId="0" fillId="10" borderId="8" xfId="0" applyFill="1" applyBorder="1" applyAlignment="1">
      <alignment horizontal="left"/>
    </xf>
    <xf numFmtId="0" fontId="4" fillId="0" borderId="33" xfId="0" applyFont="1" applyBorder="1" applyAlignment="1">
      <alignment horizontal="left" vertical="center"/>
    </xf>
    <xf numFmtId="0" fontId="0" fillId="10" borderId="11" xfId="0" applyFill="1" applyBorder="1" applyAlignment="1">
      <alignment horizontal="left"/>
    </xf>
    <xf numFmtId="0" fontId="4" fillId="0" borderId="28" xfId="0" applyFont="1" applyBorder="1" applyAlignment="1">
      <alignment horizontal="left" vertical="center"/>
    </xf>
    <xf numFmtId="0" fontId="0" fillId="0" borderId="26" xfId="0" applyBorder="1" applyAlignment="1">
      <alignment horizontal="left"/>
    </xf>
    <xf numFmtId="0" fontId="0" fillId="8" borderId="0" xfId="0" applyFill="1" applyAlignment="1">
      <alignment horizontal="left"/>
    </xf>
    <xf numFmtId="3" fontId="1" fillId="0" borderId="1" xfId="0" applyNumberFormat="1" applyFont="1" applyBorder="1" applyAlignment="1">
      <alignment horizontal="center"/>
    </xf>
    <xf numFmtId="3" fontId="0" fillId="0" borderId="0" xfId="0" applyNumberFormat="1"/>
    <xf numFmtId="0" fontId="19" fillId="0" borderId="0" xfId="0" applyFont="1" applyAlignment="1">
      <alignment horizontal="left" vertical="center" readingOrder="1"/>
    </xf>
    <xf numFmtId="3" fontId="0" fillId="0" borderId="0" xfId="0" applyNumberFormat="1" applyAlignment="1">
      <alignment horizontal="center"/>
    </xf>
    <xf numFmtId="0" fontId="0" fillId="0" borderId="0" xfId="0" applyAlignment="1">
      <alignment horizontal="center"/>
    </xf>
    <xf numFmtId="0" fontId="21" fillId="0" borderId="0" xfId="0" applyFont="1" applyAlignment="1">
      <alignment horizontal="left" vertical="center"/>
    </xf>
    <xf numFmtId="0" fontId="2" fillId="6" borderId="7" xfId="0" applyFont="1" applyFill="1" applyBorder="1" applyAlignment="1">
      <alignment vertical="center" wrapText="1"/>
    </xf>
    <xf numFmtId="0" fontId="2" fillId="6" borderId="1" xfId="0" applyFont="1" applyFill="1" applyBorder="1" applyAlignment="1">
      <alignment vertical="center" wrapText="1"/>
    </xf>
    <xf numFmtId="0" fontId="2" fillId="6" borderId="16" xfId="0" applyFont="1" applyFill="1" applyBorder="1" applyAlignment="1">
      <alignment vertical="center" wrapText="1"/>
    </xf>
    <xf numFmtId="0" fontId="2" fillId="5" borderId="1" xfId="0" applyFont="1" applyFill="1" applyBorder="1" applyAlignment="1">
      <alignment vertical="center" wrapText="1"/>
    </xf>
    <xf numFmtId="0" fontId="2" fillId="19" borderId="1" xfId="0" applyFont="1" applyFill="1" applyBorder="1" applyAlignment="1">
      <alignment wrapText="1"/>
    </xf>
    <xf numFmtId="0" fontId="2" fillId="19" borderId="1" xfId="0" applyFont="1" applyFill="1" applyBorder="1" applyAlignment="1">
      <alignment horizontal="center" wrapText="1"/>
    </xf>
    <xf numFmtId="0" fontId="2" fillId="5" borderId="16" xfId="0" applyFont="1" applyFill="1" applyBorder="1" applyAlignment="1">
      <alignment vertical="center" wrapText="1"/>
    </xf>
    <xf numFmtId="0" fontId="2" fillId="5" borderId="16" xfId="0" applyFont="1" applyFill="1" applyBorder="1" applyAlignment="1">
      <alignment wrapText="1"/>
    </xf>
    <xf numFmtId="0" fontId="2" fillId="5" borderId="16" xfId="0" applyFont="1" applyFill="1" applyBorder="1" applyAlignment="1">
      <alignment horizontal="center" wrapText="1"/>
    </xf>
    <xf numFmtId="0" fontId="2" fillId="6" borderId="21" xfId="0" applyFont="1" applyFill="1" applyBorder="1" applyAlignment="1">
      <alignment vertical="center" wrapText="1"/>
    </xf>
    <xf numFmtId="0" fontId="2" fillId="6" borderId="20" xfId="0" applyFont="1" applyFill="1" applyBorder="1" applyAlignment="1">
      <alignment vertical="center" wrapText="1"/>
    </xf>
    <xf numFmtId="0" fontId="2" fillId="20" borderId="20" xfId="0" applyFont="1" applyFill="1" applyBorder="1" applyAlignment="1">
      <alignment wrapText="1"/>
    </xf>
    <xf numFmtId="0" fontId="2" fillId="20" borderId="20" xfId="0" applyFont="1" applyFill="1" applyBorder="1" applyAlignment="1">
      <alignment horizontal="center" wrapText="1"/>
    </xf>
    <xf numFmtId="0" fontId="2" fillId="20" borderId="22" xfId="0" applyFont="1" applyFill="1" applyBorder="1" applyAlignment="1">
      <alignment wrapText="1"/>
    </xf>
    <xf numFmtId="0" fontId="2" fillId="6" borderId="28" xfId="0" applyFont="1" applyFill="1" applyBorder="1" applyAlignment="1">
      <alignment vertical="center" wrapText="1"/>
    </xf>
    <xf numFmtId="0" fontId="2" fillId="6" borderId="25" xfId="0" applyFont="1" applyFill="1" applyBorder="1" applyAlignment="1">
      <alignment vertical="center" wrapText="1"/>
    </xf>
    <xf numFmtId="0" fontId="2" fillId="20" borderId="25" xfId="0" applyFont="1" applyFill="1" applyBorder="1" applyAlignment="1">
      <alignment vertical="center" wrapText="1"/>
    </xf>
    <xf numFmtId="0" fontId="2" fillId="20" borderId="25" xfId="0" applyFont="1" applyFill="1" applyBorder="1" applyAlignment="1">
      <alignment horizontal="center" vertical="center" wrapText="1"/>
    </xf>
    <xf numFmtId="0" fontId="2" fillId="20" borderId="27" xfId="0" applyFont="1" applyFill="1" applyBorder="1" applyAlignment="1">
      <alignment vertical="center" wrapText="1"/>
    </xf>
    <xf numFmtId="0" fontId="7" fillId="6" borderId="1" xfId="0" applyFont="1" applyFill="1" applyBorder="1" applyAlignment="1">
      <alignment horizontal="left" vertical="center" wrapText="1"/>
    </xf>
    <xf numFmtId="0" fontId="7" fillId="6" borderId="1" xfId="0" applyFont="1" applyFill="1" applyBorder="1" applyAlignment="1">
      <alignment horizontal="center" vertical="center" wrapText="1"/>
    </xf>
    <xf numFmtId="0" fontId="2" fillId="6" borderId="25" xfId="0" applyFont="1" applyFill="1" applyBorder="1" applyAlignment="1">
      <alignment horizontal="left" vertical="center" wrapText="1"/>
    </xf>
    <xf numFmtId="0" fontId="2" fillId="6" borderId="25" xfId="0" applyFont="1" applyFill="1" applyBorder="1" applyAlignment="1">
      <alignment horizontal="center" vertical="center" wrapText="1"/>
    </xf>
    <xf numFmtId="0" fontId="6" fillId="15" borderId="44" xfId="0" applyNumberFormat="1" applyFont="1" applyFill="1" applyBorder="1" applyAlignment="1">
      <alignment horizontal="center" vertical="center"/>
    </xf>
    <xf numFmtId="0" fontId="6" fillId="15" borderId="34" xfId="0" applyNumberFormat="1" applyFont="1" applyFill="1" applyBorder="1" applyAlignment="1">
      <alignment horizontal="center" vertical="center"/>
    </xf>
    <xf numFmtId="0" fontId="10" fillId="15" borderId="29" xfId="0" applyFont="1" applyFill="1" applyBorder="1" applyAlignment="1">
      <alignment horizontal="center" vertical="center"/>
    </xf>
    <xf numFmtId="0" fontId="0" fillId="0" borderId="0" xfId="0" applyAlignment="1">
      <alignment vertical="center"/>
    </xf>
    <xf numFmtId="0" fontId="1" fillId="26" borderId="1" xfId="0" applyFont="1" applyFill="1" applyBorder="1" applyAlignment="1">
      <alignment horizontal="center"/>
    </xf>
    <xf numFmtId="0" fontId="0" fillId="26" borderId="1" xfId="0" applyFill="1" applyBorder="1" applyAlignment="1">
      <alignment horizontal="center"/>
    </xf>
    <xf numFmtId="0" fontId="1" fillId="29" borderId="1" xfId="0" applyFont="1" applyFill="1" applyBorder="1" applyAlignment="1">
      <alignment horizontal="center"/>
    </xf>
    <xf numFmtId="0" fontId="1" fillId="30" borderId="1" xfId="0" applyFont="1" applyFill="1" applyBorder="1" applyAlignment="1">
      <alignment horizontal="center"/>
    </xf>
    <xf numFmtId="0" fontId="1" fillId="30" borderId="1" xfId="0" applyFont="1" applyFill="1" applyBorder="1" applyAlignment="1">
      <alignment horizontal="center" vertical="center"/>
    </xf>
    <xf numFmtId="0" fontId="1" fillId="30" borderId="10" xfId="0" applyFont="1" applyFill="1" applyBorder="1" applyAlignment="1">
      <alignment horizontal="center"/>
    </xf>
    <xf numFmtId="0" fontId="8" fillId="31" borderId="1" xfId="0" applyFont="1" applyFill="1" applyBorder="1" applyAlignment="1">
      <alignment horizontal="left"/>
    </xf>
    <xf numFmtId="0" fontId="0" fillId="0" borderId="16" xfId="0" applyBorder="1" applyAlignment="1">
      <alignment horizontal="center" vertical="center"/>
    </xf>
    <xf numFmtId="0" fontId="0" fillId="0" borderId="16" xfId="0" applyFont="1" applyBorder="1" applyAlignment="1">
      <alignment horizontal="center" vertical="center"/>
    </xf>
    <xf numFmtId="0" fontId="1" fillId="0" borderId="0" xfId="0" applyFont="1" applyAlignment="1">
      <alignment vertical="center"/>
    </xf>
    <xf numFmtId="0" fontId="20" fillId="0" borderId="0" xfId="0" applyFont="1" applyAlignment="1">
      <alignment vertical="center"/>
    </xf>
    <xf numFmtId="0" fontId="0" fillId="8" borderId="0" xfId="0" applyFill="1" applyAlignment="1">
      <alignment vertical="center"/>
    </xf>
    <xf numFmtId="0" fontId="0" fillId="29" borderId="0" xfId="0" applyFill="1" applyBorder="1" applyAlignment="1">
      <alignment vertical="center"/>
    </xf>
    <xf numFmtId="0" fontId="8" fillId="0" borderId="0" xfId="0" applyFont="1" applyAlignment="1">
      <alignment vertical="center"/>
    </xf>
    <xf numFmtId="0" fontId="3" fillId="12" borderId="4" xfId="0" applyFont="1" applyFill="1" applyBorder="1" applyAlignment="1">
      <alignment horizontal="left" vertical="center"/>
    </xf>
    <xf numFmtId="0" fontId="3" fillId="9" borderId="4" xfId="0" applyFont="1" applyFill="1" applyBorder="1" applyAlignment="1">
      <alignment horizontal="left" vertical="center"/>
    </xf>
    <xf numFmtId="0" fontId="3" fillId="11" borderId="4" xfId="0" applyFont="1" applyFill="1" applyBorder="1" applyAlignment="1">
      <alignment horizontal="left" vertical="center"/>
    </xf>
    <xf numFmtId="0" fontId="3" fillId="13" borderId="4" xfId="0" applyFont="1" applyFill="1" applyBorder="1" applyAlignment="1">
      <alignment horizontal="left" vertical="center"/>
    </xf>
    <xf numFmtId="0" fontId="3" fillId="0" borderId="3" xfId="0" applyFont="1" applyBorder="1" applyAlignment="1">
      <alignment horizontal="center" vertical="center"/>
    </xf>
    <xf numFmtId="0" fontId="3" fillId="0" borderId="3" xfId="0" applyFont="1" applyBorder="1" applyAlignment="1">
      <alignment horizontal="center" vertical="center" wrapText="1"/>
    </xf>
    <xf numFmtId="0" fontId="3" fillId="0" borderId="2" xfId="0" applyFont="1" applyBorder="1" applyAlignment="1">
      <alignment horizontal="center" vertical="center"/>
    </xf>
    <xf numFmtId="0" fontId="3" fillId="9" borderId="4" xfId="0" applyFont="1" applyFill="1" applyBorder="1" applyAlignment="1">
      <alignment horizontal="center" vertical="center"/>
    </xf>
    <xf numFmtId="0" fontId="3" fillId="9" borderId="5" xfId="0" applyFont="1" applyFill="1" applyBorder="1" applyAlignment="1">
      <alignment horizontal="center" vertical="center"/>
    </xf>
    <xf numFmtId="0" fontId="4" fillId="0" borderId="23" xfId="0" applyFont="1" applyBorder="1"/>
    <xf numFmtId="0" fontId="4" fillId="0" borderId="7" xfId="0" applyFont="1" applyBorder="1" applyAlignment="1">
      <alignment horizontal="center"/>
    </xf>
    <xf numFmtId="0" fontId="4" fillId="0" borderId="8" xfId="0" applyFont="1" applyBorder="1" applyAlignment="1">
      <alignment horizontal="center" vertical="center"/>
    </xf>
    <xf numFmtId="0" fontId="4" fillId="0" borderId="9" xfId="0" applyFont="1" applyBorder="1" applyAlignment="1">
      <alignment horizontal="center"/>
    </xf>
    <xf numFmtId="0" fontId="4" fillId="0" borderId="24" xfId="0" applyFont="1" applyBorder="1" applyAlignment="1">
      <alignment vertical="center"/>
    </xf>
    <xf numFmtId="0" fontId="4" fillId="0" borderId="1" xfId="0" applyFont="1" applyBorder="1" applyAlignment="1">
      <alignment vertical="center"/>
    </xf>
    <xf numFmtId="0" fontId="4" fillId="0" borderId="1" xfId="0" applyFont="1" applyBorder="1" applyAlignment="1">
      <alignment horizontal="center" vertical="center"/>
    </xf>
    <xf numFmtId="0" fontId="4" fillId="0" borderId="11" xfId="0" applyFont="1" applyBorder="1" applyAlignment="1">
      <alignment horizontal="center" vertical="center"/>
    </xf>
    <xf numFmtId="0" fontId="4" fillId="0" borderId="12" xfId="0" applyFont="1" applyBorder="1" applyAlignment="1">
      <alignment horizontal="center" vertical="center"/>
    </xf>
    <xf numFmtId="0" fontId="4" fillId="0" borderId="24" xfId="0" applyFont="1" applyBorder="1"/>
    <xf numFmtId="0" fontId="4" fillId="0" borderId="1" xfId="0" applyFont="1" applyBorder="1" applyAlignment="1">
      <alignment horizontal="center"/>
    </xf>
    <xf numFmtId="0" fontId="4" fillId="0" borderId="12" xfId="0" applyFont="1" applyBorder="1" applyAlignment="1">
      <alignment horizontal="center"/>
    </xf>
    <xf numFmtId="0" fontId="4" fillId="0" borderId="33" xfId="0" applyFont="1" applyBorder="1"/>
    <xf numFmtId="0" fontId="4" fillId="0" borderId="16" xfId="0" applyFont="1" applyBorder="1" applyAlignment="1">
      <alignment horizontal="center" vertical="center"/>
    </xf>
    <xf numFmtId="0" fontId="4" fillId="0" borderId="15" xfId="0" applyFont="1" applyBorder="1" applyAlignment="1">
      <alignment horizontal="center" vertical="center"/>
    </xf>
    <xf numFmtId="0" fontId="4" fillId="0" borderId="16" xfId="0" applyFont="1" applyBorder="1" applyAlignment="1">
      <alignment horizontal="center"/>
    </xf>
    <xf numFmtId="0" fontId="4" fillId="0" borderId="17" xfId="0" applyFont="1" applyBorder="1" applyAlignment="1">
      <alignment horizontal="center"/>
    </xf>
    <xf numFmtId="0" fontId="4" fillId="0" borderId="23" xfId="0" applyFont="1" applyBorder="1" applyAlignment="1">
      <alignment vertical="center"/>
    </xf>
    <xf numFmtId="0" fontId="4" fillId="0" borderId="7" xfId="0" applyFont="1" applyBorder="1" applyAlignment="1">
      <alignment vertical="center"/>
    </xf>
    <xf numFmtId="0" fontId="4" fillId="0" borderId="7" xfId="0" applyFont="1" applyBorder="1" applyAlignment="1">
      <alignment horizontal="center" vertical="center"/>
    </xf>
    <xf numFmtId="0" fontId="4" fillId="0" borderId="9" xfId="0" applyFont="1" applyBorder="1" applyAlignment="1">
      <alignment horizontal="center" vertical="center"/>
    </xf>
    <xf numFmtId="0" fontId="24" fillId="0" borderId="1" xfId="0" applyFont="1" applyBorder="1" applyAlignment="1">
      <alignment horizontal="center"/>
    </xf>
    <xf numFmtId="0" fontId="24" fillId="0" borderId="73" xfId="0" applyFont="1" applyBorder="1" applyAlignment="1">
      <alignment horizontal="center"/>
    </xf>
    <xf numFmtId="0" fontId="4" fillId="0" borderId="80" xfId="0" applyFont="1" applyBorder="1"/>
    <xf numFmtId="0" fontId="4" fillId="0" borderId="6" xfId="0" applyFont="1" applyBorder="1"/>
    <xf numFmtId="0" fontId="3" fillId="0" borderId="49" xfId="0" applyFont="1" applyBorder="1" applyAlignment="1">
      <alignment horizontal="center" vertical="center"/>
    </xf>
    <xf numFmtId="0" fontId="3" fillId="0" borderId="50" xfId="0" applyFont="1" applyBorder="1" applyAlignment="1">
      <alignment horizontal="center" vertical="center"/>
    </xf>
    <xf numFmtId="0" fontId="3" fillId="11" borderId="5" xfId="0" applyFont="1" applyFill="1" applyBorder="1" applyAlignment="1">
      <alignment horizontal="center" vertical="center"/>
    </xf>
    <xf numFmtId="0" fontId="4" fillId="0" borderId="81" xfId="0" applyFont="1" applyBorder="1"/>
    <xf numFmtId="0" fontId="4" fillId="0" borderId="81" xfId="0" applyFont="1" applyBorder="1" applyAlignment="1">
      <alignment horizontal="center"/>
    </xf>
    <xf numFmtId="0" fontId="4" fillId="0" borderId="82" xfId="0" applyFont="1" applyBorder="1" applyAlignment="1">
      <alignment horizontal="center" vertical="center"/>
    </xf>
    <xf numFmtId="0" fontId="4" fillId="0" borderId="80" xfId="0" applyFont="1" applyBorder="1" applyAlignment="1">
      <alignment horizontal="center"/>
    </xf>
    <xf numFmtId="0" fontId="4" fillId="0" borderId="81" xfId="0" applyFont="1" applyBorder="1" applyAlignment="1">
      <alignment horizontal="center" vertical="center"/>
    </xf>
    <xf numFmtId="0" fontId="3" fillId="11" borderId="78" xfId="0" applyFont="1" applyFill="1" applyBorder="1" applyAlignment="1">
      <alignment horizontal="center" vertical="center"/>
    </xf>
    <xf numFmtId="0" fontId="26" fillId="0" borderId="1" xfId="0" applyFont="1" applyBorder="1"/>
    <xf numFmtId="0" fontId="3" fillId="12" borderId="5" xfId="0" applyFont="1" applyFill="1" applyBorder="1" applyAlignment="1">
      <alignment horizontal="center" vertical="center"/>
    </xf>
    <xf numFmtId="0" fontId="3" fillId="0" borderId="63" xfId="0" applyFont="1" applyBorder="1" applyAlignment="1">
      <alignment horizontal="center" vertical="center"/>
    </xf>
    <xf numFmtId="0" fontId="3" fillId="0" borderId="60" xfId="0" applyFont="1" applyBorder="1" applyAlignment="1">
      <alignment horizontal="center" vertical="center"/>
    </xf>
    <xf numFmtId="0" fontId="3" fillId="0" borderId="29" xfId="0" applyFont="1" applyBorder="1" applyAlignment="1">
      <alignment horizontal="center" vertical="center" wrapText="1"/>
    </xf>
    <xf numFmtId="0" fontId="3" fillId="0" borderId="32" xfId="0" applyFont="1" applyBorder="1" applyAlignment="1">
      <alignment horizontal="center" vertical="center"/>
    </xf>
    <xf numFmtId="0" fontId="4" fillId="0" borderId="83" xfId="0" applyFont="1" applyBorder="1"/>
    <xf numFmtId="0" fontId="4" fillId="0" borderId="84" xfId="0" applyFont="1" applyBorder="1" applyAlignment="1">
      <alignment horizontal="center" vertical="center"/>
    </xf>
    <xf numFmtId="0" fontId="24" fillId="0" borderId="83" xfId="0" applyFont="1" applyBorder="1" applyAlignment="1">
      <alignment horizontal="center"/>
    </xf>
    <xf numFmtId="0" fontId="4" fillId="0" borderId="8" xfId="0" applyFont="1" applyBorder="1"/>
    <xf numFmtId="0" fontId="4" fillId="0" borderId="85" xfId="0" applyFont="1" applyBorder="1" applyAlignment="1">
      <alignment horizontal="center" vertical="center"/>
    </xf>
    <xf numFmtId="0" fontId="24" fillId="0" borderId="6" xfId="0" applyFont="1" applyBorder="1" applyAlignment="1">
      <alignment horizontal="center"/>
    </xf>
    <xf numFmtId="0" fontId="4" fillId="0" borderId="86" xfId="0" applyFont="1" applyBorder="1" applyAlignment="1">
      <alignment horizontal="center" vertical="center"/>
    </xf>
    <xf numFmtId="0" fontId="4" fillId="0" borderId="11" xfId="0" applyFont="1" applyBorder="1"/>
    <xf numFmtId="0" fontId="4" fillId="0" borderId="87" xfId="0" applyFont="1" applyBorder="1" applyAlignment="1">
      <alignment horizontal="center" vertical="center"/>
    </xf>
    <xf numFmtId="0" fontId="24" fillId="0" borderId="76" xfId="0" applyFont="1" applyBorder="1" applyAlignment="1">
      <alignment horizontal="center"/>
    </xf>
    <xf numFmtId="0" fontId="24" fillId="0" borderId="80" xfId="0" applyFont="1" applyBorder="1" applyAlignment="1">
      <alignment horizontal="center"/>
    </xf>
    <xf numFmtId="0" fontId="4" fillId="0" borderId="88" xfId="0" applyFont="1" applyBorder="1"/>
    <xf numFmtId="0" fontId="4" fillId="0" borderId="88" xfId="0" applyFont="1" applyBorder="1" applyAlignment="1">
      <alignment horizontal="center" vertical="center"/>
    </xf>
    <xf numFmtId="0" fontId="4" fillId="0" borderId="89" xfId="0" applyFont="1" applyBorder="1" applyAlignment="1">
      <alignment horizontal="center" vertical="center"/>
    </xf>
    <xf numFmtId="0" fontId="4" fillId="0" borderId="80" xfId="0" applyFont="1" applyBorder="1" applyAlignment="1">
      <alignment horizontal="center" vertical="center"/>
    </xf>
    <xf numFmtId="0" fontId="4" fillId="0" borderId="90" xfId="0" applyFont="1" applyBorder="1"/>
    <xf numFmtId="0" fontId="4" fillId="0" borderId="90" xfId="0" applyFont="1" applyBorder="1" applyAlignment="1">
      <alignment horizontal="center"/>
    </xf>
    <xf numFmtId="0" fontId="4" fillId="0" borderId="91" xfId="0" applyFont="1" applyBorder="1" applyAlignment="1">
      <alignment horizontal="center" vertical="center"/>
    </xf>
    <xf numFmtId="0" fontId="3" fillId="13" borderId="5" xfId="0" applyFont="1" applyFill="1" applyBorder="1" applyAlignment="1">
      <alignment horizontal="center" vertical="center"/>
    </xf>
    <xf numFmtId="0" fontId="4" fillId="0" borderId="13" xfId="0" applyFont="1" applyBorder="1"/>
    <xf numFmtId="0" fontId="29" fillId="0" borderId="80" xfId="0" applyFont="1" applyBorder="1" applyAlignment="1">
      <alignment horizontal="center" vertical="center"/>
    </xf>
    <xf numFmtId="0" fontId="4" fillId="0" borderId="10" xfId="0" applyFont="1" applyBorder="1" applyAlignment="1">
      <alignment horizontal="center" vertical="center"/>
    </xf>
    <xf numFmtId="0" fontId="29" fillId="0" borderId="7" xfId="0" applyFont="1" applyBorder="1" applyAlignment="1">
      <alignment vertical="center"/>
    </xf>
    <xf numFmtId="0" fontId="4" fillId="0" borderId="33" xfId="0" applyFont="1" applyBorder="1" applyAlignment="1">
      <alignment vertical="center"/>
    </xf>
    <xf numFmtId="0" fontId="4" fillId="0" borderId="16" xfId="0" applyFont="1" applyBorder="1" applyAlignment="1">
      <alignment vertical="center"/>
    </xf>
    <xf numFmtId="0" fontId="4" fillId="0" borderId="94" xfId="0" applyFont="1" applyBorder="1" applyAlignment="1">
      <alignment horizontal="center" vertical="center"/>
    </xf>
    <xf numFmtId="0" fontId="3" fillId="13" borderId="78" xfId="0" applyFont="1" applyFill="1" applyBorder="1" applyAlignment="1">
      <alignment horizontal="center" vertical="center"/>
    </xf>
    <xf numFmtId="0" fontId="30" fillId="0" borderId="7" xfId="0" applyFont="1" applyBorder="1" applyAlignment="1">
      <alignment horizontal="center" vertical="center" wrapText="1"/>
    </xf>
    <xf numFmtId="0" fontId="30" fillId="0" borderId="6" xfId="0" applyFont="1" applyBorder="1" applyAlignment="1">
      <alignment horizontal="center" vertical="center"/>
    </xf>
    <xf numFmtId="0" fontId="4" fillId="0" borderId="24" xfId="0" applyFont="1" applyBorder="1" applyAlignment="1">
      <alignment horizontal="left" vertical="center" wrapText="1"/>
    </xf>
    <xf numFmtId="0" fontId="30" fillId="0" borderId="1" xfId="0" applyFont="1" applyBorder="1" applyAlignment="1">
      <alignment horizontal="center" vertical="center" wrapText="1"/>
    </xf>
    <xf numFmtId="0" fontId="30" fillId="0" borderId="1" xfId="0" applyFont="1" applyBorder="1" applyAlignment="1">
      <alignment horizontal="center" vertical="center"/>
    </xf>
    <xf numFmtId="0" fontId="30" fillId="0" borderId="10" xfId="0" applyFont="1" applyBorder="1" applyAlignment="1">
      <alignment horizontal="center" vertical="center"/>
    </xf>
    <xf numFmtId="0" fontId="4" fillId="0" borderId="1" xfId="0" applyFont="1" applyBorder="1" applyAlignment="1">
      <alignment horizontal="center" vertical="center" wrapText="1"/>
    </xf>
    <xf numFmtId="0" fontId="24" fillId="0" borderId="1" xfId="0" applyFont="1" applyBorder="1" applyAlignment="1">
      <alignment horizontal="left" vertical="center"/>
    </xf>
    <xf numFmtId="0" fontId="29" fillId="0" borderId="1" xfId="0" applyFont="1" applyBorder="1" applyAlignment="1">
      <alignment vertical="center"/>
    </xf>
    <xf numFmtId="0" fontId="29" fillId="0" borderId="1" xfId="0" applyFont="1" applyBorder="1" applyAlignment="1">
      <alignment vertical="center" wrapText="1"/>
    </xf>
    <xf numFmtId="0" fontId="3" fillId="13" borderId="30" xfId="0" applyFont="1" applyFill="1" applyBorder="1" applyAlignment="1">
      <alignment horizontal="left" vertical="center"/>
    </xf>
    <xf numFmtId="0" fontId="3" fillId="13" borderId="31" xfId="0" applyFont="1" applyFill="1" applyBorder="1" applyAlignment="1">
      <alignment horizontal="center" vertical="center"/>
    </xf>
    <xf numFmtId="0" fontId="4" fillId="0" borderId="21" xfId="0" applyFont="1" applyBorder="1"/>
    <xf numFmtId="0" fontId="4" fillId="0" borderId="20" xfId="0" applyFont="1" applyBorder="1"/>
    <xf numFmtId="0" fontId="4" fillId="0" borderId="20" xfId="0" applyFont="1" applyBorder="1" applyAlignment="1">
      <alignment horizontal="center" vertical="center"/>
    </xf>
    <xf numFmtId="0" fontId="4" fillId="0" borderId="28" xfId="0" applyFont="1" applyBorder="1" applyAlignment="1">
      <alignment vertical="center"/>
    </xf>
    <xf numFmtId="0" fontId="4" fillId="0" borderId="25" xfId="0" applyFont="1" applyBorder="1" applyAlignment="1">
      <alignment horizontal="left" vertical="center"/>
    </xf>
    <xf numFmtId="0" fontId="4" fillId="0" borderId="25" xfId="0" applyFont="1" applyBorder="1" applyAlignment="1">
      <alignment horizontal="center"/>
    </xf>
    <xf numFmtId="0" fontId="4" fillId="0" borderId="25" xfId="0" applyFont="1" applyBorder="1" applyAlignment="1">
      <alignment horizontal="center" vertical="center"/>
    </xf>
    <xf numFmtId="0" fontId="3" fillId="9" borderId="2" xfId="0" applyFont="1" applyFill="1" applyBorder="1" applyAlignment="1">
      <alignment horizontal="center" vertical="center"/>
    </xf>
    <xf numFmtId="0" fontId="3" fillId="9" borderId="95" xfId="0" applyFont="1" applyFill="1" applyBorder="1" applyAlignment="1">
      <alignment horizontal="left" vertical="center"/>
    </xf>
    <xf numFmtId="0" fontId="4" fillId="0" borderId="96" xfId="0" applyFont="1" applyBorder="1"/>
    <xf numFmtId="0" fontId="3" fillId="11" borderId="2" xfId="0" applyFont="1" applyFill="1" applyBorder="1" applyAlignment="1">
      <alignment horizontal="center" vertical="center"/>
    </xf>
    <xf numFmtId="0" fontId="4" fillId="0" borderId="97" xfId="0" applyFont="1" applyBorder="1"/>
    <xf numFmtId="0" fontId="4" fillId="0" borderId="98" xfId="0" applyFont="1" applyBorder="1" applyAlignment="1">
      <alignment horizontal="center"/>
    </xf>
    <xf numFmtId="0" fontId="4" fillId="0" borderId="99" xfId="0" applyFont="1" applyBorder="1" applyAlignment="1">
      <alignment horizontal="center"/>
    </xf>
    <xf numFmtId="0" fontId="3" fillId="11" borderId="100" xfId="0" applyFont="1" applyFill="1" applyBorder="1" applyAlignment="1">
      <alignment horizontal="left" vertical="center"/>
    </xf>
    <xf numFmtId="0" fontId="3" fillId="11" borderId="79" xfId="0" applyFont="1" applyFill="1" applyBorder="1" applyAlignment="1">
      <alignment horizontal="center" vertical="center"/>
    </xf>
    <xf numFmtId="0" fontId="3" fillId="12" borderId="2" xfId="0" applyFont="1" applyFill="1" applyBorder="1" applyAlignment="1">
      <alignment horizontal="center" vertical="center"/>
    </xf>
    <xf numFmtId="0" fontId="4" fillId="0" borderId="75" xfId="0" applyFont="1" applyBorder="1" applyAlignment="1">
      <alignment horizontal="center"/>
    </xf>
    <xf numFmtId="0" fontId="4" fillId="0" borderId="101" xfId="0" applyFont="1" applyBorder="1"/>
    <xf numFmtId="0" fontId="4" fillId="0" borderId="102" xfId="0" applyFont="1" applyBorder="1" applyAlignment="1">
      <alignment horizontal="center"/>
    </xf>
    <xf numFmtId="0" fontId="4" fillId="0" borderId="73" xfId="0" applyFont="1" applyBorder="1" applyAlignment="1">
      <alignment horizontal="center"/>
    </xf>
    <xf numFmtId="0" fontId="4" fillId="0" borderId="103" xfId="0" applyFont="1" applyBorder="1"/>
    <xf numFmtId="0" fontId="4" fillId="0" borderId="104" xfId="0" applyFont="1" applyBorder="1" applyAlignment="1">
      <alignment horizontal="center"/>
    </xf>
    <xf numFmtId="0" fontId="4" fillId="0" borderId="105" xfId="0" applyFont="1" applyBorder="1"/>
    <xf numFmtId="0" fontId="4" fillId="0" borderId="106" xfId="0" applyFont="1" applyBorder="1" applyAlignment="1">
      <alignment horizontal="center"/>
    </xf>
    <xf numFmtId="0" fontId="3" fillId="13" borderId="2" xfId="0" applyFont="1" applyFill="1" applyBorder="1" applyAlignment="1">
      <alignment horizontal="center" vertical="center"/>
    </xf>
    <xf numFmtId="0" fontId="29" fillId="0" borderId="0" xfId="0" applyFont="1" applyBorder="1" applyAlignment="1">
      <alignment horizontal="center" vertical="center"/>
    </xf>
    <xf numFmtId="0" fontId="3" fillId="13" borderId="100" xfId="0" applyFont="1" applyFill="1" applyBorder="1" applyAlignment="1">
      <alignment horizontal="left" vertical="center"/>
    </xf>
    <xf numFmtId="0" fontId="3" fillId="13" borderId="79" xfId="0" applyFont="1" applyFill="1" applyBorder="1" applyAlignment="1">
      <alignment horizontal="center" vertical="center"/>
    </xf>
    <xf numFmtId="0" fontId="4" fillId="0" borderId="17" xfId="0" applyFont="1" applyBorder="1" applyAlignment="1">
      <alignment horizontal="center" vertical="center"/>
    </xf>
    <xf numFmtId="0" fontId="3" fillId="13" borderId="32" xfId="0" applyFont="1" applyFill="1" applyBorder="1" applyAlignment="1">
      <alignment horizontal="center" vertical="center"/>
    </xf>
    <xf numFmtId="0" fontId="4" fillId="0" borderId="22" xfId="0" applyFont="1" applyBorder="1" applyAlignment="1">
      <alignment horizontal="center"/>
    </xf>
    <xf numFmtId="0" fontId="4" fillId="0" borderId="27" xfId="0" applyFont="1" applyBorder="1" applyAlignment="1">
      <alignment horizontal="center"/>
    </xf>
    <xf numFmtId="0" fontId="2" fillId="18" borderId="35" xfId="0" applyFont="1" applyFill="1" applyBorder="1"/>
    <xf numFmtId="0" fontId="7" fillId="6" borderId="16" xfId="0" applyFont="1" applyFill="1" applyBorder="1" applyAlignment="1">
      <alignment horizontal="left" vertical="center" wrapText="1"/>
    </xf>
    <xf numFmtId="0" fontId="2" fillId="20" borderId="27" xfId="0" applyFont="1" applyFill="1" applyBorder="1" applyAlignment="1">
      <alignment wrapText="1"/>
    </xf>
    <xf numFmtId="0" fontId="2" fillId="2" borderId="16" xfId="0" applyFont="1" applyFill="1" applyBorder="1" applyAlignment="1">
      <alignment horizontal="center"/>
    </xf>
    <xf numFmtId="0" fontId="2" fillId="17" borderId="25" xfId="0" applyFont="1" applyFill="1" applyBorder="1" applyAlignment="1">
      <alignment horizontal="center"/>
    </xf>
    <xf numFmtId="0" fontId="2" fillId="17" borderId="27" xfId="0" applyFont="1" applyFill="1" applyBorder="1"/>
    <xf numFmtId="0" fontId="23" fillId="32" borderId="4" xfId="0" applyFont="1" applyFill="1" applyBorder="1" applyAlignment="1">
      <alignment horizontal="center" vertical="center"/>
    </xf>
    <xf numFmtId="0" fontId="23" fillId="32" borderId="5" xfId="0" applyFont="1" applyFill="1" applyBorder="1" applyAlignment="1">
      <alignment horizontal="center" vertical="center"/>
    </xf>
    <xf numFmtId="0" fontId="23" fillId="32" borderId="2" xfId="0" applyFont="1" applyFill="1" applyBorder="1" applyAlignment="1">
      <alignment horizontal="center" vertical="center"/>
    </xf>
    <xf numFmtId="0" fontId="25" fillId="33" borderId="4" xfId="0" applyFont="1" applyFill="1" applyBorder="1" applyAlignment="1">
      <alignment horizontal="center" vertical="center"/>
    </xf>
    <xf numFmtId="0" fontId="25" fillId="33" borderId="5" xfId="0" applyFont="1" applyFill="1" applyBorder="1" applyAlignment="1">
      <alignment horizontal="center" vertical="center"/>
    </xf>
    <xf numFmtId="0" fontId="25" fillId="33" borderId="2" xfId="0" applyFont="1" applyFill="1" applyBorder="1" applyAlignment="1">
      <alignment horizontal="center" vertical="center"/>
    </xf>
    <xf numFmtId="0" fontId="27" fillId="34" borderId="4" xfId="0" applyFont="1" applyFill="1" applyBorder="1" applyAlignment="1">
      <alignment horizontal="center" vertical="center"/>
    </xf>
    <xf numFmtId="0" fontId="27" fillId="34" borderId="5" xfId="0" applyFont="1" applyFill="1" applyBorder="1" applyAlignment="1">
      <alignment horizontal="center" vertical="center"/>
    </xf>
    <xf numFmtId="0" fontId="27" fillId="34" borderId="2" xfId="0" applyFont="1" applyFill="1" applyBorder="1" applyAlignment="1">
      <alignment horizontal="center" vertical="center"/>
    </xf>
    <xf numFmtId="0" fontId="28" fillId="35" borderId="4" xfId="0" applyFont="1" applyFill="1" applyBorder="1" applyAlignment="1">
      <alignment horizontal="center" vertical="center"/>
    </xf>
    <xf numFmtId="0" fontId="28" fillId="35" borderId="5" xfId="0" applyFont="1" applyFill="1" applyBorder="1" applyAlignment="1">
      <alignment horizontal="center" vertical="center"/>
    </xf>
    <xf numFmtId="0" fontId="28" fillId="35" borderId="2" xfId="0" applyFont="1" applyFill="1" applyBorder="1" applyAlignment="1">
      <alignment horizontal="center" vertical="center"/>
    </xf>
    <xf numFmtId="0" fontId="27" fillId="36" borderId="92" xfId="0" applyFont="1" applyFill="1" applyBorder="1" applyAlignment="1">
      <alignment horizontal="center" vertical="center"/>
    </xf>
    <xf numFmtId="0" fontId="27" fillId="36" borderId="93" xfId="0" applyFont="1" applyFill="1" applyBorder="1" applyAlignment="1">
      <alignment horizontal="center" vertical="center"/>
    </xf>
    <xf numFmtId="0" fontId="27" fillId="36" borderId="107" xfId="0" applyFont="1" applyFill="1" applyBorder="1" applyAlignment="1">
      <alignment horizontal="center" vertical="center"/>
    </xf>
    <xf numFmtId="0" fontId="22" fillId="0" borderId="4" xfId="0" applyFont="1" applyFill="1" applyBorder="1" applyAlignment="1">
      <alignment horizontal="left" vertical="center"/>
    </xf>
    <xf numFmtId="0" fontId="22" fillId="0" borderId="5" xfId="0" applyFont="1" applyFill="1" applyBorder="1" applyAlignment="1">
      <alignment horizontal="left" vertical="center"/>
    </xf>
    <xf numFmtId="0" fontId="22" fillId="0" borderId="2" xfId="0" applyFont="1" applyFill="1" applyBorder="1" applyAlignment="1">
      <alignment horizontal="left" vertical="center"/>
    </xf>
    <xf numFmtId="0" fontId="3" fillId="12" borderId="4" xfId="0" applyFont="1" applyFill="1" applyBorder="1" applyAlignment="1">
      <alignment horizontal="left" vertical="center"/>
    </xf>
    <xf numFmtId="0" fontId="3" fillId="12" borderId="5" xfId="0" applyFont="1" applyFill="1" applyBorder="1" applyAlignment="1">
      <alignment horizontal="left" vertical="center"/>
    </xf>
    <xf numFmtId="0" fontId="3" fillId="12" borderId="31" xfId="0" applyFont="1" applyFill="1" applyBorder="1" applyAlignment="1">
      <alignment horizontal="left" vertical="center"/>
    </xf>
    <xf numFmtId="0" fontId="3" fillId="12" borderId="32" xfId="0" applyFont="1" applyFill="1" applyBorder="1" applyAlignment="1">
      <alignment horizontal="left" vertical="center"/>
    </xf>
    <xf numFmtId="0" fontId="9" fillId="0" borderId="4" xfId="0" applyFont="1" applyBorder="1" applyAlignment="1">
      <alignment horizontal="center" vertical="center"/>
    </xf>
    <xf numFmtId="0" fontId="9" fillId="0" borderId="5" xfId="0" applyFont="1" applyBorder="1" applyAlignment="1">
      <alignment horizontal="center" vertical="center"/>
    </xf>
    <xf numFmtId="0" fontId="9" fillId="0" borderId="2" xfId="0" applyFont="1" applyBorder="1" applyAlignment="1">
      <alignment horizontal="center" vertical="center"/>
    </xf>
    <xf numFmtId="0" fontId="3" fillId="9" borderId="4" xfId="0" applyFont="1" applyFill="1" applyBorder="1" applyAlignment="1">
      <alignment horizontal="left" vertical="center"/>
    </xf>
    <xf numFmtId="0" fontId="3" fillId="9" borderId="5" xfId="0" applyFont="1" applyFill="1" applyBorder="1" applyAlignment="1">
      <alignment horizontal="left" vertical="center"/>
    </xf>
    <xf numFmtId="0" fontId="3" fillId="9" borderId="31" xfId="0" applyFont="1" applyFill="1" applyBorder="1" applyAlignment="1">
      <alignment horizontal="left" vertical="center"/>
    </xf>
    <xf numFmtId="0" fontId="3" fillId="9" borderId="32" xfId="0" applyFont="1" applyFill="1" applyBorder="1" applyAlignment="1">
      <alignment horizontal="left" vertical="center"/>
    </xf>
    <xf numFmtId="0" fontId="3" fillId="9" borderId="0" xfId="0" applyFont="1" applyFill="1" applyBorder="1" applyAlignment="1">
      <alignment horizontal="left" vertical="center"/>
    </xf>
    <xf numFmtId="0" fontId="3" fillId="9" borderId="34" xfId="0" applyFont="1" applyFill="1" applyBorder="1" applyAlignment="1">
      <alignment horizontal="left" vertical="center"/>
    </xf>
    <xf numFmtId="0" fontId="22" fillId="8" borderId="4" xfId="0" applyFont="1" applyFill="1" applyBorder="1" applyAlignment="1">
      <alignment horizontal="center" vertical="center"/>
    </xf>
    <xf numFmtId="0" fontId="22" fillId="8" borderId="5" xfId="0" applyFont="1" applyFill="1" applyBorder="1" applyAlignment="1">
      <alignment horizontal="center" vertical="center"/>
    </xf>
    <xf numFmtId="0" fontId="22" fillId="8" borderId="2" xfId="0" applyFont="1" applyFill="1" applyBorder="1" applyAlignment="1">
      <alignment horizontal="center" vertical="center"/>
    </xf>
    <xf numFmtId="0" fontId="3" fillId="11" borderId="4" xfId="0" applyFont="1" applyFill="1" applyBorder="1" applyAlignment="1">
      <alignment horizontal="left" vertical="center"/>
    </xf>
    <xf numFmtId="0" fontId="3" fillId="11" borderId="5" xfId="0" applyFont="1" applyFill="1" applyBorder="1" applyAlignment="1">
      <alignment horizontal="left" vertical="center"/>
    </xf>
    <xf numFmtId="0" fontId="3" fillId="11" borderId="31" xfId="0" applyFont="1" applyFill="1" applyBorder="1" applyAlignment="1">
      <alignment horizontal="left" vertical="center"/>
    </xf>
    <xf numFmtId="0" fontId="3" fillId="11" borderId="32" xfId="0" applyFont="1" applyFill="1" applyBorder="1" applyAlignment="1">
      <alignment horizontal="left" vertical="center"/>
    </xf>
    <xf numFmtId="0" fontId="3" fillId="11" borderId="0" xfId="0" applyFont="1" applyFill="1" applyBorder="1" applyAlignment="1">
      <alignment horizontal="left" vertical="center"/>
    </xf>
    <xf numFmtId="0" fontId="3" fillId="11" borderId="34" xfId="0" applyFont="1" applyFill="1" applyBorder="1" applyAlignment="1">
      <alignment horizontal="left" vertical="center"/>
    </xf>
    <xf numFmtId="0" fontId="22" fillId="0" borderId="4" xfId="0" applyFont="1" applyFill="1" applyBorder="1" applyAlignment="1">
      <alignment horizontal="center" vertical="center"/>
    </xf>
    <xf numFmtId="0" fontId="22" fillId="0" borderId="5" xfId="0" applyFont="1" applyFill="1" applyBorder="1" applyAlignment="1">
      <alignment horizontal="center" vertical="center"/>
    </xf>
    <xf numFmtId="0" fontId="22" fillId="0" borderId="2" xfId="0" applyFont="1" applyFill="1" applyBorder="1" applyAlignment="1">
      <alignment horizontal="center" vertical="center"/>
    </xf>
    <xf numFmtId="0" fontId="3" fillId="12" borderId="0" xfId="0" applyFont="1" applyFill="1" applyBorder="1" applyAlignment="1">
      <alignment horizontal="left" vertical="center"/>
    </xf>
    <xf numFmtId="0" fontId="3" fillId="12" borderId="34" xfId="0" applyFont="1" applyFill="1" applyBorder="1" applyAlignment="1">
      <alignment horizontal="left" vertical="center"/>
    </xf>
    <xf numFmtId="0" fontId="3" fillId="13" borderId="4" xfId="0" applyFont="1" applyFill="1" applyBorder="1" applyAlignment="1">
      <alignment horizontal="left" vertical="center"/>
    </xf>
    <xf numFmtId="0" fontId="3" fillId="13" borderId="5" xfId="0" applyFont="1" applyFill="1" applyBorder="1" applyAlignment="1">
      <alignment horizontal="left" vertical="center"/>
    </xf>
    <xf numFmtId="0" fontId="3" fillId="13" borderId="31" xfId="0" applyFont="1" applyFill="1" applyBorder="1" applyAlignment="1">
      <alignment horizontal="left" vertical="center"/>
    </xf>
    <xf numFmtId="0" fontId="3" fillId="13" borderId="32" xfId="0" applyFont="1" applyFill="1" applyBorder="1" applyAlignment="1">
      <alignment horizontal="left" vertical="center"/>
    </xf>
    <xf numFmtId="0" fontId="3" fillId="13" borderId="0" xfId="0" applyFont="1" applyFill="1" applyBorder="1" applyAlignment="1">
      <alignment horizontal="left" vertical="center"/>
    </xf>
    <xf numFmtId="0" fontId="3" fillId="13" borderId="34" xfId="0" applyFont="1" applyFill="1" applyBorder="1" applyAlignment="1">
      <alignment horizontal="left" vertical="center"/>
    </xf>
    <xf numFmtId="0" fontId="0" fillId="0" borderId="39" xfId="0" applyBorder="1" applyAlignment="1">
      <alignment horizontal="center"/>
    </xf>
    <xf numFmtId="0" fontId="0" fillId="0" borderId="41" xfId="0" applyBorder="1" applyAlignment="1">
      <alignment horizontal="center"/>
    </xf>
    <xf numFmtId="0" fontId="1" fillId="27" borderId="24" xfId="0" applyFont="1" applyFill="1" applyBorder="1" applyAlignment="1">
      <alignment horizontal="center"/>
    </xf>
    <xf numFmtId="0" fontId="1" fillId="27" borderId="1" xfId="0" applyFont="1" applyFill="1" applyBorder="1" applyAlignment="1">
      <alignment horizontal="center"/>
    </xf>
    <xf numFmtId="0" fontId="1" fillId="27" borderId="28" xfId="0" applyFont="1" applyFill="1" applyBorder="1" applyAlignment="1">
      <alignment horizontal="center"/>
    </xf>
    <xf numFmtId="0" fontId="1" fillId="27" borderId="25" xfId="0" applyFont="1" applyFill="1" applyBorder="1" applyAlignment="1">
      <alignment horizontal="center"/>
    </xf>
    <xf numFmtId="0" fontId="1" fillId="27" borderId="21" xfId="0" applyFont="1" applyFill="1" applyBorder="1" applyAlignment="1">
      <alignment horizontal="center"/>
    </xf>
    <xf numFmtId="0" fontId="1" fillId="27" borderId="20" xfId="0" applyFont="1" applyFill="1" applyBorder="1" applyAlignment="1">
      <alignment horizontal="center"/>
    </xf>
    <xf numFmtId="0" fontId="9" fillId="7" borderId="48" xfId="0" applyFont="1" applyFill="1" applyBorder="1" applyAlignment="1">
      <alignment horizontal="center" vertical="center"/>
    </xf>
    <xf numFmtId="0" fontId="9" fillId="7" borderId="37" xfId="0" applyFont="1" applyFill="1" applyBorder="1" applyAlignment="1">
      <alignment horizontal="center" vertical="center"/>
    </xf>
    <xf numFmtId="0" fontId="9" fillId="7" borderId="38" xfId="0" applyFont="1" applyFill="1" applyBorder="1" applyAlignment="1">
      <alignment horizontal="center" vertical="center"/>
    </xf>
    <xf numFmtId="0" fontId="5" fillId="27" borderId="49" xfId="0" applyFont="1" applyFill="1" applyBorder="1" applyAlignment="1">
      <alignment horizontal="center"/>
    </xf>
    <xf numFmtId="0" fontId="5" fillId="27" borderId="50" xfId="0" applyFont="1" applyFill="1" applyBorder="1" applyAlignment="1">
      <alignment horizontal="center"/>
    </xf>
    <xf numFmtId="0" fontId="5" fillId="27" borderId="57" xfId="0" applyFont="1" applyFill="1" applyBorder="1" applyAlignment="1">
      <alignment horizontal="center"/>
    </xf>
    <xf numFmtId="0" fontId="5" fillId="27" borderId="63" xfId="0" applyFont="1" applyFill="1" applyBorder="1" applyAlignment="1">
      <alignment horizontal="center"/>
    </xf>
    <xf numFmtId="0" fontId="5" fillId="27" borderId="60" xfId="0" applyFont="1" applyFill="1" applyBorder="1" applyAlignment="1">
      <alignment horizontal="center"/>
    </xf>
    <xf numFmtId="0" fontId="5" fillId="27" borderId="52" xfId="0" applyFont="1" applyFill="1" applyBorder="1" applyAlignment="1">
      <alignment horizontal="center"/>
    </xf>
    <xf numFmtId="0" fontId="1" fillId="27" borderId="13" xfId="0" applyFont="1" applyFill="1" applyBorder="1" applyAlignment="1">
      <alignment horizontal="center"/>
    </xf>
    <xf numFmtId="0" fontId="1" fillId="27" borderId="14" xfId="0" applyFont="1" applyFill="1" applyBorder="1" applyAlignment="1">
      <alignment horizontal="center"/>
    </xf>
    <xf numFmtId="0" fontId="1" fillId="27" borderId="10" xfId="0" applyFont="1" applyFill="1" applyBorder="1" applyAlignment="1">
      <alignment horizontal="center"/>
    </xf>
    <xf numFmtId="0" fontId="5" fillId="27" borderId="30" xfId="0" applyFont="1" applyFill="1" applyBorder="1" applyAlignment="1">
      <alignment horizontal="center"/>
    </xf>
    <xf numFmtId="0" fontId="5" fillId="27" borderId="31" xfId="0" applyFont="1" applyFill="1" applyBorder="1" applyAlignment="1">
      <alignment horizontal="center"/>
    </xf>
    <xf numFmtId="0" fontId="5" fillId="27" borderId="32" xfId="0" applyFont="1" applyFill="1" applyBorder="1" applyAlignment="1">
      <alignment horizontal="center"/>
    </xf>
    <xf numFmtId="0" fontId="9" fillId="7" borderId="4" xfId="0" applyFont="1" applyFill="1" applyBorder="1" applyAlignment="1">
      <alignment horizontal="center" vertical="center"/>
    </xf>
    <xf numFmtId="0" fontId="9" fillId="7" borderId="5" xfId="0" applyFont="1" applyFill="1" applyBorder="1" applyAlignment="1">
      <alignment horizontal="center" vertical="center"/>
    </xf>
    <xf numFmtId="0" fontId="9" fillId="7" borderId="2" xfId="0" applyFont="1" applyFill="1" applyBorder="1" applyAlignment="1">
      <alignment horizontal="center" vertical="center"/>
    </xf>
    <xf numFmtId="0" fontId="5" fillId="22" borderId="48" xfId="0" applyFont="1" applyFill="1" applyBorder="1" applyAlignment="1">
      <alignment horizontal="left"/>
    </xf>
    <xf numFmtId="0" fontId="5" fillId="22" borderId="37" xfId="0" applyFont="1" applyFill="1" applyBorder="1" applyAlignment="1">
      <alignment horizontal="left"/>
    </xf>
    <xf numFmtId="0" fontId="5" fillId="22" borderId="38" xfId="0" applyFont="1" applyFill="1" applyBorder="1" applyAlignment="1">
      <alignment horizontal="left"/>
    </xf>
    <xf numFmtId="0" fontId="1" fillId="27" borderId="28" xfId="0" applyFont="1" applyFill="1" applyBorder="1" applyAlignment="1">
      <alignment horizontal="center" vertical="center"/>
    </xf>
    <xf numFmtId="0" fontId="1" fillId="27" borderId="25" xfId="0" applyFont="1" applyFill="1" applyBorder="1" applyAlignment="1">
      <alignment horizontal="center" vertical="center"/>
    </xf>
    <xf numFmtId="0" fontId="1" fillId="27" borderId="18" xfId="0" applyFont="1" applyFill="1" applyBorder="1" applyAlignment="1">
      <alignment horizontal="center"/>
    </xf>
    <xf numFmtId="0" fontId="1" fillId="27" borderId="19" xfId="0" applyFont="1" applyFill="1" applyBorder="1" applyAlignment="1">
      <alignment horizontal="center"/>
    </xf>
    <xf numFmtId="0" fontId="1" fillId="27" borderId="46" xfId="0" applyFont="1" applyFill="1" applyBorder="1" applyAlignment="1">
      <alignment horizontal="center"/>
    </xf>
    <xf numFmtId="0" fontId="9" fillId="7" borderId="47" xfId="0" applyFont="1" applyFill="1" applyBorder="1" applyAlignment="1">
      <alignment horizontal="center" vertical="center"/>
    </xf>
    <xf numFmtId="0" fontId="9" fillId="7" borderId="0" xfId="0" applyFont="1" applyFill="1" applyBorder="1" applyAlignment="1">
      <alignment horizontal="center" vertical="center"/>
    </xf>
    <xf numFmtId="0" fontId="9" fillId="7" borderId="34" xfId="0" applyFont="1" applyFill="1" applyBorder="1" applyAlignment="1">
      <alignment horizontal="center" vertical="center"/>
    </xf>
    <xf numFmtId="0" fontId="5" fillId="22" borderId="30" xfId="0" applyFont="1" applyFill="1" applyBorder="1" applyAlignment="1">
      <alignment horizontal="left"/>
    </xf>
    <xf numFmtId="0" fontId="5" fillId="22" borderId="31" xfId="0" applyFont="1" applyFill="1" applyBorder="1" applyAlignment="1">
      <alignment horizontal="left"/>
    </xf>
    <xf numFmtId="0" fontId="5" fillId="22" borderId="32" xfId="0" applyFont="1" applyFill="1" applyBorder="1" applyAlignment="1">
      <alignment horizontal="left"/>
    </xf>
    <xf numFmtId="0" fontId="5" fillId="27" borderId="4" xfId="0" applyFont="1" applyFill="1" applyBorder="1" applyAlignment="1">
      <alignment horizontal="center"/>
    </xf>
    <xf numFmtId="0" fontId="5" fillId="27" borderId="5" xfId="0" applyFont="1" applyFill="1" applyBorder="1" applyAlignment="1">
      <alignment horizontal="center"/>
    </xf>
    <xf numFmtId="0" fontId="5" fillId="27" borderId="2" xfId="0" applyFont="1" applyFill="1" applyBorder="1" applyAlignment="1">
      <alignment horizontal="center"/>
    </xf>
    <xf numFmtId="0" fontId="1" fillId="27" borderId="23" xfId="0" applyFont="1" applyFill="1" applyBorder="1" applyAlignment="1">
      <alignment horizontal="center"/>
    </xf>
    <xf numFmtId="0" fontId="1" fillId="27" borderId="7" xfId="0" applyFont="1" applyFill="1" applyBorder="1" applyAlignment="1">
      <alignment horizontal="center"/>
    </xf>
    <xf numFmtId="0" fontId="13" fillId="25" borderId="30" xfId="0" applyFont="1" applyFill="1" applyBorder="1" applyAlignment="1">
      <alignment horizontal="center" vertical="center"/>
    </xf>
    <xf numFmtId="0" fontId="13" fillId="25" borderId="31" xfId="0" applyFont="1" applyFill="1" applyBorder="1" applyAlignment="1">
      <alignment horizontal="center" vertical="center"/>
    </xf>
    <xf numFmtId="0" fontId="13" fillId="25" borderId="32" xfId="0" applyFont="1" applyFill="1" applyBorder="1" applyAlignment="1">
      <alignment horizontal="center" vertical="center"/>
    </xf>
    <xf numFmtId="0" fontId="13" fillId="25" borderId="48" xfId="0" applyFont="1" applyFill="1" applyBorder="1" applyAlignment="1">
      <alignment horizontal="center" vertical="center"/>
    </xf>
    <xf numFmtId="0" fontId="13" fillId="25" borderId="37" xfId="0" applyFont="1" applyFill="1" applyBorder="1" applyAlignment="1">
      <alignment horizontal="center" vertical="center"/>
    </xf>
    <xf numFmtId="0" fontId="13" fillId="25" borderId="38" xfId="0" applyFont="1" applyFill="1" applyBorder="1" applyAlignment="1">
      <alignment horizontal="center" vertical="center"/>
    </xf>
    <xf numFmtId="0" fontId="17" fillId="25" borderId="4" xfId="0" applyFont="1" applyFill="1" applyBorder="1" applyAlignment="1">
      <alignment horizontal="center" vertical="center"/>
    </xf>
    <xf numFmtId="0" fontId="17" fillId="25" borderId="5" xfId="0" applyFont="1" applyFill="1" applyBorder="1" applyAlignment="1">
      <alignment horizontal="center" vertical="center"/>
    </xf>
    <xf numFmtId="0" fontId="17" fillId="25" borderId="2" xfId="0" applyFont="1" applyFill="1" applyBorder="1" applyAlignment="1">
      <alignment horizontal="center" vertical="center"/>
    </xf>
    <xf numFmtId="0" fontId="17" fillId="25" borderId="30" xfId="0" applyFont="1" applyFill="1" applyBorder="1" applyAlignment="1">
      <alignment horizontal="center" vertical="center"/>
    </xf>
    <xf numFmtId="0" fontId="17" fillId="25" borderId="32" xfId="0" applyFont="1" applyFill="1" applyBorder="1" applyAlignment="1">
      <alignment horizontal="center" vertical="center"/>
    </xf>
    <xf numFmtId="0" fontId="13" fillId="26" borderId="4" xfId="0" applyFont="1" applyFill="1" applyBorder="1" applyAlignment="1">
      <alignment horizontal="center" vertical="center"/>
    </xf>
    <xf numFmtId="0" fontId="13" fillId="26" borderId="5" xfId="0" applyFont="1" applyFill="1" applyBorder="1" applyAlignment="1">
      <alignment horizontal="center" vertical="center"/>
    </xf>
    <xf numFmtId="0" fontId="13" fillId="26" borderId="2" xfId="0" applyFont="1" applyFill="1" applyBorder="1" applyAlignment="1">
      <alignment horizontal="center" vertical="center"/>
    </xf>
    <xf numFmtId="0" fontId="18" fillId="7" borderId="31" xfId="0" applyFont="1" applyFill="1" applyBorder="1" applyAlignment="1">
      <alignment horizontal="center" vertical="center" wrapText="1"/>
    </xf>
    <xf numFmtId="0" fontId="18" fillId="7" borderId="0" xfId="0" applyFont="1" applyFill="1" applyBorder="1" applyAlignment="1">
      <alignment horizontal="center" vertical="center" wrapText="1"/>
    </xf>
    <xf numFmtId="0" fontId="14" fillId="7" borderId="30" xfId="0" applyFont="1" applyFill="1" applyBorder="1" applyAlignment="1">
      <alignment horizontal="center" vertical="center" wrapText="1"/>
    </xf>
    <xf numFmtId="0" fontId="14" fillId="7" borderId="31" xfId="0" applyFont="1" applyFill="1" applyBorder="1" applyAlignment="1">
      <alignment horizontal="center" vertical="center" wrapText="1"/>
    </xf>
    <xf numFmtId="0" fontId="14" fillId="7" borderId="32" xfId="0" applyFont="1" applyFill="1" applyBorder="1" applyAlignment="1">
      <alignment horizontal="center" vertical="center" wrapText="1"/>
    </xf>
    <xf numFmtId="0" fontId="14" fillId="7" borderId="48" xfId="0" applyFont="1" applyFill="1" applyBorder="1" applyAlignment="1">
      <alignment horizontal="center" vertical="center" wrapText="1"/>
    </xf>
    <xf numFmtId="0" fontId="14" fillId="7" borderId="37" xfId="0" applyFont="1" applyFill="1" applyBorder="1" applyAlignment="1">
      <alignment horizontal="center" vertical="center" wrapText="1"/>
    </xf>
    <xf numFmtId="0" fontId="14" fillId="7" borderId="38" xfId="0" applyFont="1" applyFill="1" applyBorder="1" applyAlignment="1">
      <alignment horizontal="center" vertical="center" wrapText="1"/>
    </xf>
    <xf numFmtId="0" fontId="9" fillId="7" borderId="30" xfId="0" applyFont="1" applyFill="1" applyBorder="1" applyAlignment="1">
      <alignment horizontal="center" vertical="center" wrapText="1"/>
    </xf>
    <xf numFmtId="0" fontId="9" fillId="7" borderId="31" xfId="0" applyFont="1" applyFill="1" applyBorder="1" applyAlignment="1">
      <alignment horizontal="center" vertical="center" wrapText="1"/>
    </xf>
    <xf numFmtId="0" fontId="9" fillId="7" borderId="32" xfId="0" applyFont="1" applyFill="1" applyBorder="1" applyAlignment="1">
      <alignment horizontal="center" vertical="center" wrapText="1"/>
    </xf>
    <xf numFmtId="0" fontId="9" fillId="7" borderId="48" xfId="0" applyFont="1" applyFill="1" applyBorder="1" applyAlignment="1">
      <alignment horizontal="center" vertical="center" wrapText="1"/>
    </xf>
    <xf numFmtId="0" fontId="9" fillId="7" borderId="37" xfId="0" applyFont="1" applyFill="1" applyBorder="1" applyAlignment="1">
      <alignment horizontal="center" vertical="center" wrapText="1"/>
    </xf>
    <xf numFmtId="0" fontId="9" fillId="7" borderId="38" xfId="0" applyFont="1" applyFill="1" applyBorder="1" applyAlignment="1">
      <alignment horizontal="center" vertical="center" wrapText="1"/>
    </xf>
    <xf numFmtId="0" fontId="1" fillId="27" borderId="43" xfId="0" applyFont="1" applyFill="1" applyBorder="1" applyAlignment="1">
      <alignment horizontal="center" vertical="center"/>
    </xf>
    <xf numFmtId="0" fontId="1" fillId="27" borderId="56" xfId="0" applyFont="1" applyFill="1" applyBorder="1" applyAlignment="1">
      <alignment horizontal="center" vertical="center"/>
    </xf>
    <xf numFmtId="0" fontId="1" fillId="27" borderId="43" xfId="0" applyFont="1" applyFill="1" applyBorder="1" applyAlignment="1">
      <alignment horizontal="center" vertical="center" wrapText="1"/>
    </xf>
    <xf numFmtId="0" fontId="1" fillId="27" borderId="56" xfId="0" applyFont="1" applyFill="1" applyBorder="1" applyAlignment="1">
      <alignment horizontal="center" vertical="center" wrapText="1"/>
    </xf>
    <xf numFmtId="0" fontId="9" fillId="7" borderId="30" xfId="0" applyFont="1" applyFill="1" applyBorder="1" applyAlignment="1">
      <alignment horizontal="center" vertical="center"/>
    </xf>
    <xf numFmtId="0" fontId="9" fillId="7" borderId="31" xfId="0" applyFont="1" applyFill="1" applyBorder="1" applyAlignment="1">
      <alignment horizontal="center" vertical="center"/>
    </xf>
    <xf numFmtId="0" fontId="9" fillId="7" borderId="32" xfId="0" applyFont="1" applyFill="1" applyBorder="1" applyAlignment="1">
      <alignment horizontal="center" vertical="center"/>
    </xf>
    <xf numFmtId="0" fontId="1" fillId="7" borderId="4" xfId="0" applyFont="1" applyFill="1" applyBorder="1" applyAlignment="1">
      <alignment horizontal="center"/>
    </xf>
    <xf numFmtId="0" fontId="1" fillId="7" borderId="2" xfId="0" applyFont="1" applyFill="1" applyBorder="1" applyAlignment="1">
      <alignment horizontal="center"/>
    </xf>
    <xf numFmtId="0" fontId="9" fillId="7" borderId="29" xfId="0" applyFont="1" applyFill="1" applyBorder="1" applyAlignment="1">
      <alignment horizontal="center" vertical="center"/>
    </xf>
    <xf numFmtId="0" fontId="9" fillId="7" borderId="56" xfId="0" applyFont="1" applyFill="1" applyBorder="1" applyAlignment="1">
      <alignment horizontal="center" vertical="center"/>
    </xf>
    <xf numFmtId="0" fontId="1" fillId="7" borderId="30" xfId="0" applyFont="1" applyFill="1" applyBorder="1" applyAlignment="1">
      <alignment horizontal="center"/>
    </xf>
    <xf numFmtId="0" fontId="1" fillId="7" borderId="32" xfId="0" applyFont="1" applyFill="1" applyBorder="1" applyAlignment="1">
      <alignment horizontal="center"/>
    </xf>
    <xf numFmtId="0" fontId="17" fillId="7" borderId="29" xfId="0" applyFont="1" applyFill="1" applyBorder="1" applyAlignment="1">
      <alignment horizontal="center" vertical="center" wrapText="1"/>
    </xf>
    <xf numFmtId="0" fontId="17" fillId="7" borderId="43" xfId="0" applyFont="1" applyFill="1" applyBorder="1" applyAlignment="1">
      <alignment horizontal="center" vertical="center" wrapText="1"/>
    </xf>
    <xf numFmtId="0" fontId="1" fillId="28" borderId="69" xfId="0" applyFont="1" applyFill="1" applyBorder="1" applyAlignment="1">
      <alignment horizontal="center"/>
    </xf>
    <xf numFmtId="0" fontId="0" fillId="0" borderId="47" xfId="0" applyBorder="1" applyAlignment="1">
      <alignment horizontal="left" vertical="center"/>
    </xf>
    <xf numFmtId="0" fontId="0" fillId="0" borderId="0" xfId="0" applyBorder="1" applyAlignment="1">
      <alignment horizontal="left" vertical="center"/>
    </xf>
    <xf numFmtId="0" fontId="0" fillId="0" borderId="34" xfId="0" applyBorder="1" applyAlignment="1">
      <alignment horizontal="left" vertical="center"/>
    </xf>
    <xf numFmtId="0" fontId="0" fillId="21" borderId="16" xfId="0" applyFont="1" applyFill="1" applyBorder="1" applyAlignment="1">
      <alignment horizontal="center" vertical="center" wrapText="1"/>
    </xf>
    <xf numFmtId="0" fontId="0" fillId="21" borderId="7" xfId="0" applyFont="1" applyFill="1" applyBorder="1" applyAlignment="1">
      <alignment horizontal="center" vertical="center" wrapText="1"/>
    </xf>
    <xf numFmtId="0" fontId="1" fillId="21" borderId="15" xfId="0" applyFont="1" applyFill="1" applyBorder="1" applyAlignment="1">
      <alignment horizontal="center" vertical="center"/>
    </xf>
    <xf numFmtId="0" fontId="1" fillId="21" borderId="67" xfId="0" applyFont="1" applyFill="1" applyBorder="1" applyAlignment="1">
      <alignment horizontal="center" vertical="center"/>
    </xf>
    <xf numFmtId="0" fontId="1" fillId="21" borderId="71" xfId="0" applyFont="1" applyFill="1" applyBorder="1" applyAlignment="1">
      <alignment horizontal="center" vertical="center"/>
    </xf>
    <xf numFmtId="0" fontId="1" fillId="21" borderId="8" xfId="0" applyFont="1" applyFill="1" applyBorder="1" applyAlignment="1">
      <alignment horizontal="center" vertical="center"/>
    </xf>
    <xf numFmtId="0" fontId="1" fillId="21" borderId="69" xfId="0" applyFont="1" applyFill="1" applyBorder="1" applyAlignment="1">
      <alignment horizontal="center" vertical="center"/>
    </xf>
    <xf numFmtId="0" fontId="1" fillId="21" borderId="73" xfId="0" applyFont="1" applyFill="1" applyBorder="1" applyAlignment="1">
      <alignment horizontal="center" vertical="center"/>
    </xf>
    <xf numFmtId="0" fontId="0" fillId="21" borderId="16" xfId="0" applyFont="1" applyFill="1" applyBorder="1" applyAlignment="1">
      <alignment horizontal="center" vertical="center"/>
    </xf>
    <xf numFmtId="0" fontId="0" fillId="21" borderId="7" xfId="0" applyFont="1" applyFill="1" applyBorder="1" applyAlignment="1">
      <alignment horizontal="center" vertical="center"/>
    </xf>
    <xf numFmtId="0" fontId="1" fillId="21" borderId="16" xfId="0" applyFont="1" applyFill="1" applyBorder="1" applyAlignment="1">
      <alignment horizontal="center" vertical="center" wrapText="1"/>
    </xf>
    <xf numFmtId="0" fontId="1" fillId="21" borderId="7" xfId="0" applyFont="1" applyFill="1" applyBorder="1" applyAlignment="1">
      <alignment horizontal="center" vertical="center" wrapText="1"/>
    </xf>
    <xf numFmtId="0" fontId="1" fillId="27" borderId="64" xfId="0" applyFont="1" applyFill="1" applyBorder="1" applyAlignment="1">
      <alignment horizontal="center" vertical="center"/>
    </xf>
    <xf numFmtId="0" fontId="1" fillId="27" borderId="65" xfId="0" applyFont="1" applyFill="1" applyBorder="1" applyAlignment="1">
      <alignment horizontal="center" vertical="center"/>
    </xf>
    <xf numFmtId="0" fontId="1" fillId="27" borderId="62" xfId="0" applyFont="1" applyFill="1" applyBorder="1" applyAlignment="1">
      <alignment horizontal="center" vertical="center"/>
    </xf>
    <xf numFmtId="0" fontId="1" fillId="27" borderId="45" xfId="0" applyFont="1" applyFill="1" applyBorder="1" applyAlignment="1">
      <alignment horizontal="center" vertical="center"/>
    </xf>
    <xf numFmtId="0" fontId="1" fillId="27" borderId="77" xfId="0" applyFont="1" applyFill="1" applyBorder="1" applyAlignment="1">
      <alignment horizontal="center" vertical="center"/>
    </xf>
    <xf numFmtId="0" fontId="0" fillId="0" borderId="72" xfId="0" applyBorder="1" applyAlignment="1">
      <alignment horizontal="left" vertical="center"/>
    </xf>
    <xf numFmtId="0" fontId="0" fillId="0" borderId="69" xfId="0" applyBorder="1" applyAlignment="1">
      <alignment horizontal="left" vertical="center"/>
    </xf>
    <xf numFmtId="0" fontId="0" fillId="0" borderId="73" xfId="0" applyBorder="1" applyAlignment="1">
      <alignment horizontal="left" vertical="center"/>
    </xf>
    <xf numFmtId="0" fontId="0" fillId="0" borderId="70" xfId="0" applyBorder="1" applyAlignment="1">
      <alignment horizontal="center" vertical="center"/>
    </xf>
    <xf numFmtId="0" fontId="0" fillId="0" borderId="67" xfId="0" applyBorder="1" applyAlignment="1">
      <alignment horizontal="center" vertical="center"/>
    </xf>
    <xf numFmtId="0" fontId="0" fillId="0" borderId="71" xfId="0" applyBorder="1" applyAlignment="1">
      <alignment horizontal="center" vertical="center"/>
    </xf>
    <xf numFmtId="0" fontId="0" fillId="0" borderId="0" xfId="0" applyBorder="1" applyAlignment="1">
      <alignment horizontal="center" vertical="center"/>
    </xf>
    <xf numFmtId="0" fontId="0" fillId="0" borderId="34" xfId="0" applyBorder="1" applyAlignment="1">
      <alignment horizontal="center" vertical="center"/>
    </xf>
    <xf numFmtId="0" fontId="0" fillId="27" borderId="15" xfId="0" applyFont="1" applyFill="1" applyBorder="1" applyAlignment="1">
      <alignment horizontal="center" vertical="center"/>
    </xf>
    <xf numFmtId="0" fontId="0" fillId="27" borderId="67" xfId="0" applyFont="1" applyFill="1" applyBorder="1" applyAlignment="1">
      <alignment horizontal="center" vertical="center"/>
    </xf>
    <xf numFmtId="0" fontId="0" fillId="27" borderId="76" xfId="0" applyFont="1" applyFill="1" applyBorder="1" applyAlignment="1">
      <alignment horizontal="center" vertical="center"/>
    </xf>
    <xf numFmtId="0" fontId="0" fillId="27" borderId="8" xfId="0" applyFont="1" applyFill="1" applyBorder="1" applyAlignment="1">
      <alignment horizontal="center" vertical="center"/>
    </xf>
    <xf numFmtId="0" fontId="0" fillId="27" borderId="69" xfId="0" applyFont="1" applyFill="1" applyBorder="1" applyAlignment="1">
      <alignment horizontal="center" vertical="center"/>
    </xf>
    <xf numFmtId="0" fontId="0" fillId="27" borderId="6" xfId="0" applyFont="1" applyFill="1" applyBorder="1" applyAlignment="1">
      <alignment horizontal="center" vertical="center"/>
    </xf>
    <xf numFmtId="0" fontId="1" fillId="27" borderId="16" xfId="0" applyFont="1" applyFill="1" applyBorder="1" applyAlignment="1">
      <alignment horizontal="center" vertical="center"/>
    </xf>
    <xf numFmtId="0" fontId="1" fillId="27" borderId="7" xfId="0" applyFont="1" applyFill="1" applyBorder="1" applyAlignment="1">
      <alignment horizontal="center" vertical="center"/>
    </xf>
    <xf numFmtId="0" fontId="0" fillId="0" borderId="70" xfId="0" applyBorder="1" applyAlignment="1">
      <alignment horizontal="left" vertical="center" wrapText="1"/>
    </xf>
    <xf numFmtId="0" fontId="0" fillId="0" borderId="67" xfId="0" applyBorder="1" applyAlignment="1">
      <alignment horizontal="left" vertical="center" wrapText="1"/>
    </xf>
    <xf numFmtId="0" fontId="0" fillId="0" borderId="71" xfId="0" applyBorder="1" applyAlignment="1">
      <alignment horizontal="left" vertical="center" wrapText="1"/>
    </xf>
    <xf numFmtId="0" fontId="0" fillId="0" borderId="48" xfId="0" applyBorder="1" applyAlignment="1">
      <alignment horizontal="left" vertical="center" wrapText="1"/>
    </xf>
    <xf numFmtId="0" fontId="0" fillId="0" borderId="37" xfId="0" applyBorder="1" applyAlignment="1">
      <alignment horizontal="left" vertical="center" wrapText="1"/>
    </xf>
    <xf numFmtId="0" fontId="0" fillId="0" borderId="38" xfId="0" applyBorder="1" applyAlignment="1">
      <alignment horizontal="left" vertical="center" wrapText="1"/>
    </xf>
    <xf numFmtId="0" fontId="1" fillId="27" borderId="15" xfId="0" applyFont="1" applyFill="1" applyBorder="1" applyAlignment="1">
      <alignment horizontal="center" vertical="center"/>
    </xf>
    <xf numFmtId="0" fontId="1" fillId="27" borderId="67" xfId="0" applyFont="1" applyFill="1" applyBorder="1" applyAlignment="1">
      <alignment horizontal="center" vertical="center"/>
    </xf>
    <xf numFmtId="0" fontId="1" fillId="27" borderId="76" xfId="0" applyFont="1" applyFill="1" applyBorder="1" applyAlignment="1">
      <alignment horizontal="center" vertical="center"/>
    </xf>
    <xf numFmtId="0" fontId="1" fillId="27" borderId="8" xfId="0" applyFont="1" applyFill="1" applyBorder="1" applyAlignment="1">
      <alignment horizontal="center" vertical="center"/>
    </xf>
    <xf numFmtId="0" fontId="1" fillId="27" borderId="69" xfId="0" applyFont="1" applyFill="1" applyBorder="1" applyAlignment="1">
      <alignment horizontal="center" vertical="center"/>
    </xf>
    <xf numFmtId="0" fontId="1" fillId="27" borderId="6" xfId="0" applyFont="1" applyFill="1" applyBorder="1" applyAlignment="1">
      <alignment horizontal="center" vertical="center"/>
    </xf>
    <xf numFmtId="0" fontId="1" fillId="27" borderId="70" xfId="0" applyFont="1" applyFill="1" applyBorder="1" applyAlignment="1">
      <alignment horizontal="center" vertical="center"/>
    </xf>
    <xf numFmtId="0" fontId="1" fillId="27" borderId="72" xfId="0" applyFont="1" applyFill="1" applyBorder="1" applyAlignment="1">
      <alignment horizontal="center" vertical="center"/>
    </xf>
    <xf numFmtId="0" fontId="1" fillId="27" borderId="71" xfId="0" applyFont="1" applyFill="1" applyBorder="1" applyAlignment="1">
      <alignment horizontal="center" vertical="center"/>
    </xf>
    <xf numFmtId="0" fontId="1" fillId="27" borderId="73" xfId="0" applyFont="1" applyFill="1" applyBorder="1" applyAlignment="1">
      <alignment horizontal="center" vertical="center"/>
    </xf>
    <xf numFmtId="0" fontId="1" fillId="21" borderId="76" xfId="0" applyFont="1" applyFill="1" applyBorder="1" applyAlignment="1">
      <alignment horizontal="center" vertical="center"/>
    </xf>
    <xf numFmtId="0" fontId="1" fillId="21" borderId="6" xfId="0" applyFont="1" applyFill="1"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1" fillId="21" borderId="70" xfId="0" applyFont="1" applyFill="1" applyBorder="1" applyAlignment="1">
      <alignment horizontal="center" vertical="center"/>
    </xf>
    <xf numFmtId="0" fontId="1" fillId="21" borderId="72" xfId="0" applyFont="1" applyFill="1" applyBorder="1" applyAlignment="1">
      <alignment horizontal="center" vertical="center"/>
    </xf>
    <xf numFmtId="0" fontId="0" fillId="0" borderId="75" xfId="0" applyBorder="1" applyAlignment="1">
      <alignment horizontal="center" vertical="center"/>
    </xf>
    <xf numFmtId="0" fontId="0" fillId="0" borderId="47" xfId="0" applyBorder="1" applyAlignment="1">
      <alignment horizontal="left" vertical="center" wrapText="1"/>
    </xf>
    <xf numFmtId="0" fontId="0" fillId="0" borderId="0" xfId="0" applyBorder="1" applyAlignment="1">
      <alignment horizontal="left" vertical="center" wrapText="1"/>
    </xf>
    <xf numFmtId="0" fontId="0" fillId="0" borderId="34" xfId="0" applyBorder="1" applyAlignment="1">
      <alignment horizontal="left" vertical="center" wrapText="1"/>
    </xf>
    <xf numFmtId="0" fontId="0" fillId="0" borderId="16" xfId="0" applyBorder="1" applyAlignment="1">
      <alignment horizontal="center" vertical="center"/>
    </xf>
    <xf numFmtId="0" fontId="0" fillId="0" borderId="17" xfId="0" applyBorder="1" applyAlignment="1">
      <alignment horizontal="center" vertical="center"/>
    </xf>
    <xf numFmtId="0" fontId="1" fillId="21" borderId="1" xfId="0" applyFont="1" applyFill="1" applyBorder="1" applyAlignment="1">
      <alignment horizontal="center" vertical="center"/>
    </xf>
    <xf numFmtId="0" fontId="0" fillId="0" borderId="1" xfId="0" applyBorder="1" applyAlignment="1">
      <alignment horizontal="center" vertical="center"/>
    </xf>
    <xf numFmtId="0" fontId="1" fillId="27" borderId="21" xfId="0" applyFont="1" applyFill="1" applyBorder="1" applyAlignment="1">
      <alignment horizontal="center" vertical="center"/>
    </xf>
    <xf numFmtId="0" fontId="1" fillId="27" borderId="20" xfId="0" applyFont="1" applyFill="1" applyBorder="1" applyAlignment="1">
      <alignment horizontal="center" vertical="center"/>
    </xf>
    <xf numFmtId="0" fontId="1" fillId="27" borderId="22" xfId="0" applyFont="1" applyFill="1" applyBorder="1" applyAlignment="1">
      <alignment horizontal="center" vertical="center"/>
    </xf>
    <xf numFmtId="0" fontId="1" fillId="27" borderId="24" xfId="0" applyFont="1" applyFill="1" applyBorder="1" applyAlignment="1">
      <alignment horizontal="center" vertical="center"/>
    </xf>
    <xf numFmtId="0" fontId="1" fillId="27" borderId="1" xfId="0" applyFont="1" applyFill="1" applyBorder="1" applyAlignment="1">
      <alignment horizontal="center" vertical="center"/>
    </xf>
    <xf numFmtId="0" fontId="1" fillId="27" borderId="12" xfId="0" applyFont="1" applyFill="1" applyBorder="1" applyAlignment="1">
      <alignment horizontal="center" vertical="center"/>
    </xf>
    <xf numFmtId="0" fontId="0" fillId="0" borderId="30" xfId="0" applyBorder="1" applyAlignment="1">
      <alignment horizontal="left" vertical="center" wrapText="1"/>
    </xf>
    <xf numFmtId="0" fontId="0" fillId="0" borderId="31" xfId="0" applyBorder="1" applyAlignment="1">
      <alignment horizontal="left" vertical="center" wrapText="1"/>
    </xf>
    <xf numFmtId="0" fontId="0" fillId="0" borderId="52" xfId="0" applyBorder="1" applyAlignment="1">
      <alignment horizontal="left" vertical="center"/>
    </xf>
    <xf numFmtId="0" fontId="0" fillId="0" borderId="31" xfId="0" applyBorder="1" applyAlignment="1">
      <alignment horizontal="left" vertical="center"/>
    </xf>
    <xf numFmtId="0" fontId="0" fillId="0" borderId="32" xfId="0" applyBorder="1" applyAlignment="1">
      <alignment horizontal="left" vertical="center"/>
    </xf>
    <xf numFmtId="0" fontId="1" fillId="0" borderId="68" xfId="0" applyFont="1" applyBorder="1" applyAlignment="1">
      <alignment horizontal="left" vertical="center"/>
    </xf>
    <xf numFmtId="0" fontId="1" fillId="0" borderId="0" xfId="0" applyFont="1" applyBorder="1" applyAlignment="1">
      <alignment horizontal="left" vertical="center"/>
    </xf>
    <xf numFmtId="0" fontId="0" fillId="0" borderId="68" xfId="0" applyBorder="1" applyAlignment="1">
      <alignment horizontal="left" vertical="center" wrapText="1"/>
    </xf>
    <xf numFmtId="0" fontId="0" fillId="0" borderId="74" xfId="0" applyBorder="1" applyAlignment="1">
      <alignment horizontal="left" vertical="center" wrapText="1"/>
    </xf>
    <xf numFmtId="0" fontId="0" fillId="21" borderId="1" xfId="0" applyFont="1" applyFill="1" applyBorder="1" applyAlignment="1">
      <alignment horizontal="center" vertical="center" wrapText="1"/>
    </xf>
    <xf numFmtId="0" fontId="0" fillId="21" borderId="1" xfId="0" applyFont="1" applyFill="1" applyBorder="1" applyAlignment="1">
      <alignment horizontal="center" vertical="center"/>
    </xf>
    <xf numFmtId="0" fontId="1" fillId="21" borderId="12" xfId="0" applyFont="1" applyFill="1" applyBorder="1" applyAlignment="1">
      <alignment horizontal="center" vertical="center"/>
    </xf>
    <xf numFmtId="0" fontId="0" fillId="0" borderId="11" xfId="0" applyBorder="1" applyAlignment="1">
      <alignment horizontal="center"/>
    </xf>
    <xf numFmtId="0" fontId="0" fillId="0" borderId="14" xfId="0" applyBorder="1" applyAlignment="1">
      <alignment horizontal="center"/>
    </xf>
    <xf numFmtId="0" fontId="0" fillId="0" borderId="75" xfId="0" applyBorder="1" applyAlignment="1">
      <alignment horizontal="center"/>
    </xf>
  </cellXfs>
  <cellStyles count="2">
    <cellStyle name="Millares" xfId="1" builtinId="3"/>
    <cellStyle name="Normal" xfId="0" builtinId="0"/>
  </cellStyles>
  <dxfs count="29">
    <dxf>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4.9989318521683403E-2"/>
        </patternFill>
      </fill>
    </dxf>
    <dxf>
      <fill>
        <patternFill>
          <bgColor theme="0" tint="-4.9989318521683403E-2"/>
        </patternFill>
      </fill>
    </dxf>
    <dxf>
      <fill>
        <patternFill>
          <bgColor theme="6" tint="0.39994506668294322"/>
        </patternFill>
      </fill>
      <border>
        <left style="thin">
          <color auto="1"/>
        </left>
        <right style="thin">
          <color auto="1"/>
        </right>
        <top style="thin">
          <color auto="1"/>
        </top>
        <bottom style="thin">
          <color auto="1"/>
        </bottom>
        <vertical/>
        <horizontal/>
      </border>
    </dxf>
    <dxf>
      <fill>
        <patternFill>
          <bgColor theme="8" tint="0.59996337778862885"/>
        </patternFill>
      </fill>
      <border>
        <left style="thin">
          <color auto="1"/>
        </left>
        <right style="thin">
          <color auto="1"/>
        </right>
        <top style="thin">
          <color auto="1"/>
        </top>
        <bottom style="thin">
          <color auto="1"/>
        </bottom>
        <vertical/>
        <horizontal/>
      </border>
    </dxf>
    <dxf>
      <fill>
        <patternFill>
          <bgColor theme="9" tint="0.59996337778862885"/>
        </patternFill>
      </fill>
      <border>
        <left style="thin">
          <color auto="1"/>
        </left>
        <right style="thin">
          <color auto="1"/>
        </right>
        <top style="thin">
          <color auto="1"/>
        </top>
        <bottom style="thin">
          <color auto="1"/>
        </bottom>
        <vertical/>
        <horizontal/>
      </border>
    </dxf>
    <dxf>
      <fill>
        <patternFill>
          <bgColor theme="0" tint="-4.9989318521683403E-2"/>
        </patternFill>
      </fill>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7" tint="0.79998168889431442"/>
        </patternFill>
      </fill>
      <border>
        <left style="thin">
          <color auto="1"/>
        </left>
        <right style="thin">
          <color auto="1"/>
        </right>
        <top style="thin">
          <color auto="1"/>
        </top>
        <bottom style="thin">
          <color auto="1"/>
        </bottom>
        <vertical/>
        <horizontal/>
      </border>
    </dxf>
    <dxf>
      <fill>
        <patternFill>
          <bgColor theme="7" tint="0.79998168889431442"/>
        </patternFill>
      </fill>
      <border>
        <left style="thin">
          <color auto="1"/>
        </left>
        <right style="thin">
          <color auto="1"/>
        </right>
        <top style="thin">
          <color auto="1"/>
        </top>
        <bottom style="thin">
          <color auto="1"/>
        </bottom>
        <vertical/>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libri"/>
        <scheme val="minor"/>
      </font>
      <fill>
        <patternFill patternType="solid">
          <fgColor indexed="64"/>
          <bgColor rgb="FFC6E0B4"/>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libri"/>
        <scheme val="minor"/>
      </font>
      <fill>
        <patternFill patternType="solid">
          <fgColor indexed="64"/>
          <bgColor rgb="FFC6E0B4"/>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4"/>
        <color theme="0"/>
        <name val="Calibri"/>
        <scheme val="minor"/>
      </font>
      <fill>
        <patternFill patternType="solid">
          <fgColor theme="4"/>
          <bgColor theme="4"/>
        </patternFill>
      </fill>
      <alignment horizontal="center" vertical="center" textRotation="0" wrapText="0" indent="0" justifyLastLine="0" shrinkToFit="0" readingOrder="0"/>
      <border diagonalUp="0" diagonalDown="0" outline="0">
        <left style="medium">
          <color indexed="64"/>
        </left>
        <right style="medium">
          <color indexed="64"/>
        </right>
        <top/>
        <bottom/>
      </border>
    </dxf>
    <dxf>
      <alignment horizontal="left"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libri"/>
        <scheme val="minor"/>
      </font>
      <fill>
        <patternFill patternType="solid">
          <fgColor indexed="64"/>
          <bgColor rgb="FFC6E0B4"/>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libri"/>
        <scheme val="minor"/>
      </font>
      <fill>
        <patternFill patternType="solid">
          <fgColor indexed="64"/>
          <bgColor rgb="FFC6E0B4"/>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4"/>
        <color theme="0"/>
        <name val="Calibri"/>
        <scheme val="minor"/>
      </font>
      <fill>
        <patternFill patternType="solid">
          <fgColor theme="4"/>
          <bgColor theme="4"/>
        </patternFill>
      </fill>
      <alignment horizontal="center" vertical="center" textRotation="0" wrapText="0" indent="0" justifyLastLine="0" shrinkToFit="0" readingOrder="0"/>
      <border diagonalUp="0" diagonalDown="0" outline="0">
        <left style="medium">
          <color indexed="64"/>
        </left>
        <right style="medium">
          <color indexed="64"/>
        </right>
        <top/>
        <bottom/>
      </border>
    </dxf>
    <dxf>
      <font>
        <b/>
        <i val="0"/>
        <strike val="0"/>
        <condense val="0"/>
        <extend val="0"/>
        <outline val="0"/>
        <shadow val="0"/>
        <u val="none"/>
        <vertAlign val="baseline"/>
        <sz val="11"/>
        <color theme="1"/>
        <name val="Calibri"/>
        <scheme val="minor"/>
      </font>
    </dxf>
    <dxf>
      <numFmt numFmtId="0" formatCode="General"/>
    </dxf>
  </dxfs>
  <tableStyles count="0" defaultTableStyle="TableStyleMedium2" defaultPivotStyle="PivotStyleLight16"/>
  <colors>
    <mruColors>
      <color rgb="FFFFFFFF"/>
      <color rgb="FFC6E0B4"/>
      <color rgb="FF00CC99"/>
      <color rgb="FFBF9FFF"/>
      <color rgb="FFD9D9D9"/>
      <color rgb="FFFCD5B4"/>
      <color rgb="FFD9E1F2"/>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ables/table1.xml><?xml version="1.0" encoding="utf-8"?>
<table xmlns="http://schemas.openxmlformats.org/spreadsheetml/2006/main" id="3" name="TablaStyle" displayName="TablaStyle" ref="B1:C16" totalsRowShown="0" headerRowDxfId="28">
  <tableColumns count="2">
    <tableColumn id="1" name="Collection" dataDxfId="27">
      <calculatedColumnFormula>IF(C2="","",INDEX(TablaClothes[[Collection]:[Style]],MATCH(C2,TablaClothes[[#All],[Style]],0),1))</calculatedColumnFormula>
    </tableColumn>
    <tableColumn id="2" name="Style"/>
  </tableColumns>
  <tableStyleInfo name="TableStyleMedium2" showFirstColumn="0" showLastColumn="0" showRowStripes="1" showColumnStripes="0"/>
</table>
</file>

<file path=xl/tables/table2.xml><?xml version="1.0" encoding="utf-8"?>
<table xmlns="http://schemas.openxmlformats.org/spreadsheetml/2006/main" id="2" name="TablaClothes" displayName="TablaClothes" ref="D1:H67" totalsRowShown="0" headerRowDxfId="26" tableBorderDxfId="25">
  <tableColumns count="5">
    <tableColumn id="1" name="Collection" dataDxfId="24"/>
    <tableColumn id="2" name="Style" dataDxfId="23"/>
    <tableColumn id="3" name="Clothes" dataDxfId="22"/>
    <tableColumn id="4" name="SKU" dataDxfId="21"/>
    <tableColumn id="5" name="FABRIC" dataDxfId="20"/>
  </tableColumns>
  <tableStyleInfo name="TableStyleMedium2" showFirstColumn="0" showLastColumn="0" showRowStripes="1" showColumnStripes="0"/>
</table>
</file>

<file path=xl/tables/table3.xml><?xml version="1.0" encoding="utf-8"?>
<table xmlns="http://schemas.openxmlformats.org/spreadsheetml/2006/main" id="1" name="TablaInsu" displayName="TablaInsu" ref="O1:P33" totalsRowShown="0" headerRowBorderDxfId="19" tableBorderDxfId="18">
  <autoFilter ref="O1:P33"/>
  <tableColumns count="2">
    <tableColumn id="1" name="Insumo" dataDxfId="17"/>
    <tableColumn id="2" name="RefInsu"/>
  </tableColumns>
  <tableStyleInfo name="TableStyleMedium2" showFirstColumn="0" showLastColumn="0" showRowStripes="1" showColumnStripes="0"/>
</table>
</file>

<file path=xl/tables/table4.xml><?xml version="1.0" encoding="utf-8"?>
<table xmlns="http://schemas.openxmlformats.org/spreadsheetml/2006/main" id="5" name="Tabla_Productos" displayName="Tabla_Productos" ref="BA1:BE67" totalsRowShown="0" headerRowDxfId="16" tableBorderDxfId="15">
  <autoFilter ref="BA1:BE67"/>
  <tableColumns count="5">
    <tableColumn id="1" name="Collection" dataDxfId="14"/>
    <tableColumn id="2" name="Style" dataDxfId="13"/>
    <tableColumn id="3" name="Clothes" dataDxfId="12"/>
    <tableColumn id="4" name="SKU" dataDxfId="11"/>
    <tableColumn id="5" name="FABRIC" dataDxfId="1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T124"/>
  <sheetViews>
    <sheetView tabSelected="1" topLeftCell="D10" zoomScale="80" zoomScaleNormal="80" workbookViewId="0">
      <selection activeCell="M32" sqref="M32"/>
    </sheetView>
  </sheetViews>
  <sheetFormatPr baseColWidth="10" defaultRowHeight="15" x14ac:dyDescent="0.25"/>
  <cols>
    <col min="1" max="1" width="19.42578125" customWidth="1"/>
    <col min="2" max="2" width="19.5703125" customWidth="1"/>
    <col min="3" max="3" width="21.42578125" customWidth="1"/>
    <col min="4" max="4" width="25" bestFit="1" customWidth="1"/>
    <col min="5" max="5" width="22.140625" bestFit="1" customWidth="1"/>
    <col min="6" max="6" width="31.5703125" bestFit="1" customWidth="1"/>
    <col min="7" max="7" width="18.5703125" style="3" bestFit="1" customWidth="1"/>
    <col min="8" max="8" width="31.42578125" customWidth="1"/>
    <col min="9" max="9" width="14.140625" style="3" customWidth="1"/>
    <col min="10" max="10" width="11.85546875" style="3" bestFit="1" customWidth="1"/>
    <col min="11" max="11" width="13.42578125" bestFit="1" customWidth="1"/>
    <col min="12" max="12" width="9.28515625" customWidth="1"/>
    <col min="13" max="13" width="12.140625" customWidth="1"/>
    <col min="14" max="15" width="30.5703125" bestFit="1" customWidth="1"/>
    <col min="16" max="16" width="35.28515625" bestFit="1" customWidth="1"/>
    <col min="18" max="18" width="12.85546875" bestFit="1" customWidth="1"/>
    <col min="19" max="19" width="8" bestFit="1" customWidth="1"/>
    <col min="20" max="20" width="16.7109375" bestFit="1" customWidth="1"/>
  </cols>
  <sheetData>
    <row r="1" spans="1:20" ht="45" customHeight="1" x14ac:dyDescent="0.25">
      <c r="A1" s="45" t="s">
        <v>215</v>
      </c>
      <c r="B1" s="515" t="s">
        <v>215</v>
      </c>
      <c r="C1" s="516" t="s">
        <v>214</v>
      </c>
      <c r="D1" s="44" t="s">
        <v>215</v>
      </c>
      <c r="E1" s="55" t="s">
        <v>214</v>
      </c>
      <c r="F1" s="56" t="s">
        <v>231</v>
      </c>
      <c r="G1" s="517" t="s">
        <v>0</v>
      </c>
      <c r="H1" s="151" t="s">
        <v>1</v>
      </c>
      <c r="I1" s="205"/>
      <c r="J1" s="204" t="s">
        <v>252</v>
      </c>
      <c r="N1" s="69" t="s">
        <v>367</v>
      </c>
      <c r="O1" s="188" t="s">
        <v>366</v>
      </c>
      <c r="P1" s="191" t="s">
        <v>365</v>
      </c>
      <c r="R1" s="62" t="s">
        <v>397</v>
      </c>
      <c r="S1" s="430" t="s">
        <v>399</v>
      </c>
      <c r="T1" s="62" t="s">
        <v>405</v>
      </c>
    </row>
    <row r="2" spans="1:20" ht="15" customHeight="1" x14ac:dyDescent="0.25">
      <c r="A2" s="35" t="s">
        <v>2</v>
      </c>
      <c r="B2" s="35" t="s">
        <v>2</v>
      </c>
      <c r="C2" s="35" t="s">
        <v>216</v>
      </c>
      <c r="D2" s="35" t="str">
        <f>Tabla_Productos[[#This Row],[Collection]]</f>
        <v>EVOLUTION COLLECTION</v>
      </c>
      <c r="E2" s="35" t="str">
        <f>Tabla_Productos[[#This Row],[Style]]</f>
        <v>JACKETS E</v>
      </c>
      <c r="F2" s="35" t="str">
        <f>Tabla_Productos[[#This Row],[Clothes]]</f>
        <v>Signature Jacket</v>
      </c>
      <c r="G2" s="35" t="str">
        <f>Tabla_Productos[[#This Row],[SKU]]</f>
        <v>DJT SUB 01</v>
      </c>
      <c r="H2" s="35" t="str">
        <f>Tabla_Productos[[#This Row],[FABRIC]]</f>
        <v>4206 (WHITE)</v>
      </c>
      <c r="I2" s="206"/>
      <c r="J2" s="1" t="s">
        <v>253</v>
      </c>
      <c r="K2" s="1" t="s">
        <v>403</v>
      </c>
      <c r="M2" s="2" t="s">
        <v>2</v>
      </c>
      <c r="N2" s="429" t="s">
        <v>298</v>
      </c>
      <c r="O2" s="186" t="s">
        <v>298</v>
      </c>
      <c r="P2" s="1"/>
      <c r="R2" s="2" t="str">
        <f>+Inv!$I$3</f>
        <v>EN BLANCO</v>
      </c>
      <c r="S2" s="286" t="str">
        <f>LEFT(Inv!$C$15,5)</f>
        <v>PLANO</v>
      </c>
      <c r="T2" s="1" t="s">
        <v>406</v>
      </c>
    </row>
    <row r="3" spans="1:20" ht="15" customHeight="1" x14ac:dyDescent="0.25">
      <c r="A3" s="29" t="s">
        <v>62</v>
      </c>
      <c r="B3" s="35" t="s">
        <v>2</v>
      </c>
      <c r="C3" s="35" t="s">
        <v>13</v>
      </c>
      <c r="D3" s="35" t="str">
        <f>Tabla_Productos[[#This Row],[Collection]]</f>
        <v>EVOLUTION COLLECTION</v>
      </c>
      <c r="E3" s="35" t="str">
        <f>Tabla_Productos[[#This Row],[Style]]</f>
        <v>JACKETS E</v>
      </c>
      <c r="F3" s="35" t="str">
        <f>Tabla_Productos[[#This Row],[Clothes]]</f>
        <v>Varsity Jacket E</v>
      </c>
      <c r="G3" s="35" t="str">
        <f>Tabla_Productos[[#This Row],[SKU]]</f>
        <v>VAR SUB</v>
      </c>
      <c r="H3" s="35" t="str">
        <f>Tabla_Productos[[#This Row],[FABRIC]]</f>
        <v>4261 (WHITE)/Lining 4059 (BLACK &amp; WHITE)</v>
      </c>
      <c r="I3" s="206"/>
      <c r="J3" s="1" t="s">
        <v>254</v>
      </c>
      <c r="M3" s="2" t="s">
        <v>216</v>
      </c>
      <c r="N3" s="429" t="s">
        <v>299</v>
      </c>
      <c r="O3" s="186" t="s">
        <v>299</v>
      </c>
      <c r="P3" s="1"/>
      <c r="R3" s="2" t="str">
        <f>+Inv!$J$3</f>
        <v>DIBUJANDO</v>
      </c>
      <c r="S3" s="286" t="str">
        <f>LEFT(Inv!$E$15,5)</f>
        <v>DANCE</v>
      </c>
      <c r="T3" s="1" t="s">
        <v>407</v>
      </c>
    </row>
    <row r="4" spans="1:20" ht="15" customHeight="1" x14ac:dyDescent="0.25">
      <c r="A4" s="22" t="s">
        <v>83</v>
      </c>
      <c r="B4" s="35" t="s">
        <v>2</v>
      </c>
      <c r="C4" s="35" t="s">
        <v>34</v>
      </c>
      <c r="D4" s="35" t="str">
        <f>Tabla_Productos[[#This Row],[Collection]]</f>
        <v>EVOLUTION COLLECTION</v>
      </c>
      <c r="E4" s="35" t="str">
        <f>Tabla_Productos[[#This Row],[Style]]</f>
        <v>JACKETS E</v>
      </c>
      <c r="F4" s="35" t="str">
        <f>Tabla_Productos[[#This Row],[Clothes]]</f>
        <v>Bomber Jacket</v>
      </c>
      <c r="G4" s="35" t="str">
        <f>Tabla_Productos[[#This Row],[SKU]]</f>
        <v>BJT SUB 01</v>
      </c>
      <c r="H4" s="35" t="str">
        <f>Tabla_Productos[[#This Row],[FABRIC]]</f>
        <v>4261 (WHITE)/Lining 4059 (BLACK &amp; WHITE)/Entretela 522 (WHITE)</v>
      </c>
      <c r="I4" s="206"/>
      <c r="J4" s="1" t="s">
        <v>255</v>
      </c>
      <c r="K4" s="1" t="s">
        <v>266</v>
      </c>
      <c r="M4" s="2" t="s">
        <v>233</v>
      </c>
      <c r="N4" s="429" t="str">
        <f>Inv!I1</f>
        <v>ETIQUETAS SOUL DANCER</v>
      </c>
      <c r="O4" s="187" t="str">
        <f>Inv!$I$1</f>
        <v>ETIQUETAS SOUL DANCER</v>
      </c>
      <c r="P4" s="1" t="str">
        <f>+Inv!I3</f>
        <v>EN BLANCO</v>
      </c>
      <c r="R4" s="1" t="str">
        <f>+Inv!$K$3</f>
        <v>CON DIBUJO</v>
      </c>
      <c r="S4" s="281"/>
      <c r="T4" s="1" t="s">
        <v>408</v>
      </c>
    </row>
    <row r="5" spans="1:20" ht="15" customHeight="1" x14ac:dyDescent="0.25">
      <c r="A5" s="21" t="s">
        <v>108</v>
      </c>
      <c r="B5" s="35" t="s">
        <v>2</v>
      </c>
      <c r="C5" s="35" t="s">
        <v>50</v>
      </c>
      <c r="D5" s="35" t="str">
        <f>Tabla_Productos[[#This Row],[Collection]]</f>
        <v>EVOLUTION COLLECTION</v>
      </c>
      <c r="E5" s="35" t="str">
        <f>Tabla_Productos[[#This Row],[Style]]</f>
        <v>JACKETS E</v>
      </c>
      <c r="F5" s="35" t="str">
        <f>Tabla_Productos[[#This Row],[Clothes]]</f>
        <v>Hoodie Jacket</v>
      </c>
      <c r="G5" s="35" t="str">
        <f>Tabla_Productos[[#This Row],[SKU]]</f>
        <v>HUN SUB</v>
      </c>
      <c r="H5" s="35" t="str">
        <f>Tabla_Productos[[#This Row],[FABRIC]]</f>
        <v>4261 (WHITE)</v>
      </c>
      <c r="I5" s="206"/>
      <c r="J5" s="1" t="s">
        <v>256</v>
      </c>
      <c r="K5" s="1" t="s">
        <v>265</v>
      </c>
      <c r="M5" s="2" t="str">
        <f ca="1">+OFFSET(TablaClothes[[#Headers],[Clothes]],MATCH($M$4,TablaClothes[[#All],[Clothes]],0)-1,1)</f>
        <v>VAR SUB</v>
      </c>
      <c r="N5" s="429" t="s">
        <v>301</v>
      </c>
      <c r="O5" s="187" t="str">
        <f>Inv!$I$1</f>
        <v>ETIQUETAS SOUL DANCER</v>
      </c>
      <c r="P5" s="1" t="str">
        <f>+Inv!J3</f>
        <v>DIBUJANDO</v>
      </c>
      <c r="S5" s="281"/>
    </row>
    <row r="6" spans="1:20" ht="15" customHeight="1" x14ac:dyDescent="0.25">
      <c r="A6" s="34" t="s">
        <v>122</v>
      </c>
      <c r="B6" s="35" t="s">
        <v>2</v>
      </c>
      <c r="C6" s="35" t="s">
        <v>57</v>
      </c>
      <c r="D6" s="35" t="str">
        <f>Tabla_Productos[[#This Row],[Collection]]</f>
        <v>EVOLUTION COLLECTION</v>
      </c>
      <c r="E6" s="35" t="str">
        <f>Tabla_Productos[[#This Row],[Style]]</f>
        <v>TOPS AND TEES</v>
      </c>
      <c r="F6" s="35" t="str">
        <f>Tabla_Productos[[#This Row],[Clothes]]</f>
        <v>Strappy Sport Bra</v>
      </c>
      <c r="G6" s="35" t="str">
        <f>Tabla_Productos[[#This Row],[SKU]]</f>
        <v>STA SUB 01</v>
      </c>
      <c r="H6" s="35" t="str">
        <f>Tabla_Productos[[#This Row],[FABRIC]]</f>
        <v>4206 (WHITE)/Lining 4059 (BLACK &amp; WHITE)</v>
      </c>
      <c r="I6" s="206"/>
      <c r="M6" s="2" t="str">
        <f ca="1">+VLOOKUP($M$5,TablaClothes[[#All],[SKU]:[FABRIC]],2,0)</f>
        <v>4261 (WHITE)/Lining 4059 (BLACK &amp; WHITE)</v>
      </c>
      <c r="N6" s="429" t="str">
        <f>+Inv!V1</f>
        <v>MARQUILLAS DE COMPOSICION</v>
      </c>
      <c r="O6" s="187" t="str">
        <f>Inv!$I$1</f>
        <v>ETIQUETAS SOUL DANCER</v>
      </c>
      <c r="P6" s="1" t="str">
        <f>+Inv!K3</f>
        <v>CON DIBUJO</v>
      </c>
    </row>
    <row r="7" spans="1:20" ht="15" customHeight="1" x14ac:dyDescent="0.25">
      <c r="B7" s="29" t="s">
        <v>62</v>
      </c>
      <c r="C7" s="29" t="s">
        <v>217</v>
      </c>
      <c r="D7" s="35" t="str">
        <f>Tabla_Productos[[#This Row],[Collection]]</f>
        <v>EVOLUTION COLLECTION</v>
      </c>
      <c r="E7" s="35" t="str">
        <f>Tabla_Productos[[#This Row],[Style]]</f>
        <v>TOPS AND TEES</v>
      </c>
      <c r="F7" s="35" t="str">
        <f>Tabla_Productos[[#This Row],[Clothes]]</f>
        <v>Jazzy Sport Bra</v>
      </c>
      <c r="G7" s="35" t="str">
        <f>Tabla_Productos[[#This Row],[SKU]]</f>
        <v>COB SUPP</v>
      </c>
      <c r="H7" s="35" t="str">
        <f>Tabla_Productos[[#This Row],[FABRIC]]</f>
        <v>4206 (WHITE)/Lining 4059 (BLACK &amp; WHITE)</v>
      </c>
      <c r="I7" s="206"/>
      <c r="K7" s="1" t="s">
        <v>409</v>
      </c>
      <c r="N7" s="429" t="str">
        <f>+Inv!I7</f>
        <v>STICKERS</v>
      </c>
      <c r="O7" s="186" t="str">
        <f>+$N$5</f>
        <v>CIERRES</v>
      </c>
      <c r="P7" s="1" t="str">
        <f>+Inv!$AI$3</f>
        <v>LINEA N3Z (Separable)</v>
      </c>
    </row>
    <row r="8" spans="1:20" ht="15" customHeight="1" x14ac:dyDescent="0.25">
      <c r="B8" s="29" t="s">
        <v>62</v>
      </c>
      <c r="C8" s="29" t="s">
        <v>247</v>
      </c>
      <c r="D8" s="35" t="str">
        <f>Tabla_Productos[[#This Row],[Collection]]</f>
        <v>EVOLUTION COLLECTION</v>
      </c>
      <c r="E8" s="35" t="str">
        <f>Tabla_Productos[[#This Row],[Style]]</f>
        <v>TOPS AND TEES</v>
      </c>
      <c r="F8" s="35" t="str">
        <f>Tabla_Productos[[#This Row],[Clothes]]</f>
        <v>Cro V Neck</v>
      </c>
      <c r="G8" s="35" t="str">
        <f>Tabla_Productos[[#This Row],[SKU]]</f>
        <v>CRV SUB</v>
      </c>
      <c r="H8" s="35" t="str">
        <f>Tabla_Productos[[#This Row],[FABRIC]]</f>
        <v>JABON (WHITE)</v>
      </c>
      <c r="I8" s="206"/>
      <c r="K8" s="1" t="s">
        <v>419</v>
      </c>
      <c r="M8" s="189" t="s">
        <v>301</v>
      </c>
      <c r="N8" s="429" t="str">
        <f>+Inv!P1</f>
        <v>FAJONES</v>
      </c>
      <c r="O8" s="186" t="str">
        <f t="shared" ref="O8:O15" si="0">+$N$5</f>
        <v>CIERRES</v>
      </c>
      <c r="P8" s="1" t="str">
        <f>+Inv!$AL$3</f>
        <v>LINEA 21(Bolsillo)</v>
      </c>
    </row>
    <row r="9" spans="1:20" ht="15" customHeight="1" x14ac:dyDescent="0.25">
      <c r="B9" s="29" t="s">
        <v>62</v>
      </c>
      <c r="C9" s="29" t="s">
        <v>218</v>
      </c>
      <c r="D9" s="35" t="str">
        <f>Tabla_Productos[[#This Row],[Collection]]</f>
        <v>EVOLUTION COLLECTION</v>
      </c>
      <c r="E9" s="35" t="str">
        <f>Tabla_Productos[[#This Row],[Style]]</f>
        <v>TOPS AND TEES</v>
      </c>
      <c r="F9" s="35" t="str">
        <f>Tabla_Productos[[#This Row],[Clothes]]</f>
        <v>Halter Sport Crop</v>
      </c>
      <c r="G9" s="35" t="str">
        <f>Tabla_Productos[[#This Row],[SKU]]</f>
        <v>HSC SUB 01</v>
      </c>
      <c r="H9" s="35" t="str">
        <f>Tabla_Productos[[#This Row],[FABRIC]]</f>
        <v>4206 (WHITE)/POWERNET (BLACK &amp; WHITE)/Lining 4059 (BLACK &amp; WHITE)</v>
      </c>
      <c r="I9" s="206"/>
      <c r="M9" s="1" t="s">
        <v>352</v>
      </c>
      <c r="N9" s="429" t="str">
        <f>+Inv!B13</f>
        <v>CORDONES</v>
      </c>
      <c r="O9" s="186" t="str">
        <f t="shared" si="0"/>
        <v>CIERRES</v>
      </c>
      <c r="P9" s="1" t="str">
        <f>+Inv!$AO$3</f>
        <v>LINEA N3U(Fijo)</v>
      </c>
    </row>
    <row r="10" spans="1:20" ht="15" customHeight="1" x14ac:dyDescent="0.25">
      <c r="B10" s="22" t="s">
        <v>83</v>
      </c>
      <c r="C10" s="22" t="s">
        <v>219</v>
      </c>
      <c r="D10" s="35" t="str">
        <f>Tabla_Productos[[#This Row],[Collection]]</f>
        <v>EVOLUTION COLLECTION</v>
      </c>
      <c r="E10" s="35" t="str">
        <f>Tabla_Productos[[#This Row],[Style]]</f>
        <v>TOPS AND TEES</v>
      </c>
      <c r="F10" s="35" t="str">
        <f>Tabla_Productos[[#This Row],[Clothes]]</f>
        <v>Halter Top</v>
      </c>
      <c r="G10" s="35" t="str">
        <f>Tabla_Productos[[#This Row],[SKU]]</f>
        <v>HAL SUB</v>
      </c>
      <c r="H10" s="35" t="str">
        <f>Tabla_Productos[[#This Row],[FABRIC]]</f>
        <v>JABON (WHITE)/MALLA FANTASIA (BLACK)/MALLA VALIANA (WHITE)</v>
      </c>
      <c r="K10" s="1" t="s">
        <v>381</v>
      </c>
      <c r="N10" s="185"/>
      <c r="O10" s="186" t="str">
        <f t="shared" si="0"/>
        <v>CIERRES</v>
      </c>
      <c r="P10" s="1" t="str">
        <f>+Inv!$AR$3</f>
        <v>LINEA HF(Fijo)</v>
      </c>
    </row>
    <row r="11" spans="1:20" ht="15" customHeight="1" x14ac:dyDescent="0.25">
      <c r="B11" s="22" t="s">
        <v>83</v>
      </c>
      <c r="C11" s="22" t="s">
        <v>222</v>
      </c>
      <c r="D11" s="35" t="str">
        <f>Tabla_Productos[[#This Row],[Collection]]</f>
        <v>EVOLUTION COLLECTION</v>
      </c>
      <c r="E11" s="35" t="str">
        <f>Tabla_Productos[[#This Row],[Style]]</f>
        <v>TOPS AND TEES</v>
      </c>
      <c r="F11" s="35" t="str">
        <f>Tabla_Productos[[#This Row],[Clothes]]</f>
        <v>Boys Cut Tank Top</v>
      </c>
      <c r="G11" s="35" t="str">
        <f>Tabla_Productos[[#This Row],[SKU]]</f>
        <v>BCT SUB</v>
      </c>
      <c r="H11" s="35" t="str">
        <f>Tabla_Productos[[#This Row],[FABRIC]]</f>
        <v>NACAR (WHITE)</v>
      </c>
      <c r="K11" s="1" t="s">
        <v>382</v>
      </c>
      <c r="N11" s="185"/>
      <c r="O11" s="186" t="str">
        <f t="shared" si="0"/>
        <v>CIERRES</v>
      </c>
      <c r="P11" s="1" t="str">
        <f>+Inv!$AT$3</f>
        <v>LINEA 5U(Metal)</v>
      </c>
    </row>
    <row r="12" spans="1:20" ht="15" customHeight="1" x14ac:dyDescent="0.25">
      <c r="B12" s="22" t="s">
        <v>83</v>
      </c>
      <c r="C12" s="22" t="s">
        <v>220</v>
      </c>
      <c r="D12" s="35" t="str">
        <f>Tabla_Productos[[#This Row],[Collection]]</f>
        <v>EVOLUTION COLLECTION</v>
      </c>
      <c r="E12" s="35" t="str">
        <f>Tabla_Productos[[#This Row],[Style]]</f>
        <v>TOPS AND TEES</v>
      </c>
      <c r="F12" s="35" t="str">
        <f>Tabla_Productos[[#This Row],[Clothes]]</f>
        <v>Baseball Jersey</v>
      </c>
      <c r="G12" s="35" t="str">
        <f>Tabla_Productos[[#This Row],[SKU]]</f>
        <v>BBJ SUB 01</v>
      </c>
      <c r="H12" s="35" t="str">
        <f>Tabla_Productos[[#This Row],[FABRIC]]</f>
        <v>HIDROTECH (BLACK &amp; WHITE)</v>
      </c>
      <c r="N12" s="185"/>
      <c r="O12" s="186" t="str">
        <f t="shared" si="0"/>
        <v>CIERRES</v>
      </c>
      <c r="P12" s="1" t="str">
        <f>+Inv!$AV$3</f>
        <v>LINEA QX</v>
      </c>
    </row>
    <row r="13" spans="1:20" ht="15" customHeight="1" x14ac:dyDescent="0.25">
      <c r="B13" s="21" t="s">
        <v>108</v>
      </c>
      <c r="C13" s="21" t="s">
        <v>108</v>
      </c>
      <c r="D13" s="35" t="str">
        <f>Tabla_Productos[[#This Row],[Collection]]</f>
        <v>EVOLUTION COLLECTION</v>
      </c>
      <c r="E13" s="35" t="str">
        <f>Tabla_Productos[[#This Row],[Style]]</f>
        <v>TOPS AND TEES</v>
      </c>
      <c r="F13" s="35" t="str">
        <f>Tabla_Productos[[#This Row],[Clothes]]</f>
        <v>Off The Shoulder</v>
      </c>
      <c r="G13" s="35" t="str">
        <f>Tabla_Productos[[#This Row],[SKU]]</f>
        <v xml:space="preserve">OFT SUB </v>
      </c>
      <c r="H13" s="35" t="str">
        <f>Tabla_Productos[[#This Row],[FABRIC]]</f>
        <v>JABON (WHITE)</v>
      </c>
      <c r="K13" s="1" t="s">
        <v>410</v>
      </c>
      <c r="N13" s="185"/>
      <c r="O13" s="186" t="str">
        <f t="shared" si="0"/>
        <v>CIERRES</v>
      </c>
      <c r="P13" s="1" t="str">
        <f>+Inv!$AX$3</f>
        <v>BOMBAI NIQUEL</v>
      </c>
    </row>
    <row r="14" spans="1:20" ht="15" customHeight="1" x14ac:dyDescent="0.25">
      <c r="B14" s="34" t="s">
        <v>122</v>
      </c>
      <c r="C14" s="34" t="s">
        <v>221</v>
      </c>
      <c r="D14" s="35" t="str">
        <f>Tabla_Productos[[#This Row],[Collection]]</f>
        <v>EVOLUTION COLLECTION</v>
      </c>
      <c r="E14" s="35" t="str">
        <f>Tabla_Productos[[#This Row],[Style]]</f>
        <v>TOPS AND TEES</v>
      </c>
      <c r="F14" s="35" t="str">
        <f>Tabla_Productos[[#This Row],[Clothes]]</f>
        <v>Open Back Crop Top</v>
      </c>
      <c r="G14" s="35" t="str">
        <f>Tabla_Productos[[#This Row],[SKU]]</f>
        <v>OPN SUB 01</v>
      </c>
      <c r="H14" s="35" t="str">
        <f>Tabla_Productos[[#This Row],[FABRIC]]</f>
        <v>4206 (WHITE)/Lining 4059 (BLACK &amp; WHITE)</v>
      </c>
      <c r="K14" s="1" t="s">
        <v>411</v>
      </c>
      <c r="N14" s="185"/>
      <c r="O14" s="186" t="str">
        <f t="shared" si="0"/>
        <v>CIERRES</v>
      </c>
      <c r="P14" s="1" t="str">
        <f>+Inv!$AZ$3</f>
        <v>LINEA 72</v>
      </c>
    </row>
    <row r="15" spans="1:20" ht="15" customHeight="1" x14ac:dyDescent="0.25">
      <c r="B15" s="34" t="s">
        <v>122</v>
      </c>
      <c r="C15" s="34" t="s">
        <v>223</v>
      </c>
      <c r="D15" s="35" t="str">
        <f>Tabla_Productos[[#This Row],[Collection]]</f>
        <v>EVOLUTION COLLECTION</v>
      </c>
      <c r="E15" s="35" t="str">
        <f>Tabla_Productos[[#This Row],[Style]]</f>
        <v>LEGGINGS AND PANTS</v>
      </c>
      <c r="F15" s="35" t="str">
        <f>Tabla_Productos[[#This Row],[Clothes]]</f>
        <v>High Waist Leggings</v>
      </c>
      <c r="G15" s="35" t="str">
        <f>Tabla_Productos[[#This Row],[SKU]]</f>
        <v>HWL SUB 01</v>
      </c>
      <c r="H15" s="35" t="str">
        <f>Tabla_Productos[[#This Row],[FABRIC]]</f>
        <v>4206 (WHITE)</v>
      </c>
      <c r="O15" s="186" t="str">
        <f t="shared" si="0"/>
        <v>CIERRES</v>
      </c>
      <c r="P15" s="1" t="str">
        <f>+Inv!$BB$3</f>
        <v>LINEA N25(Invisible)</v>
      </c>
    </row>
    <row r="16" spans="1:20" ht="15" customHeight="1" x14ac:dyDescent="0.25">
      <c r="B16" s="34" t="s">
        <v>122</v>
      </c>
      <c r="C16" s="34" t="s">
        <v>224</v>
      </c>
      <c r="D16" s="35" t="str">
        <f>Tabla_Productos[[#This Row],[Collection]]</f>
        <v>EVOLUTION COLLECTION</v>
      </c>
      <c r="E16" s="35" t="str">
        <f>Tabla_Productos[[#This Row],[Style]]</f>
        <v>LEGGINGS AND PANTS</v>
      </c>
      <c r="F16" s="35" t="str">
        <f>Tabla_Productos[[#This Row],[Clothes]]</f>
        <v>Performance Leggings</v>
      </c>
      <c r="G16" s="35" t="str">
        <f>Tabla_Productos[[#This Row],[SKU]]</f>
        <v>LEG SUB 03</v>
      </c>
      <c r="H16" s="35" t="str">
        <f>Tabla_Productos[[#This Row],[FABRIC]]</f>
        <v>SUPPLEX CLAVEL (BLACK)/MALLA FANTASIA (BLACK)</v>
      </c>
      <c r="K16" s="1" t="s">
        <v>421</v>
      </c>
      <c r="N16" s="185"/>
      <c r="O16" s="190" t="str">
        <f>+$N$6</f>
        <v>MARQUILLAS DE COMPOSICION</v>
      </c>
      <c r="P16" s="1" t="str">
        <f>+Inv!$W$3</f>
        <v>80% COTTON 20% SPANDEX</v>
      </c>
    </row>
    <row r="17" spans="4:16" ht="15" customHeight="1" x14ac:dyDescent="0.25">
      <c r="D17" s="35" t="str">
        <f>Tabla_Productos[[#This Row],[Collection]]</f>
        <v>EVOLUTION COLLECTION</v>
      </c>
      <c r="E17" s="35" t="str">
        <f>Tabla_Productos[[#This Row],[Style]]</f>
        <v>LEGGINGS AND PANTS</v>
      </c>
      <c r="F17" s="35" t="str">
        <f>Tabla_Productos[[#This Row],[Clothes]]</f>
        <v>2 Panels Jazzy Leggings</v>
      </c>
      <c r="G17" s="35" t="str">
        <f>Tabla_Productos[[#This Row],[SKU]]</f>
        <v>LEG SUB 02</v>
      </c>
      <c r="H17" s="35" t="str">
        <f>Tabla_Productos[[#This Row],[FABRIC]]</f>
        <v>4206 (WHITE)/SUPPLEX CLAVEL (BLACK)</v>
      </c>
      <c r="K17" s="1" t="s">
        <v>438</v>
      </c>
      <c r="N17" s="185"/>
      <c r="O17" s="190" t="str">
        <f t="shared" ref="O17:O25" si="1">+$N$6</f>
        <v>MARQUILLAS DE COMPOSICION</v>
      </c>
      <c r="P17" s="1" t="str">
        <f>+Inv!$X$3</f>
        <v>93% POLYESTER 7% SPANDEX</v>
      </c>
    </row>
    <row r="18" spans="4:16" ht="15" customHeight="1" x14ac:dyDescent="0.25">
      <c r="D18" s="35" t="str">
        <f>Tabla_Productos[[#This Row],[Collection]]</f>
        <v>EVOLUTION COLLECTION</v>
      </c>
      <c r="E18" s="35" t="str">
        <f>Tabla_Productos[[#This Row],[Style]]</f>
        <v>LEGGINGS AND PANTS</v>
      </c>
      <c r="F18" s="35" t="str">
        <f>Tabla_Productos[[#This Row],[Clothes]]</f>
        <v>Jazzy Leggings 4 Panels</v>
      </c>
      <c r="G18" s="35" t="str">
        <f>Tabla_Productos[[#This Row],[SKU]]</f>
        <v>COL SUPP</v>
      </c>
      <c r="H18" s="35" t="str">
        <f>Tabla_Productos[[#This Row],[FABRIC]]</f>
        <v>4206 (WHITE)/SUPPLEX CLAVEL (BLACK)</v>
      </c>
      <c r="K18" s="488"/>
      <c r="N18" s="185"/>
      <c r="O18" s="190" t="str">
        <f t="shared" si="1"/>
        <v>MARQUILLAS DE COMPOSICION</v>
      </c>
      <c r="P18" s="1" t="str">
        <f>+Inv!$Y$3</f>
        <v>92% POLYESTER  8% SPANDEX</v>
      </c>
    </row>
    <row r="19" spans="4:16" ht="15" customHeight="1" x14ac:dyDescent="0.25">
      <c r="D19" s="35" t="str">
        <f>Tabla_Productos[[#This Row],[Collection]]</f>
        <v>EVOLUTION COLLECTION</v>
      </c>
      <c r="E19" s="35" t="str">
        <f>Tabla_Productos[[#This Row],[Style]]</f>
        <v>LEGGINGS AND PANTS</v>
      </c>
      <c r="F19" s="35" t="str">
        <f>Tabla_Productos[[#This Row],[Clothes]]</f>
        <v>Tappered Jogger Pant</v>
      </c>
      <c r="G19" s="35" t="str">
        <f>Tabla_Productos[[#This Row],[SKU]]</f>
        <v>JGR SUB 01</v>
      </c>
      <c r="H19" s="35" t="str">
        <f>Tabla_Productos[[#This Row],[FABRIC]]</f>
        <v>4261 (WHITE)/Lining 4059 (BLACK &amp; WHITE)</v>
      </c>
      <c r="K19" s="1" t="s">
        <v>432</v>
      </c>
      <c r="N19" s="185"/>
      <c r="O19" s="190" t="str">
        <f t="shared" si="1"/>
        <v>MARQUILLAS DE COMPOSICION</v>
      </c>
      <c r="P19" s="1" t="str">
        <f>+Inv!$Z$3</f>
        <v>90% NYLON  10% SPANDEX</v>
      </c>
    </row>
    <row r="20" spans="4:16" ht="15" customHeight="1" x14ac:dyDescent="0.25">
      <c r="D20" s="35" t="str">
        <f>Tabla_Productos[[#This Row],[Collection]]</f>
        <v>EVOLUTION COLLECTION</v>
      </c>
      <c r="E20" s="35" t="str">
        <f>Tabla_Productos[[#This Row],[Style]]</f>
        <v>LEGGINGS AND PANTS</v>
      </c>
      <c r="F20" s="35" t="str">
        <f>Tabla_Productos[[#This Row],[Clothes]]</f>
        <v>Performance Capri</v>
      </c>
      <c r="G20" s="35" t="str">
        <f>Tabla_Productos[[#This Row],[SKU]]</f>
        <v>CAP SUB 01</v>
      </c>
      <c r="H20" s="35" t="str">
        <f>Tabla_Productos[[#This Row],[FABRIC]]</f>
        <v>SUPPLEX CLAVEL (BLACK)/MALLA FANTASIA (BLACK)</v>
      </c>
      <c r="K20" s="1" t="s">
        <v>433</v>
      </c>
      <c r="O20" s="190" t="str">
        <f t="shared" si="1"/>
        <v>MARQUILLAS DE COMPOSICION</v>
      </c>
      <c r="P20" s="1" t="str">
        <f>+Inv!$AA$3</f>
        <v>85% POLYESTER  15% SPANDEX</v>
      </c>
    </row>
    <row r="21" spans="4:16" ht="15" customHeight="1" x14ac:dyDescent="0.25">
      <c r="D21" s="35" t="str">
        <f>Tabla_Productos[[#This Row],[Collection]]</f>
        <v>EVOLUTION COLLECTION</v>
      </c>
      <c r="E21" s="35" t="str">
        <f>Tabla_Productos[[#This Row],[Style]]</f>
        <v>LEGGINGS AND PANTS</v>
      </c>
      <c r="F21" s="35" t="str">
        <f>Tabla_Productos[[#This Row],[Clothes]]</f>
        <v>Pyjama Bottoms</v>
      </c>
      <c r="G21" s="35" t="str">
        <f>Tabla_Productos[[#This Row],[SKU]]</f>
        <v>PJB SUB</v>
      </c>
      <c r="H21" s="35" t="str">
        <f>Tabla_Productos[[#This Row],[FABRIC]]</f>
        <v>SUAVESTAR (WHITE)</v>
      </c>
      <c r="K21" s="1" t="s">
        <v>434</v>
      </c>
      <c r="O21" s="190" t="str">
        <f t="shared" si="1"/>
        <v>MARQUILLAS DE COMPOSICION</v>
      </c>
      <c r="P21" s="1" t="str">
        <f>+Inv!$AB$3</f>
        <v>65% POLYESTER  35% COTTON</v>
      </c>
    </row>
    <row r="22" spans="4:16" ht="15" customHeight="1" x14ac:dyDescent="0.25">
      <c r="D22" s="35" t="str">
        <f>Tabla_Productos[[#This Row],[Collection]]</f>
        <v>EVOLUTION COLLECTION</v>
      </c>
      <c r="E22" s="35" t="str">
        <f>Tabla_Productos[[#This Row],[Style]]</f>
        <v>SHORTS</v>
      </c>
      <c r="F22" s="35" t="str">
        <f>Tabla_Productos[[#This Row],[Clothes]]</f>
        <v>Skort</v>
      </c>
      <c r="G22" s="35" t="str">
        <f>Tabla_Productos[[#This Row],[SKU]]</f>
        <v>SKO SUB 01</v>
      </c>
      <c r="H22" s="35" t="str">
        <f>Tabla_Productos[[#This Row],[FABRIC]]</f>
        <v>4206 (WHITE)/MALLA VALIANA (WHITE)</v>
      </c>
      <c r="K22" s="1" t="s">
        <v>435</v>
      </c>
      <c r="O22" s="190" t="str">
        <f t="shared" si="1"/>
        <v>MARQUILLAS DE COMPOSICION</v>
      </c>
      <c r="P22" s="1" t="str">
        <f>+Inv!$AC$3</f>
        <v>65% POLYESTER  35% COTTON</v>
      </c>
    </row>
    <row r="23" spans="4:16" ht="15" customHeight="1" x14ac:dyDescent="0.25">
      <c r="D23" s="35" t="str">
        <f>Tabla_Productos[[#This Row],[Collection]]</f>
        <v>EVOLUTION COLLECTION</v>
      </c>
      <c r="E23" s="35" t="str">
        <f>Tabla_Productos[[#This Row],[Style]]</f>
        <v>SHORTS</v>
      </c>
      <c r="F23" s="35" t="str">
        <f>Tabla_Productos[[#This Row],[Clothes]]</f>
        <v>ProFit Short</v>
      </c>
      <c r="G23" s="35" t="str">
        <f>Tabla_Productos[[#This Row],[SKU]]</f>
        <v>CHE SUB 01</v>
      </c>
      <c r="H23" s="35" t="str">
        <f>Tabla_Productos[[#This Row],[FABRIC]]</f>
        <v>4206 (WHITE)/SUPPLEX CLAVEL (BLACK)</v>
      </c>
      <c r="K23" s="1" t="s">
        <v>436</v>
      </c>
      <c r="O23" s="190" t="str">
        <f t="shared" si="1"/>
        <v>MARQUILLAS DE COMPOSICION</v>
      </c>
      <c r="P23" s="1" t="str">
        <f>+Inv!$AD$3</f>
        <v>80% POLYESTER  20% SPANDEX</v>
      </c>
    </row>
    <row r="24" spans="4:16" ht="15" customHeight="1" x14ac:dyDescent="0.25">
      <c r="D24" s="35" t="str">
        <f>Tabla_Productos[[#This Row],[Collection]]</f>
        <v>EVOLUTION COLLECTION</v>
      </c>
      <c r="E24" s="35" t="str">
        <f>Tabla_Productos[[#This Row],[Style]]</f>
        <v>SHORTS</v>
      </c>
      <c r="F24" s="35" t="str">
        <f>Tabla_Productos[[#This Row],[Clothes]]</f>
        <v>Jazzy Short</v>
      </c>
      <c r="G24" s="35" t="str">
        <f>Tabla_Productos[[#This Row],[SKU]]</f>
        <v>COS SUPP</v>
      </c>
      <c r="H24" s="35" t="str">
        <f>Tabla_Productos[[#This Row],[FABRIC]]</f>
        <v>4206 (WHITE)/SUPPLEX CLAVEL (BLACK)</v>
      </c>
      <c r="K24" s="1" t="s">
        <v>437</v>
      </c>
      <c r="O24" s="190" t="str">
        <f t="shared" si="1"/>
        <v>MARQUILLAS DE COMPOSICION</v>
      </c>
      <c r="P24" s="1" t="str">
        <f>+Inv!$AE$3</f>
        <v>90% COTTON  10% SPANDEX</v>
      </c>
    </row>
    <row r="25" spans="4:16" ht="15" customHeight="1" x14ac:dyDescent="0.25">
      <c r="D25" s="35" t="str">
        <f>Tabla_Productos[[#This Row],[Collection]]</f>
        <v>EVOLUTION COLLECTION</v>
      </c>
      <c r="E25" s="35" t="str">
        <f>Tabla_Productos[[#This Row],[Style]]</f>
        <v>BODIES</v>
      </c>
      <c r="F25" s="35" t="str">
        <f>Tabla_Productos[[#This Row],[Clothes]]</f>
        <v>Jazzy Body Suit</v>
      </c>
      <c r="G25" s="35" t="str">
        <f>Tabla_Productos[[#This Row],[SKU]]</f>
        <v>BDS SUB 01</v>
      </c>
      <c r="H25" s="35" t="str">
        <f>Tabla_Productos[[#This Row],[FABRIC]]</f>
        <v>4241 (WHITE)/Lining 4059 (BLACK &amp; WHITE)</v>
      </c>
      <c r="K25" s="1" t="s">
        <v>438</v>
      </c>
      <c r="O25" s="190" t="str">
        <f t="shared" si="1"/>
        <v>MARQUILLAS DE COMPOSICION</v>
      </c>
      <c r="P25" s="1" t="str">
        <f>+Inv!$AF$3</f>
        <v>97% VISCOSE  3% SPANDEX</v>
      </c>
    </row>
    <row r="26" spans="4:16" ht="15" customHeight="1" x14ac:dyDescent="0.25">
      <c r="D26" s="35" t="str">
        <f>Tabla_Productos[[#This Row],[Collection]]</f>
        <v>EVOLUTION COLLECTION</v>
      </c>
      <c r="E26" s="35" t="str">
        <f>Tabla_Productos[[#This Row],[Style]]</f>
        <v>BODIES</v>
      </c>
      <c r="F26" s="35" t="str">
        <f>Tabla_Productos[[#This Row],[Clothes]]</f>
        <v>Gymnastics Leotard</v>
      </c>
      <c r="G26" s="35" t="str">
        <f>Tabla_Productos[[#This Row],[SKU]]</f>
        <v>LEO SUB 01</v>
      </c>
      <c r="H26" s="35" t="str">
        <f>Tabla_Productos[[#This Row],[FABRIC]]</f>
        <v>4241 (WHITE)/Lining 4059 (BLACK &amp; WHITE)</v>
      </c>
      <c r="O26" s="190" t="str">
        <f>Inv!I7</f>
        <v>STICKERS</v>
      </c>
      <c r="P26" s="1"/>
    </row>
    <row r="27" spans="4:16" ht="15" customHeight="1" x14ac:dyDescent="0.25">
      <c r="D27" s="29" t="str">
        <f>Tabla_Productos[[#This Row],[Collection]]</f>
        <v>ONYX COLLECTION</v>
      </c>
      <c r="E27" s="29" t="str">
        <f>Tabla_Productos[[#This Row],[Style]]</f>
        <v>JACKETS O</v>
      </c>
      <c r="F27" s="29" t="str">
        <f>Tabla_Productos[[#This Row],[Clothes]]</f>
        <v>Onix Fitted Jacket</v>
      </c>
      <c r="G27" s="29" t="str">
        <f>Tabla_Productos[[#This Row],[SKU]]</f>
        <v>DJT ONYX 01 - 02</v>
      </c>
      <c r="H27" s="29" t="str">
        <f>Tabla_Productos[[#This Row],[FABRIC]]</f>
        <v>4206(BLACK)/MENELAOS (BLACK LINING)/ENTRETELA 522 (BLACK)</v>
      </c>
      <c r="O27" s="190" t="str">
        <f>+$N$8</f>
        <v>FAJONES</v>
      </c>
      <c r="P27" s="1" t="str">
        <f>+Inv!$Q$3</f>
        <v>(100X14)cm (con quiebre en mitad)</v>
      </c>
    </row>
    <row r="28" spans="4:16" ht="15" customHeight="1" x14ac:dyDescent="0.25">
      <c r="D28" s="29" t="str">
        <f>Tabla_Productos[[#This Row],[Collection]]</f>
        <v>ONYX COLLECTION</v>
      </c>
      <c r="E28" s="29" t="str">
        <f>Tabla_Productos[[#This Row],[Style]]</f>
        <v>JACKETS O</v>
      </c>
      <c r="F28" s="29" t="str">
        <f>Tabla_Productos[[#This Row],[Clothes]]</f>
        <v>Varsity Jacket O</v>
      </c>
      <c r="G28" s="29" t="str">
        <f>Tabla_Productos[[#This Row],[SKU]]</f>
        <v>VAR ONYX 01 - 02</v>
      </c>
      <c r="H28" s="29" t="str">
        <f>Tabla_Productos[[#This Row],[FABRIC]]</f>
        <v>4126 (BLACK)/Lining (BLACK) 4059</v>
      </c>
      <c r="O28" s="190" t="str">
        <f>+$N$8</f>
        <v>FAJONES</v>
      </c>
      <c r="P28" s="1" t="str">
        <f>+Inv!$R$3</f>
        <v>(60X14)cm (sin quiebre)</v>
      </c>
    </row>
    <row r="29" spans="4:16" ht="15" customHeight="1" x14ac:dyDescent="0.25">
      <c r="D29" s="29" t="str">
        <f>Tabla_Productos[[#This Row],[Collection]]</f>
        <v>ONYX COLLECTION</v>
      </c>
      <c r="E29" s="29" t="str">
        <f>Tabla_Productos[[#This Row],[Style]]</f>
        <v>JACKETS O</v>
      </c>
      <c r="F29" s="29" t="str">
        <f>Tabla_Productos[[#This Row],[Clothes]]</f>
        <v>Wind Breaker Jacket</v>
      </c>
      <c r="G29" s="29" t="str">
        <f>Tabla_Productos[[#This Row],[SKU]]</f>
        <v>WBJ ONYX</v>
      </c>
      <c r="H29" s="29" t="str">
        <f>Tabla_Productos[[#This Row],[FABRIC]]</f>
        <v>ORINOCO ECO (BLACK)/DUNGA(BLACK LINING)/ENTRETELA 522 (BLACK)</v>
      </c>
      <c r="O29" s="190" t="str">
        <f>+$N$8</f>
        <v>FAJONES</v>
      </c>
      <c r="P29" s="1" t="str">
        <f>+Inv!$S$3</f>
        <v>(60X10)cm (con quiebre)</v>
      </c>
    </row>
    <row r="30" spans="4:16" ht="15" customHeight="1" x14ac:dyDescent="0.25">
      <c r="D30" s="29" t="str">
        <f>Tabla_Productos[[#This Row],[Collection]]</f>
        <v>ONYX COLLECTION</v>
      </c>
      <c r="E30" s="29" t="str">
        <f>Tabla_Productos[[#This Row],[Style]]</f>
        <v>TOPS</v>
      </c>
      <c r="F30" s="29" t="str">
        <f>Tabla_Productos[[#This Row],[Clothes]]</f>
        <v>Sport Bra</v>
      </c>
      <c r="G30" s="29" t="str">
        <f>Tabla_Productos[[#This Row],[SKU]]</f>
        <v>BRA ONYX 01 - 02</v>
      </c>
      <c r="H30" s="29" t="str">
        <f>Tabla_Productos[[#This Row],[FABRIC]]</f>
        <v>4206 (BLACK)/Lining (BLACK) 4059</v>
      </c>
      <c r="O30" s="190" t="str">
        <f>Inv!$B$13</f>
        <v>CORDONES</v>
      </c>
      <c r="P30" s="1" t="str">
        <f>+Inv!$C$15</f>
        <v>PLANO 1,1</v>
      </c>
    </row>
    <row r="31" spans="4:16" ht="15" customHeight="1" x14ac:dyDescent="0.25">
      <c r="D31" s="29" t="str">
        <f>Tabla_Productos[[#This Row],[Collection]]</f>
        <v>ONYX COLLECTION</v>
      </c>
      <c r="E31" s="29" t="str">
        <f>Tabla_Productos[[#This Row],[Style]]</f>
        <v>TOPS</v>
      </c>
      <c r="F31" s="29" t="str">
        <f>Tabla_Productos[[#This Row],[Clothes]]</f>
        <v>Female Tank Top</v>
      </c>
      <c r="G31" s="29" t="str">
        <f>Tabla_Productos[[#This Row],[SKU]]</f>
        <v>FTT ONYX 02</v>
      </c>
      <c r="H31" s="29" t="str">
        <f>Tabla_Productos[[#This Row],[FABRIC]]</f>
        <v>4102 (BLACK)/MESH 10030 (BLACK)/JABON (WHITE)</v>
      </c>
      <c r="O31" s="190" t="str">
        <f>Inv!$B$13</f>
        <v>CORDONES</v>
      </c>
      <c r="P31" s="1" t="str">
        <f>+Inv!$D$15</f>
        <v>PLANO 1.3</v>
      </c>
    </row>
    <row r="32" spans="4:16" ht="15" customHeight="1" x14ac:dyDescent="0.25">
      <c r="D32" s="29" t="str">
        <f>Tabla_Productos[[#This Row],[Collection]]</f>
        <v>ONYX COLLECTION</v>
      </c>
      <c r="E32" s="29" t="str">
        <f>Tabla_Productos[[#This Row],[Style]]</f>
        <v>TOPS</v>
      </c>
      <c r="F32" s="29" t="str">
        <f>Tabla_Productos[[#This Row],[Clothes]]</f>
        <v>Men's Tank Top</v>
      </c>
      <c r="G32" s="29" t="str">
        <f>Tabla_Productos[[#This Row],[SKU]]</f>
        <v>MTT ONYX</v>
      </c>
      <c r="H32" s="29" t="str">
        <f>Tabla_Productos[[#This Row],[FABRIC]]</f>
        <v>4102 (BLACK)/MESH 10030 (BLACK)/JABON (WHITE)</v>
      </c>
      <c r="O32" s="190" t="str">
        <f>Inv!$B$13</f>
        <v>CORDONES</v>
      </c>
      <c r="P32" s="1" t="str">
        <f>+Inv!$E$15</f>
        <v>DANCE 1.1</v>
      </c>
    </row>
    <row r="33" spans="4:16" ht="15" customHeight="1" x14ac:dyDescent="0.25">
      <c r="D33" s="29" t="str">
        <f>Tabla_Productos[[#This Row],[Collection]]</f>
        <v>ONYX COLLECTION</v>
      </c>
      <c r="E33" s="29" t="str">
        <f>Tabla_Productos[[#This Row],[Style]]</f>
        <v>BOTTOMS O</v>
      </c>
      <c r="F33" s="29" t="str">
        <f>Tabla_Productos[[#This Row],[Clothes]]</f>
        <v>Onyx Tappered Jogger Pant</v>
      </c>
      <c r="G33" s="29" t="str">
        <f>Tabla_Productos[[#This Row],[SKU]]</f>
        <v>JGR ONYX</v>
      </c>
      <c r="H33" s="29" t="str">
        <f>Tabla_Productos[[#This Row],[FABRIC]]</f>
        <v>4126 (BLACK)/Lining (BLACK) 4059/Entretela 522 (WHITE)</v>
      </c>
      <c r="O33" s="190" t="str">
        <f>Inv!$B$13</f>
        <v>CORDONES</v>
      </c>
      <c r="P33" s="1" t="str">
        <f>+Inv!$F$15</f>
        <v>DANCE 1.3</v>
      </c>
    </row>
    <row r="34" spans="4:16" ht="15" customHeight="1" x14ac:dyDescent="0.25">
      <c r="D34" s="29" t="str">
        <f>Tabla_Productos[[#This Row],[Collection]]</f>
        <v>ONYX COLLECTION</v>
      </c>
      <c r="E34" s="29" t="str">
        <f>Tabla_Productos[[#This Row],[Style]]</f>
        <v>BOTTOMS O</v>
      </c>
      <c r="F34" s="29" t="str">
        <f>Tabla_Productos[[#This Row],[Clothes]]</f>
        <v>Male Short</v>
      </c>
      <c r="G34" s="29" t="str">
        <f>Tabla_Productos[[#This Row],[SKU]]</f>
        <v>MSH ONYX</v>
      </c>
      <c r="H34" s="29" t="str">
        <f>Tabla_Productos[[#This Row],[FABRIC]]</f>
        <v>4126 (BLACK)</v>
      </c>
    </row>
    <row r="35" spans="4:16" ht="15" customHeight="1" x14ac:dyDescent="0.25">
      <c r="D35" s="29" t="str">
        <f>Tabla_Productos[[#This Row],[Collection]]</f>
        <v>ONYX COLLECTION</v>
      </c>
      <c r="E35" s="29" t="str">
        <f>Tabla_Productos[[#This Row],[Style]]</f>
        <v>BOTTOMS O</v>
      </c>
      <c r="F35" s="29" t="str">
        <f>Tabla_Productos[[#This Row],[Clothes]]</f>
        <v>Onix Fitted Short</v>
      </c>
      <c r="G35" s="29" t="str">
        <f>Tabla_Productos[[#This Row],[SKU]]</f>
        <v>CHE ONYX 01 - 02</v>
      </c>
      <c r="H35" s="29" t="str">
        <f>Tabla_Productos[[#This Row],[FABRIC]]</f>
        <v>4206 (BLACK)</v>
      </c>
    </row>
    <row r="36" spans="4:16" ht="15" customHeight="1" x14ac:dyDescent="0.25">
      <c r="D36" s="29" t="str">
        <f>Tabla_Productos[[#This Row],[Collection]]</f>
        <v>ONYX COLLECTION</v>
      </c>
      <c r="E36" s="29" t="str">
        <f>Tabla_Productos[[#This Row],[Style]]</f>
        <v>BOTTOMS O</v>
      </c>
      <c r="F36" s="29" t="str">
        <f>Tabla_Productos[[#This Row],[Clothes]]</f>
        <v>Skort</v>
      </c>
      <c r="G36" s="29" t="str">
        <f>Tabla_Productos[[#This Row],[SKU]]</f>
        <v>SKO ONYX 01 - 02</v>
      </c>
      <c r="H36" s="29" t="str">
        <f>Tabla_Productos[[#This Row],[FABRIC]]</f>
        <v>4206 (BLACK)/MENELAOS (BLACK)</v>
      </c>
    </row>
    <row r="37" spans="4:16" ht="15" customHeight="1" x14ac:dyDescent="0.25">
      <c r="D37" s="29" t="str">
        <f>Tabla_Productos[[#This Row],[Collection]]</f>
        <v>ONYX COLLECTION</v>
      </c>
      <c r="E37" s="29" t="str">
        <f>Tabla_Productos[[#This Row],[Style]]</f>
        <v>BOTTOMS O</v>
      </c>
      <c r="F37" s="29" t="str">
        <f>Tabla_Productos[[#This Row],[Clothes]]</f>
        <v>High Waist Leggings 1</v>
      </c>
      <c r="G37" s="29" t="str">
        <f>Tabla_Productos[[#This Row],[SKU]]</f>
        <v>HWL ONYX 01</v>
      </c>
      <c r="H37" s="29" t="str">
        <f>Tabla_Productos[[#This Row],[FABRIC]]</f>
        <v>42060 (BLACK)/MALLA CROCHET(BLACK)/MALLA FANTASIA (BLACK)</v>
      </c>
    </row>
    <row r="38" spans="4:16" ht="15" customHeight="1" x14ac:dyDescent="0.25">
      <c r="D38" s="29" t="str">
        <f>Tabla_Productos[[#This Row],[Collection]]</f>
        <v>ONYX COLLECTION</v>
      </c>
      <c r="E38" s="29" t="str">
        <f>Tabla_Productos[[#This Row],[Style]]</f>
        <v>BOTTOMS O</v>
      </c>
      <c r="F38" s="29" t="str">
        <f>Tabla_Productos[[#This Row],[Clothes]]</f>
        <v>High Waist Leggings 2</v>
      </c>
      <c r="G38" s="29" t="str">
        <f>Tabla_Productos[[#This Row],[SKU]]</f>
        <v>HWL ONYX 02</v>
      </c>
      <c r="H38" s="29" t="str">
        <f>Tabla_Productos[[#This Row],[FABRIC]]</f>
        <v>42060 (BLACK)/MALLA CROCHET(BLACK)</v>
      </c>
    </row>
    <row r="39" spans="4:16" ht="15" customHeight="1" x14ac:dyDescent="0.25">
      <c r="D39" s="22" t="str">
        <f>Tabla_Productos[[#This Row],[Collection]]</f>
        <v>STREET COLLECTION</v>
      </c>
      <c r="E39" s="22" t="str">
        <f>Tabla_Productos[[#This Row],[Style]]</f>
        <v>JACKETS S</v>
      </c>
      <c r="F39" s="22" t="str">
        <f>Tabla_Productos[[#This Row],[Clothes]]</f>
        <v>Varsity Jacket S</v>
      </c>
      <c r="G39" s="22" t="str">
        <f>Tabla_Productos[[#This Row],[SKU]]</f>
        <v>VAR 50</v>
      </c>
      <c r="H39" s="22" t="str">
        <f>Tabla_Productos[[#This Row],[FABRIC]]</f>
        <v>SANTA CRUZ/Lining 4059 (BLACK &amp; WHITE)</v>
      </c>
    </row>
    <row r="40" spans="4:16" ht="15" customHeight="1" x14ac:dyDescent="0.25">
      <c r="D40" s="22" t="str">
        <f>Tabla_Productos[[#This Row],[Collection]]</f>
        <v>STREET COLLECTION</v>
      </c>
      <c r="E40" s="22" t="str">
        <f>Tabla_Productos[[#This Row],[Style]]</f>
        <v>JACKETS S</v>
      </c>
      <c r="F40" s="22" t="str">
        <f>Tabla_Productos[[#This Row],[Clothes]]</f>
        <v>Raw Edge Crop Hoddie</v>
      </c>
      <c r="G40" s="22" t="str">
        <f>Tabla_Productos[[#This Row],[SKU]]</f>
        <v>RCH 50</v>
      </c>
      <c r="H40" s="22" t="str">
        <f>Tabla_Productos[[#This Row],[FABRIC]]</f>
        <v>SANTA CRUZ</v>
      </c>
    </row>
    <row r="41" spans="4:16" ht="15" customHeight="1" x14ac:dyDescent="0.25">
      <c r="D41" s="22" t="str">
        <f>Tabla_Productos[[#This Row],[Collection]]</f>
        <v>STREET COLLECTION</v>
      </c>
      <c r="E41" s="22" t="str">
        <f>Tabla_Productos[[#This Row],[Style]]</f>
        <v>JACKETS S</v>
      </c>
      <c r="F41" s="22" t="str">
        <f>Tabla_Productos[[#This Row],[Clothes]]</f>
        <v>Hoodie Jacket</v>
      </c>
      <c r="G41" s="22" t="str">
        <f>Tabla_Productos[[#This Row],[SKU]]</f>
        <v>HUN 50</v>
      </c>
      <c r="H41" s="22" t="str">
        <f>Tabla_Productos[[#This Row],[FABRIC]]</f>
        <v>SANTA CRUZ</v>
      </c>
    </row>
    <row r="42" spans="4:16" ht="15" customHeight="1" x14ac:dyDescent="0.25">
      <c r="D42" s="22" t="str">
        <f>Tabla_Productos[[#This Row],[Collection]]</f>
        <v>STREET COLLECTION</v>
      </c>
      <c r="E42" s="22" t="str">
        <f>Tabla_Productos[[#This Row],[Style]]</f>
        <v>TEES S</v>
      </c>
      <c r="F42" s="22" t="str">
        <f>Tabla_Productos[[#This Row],[Clothes]]</f>
        <v>Off The Shoulder</v>
      </c>
      <c r="G42" s="22" t="str">
        <f>Tabla_Productos[[#This Row],[SKU]]</f>
        <v>OFT 46</v>
      </c>
      <c r="H42" s="22" t="str">
        <f>Tabla_Productos[[#This Row],[FABRIC]]</f>
        <v>VISCOSA</v>
      </c>
      <c r="K42" t="str">
        <f t="array" aca="1" ref="K42:K49" ca="1">OFFSET(TablaClothes[[#Headers],[Style]],MATCH(Productos!$M$3,TablaClothes[[#All],[Style]],0)-1,1,COUNTIF(TablaClothes[[#All],[Style]],Productos!$M$3),2)</f>
        <v>Signature Jacket</v>
      </c>
    </row>
    <row r="43" spans="4:16" ht="15" customHeight="1" x14ac:dyDescent="0.25">
      <c r="D43" s="22" t="str">
        <f>Tabla_Productos[[#This Row],[Collection]]</f>
        <v>STREET COLLECTION</v>
      </c>
      <c r="E43" s="22" t="str">
        <f>Tabla_Productos[[#This Row],[Style]]</f>
        <v>TEES S</v>
      </c>
      <c r="F43" s="22" t="str">
        <f>Tabla_Productos[[#This Row],[Clothes]]</f>
        <v>Hi - Lo Racer</v>
      </c>
      <c r="G43" s="22" t="str">
        <f>Tabla_Productos[[#This Row],[SKU]]</f>
        <v>HLR 946</v>
      </c>
      <c r="H43" s="22" t="str">
        <f>Tabla_Productos[[#This Row],[FABRIC]]</f>
        <v>VISCOSA</v>
      </c>
      <c r="K43" t="str">
        <f ca="1"/>
        <v>Varsity Jacket E</v>
      </c>
    </row>
    <row r="44" spans="4:16" ht="15" customHeight="1" x14ac:dyDescent="0.25">
      <c r="D44" s="22" t="str">
        <f>Tabla_Productos[[#This Row],[Collection]]</f>
        <v>STREET COLLECTION</v>
      </c>
      <c r="E44" s="22" t="str">
        <f>Tabla_Productos[[#This Row],[Style]]</f>
        <v>TEES S</v>
      </c>
      <c r="F44" s="22" t="str">
        <f>Tabla_Productos[[#This Row],[Clothes]]</f>
        <v>Tie Up Tee</v>
      </c>
      <c r="G44" s="22" t="str">
        <f>Tabla_Productos[[#This Row],[SKU]]</f>
        <v>TUT 946</v>
      </c>
      <c r="H44" s="22" t="str">
        <f>Tabla_Productos[[#This Row],[FABRIC]]</f>
        <v>VISCOSA</v>
      </c>
      <c r="K44" t="str">
        <f ca="1"/>
        <v>Bomber Jacket</v>
      </c>
    </row>
    <row r="45" spans="4:16" ht="15" customHeight="1" x14ac:dyDescent="0.25">
      <c r="D45" s="22" t="str">
        <f>Tabla_Productos[[#This Row],[Collection]]</f>
        <v>STREET COLLECTION</v>
      </c>
      <c r="E45" s="22" t="str">
        <f>Tabla_Productos[[#This Row],[Style]]</f>
        <v>TEES S</v>
      </c>
      <c r="F45" s="22" t="str">
        <f>Tabla_Productos[[#This Row],[Clothes]]</f>
        <v>Crop Tank Top</v>
      </c>
      <c r="G45" s="22" t="str">
        <f>Tabla_Productos[[#This Row],[SKU]]</f>
        <v>CRO 46</v>
      </c>
      <c r="H45" s="22" t="str">
        <f>Tabla_Productos[[#This Row],[FABRIC]]</f>
        <v>VISCOSA</v>
      </c>
      <c r="K45" t="str">
        <f ca="1"/>
        <v>Hoodie Jacket</v>
      </c>
    </row>
    <row r="46" spans="4:16" ht="15" customHeight="1" x14ac:dyDescent="0.25">
      <c r="D46" s="22" t="str">
        <f>Tabla_Productos[[#This Row],[Collection]]</f>
        <v>STREET COLLECTION</v>
      </c>
      <c r="E46" s="22" t="str">
        <f>Tabla_Productos[[#This Row],[Style]]</f>
        <v>TEES S</v>
      </c>
      <c r="F46" s="22" t="str">
        <f>Tabla_Productos[[#This Row],[Clothes]]</f>
        <v>Crop V Neck</v>
      </c>
      <c r="G46" s="22" t="str">
        <f>Tabla_Productos[[#This Row],[SKU]]</f>
        <v>CRV 46</v>
      </c>
      <c r="H46" s="22" t="str">
        <f>Tabla_Productos[[#This Row],[FABRIC]]</f>
        <v>VISCOSA</v>
      </c>
      <c r="K46" t="e">
        <f ca="1"/>
        <v>#N/A</v>
      </c>
    </row>
    <row r="47" spans="4:16" ht="15" customHeight="1" x14ac:dyDescent="0.25">
      <c r="D47" s="22" t="str">
        <f>Tabla_Productos[[#This Row],[Collection]]</f>
        <v>STREET COLLECTION</v>
      </c>
      <c r="E47" s="22" t="str">
        <f>Tabla_Productos[[#This Row],[Style]]</f>
        <v>TEES S</v>
      </c>
      <c r="F47" s="22" t="str">
        <f>Tabla_Productos[[#This Row],[Clothes]]</f>
        <v>Boys Cut Tank Top</v>
      </c>
      <c r="G47" s="22" t="str">
        <f>Tabla_Productos[[#This Row],[SKU]]</f>
        <v>BCT 946</v>
      </c>
      <c r="H47" s="22" t="str">
        <f>Tabla_Productos[[#This Row],[FABRIC]]</f>
        <v xml:space="preserve">BLACK   KIDS </v>
      </c>
      <c r="K47" t="e">
        <f ca="1"/>
        <v>#N/A</v>
      </c>
    </row>
    <row r="48" spans="4:16" ht="15" customHeight="1" x14ac:dyDescent="0.25">
      <c r="D48" s="22" t="str">
        <f>Tabla_Productos[[#This Row],[Collection]]</f>
        <v>STREET COLLECTION</v>
      </c>
      <c r="E48" s="22" t="str">
        <f>Tabla_Productos[[#This Row],[Style]]</f>
        <v>BOTTOMS S</v>
      </c>
      <c r="F48" s="22" t="str">
        <f>Tabla_Productos[[#This Row],[Clothes]]</f>
        <v>Hip Hop Sweatpant</v>
      </c>
      <c r="G48" s="22" t="str">
        <f>Tabla_Productos[[#This Row],[SKU]]</f>
        <v>HHP 50</v>
      </c>
      <c r="H48" s="22" t="str">
        <f>Tabla_Productos[[#This Row],[FABRIC]]</f>
        <v>SANTA CRUZ</v>
      </c>
      <c r="K48" t="e">
        <f ca="1"/>
        <v>#N/A</v>
      </c>
    </row>
    <row r="49" spans="4:11" ht="15" customHeight="1" x14ac:dyDescent="0.25">
      <c r="D49" s="22" t="str">
        <f>Tabla_Productos[[#This Row],[Collection]]</f>
        <v>STREET COLLECTION</v>
      </c>
      <c r="E49" s="22" t="str">
        <f>Tabla_Productos[[#This Row],[Style]]</f>
        <v>BOTTOMS S</v>
      </c>
      <c r="F49" s="22" t="str">
        <f>Tabla_Productos[[#This Row],[Clothes]]</f>
        <v>Skinny Sweatpants</v>
      </c>
      <c r="G49" s="22" t="str">
        <f>Tabla_Productos[[#This Row],[SKU]]</f>
        <v>SSK 50</v>
      </c>
      <c r="H49" s="22" t="str">
        <f>Tabla_Productos[[#This Row],[FABRIC]]</f>
        <v>SANTA CRUZ</v>
      </c>
      <c r="K49" t="e">
        <f ca="1"/>
        <v>#N/A</v>
      </c>
    </row>
    <row r="50" spans="4:11" ht="15" customHeight="1" x14ac:dyDescent="0.25">
      <c r="D50" s="22" t="str">
        <f>Tabla_Productos[[#This Row],[Collection]]</f>
        <v>STREET COLLECTION</v>
      </c>
      <c r="E50" s="22" t="str">
        <f>Tabla_Productos[[#This Row],[Style]]</f>
        <v>BOTTOMS S</v>
      </c>
      <c r="F50" s="22" t="str">
        <f>Tabla_Productos[[#This Row],[Clothes]]</f>
        <v>Raw Edge Short</v>
      </c>
      <c r="G50" s="22" t="str">
        <f>Tabla_Productos[[#This Row],[SKU]]</f>
        <v>RSH 50</v>
      </c>
      <c r="H50" s="22" t="str">
        <f>Tabla_Productos[[#This Row],[FABRIC]]</f>
        <v>SANTA CRUZ</v>
      </c>
    </row>
    <row r="51" spans="4:11" ht="15" customHeight="1" x14ac:dyDescent="0.25">
      <c r="D51" s="21" t="str">
        <f>Tabla_Productos[[#This Row],[Collection]]</f>
        <v>ACCESORIES</v>
      </c>
      <c r="E51" s="21" t="str">
        <f>Tabla_Productos[[#This Row],[Style]]</f>
        <v>ACCESORIES</v>
      </c>
      <c r="F51" s="21" t="str">
        <f>Tabla_Productos[[#This Row],[Clothes]]</f>
        <v>Custom Team Duffle Bag</v>
      </c>
      <c r="G51" s="21" t="str">
        <f>Tabla_Productos[[#This Row],[SKU]]</f>
        <v>BAG SUB 01</v>
      </c>
      <c r="H51" s="21" t="str">
        <f>Tabla_Productos[[#This Row],[FABRIC]]</f>
        <v>30150 (WHTE)/30150 (BLACK)/LONA MORRAL (BLACK)</v>
      </c>
    </row>
    <row r="52" spans="4:11" ht="15" customHeight="1" x14ac:dyDescent="0.25">
      <c r="D52" s="21" t="str">
        <f>Tabla_Productos[[#This Row],[Collection]]</f>
        <v>ACCESORIES</v>
      </c>
      <c r="E52" s="21" t="str">
        <f>Tabla_Productos[[#This Row],[Style]]</f>
        <v>ACCESORIES</v>
      </c>
      <c r="F52" s="21" t="str">
        <f>Tabla_Productos[[#This Row],[Clothes]]</f>
        <v>Custom Team Back Pack</v>
      </c>
      <c r="G52" s="21" t="str">
        <f>Tabla_Productos[[#This Row],[SKU]]</f>
        <v>BCK SUB 01</v>
      </c>
      <c r="H52" s="21" t="str">
        <f>Tabla_Productos[[#This Row],[FABRIC]]</f>
        <v>30150 (WHTE)/30150 (BLACK)/LONA MORRAL (BLACK)</v>
      </c>
    </row>
    <row r="53" spans="4:11" ht="15" customHeight="1" x14ac:dyDescent="0.25">
      <c r="D53" s="21" t="str">
        <f>Tabla_Productos[[#This Row],[Collection]]</f>
        <v>ACCESORIES</v>
      </c>
      <c r="E53" s="21" t="str">
        <f>Tabla_Productos[[#This Row],[Style]]</f>
        <v>ACCESORIES</v>
      </c>
      <c r="F53" s="21" t="str">
        <f>Tabla_Productos[[#This Row],[Clothes]]</f>
        <v>Headband</v>
      </c>
      <c r="G53" s="21" t="str">
        <f>Tabla_Productos[[#This Row],[SKU]]</f>
        <v>HBA SUPP</v>
      </c>
      <c r="H53" s="21" t="str">
        <f>Tabla_Productos[[#This Row],[FABRIC]]</f>
        <v>4206 (WHITE)/SUPPLEX CLAVEL (BLACK)</v>
      </c>
    </row>
    <row r="54" spans="4:11" ht="15" customHeight="1" x14ac:dyDescent="0.25">
      <c r="D54" s="21" t="str">
        <f>Tabla_Productos[[#This Row],[Collection]]</f>
        <v>ACCESORIES</v>
      </c>
      <c r="E54" s="21" t="str">
        <f>Tabla_Productos[[#This Row],[Style]]</f>
        <v>ACCESORIES</v>
      </c>
      <c r="F54" s="21" t="str">
        <f>Tabla_Productos[[#This Row],[Clothes]]</f>
        <v>Custom Team  Slides</v>
      </c>
      <c r="G54" s="21" t="str">
        <f>Tabla_Productos[[#This Row],[SKU]]</f>
        <v>SLD SUB</v>
      </c>
      <c r="H54" s="21" t="str">
        <f>Tabla_Productos[[#This Row],[FABRIC]]</f>
        <v>LONA CAMPERO (WHITE)/ORION (WHITE)/NEOPRENO</v>
      </c>
    </row>
    <row r="55" spans="4:11" ht="15" customHeight="1" x14ac:dyDescent="0.25">
      <c r="D55" s="21" t="str">
        <f>Tabla_Productos[[#This Row],[Collection]]</f>
        <v>ACCESORIES</v>
      </c>
      <c r="E55" s="21" t="str">
        <f>Tabla_Productos[[#This Row],[Style]]</f>
        <v>ACCESORIES</v>
      </c>
      <c r="F55" s="21" t="str">
        <f>Tabla_Productos[[#This Row],[Clothes]]</f>
        <v>Custom Team Bow</v>
      </c>
      <c r="G55" s="21" t="str">
        <f>Tabla_Productos[[#This Row],[SKU]]</f>
        <v>BOW SUB 01</v>
      </c>
      <c r="H55" s="21" t="str">
        <f>Tabla_Productos[[#This Row],[FABRIC]]</f>
        <v>CINTA FAYA (WHITE) 75 MM/CINTA FAYA (WHITE) 9 MM/CAUCHO</v>
      </c>
    </row>
    <row r="56" spans="4:11" ht="15" customHeight="1" x14ac:dyDescent="0.25">
      <c r="D56" s="21" t="str">
        <f>Tabla_Productos[[#This Row],[Collection]]</f>
        <v>ACCESORIES</v>
      </c>
      <c r="E56" s="21" t="str">
        <f>Tabla_Productos[[#This Row],[Style]]</f>
        <v>ACCESORIES</v>
      </c>
      <c r="F56" s="21" t="str">
        <f>Tabla_Productos[[#This Row],[Clothes]]</f>
        <v>Scarf</v>
      </c>
      <c r="G56" s="21" t="str">
        <f>Tabla_Productos[[#This Row],[SKU]]</f>
        <v xml:space="preserve">SCA SUB </v>
      </c>
      <c r="H56" s="21" t="str">
        <f>Tabla_Productos[[#This Row],[FABRIC]]</f>
        <v>SUAVESTAR (WHITE)</v>
      </c>
    </row>
    <row r="57" spans="4:11" ht="15" customHeight="1" x14ac:dyDescent="0.25">
      <c r="D57" s="34" t="str">
        <f>Tabla_Productos[[#This Row],[Collection]]</f>
        <v>WHOLESALE</v>
      </c>
      <c r="E57" s="34" t="str">
        <f>Tabla_Productos[[#This Row],[Style]]</f>
        <v>JACKETS W</v>
      </c>
      <c r="F57" s="34" t="str">
        <f>Tabla_Productos[[#This Row],[Clothes]]</f>
        <v>Onyx Fitted Jacket</v>
      </c>
      <c r="G57" s="34" t="str">
        <f>Tabla_Productos[[#This Row],[SKU]]</f>
        <v>DJT ONYX 03</v>
      </c>
      <c r="H57" s="34" t="str">
        <f>Tabla_Productos[[#This Row],[FABRIC]]</f>
        <v>42060 (WHITE)/Lining (WHITE) 4059</v>
      </c>
    </row>
    <row r="58" spans="4:11" ht="15" customHeight="1" x14ac:dyDescent="0.25">
      <c r="D58" s="34" t="str">
        <f>Tabla_Productos[[#This Row],[Collection]]</f>
        <v>WHOLESALE</v>
      </c>
      <c r="E58" s="34" t="str">
        <f>Tabla_Productos[[#This Row],[Style]]</f>
        <v>JACKETS W</v>
      </c>
      <c r="F58" s="34" t="str">
        <f>Tabla_Productos[[#This Row],[Clothes]]</f>
        <v>Fully Sublimated Windbreaker</v>
      </c>
      <c r="G58" s="34" t="str">
        <f>Tabla_Productos[[#This Row],[SKU]]</f>
        <v>WBJ SUB 01</v>
      </c>
      <c r="H58" s="34" t="str">
        <f>Tabla_Productos[[#This Row],[FABRIC]]</f>
        <v>UNIVERSAL LYCRA (WHITE)/LAMEGA (WHITE) LIning/4241 (Binding)</v>
      </c>
    </row>
    <row r="59" spans="4:11" ht="15" customHeight="1" x14ac:dyDescent="0.25">
      <c r="D59" s="34" t="str">
        <f>Tabla_Productos[[#This Row],[Collection]]</f>
        <v>WHOLESALE</v>
      </c>
      <c r="E59" s="34" t="str">
        <f>Tabla_Productos[[#This Row],[Style]]</f>
        <v>TEES W</v>
      </c>
      <c r="F59" s="34" t="str">
        <f>Tabla_Productos[[#This Row],[Clothes]]</f>
        <v>Onyx Female Performance Tee</v>
      </c>
      <c r="G59" s="34" t="str">
        <f>Tabla_Productos[[#This Row],[SKU]]</f>
        <v>FPT ONYX02</v>
      </c>
      <c r="H59" s="34" t="str">
        <f>Tabla_Productos[[#This Row],[FABRIC]]</f>
        <v>4102 (BLACK)/MESH 10030 (BLACK)/JABON (WHITE)</v>
      </c>
    </row>
    <row r="60" spans="4:11" ht="15" customHeight="1" x14ac:dyDescent="0.25">
      <c r="D60" s="34" t="str">
        <f>Tabla_Productos[[#This Row],[Collection]]</f>
        <v>WHOLESALE</v>
      </c>
      <c r="E60" s="34" t="str">
        <f>Tabla_Productos[[#This Row],[Style]]</f>
        <v>TEES W</v>
      </c>
      <c r="F60" s="34" t="str">
        <f>Tabla_Productos[[#This Row],[Clothes]]</f>
        <v>Onyx Female Performance Tee Long Sleeve</v>
      </c>
      <c r="G60" s="34" t="str">
        <f>Tabla_Productos[[#This Row],[SKU]]</f>
        <v>FPTL  ONYX 02</v>
      </c>
      <c r="H60" s="34" t="str">
        <f>Tabla_Productos[[#This Row],[FABRIC]]</f>
        <v>4102 (BLACK)/MESH 10030 (BLACK)/JABON (WHITE)</v>
      </c>
    </row>
    <row r="61" spans="4:11" ht="15" customHeight="1" x14ac:dyDescent="0.25">
      <c r="D61" s="34" t="str">
        <f>Tabla_Productos[[#This Row],[Collection]]</f>
        <v>WHOLESALE</v>
      </c>
      <c r="E61" s="34" t="str">
        <f>Tabla_Productos[[#This Row],[Style]]</f>
        <v>TEES W</v>
      </c>
      <c r="F61" s="34" t="str">
        <f>Tabla_Productos[[#This Row],[Clothes]]</f>
        <v>Onyx Male Performance Tee</v>
      </c>
      <c r="G61" s="34" t="str">
        <f>Tabla_Productos[[#This Row],[SKU]]</f>
        <v>MPT  ONYX02</v>
      </c>
      <c r="H61" s="34" t="str">
        <f>Tabla_Productos[[#This Row],[FABRIC]]</f>
        <v>4102 (BLACK)/MESH 10030 (BLACK)/JABON (WHITE)</v>
      </c>
    </row>
    <row r="62" spans="4:11" ht="15" customHeight="1" x14ac:dyDescent="0.25">
      <c r="D62" s="34" t="str">
        <f>Tabla_Productos[[#This Row],[Collection]]</f>
        <v>WHOLESALE</v>
      </c>
      <c r="E62" s="34" t="str">
        <f>Tabla_Productos[[#This Row],[Style]]</f>
        <v>TEES W</v>
      </c>
      <c r="F62" s="34" t="str">
        <f>Tabla_Productos[[#This Row],[Clothes]]</f>
        <v>Onyx Male Performance Tee Long Sleeve</v>
      </c>
      <c r="G62" s="34" t="str">
        <f>Tabla_Productos[[#This Row],[SKU]]</f>
        <v>MPTL  ONYX02</v>
      </c>
      <c r="H62" s="34" t="str">
        <f>Tabla_Productos[[#This Row],[FABRIC]]</f>
        <v>4102 (BLACK)/MESH 10030 (BLACK)/JABON (WHITE)</v>
      </c>
    </row>
    <row r="63" spans="4:11" ht="15" customHeight="1" x14ac:dyDescent="0.25">
      <c r="D63" s="34" t="str">
        <f>Tabla_Productos[[#This Row],[Collection]]</f>
        <v>WHOLESALE</v>
      </c>
      <c r="E63" s="34" t="str">
        <f>Tabla_Productos[[#This Row],[Style]]</f>
        <v>TEES W</v>
      </c>
      <c r="F63" s="34" t="str">
        <f>Tabla_Productos[[#This Row],[Clothes]]</f>
        <v>Shabby Chic T Shirt</v>
      </c>
      <c r="G63" s="34" t="str">
        <f>Tabla_Productos[[#This Row],[SKU]]</f>
        <v>SHAB CHIC</v>
      </c>
      <c r="H63" s="34" t="str">
        <f>Tabla_Productos[[#This Row],[FABRIC]]</f>
        <v>VISCOSA</v>
      </c>
    </row>
    <row r="64" spans="4:11" ht="15" customHeight="1" x14ac:dyDescent="0.25">
      <c r="D64" s="34" t="str">
        <f>Tabla_Productos[[#This Row],[Collection]]</f>
        <v>WHOLESALE</v>
      </c>
      <c r="E64" s="34" t="str">
        <f>Tabla_Productos[[#This Row],[Style]]</f>
        <v>TEES W</v>
      </c>
      <c r="F64" s="34" t="str">
        <f>Tabla_Productos[[#This Row],[Clothes]]</f>
        <v>Men's Performance Pullover</v>
      </c>
      <c r="G64" s="34" t="str">
        <f>Tabla_Productos[[#This Row],[SKU]]</f>
        <v>MPP SUB 01</v>
      </c>
      <c r="H64" s="34" t="str">
        <f>Tabla_Productos[[#This Row],[FABRIC]]</f>
        <v>HIDROTECH (WHITE)</v>
      </c>
    </row>
    <row r="65" spans="4:8" ht="15" customHeight="1" x14ac:dyDescent="0.25">
      <c r="D65" s="34" t="str">
        <f>Tabla_Productos[[#This Row],[Collection]]</f>
        <v>WHOLESALE</v>
      </c>
      <c r="E65" s="34" t="str">
        <f>Tabla_Productos[[#This Row],[Style]]</f>
        <v>TEES W</v>
      </c>
      <c r="F65" s="34" t="str">
        <f>Tabla_Productos[[#This Row],[Clothes]]</f>
        <v>Women's Performance Pullover</v>
      </c>
      <c r="G65" s="34" t="str">
        <f>Tabla_Productos[[#This Row],[SKU]]</f>
        <v>WPP SUB 01</v>
      </c>
      <c r="H65" s="34" t="str">
        <f>Tabla_Productos[[#This Row],[FABRIC]]</f>
        <v>HIDROTECH (WHITE)</v>
      </c>
    </row>
    <row r="66" spans="4:8" ht="15" customHeight="1" x14ac:dyDescent="0.25">
      <c r="D66" s="34" t="str">
        <f>Tabla_Productos[[#This Row],[Collection]]</f>
        <v>WHOLESALE</v>
      </c>
      <c r="E66" s="34" t="str">
        <f>Tabla_Productos[[#This Row],[Style]]</f>
        <v>BOTTOMS W</v>
      </c>
      <c r="F66" s="34" t="str">
        <f>Tabla_Productos[[#This Row],[Clothes]]</f>
        <v>Leggings Full Sublimated</v>
      </c>
      <c r="G66" s="34" t="str">
        <f>Tabla_Productos[[#This Row],[SKU]]</f>
        <v>LEG SUB 01</v>
      </c>
      <c r="H66" s="34" t="str">
        <f>Tabla_Productos[[#This Row],[FABRIC]]</f>
        <v>4206 (WHITE)</v>
      </c>
    </row>
    <row r="67" spans="4:8" ht="15" customHeight="1" x14ac:dyDescent="0.25">
      <c r="D67" s="34" t="str">
        <f>Tabla_Productos[[#This Row],[Collection]]</f>
        <v>WHOLESALE</v>
      </c>
      <c r="E67" s="34" t="str">
        <f>Tabla_Productos[[#This Row],[Style]]</f>
        <v>BOTTOMS W</v>
      </c>
      <c r="F67" s="34" t="str">
        <f>Tabla_Productos[[#This Row],[Clothes]]</f>
        <v>Brief</v>
      </c>
      <c r="G67" s="34" t="str">
        <f>Tabla_Productos[[#This Row],[SKU]]</f>
        <v>BRIEF</v>
      </c>
      <c r="H67" s="34" t="str">
        <f>Tabla_Productos[[#This Row],[FABRIC]]</f>
        <v>SUPPLEX (BLACK)</v>
      </c>
    </row>
    <row r="68" spans="4:8" ht="15" customHeight="1" x14ac:dyDescent="0.25"/>
    <row r="69" spans="4:8" ht="15" customHeight="1" x14ac:dyDescent="0.25"/>
    <row r="70" spans="4:8" ht="15" customHeight="1" x14ac:dyDescent="0.25"/>
    <row r="71" spans="4:8" ht="15" customHeight="1" x14ac:dyDescent="0.25"/>
    <row r="72" spans="4:8" ht="15" customHeight="1" x14ac:dyDescent="0.25"/>
    <row r="73" spans="4:8" ht="15" customHeight="1" x14ac:dyDescent="0.25"/>
    <row r="74" spans="4:8" ht="15" customHeight="1" x14ac:dyDescent="0.25"/>
    <row r="75" spans="4:8" ht="15" customHeight="1" x14ac:dyDescent="0.25"/>
    <row r="76" spans="4:8" ht="15" customHeight="1" x14ac:dyDescent="0.25"/>
    <row r="77" spans="4:8" ht="15" customHeight="1" x14ac:dyDescent="0.25"/>
    <row r="78" spans="4:8" ht="15" customHeight="1" x14ac:dyDescent="0.25"/>
    <row r="79" spans="4:8" ht="15" customHeight="1" x14ac:dyDescent="0.25"/>
    <row r="80" spans="4:8"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24" ht="15" customHeight="1" x14ac:dyDescent="0.25"/>
  </sheetData>
  <pageMargins left="0.7" right="0.7" top="0.75" bottom="0.75" header="0.3" footer="0.3"/>
  <pageSetup orientation="portrait" horizontalDpi="4294967293" verticalDpi="4294967293" r:id="rId1"/>
  <tableParts count="3">
    <tablePart r:id="rId2"/>
    <tablePart r:id="rId3"/>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BK147"/>
  <sheetViews>
    <sheetView topLeftCell="BE1" zoomScale="70" zoomScaleNormal="70" workbookViewId="0">
      <pane ySplit="1" topLeftCell="A2" activePane="bottomLeft" state="frozen"/>
      <selection pane="bottomLeft" activeCell="BI57" sqref="BI57"/>
    </sheetView>
  </sheetViews>
  <sheetFormatPr baseColWidth="10" defaultRowHeight="15" x14ac:dyDescent="0.25"/>
  <cols>
    <col min="1" max="1" width="30.28515625" customWidth="1"/>
    <col min="2" max="2" width="20.7109375" style="442" customWidth="1"/>
    <col min="3" max="3" width="14.85546875" style="442" customWidth="1"/>
    <col min="4" max="4" width="17.85546875" style="440" customWidth="1"/>
    <col min="5" max="5" width="18.7109375" style="442" customWidth="1"/>
    <col min="6" max="6" width="13.7109375" style="442" customWidth="1"/>
    <col min="7" max="7" width="18.140625" style="442" bestFit="1" customWidth="1"/>
    <col min="8" max="8" width="9.85546875" style="442" customWidth="1"/>
    <col min="9" max="9" width="19.5703125" style="442" customWidth="1"/>
    <col min="10" max="10" width="18.7109375" style="442" customWidth="1"/>
    <col min="11" max="11" width="18.7109375" style="442" bestFit="1" customWidth="1"/>
    <col min="12" max="12" width="15.7109375" style="442" customWidth="1"/>
    <col min="13" max="14" width="18.7109375" style="442" bestFit="1" customWidth="1"/>
    <col min="15" max="15" width="16" style="442" bestFit="1" customWidth="1"/>
    <col min="16" max="16" width="13.140625" style="442" customWidth="1"/>
    <col min="17" max="17" width="13.28515625" style="442" customWidth="1"/>
    <col min="18" max="18" width="13.5703125" style="442" customWidth="1"/>
    <col min="19" max="19" width="16.42578125" style="442" customWidth="1"/>
    <col min="20" max="20" width="11.140625" style="442" customWidth="1"/>
    <col min="21" max="21" width="16" style="442" customWidth="1"/>
    <col min="22" max="22" width="14.7109375" style="442" customWidth="1"/>
    <col min="23" max="23" width="15.85546875" style="442" customWidth="1"/>
    <col min="24" max="24" width="6" style="442" customWidth="1"/>
    <col min="25" max="25" width="10.140625" style="442" hidden="1" customWidth="1"/>
    <col min="26" max="26" width="0" style="442" hidden="1" customWidth="1"/>
    <col min="27" max="27" width="25" style="442" bestFit="1" customWidth="1"/>
    <col min="28" max="28" width="14.7109375" style="442" customWidth="1"/>
    <col min="29" max="32" width="11.42578125" style="442"/>
    <col min="33" max="33" width="13.42578125" style="442" customWidth="1"/>
    <col min="34" max="36" width="11.42578125" style="442"/>
    <col min="37" max="37" width="12.28515625" style="442" customWidth="1"/>
    <col min="38" max="44" width="11.42578125" style="442"/>
    <col min="45" max="45" width="12.28515625" style="442" customWidth="1"/>
    <col min="46" max="46" width="11.42578125" style="442"/>
    <col min="47" max="47" width="12" style="442" customWidth="1"/>
    <col min="48" max="48" width="13.85546875" style="442" customWidth="1"/>
    <col min="49" max="49" width="11.42578125" style="442"/>
    <col min="50" max="50" width="7" customWidth="1"/>
    <col min="51" max="52" width="0" hidden="1" customWidth="1"/>
    <col min="53" max="53" width="25" bestFit="1" customWidth="1"/>
    <col min="54" max="54" width="22" bestFit="1" customWidth="1"/>
    <col min="55" max="55" width="49.7109375" customWidth="1"/>
    <col min="56" max="56" width="17.85546875" bestFit="1" customWidth="1"/>
    <col min="57" max="57" width="72.85546875" bestFit="1" customWidth="1"/>
    <col min="59" max="59" width="27.140625" bestFit="1" customWidth="1"/>
    <col min="60" max="60" width="31.140625" bestFit="1" customWidth="1"/>
    <col min="61" max="61" width="30.28515625" bestFit="1" customWidth="1"/>
    <col min="62" max="62" width="38.85546875" bestFit="1" customWidth="1"/>
    <col min="63" max="63" width="40.7109375" bestFit="1" customWidth="1"/>
  </cols>
  <sheetData>
    <row r="1" spans="1:63" s="441" customFormat="1" ht="42" customHeight="1" thickBot="1" x14ac:dyDescent="0.3">
      <c r="A1" s="276" t="s">
        <v>144</v>
      </c>
      <c r="B1" s="276" t="s">
        <v>145</v>
      </c>
      <c r="C1" s="276" t="s">
        <v>146</v>
      </c>
      <c r="D1" s="276" t="s">
        <v>147</v>
      </c>
      <c r="E1" s="276" t="s">
        <v>148</v>
      </c>
      <c r="F1" s="276" t="s">
        <v>149</v>
      </c>
      <c r="G1" s="276" t="s">
        <v>150</v>
      </c>
      <c r="H1" s="276" t="s">
        <v>151</v>
      </c>
      <c r="I1" s="276" t="s">
        <v>152</v>
      </c>
      <c r="J1" s="276" t="s">
        <v>153</v>
      </c>
      <c r="K1" s="276" t="s">
        <v>154</v>
      </c>
      <c r="L1" s="276" t="s">
        <v>155</v>
      </c>
      <c r="M1" s="276" t="s">
        <v>156</v>
      </c>
      <c r="N1" s="276" t="s">
        <v>157</v>
      </c>
      <c r="O1" s="276" t="s">
        <v>158</v>
      </c>
      <c r="P1" s="276" t="s">
        <v>159</v>
      </c>
      <c r="Q1" s="276" t="s">
        <v>160</v>
      </c>
      <c r="R1" s="276" t="s">
        <v>161</v>
      </c>
      <c r="S1" s="276" t="s">
        <v>162</v>
      </c>
      <c r="T1" s="276" t="s">
        <v>163</v>
      </c>
      <c r="U1" s="277" t="s">
        <v>164</v>
      </c>
      <c r="V1" s="277" t="s">
        <v>165</v>
      </c>
      <c r="W1" s="277" t="s">
        <v>166</v>
      </c>
      <c r="X1" s="278"/>
      <c r="AA1" s="279" t="s">
        <v>189</v>
      </c>
      <c r="AB1" s="279" t="s">
        <v>190</v>
      </c>
      <c r="AC1" s="279" t="s">
        <v>191</v>
      </c>
      <c r="AD1" s="279" t="s">
        <v>192</v>
      </c>
      <c r="AE1" s="279" t="s">
        <v>193</v>
      </c>
      <c r="AF1" s="279" t="s">
        <v>194</v>
      </c>
      <c r="AG1" s="279" t="s">
        <v>195</v>
      </c>
      <c r="AH1" s="279" t="s">
        <v>196</v>
      </c>
      <c r="AI1" s="279" t="s">
        <v>197</v>
      </c>
      <c r="AJ1" s="279" t="s">
        <v>198</v>
      </c>
      <c r="AK1" s="279" t="s">
        <v>415</v>
      </c>
      <c r="AL1" s="279" t="s">
        <v>200</v>
      </c>
      <c r="AM1" s="279" t="s">
        <v>201</v>
      </c>
      <c r="AN1" s="279" t="s">
        <v>202</v>
      </c>
      <c r="AO1" s="279" t="s">
        <v>203</v>
      </c>
      <c r="AP1" s="279" t="s">
        <v>204</v>
      </c>
      <c r="AQ1" s="279" t="s">
        <v>205</v>
      </c>
      <c r="AR1" s="279" t="s">
        <v>206</v>
      </c>
      <c r="AS1" s="279" t="s">
        <v>207</v>
      </c>
      <c r="AT1" s="279" t="s">
        <v>208</v>
      </c>
      <c r="AU1" s="279" t="s">
        <v>209</v>
      </c>
      <c r="AV1" s="279" t="s">
        <v>210</v>
      </c>
      <c r="AW1" s="279" t="s">
        <v>211</v>
      </c>
      <c r="BA1" s="44" t="s">
        <v>215</v>
      </c>
      <c r="BB1" s="55" t="s">
        <v>214</v>
      </c>
      <c r="BC1" s="56" t="s">
        <v>231</v>
      </c>
      <c r="BD1" s="150" t="s">
        <v>0</v>
      </c>
      <c r="BE1" s="151" t="s">
        <v>1</v>
      </c>
      <c r="BG1" s="660" t="s">
        <v>496</v>
      </c>
      <c r="BH1" s="661"/>
      <c r="BI1" s="661"/>
      <c r="BJ1" s="661"/>
      <c r="BK1" s="662"/>
    </row>
    <row r="2" spans="1:63" ht="21" customHeight="1" thickBot="1" x14ac:dyDescent="0.3">
      <c r="A2" s="682" t="s">
        <v>167</v>
      </c>
      <c r="B2" s="683"/>
      <c r="C2" s="683"/>
      <c r="D2" s="683"/>
      <c r="E2" s="683"/>
      <c r="F2" s="683"/>
      <c r="G2" s="683"/>
      <c r="H2" s="683"/>
      <c r="I2" s="683"/>
      <c r="J2" s="683"/>
      <c r="K2" s="683"/>
      <c r="L2" s="683"/>
      <c r="M2" s="683"/>
      <c r="N2" s="683"/>
      <c r="O2" s="683"/>
      <c r="P2" s="683"/>
      <c r="Q2" s="683"/>
      <c r="R2" s="683"/>
      <c r="S2" s="683"/>
      <c r="T2" s="683"/>
      <c r="U2" s="683"/>
      <c r="V2" s="683"/>
      <c r="W2" s="684"/>
      <c r="X2" s="491"/>
      <c r="Y2" s="491"/>
      <c r="Z2" s="491"/>
      <c r="AA2" s="675" t="s">
        <v>212</v>
      </c>
      <c r="AB2" s="676"/>
      <c r="AC2" s="676"/>
      <c r="AD2" s="676"/>
      <c r="AE2" s="676"/>
      <c r="AF2" s="676"/>
      <c r="AG2" s="676"/>
      <c r="AH2" s="676"/>
      <c r="AI2" s="676"/>
      <c r="AJ2" s="676"/>
      <c r="AK2" s="676"/>
      <c r="AL2" s="676"/>
      <c r="AM2" s="676"/>
      <c r="AN2" s="676"/>
      <c r="AO2" s="676"/>
      <c r="AP2" s="676"/>
      <c r="AQ2" s="676"/>
      <c r="AR2" s="676"/>
      <c r="AS2" s="676"/>
      <c r="AT2" s="676"/>
      <c r="AU2" s="676"/>
      <c r="AV2" s="676"/>
      <c r="AW2" s="677"/>
      <c r="BA2" s="36" t="s">
        <v>2</v>
      </c>
      <c r="BB2" s="37" t="s">
        <v>216</v>
      </c>
      <c r="BC2" s="86" t="s">
        <v>5</v>
      </c>
      <c r="BD2" s="118" t="s">
        <v>4</v>
      </c>
      <c r="BE2" s="50" t="str">
        <f>BI4</f>
        <v>4206 (WHITE)</v>
      </c>
      <c r="BG2" s="537" t="s">
        <v>0</v>
      </c>
      <c r="BH2" s="537" t="s">
        <v>497</v>
      </c>
      <c r="BI2" s="537" t="s">
        <v>1</v>
      </c>
      <c r="BJ2" s="538" t="s">
        <v>498</v>
      </c>
      <c r="BK2" s="539" t="s">
        <v>499</v>
      </c>
    </row>
    <row r="3" spans="1:63" ht="15" customHeight="1" thickBot="1" x14ac:dyDescent="0.3">
      <c r="A3" s="685" t="s">
        <v>3</v>
      </c>
      <c r="B3" s="686"/>
      <c r="C3" s="686"/>
      <c r="D3" s="686"/>
      <c r="E3" s="686"/>
      <c r="F3" s="686"/>
      <c r="G3" s="686"/>
      <c r="H3" s="686"/>
      <c r="I3" s="686"/>
      <c r="J3" s="686"/>
      <c r="K3" s="686"/>
      <c r="L3" s="686"/>
      <c r="M3" s="686"/>
      <c r="N3" s="686"/>
      <c r="O3" s="686"/>
      <c r="P3" s="686"/>
      <c r="Q3" s="686"/>
      <c r="R3" s="686"/>
      <c r="S3" s="686"/>
      <c r="T3" s="686"/>
      <c r="U3" s="687"/>
      <c r="V3" s="687"/>
      <c r="W3" s="688"/>
      <c r="AA3" s="443" t="s">
        <v>110</v>
      </c>
      <c r="AB3" s="444" t="s">
        <v>109</v>
      </c>
      <c r="AC3" s="9"/>
      <c r="AD3" s="438" t="str">
        <f>+AB3</f>
        <v>BAG SUB 01</v>
      </c>
      <c r="AE3" s="9" t="str">
        <f>+AB3</f>
        <v>BAG SUB 01</v>
      </c>
      <c r="AF3" s="9" t="str">
        <f>+AB3</f>
        <v>BAG SUB 01</v>
      </c>
      <c r="AG3" s="445"/>
      <c r="AH3" s="445"/>
      <c r="AI3" s="9"/>
      <c r="AJ3" s="445"/>
      <c r="AK3" s="445"/>
      <c r="AL3" s="9"/>
      <c r="AM3" s="445"/>
      <c r="AN3" s="445"/>
      <c r="AO3" s="9"/>
      <c r="AP3" s="9"/>
      <c r="AQ3" s="9"/>
      <c r="AR3" s="9"/>
      <c r="AS3" s="445"/>
      <c r="AT3" s="445"/>
      <c r="AU3" s="9"/>
      <c r="AV3" s="9"/>
      <c r="AW3" s="446"/>
      <c r="BA3" s="38" t="s">
        <v>2</v>
      </c>
      <c r="BB3" s="35" t="s">
        <v>216</v>
      </c>
      <c r="BC3" s="35" t="s">
        <v>233</v>
      </c>
      <c r="BD3" s="119" t="s">
        <v>391</v>
      </c>
      <c r="BE3" s="51" t="str">
        <f>BI5&amp;"/"&amp;BI6</f>
        <v>4261 (WHITE)/Lining 4059 (BLACK &amp; WHITE)</v>
      </c>
      <c r="BG3" s="540" t="s">
        <v>3</v>
      </c>
      <c r="BH3" s="541"/>
      <c r="BI3" s="541"/>
      <c r="BJ3" s="541"/>
      <c r="BK3" s="628"/>
    </row>
    <row r="4" spans="1:63" ht="15.75" x14ac:dyDescent="0.25">
      <c r="A4" s="5" t="s">
        <v>5</v>
      </c>
      <c r="B4" s="447" t="s">
        <v>4</v>
      </c>
      <c r="C4" s="9"/>
      <c r="D4" s="433"/>
      <c r="E4" s="9" t="str">
        <f>+B4</f>
        <v>DJT SUB 01</v>
      </c>
      <c r="F4" s="445"/>
      <c r="G4" s="445"/>
      <c r="H4" s="9"/>
      <c r="I4" s="448"/>
      <c r="J4" s="9" t="str">
        <f>+B4</f>
        <v>DJT SUB 01</v>
      </c>
      <c r="K4" s="445"/>
      <c r="L4" s="445"/>
      <c r="M4" s="445"/>
      <c r="N4" s="445"/>
      <c r="O4" s="445"/>
      <c r="P4" s="445"/>
      <c r="Q4" s="445"/>
      <c r="R4" s="445"/>
      <c r="S4" s="445"/>
      <c r="T4" s="449"/>
      <c r="U4" s="450"/>
      <c r="V4" s="451"/>
      <c r="W4" s="452"/>
      <c r="AA4" s="453" t="s">
        <v>112</v>
      </c>
      <c r="AB4" s="454" t="s">
        <v>111</v>
      </c>
      <c r="AC4" s="455"/>
      <c r="AD4" s="436" t="str">
        <f>+AB4</f>
        <v>BCK SUB 01</v>
      </c>
      <c r="AE4" s="456"/>
      <c r="AF4" s="9" t="str">
        <f>+AB4</f>
        <v>BCK SUB 01</v>
      </c>
      <c r="AG4" s="455"/>
      <c r="AH4" s="455"/>
      <c r="AI4" s="455"/>
      <c r="AJ4" s="455"/>
      <c r="AK4" s="455"/>
      <c r="AL4" s="455"/>
      <c r="AM4" s="455"/>
      <c r="AN4" s="455"/>
      <c r="AO4" s="455"/>
      <c r="AP4" s="455"/>
      <c r="AQ4" s="456"/>
      <c r="AR4" s="455"/>
      <c r="AS4" s="456"/>
      <c r="AT4" s="455"/>
      <c r="AU4" s="455"/>
      <c r="AV4" s="455"/>
      <c r="AW4" s="457"/>
      <c r="BA4" s="38" t="s">
        <v>2</v>
      </c>
      <c r="BB4" s="35" t="s">
        <v>216</v>
      </c>
      <c r="BC4" s="74" t="s">
        <v>10</v>
      </c>
      <c r="BD4" s="120" t="s">
        <v>9</v>
      </c>
      <c r="BE4" s="52" t="str">
        <f>BI7&amp;"/"&amp;BI8&amp;"/"&amp;BI9</f>
        <v>4261 (WHITE)/Lining 4059 (BLACK &amp; WHITE)/Entretela 522 (WHITE)</v>
      </c>
      <c r="BG4" s="542" t="s">
        <v>4</v>
      </c>
      <c r="BH4" s="5" t="s">
        <v>5</v>
      </c>
      <c r="BI4" s="543" t="s">
        <v>6</v>
      </c>
      <c r="BJ4" s="544" t="s">
        <v>500</v>
      </c>
      <c r="BK4" s="545" t="s">
        <v>501</v>
      </c>
    </row>
    <row r="5" spans="1:63" ht="16.5" thickBot="1" x14ac:dyDescent="0.3">
      <c r="A5" s="6" t="s">
        <v>7</v>
      </c>
      <c r="B5" s="432" t="s">
        <v>391</v>
      </c>
      <c r="C5" s="455"/>
      <c r="D5" s="190"/>
      <c r="E5" s="9" t="str">
        <f>+B5</f>
        <v>VAR SUB</v>
      </c>
      <c r="F5" s="458"/>
      <c r="G5" s="458"/>
      <c r="H5" s="455"/>
      <c r="I5" s="458"/>
      <c r="J5" s="9" t="str">
        <f>+B5</f>
        <v>VAR SUB</v>
      </c>
      <c r="K5" s="456"/>
      <c r="L5" s="455" t="str">
        <f>+B5</f>
        <v>VAR SUB</v>
      </c>
      <c r="M5" s="455" t="str">
        <f>+B5</f>
        <v>VAR SUB</v>
      </c>
      <c r="N5" s="455" t="str">
        <f>+B5</f>
        <v>VAR SUB</v>
      </c>
      <c r="O5" s="456"/>
      <c r="P5" s="456"/>
      <c r="Q5" s="456"/>
      <c r="R5" s="456"/>
      <c r="S5" s="456"/>
      <c r="T5" s="459"/>
      <c r="U5" s="460"/>
      <c r="V5" s="455" t="str">
        <f>+B5</f>
        <v>VAR SUB</v>
      </c>
      <c r="W5" s="461"/>
      <c r="AA5" s="453" t="s">
        <v>114</v>
      </c>
      <c r="AB5" s="454" t="s">
        <v>113</v>
      </c>
      <c r="AC5" s="455"/>
      <c r="AD5" s="190"/>
      <c r="AE5" s="456"/>
      <c r="AF5" s="456"/>
      <c r="AG5" s="456"/>
      <c r="AH5" s="456"/>
      <c r="AI5" s="456"/>
      <c r="AJ5" s="456"/>
      <c r="AK5" s="456"/>
      <c r="AL5" s="456"/>
      <c r="AM5" s="456"/>
      <c r="AN5" s="456"/>
      <c r="AO5" s="456"/>
      <c r="AP5" s="456"/>
      <c r="AQ5" s="456"/>
      <c r="AR5" s="456"/>
      <c r="AS5" s="456"/>
      <c r="AT5" s="456"/>
      <c r="AU5" s="456"/>
      <c r="AV5" s="456"/>
      <c r="AW5" s="457"/>
      <c r="BA5" s="39" t="s">
        <v>2</v>
      </c>
      <c r="BB5" s="40" t="s">
        <v>216</v>
      </c>
      <c r="BC5" s="89" t="s">
        <v>12</v>
      </c>
      <c r="BD5" s="121" t="s">
        <v>11</v>
      </c>
      <c r="BE5" s="54" t="str">
        <f>BI10</f>
        <v>4261 (WHITE)</v>
      </c>
      <c r="BG5" s="546" t="s">
        <v>502</v>
      </c>
      <c r="BH5" s="547" t="s">
        <v>7</v>
      </c>
      <c r="BI5" s="548" t="s">
        <v>8</v>
      </c>
      <c r="BJ5" s="549" t="s">
        <v>503</v>
      </c>
      <c r="BK5" s="550" t="s">
        <v>504</v>
      </c>
    </row>
    <row r="6" spans="1:63" ht="15.75" x14ac:dyDescent="0.25">
      <c r="A6" s="6" t="s">
        <v>10</v>
      </c>
      <c r="B6" s="462" t="s">
        <v>9</v>
      </c>
      <c r="C6" s="455"/>
      <c r="D6" s="190"/>
      <c r="E6" s="9" t="str">
        <f>+B6</f>
        <v>BJT SUB 01</v>
      </c>
      <c r="F6" s="455" t="str">
        <f>+B6</f>
        <v>BJT SUB 01</v>
      </c>
      <c r="G6" s="458"/>
      <c r="H6" s="455"/>
      <c r="I6" s="456"/>
      <c r="J6" s="9" t="str">
        <f>+B6</f>
        <v>BJT SUB 01</v>
      </c>
      <c r="K6" s="456"/>
      <c r="L6" s="455" t="str">
        <f>+B6</f>
        <v>BJT SUB 01</v>
      </c>
      <c r="M6" s="455" t="str">
        <f>+B6</f>
        <v>BJT SUB 01</v>
      </c>
      <c r="N6" s="455" t="str">
        <f>+B6</f>
        <v>BJT SUB 01</v>
      </c>
      <c r="O6" s="456"/>
      <c r="P6" s="456"/>
      <c r="Q6" s="456"/>
      <c r="R6" s="456"/>
      <c r="S6" s="456"/>
      <c r="T6" s="459"/>
      <c r="U6" s="460"/>
      <c r="V6" s="455" t="str">
        <f>+B6</f>
        <v>BJT SUB 01</v>
      </c>
      <c r="W6" s="461"/>
      <c r="AA6" s="453" t="s">
        <v>213</v>
      </c>
      <c r="AB6" s="454" t="s">
        <v>115</v>
      </c>
      <c r="AC6" s="455"/>
      <c r="AD6" s="190"/>
      <c r="AE6" s="456"/>
      <c r="AF6" s="458"/>
      <c r="AG6" s="456"/>
      <c r="AH6" s="456"/>
      <c r="AI6" s="458"/>
      <c r="AJ6" s="456"/>
      <c r="AK6" s="456"/>
      <c r="AL6" s="456"/>
      <c r="AM6" s="456"/>
      <c r="AN6" s="456"/>
      <c r="AO6" s="456"/>
      <c r="AP6" s="455"/>
      <c r="AQ6" s="456"/>
      <c r="AR6" s="456"/>
      <c r="AS6" s="455"/>
      <c r="AT6" s="455"/>
      <c r="AU6" s="456"/>
      <c r="AV6" s="456"/>
      <c r="AW6" s="461"/>
      <c r="BA6" s="92" t="s">
        <v>2</v>
      </c>
      <c r="BB6" s="49" t="s">
        <v>13</v>
      </c>
      <c r="BC6" s="49" t="s">
        <v>15</v>
      </c>
      <c r="BD6" s="122" t="s">
        <v>14</v>
      </c>
      <c r="BE6" s="152" t="str">
        <f>BI12&amp;"/"&amp;BI13</f>
        <v>4206 (WHITE)/Lining 4059 (BLACK &amp; WHITE)</v>
      </c>
      <c r="BG6" s="546"/>
      <c r="BH6" s="547"/>
      <c r="BI6" s="548" t="s">
        <v>505</v>
      </c>
      <c r="BJ6" s="549" t="s">
        <v>506</v>
      </c>
      <c r="BK6" s="550" t="s">
        <v>504</v>
      </c>
    </row>
    <row r="7" spans="1:63" ht="16.5" thickBot="1" x14ac:dyDescent="0.3">
      <c r="A7" s="7" t="s">
        <v>12</v>
      </c>
      <c r="B7" s="463" t="s">
        <v>11</v>
      </c>
      <c r="C7" s="8"/>
      <c r="D7" s="434"/>
      <c r="E7" s="9" t="str">
        <f>+B7</f>
        <v>HUN SUB</v>
      </c>
      <c r="F7" s="464"/>
      <c r="G7" s="464"/>
      <c r="H7" s="8"/>
      <c r="I7" s="464"/>
      <c r="J7" s="464"/>
      <c r="K7" s="464"/>
      <c r="L7" s="455" t="str">
        <f>+B7</f>
        <v>HUN SUB</v>
      </c>
      <c r="M7" s="455" t="str">
        <f>+B7</f>
        <v>HUN SUB</v>
      </c>
      <c r="N7" s="464"/>
      <c r="O7" s="464"/>
      <c r="P7" s="8" t="str">
        <f>+B7</f>
        <v>HUN SUB</v>
      </c>
      <c r="Q7" s="464"/>
      <c r="R7" s="464"/>
      <c r="S7" s="464"/>
      <c r="T7" s="465"/>
      <c r="U7" s="466"/>
      <c r="V7" s="467" t="str">
        <f>+B7</f>
        <v>HUN SUB</v>
      </c>
      <c r="W7" s="468"/>
      <c r="AA7" s="453" t="s">
        <v>118</v>
      </c>
      <c r="AB7" s="454" t="s">
        <v>117</v>
      </c>
      <c r="AC7" s="455"/>
      <c r="AD7" s="190"/>
      <c r="AE7" s="456"/>
      <c r="AF7" s="456"/>
      <c r="AG7" s="456"/>
      <c r="AH7" s="456"/>
      <c r="AI7" s="456"/>
      <c r="AJ7" s="456"/>
      <c r="AK7" s="456"/>
      <c r="AL7" s="456"/>
      <c r="AM7" s="456"/>
      <c r="AN7" s="456"/>
      <c r="AO7" s="456"/>
      <c r="AP7" s="456"/>
      <c r="AQ7" s="456"/>
      <c r="AR7" s="456"/>
      <c r="AS7" s="456"/>
      <c r="AT7" s="456"/>
      <c r="AU7" s="456"/>
      <c r="AV7" s="456"/>
      <c r="AW7" s="457"/>
      <c r="BA7" s="38" t="s">
        <v>2</v>
      </c>
      <c r="BB7" s="35" t="s">
        <v>13</v>
      </c>
      <c r="BC7" s="74" t="s">
        <v>17</v>
      </c>
      <c r="BD7" s="120" t="s">
        <v>16</v>
      </c>
      <c r="BE7" s="52" t="str">
        <f>BI14&amp;"/"&amp;BI15</f>
        <v>4206 (WHITE)/Lining 4059 (BLACK &amp; WHITE)</v>
      </c>
      <c r="BG7" s="551" t="s">
        <v>9</v>
      </c>
      <c r="BH7" s="6" t="s">
        <v>10</v>
      </c>
      <c r="BI7" s="552" t="s">
        <v>8</v>
      </c>
      <c r="BJ7" s="549" t="s">
        <v>507</v>
      </c>
      <c r="BK7" s="553" t="s">
        <v>504</v>
      </c>
    </row>
    <row r="8" spans="1:63" ht="15" customHeight="1" thickBot="1" x14ac:dyDescent="0.3">
      <c r="A8" s="685" t="s">
        <v>13</v>
      </c>
      <c r="B8" s="686"/>
      <c r="C8" s="686"/>
      <c r="D8" s="686"/>
      <c r="E8" s="686"/>
      <c r="F8" s="686"/>
      <c r="G8" s="686"/>
      <c r="H8" s="686"/>
      <c r="I8" s="686"/>
      <c r="J8" s="686"/>
      <c r="K8" s="686"/>
      <c r="L8" s="686"/>
      <c r="M8" s="686"/>
      <c r="N8" s="686"/>
      <c r="O8" s="686"/>
      <c r="P8" s="686"/>
      <c r="Q8" s="686"/>
      <c r="R8" s="686"/>
      <c r="S8" s="686"/>
      <c r="T8" s="686"/>
      <c r="U8" s="689"/>
      <c r="V8" s="689"/>
      <c r="W8" s="690"/>
      <c r="AA8" s="469" t="s">
        <v>121</v>
      </c>
      <c r="AB8" s="470" t="s">
        <v>120</v>
      </c>
      <c r="AC8" s="467"/>
      <c r="AD8" s="439"/>
      <c r="AE8" s="471"/>
      <c r="AF8" s="471"/>
      <c r="AG8" s="471"/>
      <c r="AH8" s="471"/>
      <c r="AI8" s="471"/>
      <c r="AJ8" s="471"/>
      <c r="AK8" s="471"/>
      <c r="AL8" s="471"/>
      <c r="AM8" s="471"/>
      <c r="AN8" s="471"/>
      <c r="AO8" s="471"/>
      <c r="AP8" s="471"/>
      <c r="AQ8" s="471"/>
      <c r="AR8" s="471"/>
      <c r="AS8" s="471"/>
      <c r="AT8" s="471"/>
      <c r="AU8" s="471"/>
      <c r="AV8" s="471"/>
      <c r="AW8" s="472"/>
      <c r="BA8" s="38" t="s">
        <v>2</v>
      </c>
      <c r="BB8" s="35" t="s">
        <v>13</v>
      </c>
      <c r="BC8" s="74" t="s">
        <v>232</v>
      </c>
      <c r="BD8" s="120" t="s">
        <v>18</v>
      </c>
      <c r="BE8" s="52" t="str">
        <f>BI16</f>
        <v>JABON (WHITE)</v>
      </c>
      <c r="BG8" s="551"/>
      <c r="BH8" s="6"/>
      <c r="BI8" s="548" t="s">
        <v>505</v>
      </c>
      <c r="BJ8" s="549" t="s">
        <v>508</v>
      </c>
      <c r="BK8" s="553" t="s">
        <v>504</v>
      </c>
    </row>
    <row r="9" spans="1:63" ht="15.75" x14ac:dyDescent="0.25">
      <c r="A9" s="5" t="s">
        <v>15</v>
      </c>
      <c r="B9" s="473" t="s">
        <v>14</v>
      </c>
      <c r="C9" s="9"/>
      <c r="D9" s="433"/>
      <c r="E9" s="445"/>
      <c r="F9" s="445"/>
      <c r="G9" s="445"/>
      <c r="H9" s="9"/>
      <c r="I9" s="9" t="str">
        <f>+B9</f>
        <v>STA SUB 01</v>
      </c>
      <c r="J9" s="9" t="str">
        <f>+B9</f>
        <v>STA SUB 01</v>
      </c>
      <c r="K9" s="9" t="str">
        <f>+B9</f>
        <v>STA SUB 01</v>
      </c>
      <c r="L9" s="445"/>
      <c r="M9" s="445"/>
      <c r="N9" s="445"/>
      <c r="O9" s="445"/>
      <c r="P9" s="445"/>
      <c r="Q9" s="445"/>
      <c r="R9" s="445"/>
      <c r="S9" s="445"/>
      <c r="T9" s="449"/>
      <c r="U9" s="450"/>
      <c r="V9" s="474"/>
      <c r="W9" s="452"/>
      <c r="BA9" s="38" t="s">
        <v>2</v>
      </c>
      <c r="BB9" s="35" t="s">
        <v>13</v>
      </c>
      <c r="BC9" s="73" t="s">
        <v>21</v>
      </c>
      <c r="BD9" s="123" t="s">
        <v>20</v>
      </c>
      <c r="BE9" s="53" t="str">
        <f>BI17&amp;"/"&amp;BI18&amp;"/"&amp;BI19</f>
        <v>4206 (WHITE)/POWERNET (BLACK &amp; WHITE)/Lining 4059 (BLACK &amp; WHITE)</v>
      </c>
      <c r="BG9" s="554"/>
      <c r="BH9" s="7"/>
      <c r="BI9" s="555" t="s">
        <v>509</v>
      </c>
      <c r="BJ9" s="556">
        <v>0.04</v>
      </c>
      <c r="BK9" s="553" t="s">
        <v>504</v>
      </c>
    </row>
    <row r="10" spans="1:63" ht="16.5" thickBot="1" x14ac:dyDescent="0.3">
      <c r="A10" s="6" t="s">
        <v>17</v>
      </c>
      <c r="B10" s="462" t="s">
        <v>16</v>
      </c>
      <c r="C10" s="10"/>
      <c r="D10" s="435"/>
      <c r="E10" s="456"/>
      <c r="F10" s="456"/>
      <c r="G10" s="456"/>
      <c r="H10" s="455"/>
      <c r="I10" s="456"/>
      <c r="J10" s="9" t="str">
        <f>+B10</f>
        <v>COB SUPP</v>
      </c>
      <c r="K10" s="456"/>
      <c r="L10" s="456"/>
      <c r="M10" s="456"/>
      <c r="N10" s="456"/>
      <c r="O10" s="456"/>
      <c r="P10" s="456"/>
      <c r="Q10" s="456"/>
      <c r="R10" s="456"/>
      <c r="S10" s="456"/>
      <c r="T10" s="459"/>
      <c r="U10" s="460"/>
      <c r="V10" s="456"/>
      <c r="W10" s="461"/>
      <c r="BA10" s="38" t="s">
        <v>2</v>
      </c>
      <c r="BB10" s="35" t="s">
        <v>13</v>
      </c>
      <c r="BC10" s="74" t="s">
        <v>23</v>
      </c>
      <c r="BD10" s="120" t="s">
        <v>22</v>
      </c>
      <c r="BE10" s="87" t="str">
        <f>BI20&amp;"/"&amp;BI21&amp;"/"&amp;BI22</f>
        <v>JABON (WHITE)/MALLA FANTASIA (BLACK)/MALLA VALIANA (WHITE)</v>
      </c>
      <c r="BG10" s="554" t="s">
        <v>11</v>
      </c>
      <c r="BH10" s="7" t="s">
        <v>12</v>
      </c>
      <c r="BI10" s="557" t="s">
        <v>8</v>
      </c>
      <c r="BJ10" s="556" t="s">
        <v>510</v>
      </c>
      <c r="BK10" s="558" t="s">
        <v>504</v>
      </c>
    </row>
    <row r="11" spans="1:63" ht="19.5" thickBot="1" x14ac:dyDescent="0.3">
      <c r="A11" s="6" t="s">
        <v>99</v>
      </c>
      <c r="B11" s="462" t="s">
        <v>18</v>
      </c>
      <c r="C11" s="455"/>
      <c r="D11" s="190"/>
      <c r="E11" s="456"/>
      <c r="F11" s="456"/>
      <c r="G11" s="456"/>
      <c r="H11" s="455"/>
      <c r="I11" s="456"/>
      <c r="J11" s="456"/>
      <c r="K11" s="456"/>
      <c r="L11" s="456"/>
      <c r="M11" s="456"/>
      <c r="N11" s="456"/>
      <c r="O11" s="456"/>
      <c r="P11" s="456"/>
      <c r="Q11" s="456"/>
      <c r="R11" s="456"/>
      <c r="S11" s="456"/>
      <c r="T11" s="459"/>
      <c r="U11" s="460"/>
      <c r="V11" s="456"/>
      <c r="W11" s="461"/>
      <c r="BA11" s="38" t="s">
        <v>2</v>
      </c>
      <c r="BB11" s="35" t="s">
        <v>13</v>
      </c>
      <c r="BC11" s="73" t="s">
        <v>25</v>
      </c>
      <c r="BD11" s="123" t="s">
        <v>24</v>
      </c>
      <c r="BE11" s="88" t="str">
        <f>BI23</f>
        <v>NACAR (WHITE)</v>
      </c>
      <c r="BG11" s="534" t="s">
        <v>13</v>
      </c>
      <c r="BH11" s="541"/>
      <c r="BI11" s="541"/>
      <c r="BJ11" s="541"/>
      <c r="BK11" s="628"/>
    </row>
    <row r="12" spans="1:63" ht="15.75" x14ac:dyDescent="0.25">
      <c r="A12" s="6" t="s">
        <v>21</v>
      </c>
      <c r="B12" s="462" t="s">
        <v>20</v>
      </c>
      <c r="C12" s="455"/>
      <c r="D12" s="190"/>
      <c r="E12" s="456"/>
      <c r="F12" s="456"/>
      <c r="G12" s="456"/>
      <c r="H12" s="455"/>
      <c r="I12" s="455" t="str">
        <f>+B12</f>
        <v>HSC SUB 01</v>
      </c>
      <c r="J12" s="455" t="str">
        <f>+B12</f>
        <v>HSC SUB 01</v>
      </c>
      <c r="K12" s="455" t="str">
        <f>+B12</f>
        <v>HSC SUB 01</v>
      </c>
      <c r="L12" s="456"/>
      <c r="M12" s="456"/>
      <c r="N12" s="456"/>
      <c r="O12" s="455" t="str">
        <f>+B12</f>
        <v>HSC SUB 01</v>
      </c>
      <c r="P12" s="456"/>
      <c r="Q12" s="456"/>
      <c r="R12" s="456"/>
      <c r="S12" s="456"/>
      <c r="T12" s="459"/>
      <c r="U12" s="460"/>
      <c r="V12" s="456"/>
      <c r="W12" s="461"/>
      <c r="BA12" s="38" t="s">
        <v>2</v>
      </c>
      <c r="BB12" s="35" t="s">
        <v>13</v>
      </c>
      <c r="BC12" s="74" t="s">
        <v>28</v>
      </c>
      <c r="BD12" s="120" t="s">
        <v>27</v>
      </c>
      <c r="BE12" s="88" t="str">
        <f t="shared" ref="BE12:BE13" si="0">BI24</f>
        <v>HIDROTECH (BLACK &amp; WHITE)</v>
      </c>
      <c r="BG12" s="559" t="s">
        <v>14</v>
      </c>
      <c r="BH12" s="560" t="s">
        <v>15</v>
      </c>
      <c r="BI12" s="561" t="s">
        <v>6</v>
      </c>
      <c r="BJ12" s="544" t="s">
        <v>511</v>
      </c>
      <c r="BK12" s="562" t="s">
        <v>501</v>
      </c>
    </row>
    <row r="13" spans="1:63" ht="15.75" x14ac:dyDescent="0.25">
      <c r="A13" s="6" t="s">
        <v>23</v>
      </c>
      <c r="B13" s="462" t="s">
        <v>22</v>
      </c>
      <c r="C13" s="455"/>
      <c r="D13" s="190"/>
      <c r="E13" s="456"/>
      <c r="F13" s="456"/>
      <c r="G13" s="456"/>
      <c r="H13" s="455"/>
      <c r="I13" s="456"/>
      <c r="J13" s="456"/>
      <c r="K13" s="456"/>
      <c r="L13" s="456"/>
      <c r="M13" s="456"/>
      <c r="N13" s="456"/>
      <c r="O13" s="455" t="str">
        <f>+B13</f>
        <v>HAL SUB</v>
      </c>
      <c r="P13" s="456"/>
      <c r="Q13" s="456"/>
      <c r="R13" s="456"/>
      <c r="S13" s="456"/>
      <c r="T13" s="459"/>
      <c r="U13" s="460"/>
      <c r="V13" s="456"/>
      <c r="W13" s="461"/>
      <c r="BA13" s="38" t="s">
        <v>2</v>
      </c>
      <c r="BB13" s="35" t="s">
        <v>13</v>
      </c>
      <c r="BC13" s="73" t="s">
        <v>31</v>
      </c>
      <c r="BD13" s="123" t="s">
        <v>30</v>
      </c>
      <c r="BE13" s="88" t="str">
        <f t="shared" si="0"/>
        <v>JABON (WHITE)</v>
      </c>
      <c r="BG13" s="546"/>
      <c r="BH13" s="547"/>
      <c r="BI13" s="548" t="s">
        <v>505</v>
      </c>
      <c r="BJ13" s="549" t="s">
        <v>512</v>
      </c>
      <c r="BK13" s="550"/>
    </row>
    <row r="14" spans="1:63" ht="16.5" thickBot="1" x14ac:dyDescent="0.3">
      <c r="A14" s="6" t="s">
        <v>25</v>
      </c>
      <c r="B14" s="462" t="s">
        <v>24</v>
      </c>
      <c r="C14" s="455"/>
      <c r="D14" s="190"/>
      <c r="E14" s="456"/>
      <c r="F14" s="456"/>
      <c r="G14" s="456"/>
      <c r="H14" s="455"/>
      <c r="I14" s="456"/>
      <c r="J14" s="456"/>
      <c r="K14" s="456"/>
      <c r="L14" s="456"/>
      <c r="M14" s="456"/>
      <c r="N14" s="456"/>
      <c r="O14" s="456"/>
      <c r="P14" s="456"/>
      <c r="Q14" s="456"/>
      <c r="R14" s="456"/>
      <c r="S14" s="456"/>
      <c r="T14" s="459"/>
      <c r="U14" s="460"/>
      <c r="V14" s="456"/>
      <c r="W14" s="461"/>
      <c r="BA14" s="43" t="s">
        <v>2</v>
      </c>
      <c r="BB14" s="17" t="s">
        <v>13</v>
      </c>
      <c r="BC14" s="90" t="s">
        <v>33</v>
      </c>
      <c r="BD14" s="124" t="s">
        <v>32</v>
      </c>
      <c r="BE14" s="88" t="str">
        <f>BI26&amp;"/"&amp;BI27</f>
        <v>4206 (WHITE)/Lining 4059 (BLACK &amp; WHITE)</v>
      </c>
      <c r="BG14" s="551" t="s">
        <v>16</v>
      </c>
      <c r="BH14" s="6" t="s">
        <v>17</v>
      </c>
      <c r="BI14" s="552" t="s">
        <v>6</v>
      </c>
      <c r="BJ14" s="549" t="s">
        <v>513</v>
      </c>
      <c r="BK14" s="553" t="s">
        <v>501</v>
      </c>
    </row>
    <row r="15" spans="1:63" ht="15.75" x14ac:dyDescent="0.25">
      <c r="A15" s="6" t="s">
        <v>28</v>
      </c>
      <c r="B15" s="462" t="s">
        <v>27</v>
      </c>
      <c r="C15" s="455"/>
      <c r="D15" s="190"/>
      <c r="E15" s="456"/>
      <c r="F15" s="456"/>
      <c r="G15" s="456"/>
      <c r="H15" s="455"/>
      <c r="I15" s="456"/>
      <c r="J15" s="456"/>
      <c r="K15" s="456"/>
      <c r="L15" s="456"/>
      <c r="M15" s="456"/>
      <c r="N15" s="456"/>
      <c r="O15" s="456"/>
      <c r="P15" s="456"/>
      <c r="Q15" s="455" t="str">
        <f>+B15</f>
        <v>BBJ SUB 01</v>
      </c>
      <c r="R15" s="456"/>
      <c r="S15" s="456"/>
      <c r="T15" s="459"/>
      <c r="U15" s="460"/>
      <c r="V15" s="456"/>
      <c r="W15" s="461"/>
      <c r="BA15" s="36" t="s">
        <v>2</v>
      </c>
      <c r="BB15" s="37" t="s">
        <v>34</v>
      </c>
      <c r="BC15" s="95" t="s">
        <v>36</v>
      </c>
      <c r="BD15" s="125" t="s">
        <v>35</v>
      </c>
      <c r="BE15" s="96" t="str">
        <f>BI29</f>
        <v>4206 (WHITE)</v>
      </c>
      <c r="BG15" s="551"/>
      <c r="BH15" s="6"/>
      <c r="BI15" s="548" t="s">
        <v>505</v>
      </c>
      <c r="BJ15" s="549" t="s">
        <v>514</v>
      </c>
      <c r="BK15" s="553" t="s">
        <v>504</v>
      </c>
    </row>
    <row r="16" spans="1:63" ht="15.75" x14ac:dyDescent="0.25">
      <c r="A16" s="6" t="s">
        <v>31</v>
      </c>
      <c r="B16" s="462" t="s">
        <v>30</v>
      </c>
      <c r="C16" s="455"/>
      <c r="D16" s="190"/>
      <c r="E16" s="456"/>
      <c r="F16" s="456"/>
      <c r="G16" s="456"/>
      <c r="H16" s="455"/>
      <c r="I16" s="456"/>
      <c r="J16" s="456"/>
      <c r="K16" s="456"/>
      <c r="L16" s="456"/>
      <c r="M16" s="456"/>
      <c r="N16" s="456"/>
      <c r="O16" s="456"/>
      <c r="P16" s="456"/>
      <c r="Q16" s="456"/>
      <c r="R16" s="456"/>
      <c r="S16" s="456"/>
      <c r="T16" s="459"/>
      <c r="U16" s="460"/>
      <c r="V16" s="456"/>
      <c r="W16" s="461"/>
      <c r="BA16" s="38" t="s">
        <v>2</v>
      </c>
      <c r="BB16" s="35" t="s">
        <v>34</v>
      </c>
      <c r="BC16" s="73" t="s">
        <v>38</v>
      </c>
      <c r="BD16" s="123" t="s">
        <v>37</v>
      </c>
      <c r="BE16" s="88" t="str">
        <f>BI30&amp;"/"&amp;BI31</f>
        <v>SUPPLEX CLAVEL (BLACK)/MALLA FANTASIA (BLACK)</v>
      </c>
      <c r="BG16" s="551" t="s">
        <v>18</v>
      </c>
      <c r="BH16" s="6" t="s">
        <v>515</v>
      </c>
      <c r="BI16" s="552" t="s">
        <v>19</v>
      </c>
      <c r="BJ16" s="549" t="s">
        <v>516</v>
      </c>
      <c r="BK16" s="553" t="s">
        <v>517</v>
      </c>
    </row>
    <row r="17" spans="1:63" ht="16.5" thickBot="1" x14ac:dyDescent="0.3">
      <c r="A17" s="7" t="s">
        <v>33</v>
      </c>
      <c r="B17" s="463" t="s">
        <v>32</v>
      </c>
      <c r="C17" s="8"/>
      <c r="D17" s="434"/>
      <c r="E17" s="464"/>
      <c r="F17" s="464"/>
      <c r="G17" s="464"/>
      <c r="H17" s="8"/>
      <c r="I17" s="8" t="str">
        <f>+B17</f>
        <v>OPN SUB 01</v>
      </c>
      <c r="J17" s="8" t="str">
        <f>+B17</f>
        <v>OPN SUB 01</v>
      </c>
      <c r="K17" s="8" t="str">
        <f>+B17</f>
        <v>OPN SUB 01</v>
      </c>
      <c r="L17" s="464"/>
      <c r="M17" s="464"/>
      <c r="N17" s="464"/>
      <c r="O17" s="464"/>
      <c r="P17" s="464"/>
      <c r="Q17" s="464"/>
      <c r="R17" s="464"/>
      <c r="S17" s="464"/>
      <c r="T17" s="465"/>
      <c r="U17" s="466"/>
      <c r="V17" s="471"/>
      <c r="W17" s="468"/>
      <c r="BA17" s="38" t="s">
        <v>2</v>
      </c>
      <c r="BB17" s="35" t="s">
        <v>34</v>
      </c>
      <c r="BC17" s="74" t="s">
        <v>40</v>
      </c>
      <c r="BD17" s="120" t="s">
        <v>39</v>
      </c>
      <c r="BE17" s="88" t="str">
        <f>BI32&amp;"/"&amp;BI33</f>
        <v>4206 (WHITE)/SUPPLEX CLAVEL (BLACK)</v>
      </c>
      <c r="BG17" s="551" t="s">
        <v>20</v>
      </c>
      <c r="BH17" s="6" t="s">
        <v>21</v>
      </c>
      <c r="BI17" s="552" t="s">
        <v>6</v>
      </c>
      <c r="BJ17" s="549" t="s">
        <v>518</v>
      </c>
      <c r="BK17" s="553" t="s">
        <v>501</v>
      </c>
    </row>
    <row r="18" spans="1:63" ht="17.25" customHeight="1" thickBot="1" x14ac:dyDescent="0.3">
      <c r="A18" s="685" t="s">
        <v>34</v>
      </c>
      <c r="B18" s="686"/>
      <c r="C18" s="686"/>
      <c r="D18" s="686"/>
      <c r="E18" s="686"/>
      <c r="F18" s="686"/>
      <c r="G18" s="686"/>
      <c r="H18" s="686"/>
      <c r="I18" s="686"/>
      <c r="J18" s="686"/>
      <c r="K18" s="686"/>
      <c r="L18" s="686"/>
      <c r="M18" s="686"/>
      <c r="N18" s="686"/>
      <c r="O18" s="686"/>
      <c r="P18" s="686"/>
      <c r="Q18" s="686"/>
      <c r="R18" s="686"/>
      <c r="S18" s="686"/>
      <c r="T18" s="686"/>
      <c r="U18" s="689"/>
      <c r="V18" s="689"/>
      <c r="W18" s="690"/>
      <c r="BA18" s="38" t="s">
        <v>2</v>
      </c>
      <c r="BB18" s="35" t="s">
        <v>34</v>
      </c>
      <c r="BC18" s="73" t="s">
        <v>42</v>
      </c>
      <c r="BD18" s="123" t="s">
        <v>41</v>
      </c>
      <c r="BE18" s="88" t="str">
        <f>BI34&amp;"/"&amp;BI35</f>
        <v>4206 (WHITE)/SUPPLEX CLAVEL (BLACK)</v>
      </c>
      <c r="BG18" s="551"/>
      <c r="BH18" s="6"/>
      <c r="BI18" s="552" t="s">
        <v>519</v>
      </c>
      <c r="BJ18" s="549" t="s">
        <v>520</v>
      </c>
      <c r="BK18" s="553" t="s">
        <v>521</v>
      </c>
    </row>
    <row r="19" spans="1:63" ht="15.75" x14ac:dyDescent="0.25">
      <c r="A19" s="5" t="s">
        <v>36</v>
      </c>
      <c r="B19" s="447" t="s">
        <v>35</v>
      </c>
      <c r="C19" s="9"/>
      <c r="D19" s="433"/>
      <c r="E19" s="445"/>
      <c r="F19" s="445"/>
      <c r="G19" s="445"/>
      <c r="H19" s="9"/>
      <c r="I19" s="445"/>
      <c r="J19" s="445"/>
      <c r="K19" s="445"/>
      <c r="L19" s="445"/>
      <c r="M19" s="445"/>
      <c r="N19" s="445"/>
      <c r="O19" s="445"/>
      <c r="P19" s="445"/>
      <c r="Q19" s="445"/>
      <c r="R19" s="445"/>
      <c r="S19" s="445"/>
      <c r="T19" s="449"/>
      <c r="U19" s="450"/>
      <c r="V19" s="474"/>
      <c r="W19" s="452"/>
      <c r="BA19" s="38" t="s">
        <v>2</v>
      </c>
      <c r="BB19" s="35" t="s">
        <v>34</v>
      </c>
      <c r="BC19" s="74" t="s">
        <v>44</v>
      </c>
      <c r="BD19" s="120" t="s">
        <v>43</v>
      </c>
      <c r="BE19" s="88" t="str">
        <f>BI36&amp;"/"&amp;BI37</f>
        <v>4261 (WHITE)/Lining 4059 (BLACK &amp; WHITE)</v>
      </c>
      <c r="BG19" s="551"/>
      <c r="BH19" s="6"/>
      <c r="BI19" s="548" t="s">
        <v>505</v>
      </c>
      <c r="BJ19" s="549" t="s">
        <v>522</v>
      </c>
      <c r="BK19" s="553" t="s">
        <v>504</v>
      </c>
    </row>
    <row r="20" spans="1:63" ht="15.75" x14ac:dyDescent="0.25">
      <c r="A20" s="6" t="s">
        <v>38</v>
      </c>
      <c r="B20" s="462" t="s">
        <v>37</v>
      </c>
      <c r="C20" s="455"/>
      <c r="D20" s="190"/>
      <c r="E20" s="456"/>
      <c r="F20" s="456"/>
      <c r="G20" s="456"/>
      <c r="H20" s="455"/>
      <c r="I20" s="455" t="str">
        <f>+B20</f>
        <v>LEG SUB 03</v>
      </c>
      <c r="J20" s="456"/>
      <c r="K20" s="455" t="str">
        <f>+B20</f>
        <v>LEG SUB 03</v>
      </c>
      <c r="L20" s="456"/>
      <c r="M20" s="456"/>
      <c r="N20" s="456"/>
      <c r="O20" s="455" t="str">
        <f>+K20</f>
        <v>LEG SUB 03</v>
      </c>
      <c r="P20" s="456"/>
      <c r="Q20" s="456"/>
      <c r="R20" s="456"/>
      <c r="S20" s="456"/>
      <c r="T20" s="459"/>
      <c r="U20" s="460"/>
      <c r="V20" s="456"/>
      <c r="W20" s="461"/>
      <c r="BA20" s="38" t="s">
        <v>2</v>
      </c>
      <c r="BB20" s="35" t="s">
        <v>34</v>
      </c>
      <c r="BC20" s="73" t="s">
        <v>46</v>
      </c>
      <c r="BD20" s="123" t="s">
        <v>45</v>
      </c>
      <c r="BE20" s="88" t="str">
        <f>BI38&amp;"/"&amp;BI39</f>
        <v>SUPPLEX CLAVEL (BLACK)/MALLA FANTASIA (BLACK)</v>
      </c>
      <c r="BG20" s="551" t="s">
        <v>22</v>
      </c>
      <c r="BH20" s="6" t="s">
        <v>23</v>
      </c>
      <c r="BI20" s="552" t="s">
        <v>19</v>
      </c>
      <c r="BJ20" s="549" t="s">
        <v>523</v>
      </c>
      <c r="BK20" s="553" t="s">
        <v>517</v>
      </c>
    </row>
    <row r="21" spans="1:63" ht="16.5" thickBot="1" x14ac:dyDescent="0.3">
      <c r="A21" s="6" t="s">
        <v>40</v>
      </c>
      <c r="B21" s="462" t="s">
        <v>39</v>
      </c>
      <c r="C21" s="455"/>
      <c r="D21" s="436" t="str">
        <f>+B21</f>
        <v>LEG SUB 02</v>
      </c>
      <c r="E21" s="456"/>
      <c r="F21" s="456"/>
      <c r="G21" s="456"/>
      <c r="H21" s="455"/>
      <c r="I21" s="456"/>
      <c r="J21" s="456"/>
      <c r="K21" s="456"/>
      <c r="L21" s="456"/>
      <c r="M21" s="456"/>
      <c r="N21" s="456"/>
      <c r="O21" s="456"/>
      <c r="P21" s="456"/>
      <c r="Q21" s="456"/>
      <c r="R21" s="456"/>
      <c r="S21" s="456"/>
      <c r="T21" s="459"/>
      <c r="U21" s="460"/>
      <c r="V21" s="456"/>
      <c r="W21" s="461"/>
      <c r="BA21" s="39" t="s">
        <v>2</v>
      </c>
      <c r="BB21" s="40" t="s">
        <v>34</v>
      </c>
      <c r="BC21" s="89" t="s">
        <v>48</v>
      </c>
      <c r="BD21" s="121" t="s">
        <v>47</v>
      </c>
      <c r="BE21" s="97" t="str">
        <f>BI40</f>
        <v>SUAVESTAR (WHITE)</v>
      </c>
      <c r="BG21" s="551"/>
      <c r="BH21" s="6"/>
      <c r="BI21" s="552" t="s">
        <v>524</v>
      </c>
      <c r="BJ21" s="549" t="s">
        <v>525</v>
      </c>
      <c r="BK21" s="553" t="s">
        <v>526</v>
      </c>
    </row>
    <row r="22" spans="1:63" ht="15.75" x14ac:dyDescent="0.25">
      <c r="A22" s="6" t="s">
        <v>168</v>
      </c>
      <c r="B22" s="462" t="s">
        <v>141</v>
      </c>
      <c r="C22" s="455"/>
      <c r="D22" s="436" t="str">
        <f>+B22</f>
        <v>LEG SUB 01</v>
      </c>
      <c r="E22" s="456"/>
      <c r="F22" s="456"/>
      <c r="G22" s="456"/>
      <c r="H22" s="455"/>
      <c r="I22" s="456"/>
      <c r="J22" s="456"/>
      <c r="K22" s="456"/>
      <c r="L22" s="456"/>
      <c r="M22" s="456"/>
      <c r="N22" s="456"/>
      <c r="O22" s="456"/>
      <c r="P22" s="456"/>
      <c r="Q22" s="456"/>
      <c r="R22" s="456"/>
      <c r="S22" s="456"/>
      <c r="T22" s="459"/>
      <c r="U22" s="460"/>
      <c r="V22" s="456"/>
      <c r="W22" s="461"/>
      <c r="BA22" s="92" t="s">
        <v>2</v>
      </c>
      <c r="BB22" s="49" t="s">
        <v>50</v>
      </c>
      <c r="BC22" s="93" t="s">
        <v>52</v>
      </c>
      <c r="BD22" s="126" t="s">
        <v>51</v>
      </c>
      <c r="BE22" s="94" t="str">
        <f>BI42&amp;"/"&amp;BI43</f>
        <v>4206 (WHITE)/MALLA VALIANA (WHITE)</v>
      </c>
      <c r="BG22" s="551"/>
      <c r="BH22" s="6"/>
      <c r="BI22" s="552" t="s">
        <v>527</v>
      </c>
      <c r="BJ22" s="549" t="s">
        <v>528</v>
      </c>
      <c r="BK22" s="553" t="s">
        <v>529</v>
      </c>
    </row>
    <row r="23" spans="1:63" ht="15.75" x14ac:dyDescent="0.25">
      <c r="A23" s="6" t="s">
        <v>42</v>
      </c>
      <c r="B23" s="462" t="s">
        <v>41</v>
      </c>
      <c r="C23" s="455"/>
      <c r="D23" s="436" t="str">
        <f>+B23</f>
        <v>COL SUPP</v>
      </c>
      <c r="E23" s="456"/>
      <c r="F23" s="456"/>
      <c r="G23" s="456"/>
      <c r="H23" s="455"/>
      <c r="I23" s="456"/>
      <c r="J23" s="456"/>
      <c r="K23" s="456"/>
      <c r="L23" s="456"/>
      <c r="M23" s="456"/>
      <c r="N23" s="456"/>
      <c r="O23" s="456"/>
      <c r="P23" s="456"/>
      <c r="Q23" s="456"/>
      <c r="R23" s="456"/>
      <c r="S23" s="456"/>
      <c r="T23" s="459"/>
      <c r="U23" s="460"/>
      <c r="V23" s="456"/>
      <c r="W23" s="461"/>
      <c r="BA23" s="38" t="s">
        <v>2</v>
      </c>
      <c r="BB23" s="35" t="s">
        <v>50</v>
      </c>
      <c r="BC23" s="73" t="s">
        <v>54</v>
      </c>
      <c r="BD23" s="120" t="s">
        <v>53</v>
      </c>
      <c r="BE23" s="87" t="str">
        <f>BI44&amp;"/"&amp;BI45</f>
        <v>4206 (WHITE)/SUPPLEX CLAVEL (BLACK)</v>
      </c>
      <c r="BG23" s="551" t="s">
        <v>24</v>
      </c>
      <c r="BH23" s="6" t="s">
        <v>25</v>
      </c>
      <c r="BI23" s="552" t="s">
        <v>26</v>
      </c>
      <c r="BJ23" s="563">
        <v>0.55000000000000004</v>
      </c>
      <c r="BK23" s="564" t="s">
        <v>530</v>
      </c>
    </row>
    <row r="24" spans="1:63" ht="15.75" x14ac:dyDescent="0.25">
      <c r="A24" s="6" t="s">
        <v>44</v>
      </c>
      <c r="B24" s="462" t="s">
        <v>43</v>
      </c>
      <c r="C24" s="455"/>
      <c r="D24" s="190"/>
      <c r="E24" s="458"/>
      <c r="F24" s="455" t="str">
        <f>+B24</f>
        <v>JGR SUB 01</v>
      </c>
      <c r="G24" s="458"/>
      <c r="H24" s="455"/>
      <c r="I24" s="456"/>
      <c r="J24" s="456"/>
      <c r="K24" s="456"/>
      <c r="L24" s="456"/>
      <c r="M24" s="455" t="str">
        <f>+B24</f>
        <v>JGR SUB 01</v>
      </c>
      <c r="N24" s="456"/>
      <c r="O24" s="456"/>
      <c r="P24" s="455" t="str">
        <f>+B24</f>
        <v>JGR SUB 01</v>
      </c>
      <c r="Q24" s="456"/>
      <c r="R24" s="456"/>
      <c r="S24" s="456"/>
      <c r="T24" s="459"/>
      <c r="U24" s="460"/>
      <c r="V24" s="456"/>
      <c r="W24" s="461"/>
      <c r="BA24" s="38" t="s">
        <v>2</v>
      </c>
      <c r="BB24" s="35" t="s">
        <v>50</v>
      </c>
      <c r="BC24" s="73" t="s">
        <v>56</v>
      </c>
      <c r="BD24" s="123" t="s">
        <v>55</v>
      </c>
      <c r="BE24" s="88" t="str">
        <f>BI46&amp;"/"&amp;BI47</f>
        <v>4206 (WHITE)/SUPPLEX CLAVEL (BLACK)</v>
      </c>
      <c r="BG24" s="551" t="s">
        <v>27</v>
      </c>
      <c r="BH24" s="6" t="s">
        <v>28</v>
      </c>
      <c r="BI24" s="552" t="s">
        <v>29</v>
      </c>
      <c r="BJ24" s="549" t="s">
        <v>531</v>
      </c>
      <c r="BK24" s="553" t="s">
        <v>532</v>
      </c>
    </row>
    <row r="25" spans="1:63" ht="15.75" x14ac:dyDescent="0.25">
      <c r="A25" s="6" t="s">
        <v>46</v>
      </c>
      <c r="B25" s="462" t="s">
        <v>45</v>
      </c>
      <c r="C25" s="455"/>
      <c r="D25" s="190"/>
      <c r="E25" s="456"/>
      <c r="F25" s="456"/>
      <c r="G25" s="456"/>
      <c r="H25" s="455"/>
      <c r="I25" s="455" t="str">
        <f>+B25</f>
        <v>CAP SUB 01</v>
      </c>
      <c r="J25" s="456"/>
      <c r="K25" s="455" t="str">
        <f>+B25</f>
        <v>CAP SUB 01</v>
      </c>
      <c r="L25" s="456"/>
      <c r="M25" s="456"/>
      <c r="N25" s="456"/>
      <c r="O25" s="455" t="str">
        <f>+B25</f>
        <v>CAP SUB 01</v>
      </c>
      <c r="P25" s="456"/>
      <c r="Q25" s="456"/>
      <c r="R25" s="456"/>
      <c r="S25" s="456"/>
      <c r="T25" s="459"/>
      <c r="U25" s="460"/>
      <c r="V25" s="456"/>
      <c r="W25" s="461"/>
      <c r="BA25" s="38" t="s">
        <v>2</v>
      </c>
      <c r="BB25" s="35" t="s">
        <v>57</v>
      </c>
      <c r="BC25" s="74" t="s">
        <v>59</v>
      </c>
      <c r="BD25" s="123" t="s">
        <v>58</v>
      </c>
      <c r="BE25" s="88" t="str">
        <f>BI49&amp;"/"&amp;BI50</f>
        <v>4241 (WHITE)/Lining 4059 (BLACK &amp; WHITE)</v>
      </c>
      <c r="BG25" s="551" t="s">
        <v>30</v>
      </c>
      <c r="BH25" s="6" t="s">
        <v>31</v>
      </c>
      <c r="BI25" s="552" t="s">
        <v>19</v>
      </c>
      <c r="BJ25" s="549" t="s">
        <v>533</v>
      </c>
      <c r="BK25" s="553" t="s">
        <v>517</v>
      </c>
    </row>
    <row r="26" spans="1:63" ht="16.5" thickBot="1" x14ac:dyDescent="0.3">
      <c r="A26" s="7" t="s">
        <v>48</v>
      </c>
      <c r="B26" s="463" t="s">
        <v>47</v>
      </c>
      <c r="C26" s="8"/>
      <c r="D26" s="434"/>
      <c r="E26" s="464"/>
      <c r="F26" s="464"/>
      <c r="G26" s="464"/>
      <c r="H26" s="8"/>
      <c r="I26" s="464"/>
      <c r="J26" s="464"/>
      <c r="K26" s="464"/>
      <c r="L26" s="464"/>
      <c r="M26" s="464"/>
      <c r="N26" s="464"/>
      <c r="O26" s="464"/>
      <c r="P26" s="464"/>
      <c r="Q26" s="464"/>
      <c r="R26" s="464"/>
      <c r="S26" s="464"/>
      <c r="T26" s="465"/>
      <c r="U26" s="466"/>
      <c r="V26" s="471"/>
      <c r="W26" s="468"/>
      <c r="BA26" s="43" t="s">
        <v>2</v>
      </c>
      <c r="BB26" s="17" t="s">
        <v>57</v>
      </c>
      <c r="BC26" s="90" t="s">
        <v>61</v>
      </c>
      <c r="BD26" s="657" t="s">
        <v>60</v>
      </c>
      <c r="BE26" s="91" t="str">
        <f>BI51&amp;"/"&amp;BI52</f>
        <v>4241 (WHITE)/Lining 4059 (BLACK &amp; WHITE)</v>
      </c>
      <c r="BG26" s="551" t="s">
        <v>32</v>
      </c>
      <c r="BH26" s="6" t="s">
        <v>33</v>
      </c>
      <c r="BI26" s="552" t="s">
        <v>6</v>
      </c>
      <c r="BJ26" s="549" t="s">
        <v>534</v>
      </c>
      <c r="BK26" s="553" t="s">
        <v>501</v>
      </c>
    </row>
    <row r="27" spans="1:63" ht="19.5" thickBot="1" x14ac:dyDescent="0.3">
      <c r="A27" s="685" t="s">
        <v>50</v>
      </c>
      <c r="B27" s="686"/>
      <c r="C27" s="686"/>
      <c r="D27" s="686"/>
      <c r="E27" s="686"/>
      <c r="F27" s="686"/>
      <c r="G27" s="686"/>
      <c r="H27" s="686"/>
      <c r="I27" s="686"/>
      <c r="J27" s="686"/>
      <c r="K27" s="686"/>
      <c r="L27" s="686"/>
      <c r="M27" s="686"/>
      <c r="N27" s="686"/>
      <c r="O27" s="686"/>
      <c r="P27" s="686"/>
      <c r="Q27" s="686"/>
      <c r="R27" s="686"/>
      <c r="S27" s="686"/>
      <c r="T27" s="686"/>
      <c r="U27" s="689"/>
      <c r="V27" s="689"/>
      <c r="W27" s="690"/>
      <c r="BA27" s="30" t="s">
        <v>62</v>
      </c>
      <c r="BB27" s="31" t="s">
        <v>217</v>
      </c>
      <c r="BC27" s="98" t="s">
        <v>64</v>
      </c>
      <c r="BD27" s="129" t="s">
        <v>63</v>
      </c>
      <c r="BE27" s="99" t="str">
        <f>BI56&amp;"/"&amp;BI57&amp;"/"&amp;BI58</f>
        <v>4206(BLACK)/MENELAOS (BLACK LINING)/ENTRETELA 522 (BLACK)</v>
      </c>
      <c r="BG27" s="554"/>
      <c r="BH27" s="7"/>
      <c r="BI27" s="557" t="s">
        <v>505</v>
      </c>
      <c r="BJ27" s="556" t="s">
        <v>535</v>
      </c>
      <c r="BK27" s="558"/>
    </row>
    <row r="28" spans="1:63" ht="19.5" thickBot="1" x14ac:dyDescent="0.3">
      <c r="A28" s="5" t="s">
        <v>52</v>
      </c>
      <c r="B28" s="447" t="s">
        <v>51</v>
      </c>
      <c r="C28" s="9"/>
      <c r="D28" s="433"/>
      <c r="E28" s="445"/>
      <c r="F28" s="445"/>
      <c r="G28" s="445"/>
      <c r="H28" s="9"/>
      <c r="I28" s="9" t="str">
        <f>+B28</f>
        <v>SKO SUB 01</v>
      </c>
      <c r="J28" s="445"/>
      <c r="K28" s="9" t="str">
        <f>+B28</f>
        <v>SKO SUB 01</v>
      </c>
      <c r="L28" s="445"/>
      <c r="M28" s="445"/>
      <c r="N28" s="445"/>
      <c r="O28" s="9" t="str">
        <f>+B28</f>
        <v>SKO SUB 01</v>
      </c>
      <c r="P28" s="445"/>
      <c r="Q28" s="445"/>
      <c r="R28" s="445"/>
      <c r="S28" s="445"/>
      <c r="T28" s="449"/>
      <c r="U28" s="450"/>
      <c r="V28" s="474"/>
      <c r="W28" s="452"/>
      <c r="BA28" s="32" t="s">
        <v>62</v>
      </c>
      <c r="BB28" s="29" t="s">
        <v>217</v>
      </c>
      <c r="BC28" s="76" t="s">
        <v>234</v>
      </c>
      <c r="BD28" s="128" t="s">
        <v>65</v>
      </c>
      <c r="BE28" s="100" t="str">
        <f>BI59&amp;"/"&amp;BI60</f>
        <v>4126 (BLACK)/Lining (BLACK) 4059</v>
      </c>
      <c r="BG28" s="629" t="s">
        <v>34</v>
      </c>
      <c r="BH28" s="541"/>
      <c r="BI28" s="541"/>
      <c r="BJ28" s="541"/>
      <c r="BK28" s="628"/>
    </row>
    <row r="29" spans="1:63" ht="16.5" thickBot="1" x14ac:dyDescent="0.3">
      <c r="A29" s="6" t="s">
        <v>54</v>
      </c>
      <c r="B29" s="462" t="s">
        <v>53</v>
      </c>
      <c r="C29" s="455"/>
      <c r="D29" s="436" t="str">
        <f>+B29</f>
        <v>CHE SUB 01</v>
      </c>
      <c r="E29" s="456"/>
      <c r="F29" s="456"/>
      <c r="G29" s="456"/>
      <c r="H29" s="455"/>
      <c r="I29" s="455" t="str">
        <f>+B29</f>
        <v>CHE SUB 01</v>
      </c>
      <c r="J29" s="456"/>
      <c r="K29" s="455" t="str">
        <f>+B29</f>
        <v>CHE SUB 01</v>
      </c>
      <c r="L29" s="456"/>
      <c r="M29" s="456"/>
      <c r="N29" s="456"/>
      <c r="O29" s="456"/>
      <c r="P29" s="456"/>
      <c r="Q29" s="456"/>
      <c r="R29" s="456"/>
      <c r="S29" s="456"/>
      <c r="T29" s="459"/>
      <c r="U29" s="460"/>
      <c r="V29" s="456"/>
      <c r="W29" s="461"/>
      <c r="BA29" s="101" t="s">
        <v>62</v>
      </c>
      <c r="BB29" s="33" t="s">
        <v>217</v>
      </c>
      <c r="BC29" s="102" t="s">
        <v>67</v>
      </c>
      <c r="BD29" s="658" t="s">
        <v>396</v>
      </c>
      <c r="BE29" s="659" t="str">
        <f>BI61&amp;"/"&amp;BI62&amp;"/"&amp;BI63</f>
        <v>ORINOCO ECO (BLACK)/DUNGA(BLACK LINING)/ENTRETELA 522 (BLACK)</v>
      </c>
      <c r="BG29" s="630" t="s">
        <v>35</v>
      </c>
      <c r="BH29" s="566" t="s">
        <v>36</v>
      </c>
      <c r="BI29" s="543" t="s">
        <v>6</v>
      </c>
      <c r="BJ29" s="544" t="s">
        <v>536</v>
      </c>
      <c r="BK29" s="545" t="s">
        <v>501</v>
      </c>
    </row>
    <row r="30" spans="1:63" ht="16.5" thickBot="1" x14ac:dyDescent="0.3">
      <c r="A30" s="7" t="s">
        <v>56</v>
      </c>
      <c r="B30" s="463" t="s">
        <v>55</v>
      </c>
      <c r="C30" s="8"/>
      <c r="D30" s="437" t="str">
        <f>+B30</f>
        <v>COS SUPP</v>
      </c>
      <c r="E30" s="464"/>
      <c r="F30" s="464"/>
      <c r="G30" s="464"/>
      <c r="H30" s="8"/>
      <c r="I30" s="464"/>
      <c r="J30" s="464"/>
      <c r="K30" s="464"/>
      <c r="L30" s="464"/>
      <c r="M30" s="464"/>
      <c r="N30" s="464"/>
      <c r="O30" s="464"/>
      <c r="P30" s="464"/>
      <c r="Q30" s="464"/>
      <c r="R30" s="464"/>
      <c r="S30" s="464"/>
      <c r="T30" s="465"/>
      <c r="U30" s="466"/>
      <c r="V30" s="471"/>
      <c r="W30" s="468"/>
      <c r="BA30" s="30" t="s">
        <v>62</v>
      </c>
      <c r="BB30" s="31" t="s">
        <v>247</v>
      </c>
      <c r="BC30" s="98" t="s">
        <v>70</v>
      </c>
      <c r="BD30" s="129" t="s">
        <v>69</v>
      </c>
      <c r="BE30" s="99" t="str">
        <f>BI65&amp;"/"&amp;BI66</f>
        <v>4206 (BLACK)/Lining (BLACK) 4059</v>
      </c>
      <c r="BG30" s="542" t="s">
        <v>37</v>
      </c>
      <c r="BH30" s="6" t="s">
        <v>38</v>
      </c>
      <c r="BI30" s="552" t="s">
        <v>537</v>
      </c>
      <c r="BJ30" s="549" t="s">
        <v>538</v>
      </c>
      <c r="BK30" s="553" t="s">
        <v>539</v>
      </c>
    </row>
    <row r="31" spans="1:63" ht="19.5" thickBot="1" x14ac:dyDescent="0.3">
      <c r="A31" s="685" t="s">
        <v>57</v>
      </c>
      <c r="B31" s="686"/>
      <c r="C31" s="686"/>
      <c r="D31" s="686"/>
      <c r="E31" s="686"/>
      <c r="F31" s="686"/>
      <c r="G31" s="686"/>
      <c r="H31" s="686"/>
      <c r="I31" s="686"/>
      <c r="J31" s="686"/>
      <c r="K31" s="686"/>
      <c r="L31" s="686"/>
      <c r="M31" s="686"/>
      <c r="N31" s="686"/>
      <c r="O31" s="686"/>
      <c r="P31" s="686"/>
      <c r="Q31" s="686"/>
      <c r="R31" s="686"/>
      <c r="S31" s="686"/>
      <c r="T31" s="686"/>
      <c r="U31" s="689"/>
      <c r="V31" s="689"/>
      <c r="W31" s="690"/>
      <c r="BA31" s="32" t="s">
        <v>62</v>
      </c>
      <c r="BB31" s="29" t="s">
        <v>247</v>
      </c>
      <c r="BC31" s="75" t="s">
        <v>73</v>
      </c>
      <c r="BD31" s="128" t="s">
        <v>72</v>
      </c>
      <c r="BE31" s="100" t="str">
        <f>BI67&amp;"/"&amp;BI68&amp;"/"&amp;BI69</f>
        <v>4102 (BLACK)/MESH 10030 (BLACK)/JABON (WHITE)</v>
      </c>
      <c r="BG31" s="551"/>
      <c r="BH31" s="6"/>
      <c r="BI31" s="552" t="s">
        <v>524</v>
      </c>
      <c r="BJ31" s="549" t="s">
        <v>540</v>
      </c>
      <c r="BK31" s="553" t="s">
        <v>526</v>
      </c>
    </row>
    <row r="32" spans="1:63" ht="16.5" thickBot="1" x14ac:dyDescent="0.3">
      <c r="A32" s="5" t="s">
        <v>59</v>
      </c>
      <c r="B32" s="447" t="s">
        <v>58</v>
      </c>
      <c r="C32" s="9"/>
      <c r="D32" s="433"/>
      <c r="E32" s="445"/>
      <c r="F32" s="445"/>
      <c r="G32" s="445"/>
      <c r="H32" s="9"/>
      <c r="I32" s="445"/>
      <c r="J32" s="9" t="str">
        <f>+B32</f>
        <v>BDS SUB 01</v>
      </c>
      <c r="K32" s="445"/>
      <c r="L32" s="445"/>
      <c r="M32" s="445"/>
      <c r="N32" s="445"/>
      <c r="O32" s="445"/>
      <c r="P32" s="445"/>
      <c r="Q32" s="445"/>
      <c r="R32" s="445"/>
      <c r="S32" s="445"/>
      <c r="T32" s="449"/>
      <c r="U32" s="450"/>
      <c r="V32" s="474"/>
      <c r="W32" s="452"/>
      <c r="BA32" s="101" t="s">
        <v>62</v>
      </c>
      <c r="BB32" s="33" t="s">
        <v>247</v>
      </c>
      <c r="BC32" s="102" t="s">
        <v>75</v>
      </c>
      <c r="BD32" s="130" t="s">
        <v>74</v>
      </c>
      <c r="BE32" s="103" t="str">
        <f>BI70&amp;"/"&amp;BI71&amp;"/"&amp;BI72</f>
        <v>4102 (BLACK)/MESH 10030 (BLACK)/JABON (WHITE)</v>
      </c>
      <c r="BG32" s="551" t="s">
        <v>39</v>
      </c>
      <c r="BH32" s="6" t="s">
        <v>40</v>
      </c>
      <c r="BI32" s="552" t="s">
        <v>6</v>
      </c>
      <c r="BJ32" s="549" t="s">
        <v>541</v>
      </c>
      <c r="BK32" s="553" t="s">
        <v>501</v>
      </c>
    </row>
    <row r="33" spans="1:63" ht="16.5" thickBot="1" x14ac:dyDescent="0.3">
      <c r="A33" s="11" t="s">
        <v>61</v>
      </c>
      <c r="B33" s="475" t="s">
        <v>60</v>
      </c>
      <c r="C33" s="8"/>
      <c r="D33" s="434"/>
      <c r="E33" s="464"/>
      <c r="F33" s="464"/>
      <c r="G33" s="464"/>
      <c r="H33" s="8"/>
      <c r="I33" s="464"/>
      <c r="J33" s="8" t="str">
        <f>+B33</f>
        <v>LEO SUB 01</v>
      </c>
      <c r="K33" s="464"/>
      <c r="L33" s="464"/>
      <c r="M33" s="464"/>
      <c r="N33" s="464"/>
      <c r="O33" s="464"/>
      <c r="P33" s="464"/>
      <c r="Q33" s="464"/>
      <c r="R33" s="464"/>
      <c r="S33" s="464"/>
      <c r="T33" s="465"/>
      <c r="U33" s="476"/>
      <c r="V33" s="464"/>
      <c r="W33" s="477"/>
      <c r="BA33" s="19" t="s">
        <v>62</v>
      </c>
      <c r="BB33" s="19" t="s">
        <v>218</v>
      </c>
      <c r="BC33" s="84" t="s">
        <v>290</v>
      </c>
      <c r="BD33" s="127" t="s">
        <v>392</v>
      </c>
      <c r="BE33" s="85" t="str">
        <f>BI74&amp;"/"&amp;BI75&amp;"/"&amp;BI76</f>
        <v>4126 (BLACK)/Lining (BLACK) 4059/Entretela 522 (WHITE)</v>
      </c>
      <c r="BG33" s="551"/>
      <c r="BH33" s="6"/>
      <c r="BI33" s="552" t="s">
        <v>537</v>
      </c>
      <c r="BJ33" s="549" t="s">
        <v>542</v>
      </c>
      <c r="BK33" s="553" t="s">
        <v>539</v>
      </c>
    </row>
    <row r="34" spans="1:63" ht="18.75" customHeight="1" thickBot="1" x14ac:dyDescent="0.3">
      <c r="A34" s="691" t="s">
        <v>169</v>
      </c>
      <c r="B34" s="692"/>
      <c r="C34" s="692"/>
      <c r="D34" s="692"/>
      <c r="E34" s="692"/>
      <c r="F34" s="692"/>
      <c r="G34" s="692"/>
      <c r="H34" s="692"/>
      <c r="I34" s="692"/>
      <c r="J34" s="692"/>
      <c r="K34" s="692"/>
      <c r="L34" s="692"/>
      <c r="M34" s="692"/>
      <c r="N34" s="692"/>
      <c r="O34" s="692"/>
      <c r="P34" s="692"/>
      <c r="Q34" s="692"/>
      <c r="R34" s="692"/>
      <c r="S34" s="692"/>
      <c r="T34" s="692"/>
      <c r="U34" s="692"/>
      <c r="V34" s="692"/>
      <c r="W34" s="693"/>
      <c r="BA34" s="29" t="s">
        <v>62</v>
      </c>
      <c r="BB34" s="29" t="s">
        <v>218</v>
      </c>
      <c r="BC34" s="75" t="s">
        <v>77</v>
      </c>
      <c r="BD34" s="128" t="s">
        <v>395</v>
      </c>
      <c r="BE34" s="75" t="str">
        <f>BI77</f>
        <v>4126 (BLACK)</v>
      </c>
      <c r="BG34" s="551" t="s">
        <v>41</v>
      </c>
      <c r="BH34" s="6" t="s">
        <v>42</v>
      </c>
      <c r="BI34" s="552" t="s">
        <v>6</v>
      </c>
      <c r="BJ34" s="549" t="s">
        <v>543</v>
      </c>
      <c r="BK34" s="553" t="s">
        <v>501</v>
      </c>
    </row>
    <row r="35" spans="1:63" ht="19.5" thickBot="1" x14ac:dyDescent="0.3">
      <c r="A35" s="694" t="s">
        <v>3</v>
      </c>
      <c r="B35" s="695"/>
      <c r="C35" s="695"/>
      <c r="D35" s="695"/>
      <c r="E35" s="695"/>
      <c r="F35" s="695"/>
      <c r="G35" s="695"/>
      <c r="H35" s="695"/>
      <c r="I35" s="695"/>
      <c r="J35" s="695"/>
      <c r="K35" s="695"/>
      <c r="L35" s="695"/>
      <c r="M35" s="695"/>
      <c r="N35" s="695"/>
      <c r="O35" s="695"/>
      <c r="P35" s="695"/>
      <c r="Q35" s="695"/>
      <c r="R35" s="695"/>
      <c r="S35" s="695"/>
      <c r="T35" s="695"/>
      <c r="U35" s="696"/>
      <c r="V35" s="696"/>
      <c r="W35" s="697"/>
      <c r="BA35" s="29" t="s">
        <v>62</v>
      </c>
      <c r="BB35" s="29" t="s">
        <v>218</v>
      </c>
      <c r="BC35" s="76" t="s">
        <v>79</v>
      </c>
      <c r="BD35" s="128" t="s">
        <v>78</v>
      </c>
      <c r="BE35" s="75" t="str">
        <f t="shared" ref="BE35" si="1">BI78</f>
        <v>4206 (BLACK)</v>
      </c>
      <c r="BG35" s="551"/>
      <c r="BH35" s="6"/>
      <c r="BI35" s="552" t="s">
        <v>537</v>
      </c>
      <c r="BJ35" s="549" t="s">
        <v>544</v>
      </c>
      <c r="BK35" s="553" t="s">
        <v>539</v>
      </c>
    </row>
    <row r="36" spans="1:63" ht="15.75" x14ac:dyDescent="0.25">
      <c r="A36" s="5" t="s">
        <v>170</v>
      </c>
      <c r="B36" s="447" t="s">
        <v>63</v>
      </c>
      <c r="C36" s="9"/>
      <c r="D36" s="433"/>
      <c r="E36" s="9" t="str">
        <f>+B36</f>
        <v>DJT ONYX 01 - 02</v>
      </c>
      <c r="F36" s="9" t="str">
        <f>+B36</f>
        <v>DJT ONYX 01 - 02</v>
      </c>
      <c r="G36" s="9" t="str">
        <f>+B36</f>
        <v>DJT ONYX 01 - 02</v>
      </c>
      <c r="H36" s="9"/>
      <c r="I36" s="9" t="str">
        <f>+B36</f>
        <v>DJT ONYX 01 - 02</v>
      </c>
      <c r="J36" s="9" t="str">
        <f>+B36</f>
        <v>DJT ONYX 01 - 02</v>
      </c>
      <c r="K36" s="9" t="str">
        <f>+B36</f>
        <v>DJT ONYX 01 - 02</v>
      </c>
      <c r="L36" s="445"/>
      <c r="M36" s="445"/>
      <c r="N36" s="445"/>
      <c r="O36" s="445"/>
      <c r="P36" s="445"/>
      <c r="Q36" s="445"/>
      <c r="R36" s="445"/>
      <c r="S36" s="445"/>
      <c r="T36" s="449"/>
      <c r="U36" s="450"/>
      <c r="V36" s="474"/>
      <c r="W36" s="452"/>
      <c r="BA36" s="29" t="s">
        <v>62</v>
      </c>
      <c r="BB36" s="29" t="s">
        <v>218</v>
      </c>
      <c r="BC36" s="75" t="s">
        <v>52</v>
      </c>
      <c r="BD36" s="131" t="s">
        <v>285</v>
      </c>
      <c r="BE36" s="75" t="str">
        <f>BI79&amp;"/"&amp;BI80</f>
        <v>4206 (BLACK)/MENELAOS (BLACK)</v>
      </c>
      <c r="BG36" s="551" t="s">
        <v>43</v>
      </c>
      <c r="BH36" s="6" t="s">
        <v>44</v>
      </c>
      <c r="BI36" s="552" t="s">
        <v>8</v>
      </c>
      <c r="BJ36" s="549" t="s">
        <v>545</v>
      </c>
      <c r="BK36" s="553" t="s">
        <v>504</v>
      </c>
    </row>
    <row r="37" spans="1:63" ht="15.75" x14ac:dyDescent="0.25">
      <c r="A37" s="6" t="s">
        <v>171</v>
      </c>
      <c r="B37" s="462" t="s">
        <v>65</v>
      </c>
      <c r="C37" s="455"/>
      <c r="D37" s="190"/>
      <c r="E37" s="9" t="str">
        <f>+B37</f>
        <v>VAR ONYX 01 - 02</v>
      </c>
      <c r="F37" s="456"/>
      <c r="G37" s="456"/>
      <c r="H37" s="455"/>
      <c r="I37" s="9" t="str">
        <f>+B37</f>
        <v>VAR ONYX 01 - 02</v>
      </c>
      <c r="J37" s="9" t="str">
        <f>+B37</f>
        <v>VAR ONYX 01 - 02</v>
      </c>
      <c r="K37" s="9" t="str">
        <f>+B37</f>
        <v>VAR ONYX 01 - 02</v>
      </c>
      <c r="L37" s="455" t="str">
        <f>+$B$37</f>
        <v>VAR ONYX 01 - 02</v>
      </c>
      <c r="M37" s="455" t="str">
        <f>+$B$37</f>
        <v>VAR ONYX 01 - 02</v>
      </c>
      <c r="N37" s="455" t="str">
        <f>+$B$37</f>
        <v>VAR ONYX 01 - 02</v>
      </c>
      <c r="O37" s="456"/>
      <c r="P37" s="456"/>
      <c r="Q37" s="456"/>
      <c r="R37" s="456"/>
      <c r="S37" s="456"/>
      <c r="T37" s="459"/>
      <c r="U37" s="460"/>
      <c r="V37" s="456"/>
      <c r="W37" s="461"/>
      <c r="BA37" s="29" t="s">
        <v>62</v>
      </c>
      <c r="BB37" s="29" t="s">
        <v>218</v>
      </c>
      <c r="BC37" s="75" t="s">
        <v>288</v>
      </c>
      <c r="BD37" s="128" t="s">
        <v>81</v>
      </c>
      <c r="BE37" s="75" t="str">
        <f>BI81&amp;"/"&amp;BI82&amp;"/"&amp;BI83</f>
        <v>42060 (BLACK)/MALLA CROCHET(BLACK)/MALLA FANTASIA (BLACK)</v>
      </c>
      <c r="BG37" s="551"/>
      <c r="BH37" s="6"/>
      <c r="BI37" s="548" t="s">
        <v>505</v>
      </c>
      <c r="BJ37" s="549" t="s">
        <v>546</v>
      </c>
      <c r="BK37" s="553" t="s">
        <v>504</v>
      </c>
    </row>
    <row r="38" spans="1:63" ht="16.5" thickBot="1" x14ac:dyDescent="0.3">
      <c r="A38" s="7" t="s">
        <v>172</v>
      </c>
      <c r="B38" s="463" t="s">
        <v>396</v>
      </c>
      <c r="C38" s="8"/>
      <c r="D38" s="434"/>
      <c r="E38" s="9" t="str">
        <f>+B38</f>
        <v>WBJ ONYX</v>
      </c>
      <c r="F38" s="478"/>
      <c r="G38" s="8" t="str">
        <f>+B38</f>
        <v>WBJ ONYX</v>
      </c>
      <c r="H38" s="8"/>
      <c r="I38" s="9" t="str">
        <f>+B38</f>
        <v>WBJ ONYX</v>
      </c>
      <c r="J38" s="9" t="str">
        <f>+B38</f>
        <v>WBJ ONYX</v>
      </c>
      <c r="K38" s="9" t="str">
        <f>+B38</f>
        <v>WBJ ONYX</v>
      </c>
      <c r="L38" s="464"/>
      <c r="M38" s="464"/>
      <c r="N38" s="464"/>
      <c r="O38" s="464"/>
      <c r="P38" s="464"/>
      <c r="Q38" s="464"/>
      <c r="R38" s="464"/>
      <c r="S38" s="464"/>
      <c r="T38" s="465"/>
      <c r="U38" s="466"/>
      <c r="V38" s="471"/>
      <c r="W38" s="468"/>
      <c r="BA38" s="18" t="s">
        <v>62</v>
      </c>
      <c r="BB38" s="18" t="s">
        <v>218</v>
      </c>
      <c r="BC38" s="104" t="s">
        <v>287</v>
      </c>
      <c r="BD38" s="132" t="s">
        <v>82</v>
      </c>
      <c r="BE38" s="104" t="str">
        <f>BI84&amp;"/"&amp;BI85</f>
        <v>42060 (BLACK)/MALLA CROCHET(BLACK)</v>
      </c>
      <c r="BG38" s="551" t="s">
        <v>45</v>
      </c>
      <c r="BH38" s="6" t="s">
        <v>46</v>
      </c>
      <c r="BI38" s="552" t="s">
        <v>537</v>
      </c>
      <c r="BJ38" s="549" t="s">
        <v>547</v>
      </c>
      <c r="BK38" s="553" t="s">
        <v>539</v>
      </c>
    </row>
    <row r="39" spans="1:63" ht="19.5" thickBot="1" x14ac:dyDescent="0.3">
      <c r="A39" s="694" t="s">
        <v>68</v>
      </c>
      <c r="B39" s="695"/>
      <c r="C39" s="695"/>
      <c r="D39" s="695"/>
      <c r="E39" s="695"/>
      <c r="F39" s="695"/>
      <c r="G39" s="695"/>
      <c r="H39" s="695"/>
      <c r="I39" s="695"/>
      <c r="J39" s="695"/>
      <c r="K39" s="695"/>
      <c r="L39" s="695"/>
      <c r="M39" s="695"/>
      <c r="N39" s="695"/>
      <c r="O39" s="695"/>
      <c r="P39" s="695"/>
      <c r="Q39" s="695"/>
      <c r="R39" s="695"/>
      <c r="S39" s="695"/>
      <c r="T39" s="695"/>
      <c r="U39" s="698"/>
      <c r="V39" s="698"/>
      <c r="W39" s="699"/>
      <c r="BA39" s="24" t="s">
        <v>83</v>
      </c>
      <c r="BB39" s="25" t="s">
        <v>219</v>
      </c>
      <c r="BC39" s="106" t="s">
        <v>235</v>
      </c>
      <c r="BD39" s="133" t="s">
        <v>84</v>
      </c>
      <c r="BE39" s="107" t="str">
        <f>BI89&amp;"/"&amp;BI90</f>
        <v>SANTA CRUZ/Lining 4059 (BLACK &amp; WHITE)</v>
      </c>
      <c r="BG39" s="551"/>
      <c r="BH39" s="6"/>
      <c r="BI39" s="552" t="s">
        <v>524</v>
      </c>
      <c r="BJ39" s="549" t="s">
        <v>548</v>
      </c>
      <c r="BK39" s="553" t="s">
        <v>526</v>
      </c>
    </row>
    <row r="40" spans="1:63" ht="16.5" thickBot="1" x14ac:dyDescent="0.3">
      <c r="A40" s="5" t="s">
        <v>173</v>
      </c>
      <c r="B40" s="447" t="s">
        <v>69</v>
      </c>
      <c r="C40" s="9"/>
      <c r="D40" s="433"/>
      <c r="E40" s="445"/>
      <c r="F40" s="445"/>
      <c r="G40" s="445"/>
      <c r="H40" s="9"/>
      <c r="I40" s="9" t="str">
        <f>+B40</f>
        <v>BRA ONYX 01 - 02</v>
      </c>
      <c r="J40" s="9" t="str">
        <f>+B40</f>
        <v>BRA ONYX 01 - 02</v>
      </c>
      <c r="K40" s="9" t="str">
        <f>+B40</f>
        <v>BRA ONYX 01 - 02</v>
      </c>
      <c r="L40" s="445"/>
      <c r="M40" s="445"/>
      <c r="N40" s="445"/>
      <c r="O40" s="445"/>
      <c r="P40" s="445"/>
      <c r="Q40" s="445"/>
      <c r="R40" s="445"/>
      <c r="S40" s="445"/>
      <c r="T40" s="449"/>
      <c r="U40" s="450"/>
      <c r="V40" s="474"/>
      <c r="W40" s="452"/>
      <c r="BA40" s="26" t="s">
        <v>83</v>
      </c>
      <c r="BB40" s="22" t="s">
        <v>219</v>
      </c>
      <c r="BC40" s="78" t="s">
        <v>87</v>
      </c>
      <c r="BD40" s="134" t="s">
        <v>86</v>
      </c>
      <c r="BE40" s="108" t="str">
        <f>BI91</f>
        <v>SANTA CRUZ</v>
      </c>
      <c r="BG40" s="554" t="s">
        <v>47</v>
      </c>
      <c r="BH40" s="7" t="s">
        <v>48</v>
      </c>
      <c r="BI40" s="557" t="s">
        <v>49</v>
      </c>
      <c r="BJ40" s="556" t="s">
        <v>549</v>
      </c>
      <c r="BK40" s="558" t="s">
        <v>504</v>
      </c>
    </row>
    <row r="41" spans="1:63" ht="19.5" thickBot="1" x14ac:dyDescent="0.3">
      <c r="A41" s="6" t="s">
        <v>174</v>
      </c>
      <c r="B41" s="462" t="s">
        <v>72</v>
      </c>
      <c r="C41" s="455"/>
      <c r="D41" s="436" t="str">
        <f>+B41</f>
        <v>FTT ONYX 02</v>
      </c>
      <c r="E41" s="456"/>
      <c r="F41" s="456"/>
      <c r="G41" s="456"/>
      <c r="H41" s="455"/>
      <c r="I41" s="456"/>
      <c r="J41" s="456"/>
      <c r="K41" s="458"/>
      <c r="L41" s="456"/>
      <c r="M41" s="456"/>
      <c r="N41" s="456"/>
      <c r="O41" s="455" t="str">
        <f>+B41</f>
        <v>FTT ONYX 02</v>
      </c>
      <c r="P41" s="456"/>
      <c r="Q41" s="456"/>
      <c r="R41" s="456"/>
      <c r="S41" s="456"/>
      <c r="T41" s="459"/>
      <c r="U41" s="460"/>
      <c r="V41" s="456"/>
      <c r="W41" s="461"/>
      <c r="BA41" s="27" t="s">
        <v>83</v>
      </c>
      <c r="BB41" s="41" t="s">
        <v>219</v>
      </c>
      <c r="BC41" s="109" t="s">
        <v>12</v>
      </c>
      <c r="BD41" s="135" t="s">
        <v>88</v>
      </c>
      <c r="BE41" s="115" t="str">
        <f>BI92</f>
        <v>SANTA CRUZ</v>
      </c>
      <c r="BG41" s="534" t="s">
        <v>50</v>
      </c>
      <c r="BH41" s="541"/>
      <c r="BI41" s="541"/>
      <c r="BJ41" s="541"/>
      <c r="BK41" s="628"/>
    </row>
    <row r="42" spans="1:63" ht="16.5" thickBot="1" x14ac:dyDescent="0.3">
      <c r="A42" s="7" t="s">
        <v>175</v>
      </c>
      <c r="B42" s="463" t="s">
        <v>74</v>
      </c>
      <c r="C42" s="8"/>
      <c r="D42" s="437" t="str">
        <f>+B42</f>
        <v>MTT ONYX</v>
      </c>
      <c r="E42" s="464"/>
      <c r="F42" s="464"/>
      <c r="G42" s="464"/>
      <c r="H42" s="8"/>
      <c r="I42" s="464"/>
      <c r="J42" s="464"/>
      <c r="K42" s="464"/>
      <c r="L42" s="464"/>
      <c r="M42" s="464"/>
      <c r="N42" s="464"/>
      <c r="O42" s="8" t="str">
        <f>+B42</f>
        <v>MTT ONYX</v>
      </c>
      <c r="P42" s="464"/>
      <c r="Q42" s="464"/>
      <c r="R42" s="464"/>
      <c r="S42" s="464"/>
      <c r="T42" s="465"/>
      <c r="U42" s="466"/>
      <c r="V42" s="471"/>
      <c r="W42" s="468"/>
      <c r="BA42" s="48" t="s">
        <v>83</v>
      </c>
      <c r="BB42" s="48" t="s">
        <v>222</v>
      </c>
      <c r="BC42" s="105" t="s">
        <v>31</v>
      </c>
      <c r="BD42" s="136" t="s">
        <v>90</v>
      </c>
      <c r="BE42" s="105" t="str">
        <f>BI94</f>
        <v>VISCOSA</v>
      </c>
      <c r="BG42" s="542" t="s">
        <v>51</v>
      </c>
      <c r="BH42" s="5" t="s">
        <v>52</v>
      </c>
      <c r="BI42" s="543" t="s">
        <v>6</v>
      </c>
      <c r="BJ42" s="544" t="s">
        <v>550</v>
      </c>
      <c r="BK42" s="545" t="s">
        <v>501</v>
      </c>
    </row>
    <row r="43" spans="1:63" ht="19.5" thickBot="1" x14ac:dyDescent="0.3">
      <c r="A43" s="694" t="s">
        <v>76</v>
      </c>
      <c r="B43" s="695"/>
      <c r="C43" s="695"/>
      <c r="D43" s="695"/>
      <c r="E43" s="695"/>
      <c r="F43" s="695"/>
      <c r="G43" s="695"/>
      <c r="H43" s="695"/>
      <c r="I43" s="695"/>
      <c r="J43" s="695"/>
      <c r="K43" s="695"/>
      <c r="L43" s="695"/>
      <c r="M43" s="695"/>
      <c r="N43" s="695"/>
      <c r="O43" s="695"/>
      <c r="P43" s="695"/>
      <c r="Q43" s="695"/>
      <c r="R43" s="695"/>
      <c r="S43" s="695"/>
      <c r="T43" s="695"/>
      <c r="U43" s="698"/>
      <c r="V43" s="698"/>
      <c r="W43" s="699"/>
      <c r="BA43" s="22" t="s">
        <v>83</v>
      </c>
      <c r="BB43" s="22" t="s">
        <v>222</v>
      </c>
      <c r="BC43" s="79" t="s">
        <v>93</v>
      </c>
      <c r="BD43" s="137" t="s">
        <v>92</v>
      </c>
      <c r="BE43" s="105" t="str">
        <f t="shared" ref="BE43:BE47" si="2">BI95</f>
        <v>VISCOSA</v>
      </c>
      <c r="BG43" s="546"/>
      <c r="BH43" s="547"/>
      <c r="BI43" s="548" t="s">
        <v>527</v>
      </c>
      <c r="BJ43" s="549" t="s">
        <v>550</v>
      </c>
      <c r="BK43" s="550" t="s">
        <v>551</v>
      </c>
    </row>
    <row r="44" spans="1:63" ht="15.75" x14ac:dyDescent="0.25">
      <c r="A44" s="5" t="s">
        <v>176</v>
      </c>
      <c r="B44" s="447" t="s">
        <v>392</v>
      </c>
      <c r="C44" s="9"/>
      <c r="D44" s="433"/>
      <c r="E44" s="445"/>
      <c r="F44" s="9" t="str">
        <f>+B44</f>
        <v>JGR ONYX</v>
      </c>
      <c r="G44" s="445"/>
      <c r="H44" s="9"/>
      <c r="I44" s="445"/>
      <c r="J44" s="9" t="str">
        <f>+B44</f>
        <v>JGR ONYX</v>
      </c>
      <c r="K44" s="9" t="str">
        <f>+B44</f>
        <v>JGR ONYX</v>
      </c>
      <c r="L44" s="445"/>
      <c r="M44" s="9" t="str">
        <f>+B44</f>
        <v>JGR ONYX</v>
      </c>
      <c r="N44" s="445"/>
      <c r="O44" s="445"/>
      <c r="P44" s="9" t="str">
        <f>+B44</f>
        <v>JGR ONYX</v>
      </c>
      <c r="Q44" s="445"/>
      <c r="R44" s="445"/>
      <c r="S44" s="445"/>
      <c r="T44" s="449"/>
      <c r="U44" s="450"/>
      <c r="V44" s="474"/>
      <c r="W44" s="452"/>
      <c r="BA44" s="22" t="s">
        <v>83</v>
      </c>
      <c r="BB44" s="22" t="s">
        <v>222</v>
      </c>
      <c r="BC44" s="77" t="s">
        <v>95</v>
      </c>
      <c r="BD44" s="138" t="s">
        <v>94</v>
      </c>
      <c r="BE44" s="105" t="str">
        <f t="shared" si="2"/>
        <v>VISCOSA</v>
      </c>
      <c r="BG44" s="551" t="s">
        <v>53</v>
      </c>
      <c r="BH44" s="6" t="s">
        <v>54</v>
      </c>
      <c r="BI44" s="552" t="s">
        <v>6</v>
      </c>
      <c r="BJ44" s="549" t="s">
        <v>552</v>
      </c>
      <c r="BK44" s="553" t="s">
        <v>501</v>
      </c>
    </row>
    <row r="45" spans="1:63" ht="15.75" x14ac:dyDescent="0.25">
      <c r="A45" s="6" t="s">
        <v>177</v>
      </c>
      <c r="B45" s="462" t="s">
        <v>395</v>
      </c>
      <c r="C45" s="455"/>
      <c r="D45" s="190"/>
      <c r="E45" s="456"/>
      <c r="F45" s="9" t="str">
        <f>+B45</f>
        <v>MSH ONYX</v>
      </c>
      <c r="G45" s="456"/>
      <c r="H45" s="455"/>
      <c r="I45" s="456"/>
      <c r="J45" s="456"/>
      <c r="K45" s="9" t="str">
        <f>+B45</f>
        <v>MSH ONYX</v>
      </c>
      <c r="L45" s="456"/>
      <c r="M45" s="456"/>
      <c r="N45" s="456"/>
      <c r="O45" s="456"/>
      <c r="P45" s="456"/>
      <c r="Q45" s="456"/>
      <c r="R45" s="456"/>
      <c r="S45" s="456"/>
      <c r="T45" s="459"/>
      <c r="U45" s="460"/>
      <c r="V45" s="456"/>
      <c r="W45" s="461"/>
      <c r="BA45" s="22" t="s">
        <v>83</v>
      </c>
      <c r="BB45" s="22" t="s">
        <v>222</v>
      </c>
      <c r="BC45" s="79" t="s">
        <v>97</v>
      </c>
      <c r="BD45" s="137" t="s">
        <v>96</v>
      </c>
      <c r="BE45" s="105" t="str">
        <f t="shared" si="2"/>
        <v>VISCOSA</v>
      </c>
      <c r="BG45" s="551"/>
      <c r="BH45" s="6"/>
      <c r="BI45" s="552" t="s">
        <v>537</v>
      </c>
      <c r="BJ45" s="549" t="s">
        <v>553</v>
      </c>
      <c r="BK45" s="553" t="s">
        <v>539</v>
      </c>
    </row>
    <row r="46" spans="1:63" ht="15.75" x14ac:dyDescent="0.25">
      <c r="A46" s="6" t="s">
        <v>178</v>
      </c>
      <c r="B46" s="462" t="s">
        <v>78</v>
      </c>
      <c r="C46" s="455"/>
      <c r="D46" s="190"/>
      <c r="E46" s="456"/>
      <c r="F46" s="456"/>
      <c r="G46" s="456"/>
      <c r="H46" s="455"/>
      <c r="I46" s="455" t="str">
        <f>+B46</f>
        <v>CHE ONYX 01 - 02</v>
      </c>
      <c r="J46" s="456"/>
      <c r="K46" s="9" t="str">
        <f>+B46</f>
        <v>CHE ONYX 01 - 02</v>
      </c>
      <c r="L46" s="456"/>
      <c r="M46" s="456"/>
      <c r="N46" s="456"/>
      <c r="O46" s="456"/>
      <c r="P46" s="456"/>
      <c r="Q46" s="456"/>
      <c r="R46" s="456"/>
      <c r="S46" s="456"/>
      <c r="T46" s="459"/>
      <c r="U46" s="460"/>
      <c r="V46" s="456"/>
      <c r="W46" s="461"/>
      <c r="BA46" s="22" t="s">
        <v>83</v>
      </c>
      <c r="BB46" s="22" t="s">
        <v>222</v>
      </c>
      <c r="BC46" s="78" t="s">
        <v>99</v>
      </c>
      <c r="BD46" s="134" t="s">
        <v>98</v>
      </c>
      <c r="BE46" s="105" t="str">
        <f t="shared" si="2"/>
        <v>VISCOSA</v>
      </c>
      <c r="BG46" s="551" t="s">
        <v>55</v>
      </c>
      <c r="BH46" s="6" t="s">
        <v>56</v>
      </c>
      <c r="BI46" s="552" t="s">
        <v>6</v>
      </c>
      <c r="BJ46" s="549" t="s">
        <v>554</v>
      </c>
      <c r="BK46" s="553" t="s">
        <v>501</v>
      </c>
    </row>
    <row r="47" spans="1:63" ht="16.5" thickBot="1" x14ac:dyDescent="0.3">
      <c r="A47" s="6" t="s">
        <v>179</v>
      </c>
      <c r="B47" s="462" t="s">
        <v>80</v>
      </c>
      <c r="C47" s="455"/>
      <c r="D47" s="436" t="str">
        <f>+B47</f>
        <v>SKO ONYX 01 -02</v>
      </c>
      <c r="E47" s="456"/>
      <c r="F47" s="456"/>
      <c r="G47" s="456"/>
      <c r="H47" s="455"/>
      <c r="I47" s="455" t="str">
        <f>+B47</f>
        <v>SKO ONYX 01 -02</v>
      </c>
      <c r="J47" s="456"/>
      <c r="K47" s="9" t="str">
        <f>+B47</f>
        <v>SKO ONYX 01 -02</v>
      </c>
      <c r="L47" s="456"/>
      <c r="M47" s="456"/>
      <c r="N47" s="456"/>
      <c r="O47" s="456"/>
      <c r="P47" s="456"/>
      <c r="Q47" s="456"/>
      <c r="R47" s="456"/>
      <c r="S47" s="456"/>
      <c r="T47" s="459"/>
      <c r="U47" s="460"/>
      <c r="V47" s="456"/>
      <c r="W47" s="461"/>
      <c r="BA47" s="46" t="s">
        <v>83</v>
      </c>
      <c r="BB47" s="46" t="s">
        <v>222</v>
      </c>
      <c r="BC47" s="110" t="s">
        <v>25</v>
      </c>
      <c r="BD47" s="139" t="s">
        <v>100</v>
      </c>
      <c r="BE47" s="654" t="str">
        <f t="shared" si="2"/>
        <v xml:space="preserve">BLACK   KIDS </v>
      </c>
      <c r="BG47" s="554"/>
      <c r="BH47" s="7"/>
      <c r="BI47" s="557" t="s">
        <v>537</v>
      </c>
      <c r="BJ47" s="556" t="s">
        <v>555</v>
      </c>
      <c r="BK47" s="558" t="s">
        <v>539</v>
      </c>
    </row>
    <row r="48" spans="1:63" ht="19.5" thickBot="1" x14ac:dyDescent="0.3">
      <c r="A48" s="7" t="s">
        <v>180</v>
      </c>
      <c r="B48" s="463" t="s">
        <v>81</v>
      </c>
      <c r="C48" s="8"/>
      <c r="D48" s="434"/>
      <c r="E48" s="464"/>
      <c r="F48" s="464"/>
      <c r="G48" s="464"/>
      <c r="H48" s="8"/>
      <c r="I48" s="455" t="str">
        <f>+B48</f>
        <v>HWL ONYX 01</v>
      </c>
      <c r="J48" s="464"/>
      <c r="K48" s="9" t="str">
        <f>+B48</f>
        <v>HWL ONYX 01</v>
      </c>
      <c r="L48" s="464"/>
      <c r="M48" s="464"/>
      <c r="N48" s="464"/>
      <c r="O48" s="8" t="str">
        <f>+B48</f>
        <v>HWL ONYX 01</v>
      </c>
      <c r="P48" s="464"/>
      <c r="Q48" s="464"/>
      <c r="R48" s="464"/>
      <c r="S48" s="464"/>
      <c r="T48" s="465"/>
      <c r="U48" s="466"/>
      <c r="V48" s="471"/>
      <c r="W48" s="468"/>
      <c r="BA48" s="24" t="s">
        <v>83</v>
      </c>
      <c r="BB48" s="47" t="s">
        <v>220</v>
      </c>
      <c r="BC48" s="112" t="s">
        <v>103</v>
      </c>
      <c r="BD48" s="140" t="s">
        <v>102</v>
      </c>
      <c r="BE48" s="113" t="str">
        <f>BI101</f>
        <v>SANTA CRUZ</v>
      </c>
      <c r="BG48" s="534" t="s">
        <v>57</v>
      </c>
      <c r="BH48" s="541"/>
      <c r="BI48" s="541"/>
      <c r="BJ48" s="541"/>
      <c r="BK48" s="628"/>
    </row>
    <row r="49" spans="1:63" ht="17.25" customHeight="1" thickBot="1" x14ac:dyDescent="0.3">
      <c r="A49" s="700" t="s">
        <v>181</v>
      </c>
      <c r="B49" s="701"/>
      <c r="C49" s="701"/>
      <c r="D49" s="701"/>
      <c r="E49" s="701"/>
      <c r="F49" s="701"/>
      <c r="G49" s="701"/>
      <c r="H49" s="701"/>
      <c r="I49" s="701"/>
      <c r="J49" s="701"/>
      <c r="K49" s="701"/>
      <c r="L49" s="701"/>
      <c r="M49" s="701"/>
      <c r="N49" s="701"/>
      <c r="O49" s="701"/>
      <c r="P49" s="701"/>
      <c r="Q49" s="701"/>
      <c r="R49" s="701"/>
      <c r="S49" s="701"/>
      <c r="T49" s="701"/>
      <c r="U49" s="701"/>
      <c r="V49" s="701"/>
      <c r="W49" s="702"/>
      <c r="BA49" s="26" t="s">
        <v>83</v>
      </c>
      <c r="BB49" s="23" t="s">
        <v>220</v>
      </c>
      <c r="BC49" s="22" t="s">
        <v>105</v>
      </c>
      <c r="BD49" s="141" t="s">
        <v>104</v>
      </c>
      <c r="BE49" s="108" t="str">
        <f t="shared" ref="BE49:BE50" si="3">BI102</f>
        <v>SANTA CRUZ</v>
      </c>
      <c r="BG49" s="542" t="s">
        <v>58</v>
      </c>
      <c r="BH49" s="5" t="s">
        <v>59</v>
      </c>
      <c r="BI49" s="543" t="s">
        <v>556</v>
      </c>
      <c r="BJ49" s="544" t="s">
        <v>557</v>
      </c>
      <c r="BK49" s="545" t="s">
        <v>558</v>
      </c>
    </row>
    <row r="50" spans="1:63" ht="19.5" thickBot="1" x14ac:dyDescent="0.3">
      <c r="A50" s="678" t="s">
        <v>3</v>
      </c>
      <c r="B50" s="679"/>
      <c r="C50" s="679"/>
      <c r="D50" s="679"/>
      <c r="E50" s="679"/>
      <c r="F50" s="679"/>
      <c r="G50" s="679"/>
      <c r="H50" s="679"/>
      <c r="I50" s="679"/>
      <c r="J50" s="679"/>
      <c r="K50" s="679"/>
      <c r="L50" s="679"/>
      <c r="M50" s="679"/>
      <c r="N50" s="679"/>
      <c r="O50" s="679"/>
      <c r="P50" s="679"/>
      <c r="Q50" s="679"/>
      <c r="R50" s="679"/>
      <c r="S50" s="679"/>
      <c r="T50" s="679"/>
      <c r="U50" s="680"/>
      <c r="V50" s="680"/>
      <c r="W50" s="681"/>
      <c r="BA50" s="27" t="s">
        <v>83</v>
      </c>
      <c r="BB50" s="28" t="s">
        <v>220</v>
      </c>
      <c r="BC50" s="114" t="s">
        <v>107</v>
      </c>
      <c r="BD50" s="142" t="s">
        <v>106</v>
      </c>
      <c r="BE50" s="115" t="str">
        <f t="shared" si="3"/>
        <v>SANTA CRUZ</v>
      </c>
      <c r="BG50" s="551"/>
      <c r="BH50" s="6" t="s">
        <v>559</v>
      </c>
      <c r="BI50" s="548" t="s">
        <v>505</v>
      </c>
      <c r="BJ50" s="549" t="s">
        <v>508</v>
      </c>
      <c r="BK50" s="553" t="s">
        <v>504</v>
      </c>
    </row>
    <row r="51" spans="1:63" ht="15.75" x14ac:dyDescent="0.25">
      <c r="A51" s="5" t="s">
        <v>182</v>
      </c>
      <c r="B51" s="473" t="s">
        <v>84</v>
      </c>
      <c r="C51" s="9"/>
      <c r="D51" s="433"/>
      <c r="E51" s="9" t="str">
        <f>+B51</f>
        <v>VAR 50</v>
      </c>
      <c r="F51" s="445"/>
      <c r="G51" s="445"/>
      <c r="H51" s="9"/>
      <c r="I51" s="445"/>
      <c r="J51" s="9" t="str">
        <f>+B51</f>
        <v>VAR 50</v>
      </c>
      <c r="K51" s="445"/>
      <c r="L51" s="9" t="str">
        <f>+$B$51</f>
        <v>VAR 50</v>
      </c>
      <c r="M51" s="9" t="str">
        <f>+B51</f>
        <v>VAR 50</v>
      </c>
      <c r="N51" s="9" t="str">
        <f>+B51</f>
        <v>VAR 50</v>
      </c>
      <c r="O51" s="445"/>
      <c r="P51" s="445"/>
      <c r="Q51" s="445"/>
      <c r="R51" s="9" t="str">
        <f>+B51</f>
        <v>VAR 50</v>
      </c>
      <c r="S51" s="9" t="str">
        <f>+B51</f>
        <v>VAR 50</v>
      </c>
      <c r="T51" s="449"/>
      <c r="U51" s="450"/>
      <c r="V51" s="479" t="str">
        <f>+B51</f>
        <v>VAR 50</v>
      </c>
      <c r="W51" s="452"/>
      <c r="BA51" s="20" t="s">
        <v>108</v>
      </c>
      <c r="BB51" s="20" t="s">
        <v>108</v>
      </c>
      <c r="BC51" s="111" t="s">
        <v>110</v>
      </c>
      <c r="BD51" s="143" t="s">
        <v>109</v>
      </c>
      <c r="BE51" s="111" t="str">
        <f>BI106&amp;"/"&amp;BI107&amp;"/"&amp;BI108</f>
        <v>30150 (WHTE)/30150 (BLACK)/LONA MORRAL (BLACK)</v>
      </c>
      <c r="BG51" s="542" t="s">
        <v>60</v>
      </c>
      <c r="BH51" s="5" t="s">
        <v>61</v>
      </c>
      <c r="BI51" s="543" t="s">
        <v>556</v>
      </c>
      <c r="BJ51" s="544" t="s">
        <v>560</v>
      </c>
      <c r="BK51" s="545" t="s">
        <v>558</v>
      </c>
    </row>
    <row r="52" spans="1:63" ht="16.5" thickBot="1" x14ac:dyDescent="0.3">
      <c r="A52" s="6" t="s">
        <v>87</v>
      </c>
      <c r="B52" s="462" t="s">
        <v>86</v>
      </c>
      <c r="C52" s="455"/>
      <c r="D52" s="190"/>
      <c r="E52" s="456"/>
      <c r="F52" s="456"/>
      <c r="G52" s="456"/>
      <c r="H52" s="455"/>
      <c r="I52" s="455" t="str">
        <f>+B52</f>
        <v>RCH 50</v>
      </c>
      <c r="J52" s="456"/>
      <c r="K52" s="455" t="str">
        <f>+B52</f>
        <v>RCH 50</v>
      </c>
      <c r="L52" s="456"/>
      <c r="M52" s="9" t="str">
        <f>+B52</f>
        <v>RCH 50</v>
      </c>
      <c r="N52" s="456"/>
      <c r="O52" s="456"/>
      <c r="P52" s="455" t="str">
        <f>+B52</f>
        <v>RCH 50</v>
      </c>
      <c r="Q52" s="456"/>
      <c r="R52" s="9" t="str">
        <f>+B52</f>
        <v>RCH 50</v>
      </c>
      <c r="S52" s="9" t="str">
        <f>+B52</f>
        <v>RCH 50</v>
      </c>
      <c r="T52" s="459"/>
      <c r="U52" s="460"/>
      <c r="V52" s="455" t="str">
        <f>+B52</f>
        <v>RCH 50</v>
      </c>
      <c r="W52" s="461"/>
      <c r="BA52" s="21" t="s">
        <v>108</v>
      </c>
      <c r="BB52" s="21" t="s">
        <v>108</v>
      </c>
      <c r="BC52" s="81" t="s">
        <v>112</v>
      </c>
      <c r="BD52" s="144" t="s">
        <v>111</v>
      </c>
      <c r="BE52" s="81" t="str">
        <f>BI109&amp;"/"&amp;BI110&amp;"/"&amp;BI111</f>
        <v>30150 (WHTE)/30150 (BLACK)/LONA MORRAL (BLACK)</v>
      </c>
      <c r="BG52" s="551"/>
      <c r="BH52" s="6"/>
      <c r="BI52" s="548" t="s">
        <v>505</v>
      </c>
      <c r="BJ52" s="549" t="s">
        <v>561</v>
      </c>
      <c r="BK52" s="553"/>
    </row>
    <row r="53" spans="1:63" ht="20.25" customHeight="1" thickBot="1" x14ac:dyDescent="0.3">
      <c r="A53" s="7" t="s">
        <v>183</v>
      </c>
      <c r="B53" s="463" t="s">
        <v>88</v>
      </c>
      <c r="C53" s="8"/>
      <c r="D53" s="434"/>
      <c r="E53" s="8" t="str">
        <f>+B53</f>
        <v>HUN 50</v>
      </c>
      <c r="F53" s="464"/>
      <c r="G53" s="464"/>
      <c r="H53" s="8"/>
      <c r="I53" s="455" t="str">
        <f>+B53</f>
        <v>HUN 50</v>
      </c>
      <c r="J53" s="464"/>
      <c r="K53" s="8" t="str">
        <f>+B53</f>
        <v>HUN 50</v>
      </c>
      <c r="L53" s="8" t="str">
        <f>+B53</f>
        <v>HUN 50</v>
      </c>
      <c r="M53" s="9" t="str">
        <f>+B53</f>
        <v>HUN 50</v>
      </c>
      <c r="N53" s="464"/>
      <c r="O53" s="464"/>
      <c r="P53" s="8" t="str">
        <f>+B53</f>
        <v>HUN 50</v>
      </c>
      <c r="Q53" s="464"/>
      <c r="R53" s="9" t="str">
        <f>+B53</f>
        <v>HUN 50</v>
      </c>
      <c r="S53" s="9" t="str">
        <f>+B53</f>
        <v>HUN 50</v>
      </c>
      <c r="T53" s="465"/>
      <c r="U53" s="466"/>
      <c r="V53" s="467" t="str">
        <f>+B53</f>
        <v>HUN 50</v>
      </c>
      <c r="W53" s="468"/>
      <c r="BA53" s="21" t="s">
        <v>108</v>
      </c>
      <c r="BB53" s="21" t="s">
        <v>108</v>
      </c>
      <c r="BC53" s="80" t="s">
        <v>114</v>
      </c>
      <c r="BD53" s="145" t="s">
        <v>113</v>
      </c>
      <c r="BE53" s="80" t="str">
        <f>BI112&amp;"/"&amp;BI113</f>
        <v>4206 (WHITE)/SUPPLEX CLAVEL (BLACK)</v>
      </c>
      <c r="BG53" s="663" t="s">
        <v>562</v>
      </c>
      <c r="BH53" s="664"/>
      <c r="BI53" s="664"/>
      <c r="BJ53" s="664"/>
      <c r="BK53" s="665"/>
    </row>
    <row r="54" spans="1:63" ht="24.75" customHeight="1" thickBot="1" x14ac:dyDescent="0.3">
      <c r="A54" s="678" t="s">
        <v>89</v>
      </c>
      <c r="B54" s="679"/>
      <c r="C54" s="679"/>
      <c r="D54" s="679"/>
      <c r="E54" s="679"/>
      <c r="F54" s="679"/>
      <c r="G54" s="679"/>
      <c r="H54" s="679"/>
      <c r="I54" s="679"/>
      <c r="J54" s="679"/>
      <c r="K54" s="679"/>
      <c r="L54" s="679"/>
      <c r="M54" s="679"/>
      <c r="N54" s="679"/>
      <c r="O54" s="679"/>
      <c r="P54" s="679"/>
      <c r="Q54" s="679"/>
      <c r="R54" s="679"/>
      <c r="S54" s="679"/>
      <c r="T54" s="679"/>
      <c r="U54" s="703"/>
      <c r="V54" s="703"/>
      <c r="W54" s="704"/>
      <c r="BA54" s="21" t="s">
        <v>108</v>
      </c>
      <c r="BB54" s="21" t="s">
        <v>108</v>
      </c>
      <c r="BC54" s="80" t="s">
        <v>226</v>
      </c>
      <c r="BD54" s="145" t="s">
        <v>115</v>
      </c>
      <c r="BE54" s="80" t="str">
        <f>BI114&amp;"/"&amp;BI115&amp;"/"&amp;BI116</f>
        <v>LONA CAMPERO (WHITE)/ORION (WHITE)/NEOPRENO</v>
      </c>
      <c r="BG54" s="567" t="s">
        <v>0</v>
      </c>
      <c r="BH54" s="568" t="s">
        <v>497</v>
      </c>
      <c r="BI54" s="568" t="s">
        <v>1</v>
      </c>
      <c r="BJ54" s="538" t="s">
        <v>498</v>
      </c>
      <c r="BK54" s="539" t="s">
        <v>499</v>
      </c>
    </row>
    <row r="55" spans="1:63" ht="19.5" thickBot="1" x14ac:dyDescent="0.3">
      <c r="A55" s="5" t="s">
        <v>184</v>
      </c>
      <c r="B55" s="447" t="s">
        <v>90</v>
      </c>
      <c r="C55" s="9"/>
      <c r="D55" s="433"/>
      <c r="E55" s="445"/>
      <c r="F55" s="445"/>
      <c r="G55" s="445"/>
      <c r="H55" s="9"/>
      <c r="I55" s="445"/>
      <c r="J55" s="445"/>
      <c r="K55" s="445"/>
      <c r="L55" s="445"/>
      <c r="M55" s="445"/>
      <c r="N55" s="445"/>
      <c r="O55" s="445"/>
      <c r="P55" s="445"/>
      <c r="Q55" s="445"/>
      <c r="R55" s="448"/>
      <c r="S55" s="9" t="str">
        <f t="shared" ref="S55:S60" si="4">+B55</f>
        <v>OFT 46</v>
      </c>
      <c r="T55" s="480" t="str">
        <f t="shared" ref="T55:T60" si="5">+B55</f>
        <v>OFT 46</v>
      </c>
      <c r="U55" s="450"/>
      <c r="V55" s="474"/>
      <c r="W55" s="452"/>
      <c r="BA55" s="495" t="s">
        <v>108</v>
      </c>
      <c r="BB55" s="495" t="s">
        <v>108</v>
      </c>
      <c r="BC55" s="496" t="s">
        <v>118</v>
      </c>
      <c r="BD55" s="497" t="s">
        <v>117</v>
      </c>
      <c r="BE55" s="80" t="str">
        <f>BI117&amp;"/"&amp;BI118&amp;"/"&amp;BI119</f>
        <v>CINTA FAYA (WHITE) 75 MM/CINTA FAYA (WHITE) 9 MM/CAUCHO</v>
      </c>
      <c r="BG55" s="535" t="s">
        <v>3</v>
      </c>
      <c r="BH55" s="569"/>
      <c r="BI55" s="569"/>
      <c r="BJ55" s="569"/>
      <c r="BK55" s="631"/>
    </row>
    <row r="56" spans="1:63" ht="16.5" thickBot="1" x14ac:dyDescent="0.3">
      <c r="A56" s="6" t="s">
        <v>93</v>
      </c>
      <c r="B56" s="462" t="s">
        <v>92</v>
      </c>
      <c r="C56" s="455"/>
      <c r="D56" s="190"/>
      <c r="E56" s="456"/>
      <c r="F56" s="456"/>
      <c r="G56" s="456"/>
      <c r="H56" s="455"/>
      <c r="I56" s="456"/>
      <c r="J56" s="456"/>
      <c r="K56" s="456"/>
      <c r="L56" s="456"/>
      <c r="M56" s="456"/>
      <c r="N56" s="456"/>
      <c r="O56" s="456"/>
      <c r="P56" s="456"/>
      <c r="Q56" s="456"/>
      <c r="R56" s="456"/>
      <c r="S56" s="9" t="str">
        <f t="shared" si="4"/>
        <v>HLR 946</v>
      </c>
      <c r="T56" s="480" t="str">
        <f t="shared" si="5"/>
        <v>HLR 946</v>
      </c>
      <c r="U56" s="460"/>
      <c r="V56" s="456"/>
      <c r="W56" s="461"/>
      <c r="BA56" s="498" t="s">
        <v>108</v>
      </c>
      <c r="BB56" s="498" t="s">
        <v>108</v>
      </c>
      <c r="BC56" s="499" t="s">
        <v>121</v>
      </c>
      <c r="BD56" s="500" t="s">
        <v>120</v>
      </c>
      <c r="BE56" s="499" t="str">
        <f>BI120</f>
        <v>SUAVESTAR (WHITE)</v>
      </c>
      <c r="BG56" s="542" t="s">
        <v>63</v>
      </c>
      <c r="BH56" s="5" t="s">
        <v>64</v>
      </c>
      <c r="BI56" s="543" t="s">
        <v>624</v>
      </c>
      <c r="BJ56" s="544"/>
      <c r="BK56" s="545" t="s">
        <v>501</v>
      </c>
    </row>
    <row r="57" spans="1:63" ht="15.75" x14ac:dyDescent="0.25">
      <c r="A57" s="6" t="s">
        <v>95</v>
      </c>
      <c r="B57" s="432" t="s">
        <v>94</v>
      </c>
      <c r="C57" s="455"/>
      <c r="D57" s="190"/>
      <c r="E57" s="456"/>
      <c r="F57" s="456"/>
      <c r="G57" s="456"/>
      <c r="H57" s="455"/>
      <c r="I57" s="456"/>
      <c r="J57" s="456"/>
      <c r="K57" s="456"/>
      <c r="L57" s="456"/>
      <c r="M57" s="456"/>
      <c r="N57" s="456"/>
      <c r="O57" s="456"/>
      <c r="P57" s="456"/>
      <c r="Q57" s="456"/>
      <c r="R57" s="456"/>
      <c r="S57" s="9" t="str">
        <f t="shared" si="4"/>
        <v>TUT 946</v>
      </c>
      <c r="T57" s="480" t="str">
        <f t="shared" si="5"/>
        <v>TUT 946</v>
      </c>
      <c r="U57" s="460"/>
      <c r="V57" s="456"/>
      <c r="W57" s="461"/>
      <c r="BA57" s="501" t="s">
        <v>122</v>
      </c>
      <c r="BB57" s="502" t="s">
        <v>221</v>
      </c>
      <c r="BC57" s="503" t="s">
        <v>225</v>
      </c>
      <c r="BD57" s="504" t="s">
        <v>123</v>
      </c>
      <c r="BE57" s="505" t="str">
        <f>BI124&amp;"/"&amp;BI125</f>
        <v>42060 (WHITE)/Lining (WHITE) 4059</v>
      </c>
      <c r="BG57" s="551"/>
      <c r="BH57" s="6"/>
      <c r="BI57" s="552" t="s">
        <v>564</v>
      </c>
      <c r="BJ57" s="549"/>
      <c r="BK57" s="558" t="s">
        <v>565</v>
      </c>
    </row>
    <row r="58" spans="1:63" ht="16.5" thickBot="1" x14ac:dyDescent="0.3">
      <c r="A58" s="6" t="s">
        <v>97</v>
      </c>
      <c r="B58" s="462" t="s">
        <v>96</v>
      </c>
      <c r="C58" s="455"/>
      <c r="D58" s="190"/>
      <c r="E58" s="456"/>
      <c r="F58" s="456"/>
      <c r="G58" s="456"/>
      <c r="H58" s="455"/>
      <c r="I58" s="456"/>
      <c r="J58" s="456"/>
      <c r="K58" s="456"/>
      <c r="L58" s="456"/>
      <c r="M58" s="456"/>
      <c r="N58" s="456"/>
      <c r="O58" s="456"/>
      <c r="P58" s="456"/>
      <c r="Q58" s="456"/>
      <c r="R58" s="456"/>
      <c r="S58" s="9" t="str">
        <f t="shared" si="4"/>
        <v>CRO 46</v>
      </c>
      <c r="T58" s="480" t="str">
        <f t="shared" si="5"/>
        <v>CRO 46</v>
      </c>
      <c r="U58" s="460"/>
      <c r="V58" s="456"/>
      <c r="W58" s="461"/>
      <c r="BA58" s="506" t="s">
        <v>122</v>
      </c>
      <c r="BB58" s="507" t="s">
        <v>221</v>
      </c>
      <c r="BC58" s="508" t="s">
        <v>126</v>
      </c>
      <c r="BD58" s="509" t="s">
        <v>125</v>
      </c>
      <c r="BE58" s="510" t="str">
        <f>BI126&amp;"/"&amp;BI127&amp;"/"&amp;BI128</f>
        <v>UNIVERSAL LYCRA (WHITE)/LAMEGA (WHITE) LIning/4241 (Binding)</v>
      </c>
      <c r="BG58" s="632"/>
      <c r="BH58" s="570"/>
      <c r="BI58" s="571" t="s">
        <v>566</v>
      </c>
      <c r="BJ58" s="572">
        <v>0.05</v>
      </c>
      <c r="BK58" s="633" t="s">
        <v>504</v>
      </c>
    </row>
    <row r="59" spans="1:63" ht="15.75" x14ac:dyDescent="0.25">
      <c r="A59" s="6" t="s">
        <v>185</v>
      </c>
      <c r="B59" s="462" t="s">
        <v>98</v>
      </c>
      <c r="C59" s="455"/>
      <c r="D59" s="190"/>
      <c r="E59" s="456"/>
      <c r="F59" s="456"/>
      <c r="G59" s="456"/>
      <c r="H59" s="455"/>
      <c r="I59" s="456"/>
      <c r="J59" s="456"/>
      <c r="K59" s="456"/>
      <c r="L59" s="456"/>
      <c r="M59" s="456"/>
      <c r="N59" s="456"/>
      <c r="O59" s="456"/>
      <c r="P59" s="456"/>
      <c r="Q59" s="456"/>
      <c r="R59" s="456"/>
      <c r="S59" s="9" t="str">
        <f t="shared" si="4"/>
        <v>CRV 46</v>
      </c>
      <c r="T59" s="480" t="str">
        <f t="shared" si="5"/>
        <v>CRV 46</v>
      </c>
      <c r="U59" s="460"/>
      <c r="V59" s="456"/>
      <c r="W59" s="461"/>
      <c r="BA59" s="492" t="s">
        <v>122</v>
      </c>
      <c r="BB59" s="492" t="s">
        <v>223</v>
      </c>
      <c r="BC59" s="116" t="s">
        <v>228</v>
      </c>
      <c r="BD59" s="146" t="s">
        <v>127</v>
      </c>
      <c r="BE59" s="116" t="str">
        <f>BI130&amp;"/"&amp;BI131&amp;"/"&amp;BI132</f>
        <v>4102 (BLACK)/MESH 10030 (BLACK)/JABON (WHITE)</v>
      </c>
      <c r="BG59" s="551" t="s">
        <v>65</v>
      </c>
      <c r="BH59" s="6" t="s">
        <v>7</v>
      </c>
      <c r="BI59" s="552" t="s">
        <v>66</v>
      </c>
      <c r="BJ59" s="549" t="s">
        <v>503</v>
      </c>
      <c r="BK59" s="633" t="s">
        <v>567</v>
      </c>
    </row>
    <row r="60" spans="1:63" ht="16.5" thickBot="1" x14ac:dyDescent="0.3">
      <c r="A60" s="7" t="s">
        <v>186</v>
      </c>
      <c r="B60" s="463" t="s">
        <v>100</v>
      </c>
      <c r="C60" s="8"/>
      <c r="D60" s="434"/>
      <c r="E60" s="464"/>
      <c r="F60" s="464"/>
      <c r="G60" s="464"/>
      <c r="H60" s="8"/>
      <c r="I60" s="464"/>
      <c r="J60" s="464"/>
      <c r="K60" s="464"/>
      <c r="L60" s="464"/>
      <c r="M60" s="464"/>
      <c r="N60" s="464"/>
      <c r="O60" s="464"/>
      <c r="P60" s="464"/>
      <c r="Q60" s="464"/>
      <c r="R60" s="464"/>
      <c r="S60" s="9" t="str">
        <f t="shared" si="4"/>
        <v>BCT 946</v>
      </c>
      <c r="T60" s="480" t="str">
        <f t="shared" si="5"/>
        <v>BCT 946</v>
      </c>
      <c r="U60" s="466"/>
      <c r="V60" s="471"/>
      <c r="W60" s="468"/>
      <c r="BA60" s="493" t="s">
        <v>122</v>
      </c>
      <c r="BB60" s="493" t="s">
        <v>223</v>
      </c>
      <c r="BC60" s="83" t="s">
        <v>227</v>
      </c>
      <c r="BD60" s="147" t="s">
        <v>129</v>
      </c>
      <c r="BE60" s="116" t="str">
        <f>BI133&amp;"/"&amp;BI134&amp;"/"&amp;BI135</f>
        <v>4102 (BLACK)/MESH 10030 (BLACK)/JABON (WHITE)</v>
      </c>
      <c r="BG60" s="551"/>
      <c r="BH60" s="6"/>
      <c r="BI60" s="552" t="s">
        <v>568</v>
      </c>
      <c r="BJ60" s="549" t="s">
        <v>506</v>
      </c>
      <c r="BK60" s="545"/>
    </row>
    <row r="61" spans="1:63" ht="19.5" thickBot="1" x14ac:dyDescent="0.3">
      <c r="A61" s="678" t="s">
        <v>76</v>
      </c>
      <c r="B61" s="679"/>
      <c r="C61" s="679"/>
      <c r="D61" s="679"/>
      <c r="E61" s="679"/>
      <c r="F61" s="679"/>
      <c r="G61" s="679"/>
      <c r="H61" s="679"/>
      <c r="I61" s="679"/>
      <c r="J61" s="679"/>
      <c r="K61" s="679"/>
      <c r="L61" s="679"/>
      <c r="M61" s="679"/>
      <c r="N61" s="679"/>
      <c r="O61" s="679"/>
      <c r="P61" s="679"/>
      <c r="Q61" s="679"/>
      <c r="R61" s="679"/>
      <c r="S61" s="679"/>
      <c r="T61" s="679"/>
      <c r="U61" s="703"/>
      <c r="V61" s="703"/>
      <c r="W61" s="704"/>
      <c r="BA61" s="493" t="s">
        <v>122</v>
      </c>
      <c r="BB61" s="493" t="s">
        <v>223</v>
      </c>
      <c r="BC61" s="82" t="s">
        <v>132</v>
      </c>
      <c r="BD61" s="148" t="s">
        <v>131</v>
      </c>
      <c r="BE61" s="116" t="str">
        <f>BI136&amp;"/"&amp;BI137&amp;"/"&amp;BI138</f>
        <v>4102 (BLACK)/MESH 10030 (BLACK)/JABON (WHITE)</v>
      </c>
      <c r="BG61" s="554" t="s">
        <v>569</v>
      </c>
      <c r="BH61" s="7" t="s">
        <v>67</v>
      </c>
      <c r="BI61" s="557" t="s">
        <v>570</v>
      </c>
      <c r="BJ61" s="556">
        <v>1.6</v>
      </c>
      <c r="BK61" s="558" t="s">
        <v>571</v>
      </c>
    </row>
    <row r="62" spans="1:63" ht="15.75" x14ac:dyDescent="0.25">
      <c r="A62" s="5" t="s">
        <v>103</v>
      </c>
      <c r="B62" s="447" t="s">
        <v>102</v>
      </c>
      <c r="C62" s="9"/>
      <c r="D62" s="433"/>
      <c r="E62" s="9" t="str">
        <f>+B62</f>
        <v>HHP 50</v>
      </c>
      <c r="F62" s="445"/>
      <c r="G62" s="445"/>
      <c r="H62" s="9"/>
      <c r="I62" s="445"/>
      <c r="J62" s="445"/>
      <c r="K62" s="445"/>
      <c r="L62" s="445"/>
      <c r="M62" s="445"/>
      <c r="N62" s="445"/>
      <c r="O62" s="445"/>
      <c r="P62" s="445"/>
      <c r="Q62" s="445"/>
      <c r="R62" s="9" t="str">
        <f>+B62</f>
        <v>HHP 50</v>
      </c>
      <c r="S62" s="9" t="str">
        <f>+B62</f>
        <v>HHP 50</v>
      </c>
      <c r="T62" s="480" t="str">
        <f>+B62</f>
        <v>HHP 50</v>
      </c>
      <c r="U62" s="450"/>
      <c r="V62" s="474"/>
      <c r="W62" s="452"/>
      <c r="BA62" s="493" t="s">
        <v>122</v>
      </c>
      <c r="BB62" s="493" t="s">
        <v>223</v>
      </c>
      <c r="BC62" s="83" t="s">
        <v>134</v>
      </c>
      <c r="BD62" s="147" t="s">
        <v>133</v>
      </c>
      <c r="BE62" s="116" t="str">
        <f>BI139&amp;"/"&amp;BI140&amp;"/"&amp;BI141</f>
        <v>4102 (BLACK)/MESH 10030 (BLACK)/JABON (WHITE)</v>
      </c>
      <c r="BG62" s="630"/>
      <c r="BH62" s="565"/>
      <c r="BI62" s="573" t="s">
        <v>572</v>
      </c>
      <c r="BJ62" s="556">
        <v>1.4</v>
      </c>
      <c r="BK62" s="633" t="s">
        <v>504</v>
      </c>
    </row>
    <row r="63" spans="1:63" ht="16.5" thickBot="1" x14ac:dyDescent="0.3">
      <c r="A63" s="6" t="s">
        <v>105</v>
      </c>
      <c r="B63" s="432" t="s">
        <v>104</v>
      </c>
      <c r="C63" s="455"/>
      <c r="D63" s="190"/>
      <c r="E63" s="9" t="str">
        <f>+B63</f>
        <v>SSK 50</v>
      </c>
      <c r="F63" s="455" t="str">
        <f>+B63</f>
        <v>SSK 50</v>
      </c>
      <c r="G63" s="456"/>
      <c r="H63" s="455"/>
      <c r="I63" s="456"/>
      <c r="J63" s="456"/>
      <c r="K63" s="456"/>
      <c r="L63" s="455" t="str">
        <f>+B63</f>
        <v>SSK 50</v>
      </c>
      <c r="M63" s="455" t="str">
        <f>+B63</f>
        <v>SSK 50</v>
      </c>
      <c r="N63" s="456"/>
      <c r="O63" s="456"/>
      <c r="P63" s="456"/>
      <c r="Q63" s="456"/>
      <c r="R63" s="9" t="str">
        <f>+B63</f>
        <v>SSK 50</v>
      </c>
      <c r="S63" s="9" t="str">
        <f>+B63</f>
        <v>SSK 50</v>
      </c>
      <c r="T63" s="480" t="str">
        <f>+B63</f>
        <v>SSK 50</v>
      </c>
      <c r="U63" s="460"/>
      <c r="V63" s="456"/>
      <c r="W63" s="461"/>
      <c r="BA63" s="493" t="s">
        <v>122</v>
      </c>
      <c r="BB63" s="493" t="s">
        <v>223</v>
      </c>
      <c r="BC63" s="511" t="s">
        <v>230</v>
      </c>
      <c r="BD63" s="512" t="s">
        <v>135</v>
      </c>
      <c r="BE63" s="511" t="str">
        <f>BI142</f>
        <v>VISCOSA</v>
      </c>
      <c r="BG63" s="632"/>
      <c r="BH63" s="570"/>
      <c r="BI63" s="571" t="s">
        <v>566</v>
      </c>
      <c r="BJ63" s="574">
        <v>0.2</v>
      </c>
      <c r="BK63" s="634" t="s">
        <v>504</v>
      </c>
    </row>
    <row r="64" spans="1:63" ht="19.5" thickBot="1" x14ac:dyDescent="0.3">
      <c r="A64" s="7" t="s">
        <v>107</v>
      </c>
      <c r="B64" s="463" t="s">
        <v>106</v>
      </c>
      <c r="C64" s="8"/>
      <c r="D64" s="434"/>
      <c r="E64" s="464"/>
      <c r="F64" s="464"/>
      <c r="G64" s="464"/>
      <c r="H64" s="8"/>
      <c r="I64" s="8" t="str">
        <f>+B64</f>
        <v>RSH 50</v>
      </c>
      <c r="J64" s="464"/>
      <c r="K64" s="8" t="str">
        <f>+B64</f>
        <v>RSH 50</v>
      </c>
      <c r="L64" s="464"/>
      <c r="M64" s="464"/>
      <c r="N64" s="464"/>
      <c r="O64" s="464"/>
      <c r="P64" s="464"/>
      <c r="Q64" s="464"/>
      <c r="R64" s="9" t="str">
        <f>+B64</f>
        <v>RSH 50</v>
      </c>
      <c r="S64" s="9" t="str">
        <f>+B64</f>
        <v>RSH 50</v>
      </c>
      <c r="T64" s="480" t="str">
        <f>+B64</f>
        <v>RSH 50</v>
      </c>
      <c r="U64" s="466"/>
      <c r="V64" s="471"/>
      <c r="W64" s="468"/>
      <c r="BA64" s="493" t="s">
        <v>122</v>
      </c>
      <c r="BB64" s="493" t="s">
        <v>223</v>
      </c>
      <c r="BC64" s="83" t="s">
        <v>137</v>
      </c>
      <c r="BD64" s="147" t="s">
        <v>136</v>
      </c>
      <c r="BE64" s="511" t="str">
        <f t="shared" ref="BE64:BE65" si="6">BI143</f>
        <v>HIDROTECH (WHITE)</v>
      </c>
      <c r="BG64" s="635" t="s">
        <v>68</v>
      </c>
      <c r="BH64" s="575"/>
      <c r="BI64" s="575"/>
      <c r="BJ64" s="575"/>
      <c r="BK64" s="636"/>
    </row>
    <row r="65" spans="1:63" ht="17.25" customHeight="1" thickBot="1" x14ac:dyDescent="0.3">
      <c r="A65" s="700" t="s">
        <v>187</v>
      </c>
      <c r="B65" s="701"/>
      <c r="C65" s="701"/>
      <c r="D65" s="701"/>
      <c r="E65" s="701"/>
      <c r="F65" s="701"/>
      <c r="G65" s="701"/>
      <c r="H65" s="701"/>
      <c r="I65" s="701"/>
      <c r="J65" s="701"/>
      <c r="K65" s="701"/>
      <c r="L65" s="701"/>
      <c r="M65" s="701"/>
      <c r="N65" s="701"/>
      <c r="O65" s="701"/>
      <c r="P65" s="701"/>
      <c r="Q65" s="701"/>
      <c r="R65" s="701"/>
      <c r="S65" s="701"/>
      <c r="T65" s="701"/>
      <c r="U65" s="701"/>
      <c r="V65" s="701"/>
      <c r="W65" s="702"/>
      <c r="BA65" s="494" t="s">
        <v>122</v>
      </c>
      <c r="BB65" s="494" t="s">
        <v>223</v>
      </c>
      <c r="BC65" s="117" t="s">
        <v>140</v>
      </c>
      <c r="BD65" s="149" t="s">
        <v>139</v>
      </c>
      <c r="BE65" s="655" t="str">
        <f t="shared" si="6"/>
        <v>HIDROTECH (WHITE)</v>
      </c>
      <c r="BG65" s="542" t="s">
        <v>69</v>
      </c>
      <c r="BH65" s="5" t="s">
        <v>70</v>
      </c>
      <c r="BI65" s="543" t="s">
        <v>71</v>
      </c>
      <c r="BJ65" s="544" t="s">
        <v>573</v>
      </c>
      <c r="BK65" s="545" t="s">
        <v>501</v>
      </c>
    </row>
    <row r="66" spans="1:63" ht="19.5" thickBot="1" x14ac:dyDescent="0.3">
      <c r="A66" s="705" t="s">
        <v>3</v>
      </c>
      <c r="B66" s="706"/>
      <c r="C66" s="706"/>
      <c r="D66" s="706"/>
      <c r="E66" s="706"/>
      <c r="F66" s="706"/>
      <c r="G66" s="706"/>
      <c r="H66" s="706"/>
      <c r="I66" s="706"/>
      <c r="J66" s="706"/>
      <c r="K66" s="706"/>
      <c r="L66" s="706"/>
      <c r="M66" s="706"/>
      <c r="N66" s="706"/>
      <c r="O66" s="706"/>
      <c r="P66" s="706"/>
      <c r="Q66" s="706"/>
      <c r="R66" s="706"/>
      <c r="S66" s="706"/>
      <c r="T66" s="706"/>
      <c r="U66" s="707"/>
      <c r="V66" s="707"/>
      <c r="W66" s="708"/>
      <c r="BA66" s="501" t="s">
        <v>122</v>
      </c>
      <c r="BB66" s="502" t="s">
        <v>224</v>
      </c>
      <c r="BC66" s="503" t="s">
        <v>168</v>
      </c>
      <c r="BD66" s="504" t="s">
        <v>141</v>
      </c>
      <c r="BE66" s="505" t="str">
        <f>BI146</f>
        <v>4206 (WHITE)</v>
      </c>
      <c r="BG66" s="551"/>
      <c r="BH66" s="6"/>
      <c r="BI66" s="552" t="s">
        <v>568</v>
      </c>
      <c r="BJ66" s="549" t="s">
        <v>574</v>
      </c>
      <c r="BK66" s="553" t="s">
        <v>504</v>
      </c>
    </row>
    <row r="67" spans="1:63" ht="16.5" thickBot="1" x14ac:dyDescent="0.3">
      <c r="A67" s="5" t="s">
        <v>124</v>
      </c>
      <c r="B67" s="447" t="s">
        <v>123</v>
      </c>
      <c r="C67" s="9"/>
      <c r="D67" s="433"/>
      <c r="E67" s="9" t="str">
        <f>+B67</f>
        <v>DJT ONYX 03</v>
      </c>
      <c r="F67" s="9" t="str">
        <f>+B67</f>
        <v>DJT ONYX 03</v>
      </c>
      <c r="G67" s="9" t="str">
        <f>+B67</f>
        <v>DJT ONYX 03</v>
      </c>
      <c r="H67" s="9"/>
      <c r="I67" s="448"/>
      <c r="J67" s="9" t="str">
        <f>+B67</f>
        <v>DJT ONYX 03</v>
      </c>
      <c r="K67" s="445"/>
      <c r="L67" s="445"/>
      <c r="M67" s="445"/>
      <c r="N67" s="445"/>
      <c r="O67" s="445"/>
      <c r="P67" s="445"/>
      <c r="Q67" s="445"/>
      <c r="R67" s="445"/>
      <c r="S67" s="445"/>
      <c r="T67" s="449"/>
      <c r="U67" s="450"/>
      <c r="V67" s="474"/>
      <c r="W67" s="452"/>
      <c r="BA67" s="506" t="s">
        <v>122</v>
      </c>
      <c r="BB67" s="507" t="s">
        <v>224</v>
      </c>
      <c r="BC67" s="513" t="s">
        <v>229</v>
      </c>
      <c r="BD67" s="514" t="s">
        <v>142</v>
      </c>
      <c r="BE67" s="656" t="str">
        <f>BI147</f>
        <v>SUPPLEX (BLACK)</v>
      </c>
      <c r="BG67" s="551" t="s">
        <v>72</v>
      </c>
      <c r="BH67" s="6" t="s">
        <v>73</v>
      </c>
      <c r="BI67" s="552" t="s">
        <v>575</v>
      </c>
      <c r="BJ67" s="549" t="s">
        <v>576</v>
      </c>
      <c r="BK67" s="545" t="s">
        <v>567</v>
      </c>
    </row>
    <row r="68" spans="1:63" ht="15.75" thickBot="1" x14ac:dyDescent="0.3">
      <c r="A68" s="7" t="s">
        <v>126</v>
      </c>
      <c r="B68" s="481" t="s">
        <v>125</v>
      </c>
      <c r="C68" s="8"/>
      <c r="D68" s="437" t="str">
        <f>+B68</f>
        <v>WBJ SUB 01</v>
      </c>
      <c r="E68" s="8" t="str">
        <f>+B68</f>
        <v>WBJ SUB 01</v>
      </c>
      <c r="F68" s="478"/>
      <c r="G68" s="8" t="str">
        <f>+B68</f>
        <v>WBJ SUB 01</v>
      </c>
      <c r="H68" s="8"/>
      <c r="I68" s="464"/>
      <c r="J68" s="8" t="str">
        <f>+B68</f>
        <v>WBJ SUB 01</v>
      </c>
      <c r="K68" s="464"/>
      <c r="L68" s="464"/>
      <c r="M68" s="464"/>
      <c r="N68" s="464"/>
      <c r="O68" s="464"/>
      <c r="P68" s="464"/>
      <c r="Q68" s="464"/>
      <c r="R68" s="464"/>
      <c r="S68" s="464"/>
      <c r="T68" s="465"/>
      <c r="U68" s="466"/>
      <c r="V68" s="471"/>
      <c r="W68" s="468"/>
      <c r="BG68" s="551"/>
      <c r="BH68" s="576"/>
      <c r="BI68" s="552" t="s">
        <v>577</v>
      </c>
      <c r="BJ68" s="549" t="s">
        <v>578</v>
      </c>
      <c r="BK68" s="553" t="s">
        <v>565</v>
      </c>
    </row>
    <row r="69" spans="1:63" ht="19.5" thickBot="1" x14ac:dyDescent="0.3">
      <c r="A69" s="705" t="s">
        <v>89</v>
      </c>
      <c r="B69" s="706"/>
      <c r="C69" s="706"/>
      <c r="D69" s="706"/>
      <c r="E69" s="706"/>
      <c r="F69" s="706"/>
      <c r="G69" s="706"/>
      <c r="H69" s="706"/>
      <c r="I69" s="706"/>
      <c r="J69" s="706"/>
      <c r="K69" s="706"/>
      <c r="L69" s="706"/>
      <c r="M69" s="706"/>
      <c r="N69" s="706"/>
      <c r="O69" s="706"/>
      <c r="P69" s="706"/>
      <c r="Q69" s="706"/>
      <c r="R69" s="706"/>
      <c r="S69" s="706"/>
      <c r="T69" s="706"/>
      <c r="U69" s="709"/>
      <c r="V69" s="709"/>
      <c r="W69" s="710"/>
      <c r="BG69" s="551"/>
      <c r="BH69" s="6"/>
      <c r="BI69" s="552" t="s">
        <v>19</v>
      </c>
      <c r="BJ69" s="549" t="s">
        <v>579</v>
      </c>
      <c r="BK69" s="553" t="s">
        <v>517</v>
      </c>
    </row>
    <row r="70" spans="1:63" x14ac:dyDescent="0.25">
      <c r="A70" s="12" t="s">
        <v>128</v>
      </c>
      <c r="B70" s="13" t="s">
        <v>127</v>
      </c>
      <c r="C70" s="9"/>
      <c r="D70" s="438" t="str">
        <f>+B70</f>
        <v>FPT ONYX02</v>
      </c>
      <c r="E70" s="445"/>
      <c r="F70" s="445"/>
      <c r="G70" s="445"/>
      <c r="H70" s="9"/>
      <c r="I70" s="445"/>
      <c r="J70" s="445"/>
      <c r="K70" s="445"/>
      <c r="L70" s="445"/>
      <c r="M70" s="445"/>
      <c r="N70" s="445"/>
      <c r="O70" s="9" t="str">
        <f>+B70</f>
        <v>FPT ONYX02</v>
      </c>
      <c r="P70" s="445"/>
      <c r="Q70" s="445"/>
      <c r="R70" s="445"/>
      <c r="S70" s="445"/>
      <c r="T70" s="449"/>
      <c r="U70" s="450"/>
      <c r="V70" s="474"/>
      <c r="W70" s="452"/>
      <c r="BG70" s="551" t="s">
        <v>74</v>
      </c>
      <c r="BH70" s="6" t="s">
        <v>75</v>
      </c>
      <c r="BI70" s="552" t="s">
        <v>575</v>
      </c>
      <c r="BJ70" s="549"/>
      <c r="BK70" s="545" t="s">
        <v>567</v>
      </c>
    </row>
    <row r="71" spans="1:63" s="71" customFormat="1" x14ac:dyDescent="0.25">
      <c r="A71" s="431" t="s">
        <v>130</v>
      </c>
      <c r="B71" s="432" t="s">
        <v>129</v>
      </c>
      <c r="C71" s="455"/>
      <c r="D71" s="436" t="str">
        <f>+B71</f>
        <v>FPTL  ONYX 02</v>
      </c>
      <c r="E71" s="456"/>
      <c r="F71" s="456"/>
      <c r="G71" s="456"/>
      <c r="H71" s="455"/>
      <c r="I71" s="456"/>
      <c r="J71" s="456"/>
      <c r="K71" s="456"/>
      <c r="L71" s="456"/>
      <c r="M71" s="456"/>
      <c r="N71" s="456"/>
      <c r="O71" s="9" t="str">
        <f>+B71</f>
        <v>FPTL  ONYX 02</v>
      </c>
      <c r="P71" s="456"/>
      <c r="Q71" s="456"/>
      <c r="R71" s="456"/>
      <c r="S71" s="456"/>
      <c r="T71" s="459"/>
      <c r="U71" s="460"/>
      <c r="V71" s="456"/>
      <c r="W71" s="461"/>
      <c r="X71" s="442"/>
      <c r="Y71" s="442"/>
      <c r="Z71" s="442"/>
      <c r="AA71" s="442"/>
      <c r="AB71" s="442"/>
      <c r="AC71" s="442"/>
      <c r="AD71" s="442"/>
      <c r="AE71" s="442"/>
      <c r="AF71" s="442"/>
      <c r="AG71" s="442"/>
      <c r="AH71" s="442"/>
      <c r="AI71" s="442"/>
      <c r="AJ71" s="442"/>
      <c r="AK71" s="442"/>
      <c r="AL71" s="442"/>
      <c r="AM71" s="442"/>
      <c r="AN71" s="442"/>
      <c r="AO71" s="442"/>
      <c r="AP71" s="442"/>
      <c r="AQ71" s="442"/>
      <c r="AR71" s="442"/>
      <c r="AS71" s="442"/>
      <c r="AT71" s="442"/>
      <c r="AU71" s="442"/>
      <c r="AV71" s="442"/>
      <c r="AW71" s="442"/>
      <c r="BG71" s="551"/>
      <c r="BH71" s="6"/>
      <c r="BI71" s="552" t="s">
        <v>577</v>
      </c>
      <c r="BJ71" s="549" t="s">
        <v>578</v>
      </c>
      <c r="BK71" s="553"/>
    </row>
    <row r="72" spans="1:63" s="71" customFormat="1" ht="15.75" thickBot="1" x14ac:dyDescent="0.3">
      <c r="A72" s="431" t="s">
        <v>132</v>
      </c>
      <c r="B72" s="432" t="s">
        <v>131</v>
      </c>
      <c r="C72" s="455"/>
      <c r="D72" s="436" t="str">
        <f>+B72</f>
        <v>MPT  ONYX02</v>
      </c>
      <c r="E72" s="456"/>
      <c r="F72" s="456"/>
      <c r="G72" s="456"/>
      <c r="H72" s="455"/>
      <c r="I72" s="456"/>
      <c r="J72" s="456"/>
      <c r="K72" s="456"/>
      <c r="L72" s="456"/>
      <c r="M72" s="456"/>
      <c r="N72" s="456"/>
      <c r="O72" s="9" t="str">
        <f>+B72</f>
        <v>MPT  ONYX02</v>
      </c>
      <c r="P72" s="456"/>
      <c r="Q72" s="456"/>
      <c r="R72" s="456"/>
      <c r="S72" s="456"/>
      <c r="T72" s="459"/>
      <c r="U72" s="460"/>
      <c r="V72" s="456"/>
      <c r="W72" s="461"/>
      <c r="X72" s="442"/>
      <c r="Y72" s="442"/>
      <c r="Z72" s="442"/>
      <c r="AA72" s="442"/>
      <c r="AB72" s="442"/>
      <c r="AC72" s="442"/>
      <c r="AD72" s="442"/>
      <c r="AE72" s="442"/>
      <c r="AF72" s="442"/>
      <c r="AG72" s="442"/>
      <c r="AH72" s="442"/>
      <c r="AI72" s="442"/>
      <c r="AJ72" s="442"/>
      <c r="AK72" s="442"/>
      <c r="AL72" s="442"/>
      <c r="AM72" s="442"/>
      <c r="AN72" s="442"/>
      <c r="AO72" s="442"/>
      <c r="AP72" s="442"/>
      <c r="AQ72" s="442"/>
      <c r="AR72" s="442"/>
      <c r="AS72" s="442"/>
      <c r="AT72" s="442"/>
      <c r="AU72" s="442"/>
      <c r="AV72" s="442"/>
      <c r="AW72" s="442"/>
      <c r="BG72" s="554"/>
      <c r="BH72" s="7"/>
      <c r="BI72" s="552" t="s">
        <v>19</v>
      </c>
      <c r="BJ72" s="549" t="s">
        <v>580</v>
      </c>
      <c r="BK72" s="553" t="s">
        <v>517</v>
      </c>
    </row>
    <row r="73" spans="1:63" s="71" customFormat="1" ht="19.5" thickBot="1" x14ac:dyDescent="0.3">
      <c r="A73" s="431" t="s">
        <v>134</v>
      </c>
      <c r="B73" s="432" t="s">
        <v>133</v>
      </c>
      <c r="C73" s="455"/>
      <c r="D73" s="436" t="str">
        <f>+B73</f>
        <v>MPTL  ONYX02</v>
      </c>
      <c r="E73" s="456"/>
      <c r="F73" s="456"/>
      <c r="G73" s="456"/>
      <c r="H73" s="455"/>
      <c r="I73" s="456"/>
      <c r="J73" s="456"/>
      <c r="K73" s="456"/>
      <c r="L73" s="456"/>
      <c r="M73" s="456"/>
      <c r="N73" s="456"/>
      <c r="O73" s="9" t="str">
        <f>+B73</f>
        <v>MPTL  ONYX02</v>
      </c>
      <c r="P73" s="456"/>
      <c r="Q73" s="456"/>
      <c r="R73" s="456"/>
      <c r="S73" s="456"/>
      <c r="T73" s="459"/>
      <c r="U73" s="460"/>
      <c r="V73" s="456"/>
      <c r="W73" s="461"/>
      <c r="X73" s="442"/>
      <c r="Y73" s="442"/>
      <c r="Z73" s="442"/>
      <c r="AA73" s="442"/>
      <c r="AB73" s="442"/>
      <c r="AC73" s="442"/>
      <c r="AD73" s="442"/>
      <c r="AE73" s="442"/>
      <c r="AF73" s="442"/>
      <c r="AG73" s="442"/>
      <c r="AH73" s="442"/>
      <c r="AI73" s="442"/>
      <c r="AJ73" s="442"/>
      <c r="AK73" s="442"/>
      <c r="AL73" s="442"/>
      <c r="AM73" s="442"/>
      <c r="AN73" s="442"/>
      <c r="AO73" s="442"/>
      <c r="AP73" s="442"/>
      <c r="AQ73" s="442"/>
      <c r="AR73" s="442"/>
      <c r="AS73" s="442"/>
      <c r="AT73" s="442"/>
      <c r="AU73" s="442"/>
      <c r="AV73" s="442"/>
      <c r="AW73" s="442"/>
      <c r="BG73" s="535" t="s">
        <v>76</v>
      </c>
      <c r="BH73" s="569"/>
      <c r="BI73" s="569"/>
      <c r="BJ73" s="569"/>
      <c r="BK73" s="631"/>
    </row>
    <row r="74" spans="1:63" x14ac:dyDescent="0.25">
      <c r="A74" s="14" t="s">
        <v>188</v>
      </c>
      <c r="B74" s="432" t="s">
        <v>135</v>
      </c>
      <c r="C74" s="455"/>
      <c r="D74" s="190"/>
      <c r="E74" s="456"/>
      <c r="F74" s="456"/>
      <c r="G74" s="456"/>
      <c r="H74" s="455"/>
      <c r="I74" s="456"/>
      <c r="J74" s="456"/>
      <c r="K74" s="456"/>
      <c r="L74" s="456"/>
      <c r="M74" s="456"/>
      <c r="N74" s="456"/>
      <c r="O74" s="456"/>
      <c r="P74" s="456"/>
      <c r="Q74" s="456"/>
      <c r="R74" s="456"/>
      <c r="S74" s="455" t="str">
        <f>+B74</f>
        <v>SHAB CHIC</v>
      </c>
      <c r="T74" s="482" t="str">
        <f>+B74</f>
        <v>SHAB CHIC</v>
      </c>
      <c r="U74" s="460"/>
      <c r="V74" s="456"/>
      <c r="W74" s="461"/>
      <c r="BG74" s="551" t="s">
        <v>581</v>
      </c>
      <c r="BH74" s="6" t="s">
        <v>44</v>
      </c>
      <c r="BI74" s="552" t="s">
        <v>66</v>
      </c>
      <c r="BJ74" s="549" t="s">
        <v>545</v>
      </c>
      <c r="BK74" s="545" t="s">
        <v>567</v>
      </c>
    </row>
    <row r="75" spans="1:63" x14ac:dyDescent="0.25">
      <c r="A75" s="14" t="s">
        <v>137</v>
      </c>
      <c r="B75" s="432" t="s">
        <v>136</v>
      </c>
      <c r="C75" s="455"/>
      <c r="D75" s="190"/>
      <c r="E75" s="456"/>
      <c r="F75" s="456"/>
      <c r="G75" s="456"/>
      <c r="H75" s="455"/>
      <c r="I75" s="456"/>
      <c r="J75" s="456"/>
      <c r="K75" s="456"/>
      <c r="L75" s="456"/>
      <c r="M75" s="456"/>
      <c r="N75" s="456"/>
      <c r="O75" s="456"/>
      <c r="P75" s="456"/>
      <c r="Q75" s="456"/>
      <c r="R75" s="456"/>
      <c r="S75" s="456"/>
      <c r="T75" s="459"/>
      <c r="U75" s="460"/>
      <c r="V75" s="456"/>
      <c r="W75" s="461"/>
      <c r="BG75" s="551"/>
      <c r="BH75" s="6"/>
      <c r="BI75" s="552" t="s">
        <v>568</v>
      </c>
      <c r="BJ75" s="549" t="s">
        <v>546</v>
      </c>
      <c r="BK75" s="553"/>
    </row>
    <row r="76" spans="1:63" ht="15.75" thickBot="1" x14ac:dyDescent="0.3">
      <c r="A76" s="15" t="s">
        <v>140</v>
      </c>
      <c r="B76" s="483" t="s">
        <v>139</v>
      </c>
      <c r="C76" s="467"/>
      <c r="D76" s="439"/>
      <c r="E76" s="471"/>
      <c r="F76" s="471"/>
      <c r="G76" s="471"/>
      <c r="H76" s="467"/>
      <c r="I76" s="471"/>
      <c r="J76" s="471"/>
      <c r="K76" s="471"/>
      <c r="L76" s="471"/>
      <c r="M76" s="471"/>
      <c r="N76" s="471"/>
      <c r="O76" s="471"/>
      <c r="P76" s="471"/>
      <c r="Q76" s="471"/>
      <c r="R76" s="471"/>
      <c r="S76" s="471"/>
      <c r="T76" s="484"/>
      <c r="U76" s="466"/>
      <c r="V76" s="471"/>
      <c r="W76" s="468"/>
      <c r="BG76" s="554"/>
      <c r="BH76" s="7"/>
      <c r="BI76" s="555" t="s">
        <v>509</v>
      </c>
      <c r="BJ76" s="556">
        <v>0.04</v>
      </c>
      <c r="BK76" s="553" t="s">
        <v>504</v>
      </c>
    </row>
    <row r="77" spans="1:63" ht="18.75" x14ac:dyDescent="0.25">
      <c r="B77" s="16"/>
      <c r="W77" s="485"/>
      <c r="BG77" s="551" t="s">
        <v>582</v>
      </c>
      <c r="BH77" s="6" t="s">
        <v>77</v>
      </c>
      <c r="BI77" s="552" t="s">
        <v>66</v>
      </c>
      <c r="BJ77" s="549">
        <v>0.8</v>
      </c>
      <c r="BK77" s="545" t="s">
        <v>567</v>
      </c>
    </row>
    <row r="78" spans="1:63" x14ac:dyDescent="0.25">
      <c r="BG78" s="551" t="s">
        <v>78</v>
      </c>
      <c r="BH78" s="6" t="s">
        <v>79</v>
      </c>
      <c r="BI78" s="552" t="s">
        <v>71</v>
      </c>
      <c r="BJ78" s="549" t="s">
        <v>583</v>
      </c>
      <c r="BK78" s="553" t="s">
        <v>501</v>
      </c>
    </row>
    <row r="79" spans="1:63" x14ac:dyDescent="0.25">
      <c r="BG79" s="551" t="s">
        <v>80</v>
      </c>
      <c r="BH79" s="6" t="s">
        <v>52</v>
      </c>
      <c r="BI79" s="552" t="s">
        <v>71</v>
      </c>
      <c r="BJ79" s="549"/>
      <c r="BK79" s="553" t="s">
        <v>501</v>
      </c>
    </row>
    <row r="80" spans="1:63" x14ac:dyDescent="0.25">
      <c r="BG80" s="551"/>
      <c r="BH80" s="6"/>
      <c r="BI80" s="552" t="s">
        <v>584</v>
      </c>
      <c r="BJ80" s="549"/>
      <c r="BK80" s="553" t="s">
        <v>565</v>
      </c>
    </row>
    <row r="81" spans="59:63" x14ac:dyDescent="0.25">
      <c r="BG81" s="551" t="s">
        <v>81</v>
      </c>
      <c r="BH81" s="6" t="s">
        <v>36</v>
      </c>
      <c r="BI81" s="552" t="s">
        <v>563</v>
      </c>
      <c r="BJ81" s="549">
        <v>0.84</v>
      </c>
      <c r="BK81" s="553" t="s">
        <v>501</v>
      </c>
    </row>
    <row r="82" spans="59:63" x14ac:dyDescent="0.25">
      <c r="BG82" s="551"/>
      <c r="BH82" s="6"/>
      <c r="BI82" s="552" t="s">
        <v>585</v>
      </c>
      <c r="BJ82" s="549">
        <v>0.15</v>
      </c>
      <c r="BK82" s="553"/>
    </row>
    <row r="83" spans="59:63" x14ac:dyDescent="0.25">
      <c r="BG83" s="551"/>
      <c r="BH83" s="6"/>
      <c r="BI83" s="552" t="s">
        <v>524</v>
      </c>
      <c r="BJ83" s="549">
        <v>0.1</v>
      </c>
      <c r="BK83" s="553" t="s">
        <v>526</v>
      </c>
    </row>
    <row r="84" spans="59:63" x14ac:dyDescent="0.25">
      <c r="BG84" s="551" t="s">
        <v>82</v>
      </c>
      <c r="BH84" s="6" t="s">
        <v>36</v>
      </c>
      <c r="BI84" s="552" t="s">
        <v>563</v>
      </c>
      <c r="BJ84" s="549">
        <v>0.84</v>
      </c>
      <c r="BK84" s="553" t="s">
        <v>501</v>
      </c>
    </row>
    <row r="85" spans="59:63" ht="15.75" thickBot="1" x14ac:dyDescent="0.3">
      <c r="BG85" s="551"/>
      <c r="BH85" s="6"/>
      <c r="BI85" s="552" t="s">
        <v>585</v>
      </c>
      <c r="BJ85" s="549">
        <v>0.15</v>
      </c>
      <c r="BK85" s="553"/>
    </row>
    <row r="86" spans="59:63" ht="32.25" thickBot="1" x14ac:dyDescent="0.3">
      <c r="BG86" s="666" t="s">
        <v>586</v>
      </c>
      <c r="BH86" s="667"/>
      <c r="BI86" s="667"/>
      <c r="BJ86" s="667"/>
      <c r="BK86" s="668"/>
    </row>
    <row r="87" spans="59:63" ht="18" customHeight="1" thickBot="1" x14ac:dyDescent="0.3">
      <c r="BG87" s="567" t="s">
        <v>0</v>
      </c>
      <c r="BH87" s="568" t="s">
        <v>497</v>
      </c>
      <c r="BI87" s="568" t="s">
        <v>1</v>
      </c>
      <c r="BJ87" s="538" t="s">
        <v>498</v>
      </c>
      <c r="BK87" s="539" t="s">
        <v>499</v>
      </c>
    </row>
    <row r="88" spans="59:63" ht="22.5" customHeight="1" thickBot="1" x14ac:dyDescent="0.3">
      <c r="BG88" s="533" t="s">
        <v>3</v>
      </c>
      <c r="BH88" s="577"/>
      <c r="BI88" s="577"/>
      <c r="BJ88" s="577"/>
      <c r="BK88" s="637"/>
    </row>
    <row r="89" spans="59:63" x14ac:dyDescent="0.25">
      <c r="BG89" s="546" t="s">
        <v>84</v>
      </c>
      <c r="BH89" s="547" t="s">
        <v>7</v>
      </c>
      <c r="BI89" s="548" t="s">
        <v>85</v>
      </c>
      <c r="BJ89" s="549" t="s">
        <v>503</v>
      </c>
      <c r="BK89" s="550" t="s">
        <v>587</v>
      </c>
    </row>
    <row r="90" spans="59:63" x14ac:dyDescent="0.25">
      <c r="BG90" s="546"/>
      <c r="BH90" s="547"/>
      <c r="BI90" s="548" t="s">
        <v>505</v>
      </c>
      <c r="BJ90" s="549" t="s">
        <v>506</v>
      </c>
      <c r="BK90" s="550" t="s">
        <v>504</v>
      </c>
    </row>
    <row r="91" spans="59:63" x14ac:dyDescent="0.25">
      <c r="BG91" s="551" t="s">
        <v>86</v>
      </c>
      <c r="BH91" s="6" t="s">
        <v>87</v>
      </c>
      <c r="BI91" s="552" t="s">
        <v>85</v>
      </c>
      <c r="BJ91" s="549" t="s">
        <v>588</v>
      </c>
      <c r="BK91" s="553" t="s">
        <v>587</v>
      </c>
    </row>
    <row r="92" spans="59:63" ht="15.75" thickBot="1" x14ac:dyDescent="0.3">
      <c r="BG92" s="551" t="s">
        <v>88</v>
      </c>
      <c r="BH92" s="6" t="s">
        <v>12</v>
      </c>
      <c r="BI92" s="552" t="s">
        <v>85</v>
      </c>
      <c r="BJ92" s="549" t="s">
        <v>589</v>
      </c>
      <c r="BK92" s="553" t="s">
        <v>587</v>
      </c>
    </row>
    <row r="93" spans="59:63" ht="19.5" thickBot="1" x14ac:dyDescent="0.3">
      <c r="BG93" s="533" t="s">
        <v>89</v>
      </c>
      <c r="BH93" s="577"/>
      <c r="BI93" s="577"/>
      <c r="BJ93" s="577"/>
      <c r="BK93" s="637"/>
    </row>
    <row r="94" spans="59:63" x14ac:dyDescent="0.25">
      <c r="BG94" s="551" t="s">
        <v>90</v>
      </c>
      <c r="BH94" s="6" t="s">
        <v>31</v>
      </c>
      <c r="BI94" s="552" t="s">
        <v>91</v>
      </c>
      <c r="BJ94" s="549" t="s">
        <v>533</v>
      </c>
      <c r="BK94" s="553" t="s">
        <v>590</v>
      </c>
    </row>
    <row r="95" spans="59:63" x14ac:dyDescent="0.25">
      <c r="BG95" s="551" t="s">
        <v>92</v>
      </c>
      <c r="BH95" s="6" t="s">
        <v>93</v>
      </c>
      <c r="BI95" s="552" t="s">
        <v>91</v>
      </c>
      <c r="BJ95" s="549" t="s">
        <v>591</v>
      </c>
      <c r="BK95" s="545" t="s">
        <v>590</v>
      </c>
    </row>
    <row r="96" spans="59:63" x14ac:dyDescent="0.25">
      <c r="BG96" s="546" t="s">
        <v>94</v>
      </c>
      <c r="BH96" s="547" t="s">
        <v>95</v>
      </c>
      <c r="BI96" s="548" t="s">
        <v>91</v>
      </c>
      <c r="BJ96" s="549" t="s">
        <v>592</v>
      </c>
      <c r="BK96" s="550" t="s">
        <v>590</v>
      </c>
    </row>
    <row r="97" spans="59:63" x14ac:dyDescent="0.25">
      <c r="BG97" s="551" t="s">
        <v>96</v>
      </c>
      <c r="BH97" s="6" t="s">
        <v>97</v>
      </c>
      <c r="BI97" s="552" t="s">
        <v>91</v>
      </c>
      <c r="BJ97" s="549" t="s">
        <v>593</v>
      </c>
      <c r="BK97" s="553" t="s">
        <v>590</v>
      </c>
    </row>
    <row r="98" spans="59:63" x14ac:dyDescent="0.25">
      <c r="BG98" s="551" t="s">
        <v>98</v>
      </c>
      <c r="BH98" s="6" t="s">
        <v>99</v>
      </c>
      <c r="BI98" s="552" t="s">
        <v>91</v>
      </c>
      <c r="BJ98" s="549" t="s">
        <v>516</v>
      </c>
      <c r="BK98" s="553" t="s">
        <v>590</v>
      </c>
    </row>
    <row r="99" spans="59:63" ht="15.75" thickBot="1" x14ac:dyDescent="0.3">
      <c r="BG99" s="551" t="s">
        <v>100</v>
      </c>
      <c r="BH99" s="6" t="s">
        <v>25</v>
      </c>
      <c r="BI99" s="552" t="s">
        <v>101</v>
      </c>
      <c r="BJ99" s="563" t="s">
        <v>594</v>
      </c>
      <c r="BK99" s="638" t="s">
        <v>595</v>
      </c>
    </row>
    <row r="100" spans="59:63" ht="19.5" thickBot="1" x14ac:dyDescent="0.3">
      <c r="BG100" s="533" t="s">
        <v>76</v>
      </c>
      <c r="BH100" s="577"/>
      <c r="BI100" s="577"/>
      <c r="BJ100" s="577"/>
      <c r="BK100" s="637"/>
    </row>
    <row r="101" spans="59:63" x14ac:dyDescent="0.25">
      <c r="BG101" s="551" t="s">
        <v>102</v>
      </c>
      <c r="BH101" s="6" t="s">
        <v>103</v>
      </c>
      <c r="BI101" s="552" t="s">
        <v>85</v>
      </c>
      <c r="BJ101" s="549" t="s">
        <v>596</v>
      </c>
      <c r="BK101" s="553" t="s">
        <v>587</v>
      </c>
    </row>
    <row r="102" spans="59:63" x14ac:dyDescent="0.25">
      <c r="BG102" s="546" t="s">
        <v>104</v>
      </c>
      <c r="BH102" s="547" t="s">
        <v>105</v>
      </c>
      <c r="BI102" s="548" t="s">
        <v>85</v>
      </c>
      <c r="BJ102" s="549" t="s">
        <v>597</v>
      </c>
      <c r="BK102" s="550" t="s">
        <v>587</v>
      </c>
    </row>
    <row r="103" spans="59:63" ht="15.75" thickBot="1" x14ac:dyDescent="0.3">
      <c r="BG103" s="551" t="s">
        <v>106</v>
      </c>
      <c r="BH103" s="6" t="s">
        <v>107</v>
      </c>
      <c r="BI103" s="552" t="s">
        <v>85</v>
      </c>
      <c r="BJ103" s="549"/>
      <c r="BK103" s="553" t="s">
        <v>587</v>
      </c>
    </row>
    <row r="104" spans="59:63" ht="32.25" thickBot="1" x14ac:dyDescent="0.3">
      <c r="BG104" s="669" t="s">
        <v>598</v>
      </c>
      <c r="BH104" s="670"/>
      <c r="BI104" s="670"/>
      <c r="BJ104" s="670"/>
      <c r="BK104" s="671"/>
    </row>
    <row r="105" spans="59:63" ht="19.5" customHeight="1" thickBot="1" x14ac:dyDescent="0.3">
      <c r="BG105" s="578" t="s">
        <v>0</v>
      </c>
      <c r="BH105" s="579" t="s">
        <v>497</v>
      </c>
      <c r="BI105" s="579" t="s">
        <v>1</v>
      </c>
      <c r="BJ105" s="580" t="s">
        <v>498</v>
      </c>
      <c r="BK105" s="581" t="s">
        <v>499</v>
      </c>
    </row>
    <row r="106" spans="59:63" ht="21.75" customHeight="1" x14ac:dyDescent="0.25">
      <c r="BG106" s="639" t="s">
        <v>109</v>
      </c>
      <c r="BH106" s="582" t="s">
        <v>110</v>
      </c>
      <c r="BI106" s="583" t="s">
        <v>599</v>
      </c>
      <c r="BJ106" s="584">
        <v>0.22</v>
      </c>
      <c r="BK106" s="640" t="s">
        <v>504</v>
      </c>
    </row>
    <row r="107" spans="59:63" x14ac:dyDescent="0.25">
      <c r="BG107" s="542"/>
      <c r="BH107" s="585"/>
      <c r="BI107" s="586" t="s">
        <v>600</v>
      </c>
      <c r="BJ107" s="587"/>
      <c r="BK107" s="641"/>
    </row>
    <row r="108" spans="59:63" x14ac:dyDescent="0.25">
      <c r="BG108" s="542"/>
      <c r="BH108" s="585"/>
      <c r="BI108" s="588" t="s">
        <v>601</v>
      </c>
      <c r="BJ108" s="587"/>
      <c r="BK108" s="641"/>
    </row>
    <row r="109" spans="59:63" x14ac:dyDescent="0.25">
      <c r="BG109" s="551" t="s">
        <v>111</v>
      </c>
      <c r="BH109" s="589" t="s">
        <v>112</v>
      </c>
      <c r="BI109" s="590" t="s">
        <v>599</v>
      </c>
      <c r="BJ109" s="591" t="s">
        <v>602</v>
      </c>
      <c r="BK109" s="638" t="s">
        <v>504</v>
      </c>
    </row>
    <row r="110" spans="59:63" x14ac:dyDescent="0.25">
      <c r="BG110" s="551"/>
      <c r="BH110" s="6"/>
      <c r="BI110" s="561" t="s">
        <v>600</v>
      </c>
      <c r="BJ110" s="592"/>
      <c r="BK110" s="638"/>
    </row>
    <row r="111" spans="59:63" x14ac:dyDescent="0.25">
      <c r="BG111" s="551"/>
      <c r="BH111" s="6"/>
      <c r="BI111" s="588" t="s">
        <v>601</v>
      </c>
      <c r="BJ111" s="592"/>
      <c r="BK111" s="638"/>
    </row>
    <row r="112" spans="59:63" x14ac:dyDescent="0.25">
      <c r="BG112" s="551" t="s">
        <v>113</v>
      </c>
      <c r="BH112" s="6" t="s">
        <v>114</v>
      </c>
      <c r="BI112" s="548" t="s">
        <v>6</v>
      </c>
      <c r="BJ112" s="544">
        <v>0.04</v>
      </c>
      <c r="BK112" s="553" t="s">
        <v>501</v>
      </c>
    </row>
    <row r="113" spans="59:63" x14ac:dyDescent="0.25">
      <c r="BG113" s="554"/>
      <c r="BH113" s="7"/>
      <c r="BI113" s="555" t="s">
        <v>537</v>
      </c>
      <c r="BJ113" s="556">
        <v>0.03</v>
      </c>
      <c r="BK113" s="558" t="s">
        <v>539</v>
      </c>
    </row>
    <row r="114" spans="59:63" x14ac:dyDescent="0.25">
      <c r="BG114" s="551" t="s">
        <v>115</v>
      </c>
      <c r="BH114" s="6" t="s">
        <v>603</v>
      </c>
      <c r="BI114" s="548" t="s">
        <v>116</v>
      </c>
      <c r="BJ114" s="548"/>
      <c r="BK114" s="553"/>
    </row>
    <row r="115" spans="59:63" x14ac:dyDescent="0.25">
      <c r="BG115" s="554"/>
      <c r="BH115" s="7"/>
      <c r="BI115" s="555" t="s">
        <v>604</v>
      </c>
      <c r="BJ115" s="556"/>
      <c r="BK115" s="558"/>
    </row>
    <row r="116" spans="59:63" x14ac:dyDescent="0.25">
      <c r="BG116" s="554"/>
      <c r="BH116" s="7"/>
      <c r="BI116" s="556" t="s">
        <v>605</v>
      </c>
      <c r="BJ116" s="556"/>
      <c r="BK116" s="558"/>
    </row>
    <row r="117" spans="59:63" x14ac:dyDescent="0.25">
      <c r="BG117" s="554" t="s">
        <v>117</v>
      </c>
      <c r="BH117" s="7" t="s">
        <v>118</v>
      </c>
      <c r="BI117" s="555" t="s">
        <v>119</v>
      </c>
      <c r="BJ117" s="556">
        <v>0.7</v>
      </c>
      <c r="BK117" s="558" t="s">
        <v>504</v>
      </c>
    </row>
    <row r="118" spans="59:63" x14ac:dyDescent="0.25">
      <c r="BG118" s="642"/>
      <c r="BH118" s="593"/>
      <c r="BI118" s="594" t="s">
        <v>606</v>
      </c>
      <c r="BJ118" s="595"/>
      <c r="BK118" s="643"/>
    </row>
    <row r="119" spans="59:63" x14ac:dyDescent="0.25">
      <c r="BG119" s="630"/>
      <c r="BH119" s="565"/>
      <c r="BI119" s="596" t="s">
        <v>607</v>
      </c>
      <c r="BJ119" s="596"/>
      <c r="BK119" s="633"/>
    </row>
    <row r="120" spans="59:63" ht="15.75" thickBot="1" x14ac:dyDescent="0.3">
      <c r="BG120" s="644" t="s">
        <v>120</v>
      </c>
      <c r="BH120" s="597" t="s">
        <v>121</v>
      </c>
      <c r="BI120" s="598" t="s">
        <v>49</v>
      </c>
      <c r="BJ120" s="599">
        <v>0.2</v>
      </c>
      <c r="BK120" s="645" t="s">
        <v>504</v>
      </c>
    </row>
    <row r="121" spans="59:63" ht="32.25" thickBot="1" x14ac:dyDescent="0.3">
      <c r="BG121" s="672" t="s">
        <v>608</v>
      </c>
      <c r="BH121" s="673"/>
      <c r="BI121" s="673"/>
      <c r="BJ121" s="673"/>
      <c r="BK121" s="674"/>
    </row>
    <row r="122" spans="59:63" ht="19.5" customHeight="1" thickBot="1" x14ac:dyDescent="0.3">
      <c r="BG122" s="567" t="s">
        <v>0</v>
      </c>
      <c r="BH122" s="568" t="s">
        <v>497</v>
      </c>
      <c r="BI122" s="568" t="s">
        <v>1</v>
      </c>
      <c r="BJ122" s="538" t="s">
        <v>498</v>
      </c>
      <c r="BK122" s="539" t="s">
        <v>499</v>
      </c>
    </row>
    <row r="123" spans="59:63" ht="21" customHeight="1" thickBot="1" x14ac:dyDescent="0.3">
      <c r="BG123" s="536" t="s">
        <v>3</v>
      </c>
      <c r="BH123" s="600"/>
      <c r="BI123" s="600"/>
      <c r="BJ123" s="600"/>
      <c r="BK123" s="646"/>
    </row>
    <row r="124" spans="59:63" x14ac:dyDescent="0.25">
      <c r="BG124" s="551" t="s">
        <v>123</v>
      </c>
      <c r="BH124" s="647" t="s">
        <v>124</v>
      </c>
      <c r="BI124" s="552" t="s">
        <v>609</v>
      </c>
      <c r="BJ124" s="549">
        <v>1.1499999999999999</v>
      </c>
      <c r="BK124" s="553" t="s">
        <v>501</v>
      </c>
    </row>
    <row r="125" spans="59:63" x14ac:dyDescent="0.25">
      <c r="BG125" s="601"/>
      <c r="BH125" s="602" t="s">
        <v>610</v>
      </c>
      <c r="BI125" s="603" t="s">
        <v>611</v>
      </c>
      <c r="BJ125" s="549">
        <v>0.5</v>
      </c>
      <c r="BK125" s="553"/>
    </row>
    <row r="126" spans="59:63" x14ac:dyDescent="0.25">
      <c r="BG126" s="546" t="s">
        <v>125</v>
      </c>
      <c r="BH126" s="604" t="s">
        <v>126</v>
      </c>
      <c r="BI126" s="548" t="s">
        <v>612</v>
      </c>
      <c r="BJ126" s="549"/>
      <c r="BK126" s="550" t="s">
        <v>613</v>
      </c>
    </row>
    <row r="127" spans="59:63" x14ac:dyDescent="0.25">
      <c r="BG127" s="546"/>
      <c r="BH127" s="547"/>
      <c r="BI127" s="548" t="s">
        <v>614</v>
      </c>
      <c r="BJ127" s="549"/>
      <c r="BK127" s="550" t="s">
        <v>504</v>
      </c>
    </row>
    <row r="128" spans="59:63" ht="15.75" thickBot="1" x14ac:dyDescent="0.3">
      <c r="BG128" s="605"/>
      <c r="BH128" s="606"/>
      <c r="BI128" s="555" t="s">
        <v>615</v>
      </c>
      <c r="BJ128" s="556"/>
      <c r="BK128" s="607" t="s">
        <v>558</v>
      </c>
    </row>
    <row r="129" spans="59:63" ht="19.5" thickBot="1" x14ac:dyDescent="0.3">
      <c r="BG129" s="648" t="s">
        <v>89</v>
      </c>
      <c r="BH129" s="608"/>
      <c r="BI129" s="608"/>
      <c r="BJ129" s="608"/>
      <c r="BK129" s="649"/>
    </row>
    <row r="130" spans="59:63" ht="15.75" x14ac:dyDescent="0.25">
      <c r="BG130" s="13" t="s">
        <v>127</v>
      </c>
      <c r="BH130" s="609" t="s">
        <v>128</v>
      </c>
      <c r="BI130" s="610" t="s">
        <v>575</v>
      </c>
      <c r="BJ130" s="544">
        <v>0.5</v>
      </c>
      <c r="BK130" s="562" t="s">
        <v>567</v>
      </c>
    </row>
    <row r="131" spans="59:63" ht="15.75" x14ac:dyDescent="0.25">
      <c r="BG131" s="611"/>
      <c r="BH131" s="612"/>
      <c r="BI131" s="613" t="s">
        <v>577</v>
      </c>
      <c r="BJ131" s="549" t="s">
        <v>616</v>
      </c>
      <c r="BK131" s="553"/>
    </row>
    <row r="132" spans="59:63" ht="15.75" x14ac:dyDescent="0.25">
      <c r="BG132" s="611"/>
      <c r="BH132" s="612"/>
      <c r="BI132" s="613" t="s">
        <v>19</v>
      </c>
      <c r="BJ132" s="549" t="s">
        <v>617</v>
      </c>
      <c r="BK132" s="553" t="s">
        <v>517</v>
      </c>
    </row>
    <row r="133" spans="59:63" ht="31.5" x14ac:dyDescent="0.25">
      <c r="BG133" s="611" t="s">
        <v>129</v>
      </c>
      <c r="BH133" s="612" t="s">
        <v>130</v>
      </c>
      <c r="BI133" s="614" t="s">
        <v>575</v>
      </c>
      <c r="BJ133" s="549">
        <v>0.7</v>
      </c>
      <c r="BK133" s="562" t="s">
        <v>567</v>
      </c>
    </row>
    <row r="134" spans="59:63" ht="17.25" customHeight="1" x14ac:dyDescent="0.25">
      <c r="BG134" s="611"/>
      <c r="BH134" s="612"/>
      <c r="BI134" s="613" t="s">
        <v>577</v>
      </c>
      <c r="BJ134" s="549">
        <v>0.1</v>
      </c>
      <c r="BK134" s="550"/>
    </row>
    <row r="135" spans="59:63" ht="15.75" x14ac:dyDescent="0.25">
      <c r="BG135" s="611"/>
      <c r="BH135" s="612"/>
      <c r="BI135" s="613" t="s">
        <v>19</v>
      </c>
      <c r="BJ135" s="549" t="s">
        <v>617</v>
      </c>
      <c r="BK135" s="550" t="s">
        <v>517</v>
      </c>
    </row>
    <row r="136" spans="59:63" ht="15.75" x14ac:dyDescent="0.25">
      <c r="BG136" s="611" t="s">
        <v>131</v>
      </c>
      <c r="BH136" s="612" t="s">
        <v>132</v>
      </c>
      <c r="BI136" s="614" t="s">
        <v>575</v>
      </c>
      <c r="BJ136" s="549">
        <v>0.62</v>
      </c>
      <c r="BK136" s="562" t="s">
        <v>567</v>
      </c>
    </row>
    <row r="137" spans="59:63" ht="15.75" x14ac:dyDescent="0.25">
      <c r="BG137" s="611"/>
      <c r="BH137" s="612"/>
      <c r="BI137" s="613" t="s">
        <v>577</v>
      </c>
      <c r="BJ137" s="549">
        <v>0.12</v>
      </c>
      <c r="BK137" s="550"/>
    </row>
    <row r="138" spans="59:63" ht="15.75" x14ac:dyDescent="0.25">
      <c r="BG138" s="611"/>
      <c r="BH138" s="612"/>
      <c r="BI138" s="613" t="s">
        <v>19</v>
      </c>
      <c r="BJ138" s="549" t="s">
        <v>617</v>
      </c>
      <c r="BK138" s="550" t="s">
        <v>517</v>
      </c>
    </row>
    <row r="139" spans="59:63" ht="30" x14ac:dyDescent="0.25">
      <c r="BG139" s="611" t="s">
        <v>133</v>
      </c>
      <c r="BH139" s="615" t="s">
        <v>134</v>
      </c>
      <c r="BI139" s="603" t="s">
        <v>575</v>
      </c>
      <c r="BJ139" s="549">
        <v>0.8</v>
      </c>
      <c r="BK139" s="562" t="s">
        <v>567</v>
      </c>
    </row>
    <row r="140" spans="59:63" ht="18" customHeight="1" x14ac:dyDescent="0.25">
      <c r="BG140" s="473"/>
      <c r="BH140" s="560"/>
      <c r="BI140" s="548" t="s">
        <v>577</v>
      </c>
      <c r="BJ140" s="549" t="s">
        <v>618</v>
      </c>
      <c r="BK140" s="550"/>
    </row>
    <row r="141" spans="59:63" x14ac:dyDescent="0.25">
      <c r="BG141" s="605"/>
      <c r="BH141" s="606"/>
      <c r="BI141" s="555" t="s">
        <v>19</v>
      </c>
      <c r="BJ141" s="556" t="s">
        <v>619</v>
      </c>
      <c r="BK141" s="650" t="s">
        <v>517</v>
      </c>
    </row>
    <row r="142" spans="59:63" x14ac:dyDescent="0.25">
      <c r="BG142" s="546" t="s">
        <v>135</v>
      </c>
      <c r="BH142" s="616" t="s">
        <v>620</v>
      </c>
      <c r="BI142" s="548" t="s">
        <v>91</v>
      </c>
      <c r="BJ142" s="549" t="s">
        <v>621</v>
      </c>
      <c r="BK142" s="550" t="s">
        <v>590</v>
      </c>
    </row>
    <row r="143" spans="59:63" x14ac:dyDescent="0.25">
      <c r="BG143" s="546" t="s">
        <v>136</v>
      </c>
      <c r="BH143" s="617" t="s">
        <v>137</v>
      </c>
      <c r="BI143" s="548" t="s">
        <v>138</v>
      </c>
      <c r="BJ143" s="549">
        <v>1.58</v>
      </c>
      <c r="BK143" s="550" t="s">
        <v>532</v>
      </c>
    </row>
    <row r="144" spans="59:63" ht="29.25" thickBot="1" x14ac:dyDescent="0.3">
      <c r="BG144" s="546" t="s">
        <v>139</v>
      </c>
      <c r="BH144" s="618" t="s">
        <v>140</v>
      </c>
      <c r="BI144" s="548" t="s">
        <v>138</v>
      </c>
      <c r="BJ144" s="549">
        <v>1.36</v>
      </c>
      <c r="BK144" s="550" t="s">
        <v>532</v>
      </c>
    </row>
    <row r="145" spans="59:63" ht="17.25" customHeight="1" thickBot="1" x14ac:dyDescent="0.3">
      <c r="BG145" s="619" t="s">
        <v>76</v>
      </c>
      <c r="BH145" s="620"/>
      <c r="BI145" s="620"/>
      <c r="BJ145" s="620"/>
      <c r="BK145" s="651"/>
    </row>
    <row r="146" spans="59:63" x14ac:dyDescent="0.25">
      <c r="BG146" s="621" t="s">
        <v>141</v>
      </c>
      <c r="BH146" s="622" t="s">
        <v>622</v>
      </c>
      <c r="BI146" s="623" t="s">
        <v>6</v>
      </c>
      <c r="BJ146" s="623" t="s">
        <v>623</v>
      </c>
      <c r="BK146" s="652" t="s">
        <v>501</v>
      </c>
    </row>
    <row r="147" spans="59:63" ht="15.75" thickBot="1" x14ac:dyDescent="0.3">
      <c r="BG147" s="624" t="s">
        <v>142</v>
      </c>
      <c r="BH147" s="625" t="s">
        <v>142</v>
      </c>
      <c r="BI147" s="626" t="s">
        <v>143</v>
      </c>
      <c r="BJ147" s="627"/>
      <c r="BK147" s="653"/>
    </row>
  </sheetData>
  <mergeCells count="23">
    <mergeCell ref="A54:W54"/>
    <mergeCell ref="A61:W61"/>
    <mergeCell ref="A65:W65"/>
    <mergeCell ref="A66:W66"/>
    <mergeCell ref="A69:W69"/>
    <mergeCell ref="AA2:AW2"/>
    <mergeCell ref="A50:W50"/>
    <mergeCell ref="A2:W2"/>
    <mergeCell ref="A3:W3"/>
    <mergeCell ref="A8:W8"/>
    <mergeCell ref="A18:W18"/>
    <mergeCell ref="A27:W27"/>
    <mergeCell ref="A31:W31"/>
    <mergeCell ref="A34:W34"/>
    <mergeCell ref="A35:W35"/>
    <mergeCell ref="A39:W39"/>
    <mergeCell ref="A43:W43"/>
    <mergeCell ref="A49:W49"/>
    <mergeCell ref="BG1:BK1"/>
    <mergeCell ref="BG53:BK53"/>
    <mergeCell ref="BG86:BK86"/>
    <mergeCell ref="BG104:BK104"/>
    <mergeCell ref="BG121:BK121"/>
  </mergeCell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L15"/>
  <sheetViews>
    <sheetView zoomScale="90" zoomScaleNormal="90" workbookViewId="0">
      <pane ySplit="1" topLeftCell="A2" activePane="bottomLeft" state="frozen"/>
      <selection pane="bottomLeft" activeCell="A16" sqref="A16:K16"/>
    </sheetView>
  </sheetViews>
  <sheetFormatPr baseColWidth="10" defaultRowHeight="15" x14ac:dyDescent="0.25"/>
  <cols>
    <col min="1" max="1" width="11.42578125" style="236"/>
    <col min="3" max="3" width="13.7109375" customWidth="1"/>
    <col min="4" max="4" width="8.85546875" style="236" bestFit="1" customWidth="1"/>
    <col min="5" max="5" width="12.85546875" style="236" bestFit="1" customWidth="1"/>
    <col min="6" max="6" width="15.140625" style="236" bestFit="1" customWidth="1"/>
    <col min="7" max="7" width="15" style="236" bestFit="1" customWidth="1"/>
    <col min="8" max="8" width="18.5703125" style="236" bestFit="1" customWidth="1"/>
    <col min="9" max="9" width="11.42578125" style="236"/>
    <col min="10" max="10" width="9.28515625" bestFit="1" customWidth="1"/>
    <col min="11" max="11" width="13.5703125" bestFit="1" customWidth="1"/>
  </cols>
  <sheetData>
    <row r="1" spans="1:12" x14ac:dyDescent="0.25">
      <c r="A1" s="69" t="s">
        <v>262</v>
      </c>
      <c r="B1" s="229" t="s">
        <v>236</v>
      </c>
      <c r="C1" s="229" t="s">
        <v>257</v>
      </c>
      <c r="D1" s="280" t="s">
        <v>258</v>
      </c>
      <c r="E1" s="280" t="s">
        <v>259</v>
      </c>
      <c r="F1" s="227" t="s">
        <v>260</v>
      </c>
      <c r="G1" s="280" t="s">
        <v>261</v>
      </c>
      <c r="H1" s="280" t="s">
        <v>425</v>
      </c>
      <c r="I1" s="280" t="s">
        <v>263</v>
      </c>
      <c r="J1" s="229" t="s">
        <v>390</v>
      </c>
      <c r="K1" s="427" t="s">
        <v>264</v>
      </c>
      <c r="L1" s="428"/>
    </row>
    <row r="2" spans="1:12" x14ac:dyDescent="0.25">
      <c r="A2" s="490" t="s">
        <v>446</v>
      </c>
      <c r="B2" t="s">
        <v>256</v>
      </c>
      <c r="C2" t="s">
        <v>420</v>
      </c>
      <c r="D2" s="236">
        <v>27</v>
      </c>
      <c r="E2" s="236" t="s">
        <v>416</v>
      </c>
      <c r="F2" s="236" t="s">
        <v>417</v>
      </c>
      <c r="G2" s="236" t="s">
        <v>403</v>
      </c>
      <c r="H2" s="236" t="s">
        <v>416</v>
      </c>
      <c r="I2" s="236">
        <v>3</v>
      </c>
      <c r="J2" s="236" t="s">
        <v>381</v>
      </c>
      <c r="K2" t="s">
        <v>419</v>
      </c>
    </row>
    <row r="3" spans="1:12" x14ac:dyDescent="0.25">
      <c r="A3" s="490" t="s">
        <v>447</v>
      </c>
      <c r="B3" t="s">
        <v>254</v>
      </c>
      <c r="C3" t="s">
        <v>422</v>
      </c>
      <c r="D3" s="236" t="s">
        <v>423</v>
      </c>
      <c r="E3" s="236" t="s">
        <v>416</v>
      </c>
      <c r="F3" s="236" t="s">
        <v>417</v>
      </c>
      <c r="G3" s="236" t="s">
        <v>403</v>
      </c>
      <c r="H3" s="236" t="s">
        <v>416</v>
      </c>
      <c r="I3" s="236">
        <v>4</v>
      </c>
      <c r="J3" s="236" t="s">
        <v>382</v>
      </c>
      <c r="K3" t="s">
        <v>419</v>
      </c>
    </row>
    <row r="4" spans="1:12" x14ac:dyDescent="0.25">
      <c r="A4" s="490" t="s">
        <v>448</v>
      </c>
      <c r="B4" t="s">
        <v>253</v>
      </c>
      <c r="C4" t="s">
        <v>426</v>
      </c>
      <c r="D4" s="236" t="s">
        <v>427</v>
      </c>
      <c r="E4" s="236" t="s">
        <v>416</v>
      </c>
      <c r="F4" s="236" t="s">
        <v>417</v>
      </c>
      <c r="G4" s="236" t="s">
        <v>403</v>
      </c>
      <c r="H4" s="236" t="s">
        <v>416</v>
      </c>
      <c r="I4" s="236">
        <v>6</v>
      </c>
      <c r="K4" t="s">
        <v>409</v>
      </c>
    </row>
    <row r="5" spans="1:12" x14ac:dyDescent="0.25">
      <c r="A5" s="490" t="s">
        <v>449</v>
      </c>
      <c r="C5" t="s">
        <v>429</v>
      </c>
      <c r="D5" s="236" t="s">
        <v>281</v>
      </c>
      <c r="E5" s="236" t="s">
        <v>416</v>
      </c>
      <c r="F5" s="236" t="s">
        <v>417</v>
      </c>
      <c r="G5" s="236" t="s">
        <v>281</v>
      </c>
      <c r="H5" s="236" t="s">
        <v>416</v>
      </c>
      <c r="J5" t="s">
        <v>281</v>
      </c>
      <c r="K5" t="s">
        <v>419</v>
      </c>
    </row>
    <row r="6" spans="1:12" x14ac:dyDescent="0.25">
      <c r="A6" s="490" t="s">
        <v>450</v>
      </c>
      <c r="B6" t="s">
        <v>255</v>
      </c>
      <c r="C6" t="s">
        <v>431</v>
      </c>
      <c r="D6" s="236" t="s">
        <v>281</v>
      </c>
      <c r="E6" s="236" t="s">
        <v>416</v>
      </c>
      <c r="F6" s="236" t="s">
        <v>417</v>
      </c>
      <c r="G6" s="236" t="s">
        <v>281</v>
      </c>
      <c r="H6" s="236" t="s">
        <v>416</v>
      </c>
      <c r="J6" t="s">
        <v>281</v>
      </c>
      <c r="K6" t="s">
        <v>419</v>
      </c>
    </row>
    <row r="7" spans="1:12" x14ac:dyDescent="0.25">
      <c r="A7" s="490" t="s">
        <v>440</v>
      </c>
      <c r="C7" t="s">
        <v>443</v>
      </c>
      <c r="D7" s="236" t="s">
        <v>281</v>
      </c>
      <c r="E7" s="236" t="s">
        <v>441</v>
      </c>
      <c r="F7" s="236" t="s">
        <v>442</v>
      </c>
      <c r="G7" s="236" t="s">
        <v>281</v>
      </c>
      <c r="H7" s="236" t="s">
        <v>441</v>
      </c>
      <c r="J7" t="s">
        <v>281</v>
      </c>
      <c r="K7" t="s">
        <v>409</v>
      </c>
    </row>
    <row r="8" spans="1:12" x14ac:dyDescent="0.25">
      <c r="A8" s="490" t="s">
        <v>444</v>
      </c>
      <c r="C8" t="s">
        <v>445</v>
      </c>
      <c r="D8" s="236" t="s">
        <v>281</v>
      </c>
      <c r="E8" s="236" t="s">
        <v>441</v>
      </c>
      <c r="F8" s="236" t="s">
        <v>442</v>
      </c>
      <c r="G8" s="236" t="s">
        <v>281</v>
      </c>
      <c r="H8" s="236" t="s">
        <v>441</v>
      </c>
      <c r="J8" t="s">
        <v>281</v>
      </c>
      <c r="K8" t="s">
        <v>409</v>
      </c>
    </row>
    <row r="9" spans="1:12" x14ac:dyDescent="0.25">
      <c r="A9" s="490" t="s">
        <v>455</v>
      </c>
      <c r="C9" t="s">
        <v>472</v>
      </c>
      <c r="D9" s="236" t="s">
        <v>281</v>
      </c>
      <c r="E9" s="236" t="s">
        <v>441</v>
      </c>
      <c r="F9" s="236" t="s">
        <v>442</v>
      </c>
      <c r="G9" s="236" t="s">
        <v>281</v>
      </c>
      <c r="H9" s="236" t="s">
        <v>441</v>
      </c>
      <c r="J9" t="s">
        <v>281</v>
      </c>
      <c r="K9" t="s">
        <v>419</v>
      </c>
    </row>
    <row r="10" spans="1:12" x14ac:dyDescent="0.25">
      <c r="A10" s="490" t="s">
        <v>475</v>
      </c>
      <c r="B10" t="s">
        <v>256</v>
      </c>
      <c r="C10" t="s">
        <v>255</v>
      </c>
      <c r="D10" s="236" t="s">
        <v>477</v>
      </c>
      <c r="E10" s="236" t="s">
        <v>474</v>
      </c>
      <c r="F10" s="236" t="s">
        <v>476</v>
      </c>
      <c r="G10" s="236" t="s">
        <v>403</v>
      </c>
      <c r="H10" s="236" t="s">
        <v>474</v>
      </c>
      <c r="J10" t="s">
        <v>382</v>
      </c>
      <c r="K10" t="s">
        <v>419</v>
      </c>
    </row>
    <row r="11" spans="1:12" x14ac:dyDescent="0.25">
      <c r="A11" s="490" t="s">
        <v>478</v>
      </c>
      <c r="D11" s="236" t="s">
        <v>281</v>
      </c>
      <c r="E11" s="236" t="s">
        <v>479</v>
      </c>
      <c r="F11" s="236" t="s">
        <v>480</v>
      </c>
      <c r="G11" s="236" t="s">
        <v>281</v>
      </c>
      <c r="H11" s="236" t="s">
        <v>479</v>
      </c>
      <c r="J11" t="s">
        <v>281</v>
      </c>
      <c r="K11" t="s">
        <v>419</v>
      </c>
    </row>
    <row r="12" spans="1:12" x14ac:dyDescent="0.25">
      <c r="A12" s="490" t="s">
        <v>481</v>
      </c>
      <c r="E12" s="490" t="s">
        <v>482</v>
      </c>
      <c r="F12" s="490" t="s">
        <v>483</v>
      </c>
      <c r="H12" s="490" t="s">
        <v>482</v>
      </c>
      <c r="K12" t="s">
        <v>419</v>
      </c>
    </row>
    <row r="13" spans="1:12" x14ac:dyDescent="0.25">
      <c r="A13" s="490" t="s">
        <v>485</v>
      </c>
      <c r="D13" s="490" t="s">
        <v>281</v>
      </c>
      <c r="E13" s="490" t="s">
        <v>486</v>
      </c>
      <c r="F13" s="490" t="s">
        <v>487</v>
      </c>
      <c r="G13" s="490" t="s">
        <v>281</v>
      </c>
      <c r="H13" s="490" t="s">
        <v>486</v>
      </c>
      <c r="I13" s="490"/>
      <c r="J13" t="s">
        <v>281</v>
      </c>
      <c r="K13" t="s">
        <v>409</v>
      </c>
    </row>
    <row r="14" spans="1:12" x14ac:dyDescent="0.25">
      <c r="A14" s="236" t="s">
        <v>488</v>
      </c>
      <c r="C14" t="s">
        <v>489</v>
      </c>
      <c r="D14" s="236" t="s">
        <v>281</v>
      </c>
      <c r="E14" s="236" t="s">
        <v>486</v>
      </c>
      <c r="F14" s="236" t="s">
        <v>487</v>
      </c>
      <c r="G14" s="236" t="s">
        <v>281</v>
      </c>
      <c r="H14" s="236" t="s">
        <v>486</v>
      </c>
      <c r="J14" t="s">
        <v>281</v>
      </c>
      <c r="K14" t="s">
        <v>409</v>
      </c>
    </row>
    <row r="15" spans="1:12" x14ac:dyDescent="0.25">
      <c r="A15" s="236" t="s">
        <v>490</v>
      </c>
      <c r="C15" t="s">
        <v>426</v>
      </c>
      <c r="D15" s="236" t="s">
        <v>281</v>
      </c>
      <c r="E15" s="236" t="s">
        <v>491</v>
      </c>
      <c r="F15" s="236" t="s">
        <v>492</v>
      </c>
      <c r="G15" s="236" t="s">
        <v>281</v>
      </c>
      <c r="H15" s="236" t="s">
        <v>491</v>
      </c>
      <c r="J15" t="s">
        <v>281</v>
      </c>
      <c r="K15" t="s">
        <v>409</v>
      </c>
    </row>
  </sheetData>
  <conditionalFormatting sqref="A1:XFD1048576">
    <cfRule type="containsText" dxfId="9" priority="2" operator="containsText" text="*">
      <formula>NOT(ISERROR(SEARCH("*",A1)))</formula>
    </cfRule>
    <cfRule type="cellIs" dxfId="8" priority="3" operator="greaterThan">
      <formula>"*"</formula>
    </cfRule>
    <cfRule type="containsText" dxfId="7" priority="4" operator="containsText" text="*">
      <formula>NOT(ISERROR(SEARCH("*",A1)))</formula>
    </cfRule>
    <cfRule type="containsText" dxfId="6" priority="5" operator="containsText" text="*">
      <formula>NOT(ISERROR(SEARCH("*",A1)))</formula>
    </cfRule>
  </conditionalFormatting>
  <conditionalFormatting sqref="A1:XFD1">
    <cfRule type="containsText" dxfId="5" priority="1" operator="containsText" text="*">
      <formula>NOT(ISERROR(SEARCH("*",A1)))</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I18"/>
  <sheetViews>
    <sheetView zoomScale="90" zoomScaleNormal="90" workbookViewId="0">
      <selection activeCell="K22" sqref="K22"/>
    </sheetView>
  </sheetViews>
  <sheetFormatPr baseColWidth="10" defaultRowHeight="15" x14ac:dyDescent="0.25"/>
  <cols>
    <col min="2" max="2" width="11.42578125" style="195"/>
    <col min="3" max="3" width="9.28515625" style="192" customWidth="1"/>
    <col min="4" max="4" width="28.42578125" customWidth="1"/>
    <col min="5" max="5" width="31.7109375" style="236" customWidth="1"/>
    <col min="6" max="6" width="8.7109375" style="67" customWidth="1"/>
    <col min="7" max="7" width="24.140625" customWidth="1"/>
    <col min="8" max="8" width="11.42578125" style="192"/>
  </cols>
  <sheetData>
    <row r="1" spans="1:9" s="193" customFormat="1" ht="15.75" thickBot="1" x14ac:dyDescent="0.3">
      <c r="A1" s="231" t="s">
        <v>370</v>
      </c>
      <c r="B1" s="232" t="s">
        <v>379</v>
      </c>
      <c r="C1" s="231" t="s">
        <v>372</v>
      </c>
      <c r="D1" s="234" t="s">
        <v>375</v>
      </c>
      <c r="E1" s="231" t="s">
        <v>376</v>
      </c>
      <c r="F1" s="233" t="s">
        <v>377</v>
      </c>
      <c r="G1" s="231" t="s">
        <v>378</v>
      </c>
      <c r="H1" s="230" t="s">
        <v>362</v>
      </c>
      <c r="I1" s="194" t="s">
        <v>380</v>
      </c>
    </row>
    <row r="2" spans="1:9" x14ac:dyDescent="0.25">
      <c r="B2" s="195" t="s">
        <v>474</v>
      </c>
      <c r="C2" s="192">
        <v>60</v>
      </c>
      <c r="D2" t="s">
        <v>301</v>
      </c>
      <c r="E2" s="236" t="s">
        <v>352</v>
      </c>
      <c r="F2" s="67">
        <v>48</v>
      </c>
      <c r="G2" t="s">
        <v>281</v>
      </c>
      <c r="H2" s="192" t="s">
        <v>281</v>
      </c>
      <c r="I2" t="s">
        <v>281</v>
      </c>
    </row>
    <row r="3" spans="1:9" x14ac:dyDescent="0.25">
      <c r="B3" s="195" t="s">
        <v>474</v>
      </c>
      <c r="C3" s="192">
        <v>4</v>
      </c>
      <c r="D3" t="s">
        <v>387</v>
      </c>
      <c r="E3" s="236" t="s">
        <v>347</v>
      </c>
      <c r="G3" t="s">
        <v>281</v>
      </c>
      <c r="H3" s="192" t="s">
        <v>241</v>
      </c>
      <c r="I3" t="s">
        <v>281</v>
      </c>
    </row>
    <row r="9" spans="1:9" x14ac:dyDescent="0.25">
      <c r="I9" t="s">
        <v>281</v>
      </c>
    </row>
    <row r="10" spans="1:9" x14ac:dyDescent="0.25">
      <c r="I10" t="s">
        <v>281</v>
      </c>
    </row>
    <row r="11" spans="1:9" x14ac:dyDescent="0.25">
      <c r="I11" t="s">
        <v>281</v>
      </c>
    </row>
    <row r="12" spans="1:9" x14ac:dyDescent="0.25">
      <c r="I12" t="s">
        <v>281</v>
      </c>
    </row>
    <row r="13" spans="1:9" x14ac:dyDescent="0.25">
      <c r="I13" t="s">
        <v>281</v>
      </c>
    </row>
    <row r="14" spans="1:9" x14ac:dyDescent="0.25">
      <c r="I14" t="s">
        <v>281</v>
      </c>
    </row>
    <row r="15" spans="1:9" x14ac:dyDescent="0.25">
      <c r="I15" t="s">
        <v>281</v>
      </c>
    </row>
    <row r="16" spans="1:9" x14ac:dyDescent="0.25">
      <c r="I16" t="s">
        <v>281</v>
      </c>
    </row>
    <row r="17" spans="9:9" x14ac:dyDescent="0.25">
      <c r="I17" t="s">
        <v>281</v>
      </c>
    </row>
    <row r="18" spans="9:9" x14ac:dyDescent="0.25">
      <c r="I18" t="s">
        <v>281</v>
      </c>
    </row>
  </sheetData>
  <conditionalFormatting sqref="A1:XFD1048576">
    <cfRule type="containsText" dxfId="4" priority="2" operator="containsText" text="*">
      <formula>NOT(ISERROR(SEARCH("*",A1)))</formula>
    </cfRule>
  </conditionalFormatting>
  <conditionalFormatting sqref="A1:XFD1">
    <cfRule type="containsText" dxfId="3" priority="1" operator="containsText" text="*">
      <formula>NOT(ISERROR(SEARCH("*",A1)))</formula>
    </cfRule>
  </conditionalFormatting>
  <pageMargins left="0.7" right="0.7" top="0.75" bottom="0.75" header="0.3" footer="0.3"/>
  <pageSetup orientation="portrait" horizontalDpi="4294967293" vertic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B1:CO257"/>
  <sheetViews>
    <sheetView topLeftCell="R1" zoomScale="80" zoomScaleNormal="80" workbookViewId="0">
      <selection activeCell="W3" sqref="W3"/>
    </sheetView>
  </sheetViews>
  <sheetFormatPr baseColWidth="10" defaultRowHeight="15" x14ac:dyDescent="0.25"/>
  <cols>
    <col min="1" max="1" width="3.140625" customWidth="1"/>
    <col min="2" max="2" width="26.42578125" customWidth="1"/>
    <col min="4" max="4" width="11.7109375" customWidth="1"/>
    <col min="7" max="7" width="12.28515625" customWidth="1"/>
    <col min="8" max="8" width="6.7109375" customWidth="1"/>
    <col min="10" max="10" width="12" customWidth="1"/>
    <col min="11" max="11" width="12.42578125" customWidth="1"/>
    <col min="13" max="13" width="5.42578125" customWidth="1"/>
    <col min="14" max="14" width="14.42578125" customWidth="1"/>
    <col min="15" max="15" width="7.42578125" customWidth="1"/>
    <col min="16" max="16" width="25.42578125" customWidth="1"/>
    <col min="17" max="17" width="13.5703125" customWidth="1"/>
    <col min="18" max="18" width="11.85546875" customWidth="1"/>
    <col min="19" max="19" width="12.42578125" customWidth="1"/>
    <col min="21" max="21" width="7.28515625" customWidth="1"/>
    <col min="23" max="23" width="12.7109375" customWidth="1"/>
    <col min="24" max="24" width="13.28515625" customWidth="1"/>
    <col min="34" max="34" width="6.28515625" customWidth="1"/>
    <col min="35" max="35" width="8.7109375" customWidth="1"/>
    <col min="36" max="36" width="8.28515625" customWidth="1"/>
    <col min="37" max="37" width="7.85546875" customWidth="1"/>
    <col min="38" max="38" width="8.7109375" customWidth="1"/>
    <col min="39" max="40" width="7.42578125" customWidth="1"/>
    <col min="41" max="41" width="8.7109375" customWidth="1"/>
    <col min="42" max="42" width="7.140625" customWidth="1"/>
    <col min="43" max="43" width="7.85546875" customWidth="1"/>
    <col min="44" max="44" width="8.7109375" customWidth="1"/>
    <col min="45" max="45" width="7.28515625" customWidth="1"/>
    <col min="46" max="46" width="8.7109375" customWidth="1"/>
    <col min="47" max="47" width="7.85546875" customWidth="1"/>
    <col min="48" max="48" width="8.7109375" customWidth="1"/>
    <col min="49" max="49" width="7.42578125" customWidth="1"/>
    <col min="50" max="52" width="8.7109375" customWidth="1"/>
    <col min="53" max="53" width="7.42578125" customWidth="1"/>
    <col min="54" max="55" width="10.42578125" customWidth="1"/>
    <col min="56" max="56" width="6.85546875" customWidth="1"/>
    <col min="57" max="57" width="10.85546875" customWidth="1"/>
    <col min="59" max="59" width="9.42578125" customWidth="1"/>
    <col min="61" max="61" width="8.7109375" customWidth="1"/>
    <col min="62" max="62" width="9.42578125" customWidth="1"/>
    <col min="64" max="64" width="20.140625" customWidth="1"/>
    <col min="71" max="71" width="13.140625" customWidth="1"/>
    <col min="75" max="75" width="5.7109375" customWidth="1"/>
  </cols>
  <sheetData>
    <row r="1" spans="2:93" ht="15" customHeight="1" thickBot="1" x14ac:dyDescent="0.3">
      <c r="B1" s="788" t="s">
        <v>291</v>
      </c>
      <c r="C1" s="789"/>
      <c r="D1" s="789"/>
      <c r="E1" s="789"/>
      <c r="F1" s="789"/>
      <c r="G1" s="790"/>
      <c r="I1" s="756" t="s">
        <v>300</v>
      </c>
      <c r="J1" s="757"/>
      <c r="K1" s="757"/>
      <c r="L1" s="758"/>
      <c r="N1" s="793" t="s">
        <v>151</v>
      </c>
      <c r="P1" s="772" t="s">
        <v>316</v>
      </c>
      <c r="Q1" s="773"/>
      <c r="R1" s="773"/>
      <c r="S1" s="773"/>
      <c r="T1" s="774"/>
      <c r="V1" s="778" t="s">
        <v>387</v>
      </c>
      <c r="W1" s="779"/>
      <c r="X1" s="779"/>
      <c r="Y1" s="779"/>
      <c r="Z1" s="779"/>
      <c r="AA1" s="779"/>
      <c r="AB1" s="779"/>
      <c r="AC1" s="779"/>
      <c r="AD1" s="779"/>
      <c r="AE1" s="779"/>
      <c r="AF1" s="779"/>
      <c r="AG1" s="780"/>
      <c r="AI1" s="767" t="s">
        <v>301</v>
      </c>
      <c r="AJ1" s="768"/>
      <c r="AK1" s="768"/>
      <c r="AL1" s="768"/>
      <c r="AM1" s="768"/>
      <c r="AN1" s="768"/>
      <c r="AO1" s="768"/>
      <c r="AP1" s="768"/>
      <c r="AQ1" s="768"/>
      <c r="AR1" s="768"/>
      <c r="AS1" s="768"/>
      <c r="AT1" s="768"/>
      <c r="AU1" s="768"/>
      <c r="AV1" s="768"/>
      <c r="AW1" s="768"/>
      <c r="AX1" s="768"/>
      <c r="AY1" s="768"/>
      <c r="AZ1" s="768"/>
      <c r="BA1" s="768"/>
      <c r="BB1" s="768"/>
      <c r="BC1" s="769"/>
      <c r="BE1" s="756" t="s">
        <v>267</v>
      </c>
      <c r="BF1" s="757"/>
      <c r="BG1" s="757"/>
      <c r="BH1" s="757"/>
      <c r="BI1" s="758"/>
      <c r="BK1" s="770" t="s">
        <v>151</v>
      </c>
      <c r="BL1" s="770" t="s">
        <v>152</v>
      </c>
      <c r="BM1" s="770" t="s">
        <v>153</v>
      </c>
      <c r="BN1" s="276" t="s">
        <v>154</v>
      </c>
      <c r="BO1" s="276" t="s">
        <v>155</v>
      </c>
      <c r="BP1" s="276" t="s">
        <v>156</v>
      </c>
      <c r="BQ1" s="276" t="s">
        <v>157</v>
      </c>
      <c r="BR1" s="276" t="s">
        <v>158</v>
      </c>
      <c r="BS1" s="276" t="s">
        <v>160</v>
      </c>
      <c r="BT1" s="276" t="s">
        <v>162</v>
      </c>
      <c r="BU1" s="276" t="s">
        <v>163</v>
      </c>
      <c r="BV1" s="277" t="s">
        <v>164</v>
      </c>
      <c r="BW1" s="42"/>
      <c r="BX1" s="279" t="s">
        <v>192</v>
      </c>
      <c r="BY1" s="279" t="s">
        <v>193</v>
      </c>
      <c r="BZ1" s="279" t="s">
        <v>194</v>
      </c>
      <c r="CA1" s="279" t="s">
        <v>195</v>
      </c>
      <c r="CB1" s="279" t="s">
        <v>196</v>
      </c>
      <c r="CC1" s="279" t="s">
        <v>197</v>
      </c>
      <c r="CD1" s="279" t="s">
        <v>198</v>
      </c>
      <c r="CE1" s="279" t="s">
        <v>199</v>
      </c>
      <c r="CF1" s="279" t="s">
        <v>201</v>
      </c>
      <c r="CG1" s="279" t="s">
        <v>202</v>
      </c>
      <c r="CH1" s="279" t="s">
        <v>203</v>
      </c>
      <c r="CI1" s="279" t="s">
        <v>205</v>
      </c>
      <c r="CJ1" s="279" t="s">
        <v>206</v>
      </c>
      <c r="CK1" s="279" t="s">
        <v>207</v>
      </c>
      <c r="CL1" s="279" t="s">
        <v>208</v>
      </c>
      <c r="CM1" s="279" t="s">
        <v>209</v>
      </c>
      <c r="CN1" s="279" t="s">
        <v>210</v>
      </c>
      <c r="CO1" s="279" t="s">
        <v>211</v>
      </c>
    </row>
    <row r="2" spans="2:93" ht="17.25" customHeight="1" thickBot="1" x14ac:dyDescent="0.3">
      <c r="B2" s="719"/>
      <c r="C2" s="720"/>
      <c r="D2" s="720"/>
      <c r="E2" s="720"/>
      <c r="F2" s="720"/>
      <c r="G2" s="721"/>
      <c r="I2" s="759"/>
      <c r="J2" s="760"/>
      <c r="K2" s="760"/>
      <c r="L2" s="761"/>
      <c r="N2" s="794"/>
      <c r="P2" s="775"/>
      <c r="Q2" s="776"/>
      <c r="R2" s="776"/>
      <c r="S2" s="776"/>
      <c r="T2" s="777"/>
      <c r="U2" s="72"/>
      <c r="V2" s="781"/>
      <c r="W2" s="782"/>
      <c r="X2" s="782"/>
      <c r="Y2" s="782"/>
      <c r="Z2" s="782"/>
      <c r="AA2" s="782"/>
      <c r="AB2" s="782"/>
      <c r="AC2" s="782"/>
      <c r="AD2" s="782"/>
      <c r="AE2" s="782"/>
      <c r="AF2" s="782"/>
      <c r="AG2" s="783"/>
      <c r="AI2" s="272" t="s">
        <v>388</v>
      </c>
      <c r="AJ2" s="273">
        <f>SUM(AJ5:AJ40)</f>
        <v>-66</v>
      </c>
      <c r="AK2" s="273">
        <f>SUM(AK5:AK40)</f>
        <v>-55</v>
      </c>
      <c r="AL2" s="272" t="s">
        <v>388</v>
      </c>
      <c r="AM2" s="273">
        <f>SUM(AM5:AM30)</f>
        <v>0</v>
      </c>
      <c r="AN2" s="273">
        <f t="shared" ref="AN2:BC2" si="0">SUM(AN5:AN30)</f>
        <v>0</v>
      </c>
      <c r="AO2" s="272" t="s">
        <v>388</v>
      </c>
      <c r="AP2" s="273">
        <f t="shared" si="0"/>
        <v>0</v>
      </c>
      <c r="AQ2" s="273">
        <f t="shared" si="0"/>
        <v>0</v>
      </c>
      <c r="AR2" s="272" t="s">
        <v>388</v>
      </c>
      <c r="AS2" s="273">
        <f t="shared" si="0"/>
        <v>0</v>
      </c>
      <c r="AT2" s="272" t="s">
        <v>388</v>
      </c>
      <c r="AU2" s="273">
        <f t="shared" si="0"/>
        <v>60</v>
      </c>
      <c r="AV2" s="272" t="s">
        <v>388</v>
      </c>
      <c r="AW2" s="273">
        <f>SUM(AW5:AW30)</f>
        <v>0</v>
      </c>
      <c r="AX2" s="272" t="s">
        <v>388</v>
      </c>
      <c r="AY2" s="273">
        <f t="shared" si="0"/>
        <v>0</v>
      </c>
      <c r="AZ2" s="272" t="s">
        <v>388</v>
      </c>
      <c r="BA2" s="273">
        <f t="shared" si="0"/>
        <v>0</v>
      </c>
      <c r="BB2" s="272" t="s">
        <v>388</v>
      </c>
      <c r="BC2" s="273">
        <f t="shared" si="0"/>
        <v>0</v>
      </c>
      <c r="BE2" s="759"/>
      <c r="BF2" s="760"/>
      <c r="BG2" s="760"/>
      <c r="BH2" s="760"/>
      <c r="BI2" s="761"/>
      <c r="BK2" s="771"/>
      <c r="BL2" s="771"/>
      <c r="BM2" s="771"/>
    </row>
    <row r="3" spans="2:93" ht="42.75" customHeight="1" thickBot="1" x14ac:dyDescent="0.3">
      <c r="B3" s="416" t="s">
        <v>292</v>
      </c>
      <c r="C3" s="320" t="s">
        <v>293</v>
      </c>
      <c r="D3" s="320" t="s">
        <v>294</v>
      </c>
      <c r="E3" s="320" t="s">
        <v>295</v>
      </c>
      <c r="F3" s="320" t="s">
        <v>296</v>
      </c>
      <c r="G3" s="320" t="s">
        <v>297</v>
      </c>
      <c r="I3" s="300" t="s">
        <v>398</v>
      </c>
      <c r="J3" s="301" t="s">
        <v>314</v>
      </c>
      <c r="K3" s="302" t="s">
        <v>315</v>
      </c>
      <c r="L3" s="157" t="s">
        <v>293</v>
      </c>
      <c r="N3" s="201" t="s">
        <v>305</v>
      </c>
      <c r="P3" s="320" t="s">
        <v>305</v>
      </c>
      <c r="Q3" s="321" t="s">
        <v>385</v>
      </c>
      <c r="R3" s="321" t="s">
        <v>383</v>
      </c>
      <c r="S3" s="321" t="s">
        <v>384</v>
      </c>
      <c r="T3" s="199" t="s">
        <v>317</v>
      </c>
      <c r="U3" s="72"/>
      <c r="V3" s="328" t="s">
        <v>339</v>
      </c>
      <c r="W3" s="329" t="s">
        <v>369</v>
      </c>
      <c r="X3" s="329" t="s">
        <v>340</v>
      </c>
      <c r="Y3" s="329" t="s">
        <v>341</v>
      </c>
      <c r="Z3" s="329" t="s">
        <v>342</v>
      </c>
      <c r="AA3" s="329" t="s">
        <v>343</v>
      </c>
      <c r="AB3" s="329" t="s">
        <v>344</v>
      </c>
      <c r="AC3" s="329" t="s">
        <v>344</v>
      </c>
      <c r="AD3" s="329" t="s">
        <v>345</v>
      </c>
      <c r="AE3" s="330" t="s">
        <v>346</v>
      </c>
      <c r="AF3" s="330" t="s">
        <v>347</v>
      </c>
      <c r="AG3" s="199" t="s">
        <v>386</v>
      </c>
      <c r="AI3" s="762" t="s">
        <v>353</v>
      </c>
      <c r="AJ3" s="763"/>
      <c r="AK3" s="764"/>
      <c r="AL3" s="762" t="s">
        <v>354</v>
      </c>
      <c r="AM3" s="763"/>
      <c r="AN3" s="764"/>
      <c r="AO3" s="762" t="s">
        <v>355</v>
      </c>
      <c r="AP3" s="763"/>
      <c r="AQ3" s="764"/>
      <c r="AR3" s="762" t="s">
        <v>356</v>
      </c>
      <c r="AS3" s="764"/>
      <c r="AT3" s="762" t="s">
        <v>352</v>
      </c>
      <c r="AU3" s="764"/>
      <c r="AV3" s="765" t="s">
        <v>350</v>
      </c>
      <c r="AW3" s="766"/>
      <c r="AX3" s="765" t="s">
        <v>278</v>
      </c>
      <c r="AY3" s="766"/>
      <c r="AZ3" s="765" t="s">
        <v>279</v>
      </c>
      <c r="BA3" s="766"/>
      <c r="BB3" s="762" t="s">
        <v>351</v>
      </c>
      <c r="BC3" s="764"/>
      <c r="BE3" s="164" t="s">
        <v>4</v>
      </c>
      <c r="BF3" s="165"/>
      <c r="BG3" s="165"/>
      <c r="BH3" s="165"/>
      <c r="BI3" s="166"/>
    </row>
    <row r="4" spans="2:93" s="71" customFormat="1" ht="18.75" customHeight="1" thickBot="1" x14ac:dyDescent="0.3">
      <c r="B4" s="417" t="s">
        <v>298</v>
      </c>
      <c r="C4" s="153"/>
      <c r="D4" s="420"/>
      <c r="E4" s="158"/>
      <c r="F4" s="159"/>
      <c r="G4" s="424"/>
      <c r="I4" s="303">
        <f>SUMIFS(UndCompra,Material,Inv!$I$1,Ref,Inv!I3)-SUMIF(Soul_Dancer,I$3,UndV)</f>
        <v>0</v>
      </c>
      <c r="J4" s="304">
        <f>SUMIFS(UndCompra,Material,Inv!$I$1,Ref,Inv!J3)-SUMIF(Soul_Dancer,J$3,UndV)</f>
        <v>-11</v>
      </c>
      <c r="K4" s="305">
        <f>SUMIFS(UndCompra,Material,Inv!$I$1,Ref,Inv!K3)-SUMIF(Soul_Dancer,K$3,UndV)</f>
        <v>0</v>
      </c>
      <c r="L4" s="197">
        <f>SUM(I4:K4)</f>
        <v>-11</v>
      </c>
      <c r="N4" s="202" t="s">
        <v>266</v>
      </c>
      <c r="P4" s="322" t="s">
        <v>318</v>
      </c>
      <c r="Q4" s="323">
        <f t="shared" ref="Q4:S24" si="1">SUMIFS(UndCompra,Material,$P$1,Ref,Q$3,Color,$P4)</f>
        <v>0</v>
      </c>
      <c r="R4" s="323">
        <f t="shared" si="1"/>
        <v>0</v>
      </c>
      <c r="S4" s="323">
        <f t="shared" si="1"/>
        <v>0</v>
      </c>
      <c r="T4" s="256">
        <f>SUM(Q4:S4)</f>
        <v>0</v>
      </c>
      <c r="U4" s="72"/>
      <c r="V4" s="331" t="s">
        <v>348</v>
      </c>
      <c r="W4" s="323">
        <f t="shared" ref="W4:AF15" si="2">SUMIFS(UndCompra,Material,$V$1,Ref,W$3,Talla,$V4)</f>
        <v>0</v>
      </c>
      <c r="X4" s="323">
        <f t="shared" si="2"/>
        <v>0</v>
      </c>
      <c r="Y4" s="323">
        <f t="shared" si="2"/>
        <v>0</v>
      </c>
      <c r="Z4" s="323">
        <f t="shared" si="2"/>
        <v>0</v>
      </c>
      <c r="AA4" s="323">
        <f t="shared" si="2"/>
        <v>0</v>
      </c>
      <c r="AB4" s="323">
        <f t="shared" si="2"/>
        <v>0</v>
      </c>
      <c r="AC4" s="323">
        <f t="shared" si="2"/>
        <v>0</v>
      </c>
      <c r="AD4" s="323">
        <f t="shared" si="2"/>
        <v>0</v>
      </c>
      <c r="AE4" s="323">
        <f t="shared" si="2"/>
        <v>0</v>
      </c>
      <c r="AF4" s="323">
        <f t="shared" si="2"/>
        <v>0</v>
      </c>
      <c r="AG4" s="257">
        <f>SUM(W4:AF4)</f>
        <v>0</v>
      </c>
      <c r="AI4" s="172" t="s">
        <v>357</v>
      </c>
      <c r="AJ4" s="173" t="s">
        <v>265</v>
      </c>
      <c r="AK4" s="174" t="s">
        <v>266</v>
      </c>
      <c r="AL4" s="172">
        <v>21</v>
      </c>
      <c r="AM4" s="173" t="s">
        <v>265</v>
      </c>
      <c r="AN4" s="174" t="s">
        <v>266</v>
      </c>
      <c r="AO4" s="172" t="s">
        <v>358</v>
      </c>
      <c r="AP4" s="173" t="s">
        <v>265</v>
      </c>
      <c r="AQ4" s="174" t="s">
        <v>266</v>
      </c>
      <c r="AR4" s="223" t="s">
        <v>359</v>
      </c>
      <c r="AS4" s="211" t="s">
        <v>265</v>
      </c>
      <c r="AT4" s="223" t="s">
        <v>360</v>
      </c>
      <c r="AU4" s="244" t="s">
        <v>265</v>
      </c>
      <c r="AV4" s="178" t="s">
        <v>363</v>
      </c>
      <c r="AW4" s="177" t="s">
        <v>265</v>
      </c>
      <c r="AX4" s="226" t="s">
        <v>364</v>
      </c>
      <c r="AY4" s="211" t="s">
        <v>265</v>
      </c>
      <c r="AZ4" s="254">
        <v>72</v>
      </c>
      <c r="BA4" s="255" t="s">
        <v>265</v>
      </c>
      <c r="BB4" s="182" t="s">
        <v>361</v>
      </c>
      <c r="BC4" s="181" t="s">
        <v>265</v>
      </c>
      <c r="BE4" s="334" t="s">
        <v>362</v>
      </c>
      <c r="BF4" s="335" t="s">
        <v>265</v>
      </c>
      <c r="BG4" s="336" t="s">
        <v>268</v>
      </c>
      <c r="BH4" s="337" t="s">
        <v>269</v>
      </c>
      <c r="BI4" s="338" t="s">
        <v>268</v>
      </c>
    </row>
    <row r="5" spans="2:93" s="71" customFormat="1" x14ac:dyDescent="0.25">
      <c r="B5" s="418" t="s">
        <v>299</v>
      </c>
      <c r="C5" s="154"/>
      <c r="D5" s="421"/>
      <c r="E5" s="160"/>
      <c r="F5" s="161"/>
      <c r="G5" s="425"/>
      <c r="N5" s="203" t="s">
        <v>265</v>
      </c>
      <c r="P5" s="324" t="s">
        <v>319</v>
      </c>
      <c r="Q5" s="323">
        <f t="shared" si="1"/>
        <v>0</v>
      </c>
      <c r="R5" s="323">
        <f t="shared" si="1"/>
        <v>0</v>
      </c>
      <c r="S5" s="323">
        <f t="shared" si="1"/>
        <v>0</v>
      </c>
      <c r="T5" s="258">
        <f>SUM(Q5:S5)</f>
        <v>0</v>
      </c>
      <c r="U5" s="72"/>
      <c r="V5" s="332" t="s">
        <v>349</v>
      </c>
      <c r="W5" s="323">
        <f t="shared" si="2"/>
        <v>0</v>
      </c>
      <c r="X5" s="323">
        <f t="shared" si="2"/>
        <v>0</v>
      </c>
      <c r="Y5" s="323">
        <f t="shared" si="2"/>
        <v>0</v>
      </c>
      <c r="Z5" s="323">
        <f t="shared" si="2"/>
        <v>0</v>
      </c>
      <c r="AA5" s="323">
        <f t="shared" si="2"/>
        <v>0</v>
      </c>
      <c r="AB5" s="323">
        <f t="shared" si="2"/>
        <v>0</v>
      </c>
      <c r="AC5" s="323">
        <f t="shared" si="2"/>
        <v>0</v>
      </c>
      <c r="AD5" s="323">
        <f t="shared" si="2"/>
        <v>0</v>
      </c>
      <c r="AE5" s="323">
        <f t="shared" si="2"/>
        <v>0</v>
      </c>
      <c r="AF5" s="323">
        <f t="shared" si="2"/>
        <v>0</v>
      </c>
      <c r="AG5" s="259">
        <f>SUM(W5:AF5)</f>
        <v>0</v>
      </c>
      <c r="AI5" s="175">
        <v>35</v>
      </c>
      <c r="AJ5" s="208">
        <f>SUMIFS(UndCompra,Material,$AI$1,Ref,$AI$3,Color,$AJ$4,Tamaño,$AI$5)-SUMIFS(_4C,SKU,$BE$31,Cierre,AJ$4)</f>
        <v>-1</v>
      </c>
      <c r="AK5" s="268">
        <f>SUMIFS(UndCompra,Material,$AI$1,Ref,$AI$3,Color,$AK$4,Tamaño,$AI$5)-SUMIFS(_4C,SKU,$BE$31,Cierre,AK$4)</f>
        <v>0</v>
      </c>
      <c r="AL5" s="275">
        <v>13</v>
      </c>
      <c r="AM5" s="219">
        <f>SUMIFS(UndCompra,Material,$AI$1,Ref,$AL$3,Color,$AM$4,Tamaño,$AL$5)-SUMIFS(_4C,SKU,$BE$83,Cierre,$AM$4)-SUMIFS(_6C,SKU,$BE$83,Cierre,$AM$4)-SUMIFS(YXS,SKU,$BE$83,Cierre,$AM$4)-SUMIFS(YS,SKU,$BE$83,Cierre,$AM$4)-SUMIFS(YM,SKU,$BE$83,Cierre,$AM$4)-SUMIFS(_4C,SKU,$BE$97,Cierre,$AM$4)-SUMIFS(_6C,SKU,$BE$97,Cierre,$AM$4)-SUMIFS(YXS,SKU,$BE$97,Cierre,$AM$4)-SUMIFS(YS,SKU,$BE$97,Cierre,$AM$4)-SUMIFS(YM,SKU,$BE$97,Cierre,$AM$4)</f>
        <v>0</v>
      </c>
      <c r="AN5" s="220">
        <f>SUMIFS(UndCompra,Material,$AI$1,Ref,$AL$3,Color,$AN$4,Tamaño,$AL$5)-SUMIFS(_4C,SKU,$BE$83,Cierre,$AN$4)-SUMIFS(_6C,SKU,$BE$83,Cierre,$AN$4)-SUMIFS(YXS,SKU,$BE$83,Cierre,$AN$4)-SUMIFS(YS,SKU,$BE$83,Cierre,$AN$4)-SUMIFS(YM,SKU,$BE$83,Cierre,$AN$4)</f>
        <v>0</v>
      </c>
      <c r="AO5" s="176">
        <v>13</v>
      </c>
      <c r="AP5" s="213">
        <f>SUMIFS(UndCompra,Material,$AI$1,Ref,$AO$3,Color,$AP$4,Tamaño,$AO$5)-SUMIFS(_4C,SKU,$BE$112,Cierre,$AP$4)-SUMIFS(_6C,SKU,$BE$112,Cierre,$AP$4)-SUMIFS(_4C,SKU,$BE$126,Cierre,$AP$4)-SUMIFS(_6C,SKU,$BE$126,Cierre,$AP$4)</f>
        <v>0</v>
      </c>
      <c r="AQ5" s="214">
        <f>SUMIFS(UndCompra,Material,$AI$1,Ref,$AO$3,Color,$AQ$4,Tamaño,$AO$5)-SUMIFS(_4C,SKU,$BE$112,Cierre,$AQ$4)-SUMIFS(_6C,SKU,$BE$112,Cierre,$AQ$4)</f>
        <v>0</v>
      </c>
      <c r="AR5" s="176">
        <v>10</v>
      </c>
      <c r="AS5" s="214">
        <f>SUMIFS(UndCompra,Material,$AI$1,Ref,$AR$3,Tamaño,$AR$5)-SUMIFS(_4C,SKU,$BE$141,Cierre,$AS$4)-SUMIFS(_6C,SKU,$BE$141,Cierre,$AS$4)-SUMIFS(YXS,SKU,$BE$141,Cierre,$AS$4)</f>
        <v>0</v>
      </c>
      <c r="AT5" s="175">
        <v>40</v>
      </c>
      <c r="AU5" s="214">
        <f>SUMIFS(UndCompra,Material,$AI$1,Ref,$AT$3,Tamaño,$AT$5)-SUMIFS(_4C,SKU,$BE$170,Cierre,$AU$4)</f>
        <v>0</v>
      </c>
      <c r="AV5" s="242">
        <v>12</v>
      </c>
      <c r="AW5" s="214">
        <f>SUMIFS(UndCompra,Material,$AI$1,Ref,$AV$3,Tamaño,$AV$5)-SUMIFS(_4C,SKU,$BE$199,Cierre,$AW$4)-SUMIFS(_6C,SKU,$BE$199,Cierre,$AW$4)-SUMIFS(YXS,SKU,$BE$199,Cierre,$AW$4)</f>
        <v>0</v>
      </c>
      <c r="AX5" s="66">
        <v>10</v>
      </c>
      <c r="AY5" s="249">
        <f>SUMIFS(UndCompra,Material,$AI$1,Ref,$AX$3,Tamaño,$AX$5)-SUMIFS(_4C,SKU,$BE$214,Cierre,$AY$4)-SUMIFS(_6C,SKU,$BE$214,Cierre,$AY$4)-SUMIFS(YXS,SKU,$BE$214,Cierre,$AY$4)-SUMIFS(YS,SKU,$BE$214,Cierre,$AY$4)-SUMIFS(YM,SKU,$BE$214,Cierre,$AY$4)</f>
        <v>0</v>
      </c>
      <c r="AZ5" s="212">
        <v>57</v>
      </c>
      <c r="BA5" s="214">
        <f>SUMIFS(UndCompra,Material,$AI$1,Ref,$AZ$3,Tamaño,$AZ$5)-SUMIFS(_4C,SKU,$BE$229,Cierre,$BA$4)</f>
        <v>0</v>
      </c>
      <c r="BB5" s="252">
        <v>15</v>
      </c>
      <c r="BC5" s="198">
        <f>SUMIFS(UndCompra,Material,$AI$1,Ref,$BB$3,Tamaño,$BB$5)-SUMIFS(_4C,SKU,$BE$244,Cierre,$BC$4)-SUMIFS(_6C,SKU,$BE$244,Cierre,$BC$4)-SUMIFS(YXS,SKU,$BE$244,Cierre,$BC$4)-SUMIFS(YS,SKU,$BE$244,Cierre,$BC$4)-SUMIFS(YM,SKU,$BE$244,Cierre,$BC$4)</f>
        <v>0</v>
      </c>
      <c r="BE5" s="294" t="s">
        <v>348</v>
      </c>
      <c r="BF5" s="339">
        <v>48</v>
      </c>
      <c r="BG5" s="340">
        <f>+AJ13</f>
        <v>-5</v>
      </c>
      <c r="BH5" s="339">
        <v>48</v>
      </c>
      <c r="BI5" s="341">
        <f>+AK13</f>
        <v>-1</v>
      </c>
    </row>
    <row r="6" spans="2:93" s="71" customFormat="1" ht="15.75" thickBot="1" x14ac:dyDescent="0.3">
      <c r="B6" s="418" t="s">
        <v>300</v>
      </c>
      <c r="C6" s="154"/>
      <c r="D6" s="422"/>
      <c r="E6" s="160"/>
      <c r="F6" s="161"/>
      <c r="G6" s="425"/>
      <c r="N6" s="203" t="s">
        <v>248</v>
      </c>
      <c r="P6" s="324" t="s">
        <v>320</v>
      </c>
      <c r="Q6" s="323">
        <f t="shared" si="1"/>
        <v>0</v>
      </c>
      <c r="R6" s="323">
        <f t="shared" si="1"/>
        <v>0</v>
      </c>
      <c r="S6" s="323">
        <f t="shared" si="1"/>
        <v>0</v>
      </c>
      <c r="T6" s="258">
        <f t="shared" ref="T6:T24" si="3">SUM(Q6:S6)</f>
        <v>0</v>
      </c>
      <c r="U6" s="72"/>
      <c r="V6" s="332" t="s">
        <v>237</v>
      </c>
      <c r="W6" s="323">
        <f t="shared" si="2"/>
        <v>0</v>
      </c>
      <c r="X6" s="323">
        <f t="shared" si="2"/>
        <v>0</v>
      </c>
      <c r="Y6" s="323">
        <f t="shared" si="2"/>
        <v>0</v>
      </c>
      <c r="Z6" s="323">
        <f t="shared" si="2"/>
        <v>0</v>
      </c>
      <c r="AA6" s="323">
        <f t="shared" si="2"/>
        <v>0</v>
      </c>
      <c r="AB6" s="323">
        <f t="shared" si="2"/>
        <v>0</v>
      </c>
      <c r="AC6" s="323">
        <f t="shared" si="2"/>
        <v>0</v>
      </c>
      <c r="AD6" s="323">
        <f t="shared" si="2"/>
        <v>0</v>
      </c>
      <c r="AE6" s="323">
        <f t="shared" si="2"/>
        <v>0</v>
      </c>
      <c r="AF6" s="323">
        <f t="shared" si="2"/>
        <v>0</v>
      </c>
      <c r="AG6" s="259">
        <f>SUM(W6:AF6)</f>
        <v>0</v>
      </c>
      <c r="AI6" s="64">
        <v>37</v>
      </c>
      <c r="AJ6" s="207">
        <f>SUMIFS(UndCompra,Material,$AI$1,Ref,$AI$3,Color,$AJ$4,Tamaño,$AI$6)-SUMIFS(_6C,SKU,$BE$31,Cierre,AJ$4)</f>
        <v>-2</v>
      </c>
      <c r="AK6" s="209">
        <f>SUMIFS(UndCompra,Material,$AI$1,Ref,$AI$3,Color,$AK$4,Tamaño,$AI$6)-SUMIFS(_6C,SKU,$BE$31,Cierre,AK$4)</f>
        <v>0</v>
      </c>
      <c r="AL6" s="243">
        <v>15</v>
      </c>
      <c r="AM6" s="221">
        <f>SUMIFS(UndCompra,Material,$AI$1,Ref,$AL$3,Color,$AM$4,Tamaño,$AL$5)-SUMIFS(YL,SKU,$BE$83,Cierre,$AM$4)-SUMIFS(XS,SKU,$BE$83,Cierre,$AM$4)-SUMIFS(S,SKU,$BE$83,Cierre,$AM$4)-SUMIFS(M,SKU,$BE$83,Cierre,$AM$4)-SUMIFS(L,SKU,$BE$83,Cierre,$AM$4)-SUMIFS(XL,SKU,$BE$83,Cierre,$AM$4)-SUMIFS(XXL,SKU,$BE$83,Cierre,$AM$4)-SUMIFS(YL,SKU,$BE$97,Cierre,$AM$4)-SUMIFS(XS,SKU,$BE$97,Cierre,$AM$4)-SUMIFS(S,SKU,$BE$97,Cierre,$AM$4)-SUMIFS(M,SKU,$BE$97,Cierre,$AM$4)-SUMIFS(L,SKU,$BE$97,Cierre,$AM$4)-SUMIFS(XL,SKU,$BE$97,Cierre,$AM$4)-SUMIFS(XXL,SKU,$BE$97,Cierre,$AM$4)</f>
        <v>0</v>
      </c>
      <c r="AN6" s="222">
        <f>SUMIFS(UndCompra,Material,$AI$1,Ref,$AL$3,Color,$AN$4,Tamaño,$AL$6)-SUMIFS(YL,SKU,$BE$83,Cierre,$AN$4)-SUMIFS(XS,SKU,$BE$83,Cierre,$AN$4)-SUMIFS(S,SKU,$BE$83,Cierre,$AN$4)-SUMIFS(M,SKU,$BE$83,Cierre,$AN$4)-SUMIFS(L,SKU,$BE$83,Cierre,$AN$4)-SUMIFS(XL,SKU,$BE$83,Cierre,$AN$4)-SUMIFS(XXL,SKU,$BE$83,Cierre,$AN$4)</f>
        <v>0</v>
      </c>
      <c r="AO6" s="64">
        <v>15</v>
      </c>
      <c r="AP6" s="215">
        <f>SUMIFS(UndCompra,Material,$AI$1,Ref,$AO$3,Color,$AP$4,Tamaño,$AO6)-SUMIFS(YXS,SKU,$BE$112,Cierre,$AP$4)-SUMIFS(YS,SKU,$BE$112,Cierre,$AP$4)-SUMIFS(YM,SKU,$BE$112,Cierre,$AP$4)-SUMIFS(YXS,SKU,$BE$126,Cierre,$AP$4)-SUMIFS(YS,SKU,$BE$126,Cierre,$AP$4)-SUMIFS(YM,SKU,$BE$126,Cierre,$AP$4)</f>
        <v>0</v>
      </c>
      <c r="AQ6" s="216">
        <f>SUMIFS(UndCompra,Material,$AI$1,Ref,$AO$3,Color,$AQ$4,Tamaño,$AO6)-SUMIFS(YXS,SKU,$BE$112,Cierre,$AQ$4)-SUMIFS(YS,SKU,$BE$112,Cierre,$AQ$4)-SUMIFS(YM,SKU,$BE$112,Cierre,$AQ$4)</f>
        <v>0</v>
      </c>
      <c r="AR6" s="64">
        <v>12</v>
      </c>
      <c r="AS6" s="216">
        <f>SUMIFS(UndCompra,Material,$AI$1,Ref,$AR$3,Tamaño,$AR$6)-SUMIFS(YS,SKU,$BE$141,Cierre,$AS$4)-SUMIFS(YM,SKU,$BE$141,Cierre,$AS$4)-SUMIFS(YL,SKU,$BE$141,Cierre,$AS$4)-SUMIFS(_4C,SKU,$BE$155,Cierre,$AS$4)-SUMIFS(_6C,SKU,$BE$155,Cierre,$AS$4)</f>
        <v>0</v>
      </c>
      <c r="AT6" s="64">
        <v>44</v>
      </c>
      <c r="AU6" s="216">
        <f>SUMIFS(UndCompra,Material,$AI$1,Ref,$AT$3,Tamaño,$AT$6)-SUMIFS(_6C,SKU,$BE$170,Cierre,$AU$4)</f>
        <v>0</v>
      </c>
      <c r="AV6" s="210">
        <v>13</v>
      </c>
      <c r="AW6" s="224">
        <f>SUMIFS(UndCompra,Material,$AI$1,Ref,$AV$3,Tamaño,$AV$6)-SUMIFS(YS,SKU,$BE$199,Cierre,$AW$4)-SUMIFS(YM,SKU,$BE$199,Cierre,$AW$4)</f>
        <v>0</v>
      </c>
      <c r="AX6" s="64">
        <v>12</v>
      </c>
      <c r="AY6" s="250">
        <f>SUMIFS(UndCompra,Material,$AI$1,Ref,$AX$3,Tamaño,$AX$6)-SUMIFS(YM,SKU,$BE$214,Cierre,$AY$4)-SUMIFS(YL,SKU,$BE$214,Cierre,$AY$4)</f>
        <v>0</v>
      </c>
      <c r="AZ6" s="179">
        <v>58</v>
      </c>
      <c r="BA6" s="216">
        <f>SUMIFS(UndCompra,Material,$AI$1,Ref,$AZ$3,Tamaño,$AZ$6)-SUMIFS(_6C,SKU,$BE$229,Cierre,$BA$4)</f>
        <v>0</v>
      </c>
      <c r="BB6" s="253">
        <v>20</v>
      </c>
      <c r="BC6" s="68">
        <f>SUMIFS(UndCompra,Material,$AI$1,Ref,$BB$3,Tamaño,$BB$6)-SUMIFS(YL,SKU,$BE$244,Cierre,$BC$4)-SUMIFS(XS,SKU,$BE$244,Cierre,$BC$4)-SUMIFS(S,SKU,$BE$244,Cierre,$BC$4)-SUMIFS(M,SKU,$BE$244,Cierre,$BC$4)-SUMIFS(L,SKU,$BE$244,Cierre,$BC$4)-SUMIFS(XL,SKU,$BE$244,Cierre,$BC$4)-SUMIFS(XXL,SKU,$BE$244,Cierre,$BC$4)</f>
        <v>0</v>
      </c>
      <c r="BE6" s="296" t="s">
        <v>349</v>
      </c>
      <c r="BF6" s="342">
        <v>52</v>
      </c>
      <c r="BG6" s="343">
        <f>+AJ16</f>
        <v>0</v>
      </c>
      <c r="BH6" s="342">
        <v>52</v>
      </c>
      <c r="BI6" s="344">
        <f>+AK16</f>
        <v>-2</v>
      </c>
    </row>
    <row r="7" spans="2:93" s="71" customFormat="1" ht="15" customHeight="1" thickBot="1" x14ac:dyDescent="0.3">
      <c r="B7" s="418" t="s">
        <v>301</v>
      </c>
      <c r="C7" s="155"/>
      <c r="D7" s="421"/>
      <c r="E7" s="160"/>
      <c r="F7" s="161"/>
      <c r="G7" s="425"/>
      <c r="I7" s="791" t="s">
        <v>368</v>
      </c>
      <c r="J7" s="792"/>
      <c r="K7" s="795" t="str">
        <f>+B5</f>
        <v>ETIQUETAS LIMELIGHT</v>
      </c>
      <c r="L7" s="796"/>
      <c r="N7" s="203" t="s">
        <v>251</v>
      </c>
      <c r="P7" s="324" t="s">
        <v>321</v>
      </c>
      <c r="Q7" s="323">
        <f t="shared" si="1"/>
        <v>0</v>
      </c>
      <c r="R7" s="323">
        <f t="shared" si="1"/>
        <v>0</v>
      </c>
      <c r="S7" s="323">
        <f t="shared" si="1"/>
        <v>0</v>
      </c>
      <c r="T7" s="258">
        <f t="shared" si="3"/>
        <v>0</v>
      </c>
      <c r="U7" s="72"/>
      <c r="V7" s="332" t="s">
        <v>238</v>
      </c>
      <c r="W7" s="323">
        <f t="shared" si="2"/>
        <v>0</v>
      </c>
      <c r="X7" s="323">
        <f t="shared" si="2"/>
        <v>0</v>
      </c>
      <c r="Y7" s="323">
        <f t="shared" si="2"/>
        <v>0</v>
      </c>
      <c r="Z7" s="323">
        <f t="shared" si="2"/>
        <v>0</v>
      </c>
      <c r="AA7" s="323">
        <f t="shared" si="2"/>
        <v>0</v>
      </c>
      <c r="AB7" s="323">
        <f t="shared" si="2"/>
        <v>0</v>
      </c>
      <c r="AC7" s="323">
        <f t="shared" si="2"/>
        <v>0</v>
      </c>
      <c r="AD7" s="323">
        <f t="shared" si="2"/>
        <v>0</v>
      </c>
      <c r="AE7" s="323">
        <f t="shared" si="2"/>
        <v>0</v>
      </c>
      <c r="AF7" s="323">
        <f t="shared" si="2"/>
        <v>0</v>
      </c>
      <c r="AG7" s="259">
        <f t="shared" ref="AG7:AG15" si="4">SUM(W7:AF7)</f>
        <v>0</v>
      </c>
      <c r="AI7" s="64">
        <v>39</v>
      </c>
      <c r="AJ7" s="207">
        <f>SUMIFS(UndCompra,Material,$AI$1,Ref,$AI$3,Color,$AJ$4,Tamaño,$AI$7)-SUMIFS(YXS,SKU,$BE$31,Cierre,AJ$4)</f>
        <v>-3</v>
      </c>
      <c r="AK7" s="209">
        <f>SUMIFS(UndCompra,Material,$AI$1,Ref,$AI$3,Color,$AK$4,Tamaño,$AI$7)-SUMIFS(YXS,SKU,$BE$31,Cierre,AK$4)</f>
        <v>0</v>
      </c>
      <c r="AL7" s="236"/>
      <c r="AM7" s="236"/>
      <c r="AN7"/>
      <c r="AO7" s="64">
        <v>18</v>
      </c>
      <c r="AP7" s="215">
        <f>SUMIFS(UndCompra,Material,$AI$1,Ref,$AO$3,Color,$AP$4,Tamaño,$AO$7)-SUMIFS(YL,SKU,$BE$112,Cierre,$AP$4)-SUMIFS(XS,SKU,$BE$112,Cierre,$AP$4)-SUMIFS(YL,SKU,$BE$126,Cierre,$AP$4)-SUMIFS(XS,SKU,$BE$126,Cierre,$AP$4)</f>
        <v>0</v>
      </c>
      <c r="AQ7" s="216">
        <f>SUMIFS(UndCompra,Material,$AI$1,Ref,$AO$3,Color,$AQ$4,Tamaño,$AO$7)-SUMIFS(YL,SKU,$BE$112,Cierre,$AQ$4)-SUMIFS(XS,SKU,$BE$112,Cierre,$AQ$4)</f>
        <v>0</v>
      </c>
      <c r="AR7" s="64">
        <v>13</v>
      </c>
      <c r="AS7" s="216">
        <f>SUMIFS(UndCompra,Material,$AI$1,Ref,$AR$3,Tamaño,$AR$7)-SUMIFS(XS,SKU,$BE$141,Cierre,$AS$4)-SUMIFS(S,SKU,$BE$141,Cierre,$AS$4)-SUMIFS(YXS,SKU,$BE$155,Cierre,$AS$4)-SUMIFS(YS,SKU,$BE$155,Cierre,$AS$4)</f>
        <v>0</v>
      </c>
      <c r="AT7" s="64">
        <v>45</v>
      </c>
      <c r="AU7" s="216">
        <f>SUMIFS(UndCompra,Material,$AI$1,Ref,$AT$3,Tamaño,$AT$7)-SUMIFS(YXS,SKU,$BE$170,Cierre,$AU$4)-SUMIFS(YS,SKU,$BE$170,Cierre,$AU$4)</f>
        <v>0</v>
      </c>
      <c r="AV7" s="210">
        <v>14</v>
      </c>
      <c r="AW7" s="224">
        <f>SUMIFS(UndCompra,Material,$AI$1,Ref,$AV$3,Tamaño,$AV$7)-SUMIFS(YL,SKU,$BE$199,Cierre,$AW$4)-SUMIFS(XS,SKU,$BE$199,Cierre,$AW$4)</f>
        <v>0</v>
      </c>
      <c r="AX7" s="65">
        <v>15</v>
      </c>
      <c r="AY7" s="251">
        <f>SUMIFS(UndCompra,Material,$AI$1,Ref,$AX$3,Tamaño,$AX$7)-SUMIFS(S,SKU,$BE$214,Cierre,$AY$4)-SUMIFS(M,SKU,$BE$214,Cierre,$AY$4)-SUMIFS(L,SKU,$BE$214,Cierre,$AY$4)-SUMIFS(XL,SKU,$BE$214,Cierre,$AY$4)-SUMIFS(XXL,SKU,$BE$214,Cierre,$AY$4)</f>
        <v>0</v>
      </c>
      <c r="AZ7" s="179">
        <v>61</v>
      </c>
      <c r="BA7" s="216">
        <f>SUMIFS(UndCompra,Material,$AI$1,Ref,$AZ$3,Tamaño,$AZ$7)-SUMIFS(YXS,SKU,$BE$229,Cierre,$BA$4)</f>
        <v>0</v>
      </c>
      <c r="BB7" s="236"/>
      <c r="BC7" s="236"/>
      <c r="BE7" s="296" t="s">
        <v>237</v>
      </c>
      <c r="BF7" s="342">
        <v>53</v>
      </c>
      <c r="BG7" s="343">
        <f>+AJ17</f>
        <v>0</v>
      </c>
      <c r="BH7" s="342">
        <v>53</v>
      </c>
      <c r="BI7" s="344">
        <f>+AK17</f>
        <v>-3</v>
      </c>
    </row>
    <row r="8" spans="2:93" s="71" customFormat="1" ht="16.5" customHeight="1" thickBot="1" x14ac:dyDescent="0.3">
      <c r="B8" s="418" t="s">
        <v>302</v>
      </c>
      <c r="C8" s="155"/>
      <c r="D8" s="421"/>
      <c r="E8" s="160"/>
      <c r="F8" s="161"/>
      <c r="G8" s="425"/>
      <c r="I8" s="294" t="s">
        <v>348</v>
      </c>
      <c r="J8" s="316">
        <f>SUMIFS(UndCompra,Material,Inv!$I$7,Talla,Inv!I8)</f>
        <v>0</v>
      </c>
      <c r="K8" s="294" t="s">
        <v>348</v>
      </c>
      <c r="L8" s="295">
        <f>SUMIFS(UndCompra,Material,Inv!$K$7,Talla,Inv!$K8)-SUM(_4C)</f>
        <v>-17</v>
      </c>
      <c r="N8" s="203" t="s">
        <v>250</v>
      </c>
      <c r="P8" s="324" t="s">
        <v>322</v>
      </c>
      <c r="Q8" s="323">
        <f t="shared" si="1"/>
        <v>0</v>
      </c>
      <c r="R8" s="323">
        <f t="shared" si="1"/>
        <v>0</v>
      </c>
      <c r="S8" s="323">
        <f t="shared" si="1"/>
        <v>0</v>
      </c>
      <c r="T8" s="258">
        <f t="shared" si="3"/>
        <v>0</v>
      </c>
      <c r="U8" s="72"/>
      <c r="V8" s="332" t="s">
        <v>239</v>
      </c>
      <c r="W8" s="323">
        <f t="shared" si="2"/>
        <v>0</v>
      </c>
      <c r="X8" s="323">
        <f t="shared" si="2"/>
        <v>0</v>
      </c>
      <c r="Y8" s="323">
        <f t="shared" si="2"/>
        <v>0</v>
      </c>
      <c r="Z8" s="323">
        <f t="shared" si="2"/>
        <v>0</v>
      </c>
      <c r="AA8" s="323">
        <f t="shared" si="2"/>
        <v>0</v>
      </c>
      <c r="AB8" s="323">
        <f t="shared" si="2"/>
        <v>0</v>
      </c>
      <c r="AC8" s="323">
        <f t="shared" si="2"/>
        <v>0</v>
      </c>
      <c r="AD8" s="323">
        <f t="shared" si="2"/>
        <v>0</v>
      </c>
      <c r="AE8" s="323">
        <f t="shared" si="2"/>
        <v>0</v>
      </c>
      <c r="AF8" s="323">
        <f t="shared" si="2"/>
        <v>0</v>
      </c>
      <c r="AG8" s="259">
        <f t="shared" si="4"/>
        <v>0</v>
      </c>
      <c r="AI8" s="64">
        <v>40</v>
      </c>
      <c r="AJ8" s="207">
        <f>SUMIFS(UndCompra,Material,$AI$1,Ref,$AI$3,Color,$AJ$4,Tamaño,$AI$8)-SUMIFS(_4C,SKU,$BE$17,Cierre,AJ$4)</f>
        <v>0</v>
      </c>
      <c r="AK8" s="209">
        <f>SUMIFS(UndCompra,Material,$AI$1,Ref,$AI$3,Color,$AK$4,Tamaño,$AI$8)-SUMIFS(_4C,SKU,$BE$17,Cierre,AK$4)</f>
        <v>0</v>
      </c>
      <c r="AL8"/>
      <c r="AM8"/>
      <c r="AN8"/>
      <c r="AO8" s="65">
        <v>20</v>
      </c>
      <c r="AP8" s="217">
        <f>SUMIFS(UndCompra,Material,$AI$1,Ref,$AO$3,Color,$AP$4,Tamaño,$AO$8)-SUMIFS(S,SKU,$BE$112,Cierre,$AP$4)-SUMIFS(M,SKU,$BE$112,Cierre,$AP$4)-SUMIFS(L,SKU,$BE$112,Cierre,$AP$4)-SUMIFS(XL,SKU,$BE$112,Cierre,$AP$4)-SUMIFS(XXL,SKU,$BE$112,Cierre,$AP$4)-SUMIFS(S,SKU,$BE$126,Cierre,$AP$4)-SUMIFS(M,SKU,$BE$126,Cierre,$AP$4)-SUMIFS(L,SKU,$BE$126,Cierre,$AP$4)-SUMIFS(XL,SKU,$BE$126,Cierre,$AP$4)-SUMIFS(XXL,SKU,$BE$126,Cierre,$AP$4)</f>
        <v>0</v>
      </c>
      <c r="AQ8" s="218">
        <f>SUMIFS(UndCompra,Material,$AI$1,Ref,$AO$3,Color,$AQ$4,Tamaño,$AO$8)-SUMIFS(S,SKU,$BE$112,Cierre,$AQ$4)-SUMIFS(M,SKU,$BE$112,Cierre,$AQ$4)-SUMIFS(L,SKU,$BE$112,Cierre,$AQ$4)-SUMIFS(XL,SKU,$BE$112,Cierre,$AQ$4)-SUMIFS(XXL,SKU,$BE$112,Cierre,$AQ$4)</f>
        <v>0</v>
      </c>
      <c r="AR8" s="168">
        <v>14</v>
      </c>
      <c r="AS8" s="216">
        <f>SUMIFS(UndCompra,Material,$AI$1,Ref,$AR$3,Tamaño,$AR$8)-SUMIFS(M,SKU,$BE$141,Cierre,$AS$4)-SUMIFS(L,SKU,$BE$141,Cierre,$AS$4)-SUMIFS(XL,SKU,$BE$141,Cierre,$AS$4)-SUMIFS(XXL,SKU,$BE$141,Cierre,$AS$4)-SUMIFS(YM,SKU,$BE$155,Cierre,$AS$4)-SUMIFS(YL,SKU,$BE$155,Cierre,$AS$4)</f>
        <v>0</v>
      </c>
      <c r="AT8" s="64">
        <v>48</v>
      </c>
      <c r="AU8" s="216">
        <f>SUMIFS(UndCompra,Material,$AI$1,Ref,$AT$3,Tamaño,$AT$8)-SUMIFS(YM,SKU,$BE$170,Cierre,$AU$4)</f>
        <v>60</v>
      </c>
      <c r="AV8" s="210">
        <v>15</v>
      </c>
      <c r="AW8" s="224">
        <f>SUMIFS(UndCompra,Material,$AI$1,Ref,$AV$3,Tamaño,$AV$8)-SUMIFS(S,SKU,$BE$199,Cierre,$AW$4)-SUMIFS(M,SKU,$BE$199,Cierre,$AW$4)</f>
        <v>0</v>
      </c>
      <c r="AX8" s="236"/>
      <c r="AY8" s="236"/>
      <c r="AZ8" s="179">
        <v>64</v>
      </c>
      <c r="BA8" s="216">
        <f>SUMIFS(UndCompra,Material,$AI$1,Ref,$AZ$3,Tamaño,$AZ$8)-SUMIFS(YS,SKU,$BE$229,Cierre,$BA$4)</f>
        <v>0</v>
      </c>
      <c r="BB8"/>
      <c r="BC8"/>
      <c r="BE8" s="296" t="s">
        <v>238</v>
      </c>
      <c r="BF8" s="342">
        <v>57</v>
      </c>
      <c r="BG8" s="343">
        <f>+AJ20</f>
        <v>0</v>
      </c>
      <c r="BH8" s="342">
        <v>57</v>
      </c>
      <c r="BI8" s="344">
        <f>+AK20</f>
        <v>-4</v>
      </c>
    </row>
    <row r="9" spans="2:93" s="71" customFormat="1" ht="15.75" thickBot="1" x14ac:dyDescent="0.3">
      <c r="B9" s="418" t="s">
        <v>303</v>
      </c>
      <c r="C9" s="154"/>
      <c r="D9" s="421"/>
      <c r="E9" s="160"/>
      <c r="F9" s="161"/>
      <c r="G9" s="425"/>
      <c r="I9" s="296" t="s">
        <v>349</v>
      </c>
      <c r="J9" s="317">
        <f>SUMIFS(UndCompra,Material,Inv!$I$7,Talla,Inv!I9)</f>
        <v>0</v>
      </c>
      <c r="K9" s="296" t="s">
        <v>349</v>
      </c>
      <c r="L9" s="297">
        <f>SUMIFS(UndCompra,Material,Inv!$K$7,Talla,Inv!$K9)-SUM(_6C)</f>
        <v>-27</v>
      </c>
      <c r="N9" s="203" t="s">
        <v>310</v>
      </c>
      <c r="P9" s="324" t="s">
        <v>323</v>
      </c>
      <c r="Q9" s="323">
        <f t="shared" si="1"/>
        <v>0</v>
      </c>
      <c r="R9" s="323">
        <f t="shared" si="1"/>
        <v>0</v>
      </c>
      <c r="S9" s="323">
        <f t="shared" si="1"/>
        <v>0</v>
      </c>
      <c r="T9" s="258">
        <f t="shared" si="3"/>
        <v>0</v>
      </c>
      <c r="U9" s="72"/>
      <c r="V9" s="332" t="s">
        <v>240</v>
      </c>
      <c r="W9" s="323">
        <f t="shared" si="2"/>
        <v>0</v>
      </c>
      <c r="X9" s="323">
        <f t="shared" si="2"/>
        <v>0</v>
      </c>
      <c r="Y9" s="323">
        <f t="shared" si="2"/>
        <v>0</v>
      </c>
      <c r="Z9" s="323">
        <f t="shared" si="2"/>
        <v>0</v>
      </c>
      <c r="AA9" s="323">
        <f t="shared" si="2"/>
        <v>0</v>
      </c>
      <c r="AB9" s="323">
        <f t="shared" si="2"/>
        <v>0</v>
      </c>
      <c r="AC9" s="323">
        <f t="shared" si="2"/>
        <v>0</v>
      </c>
      <c r="AD9" s="323">
        <f t="shared" si="2"/>
        <v>0</v>
      </c>
      <c r="AE9" s="323">
        <f t="shared" si="2"/>
        <v>0</v>
      </c>
      <c r="AF9" s="323">
        <f t="shared" si="2"/>
        <v>0</v>
      </c>
      <c r="AG9" s="259">
        <f t="shared" si="4"/>
        <v>0</v>
      </c>
      <c r="AI9" s="64">
        <v>42</v>
      </c>
      <c r="AJ9" s="207">
        <f>SUMIFS(UndCompra,Material,$AI$1,Ref,$AI$3,Color,$AJ$4,Tamaño,$AI$9)-SUMIFS(_6C,SKU,$BE$17,Cierre,AJ$4)</f>
        <v>0</v>
      </c>
      <c r="AK9" s="209">
        <f>SUMIFS(UndCompra,Material,$AI$1,Ref,$AI$3,Color,$AK$4,Tamaño,$AI$9)-SUMIFS(_6C,SKU,$BE$17,Cierre,AK$4)</f>
        <v>0</v>
      </c>
      <c r="AL9"/>
      <c r="AM9"/>
      <c r="AN9"/>
      <c r="AO9" s="236"/>
      <c r="AP9" s="236"/>
      <c r="AQ9"/>
      <c r="AR9" s="64">
        <v>15</v>
      </c>
      <c r="AS9" s="216">
        <f>SUMIFS(UndCompra,Material,$AI$1,Ref,$AR$3,Tamaño,$AR$9)-SUMIFS(XS,SKU,$BE$155,Cierre,$AS$4)-SUMIFS(S,SKU,$BE$155,Cierre,$AS$4)-SUMIFS(M,SKU,$BE$155,Cierre,$AS$4)-SUMIFS(L,SKU,$BE$155,Cierre,$AS$4)-SUMIFS(XL,SKU,$BE$155,Cierre,$AS$4)</f>
        <v>0</v>
      </c>
      <c r="AT9" s="64">
        <v>51</v>
      </c>
      <c r="AU9" s="216">
        <f>SUMIFS(UndCompra,Material,$AI$1,Ref,$AT$3,Tamaño,$AT$9)-SUMIFS(YL,SKU,$BE$170,Cierre,$AU$4)</f>
        <v>0</v>
      </c>
      <c r="AV9" s="243">
        <v>16</v>
      </c>
      <c r="AW9" s="225">
        <f>SUMIFS(UndCompra,Material,$AI$1,Ref,$AV$3,Tamaño,$AV$9)-SUMIFS(L,SKU,$BE$199,Cierre,$AW$4)-SUMIFS(XL,SKU,$BE$199,Cierre,$AW$4)-SUMIFS(XXL,SKU,$BE$199,Cierre,$AW$4)</f>
        <v>0</v>
      </c>
      <c r="AX9"/>
      <c r="AY9"/>
      <c r="AZ9" s="179">
        <v>65</v>
      </c>
      <c r="BA9" s="216">
        <f>SUMIFS(UndCompra,Material,$AI$1,Ref,$AZ$3,Tamaño,$AZ$9)-SUMIFS(YM,SKU,$BE$229,Cierre,$BA$4)</f>
        <v>0</v>
      </c>
      <c r="BB9"/>
      <c r="BC9"/>
      <c r="BE9" s="296" t="s">
        <v>239</v>
      </c>
      <c r="BF9" s="342">
        <v>59</v>
      </c>
      <c r="BG9" s="343">
        <f>+AJ22</f>
        <v>0</v>
      </c>
      <c r="BH9" s="342">
        <v>59</v>
      </c>
      <c r="BI9" s="344">
        <f>+AK22</f>
        <v>-5</v>
      </c>
    </row>
    <row r="10" spans="2:93" s="71" customFormat="1" ht="15.75" thickBot="1" x14ac:dyDescent="0.3">
      <c r="B10" s="418" t="s">
        <v>316</v>
      </c>
      <c r="C10" s="63"/>
      <c r="D10" s="421"/>
      <c r="E10" s="160"/>
      <c r="F10" s="161"/>
      <c r="G10" s="425"/>
      <c r="I10" s="296" t="s">
        <v>237</v>
      </c>
      <c r="J10" s="317">
        <f>SUMIFS(UndCompra,Material,Inv!$I$7,Talla,Inv!I10)</f>
        <v>0</v>
      </c>
      <c r="K10" s="296" t="s">
        <v>237</v>
      </c>
      <c r="L10" s="297">
        <f>SUMIFS(UndCompra,Material,Inv!$K$7,Talla,Inv!$K10)-SUM(YXS)</f>
        <v>-36</v>
      </c>
      <c r="N10" s="203" t="s">
        <v>249</v>
      </c>
      <c r="P10" s="324" t="s">
        <v>324</v>
      </c>
      <c r="Q10" s="323">
        <f t="shared" si="1"/>
        <v>0</v>
      </c>
      <c r="R10" s="323">
        <f t="shared" si="1"/>
        <v>0</v>
      </c>
      <c r="S10" s="323">
        <f t="shared" si="1"/>
        <v>0</v>
      </c>
      <c r="T10" s="258">
        <f t="shared" si="3"/>
        <v>0</v>
      </c>
      <c r="U10" s="72"/>
      <c r="V10" s="332" t="s">
        <v>241</v>
      </c>
      <c r="W10" s="323">
        <f t="shared" si="2"/>
        <v>0</v>
      </c>
      <c r="X10" s="323">
        <f t="shared" si="2"/>
        <v>0</v>
      </c>
      <c r="Y10" s="323">
        <f t="shared" si="2"/>
        <v>0</v>
      </c>
      <c r="Z10" s="323">
        <f t="shared" si="2"/>
        <v>0</v>
      </c>
      <c r="AA10" s="323">
        <f t="shared" si="2"/>
        <v>0</v>
      </c>
      <c r="AB10" s="323">
        <f t="shared" si="2"/>
        <v>0</v>
      </c>
      <c r="AC10" s="323">
        <f t="shared" si="2"/>
        <v>0</v>
      </c>
      <c r="AD10" s="323">
        <f t="shared" si="2"/>
        <v>0</v>
      </c>
      <c r="AE10" s="323">
        <f t="shared" si="2"/>
        <v>0</v>
      </c>
      <c r="AF10" s="323">
        <f t="shared" si="2"/>
        <v>4</v>
      </c>
      <c r="AG10" s="259">
        <f t="shared" si="4"/>
        <v>4</v>
      </c>
      <c r="AI10" s="64">
        <v>44</v>
      </c>
      <c r="AJ10" s="207">
        <f>SUMIFS(UndCompra,Material,$AI$1,Ref,$AI$3,Color,$AJ$4,Tamaño,$AI$10)-SUMIFS(YXS,SKU,$BE$17,Cierre,AJ$4)</f>
        <v>0</v>
      </c>
      <c r="AK10" s="209">
        <f>SUMIFS(UndCompra,Material,$AI$1,Ref,$AI$3,Color,$AK$4,Tamaño,$AI$10)-SUMIFS(YXS,SKU,$BE$17,Cierre,AK$4)</f>
        <v>0</v>
      </c>
      <c r="AL10"/>
      <c r="AM10"/>
      <c r="AN10"/>
      <c r="AO10"/>
      <c r="AP10"/>
      <c r="AQ10"/>
      <c r="AR10" s="269">
        <v>16</v>
      </c>
      <c r="AS10" s="218">
        <f>SUMIFS(UndCompra,Material,$AI$1,Ref,$AR$3,Tamaño,$AR$10)-SUMIFS(XXL,SKU,$BE$155,Cierre,$AS$4)</f>
        <v>0</v>
      </c>
      <c r="AT10" s="64">
        <v>55</v>
      </c>
      <c r="AU10" s="216">
        <f>SUMIFS(UndCompra,Material,$AI$1,Ref,$AT$3,Tamaño,$AT$10)-SUMIFS(XS,SKU,$BE$170,Cierre,$AU$4)</f>
        <v>0</v>
      </c>
      <c r="AV10" s="236"/>
      <c r="AW10" s="236"/>
      <c r="AX10"/>
      <c r="AY10"/>
      <c r="AZ10" s="179">
        <v>68</v>
      </c>
      <c r="BA10" s="216">
        <f>SUMIFS(UndCompra,Material,$AI$1,Ref,$AZ$3,Tamaño,$AZ$10)-SUMIFS(YL,SKU,$BE$229,Cierre,$BA$4)</f>
        <v>0</v>
      </c>
      <c r="BB10"/>
      <c r="BC10"/>
      <c r="BE10" s="296" t="s">
        <v>240</v>
      </c>
      <c r="BF10" s="342">
        <v>62</v>
      </c>
      <c r="BG10" s="343">
        <f>+AJ25</f>
        <v>0</v>
      </c>
      <c r="BH10" s="342">
        <v>62</v>
      </c>
      <c r="BI10" s="344">
        <f>+AK25</f>
        <v>-6</v>
      </c>
    </row>
    <row r="11" spans="2:93" s="71" customFormat="1" ht="15.75" customHeight="1" thickBot="1" x14ac:dyDescent="0.3">
      <c r="B11" s="419" t="s">
        <v>304</v>
      </c>
      <c r="C11" s="156"/>
      <c r="D11" s="423"/>
      <c r="E11" s="162"/>
      <c r="F11" s="163"/>
      <c r="G11" s="426"/>
      <c r="I11" s="296" t="s">
        <v>238</v>
      </c>
      <c r="J11" s="317">
        <f>SUMIFS(UndCompra,Material,Inv!$I$7,Talla,Inv!I11)</f>
        <v>0</v>
      </c>
      <c r="K11" s="296" t="s">
        <v>238</v>
      </c>
      <c r="L11" s="297">
        <f>SUMIFS(UndCompra,Material,Inv!$K$7,Talla,Inv!$K11)-SUM(YS)</f>
        <v>-54</v>
      </c>
      <c r="N11" s="203" t="s">
        <v>311</v>
      </c>
      <c r="P11" s="324" t="s">
        <v>325</v>
      </c>
      <c r="Q11" s="323">
        <f t="shared" si="1"/>
        <v>0</v>
      </c>
      <c r="R11" s="323">
        <f t="shared" si="1"/>
        <v>0</v>
      </c>
      <c r="S11" s="323">
        <f t="shared" si="1"/>
        <v>0</v>
      </c>
      <c r="T11" s="258">
        <f t="shared" si="3"/>
        <v>0</v>
      </c>
      <c r="U11" s="72"/>
      <c r="V11" s="332" t="s">
        <v>242</v>
      </c>
      <c r="W11" s="323">
        <f t="shared" si="2"/>
        <v>0</v>
      </c>
      <c r="X11" s="323">
        <f t="shared" si="2"/>
        <v>0</v>
      </c>
      <c r="Y11" s="323">
        <f t="shared" si="2"/>
        <v>0</v>
      </c>
      <c r="Z11" s="323">
        <f t="shared" si="2"/>
        <v>0</v>
      </c>
      <c r="AA11" s="323">
        <f t="shared" si="2"/>
        <v>0</v>
      </c>
      <c r="AB11" s="323">
        <f t="shared" si="2"/>
        <v>0</v>
      </c>
      <c r="AC11" s="323">
        <f t="shared" si="2"/>
        <v>0</v>
      </c>
      <c r="AD11" s="323">
        <f t="shared" si="2"/>
        <v>0</v>
      </c>
      <c r="AE11" s="323">
        <f t="shared" si="2"/>
        <v>0</v>
      </c>
      <c r="AF11" s="323">
        <f t="shared" si="2"/>
        <v>0</v>
      </c>
      <c r="AG11" s="259">
        <f t="shared" si="4"/>
        <v>0</v>
      </c>
      <c r="AI11" s="64">
        <v>46</v>
      </c>
      <c r="AJ11" s="207">
        <f>SUMIFS(UndCompra,Material,$AI$1,Ref,$AI$3,Color,$AJ$4,Tamaño,$AI$11)-SUMIFS(YS,SKU,$BE$31,Cierre,AJ$4)</f>
        <v>-4</v>
      </c>
      <c r="AK11" s="209">
        <f>SUMIFS(UndCompra,Material,$AI$1,Ref,$AI$3,Color,$AK$4,Tamaño,$AI$11)-SUMIFS(YS,SKU,$BE$31,Cierre,AK$4)</f>
        <v>0</v>
      </c>
      <c r="AL11"/>
      <c r="AM11"/>
      <c r="AN11"/>
      <c r="AO11"/>
      <c r="AP11"/>
      <c r="AQ11"/>
      <c r="AR11" s="236"/>
      <c r="AS11" s="236"/>
      <c r="AT11" s="64">
        <v>57</v>
      </c>
      <c r="AU11" s="216">
        <f>SUMIFS(UndCompra,Material,$AI$1,Ref,$AT$3,Tamaño,$AT$11)-SUMIFS(S,SKU,$BE$170,Cierre,$AU$4)-SUMIFS(M,SKU,$BE$170,Cierre,$AU$4)</f>
        <v>0</v>
      </c>
      <c r="AV11"/>
      <c r="AW11"/>
      <c r="AX11"/>
      <c r="AY11"/>
      <c r="AZ11" s="179">
        <v>69</v>
      </c>
      <c r="BA11" s="216">
        <f>SUMIFS(UndCompra,Material,$AI$1,Ref,$AZ$3,Tamaño,$AZ$11)-SUMIFS(XS,SKU,$BE$229,Cierre,$BA$4)</f>
        <v>0</v>
      </c>
      <c r="BB11"/>
      <c r="BC11"/>
      <c r="BE11" s="296" t="s">
        <v>241</v>
      </c>
      <c r="BF11" s="342">
        <v>64</v>
      </c>
      <c r="BG11" s="343">
        <f>+AJ27</f>
        <v>-10</v>
      </c>
      <c r="BH11" s="342">
        <v>64</v>
      </c>
      <c r="BI11" s="344">
        <f>+AK27</f>
        <v>-7</v>
      </c>
    </row>
    <row r="12" spans="2:93" ht="15.75" thickBot="1" x14ac:dyDescent="0.3">
      <c r="I12" s="296" t="s">
        <v>239</v>
      </c>
      <c r="J12" s="317">
        <f>SUMIFS(UndCompra,Material,Inv!$I$7,Talla,Inv!I12)</f>
        <v>0</v>
      </c>
      <c r="K12" s="296" t="s">
        <v>239</v>
      </c>
      <c r="L12" s="297">
        <f>SUMIFS(UndCompra,Material,Inv!$K$7,Talla,Inv!$K12)-SUM(YM)</f>
        <v>-71</v>
      </c>
      <c r="N12" s="200" t="s">
        <v>312</v>
      </c>
      <c r="P12" s="324" t="s">
        <v>326</v>
      </c>
      <c r="Q12" s="323">
        <f t="shared" si="1"/>
        <v>0</v>
      </c>
      <c r="R12" s="323">
        <f t="shared" si="1"/>
        <v>0</v>
      </c>
      <c r="S12" s="323">
        <f t="shared" si="1"/>
        <v>0</v>
      </c>
      <c r="T12" s="258">
        <f t="shared" si="3"/>
        <v>0</v>
      </c>
      <c r="U12" s="72"/>
      <c r="V12" s="332" t="s">
        <v>243</v>
      </c>
      <c r="W12" s="323">
        <f t="shared" si="2"/>
        <v>0</v>
      </c>
      <c r="X12" s="323">
        <f t="shared" si="2"/>
        <v>0</v>
      </c>
      <c r="Y12" s="323">
        <f t="shared" si="2"/>
        <v>0</v>
      </c>
      <c r="Z12" s="323">
        <f t="shared" si="2"/>
        <v>0</v>
      </c>
      <c r="AA12" s="323">
        <f t="shared" si="2"/>
        <v>0</v>
      </c>
      <c r="AB12" s="323">
        <f t="shared" si="2"/>
        <v>0</v>
      </c>
      <c r="AC12" s="323">
        <f t="shared" si="2"/>
        <v>0</v>
      </c>
      <c r="AD12" s="323">
        <f t="shared" si="2"/>
        <v>0</v>
      </c>
      <c r="AE12" s="323">
        <f t="shared" si="2"/>
        <v>0</v>
      </c>
      <c r="AF12" s="323">
        <f t="shared" si="2"/>
        <v>0</v>
      </c>
      <c r="AG12" s="259">
        <f t="shared" si="4"/>
        <v>0</v>
      </c>
      <c r="AI12" s="64">
        <v>47</v>
      </c>
      <c r="AJ12" s="207">
        <f>SUMIFS(UndCompra,Material,$AI$1,Ref,$AI$3,Color,$AJ$4,Tamaño,$AI$12)-SUMIFS(YS,SKU,$BE$17,Cierre,AJ$4)</f>
        <v>0</v>
      </c>
      <c r="AK12" s="209">
        <f>SUMIFS(UndCompra,Material,$AI$1,Ref,$AI$3,Color,$AK$4,Tamaño,$AI$12)-SUMIFS(YS,SKU,$BE$17,Cierre,AK$4)</f>
        <v>0</v>
      </c>
      <c r="AT12" s="64">
        <v>58</v>
      </c>
      <c r="AU12" s="216">
        <f>SUMIFS(UndCompra,Material,$AI$1,Ref,$AT$3,Tamaño,$AT$12)-SUMIFS(L,SKU,$BE$170,Cierre,$AU$4)</f>
        <v>0</v>
      </c>
      <c r="AZ12" s="179">
        <v>70</v>
      </c>
      <c r="BA12" s="216">
        <f>SUMIFS(UndCompra,Material,$AI$1,Ref,$AZ$3,Tamaño,$AZ$12)-SUMIFS(S,SKU,$BE$229,Cierre,$BA$4)</f>
        <v>0</v>
      </c>
      <c r="BE12" s="296" t="s">
        <v>242</v>
      </c>
      <c r="BF12" s="342">
        <v>66</v>
      </c>
      <c r="BG12" s="343">
        <f>+AJ28</f>
        <v>-11</v>
      </c>
      <c r="BH12" s="342">
        <v>66</v>
      </c>
      <c r="BI12" s="344">
        <f>+AK28</f>
        <v>-27</v>
      </c>
    </row>
    <row r="13" spans="2:93" ht="15.75" customHeight="1" thickBot="1" x14ac:dyDescent="0.3">
      <c r="B13" s="734" t="s">
        <v>304</v>
      </c>
      <c r="C13" s="735"/>
      <c r="D13" s="735"/>
      <c r="E13" s="735"/>
      <c r="F13" s="735"/>
      <c r="G13" s="736"/>
      <c r="I13" s="296" t="s">
        <v>240</v>
      </c>
      <c r="J13" s="317">
        <f>SUMIFS(UndCompra,Material,Inv!$I$7,Talla,Inv!I13)</f>
        <v>0</v>
      </c>
      <c r="K13" s="296" t="s">
        <v>240</v>
      </c>
      <c r="L13" s="297">
        <f>SUMIFS(UndCompra,Material,Inv!$K$7,Talla,Inv!$K13)-SUM(YL)</f>
        <v>-75</v>
      </c>
      <c r="N13" s="281"/>
      <c r="P13" s="324" t="s">
        <v>327</v>
      </c>
      <c r="Q13" s="323">
        <f t="shared" si="1"/>
        <v>0</v>
      </c>
      <c r="R13" s="323">
        <f t="shared" si="1"/>
        <v>0</v>
      </c>
      <c r="S13" s="323">
        <f t="shared" si="1"/>
        <v>0</v>
      </c>
      <c r="T13" s="258">
        <f t="shared" si="3"/>
        <v>0</v>
      </c>
      <c r="U13" s="72"/>
      <c r="V13" s="332" t="s">
        <v>244</v>
      </c>
      <c r="W13" s="323">
        <f t="shared" si="2"/>
        <v>0</v>
      </c>
      <c r="X13" s="323">
        <f t="shared" si="2"/>
        <v>0</v>
      </c>
      <c r="Y13" s="323">
        <f t="shared" si="2"/>
        <v>0</v>
      </c>
      <c r="Z13" s="323">
        <f t="shared" si="2"/>
        <v>0</v>
      </c>
      <c r="AA13" s="323">
        <f t="shared" si="2"/>
        <v>0</v>
      </c>
      <c r="AB13" s="323">
        <f t="shared" si="2"/>
        <v>0</v>
      </c>
      <c r="AC13" s="323">
        <f t="shared" si="2"/>
        <v>0</v>
      </c>
      <c r="AD13" s="323">
        <f t="shared" si="2"/>
        <v>0</v>
      </c>
      <c r="AE13" s="323">
        <f t="shared" si="2"/>
        <v>0</v>
      </c>
      <c r="AF13" s="323">
        <f t="shared" si="2"/>
        <v>0</v>
      </c>
      <c r="AG13" s="259">
        <f t="shared" si="4"/>
        <v>0</v>
      </c>
      <c r="AI13" s="64">
        <v>48</v>
      </c>
      <c r="AJ13" s="207">
        <f>SUMIFS(UndCompra,Material,$AI$1,Ref,$AI$3,Color,$AJ$4,Tamaño,$AI$13)-SUMIFS(_4C,SKU,$BE$3,Cierre,AJ$4)-SUMIFS(YM,SKU,$BE$31,Cierre,AJ$4)-SUMIFS(_4C,SKU,$BE$54,Cierre,$AJ$4)</f>
        <v>-5</v>
      </c>
      <c r="AK13" s="209">
        <f>SUMIFS(UndCompra,Material,$AI$1,Ref,$AI$3,Color,$AK$4,Tamaño,$AI$13)-SUMIFS(_4C,SKU,$BE$3,Cierre,AK$4)-SUMIFS(YM,SKU,$BE$31,Cierre,AK$4)</f>
        <v>-1</v>
      </c>
      <c r="AT13" s="64">
        <v>59</v>
      </c>
      <c r="AU13" s="216">
        <f>SUMIFS(UndCompra,Material,$AI$1,Ref,$AT$3,Tamaño,$AT$13)-SUMIFS(XL,SKU,$BE$170,Cierre,$AU$4)</f>
        <v>0</v>
      </c>
      <c r="AZ13" s="179">
        <v>71</v>
      </c>
      <c r="BA13" s="216">
        <f>SUMIFS(UndCompra,Material,$AI$1,Ref,$AZ$3,Tamaño,$AZ$13)-SUMIFS(M,SKU,$BE$229,Cierre,$BA$4)</f>
        <v>0</v>
      </c>
      <c r="BE13" s="296" t="s">
        <v>243</v>
      </c>
      <c r="BF13" s="342">
        <v>66</v>
      </c>
      <c r="BG13" s="343">
        <f>+AJ28</f>
        <v>-11</v>
      </c>
      <c r="BH13" s="342">
        <v>66</v>
      </c>
      <c r="BI13" s="344">
        <f>+AK28</f>
        <v>-27</v>
      </c>
    </row>
    <row r="14" spans="2:93" ht="15.75" customHeight="1" thickBot="1" x14ac:dyDescent="0.3">
      <c r="B14" s="287" t="s">
        <v>388</v>
      </c>
      <c r="C14" s="291">
        <f>SUM(C16:C24)</f>
        <v>-25</v>
      </c>
      <c r="D14" s="292">
        <f>SUM(D16:D24)</f>
        <v>-57</v>
      </c>
      <c r="E14" s="292">
        <f>SUM(E16:E24)</f>
        <v>-39</v>
      </c>
      <c r="F14" s="293">
        <f>SUM(F16:F24)</f>
        <v>-114</v>
      </c>
      <c r="G14" s="287">
        <f>SUM(C14:F14)</f>
        <v>-235</v>
      </c>
      <c r="I14" s="296" t="s">
        <v>241</v>
      </c>
      <c r="J14" s="317">
        <f>SUMIFS(UndCompra,Material,Inv!$I$7,Talla,Inv!I14)</f>
        <v>0</v>
      </c>
      <c r="K14" s="296" t="s">
        <v>241</v>
      </c>
      <c r="L14" s="297">
        <f>SUMIFS(UndCompra,Material,Inv!$K$7,Talla,Inv!$K14)-SUM(XS)</f>
        <v>-95</v>
      </c>
      <c r="N14" s="281"/>
      <c r="P14" s="324" t="s">
        <v>328</v>
      </c>
      <c r="Q14" s="323">
        <f t="shared" si="1"/>
        <v>0</v>
      </c>
      <c r="R14" s="323">
        <f t="shared" si="1"/>
        <v>0</v>
      </c>
      <c r="S14" s="323">
        <f t="shared" si="1"/>
        <v>0</v>
      </c>
      <c r="T14" s="258">
        <f t="shared" si="3"/>
        <v>0</v>
      </c>
      <c r="U14" s="72"/>
      <c r="V14" s="332" t="s">
        <v>245</v>
      </c>
      <c r="W14" s="323">
        <f t="shared" si="2"/>
        <v>0</v>
      </c>
      <c r="X14" s="323">
        <f t="shared" si="2"/>
        <v>0</v>
      </c>
      <c r="Y14" s="323">
        <f t="shared" si="2"/>
        <v>0</v>
      </c>
      <c r="Z14" s="323">
        <f t="shared" si="2"/>
        <v>0</v>
      </c>
      <c r="AA14" s="323">
        <f t="shared" si="2"/>
        <v>0</v>
      </c>
      <c r="AB14" s="323">
        <f t="shared" si="2"/>
        <v>0</v>
      </c>
      <c r="AC14" s="323">
        <f t="shared" si="2"/>
        <v>0</v>
      </c>
      <c r="AD14" s="323">
        <f t="shared" si="2"/>
        <v>0</v>
      </c>
      <c r="AE14" s="323">
        <f t="shared" si="2"/>
        <v>0</v>
      </c>
      <c r="AF14" s="323">
        <f t="shared" si="2"/>
        <v>0</v>
      </c>
      <c r="AG14" s="259">
        <f t="shared" si="4"/>
        <v>0</v>
      </c>
      <c r="AI14" s="64">
        <v>49</v>
      </c>
      <c r="AJ14" s="207">
        <f>SUMIFS(UndCompra,Material,$AI$1,Ref,$AI$3,Color,$AJ$4,Tamaño,$AI$14)-SUMIFS(YM,SKU,$BE$17,Cierre,AJ$4)</f>
        <v>0</v>
      </c>
      <c r="AK14" s="209">
        <f>SUMIFS(UndCompra,Material,$AI$1,Ref,$AI$3,Color,$AK$4,Tamaño,$AI$14)-SUMIFS(YM,SKU,$BE$17,Cierre,AK$4)</f>
        <v>0</v>
      </c>
      <c r="AT14" s="65">
        <v>60</v>
      </c>
      <c r="AU14" s="218">
        <f>SUMIFS(UndCompra,Material,$AI$1,Ref,$AT$3,Tamaño,$AT$14)-SUMIFS(XXL,SKU,$BE$170,Cierre,$AU$4)</f>
        <v>0</v>
      </c>
      <c r="AZ14" s="179">
        <v>72</v>
      </c>
      <c r="BA14" s="216">
        <f>SUMIFS(UndCompra,Material,$AI$1,Ref,$AZ$3,Tamaño,$AZ$14)-SUMIFS(L,SKU,$BE$229,Cierre,$BA$4)</f>
        <v>0</v>
      </c>
      <c r="BE14" s="296" t="s">
        <v>244</v>
      </c>
      <c r="BF14" s="342">
        <v>66</v>
      </c>
      <c r="BG14" s="343">
        <f>+AJ28</f>
        <v>-11</v>
      </c>
      <c r="BH14" s="342">
        <v>66</v>
      </c>
      <c r="BI14" s="344">
        <f>+AK28</f>
        <v>-27</v>
      </c>
    </row>
    <row r="15" spans="2:93" s="42" customFormat="1" ht="15.75" customHeight="1" thickBot="1" x14ac:dyDescent="0.3">
      <c r="B15" s="306" t="s">
        <v>305</v>
      </c>
      <c r="C15" s="306" t="s">
        <v>306</v>
      </c>
      <c r="D15" s="306" t="s">
        <v>307</v>
      </c>
      <c r="E15" s="306" t="s">
        <v>308</v>
      </c>
      <c r="F15" s="306" t="s">
        <v>309</v>
      </c>
      <c r="G15" s="282" t="s">
        <v>388</v>
      </c>
      <c r="I15" s="296" t="s">
        <v>242</v>
      </c>
      <c r="J15" s="317">
        <f>SUMIFS(UndCompra,Material,Inv!$I$7,Talla,Inv!I15)</f>
        <v>0</v>
      </c>
      <c r="K15" s="296" t="s">
        <v>242</v>
      </c>
      <c r="L15" s="297">
        <f>SUMIFS(UndCompra,Material,Inv!$K$7,Talla,Inv!$K15)-SUM(S)</f>
        <v>-99</v>
      </c>
      <c r="N15" s="319"/>
      <c r="P15" s="325" t="s">
        <v>328</v>
      </c>
      <c r="Q15" s="326">
        <f t="shared" si="1"/>
        <v>0</v>
      </c>
      <c r="R15" s="326">
        <f t="shared" si="1"/>
        <v>0</v>
      </c>
      <c r="S15" s="326">
        <f t="shared" si="1"/>
        <v>0</v>
      </c>
      <c r="T15" s="258">
        <f t="shared" si="3"/>
        <v>0</v>
      </c>
      <c r="U15" s="283"/>
      <c r="V15" s="333" t="s">
        <v>246</v>
      </c>
      <c r="W15" s="326">
        <f t="shared" si="2"/>
        <v>0</v>
      </c>
      <c r="X15" s="326">
        <f t="shared" si="2"/>
        <v>0</v>
      </c>
      <c r="Y15" s="326">
        <f t="shared" si="2"/>
        <v>0</v>
      </c>
      <c r="Z15" s="326">
        <f t="shared" si="2"/>
        <v>0</v>
      </c>
      <c r="AA15" s="326">
        <f t="shared" si="2"/>
        <v>0</v>
      </c>
      <c r="AB15" s="326">
        <f t="shared" si="2"/>
        <v>0</v>
      </c>
      <c r="AC15" s="326">
        <f t="shared" si="2"/>
        <v>0</v>
      </c>
      <c r="AD15" s="326">
        <f t="shared" si="2"/>
        <v>0</v>
      </c>
      <c r="AE15" s="326">
        <f t="shared" si="2"/>
        <v>0</v>
      </c>
      <c r="AF15" s="326">
        <f t="shared" si="2"/>
        <v>0</v>
      </c>
      <c r="AG15" s="259">
        <f t="shared" si="4"/>
        <v>0</v>
      </c>
      <c r="AI15" s="284">
        <v>50</v>
      </c>
      <c r="AJ15" s="207">
        <f>SUMIFS(UndCompra,Material,$AI$1,Ref,$AI$3,Color,$AJ$4,Tamaño,$AI$15)-SUMIFS(YL,SKU,$BE$31,Cierre,AJ$4)-SUMIFS(_6C,SKU,$BE$54,Cierre,$AJ$4)</f>
        <v>-6</v>
      </c>
      <c r="AK15" s="209">
        <f>SUMIFS(UndCompra,Material,$AI$1,Ref,$AI$3,Color,$AK$4,Tamaño,$AI$15)-SUMIFS(YL,SKU,$BE$31,Cierre,AK$4)</f>
        <v>0</v>
      </c>
      <c r="AT15" s="59"/>
      <c r="AU15" s="59"/>
      <c r="AZ15" s="285">
        <v>73</v>
      </c>
      <c r="BA15" s="216">
        <f>SUMIFS(UndCompra,Material,$AI$1,Ref,$AZ$3,Tamaño,$AZ$15)-SUMIFS(XL,SKU,$BE$229,Cierre,$BA$4)</f>
        <v>0</v>
      </c>
      <c r="BE15" s="296" t="s">
        <v>245</v>
      </c>
      <c r="BF15" s="345">
        <v>0</v>
      </c>
      <c r="BG15" s="346"/>
      <c r="BH15" s="345">
        <v>0</v>
      </c>
      <c r="BI15" s="347"/>
    </row>
    <row r="16" spans="2:93" ht="15.75" customHeight="1" thickBot="1" x14ac:dyDescent="0.3">
      <c r="B16" s="307" t="s">
        <v>266</v>
      </c>
      <c r="C16" s="308">
        <f>+SUMIFS(UndCompra,Material,Inv!$B$13,Ref,Inv!C$15,Color,Inv!$B16)-SUMIFS(_4C,CordonV,LEFT(C$15,5),Cor_Color,$B16)-SUMIFS(_6C,CordonV,LEFT(C$15,5),Cor_Color,$B16)-SUMIFS(YXS,CordonV,LEFT(C$15,5),Cor_Color,$B16)-SUMIFS(YS,CordonV,LEFT(C$15,5),Cor_Color,$B16)-SUMIFS(YM,CordonV,LEFT(C$15,5),Cor_Color,$B16)-SUMIFS(YL,CordonV,LEFT(C$15,5),Cor_Color,$B16)</f>
        <v>0</v>
      </c>
      <c r="D16" s="308">
        <f>+SUMIFS(UndCompra,Material,Inv!$B$13,Ref,Inv!D$15,Color,Inv!$B16)-SUMIFS(XS,CordonV,LEFT(D$15,5),Cor_Color,$B16)-SUMIFS(S,CordonV,LEFT(D$15,5),Cor_Color,$B16)-SUMIFS(M,CordonV,LEFT(D$15,5),Cor_Color,$B16)-SUMIFS(L,CordonV,LEFT(D$15,5),Cor_Color,$B16)-SUMIFS(XL,CordonV,LEFT(D$15,5),Cor_Color,$B16)-SUMIFS(XXL,CordonV,LEFT(D$15,5),Cor_Color,$B16)</f>
        <v>0</v>
      </c>
      <c r="E16" s="308">
        <f>+SUMIFS(UndCompra,Material,Inv!$B$13,Ref,Inv!E$15,Color,Inv!$B16)-SUMIFS(_4C,CordonV,LEFT(E$15,5),Cor_Color,$B16)-SUMIFS(_6C,CordonV,LEFT(E$15,5),Cor_Color,$B16)-SUMIFS(YXS,CordonV,LEFT(E$15,5),Cor_Color,$B16)-SUMIFS(YS,CordonV,LEFT(E$15,5),Cor_Color,$B16)-SUMIFS(YM,CordonV,LEFT(E$15,5),Cor_Color,$B16)-SUMIFS(YL,CordonV,LEFT(E$15,5),Cor_Color,$B16)</f>
        <v>0</v>
      </c>
      <c r="F16" s="309">
        <f>+SUMIFS(UndCompra,Material,Inv!$B$13,Ref,Inv!F$15,Color,Inv!$B16)-SUMIFS(XS,CordonV,LEFT(F$15,5),Cor_Color,$B16)-SUMIFS(S,CordonV,LEFT(F$15,5),Cor_Color,$B16)-SUMIFS(M,CordonV,LEFT(F$15,5),Cor_Color,$B16)-SUMIFS(L,CordonV,LEFT(F$15,5),Cor_Color,$B16)-SUMIFS(XL,CordonV,LEFT(F$15,5),Cor_Color,$B16)-SUMIFS(XXL,CordonV,LEFT(F$15,5),Cor_Color,$B16)</f>
        <v>0</v>
      </c>
      <c r="G16" s="288">
        <f>SUM(C16:F16)</f>
        <v>0</v>
      </c>
      <c r="I16" s="296" t="s">
        <v>243</v>
      </c>
      <c r="J16" s="317">
        <f>SUMIFS(UndCompra,Material,Inv!$I$7,Talla,Inv!I16)</f>
        <v>0</v>
      </c>
      <c r="K16" s="296" t="s">
        <v>243</v>
      </c>
      <c r="L16" s="297">
        <f>SUMIFS(UndCompra,Material,Inv!$K$7,Talla,Inv!$K16)-SUM(M)</f>
        <v>-117</v>
      </c>
      <c r="N16" s="281"/>
      <c r="P16" s="324" t="s">
        <v>329</v>
      </c>
      <c r="Q16" s="323">
        <f t="shared" si="1"/>
        <v>0</v>
      </c>
      <c r="R16" s="323">
        <f t="shared" si="1"/>
        <v>0</v>
      </c>
      <c r="S16" s="323">
        <f t="shared" si="1"/>
        <v>0</v>
      </c>
      <c r="T16" s="258">
        <f t="shared" si="3"/>
        <v>0</v>
      </c>
      <c r="U16" s="72"/>
      <c r="V16" s="260" t="s">
        <v>293</v>
      </c>
      <c r="W16" s="261">
        <f t="shared" ref="W16:AF16" si="5">SUM(W4:W15)</f>
        <v>0</v>
      </c>
      <c r="X16" s="261">
        <f t="shared" si="5"/>
        <v>0</v>
      </c>
      <c r="Y16" s="261">
        <f t="shared" si="5"/>
        <v>0</v>
      </c>
      <c r="Z16" s="261">
        <f t="shared" si="5"/>
        <v>0</v>
      </c>
      <c r="AA16" s="261">
        <f t="shared" si="5"/>
        <v>0</v>
      </c>
      <c r="AB16" s="261">
        <f t="shared" si="5"/>
        <v>0</v>
      </c>
      <c r="AC16" s="261">
        <f t="shared" si="5"/>
        <v>0</v>
      </c>
      <c r="AD16" s="261">
        <f t="shared" si="5"/>
        <v>0</v>
      </c>
      <c r="AE16" s="261">
        <f t="shared" si="5"/>
        <v>0</v>
      </c>
      <c r="AF16" s="262">
        <f t="shared" si="5"/>
        <v>4</v>
      </c>
      <c r="AG16" s="263">
        <f>SUM(AG4:AG15)</f>
        <v>4</v>
      </c>
      <c r="AI16" s="64">
        <v>52</v>
      </c>
      <c r="AJ16" s="207">
        <f>SUMIFS(UndCompra,Material,$AI$1,Ref,$AI$3,Color,$AJ$4,Tamaño,$AI$16)-SUMIFS(_6C,SKU,$BE$3,Cierre,AJ$4)</f>
        <v>0</v>
      </c>
      <c r="AK16" s="209">
        <f>SUMIFS(UndCompra,Material,$AI$1,Ref,$AI$3,Color,$AK$4,Tamaño,$AI$16)-SUMIFS(_6C,SKU,$BE$3,Cierre,AK$4)</f>
        <v>-2</v>
      </c>
      <c r="AZ16" s="180">
        <v>75</v>
      </c>
      <c r="BA16" s="218">
        <f>SUMIFS(UndCompra,Material,$AI$1,Ref,$AZ$3,Tamaño,$AZ$16)-SUMIFS(XXL,SKU,$BE$229,Cierre,$BA$4)</f>
        <v>0</v>
      </c>
      <c r="BE16" s="298" t="s">
        <v>246</v>
      </c>
      <c r="BF16" s="348">
        <v>0</v>
      </c>
      <c r="BG16" s="349"/>
      <c r="BH16" s="348">
        <v>0</v>
      </c>
      <c r="BI16" s="350"/>
    </row>
    <row r="17" spans="2:61" ht="15.75" thickBot="1" x14ac:dyDescent="0.3">
      <c r="B17" s="310" t="s">
        <v>265</v>
      </c>
      <c r="C17" s="311">
        <f>+SUMIFS(UndCompra,Material,Inv!$B$13,Ref,Inv!C$15,Color,Inv!$B17)-SUMIFS(_4C,CordonV,LEFT(C$15,5),Cor_Color,$B17)-SUMIFS(_6C,CordonV,LEFT(C$15,5),Cor_Color,$B17)-SUMIFS(YXS,CordonV,LEFT(C$15,5),Cor_Color,$B17)-SUMIFS(YS,CordonV,LEFT(C$15,5),Cor_Color,$B17)-SUMIFS(YM,CordonV,LEFT(C$15,5),Cor_Color,$B17)-SUMIFS(YL,CordonV,LEFT(C$15,5),Cor_Color,$B17)</f>
        <v>-25</v>
      </c>
      <c r="D17" s="311">
        <f>+SUMIFS(UndCompra,Material,Inv!$B$13,Ref,Inv!D$15,Color,Inv!$B17)-SUMIFS(XS,CordonV,LEFT(D$15,5),Cor_Color,$B17)-SUMIFS(S,CordonV,LEFT(D$15,5),Cor_Color,$B17)-SUMIFS(M,CordonV,LEFT(D$15,5),Cor_Color,$B17)-SUMIFS(L,CordonV,LEFT(D$15,5),Cor_Color,$B17)-SUMIFS(XL,CordonV,LEFT(D$15,5),Cor_Color,$B17)-SUMIFS(XXL,CordonV,LEFT(D$15,5),Cor_Color,$B17)</f>
        <v>-57</v>
      </c>
      <c r="E17" s="311">
        <f>+SUMIFS(UndCompra,Material,Inv!$B$13,Ref,Inv!E$15,Color,Inv!$B17)-SUMIFS(_4C,CordonV,LEFT(E$15,5),Cor_Color,$B17)-SUMIFS(_6C,CordonV,LEFT(E$15,5),Cor_Color,$B17)-SUMIFS(YXS,CordonV,LEFT(E$15,5),Cor_Color,$B17)-SUMIFS(YS,CordonV,LEFT(E$15,5),Cor_Color,$B17)-SUMIFS(YM,CordonV,LEFT(E$15,5),Cor_Color,$B17)-SUMIFS(YL,CordonV,LEFT(E$15,5),Cor_Color,$B17)</f>
        <v>-21</v>
      </c>
      <c r="F17" s="312">
        <f>+SUMIFS(UndCompra,Material,Inv!$B$13,Ref,Inv!F$15,Color,Inv!$B17)-SUMIFS(XS,CordonV,LEFT(F$15,5),Cor_Color,$B17)-SUMIFS(S,CordonV,LEFT(F$15,5),Cor_Color,$B17)-SUMIFS(M,CordonV,LEFT(F$15,5),Cor_Color,$B17)-SUMIFS(L,CordonV,LEFT(F$15,5),Cor_Color,$B17)-SUMIFS(XL,CordonV,LEFT(F$15,5),Cor_Color,$B17)-SUMIFS(XXL,CordonV,LEFT(F$15,5),Cor_Color,$B17)</f>
        <v>-57</v>
      </c>
      <c r="G17" s="289">
        <f t="shared" ref="G17:G24" si="6">SUM(C17:F17)</f>
        <v>-160</v>
      </c>
      <c r="I17" s="296" t="s">
        <v>244</v>
      </c>
      <c r="J17" s="317">
        <f>SUMIFS(UndCompra,Material,Inv!$I$7,Talla,Inv!I17)</f>
        <v>0</v>
      </c>
      <c r="K17" s="296" t="s">
        <v>244</v>
      </c>
      <c r="L17" s="297">
        <f>SUMIFS(UndCompra,Material,Inv!$K$7,Talla,Inv!$K17)-SUM(L)</f>
        <v>-126</v>
      </c>
      <c r="N17" s="281"/>
      <c r="P17" s="324" t="s">
        <v>330</v>
      </c>
      <c r="Q17" s="323">
        <f t="shared" si="1"/>
        <v>0</v>
      </c>
      <c r="R17" s="323">
        <f t="shared" si="1"/>
        <v>0</v>
      </c>
      <c r="S17" s="323">
        <f t="shared" si="1"/>
        <v>0</v>
      </c>
      <c r="T17" s="258">
        <f t="shared" si="3"/>
        <v>0</v>
      </c>
      <c r="U17" s="72"/>
      <c r="V17" s="72"/>
      <c r="W17" s="72"/>
      <c r="X17" s="72"/>
      <c r="Y17" s="72"/>
      <c r="Z17" s="72"/>
      <c r="AA17" s="72"/>
      <c r="AB17" s="72"/>
      <c r="AC17" s="72"/>
      <c r="AD17" s="72"/>
      <c r="AE17" s="72"/>
      <c r="AF17" s="72"/>
      <c r="AG17" s="72"/>
      <c r="AI17" s="64">
        <v>53</v>
      </c>
      <c r="AJ17" s="207">
        <f>SUMIFS(UndCompra,Material,$AI$1,Ref,$AI$3,Color,$AJ$4,Tamaño,$AI$17)-SUMIFS(YXS,SKU,$BE$3,Cierre,AJ$4)-SUMIFS(YL,SKU,$BE$17,Cierre,AJ$4)</f>
        <v>0</v>
      </c>
      <c r="AK17" s="209">
        <f>SUMIFS(UndCompra,Material,$AI$1,Ref,$AI$3,Color,$AK$4,Tamaño,$AI$17)-SUMIFS(YXS,SKU,$BE$3,Cierre,AK$4)-SUMIFS(YL,SKU,$BE$17,Cierre,AK$4)</f>
        <v>-3</v>
      </c>
      <c r="AZ17" s="236"/>
      <c r="BA17" s="236"/>
      <c r="BE17" s="164" t="s">
        <v>391</v>
      </c>
      <c r="BF17" s="165"/>
      <c r="BG17" s="183"/>
      <c r="BH17" s="165"/>
      <c r="BI17" s="184"/>
    </row>
    <row r="18" spans="2:61" ht="15.75" thickBot="1" x14ac:dyDescent="0.3">
      <c r="B18" s="310" t="s">
        <v>248</v>
      </c>
      <c r="C18" s="311">
        <f>+SUMIFS(UndCompra,Material,Inv!$B$13,Ref,Inv!C$15,Color,Inv!$B18)-SUMIFS(_4C,CordonV,LEFT(C$15,5),Cor_Color,$B18)-SUMIFS(_6C,CordonV,LEFT(C$15,5),Cor_Color,$B18)-SUMIFS(YXS,CordonV,LEFT(C$15,5),Cor_Color,$B18)-SUMIFS(YS,CordonV,LEFT(C$15,5),Cor_Color,$B18)-SUMIFS(YM,CordonV,LEFT(C$15,5),Cor_Color,$B18)-SUMIFS(YL,CordonV,LEFT(C$15,5),Cor_Color,$B18)</f>
        <v>0</v>
      </c>
      <c r="D18" s="311">
        <f>+SUMIFS(UndCompra,Material,Inv!$B$13,Ref,Inv!D$15,Color,Inv!$B18)-SUMIFS(XS,CordonV,LEFT(D$15,5),Cor_Color,$B18)-SUMIFS(S,CordonV,LEFT(D$15,5),Cor_Color,$B18)-SUMIFS(M,CordonV,LEFT(D$15,5),Cor_Color,$B18)-SUMIFS(L,CordonV,LEFT(D$15,5),Cor_Color,$B18)-SUMIFS(XL,CordonV,LEFT(D$15,5),Cor_Color,$B18)-SUMIFS(XXL,CordonV,LEFT(D$15,5),Cor_Color,$B18)</f>
        <v>0</v>
      </c>
      <c r="E18" s="311">
        <f>+SUMIFS(UndCompra,Material,Inv!$B$13,Ref,Inv!E$15,Color,Inv!$B18)-SUMIFS(_4C,CordonV,LEFT(E$15,5),Cor_Color,$B18)-SUMIFS(_6C,CordonV,LEFT(E$15,5),Cor_Color,$B18)-SUMIFS(YXS,CordonV,LEFT(E$15,5),Cor_Color,$B18)-SUMIFS(YS,CordonV,LEFT(E$15,5),Cor_Color,$B18)-SUMIFS(YM,CordonV,LEFT(E$15,5),Cor_Color,$B18)-SUMIFS(YL,CordonV,LEFT(E$15,5),Cor_Color,$B18)</f>
        <v>-18</v>
      </c>
      <c r="F18" s="312">
        <f>+SUMIFS(UndCompra,Material,Inv!$B$13,Ref,Inv!F$15,Color,Inv!$B18)-SUMIFS(XS,CordonV,LEFT(F$15,5),Cor_Color,$B18)-SUMIFS(S,CordonV,LEFT(F$15,5),Cor_Color,$B18)-SUMIFS(M,CordonV,LEFT(F$15,5),Cor_Color,$B18)-SUMIFS(L,CordonV,LEFT(F$15,5),Cor_Color,$B18)-SUMIFS(XL,CordonV,LEFT(F$15,5),Cor_Color,$B18)-SUMIFS(XXL,CordonV,LEFT(F$15,5),Cor_Color,$B18)</f>
        <v>-57</v>
      </c>
      <c r="G18" s="289">
        <f t="shared" si="6"/>
        <v>-75</v>
      </c>
      <c r="I18" s="296" t="s">
        <v>245</v>
      </c>
      <c r="J18" s="317">
        <f>SUMIFS(UndCompra,Material,Inv!$I$7,Talla,Inv!I18)</f>
        <v>0</v>
      </c>
      <c r="K18" s="296" t="s">
        <v>245</v>
      </c>
      <c r="L18" s="297">
        <f>SUMIFS(UndCompra,Material,Inv!$K$7,Talla,Inv!$K18)-SUM(XL)</f>
        <v>-143</v>
      </c>
      <c r="N18" s="281"/>
      <c r="P18" s="324" t="s">
        <v>331</v>
      </c>
      <c r="Q18" s="323">
        <f t="shared" si="1"/>
        <v>0</v>
      </c>
      <c r="R18" s="323">
        <f t="shared" si="1"/>
        <v>0</v>
      </c>
      <c r="S18" s="323">
        <f t="shared" si="1"/>
        <v>0</v>
      </c>
      <c r="T18" s="258">
        <f t="shared" si="3"/>
        <v>0</v>
      </c>
      <c r="U18" s="72"/>
      <c r="V18" s="72"/>
      <c r="W18" s="72"/>
      <c r="X18" s="72"/>
      <c r="Y18" s="72"/>
      <c r="Z18" s="72"/>
      <c r="AA18" s="72"/>
      <c r="AB18" s="72"/>
      <c r="AC18" s="72"/>
      <c r="AD18" s="72"/>
      <c r="AE18" s="72"/>
      <c r="AF18" s="72"/>
      <c r="AG18" s="72"/>
      <c r="AI18" s="64">
        <v>54</v>
      </c>
      <c r="AJ18" s="207">
        <f>SUMIFS(UndCompra,Material,$AI$1,Ref,$AI$3,Color,$AJ$4,Tamaño,$AI$18)-SUMIFS(XS,SKU,$BE$17,Cierre,AJ$4)</f>
        <v>0</v>
      </c>
      <c r="AK18" s="209">
        <f>SUMIFS(UndCompra,Material,$AI$1,Ref,$AI$3,Color,$AK$4,Tamaño,$AI$18)-SUMIFS(XS,SKU,$BE$17,Cierre,AK$4)</f>
        <v>0</v>
      </c>
      <c r="BE18" s="357" t="s">
        <v>362</v>
      </c>
      <c r="BF18" s="335" t="s">
        <v>265</v>
      </c>
      <c r="BG18" s="358" t="s">
        <v>268</v>
      </c>
      <c r="BH18" s="337" t="s">
        <v>269</v>
      </c>
      <c r="BI18" s="358" t="s">
        <v>268</v>
      </c>
    </row>
    <row r="19" spans="2:61" ht="15.75" thickBot="1" x14ac:dyDescent="0.3">
      <c r="B19" s="310" t="s">
        <v>251</v>
      </c>
      <c r="C19" s="311">
        <f>+SUMIFS(UndCompra,Material,Inv!$B$13,Ref,Inv!C$15,Color,Inv!$B19)-SUMIFS(_4C,CordonV,LEFT(C$15,5),Cor_Color,$B19)-SUMIFS(_6C,CordonV,LEFT(C$15,5),Cor_Color,$B19)-SUMIFS(YXS,CordonV,LEFT(C$15,5),Cor_Color,$B19)-SUMIFS(YS,CordonV,LEFT(C$15,5),Cor_Color,$B19)-SUMIFS(YM,CordonV,LEFT(C$15,5),Cor_Color,$B19)-SUMIFS(YL,CordonV,LEFT(C$15,5),Cor_Color,$B19)</f>
        <v>0</v>
      </c>
      <c r="D19" s="311">
        <f>+SUMIFS(UndCompra,Material,Inv!$B$13,Ref,Inv!D$15,Color,Inv!$B19)-SUMIFS(XS,CordonV,LEFT(D$15,5),Cor_Color,$B19)-SUMIFS(S,CordonV,LEFT(D$15,5),Cor_Color,$B19)-SUMIFS(M,CordonV,LEFT(D$15,5),Cor_Color,$B19)-SUMIFS(L,CordonV,LEFT(D$15,5),Cor_Color,$B19)-SUMIFS(XL,CordonV,LEFT(D$15,5),Cor_Color,$B19)-SUMIFS(XXL,CordonV,LEFT(D$15,5),Cor_Color,$B19)</f>
        <v>0</v>
      </c>
      <c r="E19" s="311">
        <f>+SUMIFS(UndCompra,Material,Inv!$B$13,Ref,Inv!E$15,Color,Inv!$B19)-SUMIFS(_4C,CordonV,LEFT(E$15,5),Cor_Color,$B19)-SUMIFS(_6C,CordonV,LEFT(E$15,5),Cor_Color,$B19)-SUMIFS(YXS,CordonV,LEFT(E$15,5),Cor_Color,$B19)-SUMIFS(YS,CordonV,LEFT(E$15,5),Cor_Color,$B19)-SUMIFS(YM,CordonV,LEFT(E$15,5),Cor_Color,$B19)-SUMIFS(YL,CordonV,LEFT(E$15,5),Cor_Color,$B19)</f>
        <v>0</v>
      </c>
      <c r="F19" s="312">
        <f>+SUMIFS(UndCompra,Material,Inv!$B$13,Ref,Inv!F$15,Color,Inv!$B19)-SUMIFS(XS,CordonV,LEFT(F$15,5),Cor_Color,$B19)-SUMIFS(S,CordonV,LEFT(F$15,5),Cor_Color,$B19)-SUMIFS(M,CordonV,LEFT(F$15,5),Cor_Color,$B19)-SUMIFS(L,CordonV,LEFT(F$15,5),Cor_Color,$B19)-SUMIFS(XL,CordonV,LEFT(F$15,5),Cor_Color,$B19)-SUMIFS(XXL,CordonV,LEFT(F$15,5),Cor_Color,$B19)</f>
        <v>0</v>
      </c>
      <c r="G19" s="289">
        <f t="shared" si="6"/>
        <v>0</v>
      </c>
      <c r="I19" s="298" t="s">
        <v>246</v>
      </c>
      <c r="J19" s="318">
        <f>SUMIFS(UndCompra,Material,Inv!$I$7,Talla,Inv!I19)</f>
        <v>0</v>
      </c>
      <c r="K19" s="298" t="s">
        <v>246</v>
      </c>
      <c r="L19" s="299">
        <f>SUMIFS(UndCompra,Material,Inv!$K$7,Talla,Inv!$K19)-SUM(XXL)</f>
        <v>-147</v>
      </c>
      <c r="N19" s="281"/>
      <c r="P19" s="324" t="s">
        <v>332</v>
      </c>
      <c r="Q19" s="323">
        <f t="shared" si="1"/>
        <v>0</v>
      </c>
      <c r="R19" s="323">
        <f t="shared" si="1"/>
        <v>0</v>
      </c>
      <c r="S19" s="323">
        <f t="shared" si="1"/>
        <v>0</v>
      </c>
      <c r="T19" s="258">
        <f t="shared" si="3"/>
        <v>0</v>
      </c>
      <c r="U19" s="72"/>
      <c r="V19" s="72"/>
      <c r="W19" s="72"/>
      <c r="X19" s="72"/>
      <c r="Y19" s="72"/>
      <c r="Z19" s="72"/>
      <c r="AA19" s="72"/>
      <c r="AB19" s="72"/>
      <c r="AC19" s="72"/>
      <c r="AD19" s="72"/>
      <c r="AE19" s="72"/>
      <c r="AF19" s="72"/>
      <c r="AG19" s="72"/>
      <c r="AI19" s="64">
        <v>56</v>
      </c>
      <c r="AJ19" s="207">
        <f>SUMIFS(UndCompra,Material,$AI$1,Ref,$AI$3,Color,$AJ$4,Tamaño,$AI$19)-SUMIFS(S,SKU,$BE$17,Cierre,AJ$4)-SUMIFS(XS,SKU,$BE$31,Cierre,AJ$4)</f>
        <v>-7</v>
      </c>
      <c r="AK19" s="209">
        <f>SUMIFS(UndCompra,Material,$AI$1,Ref,$AI$3,Color,$AK$4,Tamaño,$AI$19)-SUMIFS(S,SKU,$BE$17,Cierre,AK$4)-SUMIFS(XS,SKU,$BE$31,Cierre,AK$4)</f>
        <v>0</v>
      </c>
      <c r="BE19" s="294" t="s">
        <v>348</v>
      </c>
      <c r="BF19" s="339">
        <v>40</v>
      </c>
      <c r="BG19" s="340">
        <f>+AJ8</f>
        <v>0</v>
      </c>
      <c r="BH19" s="339">
        <v>40</v>
      </c>
      <c r="BI19" s="341">
        <f>+AK8</f>
        <v>0</v>
      </c>
    </row>
    <row r="20" spans="2:61" ht="15.75" thickBot="1" x14ac:dyDescent="0.3">
      <c r="B20" s="310" t="s">
        <v>250</v>
      </c>
      <c r="C20" s="311">
        <f>+SUMIFS(UndCompra,Material,Inv!$B$13,Ref,Inv!C$15,Color,Inv!$B20)-SUMIFS(_4C,CordonV,LEFT(C$15,5),Cor_Color,$B20)-SUMIFS(_6C,CordonV,LEFT(C$15,5),Cor_Color,$B20)-SUMIFS(YXS,CordonV,LEFT(C$15,5),Cor_Color,$B20)-SUMIFS(YS,CordonV,LEFT(C$15,5),Cor_Color,$B20)-SUMIFS(YM,CordonV,LEFT(C$15,5),Cor_Color,$B20)-SUMIFS(YL,CordonV,LEFT(C$15,5),Cor_Color,$B20)</f>
        <v>0</v>
      </c>
      <c r="D20" s="311">
        <f>+SUMIFS(UndCompra,Material,Inv!$B$13,Ref,Inv!D$15,Color,Inv!$B20)-SUMIFS(XS,CordonV,LEFT(D$15,5),Cor_Color,$B20)-SUMIFS(S,CordonV,LEFT(D$15,5),Cor_Color,$B20)-SUMIFS(M,CordonV,LEFT(D$15,5),Cor_Color,$B20)-SUMIFS(L,CordonV,LEFT(D$15,5),Cor_Color,$B20)-SUMIFS(XL,CordonV,LEFT(D$15,5),Cor_Color,$B20)-SUMIFS(XXL,CordonV,LEFT(D$15,5),Cor_Color,$B20)</f>
        <v>0</v>
      </c>
      <c r="E20" s="311">
        <f>+SUMIFS(UndCompra,Material,Inv!$B$13,Ref,Inv!E$15,Color,Inv!$B20)-SUMIFS(_4C,CordonV,LEFT(E$15,5),Cor_Color,$B20)-SUMIFS(_6C,CordonV,LEFT(E$15,5),Cor_Color,$B20)-SUMIFS(YXS,CordonV,LEFT(E$15,5),Cor_Color,$B20)-SUMIFS(YS,CordonV,LEFT(E$15,5),Cor_Color,$B20)-SUMIFS(YM,CordonV,LEFT(E$15,5),Cor_Color,$B20)-SUMIFS(YL,CordonV,LEFT(E$15,5),Cor_Color,$B20)</f>
        <v>0</v>
      </c>
      <c r="F20" s="312">
        <f>+SUMIFS(UndCompra,Material,Inv!$B$13,Ref,Inv!F$15,Color,Inv!$B20)-SUMIFS(XS,CordonV,LEFT(F$15,5),Cor_Color,$B20)-SUMIFS(S,CordonV,LEFT(F$15,5),Cor_Color,$B20)-SUMIFS(M,CordonV,LEFT(F$15,5),Cor_Color,$B20)-SUMIFS(L,CordonV,LEFT(F$15,5),Cor_Color,$B20)-SUMIFS(XL,CordonV,LEFT(F$15,5),Cor_Color,$B20)-SUMIFS(XXL,CordonV,LEFT(F$15,5),Cor_Color,$B20)</f>
        <v>0</v>
      </c>
      <c r="G20" s="289">
        <f t="shared" si="6"/>
        <v>0</v>
      </c>
      <c r="I20" s="267" t="s">
        <v>293</v>
      </c>
      <c r="J20" s="196">
        <f>SUM(J8:J19)</f>
        <v>0</v>
      </c>
      <c r="K20" s="267" t="s">
        <v>293</v>
      </c>
      <c r="L20" s="196">
        <f>SUM(L8:L19)</f>
        <v>-1007</v>
      </c>
      <c r="N20" s="281"/>
      <c r="P20" s="324" t="s">
        <v>333</v>
      </c>
      <c r="Q20" s="323">
        <f t="shared" si="1"/>
        <v>0</v>
      </c>
      <c r="R20" s="323">
        <f t="shared" si="1"/>
        <v>0</v>
      </c>
      <c r="S20" s="323">
        <f t="shared" si="1"/>
        <v>0</v>
      </c>
      <c r="T20" s="258">
        <f t="shared" si="3"/>
        <v>0</v>
      </c>
      <c r="U20" s="72"/>
      <c r="V20" s="72"/>
      <c r="W20" s="72"/>
      <c r="X20" s="72"/>
      <c r="Y20" s="72"/>
      <c r="Z20" s="72"/>
      <c r="AA20" s="72"/>
      <c r="AB20" s="72"/>
      <c r="AC20" s="72"/>
      <c r="AD20" s="72"/>
      <c r="AE20" s="72"/>
      <c r="AF20" s="72"/>
      <c r="AG20" s="72"/>
      <c r="AI20" s="64">
        <v>57</v>
      </c>
      <c r="AJ20" s="207">
        <f>SUMIFS(UndCompra,Material,$AI$1,Ref,$AI$3,Color,$AJ$4,Tamaño,$AI$20)-SUMIFS(YS,SKU,$BE$3,Cierre,AJ$4)</f>
        <v>0</v>
      </c>
      <c r="AK20" s="209">
        <f>SUMIFS(UndCompra,Material,$AI$1,Ref,$AI$3,Color,$AK$4,Tamaño,$AI$20)-SUMIFS(YS,SKU,$BE$3,Cierre,AK$4)</f>
        <v>-4</v>
      </c>
      <c r="BE20" s="296" t="s">
        <v>349</v>
      </c>
      <c r="BF20" s="342">
        <v>42</v>
      </c>
      <c r="BG20" s="343">
        <f>+AJ9</f>
        <v>0</v>
      </c>
      <c r="BH20" s="342">
        <v>42</v>
      </c>
      <c r="BI20" s="344">
        <f>+AK9</f>
        <v>0</v>
      </c>
    </row>
    <row r="21" spans="2:61" x14ac:dyDescent="0.25">
      <c r="B21" s="310" t="s">
        <v>310</v>
      </c>
      <c r="C21" s="311">
        <f>+SUMIFS(UndCompra,Material,Inv!$B$13,Ref,Inv!C$15,Color,Inv!$B21)-SUMIFS(_4C,CordonV,LEFT(C$15,5),Cor_Color,$B21)-SUMIFS(_6C,CordonV,LEFT(C$15,5),Cor_Color,$B21)-SUMIFS(YXS,CordonV,LEFT(C$15,5),Cor_Color,$B21)-SUMIFS(YS,CordonV,LEFT(C$15,5),Cor_Color,$B21)-SUMIFS(YM,CordonV,LEFT(C$15,5),Cor_Color,$B21)-SUMIFS(YL,CordonV,LEFT(C$15,5),Cor_Color,$B21)</f>
        <v>0</v>
      </c>
      <c r="D21" s="311">
        <f>+SUMIFS(UndCompra,Material,Inv!$B$13,Ref,Inv!D$15,Color,Inv!$B21)-SUMIFS(XS,CordonV,LEFT(D$15,5),Cor_Color,$B21)-SUMIFS(S,CordonV,LEFT(D$15,5),Cor_Color,$B21)-SUMIFS(M,CordonV,LEFT(D$15,5),Cor_Color,$B21)-SUMIFS(L,CordonV,LEFT(D$15,5),Cor_Color,$B21)-SUMIFS(XL,CordonV,LEFT(D$15,5),Cor_Color,$B21)-SUMIFS(XXL,CordonV,LEFT(D$15,5),Cor_Color,$B21)</f>
        <v>0</v>
      </c>
      <c r="E21" s="311">
        <f>+SUMIFS(UndCompra,Material,Inv!$B$13,Ref,Inv!E$15,Color,Inv!$B21)-SUMIFS(_4C,CordonV,LEFT(E$15,5),Cor_Color,$B21)-SUMIFS(_6C,CordonV,LEFT(E$15,5),Cor_Color,$B21)-SUMIFS(YXS,CordonV,LEFT(E$15,5),Cor_Color,$B21)-SUMIFS(YS,CordonV,LEFT(E$15,5),Cor_Color,$B21)-SUMIFS(YM,CordonV,LEFT(E$15,5),Cor_Color,$B21)-SUMIFS(YL,CordonV,LEFT(E$15,5),Cor_Color,$B21)</f>
        <v>0</v>
      </c>
      <c r="F21" s="312">
        <f>+SUMIFS(UndCompra,Material,Inv!$B$13,Ref,Inv!F$15,Color,Inv!$B21)-SUMIFS(XS,CordonV,LEFT(F$15,5),Cor_Color,$B21)-SUMIFS(S,CordonV,LEFT(F$15,5),Cor_Color,$B21)-SUMIFS(M,CordonV,LEFT(F$15,5),Cor_Color,$B21)-SUMIFS(L,CordonV,LEFT(F$15,5),Cor_Color,$B21)-SUMIFS(XL,CordonV,LEFT(F$15,5),Cor_Color,$B21)-SUMIFS(XXL,CordonV,LEFT(F$15,5),Cor_Color,$B21)</f>
        <v>0</v>
      </c>
      <c r="G21" s="289">
        <f t="shared" si="6"/>
        <v>0</v>
      </c>
      <c r="N21" s="281"/>
      <c r="P21" s="324" t="s">
        <v>334</v>
      </c>
      <c r="Q21" s="323">
        <f t="shared" si="1"/>
        <v>0</v>
      </c>
      <c r="R21" s="323">
        <f t="shared" si="1"/>
        <v>0</v>
      </c>
      <c r="S21" s="323">
        <f t="shared" si="1"/>
        <v>0</v>
      </c>
      <c r="T21" s="258">
        <f t="shared" si="3"/>
        <v>0</v>
      </c>
      <c r="U21" s="72"/>
      <c r="V21" s="72"/>
      <c r="W21" s="72"/>
      <c r="X21" s="72"/>
      <c r="Y21" s="72"/>
      <c r="Z21" s="72"/>
      <c r="AA21" s="72"/>
      <c r="AB21" s="72"/>
      <c r="AC21" s="72"/>
      <c r="AD21" s="72"/>
      <c r="AE21" s="72"/>
      <c r="AF21" s="72"/>
      <c r="AG21" s="72"/>
      <c r="AI21" s="168">
        <v>58</v>
      </c>
      <c r="AJ21" s="207">
        <f>SUMIFS(UndCompra,Material,$AI$1,Ref,$AI$3,Color,$AJ$4,Tamaño,$AI$21)-SUMIFS(M,SKU,$BE$17,Cierre,AJ$4)-SUMIFS(S,SKU,$BE$31,Cierre,AJ$4)-SUMIFS(YXS,SKU,$BE$54,Cierre,$AJ$4)</f>
        <v>-8</v>
      </c>
      <c r="AK21" s="209">
        <f>SUMIFS(UndCompra,Material,$AI$1,Ref,$AI$3,Color,$AK$4,Tamaño,$AI$21)-SUMIFS(M,SKU,$BE$17,Cierre,AK$4)-SUMIFS(S,SKU,$BE$31,Cierre,AK$4)</f>
        <v>0</v>
      </c>
      <c r="BE21" s="296" t="s">
        <v>237</v>
      </c>
      <c r="BF21" s="342">
        <v>44</v>
      </c>
      <c r="BG21" s="343">
        <f>+AJ10</f>
        <v>0</v>
      </c>
      <c r="BH21" s="342">
        <v>44</v>
      </c>
      <c r="BI21" s="344">
        <f>+AK10</f>
        <v>0</v>
      </c>
    </row>
    <row r="22" spans="2:61" x14ac:dyDescent="0.25">
      <c r="B22" s="310" t="s">
        <v>249</v>
      </c>
      <c r="C22" s="311">
        <f>+SUMIFS(UndCompra,Material,Inv!$B$13,Ref,Inv!C$15,Color,Inv!$B22)-SUMIFS(_4C,CordonV,LEFT(C$15,5),Cor_Color,$B22)-SUMIFS(_6C,CordonV,LEFT(C$15,5),Cor_Color,$B22)-SUMIFS(YXS,CordonV,LEFT(C$15,5),Cor_Color,$B22)-SUMIFS(YS,CordonV,LEFT(C$15,5),Cor_Color,$B22)-SUMIFS(YM,CordonV,LEFT(C$15,5),Cor_Color,$B22)-SUMIFS(YL,CordonV,LEFT(C$15,5),Cor_Color,$B22)</f>
        <v>0</v>
      </c>
      <c r="D22" s="311">
        <f>+SUMIFS(UndCompra,Material,Inv!$B$13,Ref,Inv!D$15,Color,Inv!$B22)-SUMIFS(XS,CordonV,LEFT(D$15,5),Cor_Color,$B22)-SUMIFS(S,CordonV,LEFT(D$15,5),Cor_Color,$B22)-SUMIFS(M,CordonV,LEFT(D$15,5),Cor_Color,$B22)-SUMIFS(L,CordonV,LEFT(D$15,5),Cor_Color,$B22)-SUMIFS(XL,CordonV,LEFT(D$15,5),Cor_Color,$B22)-SUMIFS(XXL,CordonV,LEFT(D$15,5),Cor_Color,$B22)</f>
        <v>0</v>
      </c>
      <c r="E22" s="311">
        <f>+SUMIFS(UndCompra,Material,Inv!$B$13,Ref,Inv!E$15,Color,Inv!$B22)-SUMIFS(_4C,CordonV,LEFT(E$15,5),Cor_Color,$B22)-SUMIFS(_6C,CordonV,LEFT(E$15,5),Cor_Color,$B22)-SUMIFS(YXS,CordonV,LEFT(E$15,5),Cor_Color,$B22)-SUMIFS(YS,CordonV,LEFT(E$15,5),Cor_Color,$B22)-SUMIFS(YM,CordonV,LEFT(E$15,5),Cor_Color,$B22)-SUMIFS(YL,CordonV,LEFT(E$15,5),Cor_Color,$B22)</f>
        <v>0</v>
      </c>
      <c r="F22" s="312">
        <f>+SUMIFS(UndCompra,Material,Inv!$B$13,Ref,Inv!F$15,Color,Inv!$B22)-SUMIFS(XS,CordonV,LEFT(F$15,5),Cor_Color,$B22)-SUMIFS(S,CordonV,LEFT(F$15,5),Cor_Color,$B22)-SUMIFS(M,CordonV,LEFT(F$15,5),Cor_Color,$B22)-SUMIFS(L,CordonV,LEFT(F$15,5),Cor_Color,$B22)-SUMIFS(XL,CordonV,LEFT(F$15,5),Cor_Color,$B22)-SUMIFS(XXL,CordonV,LEFT(F$15,5),Cor_Color,$B22)</f>
        <v>0</v>
      </c>
      <c r="G22" s="289">
        <f t="shared" si="6"/>
        <v>0</v>
      </c>
      <c r="N22" s="281"/>
      <c r="P22" s="324" t="s">
        <v>335</v>
      </c>
      <c r="Q22" s="323">
        <f t="shared" si="1"/>
        <v>0</v>
      </c>
      <c r="R22" s="323">
        <f t="shared" si="1"/>
        <v>0</v>
      </c>
      <c r="S22" s="323">
        <f t="shared" si="1"/>
        <v>0</v>
      </c>
      <c r="T22" s="258">
        <f t="shared" si="3"/>
        <v>0</v>
      </c>
      <c r="U22" s="72"/>
      <c r="V22" s="72"/>
      <c r="W22" s="72"/>
      <c r="X22" s="72"/>
      <c r="Y22" s="72"/>
      <c r="Z22" s="72"/>
      <c r="AA22" s="72"/>
      <c r="AB22" s="72"/>
      <c r="AC22" s="72"/>
      <c r="AD22" s="72"/>
      <c r="AE22" s="72"/>
      <c r="AF22" s="72"/>
      <c r="AG22" s="72"/>
      <c r="AI22" s="64">
        <v>59</v>
      </c>
      <c r="AJ22" s="207">
        <f>SUMIFS(UndCompra,Material,$AI$1,Ref,$AI$3,Color,$AJ$4,Tamaño,$AI$22)-SUMIFS(YM,SKU,$BE$3,Cierre,AJ$4)-SUMIFS(L,SKU,$BE$17,Cierre,AJ$4)-SUMIFS(YS,SKU,$BE$54,Cierre,$AJ$4)</f>
        <v>0</v>
      </c>
      <c r="AK22" s="209">
        <f>SUMIFS(UndCompra,Material,$AI$1,Ref,$AI$3,Color,$AK$4,Tamaño,$AI$22)-SUMIFS(YM,SKU,$BE$3,Cierre,AK$4)-SUMIFS(L,SKU,$BE$17,Cierre,AK$4)</f>
        <v>-5</v>
      </c>
      <c r="BE22" s="296" t="s">
        <v>238</v>
      </c>
      <c r="BF22" s="342">
        <v>47</v>
      </c>
      <c r="BG22" s="343">
        <f>+AJ12</f>
        <v>0</v>
      </c>
      <c r="BH22" s="342">
        <v>47</v>
      </c>
      <c r="BI22" s="344">
        <f>+AK12</f>
        <v>0</v>
      </c>
    </row>
    <row r="23" spans="2:61" x14ac:dyDescent="0.25">
      <c r="B23" s="310" t="s">
        <v>311</v>
      </c>
      <c r="C23" s="311">
        <f>+SUMIFS(UndCompra,Material,Inv!$B$13,Ref,Inv!C$15,Color,Inv!$B23)-SUMIFS(_4C,CordonV,LEFT(C$15,5),Cor_Color,$B23)-SUMIFS(_6C,CordonV,LEFT(C$15,5),Cor_Color,$B23)-SUMIFS(YXS,CordonV,LEFT(C$15,5),Cor_Color,$B23)-SUMIFS(YS,CordonV,LEFT(C$15,5),Cor_Color,$B23)-SUMIFS(YM,CordonV,LEFT(C$15,5),Cor_Color,$B23)-SUMIFS(YL,CordonV,LEFT(C$15,5),Cor_Color,$B23)</f>
        <v>0</v>
      </c>
      <c r="D23" s="311">
        <f>+SUMIFS(UndCompra,Material,Inv!$B$13,Ref,Inv!D$15,Color,Inv!$B23)-SUMIFS(XS,CordonV,LEFT(D$15,5),Cor_Color,$B23)-SUMIFS(S,CordonV,LEFT(D$15,5),Cor_Color,$B23)-SUMIFS(M,CordonV,LEFT(D$15,5),Cor_Color,$B23)-SUMIFS(L,CordonV,LEFT(D$15,5),Cor_Color,$B23)-SUMIFS(XL,CordonV,LEFT(D$15,5),Cor_Color,$B23)-SUMIFS(XXL,CordonV,LEFT(D$15,5),Cor_Color,$B23)</f>
        <v>0</v>
      </c>
      <c r="E23" s="311">
        <f>+SUMIFS(UndCompra,Material,Inv!$B$13,Ref,Inv!E$15,Color,Inv!$B23)-SUMIFS(_4C,CordonV,LEFT(E$15,5),Cor_Color,$B23)-SUMIFS(_6C,CordonV,LEFT(E$15,5),Cor_Color,$B23)-SUMIFS(YXS,CordonV,LEFT(E$15,5),Cor_Color,$B23)-SUMIFS(YS,CordonV,LEFT(E$15,5),Cor_Color,$B23)-SUMIFS(YM,CordonV,LEFT(E$15,5),Cor_Color,$B23)-SUMIFS(YL,CordonV,LEFT(E$15,5),Cor_Color,$B23)</f>
        <v>0</v>
      </c>
      <c r="F23" s="312">
        <f>+SUMIFS(UndCompra,Material,Inv!$B$13,Ref,Inv!F$15,Color,Inv!$B23)-SUMIFS(XS,CordonV,LEFT(F$15,5),Cor_Color,$B23)-SUMIFS(S,CordonV,LEFT(F$15,5),Cor_Color,$B23)-SUMIFS(M,CordonV,LEFT(F$15,5),Cor_Color,$B23)-SUMIFS(L,CordonV,LEFT(F$15,5),Cor_Color,$B23)-SUMIFS(XL,CordonV,LEFT(F$15,5),Cor_Color,$B23)-SUMIFS(XXL,CordonV,LEFT(F$15,5),Cor_Color,$B23)</f>
        <v>0</v>
      </c>
      <c r="G23" s="289">
        <f t="shared" si="6"/>
        <v>0</v>
      </c>
      <c r="N23" s="281"/>
      <c r="P23" s="324" t="s">
        <v>336</v>
      </c>
      <c r="Q23" s="323">
        <f t="shared" si="1"/>
        <v>0</v>
      </c>
      <c r="R23" s="323">
        <f t="shared" si="1"/>
        <v>0</v>
      </c>
      <c r="S23" s="323">
        <f t="shared" si="1"/>
        <v>0</v>
      </c>
      <c r="T23" s="258">
        <f t="shared" si="3"/>
        <v>0</v>
      </c>
      <c r="U23" s="72"/>
      <c r="V23" s="72"/>
      <c r="W23" s="72"/>
      <c r="X23" s="72"/>
      <c r="Y23" s="72"/>
      <c r="Z23" s="72"/>
      <c r="AA23" s="72"/>
      <c r="AB23" s="72"/>
      <c r="AC23" s="72"/>
      <c r="AD23" s="72"/>
      <c r="AE23" s="72"/>
      <c r="AF23" s="72"/>
      <c r="AG23" s="72"/>
      <c r="AI23" s="168">
        <v>60</v>
      </c>
      <c r="AJ23" s="207">
        <f>SUMIFS(UndCompra,Material,$AI$1,Ref,$AI$3,Color,$AJ$4,Tamaño,$AI$23)-SUMIFS(XL,SKU,$BE$17,Cierre,AJ$4)</f>
        <v>0</v>
      </c>
      <c r="AK23" s="209">
        <f>SUMIFS(UndCompra,Material,$AI$1,Ref,$AI$3,Color,$AK$4,Tamaño,$AI$23)-SUMIFS(XL,SKU,$BE$17,Cierre,AK$4)</f>
        <v>0</v>
      </c>
      <c r="BE23" s="296" t="s">
        <v>239</v>
      </c>
      <c r="BF23" s="342">
        <v>49</v>
      </c>
      <c r="BG23" s="343">
        <f>+AJ14</f>
        <v>0</v>
      </c>
      <c r="BH23" s="342">
        <v>49</v>
      </c>
      <c r="BI23" s="344">
        <f>+AK14</f>
        <v>0</v>
      </c>
    </row>
    <row r="24" spans="2:61" ht="15.75" thickBot="1" x14ac:dyDescent="0.3">
      <c r="B24" s="313" t="s">
        <v>312</v>
      </c>
      <c r="C24" s="314">
        <f>+SUMIFS(UndCompra,Material,Inv!$B$13,Ref,Inv!C$15,Color,Inv!$B24)-SUMIFS(_4C,CordonV,LEFT(C$15,5),Cor_Color,$B24)-SUMIFS(_6C,CordonV,LEFT(C$15,5),Cor_Color,$B24)-SUMIFS(YXS,CordonV,LEFT(C$15,5),Cor_Color,$B24)-SUMIFS(YS,CordonV,LEFT(C$15,5),Cor_Color,$B24)-SUMIFS(YM,CordonV,LEFT(C$15,5),Cor_Color,$B24)-SUMIFS(YL,CordonV,LEFT(C$15,5),Cor_Color,$B24)</f>
        <v>0</v>
      </c>
      <c r="D24" s="314">
        <f>+SUMIFS(UndCompra,Material,Inv!$B$13,Ref,Inv!D$15,Color,Inv!$B24)-SUMIFS(XS,CordonV,LEFT(D$15,5),Cor_Color,$B24)-SUMIFS(S,CordonV,LEFT(D$15,5),Cor_Color,$B24)-SUMIFS(M,CordonV,LEFT(D$15,5),Cor_Color,$B24)-SUMIFS(L,CordonV,LEFT(D$15,5),Cor_Color,$B24)-SUMIFS(XL,CordonV,LEFT(D$15,5),Cor_Color,$B24)-SUMIFS(XXL,CordonV,LEFT(D$15,5),Cor_Color,$B24)</f>
        <v>0</v>
      </c>
      <c r="E24" s="314">
        <f>+SUMIFS(UndCompra,Material,Inv!$B$13,Ref,Inv!E$15,Color,Inv!$B24)-SUMIFS(_4C,CordonV,LEFT(E$15,5),Cor_Color,$B24)-SUMIFS(_6C,CordonV,LEFT(E$15,5),Cor_Color,$B24)-SUMIFS(YXS,CordonV,LEFT(E$15,5),Cor_Color,$B24)-SUMIFS(YS,CordonV,LEFT(E$15,5),Cor_Color,$B24)-SUMIFS(YM,CordonV,LEFT(E$15,5),Cor_Color,$B24)-SUMIFS(YL,CordonV,LEFT(E$15,5),Cor_Color,$B24)</f>
        <v>0</v>
      </c>
      <c r="F24" s="315">
        <f>+SUMIFS(UndCompra,Material,Inv!$B$13,Ref,Inv!F$15,Color,Inv!$B24)-SUMIFS(XS,CordonV,LEFT(F$15,5),Cor_Color,$B24)-SUMIFS(S,CordonV,LEFT(F$15,5),Cor_Color,$B24)-SUMIFS(M,CordonV,LEFT(F$15,5),Cor_Color,$B24)-SUMIFS(L,CordonV,LEFT(F$15,5),Cor_Color,$B24)-SUMIFS(XL,CordonV,LEFT(F$15,5),Cor_Color,$B24)-SUMIFS(XXL,CordonV,LEFT(F$15,5),Cor_Color,$B24)</f>
        <v>0</v>
      </c>
      <c r="G24" s="290">
        <f t="shared" si="6"/>
        <v>0</v>
      </c>
      <c r="P24" s="327" t="s">
        <v>337</v>
      </c>
      <c r="Q24" s="323">
        <f t="shared" si="1"/>
        <v>0</v>
      </c>
      <c r="R24" s="323">
        <f t="shared" si="1"/>
        <v>0</v>
      </c>
      <c r="S24" s="323">
        <f t="shared" si="1"/>
        <v>0</v>
      </c>
      <c r="T24" s="264">
        <f t="shared" si="3"/>
        <v>0</v>
      </c>
      <c r="U24" s="72"/>
      <c r="V24" s="72"/>
      <c r="W24" s="72"/>
      <c r="X24" s="72"/>
      <c r="Y24" s="72"/>
      <c r="Z24" s="72"/>
      <c r="AA24" s="72"/>
      <c r="AB24" s="72"/>
      <c r="AC24" s="72"/>
      <c r="AD24" s="72"/>
      <c r="AE24" s="72"/>
      <c r="AF24" s="72"/>
      <c r="AG24" s="72"/>
      <c r="AI24" s="168">
        <v>61</v>
      </c>
      <c r="AJ24" s="207">
        <f>SUMIFS(UndCompra,Material,$AI$1,Ref,$AI$3,Color,$AJ$4,Tamaño,$AI$24)-SUMIFS(M,SKU,$BE$31,Cierre,AJ$4)-SUMIFS(YM,SKU,$BE$54,Cierre,$AJ$4)</f>
        <v>-9</v>
      </c>
      <c r="AK24" s="209">
        <f>SUMIFS(UndCompra,Material,$AI$1,Ref,$AI$3,Color,$AK$4,Tamaño,$AI$24)-SUMIFS(M,SKU,$BE$31,Cierre,AK$4)</f>
        <v>0</v>
      </c>
      <c r="BE24" s="296" t="s">
        <v>240</v>
      </c>
      <c r="BF24" s="342">
        <v>53</v>
      </c>
      <c r="BG24" s="343">
        <f>+AJ17</f>
        <v>0</v>
      </c>
      <c r="BH24" s="342">
        <v>53</v>
      </c>
      <c r="BI24" s="344">
        <f>+AK17</f>
        <v>-3</v>
      </c>
    </row>
    <row r="25" spans="2:61" ht="15.75" customHeight="1" thickBot="1" x14ac:dyDescent="0.3">
      <c r="B25" s="784" t="s">
        <v>313</v>
      </c>
      <c r="C25" s="786" t="s">
        <v>402</v>
      </c>
      <c r="D25" s="786" t="s">
        <v>401</v>
      </c>
      <c r="E25" s="786" t="s">
        <v>402</v>
      </c>
      <c r="F25" s="786" t="s">
        <v>401</v>
      </c>
      <c r="I25" s="797" t="s">
        <v>152</v>
      </c>
      <c r="P25" s="199" t="s">
        <v>338</v>
      </c>
      <c r="Q25" s="265">
        <f>SUM(Q4:Q22)</f>
        <v>0</v>
      </c>
      <c r="R25" s="261">
        <f>SUM(R4:R22)</f>
        <v>0</v>
      </c>
      <c r="S25" s="266">
        <f>SUM(S4:S24)</f>
        <v>0</v>
      </c>
      <c r="T25" s="263">
        <f>SUM(T4:T24)</f>
        <v>0</v>
      </c>
      <c r="U25" s="72"/>
      <c r="V25" s="72"/>
      <c r="W25" s="72"/>
      <c r="X25" s="72"/>
      <c r="Y25" s="72"/>
      <c r="Z25" s="72"/>
      <c r="AA25" s="72"/>
      <c r="AB25" s="72"/>
      <c r="AC25" s="72"/>
      <c r="AD25" s="72"/>
      <c r="AE25" s="72"/>
      <c r="AF25" s="72"/>
      <c r="AG25" s="72"/>
      <c r="AI25" s="64">
        <v>62</v>
      </c>
      <c r="AJ25" s="207">
        <f>SUMIFS(UndCompra,Material,$AI$1,Ref,$AI$3,Color,$AJ$4,Tamaño,$AI$25)-SUMIFS(YL,SKU,$BE$3,Cierre,AJ$4)-SUMIFS(YL,SKU,$BE$54,Cierre,$AJ$4)</f>
        <v>0</v>
      </c>
      <c r="AK25" s="209">
        <f>SUMIFS(UndCompra,Material,$AI$1,Ref,$AI$3,Color,$AK$4,Tamaño,$AI$25)-SUMIFS(YL,SKU,$BE$3,Cierre,AK$4)</f>
        <v>-6</v>
      </c>
      <c r="BE25" s="296" t="s">
        <v>241</v>
      </c>
      <c r="BF25" s="342">
        <v>54</v>
      </c>
      <c r="BG25" s="343">
        <f>+AJ18</f>
        <v>0</v>
      </c>
      <c r="BH25" s="342">
        <v>54</v>
      </c>
      <c r="BI25" s="344">
        <f>+AK18</f>
        <v>0</v>
      </c>
    </row>
    <row r="26" spans="2:61" ht="15.75" thickBot="1" x14ac:dyDescent="0.3">
      <c r="B26" s="785"/>
      <c r="C26" s="787"/>
      <c r="D26" s="787"/>
      <c r="E26" s="787"/>
      <c r="F26" s="787"/>
      <c r="I26" s="798"/>
      <c r="AI26" s="64">
        <v>63</v>
      </c>
      <c r="AJ26" s="207">
        <f>SUMIFS(UndCompra,Material,$AI$1,Ref,$AI$3,Color,$AJ$4,Tamaño,$AI$26)-SUMIFS(XS,SKU,$BE$54,Cierre,$AJ$4)-SUMIFS(S,SKU,$BE$54,Cierre,$AJ$4)</f>
        <v>0</v>
      </c>
      <c r="AK26" s="209">
        <f>SUMIFS(UndCompra,Material,$AI$1,Ref,$AI$3,Color,$AK$4,Tamaño,$AI$26)</f>
        <v>0</v>
      </c>
      <c r="BE26" s="296" t="s">
        <v>242</v>
      </c>
      <c r="BF26" s="342">
        <v>56</v>
      </c>
      <c r="BG26" s="343">
        <f>+AJ19</f>
        <v>-7</v>
      </c>
      <c r="BH26" s="342">
        <v>56</v>
      </c>
      <c r="BI26" s="344">
        <f>+AK19</f>
        <v>0</v>
      </c>
    </row>
    <row r="27" spans="2:61" x14ac:dyDescent="0.25">
      <c r="I27" s="711"/>
      <c r="AI27" s="64">
        <v>64</v>
      </c>
      <c r="AJ27" s="207">
        <f>SUMIFS(UndCompra,Material,$AI$1,Ref,$AI$3,Color,$AJ$4,Tamaño,$AI$27)-SUMIFS(XS,SKU,$BE$3,Cierre,AJ$4)-SUMIFS(XXL,SKU,$BE$17,Cierre,AJ$4)-SUMIFS(L,SKU,$BE$31,Cierre,AJ$4)</f>
        <v>-10</v>
      </c>
      <c r="AK27" s="209">
        <f>SUMIFS(UndCompra,Material,$AI$1,Ref,$AI$3,Color,$AK$4,Tamaño,$AI$27)-SUMIFS(XS,SKU,$BE$3,Cierre,AK$4)-SUMIFS(XXL,SKU,$BE$17,Cierre,AK$4)-SUMIFS(L,SKU,$BE$31,Cierre,AK$4)</f>
        <v>-7</v>
      </c>
      <c r="BE27" s="296" t="s">
        <v>243</v>
      </c>
      <c r="BF27" s="342">
        <v>58</v>
      </c>
      <c r="BG27" s="351">
        <f>+AJ21</f>
        <v>-8</v>
      </c>
      <c r="BH27" s="342">
        <v>58</v>
      </c>
      <c r="BI27" s="352">
        <f>+AK21</f>
        <v>0</v>
      </c>
    </row>
    <row r="28" spans="2:61" ht="15.75" thickBot="1" x14ac:dyDescent="0.3">
      <c r="I28" s="712"/>
      <c r="AI28" s="64">
        <v>66</v>
      </c>
      <c r="AJ28" s="207">
        <f>SUMIFS(UndCompra,Material,$AI$1,Ref,$AI$3,Color,$AJ$4,Tamaño,$AI$28)-SUMIFS(S,SKU,$BE$3,Cierre,AJ$4)-SUMIFS(M,SKU,$BE$3,Cierre,AJ$4)-SUMIFS(L,SKU,$BE$3,Cierre,AJ$4)-SUMIFS(XL,SKU,$BE$31,Cierre,AJ$4)-SUMIFS(M,SKU,$BE$54,Cierre,$AJ$4)</f>
        <v>-11</v>
      </c>
      <c r="AK28" s="209">
        <f>SUMIFS(UndCompra,Material,$AI$1,Ref,$AI$3,Color,$AK$4,Tamaño,$AI$28)-SUMIFS(S,SKU,$BE$3,Cierre,AK$4)-SUMIFS(M,SKU,$BE$3,Cierre,AK$4)-SUMIFS(L,SKU,$BE$3,Cierre,AK$4)-SUMIFS(XL,SKU,$BE$31,Cierre,AK$4)</f>
        <v>-27</v>
      </c>
      <c r="BE28" s="296" t="s">
        <v>244</v>
      </c>
      <c r="BF28" s="342">
        <v>59</v>
      </c>
      <c r="BG28" s="351">
        <f>+AJ22</f>
        <v>0</v>
      </c>
      <c r="BH28" s="342">
        <v>59</v>
      </c>
      <c r="BI28" s="352">
        <f>+AK22</f>
        <v>-5</v>
      </c>
    </row>
    <row r="29" spans="2:61" x14ac:dyDescent="0.25">
      <c r="AI29" s="168">
        <v>68</v>
      </c>
      <c r="AJ29" s="207">
        <f>SUMIFS(UndCompra,Material,$AI$1,Ref,$AI$3,Color,$AJ$4,Tamaño,$AI$29)-SUMIFS(L,SKU,$BE$54,Cierre,$AJ$4)</f>
        <v>0</v>
      </c>
      <c r="AK29" s="209">
        <f>SUMIFS(UndCompra,Material,$AI$1,Ref,$AI$3,Color,$AK$4,Tamaño,$AI$29)</f>
        <v>0</v>
      </c>
      <c r="BE29" s="296" t="s">
        <v>245</v>
      </c>
      <c r="BF29" s="342">
        <v>60</v>
      </c>
      <c r="BG29" s="351">
        <f>+AJ23</f>
        <v>0</v>
      </c>
      <c r="BH29" s="342">
        <v>60</v>
      </c>
      <c r="BI29" s="352">
        <f>+AK23</f>
        <v>0</v>
      </c>
    </row>
    <row r="30" spans="2:61" ht="15.75" thickBot="1" x14ac:dyDescent="0.3">
      <c r="AI30" s="168">
        <v>70</v>
      </c>
      <c r="AJ30" s="207">
        <f>SUMIFS(UndCompra,Material,$AI$1,Ref,$AI$3,Color,$AJ$4,Tamaño,$AI$30)-SUMIFS(XL,SKU,$BE$54,Cierre,$AJ$4)</f>
        <v>0</v>
      </c>
      <c r="AK30" s="209">
        <f>SUMIFS(UndCompra,Material,$AI$1,Ref,$AI$3,Color,$AK$4,Tamaño,$AI$30)</f>
        <v>0</v>
      </c>
      <c r="BE30" s="298" t="s">
        <v>246</v>
      </c>
      <c r="BF30" s="348">
        <v>64</v>
      </c>
      <c r="BG30" s="349">
        <f>+AJ27</f>
        <v>-10</v>
      </c>
      <c r="BH30" s="348">
        <v>64</v>
      </c>
      <c r="BI30" s="350">
        <f>+AK27</f>
        <v>-7</v>
      </c>
    </row>
    <row r="31" spans="2:61" ht="15.75" thickBot="1" x14ac:dyDescent="0.3">
      <c r="AI31" s="269">
        <v>73</v>
      </c>
      <c r="AJ31" s="270">
        <f>SUMIFS(UndCompra,Material,$AI$1,Ref,$AI$3,Color,$AJ$4,Tamaño,$AI$31)-SUMIFS(XXL,SKU,$BE$54,Cierre,$AJ$4)</f>
        <v>0</v>
      </c>
      <c r="AK31" s="271">
        <f>SUMIFS(UndCompra,Material,$AI$1,Ref,$AI$3,Color,$AK$4,Tamaño,$AI$31)</f>
        <v>0</v>
      </c>
      <c r="BE31" s="164" t="s">
        <v>11</v>
      </c>
      <c r="BF31" s="165"/>
      <c r="BG31" s="183"/>
      <c r="BH31" s="165"/>
      <c r="BI31" s="184"/>
    </row>
    <row r="32" spans="2:61" ht="15.75" thickBot="1" x14ac:dyDescent="0.3">
      <c r="AI32" s="236"/>
      <c r="AJ32" s="236"/>
      <c r="BE32" s="357" t="s">
        <v>362</v>
      </c>
      <c r="BF32" s="335" t="s">
        <v>265</v>
      </c>
      <c r="BG32" s="358" t="s">
        <v>268</v>
      </c>
      <c r="BH32" s="337" t="s">
        <v>269</v>
      </c>
      <c r="BI32" s="358" t="s">
        <v>268</v>
      </c>
    </row>
    <row r="33" spans="35:61" x14ac:dyDescent="0.25">
      <c r="AI33" s="236"/>
      <c r="AJ33" s="236"/>
      <c r="BE33" s="294" t="s">
        <v>348</v>
      </c>
      <c r="BF33" s="339">
        <v>35</v>
      </c>
      <c r="BG33" s="340">
        <f>+AJ5</f>
        <v>-1</v>
      </c>
      <c r="BH33" s="339">
        <v>35</v>
      </c>
      <c r="BI33" s="341">
        <f>+AK5</f>
        <v>0</v>
      </c>
    </row>
    <row r="34" spans="35:61" x14ac:dyDescent="0.25">
      <c r="AI34" s="236"/>
      <c r="AJ34" s="236"/>
      <c r="BE34" s="296" t="s">
        <v>349</v>
      </c>
      <c r="BF34" s="342">
        <v>37</v>
      </c>
      <c r="BG34" s="343">
        <f>+AJ6</f>
        <v>-2</v>
      </c>
      <c r="BH34" s="342">
        <v>37</v>
      </c>
      <c r="BI34" s="344">
        <f>+AK6</f>
        <v>0</v>
      </c>
    </row>
    <row r="35" spans="35:61" x14ac:dyDescent="0.25">
      <c r="AI35" s="236"/>
      <c r="AJ35" s="236"/>
      <c r="BE35" s="296" t="s">
        <v>237</v>
      </c>
      <c r="BF35" s="342">
        <v>39</v>
      </c>
      <c r="BG35" s="343">
        <f>+AJ7</f>
        <v>-3</v>
      </c>
      <c r="BH35" s="342">
        <v>39</v>
      </c>
      <c r="BI35" s="344">
        <f>+AK7</f>
        <v>0</v>
      </c>
    </row>
    <row r="36" spans="35:61" x14ac:dyDescent="0.25">
      <c r="AI36" s="236"/>
      <c r="AJ36" s="236"/>
      <c r="BE36" s="296" t="s">
        <v>238</v>
      </c>
      <c r="BF36" s="342">
        <v>46</v>
      </c>
      <c r="BG36" s="343">
        <f>+AJ11</f>
        <v>-4</v>
      </c>
      <c r="BH36" s="342">
        <v>46</v>
      </c>
      <c r="BI36" s="344">
        <f>+AK11</f>
        <v>0</v>
      </c>
    </row>
    <row r="37" spans="35:61" x14ac:dyDescent="0.25">
      <c r="AI37" s="236"/>
      <c r="AJ37" s="236"/>
      <c r="BE37" s="296" t="s">
        <v>239</v>
      </c>
      <c r="BF37" s="342">
        <v>48</v>
      </c>
      <c r="BG37" s="343">
        <f>+AJ13</f>
        <v>-5</v>
      </c>
      <c r="BH37" s="342">
        <v>48</v>
      </c>
      <c r="BI37" s="344">
        <f>+AK13</f>
        <v>-1</v>
      </c>
    </row>
    <row r="38" spans="35:61" x14ac:dyDescent="0.25">
      <c r="AI38" s="236"/>
      <c r="AJ38" s="236"/>
      <c r="BE38" s="296" t="s">
        <v>240</v>
      </c>
      <c r="BF38" s="342">
        <v>50</v>
      </c>
      <c r="BG38" s="343">
        <f>+AJ15</f>
        <v>-6</v>
      </c>
      <c r="BH38" s="342">
        <v>50</v>
      </c>
      <c r="BI38" s="344">
        <f>+AK15</f>
        <v>0</v>
      </c>
    </row>
    <row r="39" spans="35:61" x14ac:dyDescent="0.25">
      <c r="AI39" s="236"/>
      <c r="AJ39" s="236"/>
      <c r="BE39" s="296" t="s">
        <v>241</v>
      </c>
      <c r="BF39" s="342">
        <v>56</v>
      </c>
      <c r="BG39" s="343">
        <f>+AJ19</f>
        <v>-7</v>
      </c>
      <c r="BH39" s="342">
        <v>56</v>
      </c>
      <c r="BI39" s="344">
        <f>+AK19</f>
        <v>0</v>
      </c>
    </row>
    <row r="40" spans="35:61" x14ac:dyDescent="0.25">
      <c r="AI40" s="236"/>
      <c r="AJ40" s="236"/>
      <c r="BE40" s="296" t="s">
        <v>242</v>
      </c>
      <c r="BF40" s="342">
        <v>58</v>
      </c>
      <c r="BG40" s="343">
        <f>+AJ21</f>
        <v>-8</v>
      </c>
      <c r="BH40" s="342">
        <v>58</v>
      </c>
      <c r="BI40" s="344">
        <f>+AK21</f>
        <v>0</v>
      </c>
    </row>
    <row r="41" spans="35:61" x14ac:dyDescent="0.25">
      <c r="AI41" s="236"/>
      <c r="AJ41" s="236"/>
      <c r="BE41" s="296" t="s">
        <v>243</v>
      </c>
      <c r="BF41" s="342">
        <v>61</v>
      </c>
      <c r="BG41" s="351">
        <f>+AJ24</f>
        <v>-9</v>
      </c>
      <c r="BH41" s="342">
        <v>61</v>
      </c>
      <c r="BI41" s="352">
        <f>+AK24</f>
        <v>0</v>
      </c>
    </row>
    <row r="42" spans="35:61" x14ac:dyDescent="0.25">
      <c r="AI42" s="236"/>
      <c r="AJ42" s="236"/>
      <c r="BE42" s="296" t="s">
        <v>244</v>
      </c>
      <c r="BF42" s="342">
        <v>64</v>
      </c>
      <c r="BG42" s="351">
        <f>+AJ27</f>
        <v>-10</v>
      </c>
      <c r="BH42" s="342">
        <v>64</v>
      </c>
      <c r="BI42" s="352">
        <f>+AK27</f>
        <v>-7</v>
      </c>
    </row>
    <row r="43" spans="35:61" ht="15.75" thickBot="1" x14ac:dyDescent="0.3">
      <c r="AI43" s="236"/>
      <c r="AJ43" s="236"/>
      <c r="BE43" s="353" t="s">
        <v>245</v>
      </c>
      <c r="BF43" s="354">
        <v>66</v>
      </c>
      <c r="BG43" s="355">
        <f>+AJ28</f>
        <v>-11</v>
      </c>
      <c r="BH43" s="354">
        <v>66</v>
      </c>
      <c r="BI43" s="356">
        <f>+AK28</f>
        <v>-27</v>
      </c>
    </row>
    <row r="44" spans="35:61" ht="15.75" thickBot="1" x14ac:dyDescent="0.3">
      <c r="AI44" s="236"/>
      <c r="AJ44" s="236"/>
      <c r="BE44" s="235" t="s">
        <v>271</v>
      </c>
      <c r="BF44" s="183"/>
      <c r="BG44" s="183"/>
      <c r="BH44" s="183"/>
      <c r="BI44" s="184"/>
    </row>
    <row r="45" spans="35:61" ht="15.75" thickBot="1" x14ac:dyDescent="0.3">
      <c r="AI45" s="236"/>
      <c r="AJ45" s="236"/>
      <c r="BE45" s="357" t="s">
        <v>362</v>
      </c>
      <c r="BF45" s="335" t="s">
        <v>265</v>
      </c>
      <c r="BG45" s="358" t="s">
        <v>268</v>
      </c>
      <c r="BH45" s="337" t="s">
        <v>269</v>
      </c>
      <c r="BI45" s="358" t="s">
        <v>268</v>
      </c>
    </row>
    <row r="46" spans="35:61" x14ac:dyDescent="0.25">
      <c r="AI46" s="236"/>
      <c r="AJ46" s="236"/>
      <c r="BE46" s="359"/>
      <c r="BF46" s="339">
        <v>0</v>
      </c>
      <c r="BG46" s="340"/>
      <c r="BH46" s="339">
        <v>0</v>
      </c>
      <c r="BI46" s="341"/>
    </row>
    <row r="47" spans="35:61" x14ac:dyDescent="0.25">
      <c r="AI47" s="236"/>
      <c r="AJ47" s="236"/>
      <c r="BE47" s="360"/>
      <c r="BF47" s="342">
        <v>0</v>
      </c>
      <c r="BG47" s="343"/>
      <c r="BH47" s="342">
        <v>0</v>
      </c>
      <c r="BI47" s="344"/>
    </row>
    <row r="48" spans="35:61" x14ac:dyDescent="0.25">
      <c r="AI48" s="236"/>
      <c r="AJ48" s="236"/>
      <c r="BE48" s="360"/>
      <c r="BF48" s="342">
        <v>0</v>
      </c>
      <c r="BG48" s="343"/>
      <c r="BH48" s="342">
        <v>0</v>
      </c>
      <c r="BI48" s="344"/>
    </row>
    <row r="49" spans="35:61" x14ac:dyDescent="0.25">
      <c r="AI49" s="236"/>
      <c r="AJ49" s="236"/>
      <c r="BE49" s="360"/>
      <c r="BF49" s="342">
        <v>0</v>
      </c>
      <c r="BG49" s="343"/>
      <c r="BH49" s="342">
        <v>0</v>
      </c>
      <c r="BI49" s="344"/>
    </row>
    <row r="50" spans="35:61" x14ac:dyDescent="0.25">
      <c r="AI50" s="236"/>
      <c r="AJ50" s="236"/>
      <c r="BE50" s="360"/>
      <c r="BF50" s="342">
        <v>0</v>
      </c>
      <c r="BG50" s="343"/>
      <c r="BH50" s="342">
        <v>0</v>
      </c>
      <c r="BI50" s="344"/>
    </row>
    <row r="51" spans="35:61" x14ac:dyDescent="0.25">
      <c r="AI51" s="236"/>
      <c r="AJ51" s="236"/>
      <c r="BE51" s="360"/>
      <c r="BF51" s="342">
        <v>0</v>
      </c>
      <c r="BG51" s="343"/>
      <c r="BH51" s="342">
        <v>0</v>
      </c>
      <c r="BI51" s="344"/>
    </row>
    <row r="52" spans="35:61" x14ac:dyDescent="0.25">
      <c r="AI52" s="236"/>
      <c r="AJ52" s="236"/>
      <c r="BE52" s="360"/>
      <c r="BF52" s="342">
        <v>0</v>
      </c>
      <c r="BG52" s="343"/>
      <c r="BH52" s="342">
        <v>0</v>
      </c>
      <c r="BI52" s="344"/>
    </row>
    <row r="53" spans="35:61" ht="15.75" thickBot="1" x14ac:dyDescent="0.3">
      <c r="AI53" s="236"/>
      <c r="AJ53" s="236"/>
      <c r="BE53" s="361"/>
      <c r="BF53" s="348">
        <v>0</v>
      </c>
      <c r="BG53" s="362"/>
      <c r="BH53" s="348">
        <v>0</v>
      </c>
      <c r="BI53" s="363"/>
    </row>
    <row r="54" spans="35:61" ht="15.75" thickBot="1" x14ac:dyDescent="0.3">
      <c r="AI54" s="236"/>
      <c r="AJ54" s="236"/>
      <c r="BE54" s="164" t="s">
        <v>63</v>
      </c>
      <c r="BF54" s="165"/>
      <c r="BG54" s="165"/>
      <c r="BH54" s="165"/>
      <c r="BI54" s="166"/>
    </row>
    <row r="55" spans="35:61" ht="15.75" thickBot="1" x14ac:dyDescent="0.3">
      <c r="AI55" s="236"/>
      <c r="AJ55" s="236"/>
      <c r="BE55" s="722" t="s">
        <v>362</v>
      </c>
      <c r="BF55" s="723"/>
      <c r="BG55" s="723"/>
      <c r="BH55" s="364" t="s">
        <v>265</v>
      </c>
      <c r="BI55" s="365" t="s">
        <v>268</v>
      </c>
    </row>
    <row r="56" spans="35:61" x14ac:dyDescent="0.25">
      <c r="AI56" s="236"/>
      <c r="AJ56" s="236"/>
      <c r="BE56" s="754" t="s">
        <v>348</v>
      </c>
      <c r="BF56" s="755"/>
      <c r="BG56" s="755"/>
      <c r="BH56" s="366">
        <v>48</v>
      </c>
      <c r="BI56" s="367">
        <f>+AJ13</f>
        <v>-5</v>
      </c>
    </row>
    <row r="57" spans="35:61" x14ac:dyDescent="0.25">
      <c r="AI57" s="236"/>
      <c r="AJ57" s="236"/>
      <c r="BE57" s="713" t="s">
        <v>349</v>
      </c>
      <c r="BF57" s="714"/>
      <c r="BG57" s="714"/>
      <c r="BH57" s="342">
        <v>50</v>
      </c>
      <c r="BI57" s="368">
        <f>+AJ15</f>
        <v>-6</v>
      </c>
    </row>
    <row r="58" spans="35:61" x14ac:dyDescent="0.25">
      <c r="AI58" s="236"/>
      <c r="AJ58" s="236"/>
      <c r="BE58" s="713" t="s">
        <v>237</v>
      </c>
      <c r="BF58" s="714"/>
      <c r="BG58" s="714"/>
      <c r="BH58" s="342">
        <v>58</v>
      </c>
      <c r="BI58" s="368">
        <f>+AJ21</f>
        <v>-8</v>
      </c>
    </row>
    <row r="59" spans="35:61" x14ac:dyDescent="0.25">
      <c r="AI59" s="236"/>
      <c r="AJ59" s="236"/>
      <c r="BE59" s="713" t="s">
        <v>238</v>
      </c>
      <c r="BF59" s="714"/>
      <c r="BG59" s="714"/>
      <c r="BH59" s="342">
        <v>59</v>
      </c>
      <c r="BI59" s="368">
        <f>+AJ22</f>
        <v>0</v>
      </c>
    </row>
    <row r="60" spans="35:61" x14ac:dyDescent="0.25">
      <c r="AI60" s="236"/>
      <c r="AJ60" s="236"/>
      <c r="BE60" s="713" t="s">
        <v>239</v>
      </c>
      <c r="BF60" s="714"/>
      <c r="BG60" s="714"/>
      <c r="BH60" s="342">
        <v>61</v>
      </c>
      <c r="BI60" s="368">
        <f>+AJ24</f>
        <v>-9</v>
      </c>
    </row>
    <row r="61" spans="35:61" x14ac:dyDescent="0.25">
      <c r="AI61" s="236"/>
      <c r="AJ61" s="236"/>
      <c r="BE61" s="713" t="s">
        <v>240</v>
      </c>
      <c r="BF61" s="714"/>
      <c r="BG61" s="714"/>
      <c r="BH61" s="342">
        <v>62</v>
      </c>
      <c r="BI61" s="368">
        <f>+AJ25</f>
        <v>0</v>
      </c>
    </row>
    <row r="62" spans="35:61" x14ac:dyDescent="0.25">
      <c r="AI62" s="236"/>
      <c r="AJ62" s="236"/>
      <c r="BE62" s="713" t="s">
        <v>241</v>
      </c>
      <c r="BF62" s="714"/>
      <c r="BG62" s="714"/>
      <c r="BH62" s="342">
        <v>63</v>
      </c>
      <c r="BI62" s="368">
        <f>+AJ26</f>
        <v>0</v>
      </c>
    </row>
    <row r="63" spans="35:61" x14ac:dyDescent="0.25">
      <c r="AI63" s="236"/>
      <c r="AJ63" s="236"/>
      <c r="BE63" s="713" t="s">
        <v>242</v>
      </c>
      <c r="BF63" s="714"/>
      <c r="BG63" s="714"/>
      <c r="BH63" s="342">
        <v>63</v>
      </c>
      <c r="BI63" s="368">
        <f>+AJ26</f>
        <v>0</v>
      </c>
    </row>
    <row r="64" spans="35:61" x14ac:dyDescent="0.25">
      <c r="AI64" s="236"/>
      <c r="AJ64" s="236"/>
      <c r="BE64" s="713" t="s">
        <v>243</v>
      </c>
      <c r="BF64" s="714"/>
      <c r="BG64" s="714"/>
      <c r="BH64" s="342">
        <v>66</v>
      </c>
      <c r="BI64" s="368">
        <f>+AJ28</f>
        <v>-11</v>
      </c>
    </row>
    <row r="65" spans="35:61" x14ac:dyDescent="0.25">
      <c r="AI65" s="236"/>
      <c r="AJ65" s="236"/>
      <c r="BE65" s="713" t="s">
        <v>244</v>
      </c>
      <c r="BF65" s="714"/>
      <c r="BG65" s="714"/>
      <c r="BH65" s="342">
        <v>68</v>
      </c>
      <c r="BI65" s="369">
        <f>+AJ29</f>
        <v>0</v>
      </c>
    </row>
    <row r="66" spans="35:61" x14ac:dyDescent="0.25">
      <c r="AI66" s="236"/>
      <c r="AJ66" s="236"/>
      <c r="BE66" s="713" t="s">
        <v>245</v>
      </c>
      <c r="BF66" s="714"/>
      <c r="BG66" s="714"/>
      <c r="BH66" s="342">
        <v>70</v>
      </c>
      <c r="BI66" s="369">
        <f>+AJ30</f>
        <v>0</v>
      </c>
    </row>
    <row r="67" spans="35:61" ht="15.75" thickBot="1" x14ac:dyDescent="0.3">
      <c r="AI67" s="236"/>
      <c r="AJ67" s="236"/>
      <c r="BE67" s="715" t="s">
        <v>246</v>
      </c>
      <c r="BF67" s="716"/>
      <c r="BG67" s="716"/>
      <c r="BH67" s="348">
        <v>73</v>
      </c>
      <c r="BI67" s="370">
        <f>+AJ31</f>
        <v>0</v>
      </c>
    </row>
    <row r="68" spans="35:61" ht="15.75" thickBot="1" x14ac:dyDescent="0.3">
      <c r="AI68" s="236"/>
      <c r="AJ68" s="236"/>
      <c r="BE68" s="164" t="s">
        <v>65</v>
      </c>
      <c r="BF68" s="165"/>
      <c r="BG68" s="165"/>
      <c r="BH68" s="165"/>
      <c r="BI68" s="166"/>
    </row>
    <row r="69" spans="35:61" ht="15.75" thickBot="1" x14ac:dyDescent="0.3">
      <c r="AI69" s="236"/>
      <c r="AJ69" s="236"/>
      <c r="BE69" s="751" t="s">
        <v>362</v>
      </c>
      <c r="BF69" s="752"/>
      <c r="BG69" s="753"/>
      <c r="BH69" s="335" t="s">
        <v>265</v>
      </c>
      <c r="BI69" s="338" t="s">
        <v>268</v>
      </c>
    </row>
    <row r="70" spans="35:61" x14ac:dyDescent="0.25">
      <c r="AI70" s="236"/>
      <c r="AJ70" s="236"/>
      <c r="BE70" s="754" t="s">
        <v>348</v>
      </c>
      <c r="BF70" s="755"/>
      <c r="BG70" s="755"/>
      <c r="BH70" s="339">
        <v>0</v>
      </c>
      <c r="BI70" s="371"/>
    </row>
    <row r="71" spans="35:61" x14ac:dyDescent="0.25">
      <c r="AI71" s="236"/>
      <c r="AJ71" s="236"/>
      <c r="BE71" s="713" t="s">
        <v>349</v>
      </c>
      <c r="BF71" s="714"/>
      <c r="BG71" s="714"/>
      <c r="BH71" s="342">
        <v>0</v>
      </c>
      <c r="BI71" s="372"/>
    </row>
    <row r="72" spans="35:61" x14ac:dyDescent="0.25">
      <c r="AI72" s="236"/>
      <c r="AJ72" s="236"/>
      <c r="BE72" s="713" t="s">
        <v>237</v>
      </c>
      <c r="BF72" s="714"/>
      <c r="BG72" s="714"/>
      <c r="BH72" s="342">
        <v>0</v>
      </c>
      <c r="BI72" s="372"/>
    </row>
    <row r="73" spans="35:61" x14ac:dyDescent="0.25">
      <c r="AI73" s="236"/>
      <c r="AJ73" s="236"/>
      <c r="BE73" s="713" t="s">
        <v>238</v>
      </c>
      <c r="BF73" s="714"/>
      <c r="BG73" s="714"/>
      <c r="BH73" s="342">
        <v>0</v>
      </c>
      <c r="BI73" s="372"/>
    </row>
    <row r="74" spans="35:61" x14ac:dyDescent="0.25">
      <c r="AI74" s="236"/>
      <c r="AJ74" s="236"/>
      <c r="BE74" s="713" t="s">
        <v>239</v>
      </c>
      <c r="BF74" s="714"/>
      <c r="BG74" s="714"/>
      <c r="BH74" s="342">
        <v>0</v>
      </c>
      <c r="BI74" s="372"/>
    </row>
    <row r="75" spans="35:61" x14ac:dyDescent="0.25">
      <c r="AI75" s="236"/>
      <c r="AJ75" s="236"/>
      <c r="BE75" s="713" t="s">
        <v>240</v>
      </c>
      <c r="BF75" s="714"/>
      <c r="BG75" s="714"/>
      <c r="BH75" s="342">
        <v>0</v>
      </c>
      <c r="BI75" s="372"/>
    </row>
    <row r="76" spans="35:61" x14ac:dyDescent="0.25">
      <c r="AI76" s="236"/>
      <c r="AJ76" s="236"/>
      <c r="BE76" s="713" t="s">
        <v>241</v>
      </c>
      <c r="BF76" s="714"/>
      <c r="BG76" s="714"/>
      <c r="BH76" s="342">
        <v>0</v>
      </c>
      <c r="BI76" s="372"/>
    </row>
    <row r="77" spans="35:61" x14ac:dyDescent="0.25">
      <c r="AI77" s="236"/>
      <c r="AJ77" s="236"/>
      <c r="BE77" s="713" t="s">
        <v>242</v>
      </c>
      <c r="BF77" s="714"/>
      <c r="BG77" s="714"/>
      <c r="BH77" s="342">
        <v>0</v>
      </c>
      <c r="BI77" s="372"/>
    </row>
    <row r="78" spans="35:61" x14ac:dyDescent="0.25">
      <c r="AI78" s="236"/>
      <c r="AJ78" s="236"/>
      <c r="BE78" s="713" t="s">
        <v>243</v>
      </c>
      <c r="BF78" s="714"/>
      <c r="BG78" s="714"/>
      <c r="BH78" s="342">
        <v>0</v>
      </c>
      <c r="BI78" s="372"/>
    </row>
    <row r="79" spans="35:61" x14ac:dyDescent="0.25">
      <c r="AI79" s="236"/>
      <c r="AJ79" s="236"/>
      <c r="BE79" s="713" t="s">
        <v>244</v>
      </c>
      <c r="BF79" s="714"/>
      <c r="BG79" s="714"/>
      <c r="BH79" s="342">
        <v>0</v>
      </c>
      <c r="BI79" s="373"/>
    </row>
    <row r="80" spans="35:61" x14ac:dyDescent="0.25">
      <c r="AI80" s="236"/>
      <c r="AJ80" s="236"/>
      <c r="BE80" s="713" t="s">
        <v>245</v>
      </c>
      <c r="BF80" s="714"/>
      <c r="BG80" s="714"/>
      <c r="BH80" s="342">
        <v>0</v>
      </c>
      <c r="BI80" s="373"/>
    </row>
    <row r="81" spans="35:61" ht="15.75" thickBot="1" x14ac:dyDescent="0.3">
      <c r="AI81" s="236"/>
      <c r="AJ81" s="236"/>
      <c r="BE81" s="715" t="s">
        <v>246</v>
      </c>
      <c r="BF81" s="716"/>
      <c r="BG81" s="716"/>
      <c r="BH81" s="348">
        <v>0</v>
      </c>
      <c r="BI81" s="374"/>
    </row>
    <row r="82" spans="35:61" ht="21.75" thickBot="1" x14ac:dyDescent="0.3">
      <c r="AI82" s="236"/>
      <c r="AJ82" s="236"/>
      <c r="BE82" s="719" t="s">
        <v>272</v>
      </c>
      <c r="BF82" s="720"/>
      <c r="BG82" s="720"/>
      <c r="BH82" s="720"/>
      <c r="BI82" s="721"/>
    </row>
    <row r="83" spans="35:61" ht="15.75" thickBot="1" x14ac:dyDescent="0.3">
      <c r="AI83" s="236"/>
      <c r="AJ83" s="236"/>
      <c r="BE83" s="748" t="s">
        <v>9</v>
      </c>
      <c r="BF83" s="749"/>
      <c r="BG83" s="749"/>
      <c r="BH83" s="749"/>
      <c r="BI83" s="750"/>
    </row>
    <row r="84" spans="35:61" ht="15.75" thickBot="1" x14ac:dyDescent="0.3">
      <c r="AI84" s="236"/>
      <c r="AJ84" s="236"/>
      <c r="BE84" s="357" t="s">
        <v>362</v>
      </c>
      <c r="BF84" s="375" t="s">
        <v>265</v>
      </c>
      <c r="BG84" s="376" t="s">
        <v>268</v>
      </c>
      <c r="BH84" s="377" t="s">
        <v>269</v>
      </c>
      <c r="BI84" s="378" t="s">
        <v>268</v>
      </c>
    </row>
    <row r="85" spans="35:61" x14ac:dyDescent="0.25">
      <c r="AI85" s="236"/>
      <c r="AJ85" s="236"/>
      <c r="BE85" s="294" t="s">
        <v>348</v>
      </c>
      <c r="BF85" s="379">
        <v>13</v>
      </c>
      <c r="BG85" s="380">
        <f>$AM$5</f>
        <v>0</v>
      </c>
      <c r="BH85" s="379">
        <v>13</v>
      </c>
      <c r="BI85" s="381">
        <f>$AN$5</f>
        <v>0</v>
      </c>
    </row>
    <row r="86" spans="35:61" x14ac:dyDescent="0.25">
      <c r="AI86" s="236"/>
      <c r="AJ86" s="236"/>
      <c r="BE86" s="296" t="s">
        <v>349</v>
      </c>
      <c r="BF86" s="382">
        <v>13</v>
      </c>
      <c r="BG86" s="383">
        <f>$AM$5</f>
        <v>0</v>
      </c>
      <c r="BH86" s="382">
        <v>13</v>
      </c>
      <c r="BI86" s="384">
        <f>$AN$5</f>
        <v>0</v>
      </c>
    </row>
    <row r="87" spans="35:61" x14ac:dyDescent="0.25">
      <c r="AI87" s="236"/>
      <c r="AJ87" s="236"/>
      <c r="BE87" s="296" t="s">
        <v>237</v>
      </c>
      <c r="BF87" s="342">
        <v>13</v>
      </c>
      <c r="BG87" s="383">
        <f>$AM$5</f>
        <v>0</v>
      </c>
      <c r="BH87" s="342">
        <v>13</v>
      </c>
      <c r="BI87" s="384">
        <f>$AN$5</f>
        <v>0</v>
      </c>
    </row>
    <row r="88" spans="35:61" x14ac:dyDescent="0.25">
      <c r="AI88" s="167"/>
      <c r="AJ88" s="167"/>
      <c r="BE88" s="296" t="s">
        <v>238</v>
      </c>
      <c r="BF88" s="342">
        <v>13</v>
      </c>
      <c r="BG88" s="383">
        <f>$AM$5</f>
        <v>0</v>
      </c>
      <c r="BH88" s="342">
        <v>13</v>
      </c>
      <c r="BI88" s="384">
        <f>$AN$5</f>
        <v>0</v>
      </c>
    </row>
    <row r="89" spans="35:61" x14ac:dyDescent="0.25">
      <c r="AI89" s="236"/>
      <c r="AJ89" s="236"/>
      <c r="BE89" s="296" t="s">
        <v>239</v>
      </c>
      <c r="BF89" s="342">
        <v>13</v>
      </c>
      <c r="BG89" s="383">
        <f>$AM$5</f>
        <v>0</v>
      </c>
      <c r="BH89" s="342">
        <v>13</v>
      </c>
      <c r="BI89" s="384">
        <f>$AN$5</f>
        <v>0</v>
      </c>
    </row>
    <row r="90" spans="35:61" x14ac:dyDescent="0.25">
      <c r="AI90" s="236"/>
      <c r="AJ90" s="236"/>
      <c r="BE90" s="296" t="s">
        <v>240</v>
      </c>
      <c r="BF90" s="342">
        <v>15</v>
      </c>
      <c r="BG90" s="383">
        <f t="shared" ref="BG90:BG96" si="7">$AM$6</f>
        <v>0</v>
      </c>
      <c r="BH90" s="342">
        <v>15</v>
      </c>
      <c r="BI90" s="384">
        <f t="shared" ref="BI90:BI96" si="8">$AN$6</f>
        <v>0</v>
      </c>
    </row>
    <row r="91" spans="35:61" x14ac:dyDescent="0.25">
      <c r="AI91" s="236"/>
      <c r="AJ91" s="236"/>
      <c r="BE91" s="296" t="s">
        <v>241</v>
      </c>
      <c r="BF91" s="342">
        <v>15</v>
      </c>
      <c r="BG91" s="383">
        <f t="shared" si="7"/>
        <v>0</v>
      </c>
      <c r="BH91" s="342">
        <v>15</v>
      </c>
      <c r="BI91" s="384">
        <f t="shared" si="8"/>
        <v>0</v>
      </c>
    </row>
    <row r="92" spans="35:61" x14ac:dyDescent="0.25">
      <c r="AI92" s="236"/>
      <c r="AJ92" s="236"/>
      <c r="BE92" s="296" t="s">
        <v>242</v>
      </c>
      <c r="BF92" s="342">
        <v>15</v>
      </c>
      <c r="BG92" s="383">
        <f t="shared" si="7"/>
        <v>0</v>
      </c>
      <c r="BH92" s="342">
        <v>15</v>
      </c>
      <c r="BI92" s="384">
        <f t="shared" si="8"/>
        <v>0</v>
      </c>
    </row>
    <row r="93" spans="35:61" x14ac:dyDescent="0.25">
      <c r="AI93" s="236"/>
      <c r="AJ93" s="236"/>
      <c r="BE93" s="296" t="s">
        <v>243</v>
      </c>
      <c r="BF93" s="342">
        <v>15</v>
      </c>
      <c r="BG93" s="383">
        <f t="shared" si="7"/>
        <v>0</v>
      </c>
      <c r="BH93" s="342">
        <v>15</v>
      </c>
      <c r="BI93" s="384">
        <f t="shared" si="8"/>
        <v>0</v>
      </c>
    </row>
    <row r="94" spans="35:61" x14ac:dyDescent="0.25">
      <c r="AI94" s="236"/>
      <c r="AJ94" s="236"/>
      <c r="BE94" s="296" t="s">
        <v>244</v>
      </c>
      <c r="BF94" s="342">
        <v>15</v>
      </c>
      <c r="BG94" s="383">
        <f t="shared" si="7"/>
        <v>0</v>
      </c>
      <c r="BH94" s="342">
        <v>15</v>
      </c>
      <c r="BI94" s="384">
        <f t="shared" si="8"/>
        <v>0</v>
      </c>
    </row>
    <row r="95" spans="35:61" x14ac:dyDescent="0.25">
      <c r="AI95" s="236"/>
      <c r="AJ95" s="236"/>
      <c r="BE95" s="296" t="s">
        <v>245</v>
      </c>
      <c r="BF95" s="342">
        <v>15</v>
      </c>
      <c r="BG95" s="383">
        <f t="shared" si="7"/>
        <v>0</v>
      </c>
      <c r="BH95" s="342">
        <v>15</v>
      </c>
      <c r="BI95" s="384">
        <f t="shared" si="8"/>
        <v>0</v>
      </c>
    </row>
    <row r="96" spans="35:61" ht="15.75" thickBot="1" x14ac:dyDescent="0.3">
      <c r="AI96" s="236"/>
      <c r="AJ96" s="236"/>
      <c r="BE96" s="298" t="s">
        <v>246</v>
      </c>
      <c r="BF96" s="348">
        <v>15</v>
      </c>
      <c r="BG96" s="385">
        <f t="shared" si="7"/>
        <v>0</v>
      </c>
      <c r="BH96" s="348">
        <v>15</v>
      </c>
      <c r="BI96" s="386">
        <f t="shared" si="8"/>
        <v>0</v>
      </c>
    </row>
    <row r="97" spans="35:61" ht="15.75" thickBot="1" x14ac:dyDescent="0.3">
      <c r="AI97" s="236"/>
      <c r="AJ97" s="236"/>
      <c r="BE97" s="737" t="s">
        <v>63</v>
      </c>
      <c r="BF97" s="738"/>
      <c r="BG97" s="738"/>
      <c r="BH97" s="738"/>
      <c r="BI97" s="739"/>
    </row>
    <row r="98" spans="35:61" ht="15.75" thickBot="1" x14ac:dyDescent="0.3">
      <c r="AI98" s="236"/>
      <c r="AJ98" s="236"/>
      <c r="BE98" s="731" t="s">
        <v>362</v>
      </c>
      <c r="BF98" s="732"/>
      <c r="BG98" s="733"/>
      <c r="BH98" s="387" t="s">
        <v>265</v>
      </c>
      <c r="BI98" s="388" t="s">
        <v>268</v>
      </c>
    </row>
    <row r="99" spans="35:61" x14ac:dyDescent="0.25">
      <c r="AI99" s="236"/>
      <c r="AJ99" s="236"/>
      <c r="BE99" s="717" t="s">
        <v>348</v>
      </c>
      <c r="BF99" s="718"/>
      <c r="BG99" s="718"/>
      <c r="BH99" s="379">
        <v>13</v>
      </c>
      <c r="BI99" s="381">
        <f>$AM$5</f>
        <v>0</v>
      </c>
    </row>
    <row r="100" spans="35:61" x14ac:dyDescent="0.25">
      <c r="AI100" s="236"/>
      <c r="AJ100" s="236"/>
      <c r="BE100" s="713" t="s">
        <v>349</v>
      </c>
      <c r="BF100" s="714"/>
      <c r="BG100" s="714"/>
      <c r="BH100" s="382">
        <v>13</v>
      </c>
      <c r="BI100" s="384">
        <f>$AM$5</f>
        <v>0</v>
      </c>
    </row>
    <row r="101" spans="35:61" x14ac:dyDescent="0.25">
      <c r="AI101" s="236"/>
      <c r="AJ101" s="236"/>
      <c r="BE101" s="713" t="s">
        <v>237</v>
      </c>
      <c r="BF101" s="714"/>
      <c r="BG101" s="714"/>
      <c r="BH101" s="342">
        <v>13</v>
      </c>
      <c r="BI101" s="384">
        <f>$AM$5</f>
        <v>0</v>
      </c>
    </row>
    <row r="102" spans="35:61" x14ac:dyDescent="0.25">
      <c r="AI102" s="236"/>
      <c r="AJ102" s="236"/>
      <c r="BE102" s="713" t="s">
        <v>238</v>
      </c>
      <c r="BF102" s="714"/>
      <c r="BG102" s="714"/>
      <c r="BH102" s="342">
        <v>13</v>
      </c>
      <c r="BI102" s="384">
        <f>$AM$5</f>
        <v>0</v>
      </c>
    </row>
    <row r="103" spans="35:61" x14ac:dyDescent="0.25">
      <c r="AI103" s="236"/>
      <c r="AJ103" s="236"/>
      <c r="BE103" s="713" t="s">
        <v>239</v>
      </c>
      <c r="BF103" s="714"/>
      <c r="BG103" s="714"/>
      <c r="BH103" s="342">
        <v>13</v>
      </c>
      <c r="BI103" s="384">
        <f>$AM$5</f>
        <v>0</v>
      </c>
    </row>
    <row r="104" spans="35:61" x14ac:dyDescent="0.25">
      <c r="AI104" s="236"/>
      <c r="AJ104" s="236"/>
      <c r="BE104" s="713" t="s">
        <v>240</v>
      </c>
      <c r="BF104" s="714"/>
      <c r="BG104" s="714"/>
      <c r="BH104" s="342">
        <v>15</v>
      </c>
      <c r="BI104" s="384">
        <f t="shared" ref="BI104:BI110" si="9">$AM$6</f>
        <v>0</v>
      </c>
    </row>
    <row r="105" spans="35:61" x14ac:dyDescent="0.25">
      <c r="AI105" s="236"/>
      <c r="AJ105" s="236"/>
      <c r="BE105" s="713" t="s">
        <v>241</v>
      </c>
      <c r="BF105" s="714"/>
      <c r="BG105" s="714"/>
      <c r="BH105" s="342">
        <v>15</v>
      </c>
      <c r="BI105" s="384">
        <f t="shared" si="9"/>
        <v>0</v>
      </c>
    </row>
    <row r="106" spans="35:61" x14ac:dyDescent="0.25">
      <c r="AI106" s="236"/>
      <c r="AJ106" s="236"/>
      <c r="BE106" s="713" t="s">
        <v>242</v>
      </c>
      <c r="BF106" s="714"/>
      <c r="BG106" s="714"/>
      <c r="BH106" s="342">
        <v>15</v>
      </c>
      <c r="BI106" s="384">
        <f t="shared" si="9"/>
        <v>0</v>
      </c>
    </row>
    <row r="107" spans="35:61" x14ac:dyDescent="0.25">
      <c r="AI107" s="236"/>
      <c r="AJ107" s="236"/>
      <c r="BE107" s="713" t="s">
        <v>243</v>
      </c>
      <c r="BF107" s="714"/>
      <c r="BG107" s="714"/>
      <c r="BH107" s="342">
        <v>15</v>
      </c>
      <c r="BI107" s="384">
        <f t="shared" si="9"/>
        <v>0</v>
      </c>
    </row>
    <row r="108" spans="35:61" x14ac:dyDescent="0.25">
      <c r="AI108" s="236"/>
      <c r="AJ108" s="236"/>
      <c r="AK108" s="72"/>
      <c r="BE108" s="713" t="s">
        <v>244</v>
      </c>
      <c r="BF108" s="714"/>
      <c r="BG108" s="714"/>
      <c r="BH108" s="342">
        <v>15</v>
      </c>
      <c r="BI108" s="384">
        <f t="shared" si="9"/>
        <v>0</v>
      </c>
    </row>
    <row r="109" spans="35:61" x14ac:dyDescent="0.25">
      <c r="AI109" s="236"/>
      <c r="AJ109" s="236"/>
      <c r="BE109" s="713" t="s">
        <v>245</v>
      </c>
      <c r="BF109" s="714"/>
      <c r="BG109" s="714"/>
      <c r="BH109" s="342">
        <v>15</v>
      </c>
      <c r="BI109" s="384">
        <f t="shared" si="9"/>
        <v>0</v>
      </c>
    </row>
    <row r="110" spans="35:61" ht="15.75" thickBot="1" x14ac:dyDescent="0.3">
      <c r="AI110" s="236"/>
      <c r="AJ110" s="236"/>
      <c r="BE110" s="740" t="s">
        <v>246</v>
      </c>
      <c r="BF110" s="741"/>
      <c r="BG110" s="741"/>
      <c r="BH110" s="348">
        <v>15</v>
      </c>
      <c r="BI110" s="386">
        <f t="shared" si="9"/>
        <v>0</v>
      </c>
    </row>
    <row r="111" spans="35:61" ht="21.75" thickBot="1" x14ac:dyDescent="0.3">
      <c r="AI111" s="236"/>
      <c r="AJ111" s="236"/>
      <c r="BE111" s="745" t="s">
        <v>273</v>
      </c>
      <c r="BF111" s="746"/>
      <c r="BG111" s="746"/>
      <c r="BH111" s="746"/>
      <c r="BI111" s="747"/>
    </row>
    <row r="112" spans="35:61" ht="15.75" thickBot="1" x14ac:dyDescent="0.3">
      <c r="AI112" s="236"/>
      <c r="AJ112" s="236"/>
      <c r="BE112" s="169" t="s">
        <v>43</v>
      </c>
      <c r="BF112" s="170"/>
      <c r="BG112" s="170"/>
      <c r="BH112" s="170"/>
      <c r="BI112" s="171"/>
    </row>
    <row r="113" spans="35:61" ht="15.75" thickBot="1" x14ac:dyDescent="0.3">
      <c r="AI113" s="236"/>
      <c r="AJ113" s="236"/>
      <c r="BE113" s="389" t="s">
        <v>362</v>
      </c>
      <c r="BF113" s="390" t="s">
        <v>265</v>
      </c>
      <c r="BG113" s="391" t="s">
        <v>268</v>
      </c>
      <c r="BH113" s="392" t="s">
        <v>269</v>
      </c>
      <c r="BI113" s="393" t="s">
        <v>268</v>
      </c>
    </row>
    <row r="114" spans="35:61" x14ac:dyDescent="0.25">
      <c r="AI114" s="236"/>
      <c r="AJ114" s="236"/>
      <c r="BE114" s="394" t="s">
        <v>348</v>
      </c>
      <c r="BF114" s="395">
        <v>13</v>
      </c>
      <c r="BG114" s="396">
        <f>+$AP$5</f>
        <v>0</v>
      </c>
      <c r="BH114" s="395">
        <v>13</v>
      </c>
      <c r="BI114" s="396">
        <f>+$AQ$5</f>
        <v>0</v>
      </c>
    </row>
    <row r="115" spans="35:61" x14ac:dyDescent="0.25">
      <c r="AI115" s="236"/>
      <c r="AJ115" s="236"/>
      <c r="BE115" s="296" t="s">
        <v>349</v>
      </c>
      <c r="BF115" s="382">
        <v>13</v>
      </c>
      <c r="BG115" s="396">
        <f>+$AP$5</f>
        <v>0</v>
      </c>
      <c r="BH115" s="382">
        <v>13</v>
      </c>
      <c r="BI115" s="396">
        <f>+$AQ$5</f>
        <v>0</v>
      </c>
    </row>
    <row r="116" spans="35:61" x14ac:dyDescent="0.25">
      <c r="AI116" s="236"/>
      <c r="AJ116" s="236"/>
      <c r="BE116" s="296" t="s">
        <v>237</v>
      </c>
      <c r="BF116" s="342">
        <v>15</v>
      </c>
      <c r="BG116" s="396">
        <f>+$AP$6</f>
        <v>0</v>
      </c>
      <c r="BH116" s="342">
        <v>15</v>
      </c>
      <c r="BI116" s="396">
        <f>+$AQ$6</f>
        <v>0</v>
      </c>
    </row>
    <row r="117" spans="35:61" x14ac:dyDescent="0.25">
      <c r="AI117" s="236"/>
      <c r="AJ117" s="236"/>
      <c r="BE117" s="296" t="s">
        <v>238</v>
      </c>
      <c r="BF117" s="342">
        <v>15</v>
      </c>
      <c r="BG117" s="396">
        <f>+$AP$6</f>
        <v>0</v>
      </c>
      <c r="BH117" s="342">
        <v>15</v>
      </c>
      <c r="BI117" s="396">
        <f>+$AQ$6</f>
        <v>0</v>
      </c>
    </row>
    <row r="118" spans="35:61" x14ac:dyDescent="0.25">
      <c r="AI118" s="236"/>
      <c r="AJ118" s="236"/>
      <c r="BE118" s="296" t="s">
        <v>239</v>
      </c>
      <c r="BF118" s="342">
        <v>15</v>
      </c>
      <c r="BG118" s="396">
        <f>+$AP$6</f>
        <v>0</v>
      </c>
      <c r="BH118" s="342">
        <v>15</v>
      </c>
      <c r="BI118" s="396">
        <f>+$AQ$6</f>
        <v>0</v>
      </c>
    </row>
    <row r="119" spans="35:61" x14ac:dyDescent="0.25">
      <c r="AI119" s="236"/>
      <c r="AJ119" s="236"/>
      <c r="BE119" s="296" t="s">
        <v>240</v>
      </c>
      <c r="BF119" s="342">
        <v>18</v>
      </c>
      <c r="BG119" s="396">
        <f>+$AP$7</f>
        <v>0</v>
      </c>
      <c r="BH119" s="342">
        <v>18</v>
      </c>
      <c r="BI119" s="396">
        <f>+$AQ$7</f>
        <v>0</v>
      </c>
    </row>
    <row r="120" spans="35:61" x14ac:dyDescent="0.25">
      <c r="AI120" s="236"/>
      <c r="AJ120" s="236"/>
      <c r="BE120" s="296" t="s">
        <v>241</v>
      </c>
      <c r="BF120" s="342">
        <v>18</v>
      </c>
      <c r="BG120" s="396">
        <f>+$AP$7</f>
        <v>0</v>
      </c>
      <c r="BH120" s="342">
        <v>18</v>
      </c>
      <c r="BI120" s="396">
        <f>+$AQ$7</f>
        <v>0</v>
      </c>
    </row>
    <row r="121" spans="35:61" x14ac:dyDescent="0.25">
      <c r="AI121" s="236"/>
      <c r="AJ121" s="236"/>
      <c r="BE121" s="296" t="s">
        <v>242</v>
      </c>
      <c r="BF121" s="342">
        <v>20</v>
      </c>
      <c r="BG121" s="396">
        <f>+$AP$8</f>
        <v>0</v>
      </c>
      <c r="BH121" s="342">
        <v>20</v>
      </c>
      <c r="BI121" s="396">
        <f>+$AQ$8</f>
        <v>0</v>
      </c>
    </row>
    <row r="122" spans="35:61" x14ac:dyDescent="0.25">
      <c r="AI122" s="236"/>
      <c r="AJ122" s="236"/>
      <c r="BE122" s="296" t="s">
        <v>243</v>
      </c>
      <c r="BF122" s="342">
        <v>20</v>
      </c>
      <c r="BG122" s="396">
        <f>+$AP$8</f>
        <v>0</v>
      </c>
      <c r="BH122" s="342">
        <v>20</v>
      </c>
      <c r="BI122" s="396">
        <f>+$AQ$8</f>
        <v>0</v>
      </c>
    </row>
    <row r="123" spans="35:61" x14ac:dyDescent="0.25">
      <c r="AI123" s="236"/>
      <c r="AJ123" s="236"/>
      <c r="BE123" s="296" t="s">
        <v>244</v>
      </c>
      <c r="BF123" s="342">
        <v>20</v>
      </c>
      <c r="BG123" s="396">
        <f>+$AP$8</f>
        <v>0</v>
      </c>
      <c r="BH123" s="342">
        <v>20</v>
      </c>
      <c r="BI123" s="396">
        <f>+$AQ$8</f>
        <v>0</v>
      </c>
    </row>
    <row r="124" spans="35:61" x14ac:dyDescent="0.25">
      <c r="AI124" s="236"/>
      <c r="AJ124" s="236"/>
      <c r="BE124" s="296" t="s">
        <v>245</v>
      </c>
      <c r="BF124" s="342">
        <v>20</v>
      </c>
      <c r="BG124" s="396">
        <f>+$AP$8</f>
        <v>0</v>
      </c>
      <c r="BH124" s="342">
        <v>20</v>
      </c>
      <c r="BI124" s="396">
        <f>+$AQ$8</f>
        <v>0</v>
      </c>
    </row>
    <row r="125" spans="35:61" ht="15.75" thickBot="1" x14ac:dyDescent="0.3">
      <c r="AI125" s="236"/>
      <c r="AJ125" s="236"/>
      <c r="BE125" s="298" t="s">
        <v>246</v>
      </c>
      <c r="BF125" s="348">
        <v>20</v>
      </c>
      <c r="BG125" s="396">
        <f>+$AP$8</f>
        <v>0</v>
      </c>
      <c r="BH125" s="348">
        <v>20</v>
      </c>
      <c r="BI125" s="396">
        <f>+$AQ$8</f>
        <v>0</v>
      </c>
    </row>
    <row r="126" spans="35:61" ht="15.75" thickBot="1" x14ac:dyDescent="0.3">
      <c r="AI126" s="236"/>
      <c r="AJ126" s="236"/>
      <c r="BE126" s="169" t="s">
        <v>392</v>
      </c>
      <c r="BF126" s="170"/>
      <c r="BG126" s="170"/>
      <c r="BH126" s="170"/>
      <c r="BI126" s="171"/>
    </row>
    <row r="127" spans="35:61" ht="15.75" thickBot="1" x14ac:dyDescent="0.3">
      <c r="AI127" s="236"/>
      <c r="AJ127" s="236"/>
      <c r="BE127" s="731" t="s">
        <v>362</v>
      </c>
      <c r="BF127" s="732"/>
      <c r="BG127" s="733"/>
      <c r="BH127" s="335" t="s">
        <v>265</v>
      </c>
      <c r="BI127" s="388" t="s">
        <v>268</v>
      </c>
    </row>
    <row r="128" spans="35:61" x14ac:dyDescent="0.25">
      <c r="AI128" s="236"/>
      <c r="AJ128" s="236"/>
      <c r="BE128" s="717" t="s">
        <v>348</v>
      </c>
      <c r="BF128" s="718"/>
      <c r="BG128" s="718"/>
      <c r="BH128" s="379">
        <v>13</v>
      </c>
      <c r="BI128" s="397">
        <f>+$AP$5</f>
        <v>0</v>
      </c>
    </row>
    <row r="129" spans="35:61" x14ac:dyDescent="0.25">
      <c r="AI129" s="236"/>
      <c r="AJ129" s="236"/>
      <c r="BE129" s="713" t="s">
        <v>349</v>
      </c>
      <c r="BF129" s="714"/>
      <c r="BG129" s="714"/>
      <c r="BH129" s="382">
        <v>13</v>
      </c>
      <c r="BI129" s="398">
        <f>+$AP$5</f>
        <v>0</v>
      </c>
    </row>
    <row r="130" spans="35:61" x14ac:dyDescent="0.25">
      <c r="AI130" s="236"/>
      <c r="AJ130" s="236"/>
      <c r="BE130" s="713" t="s">
        <v>237</v>
      </c>
      <c r="BF130" s="714"/>
      <c r="BG130" s="714"/>
      <c r="BH130" s="342">
        <v>15</v>
      </c>
      <c r="BI130" s="398">
        <f>+$AP$6</f>
        <v>0</v>
      </c>
    </row>
    <row r="131" spans="35:61" x14ac:dyDescent="0.25">
      <c r="AI131" s="236"/>
      <c r="AJ131" s="236"/>
      <c r="BE131" s="713" t="s">
        <v>238</v>
      </c>
      <c r="BF131" s="714"/>
      <c r="BG131" s="714"/>
      <c r="BH131" s="342">
        <v>15</v>
      </c>
      <c r="BI131" s="398">
        <f>+$AP$6</f>
        <v>0</v>
      </c>
    </row>
    <row r="132" spans="35:61" x14ac:dyDescent="0.25">
      <c r="AI132" s="236"/>
      <c r="AJ132" s="236"/>
      <c r="BE132" s="713" t="s">
        <v>239</v>
      </c>
      <c r="BF132" s="714"/>
      <c r="BG132" s="714"/>
      <c r="BH132" s="342">
        <v>15</v>
      </c>
      <c r="BI132" s="398">
        <f>+$AP$6</f>
        <v>0</v>
      </c>
    </row>
    <row r="133" spans="35:61" x14ac:dyDescent="0.25">
      <c r="AI133" s="236"/>
      <c r="AJ133" s="236"/>
      <c r="BE133" s="713" t="s">
        <v>240</v>
      </c>
      <c r="BF133" s="714"/>
      <c r="BG133" s="714"/>
      <c r="BH133" s="342">
        <v>18</v>
      </c>
      <c r="BI133" s="398">
        <f>+$AP$7</f>
        <v>0</v>
      </c>
    </row>
    <row r="134" spans="35:61" x14ac:dyDescent="0.25">
      <c r="AI134" s="236"/>
      <c r="AJ134" s="236"/>
      <c r="AO134" s="72"/>
      <c r="AR134" s="72"/>
      <c r="BE134" s="713" t="s">
        <v>241</v>
      </c>
      <c r="BF134" s="714"/>
      <c r="BG134" s="714"/>
      <c r="BH134" s="342">
        <v>18</v>
      </c>
      <c r="BI134" s="398">
        <f>+$AP$7</f>
        <v>0</v>
      </c>
    </row>
    <row r="135" spans="35:61" x14ac:dyDescent="0.25">
      <c r="AI135" s="236"/>
      <c r="AJ135" s="236"/>
      <c r="BE135" s="713" t="s">
        <v>242</v>
      </c>
      <c r="BF135" s="714"/>
      <c r="BG135" s="714"/>
      <c r="BH135" s="342">
        <v>20</v>
      </c>
      <c r="BI135" s="398">
        <f>+$AP$8</f>
        <v>0</v>
      </c>
    </row>
    <row r="136" spans="35:61" x14ac:dyDescent="0.25">
      <c r="AI136" s="236"/>
      <c r="AJ136" s="236"/>
      <c r="AL136" s="72"/>
      <c r="AM136" s="72"/>
      <c r="AN136" s="72"/>
      <c r="AP136" s="72"/>
      <c r="AQ136" s="72"/>
      <c r="AS136" s="72"/>
      <c r="AT136" s="72"/>
      <c r="AU136" s="72"/>
      <c r="AV136" s="72"/>
      <c r="AW136" s="72"/>
      <c r="AX136" s="72"/>
      <c r="AY136" s="72"/>
      <c r="AZ136" s="72"/>
      <c r="BA136" s="72"/>
      <c r="BB136" s="72"/>
      <c r="BC136" s="72"/>
      <c r="BE136" s="728" t="s">
        <v>243</v>
      </c>
      <c r="BF136" s="729"/>
      <c r="BG136" s="730"/>
      <c r="BH136" s="342">
        <v>20</v>
      </c>
      <c r="BI136" s="398">
        <f>+$AP$8</f>
        <v>0</v>
      </c>
    </row>
    <row r="137" spans="35:61" x14ac:dyDescent="0.25">
      <c r="AI137" s="236"/>
      <c r="AJ137" s="236"/>
      <c r="BE137" s="728" t="s">
        <v>244</v>
      </c>
      <c r="BF137" s="729"/>
      <c r="BG137" s="730"/>
      <c r="BH137" s="342">
        <v>20</v>
      </c>
      <c r="BI137" s="398">
        <f>+$AP$8</f>
        <v>0</v>
      </c>
    </row>
    <row r="138" spans="35:61" x14ac:dyDescent="0.25">
      <c r="AI138" s="236"/>
      <c r="AJ138" s="236"/>
      <c r="BE138" s="728" t="s">
        <v>245</v>
      </c>
      <c r="BF138" s="729"/>
      <c r="BG138" s="730"/>
      <c r="BH138" s="342">
        <v>20</v>
      </c>
      <c r="BI138" s="398">
        <f>+$AP$8</f>
        <v>0</v>
      </c>
    </row>
    <row r="139" spans="35:61" ht="15.75" thickBot="1" x14ac:dyDescent="0.3">
      <c r="AI139" s="236"/>
      <c r="AJ139" s="236"/>
      <c r="BE139" s="740" t="s">
        <v>246</v>
      </c>
      <c r="BF139" s="741"/>
      <c r="BG139" s="741"/>
      <c r="BH139" s="348">
        <v>20</v>
      </c>
      <c r="BI139" s="399">
        <f>+$AP$8</f>
        <v>0</v>
      </c>
    </row>
    <row r="140" spans="35:61" ht="21.75" thickBot="1" x14ac:dyDescent="0.3">
      <c r="AI140" s="236"/>
      <c r="AJ140" s="236"/>
      <c r="BE140" s="719" t="s">
        <v>274</v>
      </c>
      <c r="BF140" s="720"/>
      <c r="BG140" s="720"/>
      <c r="BH140" s="720"/>
      <c r="BI140" s="721"/>
    </row>
    <row r="141" spans="35:61" ht="15.75" thickBot="1" x14ac:dyDescent="0.3">
      <c r="AI141" s="236"/>
      <c r="AJ141" s="236"/>
      <c r="BE141" s="239" t="s">
        <v>104</v>
      </c>
      <c r="BF141" s="240" t="s">
        <v>393</v>
      </c>
      <c r="BG141" s="240"/>
      <c r="BH141" s="240"/>
      <c r="BI141" s="241"/>
    </row>
    <row r="142" spans="35:61" ht="15.75" thickBot="1" x14ac:dyDescent="0.3">
      <c r="AI142" s="236"/>
      <c r="AJ142" s="236"/>
      <c r="BE142" s="731" t="s">
        <v>362</v>
      </c>
      <c r="BF142" s="732"/>
      <c r="BG142" s="733"/>
      <c r="BH142" s="390" t="s">
        <v>265</v>
      </c>
      <c r="BI142" s="400" t="s">
        <v>268</v>
      </c>
    </row>
    <row r="143" spans="35:61" x14ac:dyDescent="0.25">
      <c r="AI143" s="236"/>
      <c r="AJ143" s="236"/>
      <c r="BE143" s="717" t="s">
        <v>348</v>
      </c>
      <c r="BF143" s="718"/>
      <c r="BG143" s="718"/>
      <c r="BH143" s="379">
        <v>10</v>
      </c>
      <c r="BI143" s="397">
        <f>+$AS$5</f>
        <v>0</v>
      </c>
    </row>
    <row r="144" spans="35:61" x14ac:dyDescent="0.25">
      <c r="AI144" s="236"/>
      <c r="AJ144" s="236"/>
      <c r="BE144" s="713" t="s">
        <v>349</v>
      </c>
      <c r="BF144" s="714"/>
      <c r="BG144" s="714"/>
      <c r="BH144" s="382">
        <v>10</v>
      </c>
      <c r="BI144" s="398">
        <f>+$AS$5</f>
        <v>0</v>
      </c>
    </row>
    <row r="145" spans="35:61" x14ac:dyDescent="0.25">
      <c r="AI145" s="236"/>
      <c r="AJ145" s="236"/>
      <c r="BE145" s="713" t="s">
        <v>237</v>
      </c>
      <c r="BF145" s="714"/>
      <c r="BG145" s="714"/>
      <c r="BH145" s="342">
        <v>10</v>
      </c>
      <c r="BI145" s="398">
        <f>+$AS$5</f>
        <v>0</v>
      </c>
    </row>
    <row r="146" spans="35:61" x14ac:dyDescent="0.25">
      <c r="AI146" s="236"/>
      <c r="AJ146" s="236"/>
      <c r="BE146" s="713" t="s">
        <v>238</v>
      </c>
      <c r="BF146" s="714"/>
      <c r="BG146" s="714"/>
      <c r="BH146" s="342">
        <v>12</v>
      </c>
      <c r="BI146" s="398">
        <f>+$AS$6</f>
        <v>0</v>
      </c>
    </row>
    <row r="147" spans="35:61" x14ac:dyDescent="0.25">
      <c r="AI147" s="236"/>
      <c r="AJ147" s="236"/>
      <c r="BE147" s="713" t="s">
        <v>239</v>
      </c>
      <c r="BF147" s="714"/>
      <c r="BG147" s="714"/>
      <c r="BH147" s="342">
        <v>12</v>
      </c>
      <c r="BI147" s="398">
        <f>+$AS$6</f>
        <v>0</v>
      </c>
    </row>
    <row r="148" spans="35:61" x14ac:dyDescent="0.25">
      <c r="AI148" s="236"/>
      <c r="AJ148" s="236"/>
      <c r="BE148" s="713" t="s">
        <v>240</v>
      </c>
      <c r="BF148" s="714"/>
      <c r="BG148" s="714"/>
      <c r="BH148" s="342">
        <v>12</v>
      </c>
      <c r="BI148" s="398">
        <f>+$AS$6</f>
        <v>0</v>
      </c>
    </row>
    <row r="149" spans="35:61" x14ac:dyDescent="0.25">
      <c r="AI149" s="236"/>
      <c r="AJ149" s="236"/>
      <c r="BE149" s="713" t="s">
        <v>241</v>
      </c>
      <c r="BF149" s="714"/>
      <c r="BG149" s="714"/>
      <c r="BH149" s="342">
        <v>13</v>
      </c>
      <c r="BI149" s="398">
        <f>+$AS$7</f>
        <v>0</v>
      </c>
    </row>
    <row r="150" spans="35:61" x14ac:dyDescent="0.25">
      <c r="AI150" s="236"/>
      <c r="AJ150" s="236"/>
      <c r="BE150" s="713" t="s">
        <v>242</v>
      </c>
      <c r="BF150" s="714"/>
      <c r="BG150" s="714"/>
      <c r="BH150" s="342">
        <v>13</v>
      </c>
      <c r="BI150" s="398">
        <f>+$AS$7</f>
        <v>0</v>
      </c>
    </row>
    <row r="151" spans="35:61" x14ac:dyDescent="0.25">
      <c r="AI151" s="236"/>
      <c r="AJ151" s="236"/>
      <c r="BE151" s="728" t="s">
        <v>243</v>
      </c>
      <c r="BF151" s="729"/>
      <c r="BG151" s="730"/>
      <c r="BH151" s="342">
        <v>14</v>
      </c>
      <c r="BI151" s="398">
        <f>+$AS$8</f>
        <v>0</v>
      </c>
    </row>
    <row r="152" spans="35:61" x14ac:dyDescent="0.25">
      <c r="AI152" s="236"/>
      <c r="AJ152" s="236"/>
      <c r="BE152" s="728" t="s">
        <v>244</v>
      </c>
      <c r="BF152" s="729"/>
      <c r="BG152" s="730"/>
      <c r="BH152" s="342">
        <v>14</v>
      </c>
      <c r="BI152" s="398">
        <f>+$AS$8</f>
        <v>0</v>
      </c>
    </row>
    <row r="153" spans="35:61" x14ac:dyDescent="0.25">
      <c r="AI153" s="236"/>
      <c r="AJ153" s="236"/>
      <c r="BE153" s="728" t="s">
        <v>245</v>
      </c>
      <c r="BF153" s="729"/>
      <c r="BG153" s="730"/>
      <c r="BH153" s="342">
        <v>14</v>
      </c>
      <c r="BI153" s="398">
        <f>+$AS$8</f>
        <v>0</v>
      </c>
    </row>
    <row r="154" spans="35:61" ht="15.75" thickBot="1" x14ac:dyDescent="0.3">
      <c r="AI154" s="236"/>
      <c r="AJ154" s="236"/>
      <c r="BE154" s="742" t="s">
        <v>246</v>
      </c>
      <c r="BF154" s="743"/>
      <c r="BG154" s="744"/>
      <c r="BH154" s="348">
        <v>14</v>
      </c>
      <c r="BI154" s="399">
        <f>+$AS$8</f>
        <v>0</v>
      </c>
    </row>
    <row r="155" spans="35:61" ht="15.75" thickBot="1" x14ac:dyDescent="0.3">
      <c r="AI155" s="236"/>
      <c r="AJ155" s="236"/>
      <c r="BE155" s="239" t="s">
        <v>104</v>
      </c>
      <c r="BF155" s="170" t="s">
        <v>394</v>
      </c>
      <c r="BG155" s="170"/>
      <c r="BH155" s="170"/>
      <c r="BI155" s="171"/>
    </row>
    <row r="156" spans="35:61" ht="15.75" thickBot="1" x14ac:dyDescent="0.3">
      <c r="AI156" s="236"/>
      <c r="AJ156" s="236"/>
      <c r="BE156" s="731" t="s">
        <v>362</v>
      </c>
      <c r="BF156" s="732"/>
      <c r="BG156" s="733"/>
      <c r="BH156" s="335" t="s">
        <v>265</v>
      </c>
      <c r="BI156" s="388" t="s">
        <v>268</v>
      </c>
    </row>
    <row r="157" spans="35:61" x14ac:dyDescent="0.25">
      <c r="AI157" s="236"/>
      <c r="AJ157" s="236"/>
      <c r="BE157" s="717" t="s">
        <v>348</v>
      </c>
      <c r="BF157" s="718"/>
      <c r="BG157" s="718"/>
      <c r="BH157" s="379">
        <v>12</v>
      </c>
      <c r="BI157" s="397">
        <f>+$AS$6</f>
        <v>0</v>
      </c>
    </row>
    <row r="158" spans="35:61" x14ac:dyDescent="0.25">
      <c r="AI158" s="236"/>
      <c r="AJ158" s="236"/>
      <c r="BE158" s="713" t="s">
        <v>349</v>
      </c>
      <c r="BF158" s="714"/>
      <c r="BG158" s="714"/>
      <c r="BH158" s="382">
        <v>12</v>
      </c>
      <c r="BI158" s="401">
        <f>+$AS$6</f>
        <v>0</v>
      </c>
    </row>
    <row r="159" spans="35:61" x14ac:dyDescent="0.25">
      <c r="AI159" s="236"/>
      <c r="AJ159" s="236"/>
      <c r="BE159" s="713" t="s">
        <v>237</v>
      </c>
      <c r="BF159" s="714"/>
      <c r="BG159" s="714"/>
      <c r="BH159" s="342">
        <v>13</v>
      </c>
      <c r="BI159" s="401">
        <f>+$AS$7</f>
        <v>0</v>
      </c>
    </row>
    <row r="160" spans="35:61" x14ac:dyDescent="0.25">
      <c r="AI160" s="236"/>
      <c r="AJ160" s="236"/>
      <c r="BE160" s="713" t="s">
        <v>238</v>
      </c>
      <c r="BF160" s="714"/>
      <c r="BG160" s="714"/>
      <c r="BH160" s="342">
        <v>13</v>
      </c>
      <c r="BI160" s="401">
        <f>+$AS$7</f>
        <v>0</v>
      </c>
    </row>
    <row r="161" spans="35:61" x14ac:dyDescent="0.25">
      <c r="AI161" s="236"/>
      <c r="AJ161" s="236"/>
      <c r="BE161" s="713" t="s">
        <v>239</v>
      </c>
      <c r="BF161" s="714"/>
      <c r="BG161" s="714"/>
      <c r="BH161" s="342">
        <v>14</v>
      </c>
      <c r="BI161" s="401">
        <f>+$AS$8</f>
        <v>0</v>
      </c>
    </row>
    <row r="162" spans="35:61" x14ac:dyDescent="0.25">
      <c r="AI162" s="236"/>
      <c r="AJ162" s="236"/>
      <c r="BE162" s="713" t="s">
        <v>240</v>
      </c>
      <c r="BF162" s="714"/>
      <c r="BG162" s="714"/>
      <c r="BH162" s="342">
        <v>14</v>
      </c>
      <c r="BI162" s="401">
        <f>+$AS$8</f>
        <v>0</v>
      </c>
    </row>
    <row r="163" spans="35:61" x14ac:dyDescent="0.25">
      <c r="AI163" s="236"/>
      <c r="AJ163" s="236"/>
      <c r="BE163" s="713" t="s">
        <v>241</v>
      </c>
      <c r="BF163" s="714"/>
      <c r="BG163" s="714"/>
      <c r="BH163" s="342">
        <v>15</v>
      </c>
      <c r="BI163" s="401">
        <f>+$AS$9</f>
        <v>0</v>
      </c>
    </row>
    <row r="164" spans="35:61" x14ac:dyDescent="0.25">
      <c r="AI164" s="236"/>
      <c r="AJ164" s="236"/>
      <c r="BE164" s="713" t="s">
        <v>242</v>
      </c>
      <c r="BF164" s="714"/>
      <c r="BG164" s="714"/>
      <c r="BH164" s="342">
        <v>15</v>
      </c>
      <c r="BI164" s="401">
        <f>+$AS$9</f>
        <v>0</v>
      </c>
    </row>
    <row r="165" spans="35:61" x14ac:dyDescent="0.25">
      <c r="AI165" s="236"/>
      <c r="AJ165" s="236"/>
      <c r="BE165" s="728" t="s">
        <v>243</v>
      </c>
      <c r="BF165" s="729"/>
      <c r="BG165" s="730"/>
      <c r="BH165" s="342">
        <v>15</v>
      </c>
      <c r="BI165" s="401">
        <f>+$AS$9</f>
        <v>0</v>
      </c>
    </row>
    <row r="166" spans="35:61" x14ac:dyDescent="0.25">
      <c r="AI166" s="236"/>
      <c r="AJ166" s="236"/>
      <c r="BE166" s="728" t="s">
        <v>244</v>
      </c>
      <c r="BF166" s="729"/>
      <c r="BG166" s="730"/>
      <c r="BH166" s="342">
        <v>15</v>
      </c>
      <c r="BI166" s="401">
        <f>+$AS$9</f>
        <v>0</v>
      </c>
    </row>
    <row r="167" spans="35:61" x14ac:dyDescent="0.25">
      <c r="AI167" s="236"/>
      <c r="AJ167" s="236"/>
      <c r="BE167" s="728" t="s">
        <v>245</v>
      </c>
      <c r="BF167" s="729"/>
      <c r="BG167" s="730"/>
      <c r="BH167" s="342">
        <v>15</v>
      </c>
      <c r="BI167" s="401">
        <f>+$AS$9</f>
        <v>0</v>
      </c>
    </row>
    <row r="168" spans="35:61" ht="15.75" thickBot="1" x14ac:dyDescent="0.3">
      <c r="AI168" s="236"/>
      <c r="AJ168" s="236"/>
      <c r="BE168" s="740" t="s">
        <v>246</v>
      </c>
      <c r="BF168" s="741"/>
      <c r="BG168" s="741"/>
      <c r="BH168" s="348">
        <v>16</v>
      </c>
      <c r="BI168" s="402">
        <f>+$AS$10</f>
        <v>0</v>
      </c>
    </row>
    <row r="169" spans="35:61" ht="21.75" thickBot="1" x14ac:dyDescent="0.3">
      <c r="AI169" s="236"/>
      <c r="AJ169" s="236"/>
      <c r="BE169" s="719" t="s">
        <v>275</v>
      </c>
      <c r="BF169" s="720"/>
      <c r="BG169" s="720"/>
      <c r="BH169" s="720"/>
      <c r="BI169" s="721"/>
    </row>
    <row r="170" spans="35:61" ht="15.75" thickBot="1" x14ac:dyDescent="0.3">
      <c r="AI170" s="236"/>
      <c r="AJ170" s="236"/>
      <c r="BE170" s="169" t="s">
        <v>84</v>
      </c>
      <c r="BF170" s="170"/>
      <c r="BG170" s="170"/>
      <c r="BH170" s="170"/>
      <c r="BI170" s="171"/>
    </row>
    <row r="171" spans="35:61" ht="15.75" thickBot="1" x14ac:dyDescent="0.3">
      <c r="AI171" s="236"/>
      <c r="AJ171" s="236"/>
      <c r="BE171" s="731" t="s">
        <v>270</v>
      </c>
      <c r="BF171" s="732"/>
      <c r="BG171" s="733"/>
      <c r="BH171" s="403" t="s">
        <v>265</v>
      </c>
      <c r="BI171" s="404" t="s">
        <v>268</v>
      </c>
    </row>
    <row r="172" spans="35:61" x14ac:dyDescent="0.25">
      <c r="AI172" s="236"/>
      <c r="AJ172" s="236"/>
      <c r="BE172" s="717" t="s">
        <v>348</v>
      </c>
      <c r="BF172" s="718"/>
      <c r="BG172" s="718"/>
      <c r="BH172" s="339">
        <v>40</v>
      </c>
      <c r="BI172" s="371">
        <f>+AU5</f>
        <v>0</v>
      </c>
    </row>
    <row r="173" spans="35:61" x14ac:dyDescent="0.25">
      <c r="AI173" s="236"/>
      <c r="AJ173" s="236"/>
      <c r="BE173" s="713" t="s">
        <v>349</v>
      </c>
      <c r="BF173" s="714"/>
      <c r="BG173" s="714"/>
      <c r="BH173" s="342">
        <v>44</v>
      </c>
      <c r="BI173" s="372">
        <f>+AU6</f>
        <v>0</v>
      </c>
    </row>
    <row r="174" spans="35:61" x14ac:dyDescent="0.25">
      <c r="AI174" s="236"/>
      <c r="AJ174" s="236"/>
      <c r="BE174" s="728" t="s">
        <v>237</v>
      </c>
      <c r="BF174" s="729"/>
      <c r="BG174" s="730"/>
      <c r="BH174" s="342">
        <v>45</v>
      </c>
      <c r="BI174" s="372">
        <f>+AU7</f>
        <v>0</v>
      </c>
    </row>
    <row r="175" spans="35:61" x14ac:dyDescent="0.25">
      <c r="AI175" s="236"/>
      <c r="AJ175" s="236"/>
      <c r="BE175" s="713" t="s">
        <v>238</v>
      </c>
      <c r="BF175" s="714"/>
      <c r="BG175" s="714"/>
      <c r="BH175" s="342">
        <v>45</v>
      </c>
      <c r="BI175" s="372">
        <f>+AU7</f>
        <v>0</v>
      </c>
    </row>
    <row r="176" spans="35:61" x14ac:dyDescent="0.25">
      <c r="AI176" s="236"/>
      <c r="AJ176" s="236"/>
      <c r="BE176" s="713" t="s">
        <v>239</v>
      </c>
      <c r="BF176" s="714"/>
      <c r="BG176" s="714"/>
      <c r="BH176" s="342">
        <v>48</v>
      </c>
      <c r="BI176" s="372">
        <f>+AU8</f>
        <v>60</v>
      </c>
    </row>
    <row r="177" spans="35:61" x14ac:dyDescent="0.25">
      <c r="AI177" s="236"/>
      <c r="AJ177" s="236"/>
      <c r="BE177" s="713" t="s">
        <v>240</v>
      </c>
      <c r="BF177" s="714"/>
      <c r="BG177" s="714"/>
      <c r="BH177" s="342">
        <v>51</v>
      </c>
      <c r="BI177" s="372">
        <f>+AU9</f>
        <v>0</v>
      </c>
    </row>
    <row r="178" spans="35:61" x14ac:dyDescent="0.25">
      <c r="AI178" s="236"/>
      <c r="AJ178" s="236"/>
      <c r="BE178" s="713" t="s">
        <v>241</v>
      </c>
      <c r="BF178" s="714"/>
      <c r="BG178" s="714"/>
      <c r="BH178" s="342">
        <v>55</v>
      </c>
      <c r="BI178" s="372">
        <f>+AU10</f>
        <v>0</v>
      </c>
    </row>
    <row r="179" spans="35:61" x14ac:dyDescent="0.25">
      <c r="AI179" s="236"/>
      <c r="AJ179" s="236"/>
      <c r="BE179" s="728" t="s">
        <v>242</v>
      </c>
      <c r="BF179" s="729"/>
      <c r="BG179" s="730"/>
      <c r="BH179" s="342">
        <v>57</v>
      </c>
      <c r="BI179" s="372">
        <f>+AU11</f>
        <v>0</v>
      </c>
    </row>
    <row r="180" spans="35:61" x14ac:dyDescent="0.25">
      <c r="AI180" s="236"/>
      <c r="AJ180" s="236"/>
      <c r="BE180" s="713" t="s">
        <v>243</v>
      </c>
      <c r="BF180" s="714"/>
      <c r="BG180" s="714"/>
      <c r="BH180" s="342">
        <v>57</v>
      </c>
      <c r="BI180" s="372">
        <f>+AU11</f>
        <v>0</v>
      </c>
    </row>
    <row r="181" spans="35:61" x14ac:dyDescent="0.25">
      <c r="AI181" s="236"/>
      <c r="AJ181" s="236"/>
      <c r="BE181" s="713" t="s">
        <v>244</v>
      </c>
      <c r="BF181" s="714"/>
      <c r="BG181" s="714"/>
      <c r="BH181" s="342">
        <v>58</v>
      </c>
      <c r="BI181" s="372">
        <f>+AU12</f>
        <v>0</v>
      </c>
    </row>
    <row r="182" spans="35:61" x14ac:dyDescent="0.25">
      <c r="AI182" s="236"/>
      <c r="AJ182" s="236"/>
      <c r="BE182" s="713" t="s">
        <v>245</v>
      </c>
      <c r="BF182" s="714"/>
      <c r="BG182" s="714"/>
      <c r="BH182" s="342">
        <v>59</v>
      </c>
      <c r="BI182" s="372">
        <f>+AU13</f>
        <v>0</v>
      </c>
    </row>
    <row r="183" spans="35:61" ht="15.75" thickBot="1" x14ac:dyDescent="0.3">
      <c r="AI183" s="236"/>
      <c r="AJ183" s="236"/>
      <c r="BE183" s="715" t="s">
        <v>246</v>
      </c>
      <c r="BF183" s="716"/>
      <c r="BG183" s="716"/>
      <c r="BH183" s="348">
        <v>60</v>
      </c>
      <c r="BI183" s="405">
        <f>+AU14</f>
        <v>0</v>
      </c>
    </row>
    <row r="184" spans="35:61" ht="15.75" thickBot="1" x14ac:dyDescent="0.3">
      <c r="AI184" s="236"/>
      <c r="AJ184" s="236"/>
      <c r="BE184" s="737" t="s">
        <v>276</v>
      </c>
      <c r="BF184" s="738"/>
      <c r="BG184" s="738"/>
      <c r="BH184" s="738"/>
      <c r="BI184" s="739"/>
    </row>
    <row r="185" spans="35:61" ht="15.75" thickBot="1" x14ac:dyDescent="0.3">
      <c r="AI185" s="236"/>
      <c r="AJ185" s="236"/>
      <c r="BE185" s="731" t="s">
        <v>270</v>
      </c>
      <c r="BF185" s="732"/>
      <c r="BG185" s="733"/>
      <c r="BH185" s="403" t="s">
        <v>265</v>
      </c>
      <c r="BI185" s="404" t="s">
        <v>268</v>
      </c>
    </row>
    <row r="186" spans="35:61" x14ac:dyDescent="0.25">
      <c r="AI186" s="236"/>
      <c r="AJ186" s="236"/>
      <c r="BE186" s="717" t="s">
        <v>348</v>
      </c>
      <c r="BF186" s="718"/>
      <c r="BG186" s="718"/>
      <c r="BH186" s="339">
        <v>0</v>
      </c>
      <c r="BI186" s="371"/>
    </row>
    <row r="187" spans="35:61" x14ac:dyDescent="0.25">
      <c r="AI187" s="236"/>
      <c r="AJ187" s="236"/>
      <c r="BE187" s="713" t="s">
        <v>349</v>
      </c>
      <c r="BF187" s="714"/>
      <c r="BG187" s="714"/>
      <c r="BH187" s="342">
        <v>0</v>
      </c>
      <c r="BI187" s="372"/>
    </row>
    <row r="188" spans="35:61" x14ac:dyDescent="0.25">
      <c r="AI188" s="236"/>
      <c r="AJ188" s="236"/>
      <c r="BE188" s="728" t="s">
        <v>237</v>
      </c>
      <c r="BF188" s="729"/>
      <c r="BG188" s="730"/>
      <c r="BH188" s="342">
        <v>0</v>
      </c>
      <c r="BI188" s="372"/>
    </row>
    <row r="189" spans="35:61" x14ac:dyDescent="0.25">
      <c r="AI189" s="236"/>
      <c r="AJ189" s="236"/>
      <c r="BE189" s="713" t="s">
        <v>238</v>
      </c>
      <c r="BF189" s="714"/>
      <c r="BG189" s="714"/>
      <c r="BH189" s="342">
        <v>0</v>
      </c>
      <c r="BI189" s="372"/>
    </row>
    <row r="190" spans="35:61" x14ac:dyDescent="0.25">
      <c r="AI190" s="236"/>
      <c r="AJ190" s="236"/>
      <c r="BE190" s="713" t="s">
        <v>239</v>
      </c>
      <c r="BF190" s="714"/>
      <c r="BG190" s="714"/>
      <c r="BH190" s="342">
        <v>0</v>
      </c>
      <c r="BI190" s="372"/>
    </row>
    <row r="191" spans="35:61" x14ac:dyDescent="0.25">
      <c r="AI191" s="236"/>
      <c r="AJ191" s="236"/>
      <c r="BE191" s="713" t="s">
        <v>240</v>
      </c>
      <c r="BF191" s="714"/>
      <c r="BG191" s="714"/>
      <c r="BH191" s="342">
        <v>0</v>
      </c>
      <c r="BI191" s="372"/>
    </row>
    <row r="192" spans="35:61" x14ac:dyDescent="0.25">
      <c r="AI192" s="236"/>
      <c r="AJ192" s="236"/>
      <c r="BE192" s="713" t="s">
        <v>241</v>
      </c>
      <c r="BF192" s="714"/>
      <c r="BG192" s="714"/>
      <c r="BH192" s="342">
        <v>0</v>
      </c>
      <c r="BI192" s="372"/>
    </row>
    <row r="193" spans="35:61" x14ac:dyDescent="0.25">
      <c r="AI193" s="236"/>
      <c r="AJ193" s="236"/>
      <c r="BE193" s="728" t="s">
        <v>242</v>
      </c>
      <c r="BF193" s="729"/>
      <c r="BG193" s="730"/>
      <c r="BH193" s="342">
        <v>0</v>
      </c>
      <c r="BI193" s="372"/>
    </row>
    <row r="194" spans="35:61" x14ac:dyDescent="0.25">
      <c r="AI194" s="236"/>
      <c r="AJ194" s="236"/>
      <c r="BE194" s="713" t="s">
        <v>243</v>
      </c>
      <c r="BF194" s="714"/>
      <c r="BG194" s="714"/>
      <c r="BH194" s="342">
        <v>0</v>
      </c>
      <c r="BI194" s="372"/>
    </row>
    <row r="195" spans="35:61" x14ac:dyDescent="0.25">
      <c r="AI195" s="236"/>
      <c r="AJ195" s="236"/>
      <c r="BE195" s="713" t="s">
        <v>244</v>
      </c>
      <c r="BF195" s="714"/>
      <c r="BG195" s="714"/>
      <c r="BH195" s="342">
        <v>0</v>
      </c>
      <c r="BI195" s="372"/>
    </row>
    <row r="196" spans="35:61" x14ac:dyDescent="0.25">
      <c r="AI196" s="236"/>
      <c r="AJ196" s="236"/>
      <c r="BE196" s="713" t="s">
        <v>245</v>
      </c>
      <c r="BF196" s="714"/>
      <c r="BG196" s="714"/>
      <c r="BH196" s="342">
        <v>0</v>
      </c>
      <c r="BI196" s="372"/>
    </row>
    <row r="197" spans="35:61" ht="15.75" thickBot="1" x14ac:dyDescent="0.3">
      <c r="AI197" s="236"/>
      <c r="AJ197" s="236"/>
      <c r="BE197" s="715" t="s">
        <v>246</v>
      </c>
      <c r="BF197" s="716"/>
      <c r="BG197" s="716"/>
      <c r="BH197" s="348">
        <v>0</v>
      </c>
      <c r="BI197" s="405"/>
    </row>
    <row r="198" spans="35:61" ht="21.75" thickBot="1" x14ac:dyDescent="0.3">
      <c r="AI198" s="236"/>
      <c r="AJ198" s="236"/>
      <c r="BE198" s="734" t="s">
        <v>277</v>
      </c>
      <c r="BF198" s="735"/>
      <c r="BG198" s="735"/>
      <c r="BH198" s="735"/>
      <c r="BI198" s="736"/>
    </row>
    <row r="199" spans="35:61" ht="15.75" thickBot="1" x14ac:dyDescent="0.3">
      <c r="AI199" s="236"/>
      <c r="AJ199" s="236"/>
      <c r="BE199" s="248" t="s">
        <v>395</v>
      </c>
      <c r="BF199" s="246"/>
      <c r="BG199" s="246"/>
      <c r="BH199" s="246"/>
      <c r="BI199" s="247"/>
    </row>
    <row r="200" spans="35:61" ht="15.75" thickBot="1" x14ac:dyDescent="0.3">
      <c r="AI200" s="236"/>
      <c r="AJ200" s="236"/>
      <c r="BE200" s="731" t="s">
        <v>270</v>
      </c>
      <c r="BF200" s="732"/>
      <c r="BG200" s="733"/>
      <c r="BH200" s="403" t="s">
        <v>265</v>
      </c>
      <c r="BI200" s="404" t="s">
        <v>268</v>
      </c>
    </row>
    <row r="201" spans="35:61" x14ac:dyDescent="0.25">
      <c r="AI201" s="236"/>
      <c r="AJ201" s="236"/>
      <c r="BE201" s="717" t="s">
        <v>348</v>
      </c>
      <c r="BF201" s="718"/>
      <c r="BG201" s="718"/>
      <c r="BH201" s="339">
        <v>12</v>
      </c>
      <c r="BI201" s="371">
        <f>+$AW$5</f>
        <v>0</v>
      </c>
    </row>
    <row r="202" spans="35:61" x14ac:dyDescent="0.25">
      <c r="AI202" s="236"/>
      <c r="AJ202" s="236"/>
      <c r="BE202" s="713" t="s">
        <v>349</v>
      </c>
      <c r="BF202" s="714"/>
      <c r="BG202" s="714"/>
      <c r="BH202" s="342">
        <v>12</v>
      </c>
      <c r="BI202" s="372">
        <f>+$AW$5</f>
        <v>0</v>
      </c>
    </row>
    <row r="203" spans="35:61" x14ac:dyDescent="0.25">
      <c r="AI203" s="236"/>
      <c r="AJ203" s="236"/>
      <c r="BE203" s="728" t="s">
        <v>237</v>
      </c>
      <c r="BF203" s="729"/>
      <c r="BG203" s="730"/>
      <c r="BH203" s="342">
        <v>12</v>
      </c>
      <c r="BI203" s="372">
        <f>+$AW$5</f>
        <v>0</v>
      </c>
    </row>
    <row r="204" spans="35:61" x14ac:dyDescent="0.25">
      <c r="AI204" s="236"/>
      <c r="AJ204" s="236"/>
      <c r="BE204" s="713" t="s">
        <v>238</v>
      </c>
      <c r="BF204" s="714"/>
      <c r="BG204" s="714"/>
      <c r="BH204" s="342">
        <v>13</v>
      </c>
      <c r="BI204" s="372">
        <f>+$AW$6</f>
        <v>0</v>
      </c>
    </row>
    <row r="205" spans="35:61" x14ac:dyDescent="0.25">
      <c r="AI205" s="236"/>
      <c r="AJ205" s="236"/>
      <c r="BE205" s="713" t="s">
        <v>239</v>
      </c>
      <c r="BF205" s="714"/>
      <c r="BG205" s="714"/>
      <c r="BH205" s="342">
        <v>13</v>
      </c>
      <c r="BI205" s="372">
        <f>+$AW$6</f>
        <v>0</v>
      </c>
    </row>
    <row r="206" spans="35:61" x14ac:dyDescent="0.25">
      <c r="AI206" s="236"/>
      <c r="AJ206" s="236"/>
      <c r="BE206" s="713" t="s">
        <v>240</v>
      </c>
      <c r="BF206" s="714"/>
      <c r="BG206" s="714"/>
      <c r="BH206" s="342">
        <v>14</v>
      </c>
      <c r="BI206" s="372">
        <f>+$AW$7</f>
        <v>0</v>
      </c>
    </row>
    <row r="207" spans="35:61" x14ac:dyDescent="0.25">
      <c r="AI207" s="236"/>
      <c r="AJ207" s="236"/>
      <c r="BE207" s="713" t="s">
        <v>241</v>
      </c>
      <c r="BF207" s="714"/>
      <c r="BG207" s="714"/>
      <c r="BH207" s="342">
        <v>14</v>
      </c>
      <c r="BI207" s="372">
        <f>+$AW$7</f>
        <v>0</v>
      </c>
    </row>
    <row r="208" spans="35:61" x14ac:dyDescent="0.25">
      <c r="AI208" s="236"/>
      <c r="AJ208" s="236"/>
      <c r="BE208" s="728" t="s">
        <v>242</v>
      </c>
      <c r="BF208" s="729"/>
      <c r="BG208" s="730"/>
      <c r="BH208" s="342">
        <v>15</v>
      </c>
      <c r="BI208" s="372">
        <f>+$AW$8</f>
        <v>0</v>
      </c>
    </row>
    <row r="209" spans="35:61" x14ac:dyDescent="0.25">
      <c r="AI209" s="236"/>
      <c r="AJ209" s="236"/>
      <c r="BE209" s="713" t="s">
        <v>243</v>
      </c>
      <c r="BF209" s="714"/>
      <c r="BG209" s="714"/>
      <c r="BH209" s="342">
        <v>15</v>
      </c>
      <c r="BI209" s="372">
        <f>+$AW$8</f>
        <v>0</v>
      </c>
    </row>
    <row r="210" spans="35:61" x14ac:dyDescent="0.25">
      <c r="AI210" s="236"/>
      <c r="AJ210" s="236"/>
      <c r="BE210" s="713" t="s">
        <v>244</v>
      </c>
      <c r="BF210" s="714"/>
      <c r="BG210" s="714"/>
      <c r="BH210" s="342">
        <v>16</v>
      </c>
      <c r="BI210" s="372">
        <f>+$AW$9</f>
        <v>0</v>
      </c>
    </row>
    <row r="211" spans="35:61" x14ac:dyDescent="0.25">
      <c r="AI211" s="236"/>
      <c r="AJ211" s="236"/>
      <c r="BE211" s="713" t="s">
        <v>245</v>
      </c>
      <c r="BF211" s="714"/>
      <c r="BG211" s="714"/>
      <c r="BH211" s="342">
        <v>16</v>
      </c>
      <c r="BI211" s="372">
        <f>+$AW$9</f>
        <v>0</v>
      </c>
    </row>
    <row r="212" spans="35:61" ht="15.75" thickBot="1" x14ac:dyDescent="0.3">
      <c r="AI212" s="236"/>
      <c r="AJ212" s="236"/>
      <c r="BE212" s="715" t="s">
        <v>246</v>
      </c>
      <c r="BF212" s="716"/>
      <c r="BG212" s="716"/>
      <c r="BH212" s="348">
        <v>16</v>
      </c>
      <c r="BI212" s="405">
        <f>+$AW$9</f>
        <v>0</v>
      </c>
    </row>
    <row r="213" spans="35:61" ht="21.75" thickBot="1" x14ac:dyDescent="0.3">
      <c r="AI213" s="236"/>
      <c r="AJ213" s="236"/>
      <c r="BE213" s="719" t="s">
        <v>278</v>
      </c>
      <c r="BF213" s="720"/>
      <c r="BG213" s="720"/>
      <c r="BH213" s="720"/>
      <c r="BI213" s="721"/>
    </row>
    <row r="214" spans="35:61" ht="15.75" thickBot="1" x14ac:dyDescent="0.3">
      <c r="AI214" s="236"/>
      <c r="AJ214" s="236"/>
      <c r="BE214" s="245" t="s">
        <v>102</v>
      </c>
      <c r="BF214" s="246"/>
      <c r="BG214" s="246"/>
      <c r="BH214" s="246"/>
      <c r="BI214" s="247"/>
    </row>
    <row r="215" spans="35:61" ht="15.75" thickBot="1" x14ac:dyDescent="0.3">
      <c r="AI215" s="236"/>
      <c r="AJ215" s="236"/>
      <c r="BE215" s="731" t="s">
        <v>270</v>
      </c>
      <c r="BF215" s="732"/>
      <c r="BG215" s="733"/>
      <c r="BH215" s="403" t="s">
        <v>265</v>
      </c>
      <c r="BI215" s="404" t="s">
        <v>268</v>
      </c>
    </row>
    <row r="216" spans="35:61" x14ac:dyDescent="0.25">
      <c r="AI216" s="236"/>
      <c r="AJ216" s="236"/>
      <c r="BE216" s="717" t="s">
        <v>348</v>
      </c>
      <c r="BF216" s="718"/>
      <c r="BG216" s="718"/>
      <c r="BH216" s="339">
        <v>10</v>
      </c>
      <c r="BI216" s="371">
        <f>+$AY$5</f>
        <v>0</v>
      </c>
    </row>
    <row r="217" spans="35:61" x14ac:dyDescent="0.25">
      <c r="AI217" s="236"/>
      <c r="AJ217" s="236"/>
      <c r="BE217" s="713" t="s">
        <v>349</v>
      </c>
      <c r="BF217" s="714"/>
      <c r="BG217" s="714"/>
      <c r="BH217" s="342">
        <v>10</v>
      </c>
      <c r="BI217" s="372">
        <f>+$AY$5</f>
        <v>0</v>
      </c>
    </row>
    <row r="218" spans="35:61" x14ac:dyDescent="0.25">
      <c r="AI218" s="236"/>
      <c r="AJ218" s="236"/>
      <c r="BE218" s="728" t="s">
        <v>237</v>
      </c>
      <c r="BF218" s="729"/>
      <c r="BG218" s="730"/>
      <c r="BH218" s="342">
        <v>10</v>
      </c>
      <c r="BI218" s="372">
        <f>+$AY$5</f>
        <v>0</v>
      </c>
    </row>
    <row r="219" spans="35:61" x14ac:dyDescent="0.25">
      <c r="AI219" s="236"/>
      <c r="AJ219" s="236"/>
      <c r="BE219" s="713" t="s">
        <v>238</v>
      </c>
      <c r="BF219" s="714"/>
      <c r="BG219" s="714"/>
      <c r="BH219" s="342">
        <v>10</v>
      </c>
      <c r="BI219" s="372">
        <f>+$AY$5</f>
        <v>0</v>
      </c>
    </row>
    <row r="220" spans="35:61" x14ac:dyDescent="0.25">
      <c r="AI220" s="236"/>
      <c r="AJ220" s="236"/>
      <c r="BE220" s="713" t="s">
        <v>239</v>
      </c>
      <c r="BF220" s="714"/>
      <c r="BG220" s="714"/>
      <c r="BH220" s="342">
        <v>10</v>
      </c>
      <c r="BI220" s="372">
        <f>+$AY$5</f>
        <v>0</v>
      </c>
    </row>
    <row r="221" spans="35:61" x14ac:dyDescent="0.25">
      <c r="AI221" s="236"/>
      <c r="AJ221" s="236"/>
      <c r="BE221" s="713" t="s">
        <v>240</v>
      </c>
      <c r="BF221" s="714"/>
      <c r="BG221" s="714"/>
      <c r="BH221" s="342">
        <v>12</v>
      </c>
      <c r="BI221" s="372">
        <f>+$AY$6</f>
        <v>0</v>
      </c>
    </row>
    <row r="222" spans="35:61" x14ac:dyDescent="0.25">
      <c r="AI222" s="236"/>
      <c r="AJ222" s="236"/>
      <c r="BE222" s="713" t="s">
        <v>241</v>
      </c>
      <c r="BF222" s="714"/>
      <c r="BG222" s="714"/>
      <c r="BH222" s="342">
        <v>12</v>
      </c>
      <c r="BI222" s="372">
        <f>+$AY$6</f>
        <v>0</v>
      </c>
    </row>
    <row r="223" spans="35:61" x14ac:dyDescent="0.25">
      <c r="AI223" s="236"/>
      <c r="AJ223" s="236"/>
      <c r="BE223" s="728" t="s">
        <v>242</v>
      </c>
      <c r="BF223" s="729"/>
      <c r="BG223" s="730"/>
      <c r="BH223" s="342">
        <v>15</v>
      </c>
      <c r="BI223" s="372">
        <f>+$AY$7</f>
        <v>0</v>
      </c>
    </row>
    <row r="224" spans="35:61" x14ac:dyDescent="0.25">
      <c r="AI224" s="236"/>
      <c r="AJ224" s="236"/>
      <c r="BE224" s="713" t="s">
        <v>243</v>
      </c>
      <c r="BF224" s="714"/>
      <c r="BG224" s="714"/>
      <c r="BH224" s="342">
        <v>15</v>
      </c>
      <c r="BI224" s="372">
        <f>+$AY$7</f>
        <v>0</v>
      </c>
    </row>
    <row r="225" spans="35:61" x14ac:dyDescent="0.25">
      <c r="AI225" s="236"/>
      <c r="AJ225" s="236"/>
      <c r="BE225" s="713" t="s">
        <v>244</v>
      </c>
      <c r="BF225" s="714"/>
      <c r="BG225" s="714"/>
      <c r="BH225" s="342">
        <v>15</v>
      </c>
      <c r="BI225" s="372">
        <f>+$AY$7</f>
        <v>0</v>
      </c>
    </row>
    <row r="226" spans="35:61" x14ac:dyDescent="0.25">
      <c r="AI226" s="236"/>
      <c r="AJ226" s="236"/>
      <c r="BE226" s="713" t="s">
        <v>245</v>
      </c>
      <c r="BF226" s="714"/>
      <c r="BG226" s="714"/>
      <c r="BH226" s="342">
        <v>15</v>
      </c>
      <c r="BI226" s="372">
        <f>+$AY$7</f>
        <v>0</v>
      </c>
    </row>
    <row r="227" spans="35:61" ht="15.75" thickBot="1" x14ac:dyDescent="0.3">
      <c r="AI227" s="236"/>
      <c r="AJ227" s="236"/>
      <c r="BE227" s="715" t="s">
        <v>246</v>
      </c>
      <c r="BF227" s="716"/>
      <c r="BG227" s="716"/>
      <c r="BH227" s="348">
        <v>15</v>
      </c>
      <c r="BI227" s="405">
        <f>+$AY$7</f>
        <v>0</v>
      </c>
    </row>
    <row r="228" spans="35:61" ht="21.75" thickBot="1" x14ac:dyDescent="0.3">
      <c r="AI228" s="236"/>
      <c r="AJ228" s="236"/>
      <c r="BE228" s="719" t="s">
        <v>279</v>
      </c>
      <c r="BF228" s="720"/>
      <c r="BG228" s="720"/>
      <c r="BH228" s="720"/>
      <c r="BI228" s="721"/>
    </row>
    <row r="229" spans="35:61" ht="15.75" thickBot="1" x14ac:dyDescent="0.3">
      <c r="AI229" s="236"/>
      <c r="AJ229" s="236"/>
      <c r="BE229" s="248" t="s">
        <v>396</v>
      </c>
      <c r="BF229" s="246"/>
      <c r="BG229" s="246"/>
      <c r="BH229" s="246"/>
      <c r="BI229" s="247"/>
    </row>
    <row r="230" spans="35:61" ht="15.75" thickBot="1" x14ac:dyDescent="0.3">
      <c r="AI230" s="236"/>
      <c r="AJ230" s="236"/>
      <c r="BE230" s="725" t="s">
        <v>270</v>
      </c>
      <c r="BF230" s="726"/>
      <c r="BG230" s="727"/>
      <c r="BH230" s="406" t="s">
        <v>265</v>
      </c>
      <c r="BI230" s="407" t="s">
        <v>268</v>
      </c>
    </row>
    <row r="231" spans="35:61" x14ac:dyDescent="0.25">
      <c r="AI231" s="236"/>
      <c r="AJ231" s="236"/>
      <c r="BE231" s="717" t="s">
        <v>348</v>
      </c>
      <c r="BF231" s="718"/>
      <c r="BG231" s="718"/>
      <c r="BH231" s="408">
        <v>57</v>
      </c>
      <c r="BI231" s="409">
        <f>+BA5</f>
        <v>0</v>
      </c>
    </row>
    <row r="232" spans="35:61" x14ac:dyDescent="0.25">
      <c r="AI232" s="236"/>
      <c r="AJ232" s="236"/>
      <c r="BE232" s="713" t="s">
        <v>349</v>
      </c>
      <c r="BF232" s="714"/>
      <c r="BG232" s="714"/>
      <c r="BH232" s="410">
        <v>58</v>
      </c>
      <c r="BI232" s="373">
        <f t="shared" ref="BI232:BI242" si="10">+BA6</f>
        <v>0</v>
      </c>
    </row>
    <row r="233" spans="35:61" x14ac:dyDescent="0.25">
      <c r="AI233" s="236"/>
      <c r="AJ233" s="236"/>
      <c r="BE233" s="713" t="s">
        <v>237</v>
      </c>
      <c r="BF233" s="714"/>
      <c r="BG233" s="714"/>
      <c r="BH233" s="410">
        <v>61</v>
      </c>
      <c r="BI233" s="373">
        <f t="shared" si="10"/>
        <v>0</v>
      </c>
    </row>
    <row r="234" spans="35:61" x14ac:dyDescent="0.25">
      <c r="AI234" s="236"/>
      <c r="AJ234" s="236"/>
      <c r="BE234" s="713" t="s">
        <v>238</v>
      </c>
      <c r="BF234" s="714"/>
      <c r="BG234" s="714"/>
      <c r="BH234" s="410">
        <v>64</v>
      </c>
      <c r="BI234" s="373">
        <f t="shared" si="10"/>
        <v>0</v>
      </c>
    </row>
    <row r="235" spans="35:61" x14ac:dyDescent="0.25">
      <c r="AI235" s="236"/>
      <c r="AJ235" s="236"/>
      <c r="BE235" s="713" t="s">
        <v>239</v>
      </c>
      <c r="BF235" s="714"/>
      <c r="BG235" s="714"/>
      <c r="BH235" s="410">
        <v>65</v>
      </c>
      <c r="BI235" s="373">
        <f t="shared" si="10"/>
        <v>0</v>
      </c>
    </row>
    <row r="236" spans="35:61" x14ac:dyDescent="0.25">
      <c r="AI236" s="236"/>
      <c r="AJ236" s="236"/>
      <c r="BE236" s="713" t="s">
        <v>240</v>
      </c>
      <c r="BF236" s="714"/>
      <c r="BG236" s="714"/>
      <c r="BH236" s="410">
        <v>68</v>
      </c>
      <c r="BI236" s="373">
        <f t="shared" si="10"/>
        <v>0</v>
      </c>
    </row>
    <row r="237" spans="35:61" x14ac:dyDescent="0.25">
      <c r="AI237" s="236"/>
      <c r="AJ237" s="236"/>
      <c r="BE237" s="713" t="s">
        <v>241</v>
      </c>
      <c r="BF237" s="714"/>
      <c r="BG237" s="714"/>
      <c r="BH237" s="410">
        <v>69</v>
      </c>
      <c r="BI237" s="373">
        <f t="shared" si="10"/>
        <v>0</v>
      </c>
    </row>
    <row r="238" spans="35:61" x14ac:dyDescent="0.25">
      <c r="AI238" s="236"/>
      <c r="AJ238" s="236"/>
      <c r="BE238" s="713" t="s">
        <v>242</v>
      </c>
      <c r="BF238" s="714"/>
      <c r="BG238" s="714"/>
      <c r="BH238" s="410">
        <v>70</v>
      </c>
      <c r="BI238" s="373">
        <f t="shared" si="10"/>
        <v>0</v>
      </c>
    </row>
    <row r="239" spans="35:61" x14ac:dyDescent="0.25">
      <c r="AI239" s="236"/>
      <c r="AJ239" s="236"/>
      <c r="BE239" s="713" t="s">
        <v>243</v>
      </c>
      <c r="BF239" s="714"/>
      <c r="BG239" s="714"/>
      <c r="BH239" s="410">
        <v>71</v>
      </c>
      <c r="BI239" s="373">
        <f t="shared" si="10"/>
        <v>0</v>
      </c>
    </row>
    <row r="240" spans="35:61" x14ac:dyDescent="0.25">
      <c r="AI240" s="236"/>
      <c r="AJ240" s="236"/>
      <c r="BE240" s="713" t="s">
        <v>244</v>
      </c>
      <c r="BF240" s="714"/>
      <c r="BG240" s="714"/>
      <c r="BH240" s="410">
        <v>72</v>
      </c>
      <c r="BI240" s="373">
        <f t="shared" si="10"/>
        <v>0</v>
      </c>
    </row>
    <row r="241" spans="35:61" x14ac:dyDescent="0.25">
      <c r="AI241" s="236"/>
      <c r="AJ241" s="236"/>
      <c r="BE241" s="713" t="s">
        <v>245</v>
      </c>
      <c r="BF241" s="714"/>
      <c r="BG241" s="714"/>
      <c r="BH241" s="410">
        <v>73</v>
      </c>
      <c r="BI241" s="373">
        <f t="shared" si="10"/>
        <v>0</v>
      </c>
    </row>
    <row r="242" spans="35:61" ht="15.75" thickBot="1" x14ac:dyDescent="0.3">
      <c r="AI242" s="236"/>
      <c r="AJ242" s="236"/>
      <c r="BE242" s="715" t="s">
        <v>246</v>
      </c>
      <c r="BF242" s="716"/>
      <c r="BG242" s="716"/>
      <c r="BH242" s="411">
        <v>75</v>
      </c>
      <c r="BI242" s="374">
        <f t="shared" si="10"/>
        <v>0</v>
      </c>
    </row>
    <row r="243" spans="35:61" ht="21.75" thickBot="1" x14ac:dyDescent="0.3">
      <c r="AI243" s="236"/>
      <c r="AJ243" s="236"/>
      <c r="BE243" s="719" t="s">
        <v>280</v>
      </c>
      <c r="BF243" s="720"/>
      <c r="BG243" s="720"/>
      <c r="BH243" s="720"/>
      <c r="BI243" s="721"/>
    </row>
    <row r="244" spans="35:61" ht="15.75" thickBot="1" x14ac:dyDescent="0.3">
      <c r="AI244" s="236"/>
      <c r="AJ244" s="236"/>
      <c r="BE244" s="248" t="s">
        <v>63</v>
      </c>
      <c r="BF244" s="246"/>
      <c r="BG244" s="246"/>
      <c r="BH244" s="246"/>
      <c r="BI244" s="247"/>
    </row>
    <row r="245" spans="35:61" ht="15.75" thickBot="1" x14ac:dyDescent="0.3">
      <c r="AI245" s="236"/>
      <c r="AJ245" s="236"/>
      <c r="BE245" s="722" t="s">
        <v>270</v>
      </c>
      <c r="BF245" s="723"/>
      <c r="BG245" s="724"/>
      <c r="BH245" s="412" t="s">
        <v>265</v>
      </c>
      <c r="BI245" s="413" t="s">
        <v>268</v>
      </c>
    </row>
    <row r="246" spans="35:61" x14ac:dyDescent="0.25">
      <c r="AI246" s="236"/>
      <c r="AJ246" s="236"/>
      <c r="BE246" s="717" t="s">
        <v>348</v>
      </c>
      <c r="BF246" s="718"/>
      <c r="BG246" s="718"/>
      <c r="BH246" s="408">
        <v>15</v>
      </c>
      <c r="BI246" s="409">
        <f>+$BC$5</f>
        <v>0</v>
      </c>
    </row>
    <row r="247" spans="35:61" x14ac:dyDescent="0.25">
      <c r="AI247" s="236"/>
      <c r="AJ247" s="236"/>
      <c r="BE247" s="713" t="s">
        <v>349</v>
      </c>
      <c r="BF247" s="714"/>
      <c r="BG247" s="714"/>
      <c r="BH247" s="410">
        <v>15</v>
      </c>
      <c r="BI247" s="414">
        <f>+$BC$5</f>
        <v>0</v>
      </c>
    </row>
    <row r="248" spans="35:61" x14ac:dyDescent="0.25">
      <c r="AI248" s="236"/>
      <c r="AJ248" s="236"/>
      <c r="BE248" s="713" t="s">
        <v>237</v>
      </c>
      <c r="BF248" s="714"/>
      <c r="BG248" s="714"/>
      <c r="BH248" s="410">
        <v>15</v>
      </c>
      <c r="BI248" s="414">
        <f>+$BC$5</f>
        <v>0</v>
      </c>
    </row>
    <row r="249" spans="35:61" x14ac:dyDescent="0.25">
      <c r="AI249" s="236"/>
      <c r="AJ249" s="236"/>
      <c r="BE249" s="713" t="s">
        <v>238</v>
      </c>
      <c r="BF249" s="714"/>
      <c r="BG249" s="714"/>
      <c r="BH249" s="410">
        <v>15</v>
      </c>
      <c r="BI249" s="414">
        <f>+$BC$5</f>
        <v>0</v>
      </c>
    </row>
    <row r="250" spans="35:61" x14ac:dyDescent="0.25">
      <c r="AI250" s="236"/>
      <c r="AJ250" s="236"/>
      <c r="BE250" s="713" t="s">
        <v>239</v>
      </c>
      <c r="BF250" s="714"/>
      <c r="BG250" s="714"/>
      <c r="BH250" s="410">
        <v>15</v>
      </c>
      <c r="BI250" s="414">
        <f>+$BC$5</f>
        <v>0</v>
      </c>
    </row>
    <row r="251" spans="35:61" x14ac:dyDescent="0.25">
      <c r="AI251" s="236"/>
      <c r="AJ251" s="236"/>
      <c r="BE251" s="713" t="s">
        <v>240</v>
      </c>
      <c r="BF251" s="714"/>
      <c r="BG251" s="714"/>
      <c r="BH251" s="410">
        <v>20</v>
      </c>
      <c r="BI251" s="414">
        <f t="shared" ref="BI251:BI257" si="11">+$BC$6</f>
        <v>0</v>
      </c>
    </row>
    <row r="252" spans="35:61" x14ac:dyDescent="0.25">
      <c r="AI252" s="236"/>
      <c r="AJ252" s="236"/>
      <c r="BE252" s="713" t="s">
        <v>241</v>
      </c>
      <c r="BF252" s="714"/>
      <c r="BG252" s="714"/>
      <c r="BH252" s="410">
        <v>20</v>
      </c>
      <c r="BI252" s="414">
        <f t="shared" si="11"/>
        <v>0</v>
      </c>
    </row>
    <row r="253" spans="35:61" x14ac:dyDescent="0.25">
      <c r="AI253" s="236"/>
      <c r="AJ253" s="236"/>
      <c r="BE253" s="713" t="s">
        <v>242</v>
      </c>
      <c r="BF253" s="714"/>
      <c r="BG253" s="714"/>
      <c r="BH253" s="410">
        <v>20</v>
      </c>
      <c r="BI253" s="414">
        <f t="shared" si="11"/>
        <v>0</v>
      </c>
    </row>
    <row r="254" spans="35:61" x14ac:dyDescent="0.25">
      <c r="AI254" s="236"/>
      <c r="AJ254" s="236"/>
      <c r="BE254" s="713" t="s">
        <v>243</v>
      </c>
      <c r="BF254" s="714"/>
      <c r="BG254" s="714"/>
      <c r="BH254" s="410">
        <v>20</v>
      </c>
      <c r="BI254" s="414">
        <f t="shared" si="11"/>
        <v>0</v>
      </c>
    </row>
    <row r="255" spans="35:61" x14ac:dyDescent="0.25">
      <c r="AI255" s="236"/>
      <c r="AJ255" s="236"/>
      <c r="BE255" s="713" t="s">
        <v>244</v>
      </c>
      <c r="BF255" s="714"/>
      <c r="BG255" s="714"/>
      <c r="BH255" s="410">
        <v>20</v>
      </c>
      <c r="BI255" s="414">
        <f t="shared" si="11"/>
        <v>0</v>
      </c>
    </row>
    <row r="256" spans="35:61" x14ac:dyDescent="0.25">
      <c r="AI256" s="236"/>
      <c r="AJ256" s="236"/>
      <c r="BE256" s="713" t="s">
        <v>245</v>
      </c>
      <c r="BF256" s="714"/>
      <c r="BG256" s="714"/>
      <c r="BH256" s="410">
        <v>20</v>
      </c>
      <c r="BI256" s="414">
        <f t="shared" si="11"/>
        <v>0</v>
      </c>
    </row>
    <row r="257" spans="35:61" ht="15.75" thickBot="1" x14ac:dyDescent="0.3">
      <c r="AI257" s="236"/>
      <c r="AJ257" s="236"/>
      <c r="BE257" s="715" t="s">
        <v>246</v>
      </c>
      <c r="BF257" s="716"/>
      <c r="BG257" s="716"/>
      <c r="BH257" s="411">
        <v>20</v>
      </c>
      <c r="BI257" s="415">
        <f t="shared" si="11"/>
        <v>0</v>
      </c>
    </row>
  </sheetData>
  <mergeCells count="196">
    <mergeCell ref="BK1:BK2"/>
    <mergeCell ref="BL1:BL2"/>
    <mergeCell ref="BM1:BM2"/>
    <mergeCell ref="P1:T2"/>
    <mergeCell ref="V1:AG2"/>
    <mergeCell ref="B25:B26"/>
    <mergeCell ref="C25:C26"/>
    <mergeCell ref="D25:D26"/>
    <mergeCell ref="E25:E26"/>
    <mergeCell ref="F25:F26"/>
    <mergeCell ref="B1:G2"/>
    <mergeCell ref="I1:L2"/>
    <mergeCell ref="I7:J7"/>
    <mergeCell ref="N1:N2"/>
    <mergeCell ref="B13:G13"/>
    <mergeCell ref="K7:L7"/>
    <mergeCell ref="I25:I26"/>
    <mergeCell ref="BE55:BG55"/>
    <mergeCell ref="BE56:BG56"/>
    <mergeCell ref="BE57:BG57"/>
    <mergeCell ref="BE58:BG58"/>
    <mergeCell ref="BE59:BG59"/>
    <mergeCell ref="BE1:BI2"/>
    <mergeCell ref="AI3:AK3"/>
    <mergeCell ref="AL3:AN3"/>
    <mergeCell ref="AO3:AQ3"/>
    <mergeCell ref="AR3:AS3"/>
    <mergeCell ref="AT3:AU3"/>
    <mergeCell ref="AV3:AW3"/>
    <mergeCell ref="AX3:AY3"/>
    <mergeCell ref="AZ3:BA3"/>
    <mergeCell ref="BB3:BC3"/>
    <mergeCell ref="AI1:BC1"/>
    <mergeCell ref="BE65:BG65"/>
    <mergeCell ref="BE66:BG66"/>
    <mergeCell ref="BE67:BG67"/>
    <mergeCell ref="BE69:BG69"/>
    <mergeCell ref="BE70:BG70"/>
    <mergeCell ref="BE60:BG60"/>
    <mergeCell ref="BE61:BG61"/>
    <mergeCell ref="BE62:BG62"/>
    <mergeCell ref="BE63:BG63"/>
    <mergeCell ref="BE64:BG64"/>
    <mergeCell ref="BE76:BG76"/>
    <mergeCell ref="BE77:BG77"/>
    <mergeCell ref="BE78:BG78"/>
    <mergeCell ref="BE79:BG79"/>
    <mergeCell ref="BE80:BG80"/>
    <mergeCell ref="BE71:BG71"/>
    <mergeCell ref="BE72:BG72"/>
    <mergeCell ref="BE73:BG73"/>
    <mergeCell ref="BE74:BG74"/>
    <mergeCell ref="BE75:BG75"/>
    <mergeCell ref="BE99:BG99"/>
    <mergeCell ref="BE100:BG100"/>
    <mergeCell ref="BE101:BG101"/>
    <mergeCell ref="BE102:BG102"/>
    <mergeCell ref="BE103:BG103"/>
    <mergeCell ref="BE81:BG81"/>
    <mergeCell ref="BE82:BI82"/>
    <mergeCell ref="BE83:BI83"/>
    <mergeCell ref="BE97:BI97"/>
    <mergeCell ref="BE98:BG98"/>
    <mergeCell ref="BE109:BG109"/>
    <mergeCell ref="BE110:BG110"/>
    <mergeCell ref="BE111:BI111"/>
    <mergeCell ref="BE127:BG127"/>
    <mergeCell ref="BE128:BG128"/>
    <mergeCell ref="BE104:BG104"/>
    <mergeCell ref="BE105:BG105"/>
    <mergeCell ref="BE106:BG106"/>
    <mergeCell ref="BE107:BG107"/>
    <mergeCell ref="BE108:BG108"/>
    <mergeCell ref="BE134:BG134"/>
    <mergeCell ref="BE135:BG135"/>
    <mergeCell ref="BE136:BG136"/>
    <mergeCell ref="BE137:BG137"/>
    <mergeCell ref="BE138:BG138"/>
    <mergeCell ref="BE129:BG129"/>
    <mergeCell ref="BE130:BG130"/>
    <mergeCell ref="BE131:BG131"/>
    <mergeCell ref="BE132:BG132"/>
    <mergeCell ref="BE133:BG133"/>
    <mergeCell ref="BE145:BG145"/>
    <mergeCell ref="BE146:BG146"/>
    <mergeCell ref="BE147:BG147"/>
    <mergeCell ref="BE148:BG148"/>
    <mergeCell ref="BE149:BG149"/>
    <mergeCell ref="BE139:BG139"/>
    <mergeCell ref="BE140:BI140"/>
    <mergeCell ref="BE142:BG142"/>
    <mergeCell ref="BE143:BG143"/>
    <mergeCell ref="BE144:BG144"/>
    <mergeCell ref="BE156:BG156"/>
    <mergeCell ref="BE157:BG157"/>
    <mergeCell ref="BE158:BG158"/>
    <mergeCell ref="BE159:BG159"/>
    <mergeCell ref="BE160:BG160"/>
    <mergeCell ref="BE150:BG150"/>
    <mergeCell ref="BE151:BG151"/>
    <mergeCell ref="BE152:BG152"/>
    <mergeCell ref="BE153:BG153"/>
    <mergeCell ref="BE154:BG154"/>
    <mergeCell ref="BE166:BG166"/>
    <mergeCell ref="BE167:BG167"/>
    <mergeCell ref="BE168:BG168"/>
    <mergeCell ref="BE169:BI169"/>
    <mergeCell ref="BE171:BG171"/>
    <mergeCell ref="BE161:BG161"/>
    <mergeCell ref="BE162:BG162"/>
    <mergeCell ref="BE163:BG163"/>
    <mergeCell ref="BE164:BG164"/>
    <mergeCell ref="BE165:BG165"/>
    <mergeCell ref="BE177:BG177"/>
    <mergeCell ref="BE178:BG178"/>
    <mergeCell ref="BE179:BG179"/>
    <mergeCell ref="BE180:BG180"/>
    <mergeCell ref="BE181:BG181"/>
    <mergeCell ref="BE172:BG172"/>
    <mergeCell ref="BE173:BG173"/>
    <mergeCell ref="BE174:BG174"/>
    <mergeCell ref="BE175:BG175"/>
    <mergeCell ref="BE176:BG176"/>
    <mergeCell ref="BE187:BG187"/>
    <mergeCell ref="BE188:BG188"/>
    <mergeCell ref="BE189:BG189"/>
    <mergeCell ref="BE190:BG190"/>
    <mergeCell ref="BE191:BG191"/>
    <mergeCell ref="BE182:BG182"/>
    <mergeCell ref="BE183:BG183"/>
    <mergeCell ref="BE184:BI184"/>
    <mergeCell ref="BE185:BG185"/>
    <mergeCell ref="BE186:BG186"/>
    <mergeCell ref="BE197:BG197"/>
    <mergeCell ref="BE198:BI198"/>
    <mergeCell ref="BE200:BG200"/>
    <mergeCell ref="BE201:BG201"/>
    <mergeCell ref="BE202:BG202"/>
    <mergeCell ref="BE192:BG192"/>
    <mergeCell ref="BE193:BG193"/>
    <mergeCell ref="BE194:BG194"/>
    <mergeCell ref="BE195:BG195"/>
    <mergeCell ref="BE196:BG196"/>
    <mergeCell ref="BE208:BG208"/>
    <mergeCell ref="BE209:BG209"/>
    <mergeCell ref="BE210:BG210"/>
    <mergeCell ref="BE211:BG211"/>
    <mergeCell ref="BE212:BG212"/>
    <mergeCell ref="BE203:BG203"/>
    <mergeCell ref="BE204:BG204"/>
    <mergeCell ref="BE205:BG205"/>
    <mergeCell ref="BE206:BG206"/>
    <mergeCell ref="BE207:BG207"/>
    <mergeCell ref="BE219:BG219"/>
    <mergeCell ref="BE220:BG220"/>
    <mergeCell ref="BE221:BG221"/>
    <mergeCell ref="BE222:BG222"/>
    <mergeCell ref="BE223:BG223"/>
    <mergeCell ref="BE213:BI213"/>
    <mergeCell ref="BE215:BG215"/>
    <mergeCell ref="BE216:BG216"/>
    <mergeCell ref="BE217:BG217"/>
    <mergeCell ref="BE218:BG218"/>
    <mergeCell ref="BE231:BG231"/>
    <mergeCell ref="BE232:BG232"/>
    <mergeCell ref="BE233:BG233"/>
    <mergeCell ref="BE234:BG234"/>
    <mergeCell ref="BE224:BG224"/>
    <mergeCell ref="BE225:BG225"/>
    <mergeCell ref="BE226:BG226"/>
    <mergeCell ref="BE227:BG227"/>
    <mergeCell ref="BE228:BI228"/>
    <mergeCell ref="I27:I28"/>
    <mergeCell ref="BE256:BG256"/>
    <mergeCell ref="BE257:BG257"/>
    <mergeCell ref="BE251:BG251"/>
    <mergeCell ref="BE252:BG252"/>
    <mergeCell ref="BE253:BG253"/>
    <mergeCell ref="BE254:BG254"/>
    <mergeCell ref="BE255:BG255"/>
    <mergeCell ref="BE246:BG246"/>
    <mergeCell ref="BE247:BG247"/>
    <mergeCell ref="BE248:BG248"/>
    <mergeCell ref="BE249:BG249"/>
    <mergeCell ref="BE250:BG250"/>
    <mergeCell ref="BE240:BG240"/>
    <mergeCell ref="BE241:BG241"/>
    <mergeCell ref="BE242:BG242"/>
    <mergeCell ref="BE243:BI243"/>
    <mergeCell ref="BE245:BG245"/>
    <mergeCell ref="BE235:BG235"/>
    <mergeCell ref="BE236:BG236"/>
    <mergeCell ref="BE237:BG237"/>
    <mergeCell ref="BE238:BG238"/>
    <mergeCell ref="BE239:BG239"/>
    <mergeCell ref="BE230:BG230"/>
  </mergeCells>
  <conditionalFormatting sqref="N16">
    <cfRule type="containsText" dxfId="2" priority="3" operator="containsText" text="*">
      <formula>NOT(ISERROR(SEARCH("*",N16)))</formula>
    </cfRule>
  </conditionalFormatting>
  <conditionalFormatting sqref="AI4:BC50">
    <cfRule type="containsText" dxfId="1" priority="1" operator="containsText" text="*">
      <formula>NOT(ISERROR(SEARCH("*",AI4)))</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I300"/>
  <sheetViews>
    <sheetView workbookViewId="0">
      <selection activeCell="I4" sqref="I4"/>
    </sheetView>
  </sheetViews>
  <sheetFormatPr baseColWidth="10" defaultRowHeight="15" x14ac:dyDescent="0.25"/>
  <cols>
    <col min="2" max="2" width="16.140625" bestFit="1" customWidth="1"/>
    <col min="3" max="3" width="23.140625" bestFit="1" customWidth="1"/>
    <col min="4" max="4" width="9.140625" style="490" customWidth="1"/>
    <col min="5" max="6" width="11.42578125" style="490"/>
    <col min="7" max="7" width="0" style="490" hidden="1" customWidth="1"/>
    <col min="8" max="8" width="16.42578125" style="490" bestFit="1" customWidth="1"/>
    <col min="9" max="9" width="11.42578125" style="490"/>
  </cols>
  <sheetData>
    <row r="1" spans="1:9" x14ac:dyDescent="0.25">
      <c r="A1" s="799" t="s">
        <v>439</v>
      </c>
      <c r="B1" s="799"/>
      <c r="C1" s="799"/>
      <c r="D1" s="799"/>
      <c r="E1" s="799"/>
      <c r="F1" s="799"/>
      <c r="G1" s="799"/>
      <c r="H1" s="799"/>
      <c r="I1" s="799"/>
    </row>
    <row r="2" spans="1:9" x14ac:dyDescent="0.25">
      <c r="A2" s="519" t="s">
        <v>451</v>
      </c>
      <c r="B2" s="519" t="s">
        <v>0</v>
      </c>
      <c r="C2" s="519" t="s">
        <v>452</v>
      </c>
      <c r="D2" s="519" t="s">
        <v>372</v>
      </c>
      <c r="E2" s="519" t="s">
        <v>453</v>
      </c>
      <c r="F2" s="519" t="s">
        <v>454</v>
      </c>
      <c r="G2" s="520"/>
      <c r="H2" s="519" t="s">
        <v>484</v>
      </c>
      <c r="I2" s="519" t="s">
        <v>421</v>
      </c>
    </row>
    <row r="3" spans="1:9" x14ac:dyDescent="0.25">
      <c r="A3" t="str">
        <f>IF(Pedidos!$BA5="","",Pedidos!BB5)</f>
        <v>PO# 16</v>
      </c>
      <c r="B3" t="str">
        <f>IF(Pedidos!$BA5="","",Pedidos!BC5)</f>
        <v>BCK SUB 01</v>
      </c>
      <c r="C3" t="str">
        <f>IF(Pedidos!$BA5="","",Pedidos!BD5)</f>
        <v>Custom Team Back Pack</v>
      </c>
      <c r="D3" s="490">
        <f>IF(Pedidos!$BA5="","",Pedidos!BE5)</f>
        <v>2</v>
      </c>
      <c r="E3" s="490" t="str">
        <f>IF($A3&lt;&gt;"",VLOOKUP($A3,Pedidos!$A$2:$I$9998,8,0),"")</f>
        <v>10/07/2020</v>
      </c>
      <c r="F3" s="490" t="str">
        <f>IF($A3&lt;&gt;"",VLOOKUP($A3,Pedidos!$A$2:$I$9998,9,0),"")</f>
        <v>Si Existe</v>
      </c>
      <c r="G3" s="490">
        <f t="shared" ref="G3" si="0">IF(A3="","",IF(A3=A2,G2+1,1))</f>
        <v>1</v>
      </c>
      <c r="H3" s="490" t="str">
        <f t="shared" ref="H3" si="1">IF(A3="","",A3&amp;"     ITEM # "&amp;G3)</f>
        <v>PO# 16     ITEM # 1</v>
      </c>
      <c r="I3" s="490" t="str">
        <f>IF(Procesos!W12=0,"",Procesos!W12)</f>
        <v>Corte</v>
      </c>
    </row>
    <row r="4" spans="1:9" x14ac:dyDescent="0.25">
      <c r="A4" t="str">
        <f>IF(Pedidos!$BA6="","",Pedidos!BB6)</f>
        <v>PO# 20</v>
      </c>
      <c r="B4" t="str">
        <f>IF(Pedidos!$BA6="","",Pedidos!BC6)</f>
        <v>LEG SUB 01</v>
      </c>
      <c r="C4" t="str">
        <f>IF(Pedidos!$BA6="","",Pedidos!BD6)</f>
        <v>Leggings Full Sublimated</v>
      </c>
      <c r="D4" s="490">
        <f>IF(Pedidos!$BA6="","",Pedidos!BE6)</f>
        <v>8</v>
      </c>
      <c r="E4" s="490" t="str">
        <f>IF($A4&lt;&gt;"",VLOOKUP($A4,Pedidos!$A$2:$I$9998,8,0),"")</f>
        <v>12/07/2020</v>
      </c>
      <c r="F4" s="490" t="str">
        <f>IF($A4&lt;&gt;"",VLOOKUP($A4,Pedidos!$A$2:$I$9998,9,0),"")</f>
        <v>Si Existe</v>
      </c>
      <c r="G4" s="490">
        <f t="shared" ref="G4:G20" si="2">IF(A4="","",IF(A4=A3,G3+1,1))</f>
        <v>1</v>
      </c>
      <c r="H4" s="490" t="str">
        <f t="shared" ref="H4:H67" si="3">IF(A4="","",A4&amp;"     ITEM # "&amp;G4)</f>
        <v>PO# 20     ITEM # 1</v>
      </c>
      <c r="I4" s="490" t="str">
        <f>IFERROR(IF(INDEX(Procesos!$A$1:$HZ$457,MATCH(Resumen!$A$3&amp;"     ITEM # "&amp;Resumen!G4,Procesos!$A:$A,0)+6,MATCH(Resumen!A4,Procesos!$2:$2,0)+6)=0,"",INDEX(Procesos!$A$1:$HZ$457,MATCH(Resumen!$A$3&amp;"     ITEM # "&amp;Resumen!G4,Procesos!$A:$A,0)+6,MATCH(Resumen!A4,Procesos!$2:$2,0)+6)),"")</f>
        <v>Diseño</v>
      </c>
    </row>
    <row r="5" spans="1:9" x14ac:dyDescent="0.25">
      <c r="A5" t="str">
        <f>IF(Pedidos!$BA7="","",Pedidos!BB7)</f>
        <v>PO# 20</v>
      </c>
      <c r="B5" t="str">
        <f>IF(Pedidos!$BA7="","",Pedidos!BC7)</f>
        <v>HWL ONYX 02</v>
      </c>
      <c r="C5" t="str">
        <f>IF(Pedidos!$BA7="","",Pedidos!BD7)</f>
        <v>High Waist Leggings 2</v>
      </c>
      <c r="D5" s="490">
        <f>IF(Pedidos!$BA7="","",Pedidos!BE7)</f>
        <v>4</v>
      </c>
      <c r="E5" s="490" t="str">
        <f>IF($A5&lt;&gt;"",VLOOKUP($A5,Pedidos!$A$2:$I$9998,8,0),"")</f>
        <v>12/07/2020</v>
      </c>
      <c r="F5" s="490" t="str">
        <f>IF($A5&lt;&gt;"",VLOOKUP($A5,Pedidos!$A$2:$I$9998,9,0),"")</f>
        <v>Si Existe</v>
      </c>
      <c r="G5" s="490">
        <f t="shared" si="2"/>
        <v>2</v>
      </c>
      <c r="H5" s="490" t="str">
        <f t="shared" si="3"/>
        <v>PO# 20     ITEM # 2</v>
      </c>
      <c r="I5" s="490" t="str">
        <f>IFERROR(IF(INDEX(Procesos!$A$1:$HZ$457,MATCH(Resumen!$A$3&amp;"     ITEM # "&amp;Resumen!G5,Procesos!$A:$A,0)+6,MATCH(Resumen!A5,Procesos!$2:$2,0)+6)=0,"",INDEX(Procesos!$A$1:$HZ$457,MATCH(Resumen!$A$3&amp;"     ITEM # "&amp;Resumen!G5,Procesos!$A:$A,0)+6,MATCH(Resumen!A5,Procesos!$2:$2,0)+6)),"")</f>
        <v/>
      </c>
    </row>
    <row r="6" spans="1:9" x14ac:dyDescent="0.25">
      <c r="A6" t="str">
        <f>IF(Pedidos!$BA8="","",Pedidos!BB8)</f>
        <v>PO# 20</v>
      </c>
      <c r="B6" t="str">
        <f>IF(Pedidos!$BA8="","",Pedidos!BC8)</f>
        <v>DJT ONYX 01 - 02</v>
      </c>
      <c r="C6" t="str">
        <f>IF(Pedidos!$BA8="","",Pedidos!BD8)</f>
        <v>Onix Fitted Jacket</v>
      </c>
      <c r="D6" s="490">
        <f>IF(Pedidos!$BA8="","",Pedidos!BE8)</f>
        <v>3</v>
      </c>
      <c r="E6" s="490" t="str">
        <f>IF($A6&lt;&gt;"",VLOOKUP($A6,Pedidos!$A$2:$I$9998,8,0),"")</f>
        <v>12/07/2020</v>
      </c>
      <c r="F6" s="490" t="str">
        <f>IF($A6&lt;&gt;"",VLOOKUP($A6,Pedidos!$A$2:$I$9998,9,0),"")</f>
        <v>Si Existe</v>
      </c>
      <c r="G6" s="490">
        <f t="shared" si="2"/>
        <v>3</v>
      </c>
      <c r="H6" s="490" t="str">
        <f t="shared" si="3"/>
        <v>PO# 20     ITEM # 3</v>
      </c>
      <c r="I6" s="490" t="str">
        <f>IFERROR(IF(INDEX(Procesos!$A$1:$HZ$457,MATCH(Resumen!$A$3&amp;"     ITEM # "&amp;Resumen!G6,Procesos!$A:$A,0)+6,MATCH(Resumen!A6,Procesos!$2:$2,0)+6)=0,"",INDEX(Procesos!$A$1:$HZ$457,MATCH(Resumen!$A$3&amp;"     ITEM # "&amp;Resumen!G6,Procesos!$A:$A,0)+6,MATCH(Resumen!A6,Procesos!$2:$2,0)+6)),"")</f>
        <v/>
      </c>
    </row>
    <row r="7" spans="1:9" x14ac:dyDescent="0.25">
      <c r="A7" t="str">
        <f>IF(Pedidos!$BA9="","",Pedidos!BB9)</f>
        <v/>
      </c>
      <c r="B7" t="str">
        <f>IF(Pedidos!$BA9="","",Pedidos!BC9)</f>
        <v/>
      </c>
      <c r="C7" t="str">
        <f>IF(Pedidos!$BA9="","",Pedidos!BD9)</f>
        <v/>
      </c>
      <c r="D7" s="490" t="str">
        <f>IF(Pedidos!$BA9="","",Pedidos!BE9)</f>
        <v/>
      </c>
      <c r="E7" s="490" t="str">
        <f>IF($A7&lt;&gt;"",VLOOKUP($A7,Pedidos!$A$2:$I$9998,8,0),"")</f>
        <v/>
      </c>
      <c r="F7" s="490" t="str">
        <f>IF($A7&lt;&gt;"",VLOOKUP($A7,Pedidos!$A$2:$I$9998,9,0),"")</f>
        <v/>
      </c>
      <c r="G7" s="490" t="str">
        <f t="shared" si="2"/>
        <v/>
      </c>
      <c r="H7" s="490" t="str">
        <f t="shared" si="3"/>
        <v/>
      </c>
      <c r="I7" s="490" t="str">
        <f>IFERROR(IF(INDEX(Procesos!$A$1:$HZ$457,MATCH(Resumen!$A$3&amp;"     ITEM # "&amp;Resumen!G7,Procesos!$A:$A,0)+6,MATCH(Resumen!A7,Procesos!$2:$2,0)+6)=0,"",INDEX(Procesos!$A$1:$HZ$457,MATCH(Resumen!$A$3&amp;"     ITEM # "&amp;Resumen!G7,Procesos!$A:$A,0)+6,MATCH(Resumen!A7,Procesos!$2:$2,0)+6)),"")</f>
        <v/>
      </c>
    </row>
    <row r="8" spans="1:9" x14ac:dyDescent="0.25">
      <c r="A8" t="str">
        <f>IF(Pedidos!$BA10="","",Pedidos!BB10)</f>
        <v/>
      </c>
      <c r="B8" t="str">
        <f>IF(Pedidos!$BA10="","",Pedidos!BC10)</f>
        <v/>
      </c>
      <c r="C8" t="str">
        <f>IF(Pedidos!$BA10="","",Pedidos!BD10)</f>
        <v/>
      </c>
      <c r="D8" s="490" t="str">
        <f>IF(Pedidos!$BA10="","",Pedidos!BE10)</f>
        <v/>
      </c>
      <c r="E8" s="490" t="str">
        <f>IF($A8&lt;&gt;"",VLOOKUP($A8,Pedidos!$A$2:$I$9998,8,0),"")</f>
        <v/>
      </c>
      <c r="F8" s="490" t="str">
        <f>IF($A8&lt;&gt;"",VLOOKUP($A8,Pedidos!$A$2:$I$9998,9,0),"")</f>
        <v/>
      </c>
      <c r="G8" s="490" t="str">
        <f t="shared" si="2"/>
        <v/>
      </c>
      <c r="H8" s="490" t="str">
        <f t="shared" si="3"/>
        <v/>
      </c>
      <c r="I8" s="490" t="str">
        <f>IFERROR(IF(INDEX(Procesos!$A$1:$HZ$457,MATCH(Resumen!$A$3&amp;"     ITEM # "&amp;Resumen!G8,Procesos!$A:$A,0)+6,MATCH(Resumen!A8,Procesos!$2:$2,0)+6)=0,"",INDEX(Procesos!$A$1:$HZ$457,MATCH(Resumen!$A$3&amp;"     ITEM # "&amp;Resumen!G8,Procesos!$A:$A,0)+6,MATCH(Resumen!A8,Procesos!$2:$2,0)+6)),"")</f>
        <v/>
      </c>
    </row>
    <row r="9" spans="1:9" x14ac:dyDescent="0.25">
      <c r="A9" t="str">
        <f>IF(Pedidos!$BA11="","",Pedidos!BB11)</f>
        <v/>
      </c>
      <c r="B9" t="str">
        <f>IF(Pedidos!$BA11="","",Pedidos!BC11)</f>
        <v/>
      </c>
      <c r="C9" t="str">
        <f>IF(Pedidos!$BA11="","",Pedidos!BD11)</f>
        <v/>
      </c>
      <c r="D9" s="490" t="str">
        <f>IF(Pedidos!$BA11="","",Pedidos!BE11)</f>
        <v/>
      </c>
      <c r="E9" s="490" t="str">
        <f>IF($A9&lt;&gt;"",VLOOKUP($A9,Pedidos!$A$2:$I$9998,8,0),"")</f>
        <v/>
      </c>
      <c r="F9" s="490" t="str">
        <f>IF($A9&lt;&gt;"",VLOOKUP($A9,Pedidos!$A$2:$I$9998,9,0),"")</f>
        <v/>
      </c>
      <c r="G9" s="490" t="str">
        <f t="shared" si="2"/>
        <v/>
      </c>
      <c r="H9" s="490" t="str">
        <f t="shared" si="3"/>
        <v/>
      </c>
      <c r="I9" s="490" t="str">
        <f>IFERROR(IF(INDEX(Procesos!$A$1:$HZ$457,MATCH(Resumen!$A$3&amp;"     ITEM # "&amp;Resumen!G9,Procesos!$A:$A,0)+6,MATCH(Resumen!A9,Procesos!$2:$2,0)+6)=0,"",INDEX(Procesos!$A$1:$HZ$457,MATCH(Resumen!$A$3&amp;"     ITEM # "&amp;Resumen!G9,Procesos!$A:$A,0)+6,MATCH(Resumen!A9,Procesos!$2:$2,0)+6)),"")</f>
        <v/>
      </c>
    </row>
    <row r="10" spans="1:9" x14ac:dyDescent="0.25">
      <c r="A10" t="str">
        <f>IF(Pedidos!$BA12="","",Pedidos!BB12)</f>
        <v/>
      </c>
      <c r="B10" t="str">
        <f>IF(Pedidos!$BA12="","",Pedidos!BC12)</f>
        <v/>
      </c>
      <c r="C10" t="str">
        <f>IF(Pedidos!$BA12="","",Pedidos!BD12)</f>
        <v/>
      </c>
      <c r="D10" s="490" t="str">
        <f>IF(Pedidos!$BA12="","",Pedidos!BE12)</f>
        <v/>
      </c>
      <c r="E10" s="490" t="str">
        <f>IF($A10&lt;&gt;"",VLOOKUP($A10,Pedidos!$A$2:$I$9998,8,0),"")</f>
        <v/>
      </c>
      <c r="F10" s="490" t="str">
        <f>IF($A10&lt;&gt;"",VLOOKUP($A10,Pedidos!$A$2:$I$9998,9,0),"")</f>
        <v/>
      </c>
      <c r="G10" s="490" t="str">
        <f t="shared" si="2"/>
        <v/>
      </c>
      <c r="H10" s="490" t="str">
        <f>IF(A10="","",A10&amp;"     ITEM # "&amp;G10)</f>
        <v/>
      </c>
      <c r="I10" s="490" t="str">
        <f>IFERROR(IF(INDEX(Procesos!$A$1:$HZ$457,MATCH(Resumen!$A$3&amp;"     ITEM # "&amp;Resumen!G10,Procesos!$A:$A,0)+6,MATCH(Resumen!A10,Procesos!$2:$2,0)+6)=0,"",INDEX(Procesos!$A$1:$HZ$457,MATCH(Resumen!$A$3&amp;"     ITEM # "&amp;Resumen!G10,Procesos!$A:$A,0)+6,MATCH(Resumen!A10,Procesos!$2:$2,0)+6)),"")</f>
        <v/>
      </c>
    </row>
    <row r="11" spans="1:9" x14ac:dyDescent="0.25">
      <c r="A11" t="str">
        <f>IF(Pedidos!$BA13="","",Pedidos!BB13)</f>
        <v/>
      </c>
      <c r="B11" t="str">
        <f>IF(Pedidos!$BA13="","",Pedidos!BC13)</f>
        <v/>
      </c>
      <c r="C11" t="str">
        <f>IF(Pedidos!$BA13="","",Pedidos!BD13)</f>
        <v/>
      </c>
      <c r="D11" s="490" t="str">
        <f>IF(Pedidos!$BA13="","",Pedidos!BE13)</f>
        <v/>
      </c>
      <c r="E11" s="490" t="str">
        <f>IF($A11&lt;&gt;"",VLOOKUP($A11,Pedidos!$A$2:$I$9998,8,0),"")</f>
        <v/>
      </c>
      <c r="F11" s="490" t="str">
        <f>IF($A11&lt;&gt;"",VLOOKUP($A11,Pedidos!$A$2:$I$9998,9,0),"")</f>
        <v/>
      </c>
      <c r="G11" s="490" t="str">
        <f t="shared" si="2"/>
        <v/>
      </c>
      <c r="H11" s="490" t="str">
        <f t="shared" si="3"/>
        <v/>
      </c>
      <c r="I11" s="490" t="str">
        <f>IFERROR(IF(INDEX(Procesos!$A$1:$HZ$457,MATCH(Resumen!$A$3&amp;"     ITEM # "&amp;Resumen!G11,Procesos!$A:$A,0)+6,MATCH(Resumen!A11,Procesos!$2:$2,0)+6)=0,"",INDEX(Procesos!$A$1:$HZ$457,MATCH(Resumen!$A$3&amp;"     ITEM # "&amp;Resumen!G11,Procesos!$A:$A,0)+6,MATCH(Resumen!A11,Procesos!$2:$2,0)+6)),"")</f>
        <v/>
      </c>
    </row>
    <row r="12" spans="1:9" x14ac:dyDescent="0.25">
      <c r="A12" t="str">
        <f>IF(Pedidos!$BA14="","",Pedidos!BB14)</f>
        <v/>
      </c>
      <c r="B12" t="str">
        <f>IF(Pedidos!$BA14="","",Pedidos!BC14)</f>
        <v/>
      </c>
      <c r="C12" t="str">
        <f>IF(Pedidos!$BA14="","",Pedidos!BD14)</f>
        <v/>
      </c>
      <c r="D12" s="490" t="str">
        <f>IF(Pedidos!$BA14="","",Pedidos!BE14)</f>
        <v/>
      </c>
      <c r="E12" s="490" t="str">
        <f>IF($A12&lt;&gt;"",VLOOKUP($A12,Pedidos!$A$2:$I$9998,8,0),"")</f>
        <v/>
      </c>
      <c r="F12" s="490" t="str">
        <f>IF($A12&lt;&gt;"",VLOOKUP($A12,Pedidos!$A$2:$I$9998,9,0),"")</f>
        <v/>
      </c>
      <c r="G12" s="490" t="str">
        <f t="shared" si="2"/>
        <v/>
      </c>
      <c r="H12" s="490" t="str">
        <f t="shared" si="3"/>
        <v/>
      </c>
      <c r="I12" s="490" t="str">
        <f>IFERROR(IF(INDEX(Procesos!$A$1:$HZ$457,MATCH(Resumen!$A$3&amp;"     ITEM # "&amp;Resumen!G12,Procesos!$A:$A,0)+6,MATCH(Resumen!A12,Procesos!$2:$2,0)+6)=0,"",INDEX(Procesos!$A$1:$HZ$457,MATCH(Resumen!$A$3&amp;"     ITEM # "&amp;Resumen!G12,Procesos!$A:$A,0)+6,MATCH(Resumen!A12,Procesos!$2:$2,0)+6)),"")</f>
        <v/>
      </c>
    </row>
    <row r="13" spans="1:9" x14ac:dyDescent="0.25">
      <c r="A13" t="str">
        <f>IF(Pedidos!$BA15="","",Pedidos!BB15)</f>
        <v/>
      </c>
      <c r="B13" t="str">
        <f>IF(Pedidos!$BA15="","",Pedidos!BC15)</f>
        <v/>
      </c>
      <c r="C13" t="str">
        <f>IF(Pedidos!$BA15="","",Pedidos!BD15)</f>
        <v/>
      </c>
      <c r="D13" s="490" t="str">
        <f>IF(Pedidos!$BA15="","",Pedidos!BE15)</f>
        <v/>
      </c>
      <c r="E13" s="490" t="str">
        <f>IF($A13&lt;&gt;"",VLOOKUP($A13,Pedidos!$A$2:$I$9998,8,0),"")</f>
        <v/>
      </c>
      <c r="F13" s="490" t="str">
        <f>IF($A13&lt;&gt;"",VLOOKUP($A13,Pedidos!$A$2:$I$9998,9,0),"")</f>
        <v/>
      </c>
      <c r="G13" s="490" t="str">
        <f t="shared" si="2"/>
        <v/>
      </c>
      <c r="H13" s="490" t="str">
        <f t="shared" si="3"/>
        <v/>
      </c>
      <c r="I13" s="490" t="str">
        <f>IFERROR(IF(INDEX(Procesos!$A$1:$HZ$457,MATCH(Resumen!$A$3&amp;"     ITEM # "&amp;Resumen!G13,Procesos!$A:$A,0)+6,MATCH(Resumen!A13,Procesos!$2:$2,0)+6)=0,"",INDEX(Procesos!$A$1:$HZ$457,MATCH(Resumen!$A$3&amp;"     ITEM # "&amp;Resumen!G13,Procesos!$A:$A,0)+6,MATCH(Resumen!A13,Procesos!$2:$2,0)+6)),"")</f>
        <v/>
      </c>
    </row>
    <row r="14" spans="1:9" x14ac:dyDescent="0.25">
      <c r="A14" t="str">
        <f>IF(Pedidos!$BA16="","",Pedidos!BB16)</f>
        <v/>
      </c>
      <c r="B14" t="str">
        <f>IF(Pedidos!$BA16="","",Pedidos!BC16)</f>
        <v/>
      </c>
      <c r="C14" t="str">
        <f>IF(Pedidos!$BA16="","",Pedidos!BD16)</f>
        <v/>
      </c>
      <c r="D14" s="490" t="str">
        <f>IF(Pedidos!$BA16="","",Pedidos!BE16)</f>
        <v/>
      </c>
      <c r="E14" s="490" t="str">
        <f>IF($A14&lt;&gt;"",VLOOKUP($A14,Pedidos!$A$2:$I$9998,8,0),"")</f>
        <v/>
      </c>
      <c r="F14" s="490" t="str">
        <f>IF($A14&lt;&gt;"",VLOOKUP($A14,Pedidos!$A$2:$I$9998,9,0),"")</f>
        <v/>
      </c>
      <c r="G14" s="490" t="str">
        <f t="shared" si="2"/>
        <v/>
      </c>
      <c r="H14" s="490" t="str">
        <f t="shared" si="3"/>
        <v/>
      </c>
      <c r="I14" s="490" t="str">
        <f>IFERROR(IF(INDEX(Procesos!$A$1:$HZ$457,MATCH(Resumen!$A$3&amp;"     ITEM # "&amp;Resumen!G14,Procesos!$A:$A,0)+6,MATCH(Resumen!A14,Procesos!$2:$2,0)+6)=0,"",INDEX(Procesos!$A$1:$HZ$457,MATCH(Resumen!$A$3&amp;"     ITEM # "&amp;Resumen!G14,Procesos!$A:$A,0)+6,MATCH(Resumen!A14,Procesos!$2:$2,0)+6)),"")</f>
        <v/>
      </c>
    </row>
    <row r="15" spans="1:9" x14ac:dyDescent="0.25">
      <c r="A15" t="str">
        <f>IF(Pedidos!$BA17="","",Pedidos!BB17)</f>
        <v/>
      </c>
      <c r="B15" t="str">
        <f>IF(Pedidos!$BA17="","",Pedidos!BC17)</f>
        <v/>
      </c>
      <c r="C15" t="str">
        <f>IF(Pedidos!$BA17="","",Pedidos!BD17)</f>
        <v/>
      </c>
      <c r="D15" s="490" t="str">
        <f>IF(Pedidos!$BA17="","",Pedidos!BE17)</f>
        <v/>
      </c>
      <c r="E15" s="490" t="str">
        <f>IF($A15&lt;&gt;"",VLOOKUP($A15,Pedidos!$A$2:$I$9998,8,0),"")</f>
        <v/>
      </c>
      <c r="F15" s="490" t="str">
        <f>IF($A15&lt;&gt;"",VLOOKUP($A15,Pedidos!$A$2:$I$9998,9,0),"")</f>
        <v/>
      </c>
      <c r="G15" s="490" t="str">
        <f t="shared" si="2"/>
        <v/>
      </c>
      <c r="H15" s="490" t="str">
        <f t="shared" si="3"/>
        <v/>
      </c>
      <c r="I15" s="490" t="str">
        <f>IFERROR(IF(INDEX(Procesos!$A$1:$HZ$457,MATCH(Resumen!$A$3&amp;"     ITEM # "&amp;Resumen!G15,Procesos!$A:$A,0)+6,MATCH(Resumen!A15,Procesos!$2:$2,0)+6)=0,"",INDEX(Procesos!$A$1:$HZ$457,MATCH(Resumen!$A$3&amp;"     ITEM # "&amp;Resumen!G15,Procesos!$A:$A,0)+6,MATCH(Resumen!A15,Procesos!$2:$2,0)+6)),"")</f>
        <v/>
      </c>
    </row>
    <row r="16" spans="1:9" x14ac:dyDescent="0.25">
      <c r="A16" t="str">
        <f>IF(Pedidos!$BA18="","",Pedidos!BB18)</f>
        <v/>
      </c>
      <c r="B16" t="str">
        <f>IF(Pedidos!$BA18="","",Pedidos!BC18)</f>
        <v/>
      </c>
      <c r="C16" t="str">
        <f>IF(Pedidos!$BA18="","",Pedidos!BD18)</f>
        <v/>
      </c>
      <c r="D16" s="490" t="str">
        <f>IF(Pedidos!$BA18="","",Pedidos!BE18)</f>
        <v/>
      </c>
      <c r="E16" s="490" t="str">
        <f>IF($A16&lt;&gt;"",VLOOKUP($A16,Pedidos!$A$2:$I$9998,8,0),"")</f>
        <v/>
      </c>
      <c r="F16" s="490" t="str">
        <f>IF($A16&lt;&gt;"",VLOOKUP($A16,Pedidos!$A$2:$I$9998,9,0),"")</f>
        <v/>
      </c>
      <c r="G16" s="490" t="str">
        <f t="shared" si="2"/>
        <v/>
      </c>
      <c r="H16" s="490" t="str">
        <f t="shared" si="3"/>
        <v/>
      </c>
      <c r="I16" s="490" t="str">
        <f>IFERROR(IF(INDEX(Procesos!$A$1:$HZ$457,MATCH(Resumen!$A$3&amp;"     ITEM # "&amp;Resumen!G16,Procesos!$A:$A,0)+6,MATCH(Resumen!A16,Procesos!$2:$2,0)+6)=0,"",INDEX(Procesos!$A$1:$HZ$457,MATCH(Resumen!$A$3&amp;"     ITEM # "&amp;Resumen!G16,Procesos!$A:$A,0)+6,MATCH(Resumen!A16,Procesos!$2:$2,0)+6)),"")</f>
        <v/>
      </c>
    </row>
    <row r="17" spans="1:9" x14ac:dyDescent="0.25">
      <c r="A17" t="str">
        <f>IF(Pedidos!$BA19="","",Pedidos!BB19)</f>
        <v/>
      </c>
      <c r="B17" t="str">
        <f>IF(Pedidos!$BA19="","",Pedidos!BC19)</f>
        <v/>
      </c>
      <c r="C17" t="str">
        <f>IF(Pedidos!$BA19="","",Pedidos!BD19)</f>
        <v/>
      </c>
      <c r="D17" s="490" t="str">
        <f>IF(Pedidos!$BA19="","",Pedidos!BE19)</f>
        <v/>
      </c>
      <c r="E17" s="490" t="str">
        <f>IF($A17&lt;&gt;"",VLOOKUP($A17,Pedidos!$A$2:$I$9998,8,0),"")</f>
        <v/>
      </c>
      <c r="F17" s="490" t="str">
        <f>IF($A17&lt;&gt;"",VLOOKUP($A17,Pedidos!$A$2:$I$9998,9,0),"")</f>
        <v/>
      </c>
      <c r="G17" s="490" t="str">
        <f t="shared" si="2"/>
        <v/>
      </c>
      <c r="H17" s="490" t="str">
        <f t="shared" si="3"/>
        <v/>
      </c>
      <c r="I17" s="490" t="str">
        <f>IFERROR(IF(INDEX(Procesos!$A$1:$HZ$457,MATCH(Resumen!$A$3&amp;"     ITEM # "&amp;Resumen!G17,Procesos!$A:$A,0)+6,MATCH(Resumen!A17,Procesos!$2:$2,0)+6)=0,"",INDEX(Procesos!$A$1:$HZ$457,MATCH(Resumen!$A$3&amp;"     ITEM # "&amp;Resumen!G17,Procesos!$A:$A,0)+6,MATCH(Resumen!A17,Procesos!$2:$2,0)+6)),"")</f>
        <v/>
      </c>
    </row>
    <row r="18" spans="1:9" x14ac:dyDescent="0.25">
      <c r="A18" t="str">
        <f>IF(Pedidos!$BA20="","",Pedidos!BB20)</f>
        <v/>
      </c>
      <c r="B18" t="str">
        <f>IF(Pedidos!$BA20="","",Pedidos!BC20)</f>
        <v/>
      </c>
      <c r="C18" t="str">
        <f>IF(Pedidos!$BA20="","",Pedidos!BD20)</f>
        <v/>
      </c>
      <c r="D18" s="490" t="str">
        <f>IF(Pedidos!$BA20="","",Pedidos!BE20)</f>
        <v/>
      </c>
      <c r="E18" s="490" t="str">
        <f>IF($A18&lt;&gt;"",VLOOKUP($A18,Pedidos!$A$2:$I$9998,8,0),"")</f>
        <v/>
      </c>
      <c r="F18" s="490" t="str">
        <f>IF($A18&lt;&gt;"",VLOOKUP($A18,Pedidos!$A$2:$I$9998,9,0),"")</f>
        <v/>
      </c>
      <c r="G18" s="490" t="str">
        <f t="shared" si="2"/>
        <v/>
      </c>
      <c r="H18" s="490" t="str">
        <f t="shared" si="3"/>
        <v/>
      </c>
      <c r="I18" s="490" t="str">
        <f>IFERROR(IF(INDEX(Procesos!$A$1:$HZ$457,MATCH(Resumen!$A$3&amp;"     ITEM # "&amp;Resumen!G18,Procesos!$A:$A,0)+6,MATCH(Resumen!A18,Procesos!$2:$2,0)+6)=0,"",INDEX(Procesos!$A$1:$HZ$457,MATCH(Resumen!$A$3&amp;"     ITEM # "&amp;Resumen!G18,Procesos!$A:$A,0)+6,MATCH(Resumen!A18,Procesos!$2:$2,0)+6)),"")</f>
        <v/>
      </c>
    </row>
    <row r="19" spans="1:9" x14ac:dyDescent="0.25">
      <c r="A19" t="str">
        <f>IF(Pedidos!$BA21="","",Pedidos!BB21)</f>
        <v/>
      </c>
      <c r="B19" t="str">
        <f>IF(Pedidos!$BA21="","",Pedidos!BC21)</f>
        <v/>
      </c>
      <c r="C19" t="str">
        <f>IF(Pedidos!$BA21="","",Pedidos!BD21)</f>
        <v/>
      </c>
      <c r="D19" s="490" t="str">
        <f>IF(Pedidos!$BA21="","",Pedidos!BE21)</f>
        <v/>
      </c>
      <c r="E19" s="490" t="str">
        <f>IF($A19&lt;&gt;"",VLOOKUP($A19,Pedidos!$A$2:$I$9998,8,0),"")</f>
        <v/>
      </c>
      <c r="F19" s="490" t="str">
        <f>IF($A19&lt;&gt;"",VLOOKUP($A19,Pedidos!$A$2:$I$9998,9,0),"")</f>
        <v/>
      </c>
      <c r="G19" s="490" t="str">
        <f t="shared" si="2"/>
        <v/>
      </c>
      <c r="H19" s="490" t="str">
        <f t="shared" si="3"/>
        <v/>
      </c>
      <c r="I19" s="490" t="str">
        <f>IFERROR(IF(INDEX(Procesos!$A$1:$HZ$457,MATCH(Resumen!$A$3&amp;"     ITEM # "&amp;Resumen!G19,Procesos!$A:$A,0)+6,MATCH(Resumen!A19,Procesos!$2:$2,0)+6)=0,"",INDEX(Procesos!$A$1:$HZ$457,MATCH(Resumen!$A$3&amp;"     ITEM # "&amp;Resumen!G19,Procesos!$A:$A,0)+6,MATCH(Resumen!A19,Procesos!$2:$2,0)+6)),"")</f>
        <v/>
      </c>
    </row>
    <row r="20" spans="1:9" x14ac:dyDescent="0.25">
      <c r="A20" t="str">
        <f>IF(Pedidos!$BA22="","",Pedidos!BB22)</f>
        <v/>
      </c>
      <c r="B20" t="str">
        <f>IF(Pedidos!$BA22="","",Pedidos!BC22)</f>
        <v/>
      </c>
      <c r="C20" t="str">
        <f>IF(Pedidos!$BA22="","",Pedidos!BD22)</f>
        <v/>
      </c>
      <c r="D20" s="490" t="str">
        <f>IF(Pedidos!$BA22="","",Pedidos!BE22)</f>
        <v/>
      </c>
      <c r="E20" s="490" t="str">
        <f>IF($A20&lt;&gt;"",VLOOKUP($A20,Pedidos!$A$2:$I$9998,8,0),"")</f>
        <v/>
      </c>
      <c r="F20" s="490" t="str">
        <f>IF($A20&lt;&gt;"",VLOOKUP($A20,Pedidos!$A$2:$I$9998,9,0),"")</f>
        <v/>
      </c>
      <c r="G20" s="490" t="str">
        <f t="shared" si="2"/>
        <v/>
      </c>
      <c r="H20" s="490" t="str">
        <f t="shared" si="3"/>
        <v/>
      </c>
      <c r="I20" s="490" t="str">
        <f>IFERROR(IF(INDEX(Procesos!$A$1:$HZ$457,MATCH(Resumen!$A$3&amp;"     ITEM # "&amp;Resumen!G20,Procesos!$A:$A,0)+6,MATCH(Resumen!A20,Procesos!$2:$2,0)+6)=0,"",INDEX(Procesos!$A$1:$HZ$457,MATCH(Resumen!$A$3&amp;"     ITEM # "&amp;Resumen!G20,Procesos!$A:$A,0)+6,MATCH(Resumen!A20,Procesos!$2:$2,0)+6)),"")</f>
        <v/>
      </c>
    </row>
    <row r="21" spans="1:9" x14ac:dyDescent="0.25">
      <c r="A21" t="str">
        <f>IF(Pedidos!$BA23="","",Pedidos!BB23)</f>
        <v/>
      </c>
      <c r="B21" t="str">
        <f>IF(Pedidos!$BA23="","",Pedidos!BC23)</f>
        <v/>
      </c>
      <c r="C21" t="str">
        <f>IF(Pedidos!$BA23="","",Pedidos!BD23)</f>
        <v/>
      </c>
      <c r="D21" s="490" t="str">
        <f>IF(Pedidos!$BA23="","",Pedidos!BE23)</f>
        <v/>
      </c>
      <c r="E21" s="490" t="str">
        <f>IF($A21&lt;&gt;"",VLOOKUP($A21,Pedidos!$A$2:$I$9998,8,0),"")</f>
        <v/>
      </c>
      <c r="F21" s="490" t="str">
        <f>IF($A21&lt;&gt;"",VLOOKUP($A21,Pedidos!$A$2:$I$9998,9,0),"")</f>
        <v/>
      </c>
      <c r="G21" s="490" t="str">
        <f>IF(A21="","",IF(A21=A20,G20+1,1))</f>
        <v/>
      </c>
      <c r="H21" s="490" t="str">
        <f t="shared" si="3"/>
        <v/>
      </c>
      <c r="I21" s="490" t="str">
        <f>IFERROR(IF(INDEX(Procesos!$A$1:$HZ$457,MATCH(Resumen!$A$3&amp;"     ITEM # "&amp;Resumen!G21,Procesos!$A:$A,0)+6,MATCH(Resumen!A21,Procesos!$2:$2,0)+6)=0,"",INDEX(Procesos!$A$1:$HZ$457,MATCH(Resumen!$A$3&amp;"     ITEM # "&amp;Resumen!G21,Procesos!$A:$A,0)+6,MATCH(Resumen!A21,Procesos!$2:$2,0)+6)),"")</f>
        <v/>
      </c>
    </row>
    <row r="22" spans="1:9" x14ac:dyDescent="0.25">
      <c r="A22" t="str">
        <f>IF(Pedidos!$BA24="","",Pedidos!BB24)</f>
        <v/>
      </c>
      <c r="B22" t="str">
        <f>IF(Pedidos!$BA24="","",Pedidos!BC24)</f>
        <v/>
      </c>
      <c r="C22" t="str">
        <f>IF(Pedidos!$BA24="","",Pedidos!BD24)</f>
        <v/>
      </c>
      <c r="D22" s="490" t="str">
        <f>IF(Pedidos!$BA24="","",Pedidos!BE24)</f>
        <v/>
      </c>
      <c r="E22" s="490" t="str">
        <f>IF($A22&lt;&gt;"",VLOOKUP($A22,Pedidos!$A$2:$I$9998,8,0),"")</f>
        <v/>
      </c>
      <c r="F22" s="490" t="str">
        <f>IF($A22&lt;&gt;"",VLOOKUP($A22,Pedidos!$A$2:$I$9998,9,0),"")</f>
        <v/>
      </c>
      <c r="H22" s="490" t="str">
        <f t="shared" si="3"/>
        <v/>
      </c>
      <c r="I22" s="490" t="str">
        <f>IFERROR(IF(INDEX(Procesos!$A$1:$HZ$457,MATCH(Resumen!$A$3&amp;"     ITEM # "&amp;Resumen!G22,Procesos!$A:$A,0)+6,MATCH(Resumen!A22,Procesos!$2:$2,0)+6)=0,"",INDEX(Procesos!$A$1:$HZ$457,MATCH(Resumen!$A$3&amp;"     ITEM # "&amp;Resumen!G22,Procesos!$A:$A,0)+6,MATCH(Resumen!A22,Procesos!$2:$2,0)+6)),"")</f>
        <v/>
      </c>
    </row>
    <row r="23" spans="1:9" x14ac:dyDescent="0.25">
      <c r="A23" t="str">
        <f>IF(Pedidos!$BA25="","",Pedidos!BB25)</f>
        <v/>
      </c>
      <c r="B23" t="str">
        <f>IF(Pedidos!$BA25="","",Pedidos!BC25)</f>
        <v/>
      </c>
      <c r="C23" t="str">
        <f>IF(Pedidos!$BA25="","",Pedidos!BD25)</f>
        <v/>
      </c>
      <c r="D23" s="490" t="str">
        <f>IF(Pedidos!$BA25="","",Pedidos!BE25)</f>
        <v/>
      </c>
      <c r="E23" s="490" t="str">
        <f>IF($A23&lt;&gt;"",VLOOKUP($A23,Pedidos!$A$2:$I$9998,8,0),"")</f>
        <v/>
      </c>
      <c r="F23" s="490" t="str">
        <f>IF($A23&lt;&gt;"",VLOOKUP($A23,Pedidos!$A$2:$I$9998,9,0),"")</f>
        <v/>
      </c>
      <c r="H23" s="490" t="str">
        <f t="shared" si="3"/>
        <v/>
      </c>
      <c r="I23" s="490" t="str">
        <f>IFERROR(IF(INDEX(Procesos!$A$1:$HZ$457,MATCH(Resumen!$A$3&amp;"     ITEM # "&amp;Resumen!G23,Procesos!$A:$A,0)+6,MATCH(Resumen!A23,Procesos!$2:$2,0)+6)=0,"",INDEX(Procesos!$A$1:$HZ$457,MATCH(Resumen!$A$3&amp;"     ITEM # "&amp;Resumen!G23,Procesos!$A:$A,0)+6,MATCH(Resumen!A23,Procesos!$2:$2,0)+6)),"")</f>
        <v/>
      </c>
    </row>
    <row r="24" spans="1:9" x14ac:dyDescent="0.25">
      <c r="A24" t="str">
        <f>IF(Pedidos!$BA26="","",Pedidos!BB26)</f>
        <v/>
      </c>
      <c r="B24" t="str">
        <f>IF(Pedidos!$BA26="","",Pedidos!BC26)</f>
        <v/>
      </c>
      <c r="C24" t="str">
        <f>IF(Pedidos!$BA26="","",Pedidos!BD26)</f>
        <v/>
      </c>
      <c r="D24" s="490" t="str">
        <f>IF(Pedidos!$BA26="","",Pedidos!BE26)</f>
        <v/>
      </c>
      <c r="E24" s="490" t="str">
        <f>IF($A24&lt;&gt;"",VLOOKUP($A24,Pedidos!$A$2:$I$9998,8,0),"")</f>
        <v/>
      </c>
      <c r="F24" s="490" t="str">
        <f>IF($A24&lt;&gt;"",VLOOKUP($A24,Pedidos!$A$2:$I$9998,9,0),"")</f>
        <v/>
      </c>
      <c r="H24" s="490" t="str">
        <f t="shared" si="3"/>
        <v/>
      </c>
      <c r="I24" s="490" t="str">
        <f>IFERROR(IF(INDEX(Procesos!$A$1:$HZ$457,MATCH(Resumen!$A$3&amp;"     ITEM # "&amp;Resumen!G24,Procesos!$A:$A,0)+6,MATCH(Resumen!A24,Procesos!$2:$2,0)+6)=0,"",INDEX(Procesos!$A$1:$HZ$457,MATCH(Resumen!$A$3&amp;"     ITEM # "&amp;Resumen!G24,Procesos!$A:$A,0)+6,MATCH(Resumen!A24,Procesos!$2:$2,0)+6)),"")</f>
        <v/>
      </c>
    </row>
    <row r="25" spans="1:9" x14ac:dyDescent="0.25">
      <c r="A25" t="str">
        <f>IF(Pedidos!$BA27="","",Pedidos!BB27)</f>
        <v/>
      </c>
      <c r="B25" t="str">
        <f>IF(Pedidos!$BA27="","",Pedidos!BC27)</f>
        <v/>
      </c>
      <c r="C25" t="str">
        <f>IF(Pedidos!$BA27="","",Pedidos!BD27)</f>
        <v/>
      </c>
      <c r="D25" s="490" t="str">
        <f>IF(Pedidos!$BA27="","",Pedidos!BE27)</f>
        <v/>
      </c>
      <c r="E25" s="490" t="str">
        <f>IF($A25&lt;&gt;"",VLOOKUP($A25,Pedidos!$A$2:$I$9998,8,0),"")</f>
        <v/>
      </c>
      <c r="F25" s="490" t="str">
        <f>IF($A25&lt;&gt;"",VLOOKUP($A25,Pedidos!$A$2:$I$9998,9,0),"")</f>
        <v/>
      </c>
      <c r="H25" s="490" t="str">
        <f t="shared" si="3"/>
        <v/>
      </c>
      <c r="I25" s="490" t="str">
        <f>IFERROR(IF(INDEX(Procesos!$A$1:$HZ$457,MATCH(Resumen!$A$3&amp;"     ITEM # "&amp;Resumen!G25,Procesos!$A:$A,0)+6,MATCH(Resumen!A25,Procesos!$2:$2,0)+6)=0,"",INDEX(Procesos!$A$1:$HZ$457,MATCH(Resumen!$A$3&amp;"     ITEM # "&amp;Resumen!G25,Procesos!$A:$A,0)+6,MATCH(Resumen!A25,Procesos!$2:$2,0)+6)),"")</f>
        <v/>
      </c>
    </row>
    <row r="26" spans="1:9" x14ac:dyDescent="0.25">
      <c r="A26" t="str">
        <f>IF(Pedidos!$BA28="","",Pedidos!BB28)</f>
        <v/>
      </c>
      <c r="B26" t="str">
        <f>IF(Pedidos!$BA28="Proceso",Pedidos!BC28,"")</f>
        <v/>
      </c>
      <c r="C26" t="str">
        <f>IF(Pedidos!$BA28="Proceso",Pedidos!BD28,"")</f>
        <v/>
      </c>
      <c r="D26" s="490" t="str">
        <f>IF(Pedidos!$BA28="Proceso",Pedidos!BE28,"")</f>
        <v/>
      </c>
      <c r="E26" s="490" t="str">
        <f>IF($A26&lt;&gt;"",VLOOKUP($A26,Pedidos!$A$2:$I$9998,8,0),"")</f>
        <v/>
      </c>
      <c r="F26" s="490" t="str">
        <f>IF($A26&lt;&gt;"",VLOOKUP($A26,Pedidos!$A$2:$I$9998,9,0),"")</f>
        <v/>
      </c>
      <c r="H26" s="490" t="str">
        <f t="shared" si="3"/>
        <v/>
      </c>
      <c r="I26" s="490" t="str">
        <f>IFERROR(IF(INDEX(Procesos!$A$1:$HZ$457,MATCH(Resumen!$A$3&amp;"     ITEM # "&amp;Resumen!G26,Procesos!$A:$A,0)+6,MATCH(Resumen!A26,Procesos!$2:$2,0)+6)=0,"",INDEX(Procesos!$A$1:$HZ$457,MATCH(Resumen!$A$3&amp;"     ITEM # "&amp;Resumen!G26,Procesos!$A:$A,0)+6,MATCH(Resumen!A26,Procesos!$2:$2,0)+6)),"")</f>
        <v/>
      </c>
    </row>
    <row r="27" spans="1:9" x14ac:dyDescent="0.25">
      <c r="A27" t="str">
        <f>IF(Pedidos!$BA29="","",Pedidos!BB29)</f>
        <v/>
      </c>
      <c r="B27" t="str">
        <f>IF(Pedidos!$BA29="Proceso",Pedidos!BC29,"")</f>
        <v/>
      </c>
      <c r="C27" t="str">
        <f>IF(Pedidos!$BA29="Proceso",Pedidos!BD29,"")</f>
        <v/>
      </c>
      <c r="D27" s="490" t="str">
        <f>IF(Pedidos!$BA29="Proceso",Pedidos!BE29,"")</f>
        <v/>
      </c>
      <c r="E27" s="490" t="str">
        <f>IF($A27&lt;&gt;"",VLOOKUP($A27,Pedidos!$A$2:$I$9998,8,0),"")</f>
        <v/>
      </c>
      <c r="F27" s="490" t="str">
        <f>IF($A27&lt;&gt;"",VLOOKUP($A27,Pedidos!$A$2:$I$9998,9,0),"")</f>
        <v/>
      </c>
      <c r="H27" s="490" t="str">
        <f t="shared" si="3"/>
        <v/>
      </c>
      <c r="I27" s="490" t="str">
        <f>IFERROR(IF(INDEX(Procesos!$A$1:$HZ$457,MATCH(Resumen!$A$3&amp;"     ITEM # "&amp;Resumen!G27,Procesos!$A:$A,0)+6,MATCH(Resumen!A27,Procesos!$2:$2,0)+6)=0,"",INDEX(Procesos!$A$1:$HZ$457,MATCH(Resumen!$A$3&amp;"     ITEM # "&amp;Resumen!G27,Procesos!$A:$A,0)+6,MATCH(Resumen!A27,Procesos!$2:$2,0)+6)),"")</f>
        <v/>
      </c>
    </row>
    <row r="28" spans="1:9" x14ac:dyDescent="0.25">
      <c r="A28" t="str">
        <f>IF(Pedidos!$BA30="","",Pedidos!BB30)</f>
        <v/>
      </c>
      <c r="B28" t="str">
        <f>IF(Pedidos!$BA30="Proceso",Pedidos!BC30,"")</f>
        <v/>
      </c>
      <c r="C28" t="str">
        <f>IF(Pedidos!$BA30="Proceso",Pedidos!BD30,"")</f>
        <v/>
      </c>
      <c r="D28" s="490" t="str">
        <f>IF(Pedidos!$BA30="Proceso",Pedidos!BE30,"")</f>
        <v/>
      </c>
      <c r="E28" s="490" t="str">
        <f>IF($A28&lt;&gt;"",VLOOKUP($A28,Pedidos!$A$2:$I$9998,8,0),"")</f>
        <v/>
      </c>
      <c r="F28" s="490" t="str">
        <f>IF($A28&lt;&gt;"",VLOOKUP($A28,Pedidos!$A$2:$I$9998,9,0),"")</f>
        <v/>
      </c>
      <c r="H28" s="490" t="str">
        <f t="shared" si="3"/>
        <v/>
      </c>
      <c r="I28" s="490" t="str">
        <f>IFERROR(IF(INDEX(Procesos!$A$1:$HZ$457,MATCH(Resumen!$A$3&amp;"     ITEM # "&amp;Resumen!G28,Procesos!$A:$A,0)+6,MATCH(Resumen!A28,Procesos!$2:$2,0)+6)=0,"",INDEX(Procesos!$A$1:$HZ$457,MATCH(Resumen!$A$3&amp;"     ITEM # "&amp;Resumen!G28,Procesos!$A:$A,0)+6,MATCH(Resumen!A28,Procesos!$2:$2,0)+6)),"")</f>
        <v/>
      </c>
    </row>
    <row r="29" spans="1:9" x14ac:dyDescent="0.25">
      <c r="A29" t="str">
        <f>IF(Pedidos!$BA31="","",Pedidos!BB31)</f>
        <v/>
      </c>
      <c r="B29" t="str">
        <f>IF(Pedidos!$BA31="Proceso",Pedidos!BC31,"")</f>
        <v/>
      </c>
      <c r="C29" t="str">
        <f>IF(Pedidos!$BA31="Proceso",Pedidos!BD31,"")</f>
        <v/>
      </c>
      <c r="D29" s="490" t="str">
        <f>IF(Pedidos!$BA31="Proceso",Pedidos!BE31,"")</f>
        <v/>
      </c>
      <c r="E29" s="490" t="str">
        <f>IF($A29&lt;&gt;"",VLOOKUP($A29,Pedidos!$A$2:$I$9998,8,0),"")</f>
        <v/>
      </c>
      <c r="F29" s="490" t="str">
        <f>IF($A29&lt;&gt;"",VLOOKUP($A29,Pedidos!$A$2:$I$9998,9,0),"")</f>
        <v/>
      </c>
      <c r="H29" s="490" t="str">
        <f t="shared" si="3"/>
        <v/>
      </c>
      <c r="I29" s="490" t="str">
        <f>IFERROR(IF(INDEX(Procesos!$A$1:$HZ$457,MATCH(Resumen!$A$3&amp;"     ITEM # "&amp;Resumen!G29,Procesos!$A:$A,0)+6,MATCH(Resumen!A29,Procesos!$2:$2,0)+6)=0,"",INDEX(Procesos!$A$1:$HZ$457,MATCH(Resumen!$A$3&amp;"     ITEM # "&amp;Resumen!G29,Procesos!$A:$A,0)+6,MATCH(Resumen!A29,Procesos!$2:$2,0)+6)),"")</f>
        <v/>
      </c>
    </row>
    <row r="30" spans="1:9" x14ac:dyDescent="0.25">
      <c r="A30" t="str">
        <f>IF(Pedidos!$BA32="","",Pedidos!BB32)</f>
        <v/>
      </c>
      <c r="B30" t="str">
        <f>IF(Pedidos!$BA32="Proceso",Pedidos!BC32,"")</f>
        <v/>
      </c>
      <c r="C30" t="str">
        <f>IF(Pedidos!$BA32="Proceso",Pedidos!BD32,"")</f>
        <v/>
      </c>
      <c r="D30" s="490" t="str">
        <f>IF(Pedidos!$BA32="Proceso",Pedidos!BE32,"")</f>
        <v/>
      </c>
      <c r="E30" s="490" t="str">
        <f>IF($A30&lt;&gt;"",VLOOKUP($A30,Pedidos!$A$2:$I$9998,8,0),"")</f>
        <v/>
      </c>
      <c r="F30" s="490" t="str">
        <f>IF($A30&lt;&gt;"",VLOOKUP($A30,Pedidos!$A$2:$I$9998,9,0),"")</f>
        <v/>
      </c>
      <c r="H30" s="490" t="str">
        <f t="shared" si="3"/>
        <v/>
      </c>
      <c r="I30" s="490" t="str">
        <f>IFERROR(IF(INDEX(Procesos!$A$1:$HZ$457,MATCH(Resumen!$A$3&amp;"     ITEM # "&amp;Resumen!G30,Procesos!$A:$A,0)+6,MATCH(Resumen!A30,Procesos!$2:$2,0)+6)=0,"",INDEX(Procesos!$A$1:$HZ$457,MATCH(Resumen!$A$3&amp;"     ITEM # "&amp;Resumen!G30,Procesos!$A:$A,0)+6,MATCH(Resumen!A30,Procesos!$2:$2,0)+6)),"")</f>
        <v/>
      </c>
    </row>
    <row r="31" spans="1:9" x14ac:dyDescent="0.25">
      <c r="A31" t="str">
        <f>IF(Pedidos!$BA33="","",Pedidos!BB33)</f>
        <v/>
      </c>
      <c r="B31" t="str">
        <f>IF(Pedidos!$BA33="Proceso",Pedidos!BC33,"")</f>
        <v/>
      </c>
      <c r="C31" t="str">
        <f>IF(Pedidos!$BA33="Proceso",Pedidos!BD33,"")</f>
        <v/>
      </c>
      <c r="D31" s="490" t="str">
        <f>IF(Pedidos!$BA33="Proceso",Pedidos!BE33,"")</f>
        <v/>
      </c>
      <c r="E31" s="490" t="str">
        <f>IF($A31&lt;&gt;"",VLOOKUP($A31,Pedidos!$A$2:$I$9998,8,0),"")</f>
        <v/>
      </c>
      <c r="F31" s="490" t="str">
        <f>IF($A31&lt;&gt;"",VLOOKUP($A31,Pedidos!$A$2:$I$9998,9,0),"")</f>
        <v/>
      </c>
      <c r="H31" s="490" t="str">
        <f t="shared" si="3"/>
        <v/>
      </c>
      <c r="I31" s="490" t="str">
        <f>IFERROR(IF(INDEX(Procesos!$A$1:$HZ$457,MATCH(Resumen!$A$3&amp;"     ITEM # "&amp;Resumen!G31,Procesos!$A:$A,0)+6,MATCH(Resumen!A31,Procesos!$2:$2,0)+6)=0,"",INDEX(Procesos!$A$1:$HZ$457,MATCH(Resumen!$A$3&amp;"     ITEM # "&amp;Resumen!G31,Procesos!$A:$A,0)+6,MATCH(Resumen!A31,Procesos!$2:$2,0)+6)),"")</f>
        <v/>
      </c>
    </row>
    <row r="32" spans="1:9" x14ac:dyDescent="0.25">
      <c r="A32" t="str">
        <f>IF(Pedidos!$BA34="","",Pedidos!BB34)</f>
        <v/>
      </c>
      <c r="B32" t="str">
        <f>IF(Pedidos!$BA34="Proceso",Pedidos!BC34,"")</f>
        <v/>
      </c>
      <c r="C32" t="str">
        <f>IF(Pedidos!$BA34="Proceso",Pedidos!BD34,"")</f>
        <v/>
      </c>
      <c r="D32" s="490" t="str">
        <f>IF(Pedidos!$BA34="Proceso",Pedidos!BE34,"")</f>
        <v/>
      </c>
      <c r="E32" s="490" t="str">
        <f>IF($A32&lt;&gt;"",VLOOKUP($A32,Pedidos!$A$2:$I$9998,8,0),"")</f>
        <v/>
      </c>
      <c r="F32" s="490" t="str">
        <f>IF($A32&lt;&gt;"",VLOOKUP($A32,Pedidos!$A$2:$I$9998,9,0),"")</f>
        <v/>
      </c>
      <c r="H32" s="490" t="str">
        <f t="shared" si="3"/>
        <v/>
      </c>
      <c r="I32" s="490" t="str">
        <f>IFERROR(IF(INDEX(Procesos!$A$1:$HZ$457,MATCH(Resumen!$A$3&amp;"     ITEM # "&amp;Resumen!G32,Procesos!$A:$A,0)+6,MATCH(Resumen!A32,Procesos!$2:$2,0)+6)=0,"",INDEX(Procesos!$A$1:$HZ$457,MATCH(Resumen!$A$3&amp;"     ITEM # "&amp;Resumen!G32,Procesos!$A:$A,0)+6,MATCH(Resumen!A32,Procesos!$2:$2,0)+6)),"")</f>
        <v/>
      </c>
    </row>
    <row r="33" spans="1:9" x14ac:dyDescent="0.25">
      <c r="A33" t="str">
        <f>IF(Pedidos!$BA35="","",Pedidos!BB35)</f>
        <v/>
      </c>
      <c r="B33" t="str">
        <f>IF(Pedidos!$BA35="Proceso",Pedidos!BC35,"")</f>
        <v/>
      </c>
      <c r="C33" t="str">
        <f>IF(Pedidos!$BA35="Proceso",Pedidos!BD35,"")</f>
        <v/>
      </c>
      <c r="D33" s="490" t="str">
        <f>IF(Pedidos!$BA35="Proceso",Pedidos!BE35,"")</f>
        <v/>
      </c>
      <c r="E33" s="490" t="str">
        <f>IF($A33&lt;&gt;"",VLOOKUP($A33,Pedidos!$A$2:$I$9998,8,0),"")</f>
        <v/>
      </c>
      <c r="F33" s="490" t="str">
        <f>IF($A33&lt;&gt;"",VLOOKUP($A33,Pedidos!$A$2:$I$9998,9,0),"")</f>
        <v/>
      </c>
      <c r="H33" s="490" t="str">
        <f t="shared" si="3"/>
        <v/>
      </c>
      <c r="I33" s="490" t="str">
        <f>IFERROR(IF(INDEX(Procesos!$A$1:$HZ$457,MATCH(Resumen!$A$3&amp;"     ITEM # "&amp;Resumen!G33,Procesos!$A:$A,0)+6,MATCH(Resumen!A33,Procesos!$2:$2,0)+6)=0,"",INDEX(Procesos!$A$1:$HZ$457,MATCH(Resumen!$A$3&amp;"     ITEM # "&amp;Resumen!G33,Procesos!$A:$A,0)+6,MATCH(Resumen!A33,Procesos!$2:$2,0)+6)),"")</f>
        <v/>
      </c>
    </row>
    <row r="34" spans="1:9" x14ac:dyDescent="0.25">
      <c r="A34" t="str">
        <f>IF(Pedidos!$BA36="","",Pedidos!BB36)</f>
        <v/>
      </c>
      <c r="B34" t="str">
        <f>IF(Pedidos!$BA36="Proceso",Pedidos!BC36,"")</f>
        <v/>
      </c>
      <c r="C34" t="str">
        <f>IF(Pedidos!$BA36="Proceso",Pedidos!BD36,"")</f>
        <v/>
      </c>
      <c r="D34" s="490" t="str">
        <f>IF(Pedidos!$BA36="Proceso",Pedidos!BE36,"")</f>
        <v/>
      </c>
      <c r="E34" s="490" t="str">
        <f>IF($A34&lt;&gt;"",VLOOKUP($A34,Pedidos!$A$2:$I$9998,8,0),"")</f>
        <v/>
      </c>
      <c r="F34" s="490" t="str">
        <f>IF($A34&lt;&gt;"",VLOOKUP($A34,Pedidos!$A$2:$I$9998,9,0),"")</f>
        <v/>
      </c>
      <c r="H34" s="490" t="str">
        <f t="shared" si="3"/>
        <v/>
      </c>
      <c r="I34" s="490" t="str">
        <f>IFERROR(IF(INDEX(Procesos!$A$1:$HZ$457,MATCH(Resumen!$A$3&amp;"     ITEM # "&amp;Resumen!G34,Procesos!$A:$A,0)+6,MATCH(Resumen!A34,Procesos!$2:$2,0)+6)=0,"",INDEX(Procesos!$A$1:$HZ$457,MATCH(Resumen!$A$3&amp;"     ITEM # "&amp;Resumen!G34,Procesos!$A:$A,0)+6,MATCH(Resumen!A34,Procesos!$2:$2,0)+6)),"")</f>
        <v/>
      </c>
    </row>
    <row r="35" spans="1:9" x14ac:dyDescent="0.25">
      <c r="A35" t="str">
        <f>IF(Pedidos!$BA37="","",Pedidos!BB37)</f>
        <v/>
      </c>
      <c r="B35" t="str">
        <f>IF(Pedidos!$BA37="Proceso",Pedidos!BC37,"")</f>
        <v/>
      </c>
      <c r="C35" t="str">
        <f>IF(Pedidos!$BA37="Proceso",Pedidos!BD37,"")</f>
        <v/>
      </c>
      <c r="D35" s="490" t="str">
        <f>IF(Pedidos!$BA37="Proceso",Pedidos!BE37,"")</f>
        <v/>
      </c>
      <c r="E35" s="490" t="str">
        <f>IF($A35&lt;&gt;"",VLOOKUP($A35,Pedidos!$A$2:$I$9998,8,0),"")</f>
        <v/>
      </c>
      <c r="F35" s="490" t="str">
        <f>IF($A35&lt;&gt;"",VLOOKUP($A35,Pedidos!$A$2:$I$9998,9,0),"")</f>
        <v/>
      </c>
      <c r="H35" s="490" t="str">
        <f t="shared" si="3"/>
        <v/>
      </c>
      <c r="I35" s="490" t="str">
        <f>IFERROR(IF(INDEX(Procesos!$A$1:$HZ$457,MATCH(Resumen!$A$3&amp;"     ITEM # "&amp;Resumen!G35,Procesos!$A:$A,0)+6,MATCH(Resumen!A35,Procesos!$2:$2,0)+6)=0,"",INDEX(Procesos!$A$1:$HZ$457,MATCH(Resumen!$A$3&amp;"     ITEM # "&amp;Resumen!G35,Procesos!$A:$A,0)+6,MATCH(Resumen!A35,Procesos!$2:$2,0)+6)),"")</f>
        <v/>
      </c>
    </row>
    <row r="36" spans="1:9" x14ac:dyDescent="0.25">
      <c r="A36" t="e">
        <f>IF(Pedidos!#REF!="","",Pedidos!#REF!)</f>
        <v>#REF!</v>
      </c>
      <c r="B36" t="e">
        <f>IF(Pedidos!#REF!="Proceso",Pedidos!#REF!,"")</f>
        <v>#REF!</v>
      </c>
      <c r="C36" t="e">
        <f>IF(Pedidos!#REF!="Proceso",Pedidos!#REF!,"")</f>
        <v>#REF!</v>
      </c>
      <c r="D36" s="490" t="e">
        <f>IF(Pedidos!#REF!="Proceso",Pedidos!#REF!,"")</f>
        <v>#REF!</v>
      </c>
      <c r="E36" s="490" t="e">
        <f>IF($A36&lt;&gt;"",VLOOKUP($A36,Pedidos!$A$2:$I$9998,8,0),"")</f>
        <v>#REF!</v>
      </c>
      <c r="F36" s="490" t="e">
        <f>IF($A36&lt;&gt;"",VLOOKUP($A36,Pedidos!$A$2:$I$9998,9,0),"")</f>
        <v>#REF!</v>
      </c>
      <c r="H36" s="490" t="e">
        <f t="shared" si="3"/>
        <v>#REF!</v>
      </c>
      <c r="I36" s="490" t="str">
        <f>IFERROR(IF(INDEX(Procesos!$A$1:$HZ$457,MATCH(Resumen!$A$3&amp;"     ITEM # "&amp;Resumen!G36,Procesos!$A:$A,0)+6,MATCH(Resumen!A36,Procesos!$2:$2,0)+6)=0,"",INDEX(Procesos!$A$1:$HZ$457,MATCH(Resumen!$A$3&amp;"     ITEM # "&amp;Resumen!G36,Procesos!$A:$A,0)+6,MATCH(Resumen!A36,Procesos!$2:$2,0)+6)),"")</f>
        <v/>
      </c>
    </row>
    <row r="37" spans="1:9" x14ac:dyDescent="0.25">
      <c r="A37" t="str">
        <f>IF(Pedidos!$BA38="","",Pedidos!BB38)</f>
        <v/>
      </c>
      <c r="B37" t="str">
        <f>IF(Pedidos!$BA38="Proceso",Pedidos!BC38,"")</f>
        <v/>
      </c>
      <c r="C37" t="str">
        <f>IF(Pedidos!$BA38="Proceso",Pedidos!BD38,"")</f>
        <v/>
      </c>
      <c r="D37" s="490" t="str">
        <f>IF(Pedidos!$BA38="Proceso",Pedidos!BE38,"")</f>
        <v/>
      </c>
      <c r="E37" s="490" t="str">
        <f>IF($A37&lt;&gt;"",VLOOKUP($A37,Pedidos!$A$2:$I$9998,8,0),"")</f>
        <v/>
      </c>
      <c r="F37" s="490" t="str">
        <f>IF($A37&lt;&gt;"",VLOOKUP($A37,Pedidos!$A$2:$I$9998,9,0),"")</f>
        <v/>
      </c>
      <c r="H37" s="490" t="str">
        <f t="shared" si="3"/>
        <v/>
      </c>
      <c r="I37" s="490" t="str">
        <f>IFERROR(IF(INDEX(Procesos!$A$1:$HZ$457,MATCH(Resumen!$A$3&amp;"     ITEM # "&amp;Resumen!G37,Procesos!$A:$A,0)+6,MATCH(Resumen!A37,Procesos!$2:$2,0)+6)=0,"",INDEX(Procesos!$A$1:$HZ$457,MATCH(Resumen!$A$3&amp;"     ITEM # "&amp;Resumen!G37,Procesos!$A:$A,0)+6,MATCH(Resumen!A37,Procesos!$2:$2,0)+6)),"")</f>
        <v/>
      </c>
    </row>
    <row r="38" spans="1:9" x14ac:dyDescent="0.25">
      <c r="A38" t="str">
        <f>IF(Pedidos!$BA39="","",Pedidos!BB39)</f>
        <v/>
      </c>
      <c r="B38" t="str">
        <f>IF(Pedidos!$BA39="Proceso",Pedidos!BC39,"")</f>
        <v/>
      </c>
      <c r="C38" t="str">
        <f>IF(Pedidos!$BA39="Proceso",Pedidos!BD39,"")</f>
        <v/>
      </c>
      <c r="D38" s="490" t="str">
        <f>IF(Pedidos!$BA39="Proceso",Pedidos!BE39,"")</f>
        <v/>
      </c>
      <c r="E38" s="490" t="str">
        <f>IF($A38&lt;&gt;"",VLOOKUP($A38,Pedidos!$A$2:$I$9998,8,0),"")</f>
        <v/>
      </c>
      <c r="F38" s="490" t="str">
        <f>IF($A38&lt;&gt;"",VLOOKUP($A38,Pedidos!$A$2:$I$9998,9,0),"")</f>
        <v/>
      </c>
      <c r="H38" s="490" t="str">
        <f t="shared" si="3"/>
        <v/>
      </c>
      <c r="I38" s="490" t="str">
        <f>IFERROR(IF(INDEX(Procesos!$A$1:$HZ$457,MATCH(Resumen!$A$3&amp;"     ITEM # "&amp;Resumen!G38,Procesos!$A:$A,0)+6,MATCH(Resumen!A38,Procesos!$2:$2,0)+6)=0,"",INDEX(Procesos!$A$1:$HZ$457,MATCH(Resumen!$A$3&amp;"     ITEM # "&amp;Resumen!G38,Procesos!$A:$A,0)+6,MATCH(Resumen!A38,Procesos!$2:$2,0)+6)),"")</f>
        <v/>
      </c>
    </row>
    <row r="39" spans="1:9" x14ac:dyDescent="0.25">
      <c r="A39" t="str">
        <f>IF(Pedidos!$BA40="","",Pedidos!BB40)</f>
        <v/>
      </c>
      <c r="B39" t="str">
        <f>IF(Pedidos!$BA40="Proceso",Pedidos!BC40,"")</f>
        <v/>
      </c>
      <c r="C39" t="str">
        <f>IF(Pedidos!$BA40="Proceso",Pedidos!BD40,"")</f>
        <v/>
      </c>
      <c r="D39" s="490" t="str">
        <f>IF(Pedidos!$BA40="Proceso",Pedidos!BE40,"")</f>
        <v/>
      </c>
      <c r="E39" s="490" t="str">
        <f>IF($A39&lt;&gt;"",VLOOKUP($A39,Pedidos!$A$2:$I$9998,8,0),"")</f>
        <v/>
      </c>
      <c r="F39" s="490" t="str">
        <f>IF($A39&lt;&gt;"",VLOOKUP($A39,Pedidos!$A$2:$I$9998,9,0),"")</f>
        <v/>
      </c>
      <c r="H39" s="490" t="str">
        <f t="shared" si="3"/>
        <v/>
      </c>
      <c r="I39" s="490" t="str">
        <f>IFERROR(IF(INDEX(Procesos!$A$1:$HZ$457,MATCH(Resumen!$A$3&amp;"     ITEM # "&amp;Resumen!G39,Procesos!$A:$A,0)+6,MATCH(Resumen!A39,Procesos!$2:$2,0)+6)=0,"",INDEX(Procesos!$A$1:$HZ$457,MATCH(Resumen!$A$3&amp;"     ITEM # "&amp;Resumen!G39,Procesos!$A:$A,0)+6,MATCH(Resumen!A39,Procesos!$2:$2,0)+6)),"")</f>
        <v/>
      </c>
    </row>
    <row r="40" spans="1:9" x14ac:dyDescent="0.25">
      <c r="A40" t="str">
        <f>IF(Pedidos!$BA41="","",Pedidos!BB41)</f>
        <v/>
      </c>
      <c r="B40" t="str">
        <f>IF(Pedidos!$BA41="Proceso",Pedidos!BC41,"")</f>
        <v/>
      </c>
      <c r="C40" t="str">
        <f>IF(Pedidos!$BA41="Proceso",Pedidos!BD41,"")</f>
        <v/>
      </c>
      <c r="D40" s="490" t="str">
        <f>IF(Pedidos!$BA41="Proceso",Pedidos!BE41,"")</f>
        <v/>
      </c>
      <c r="E40" s="490" t="str">
        <f>IF($A40&lt;&gt;"",VLOOKUP($A40,Pedidos!$A$2:$I$9998,8,0),"")</f>
        <v/>
      </c>
      <c r="F40" s="490" t="str">
        <f>IF($A40&lt;&gt;"",VLOOKUP($A40,Pedidos!$A$2:$I$9998,9,0),"")</f>
        <v/>
      </c>
      <c r="H40" s="490" t="str">
        <f t="shared" si="3"/>
        <v/>
      </c>
      <c r="I40" s="490" t="str">
        <f>IFERROR(IF(INDEX(Procesos!$A$1:$HZ$457,MATCH(Resumen!$A$3&amp;"     ITEM # "&amp;Resumen!G40,Procesos!$A:$A,0)+6,MATCH(Resumen!A40,Procesos!$2:$2,0)+6)=0,"",INDEX(Procesos!$A$1:$HZ$457,MATCH(Resumen!$A$3&amp;"     ITEM # "&amp;Resumen!G40,Procesos!$A:$A,0)+6,MATCH(Resumen!A40,Procesos!$2:$2,0)+6)),"")</f>
        <v/>
      </c>
    </row>
    <row r="41" spans="1:9" x14ac:dyDescent="0.25">
      <c r="A41" t="str">
        <f>IF(Pedidos!$BA42="","",Pedidos!BB42)</f>
        <v/>
      </c>
      <c r="B41" t="str">
        <f>IF(Pedidos!$BA42="Proceso",Pedidos!BC42,"")</f>
        <v/>
      </c>
      <c r="C41" t="str">
        <f>IF(Pedidos!$BA42="Proceso",Pedidos!BD42,"")</f>
        <v/>
      </c>
      <c r="D41" s="490" t="str">
        <f>IF(Pedidos!$BA42="Proceso",Pedidos!BE42,"")</f>
        <v/>
      </c>
      <c r="E41" s="490" t="str">
        <f>IF($A41&lt;&gt;"",VLOOKUP($A41,Pedidos!$A$2:$I$9998,8,0),"")</f>
        <v/>
      </c>
      <c r="F41" s="490" t="str">
        <f>IF($A41&lt;&gt;"",VLOOKUP($A41,Pedidos!$A$2:$I$9998,9,0),"")</f>
        <v/>
      </c>
      <c r="H41" s="490" t="str">
        <f t="shared" si="3"/>
        <v/>
      </c>
      <c r="I41" s="490" t="str">
        <f>IFERROR(IF(INDEX(Procesos!$A$1:$HZ$457,MATCH(Resumen!$A$3&amp;"     ITEM # "&amp;Resumen!G41,Procesos!$A:$A,0)+6,MATCH(Resumen!A41,Procesos!$2:$2,0)+6)=0,"",INDEX(Procesos!$A$1:$HZ$457,MATCH(Resumen!$A$3&amp;"     ITEM # "&amp;Resumen!G41,Procesos!$A:$A,0)+6,MATCH(Resumen!A41,Procesos!$2:$2,0)+6)),"")</f>
        <v/>
      </c>
    </row>
    <row r="42" spans="1:9" x14ac:dyDescent="0.25">
      <c r="A42" t="str">
        <f>IF(Pedidos!$BA43="","",Pedidos!BB43)</f>
        <v/>
      </c>
      <c r="B42" t="str">
        <f>IF(Pedidos!$BA43="Proceso",Pedidos!BC43,"")</f>
        <v/>
      </c>
      <c r="C42" t="str">
        <f>IF(Pedidos!$BA43="Proceso",Pedidos!BD43,"")</f>
        <v/>
      </c>
      <c r="D42" s="490" t="str">
        <f>IF(Pedidos!$BA43="Proceso",Pedidos!BE43,"")</f>
        <v/>
      </c>
      <c r="E42" s="490" t="str">
        <f>IF($A42&lt;&gt;"",VLOOKUP($A42,Pedidos!$A$2:$I$9998,8,0),"")</f>
        <v/>
      </c>
      <c r="F42" s="490" t="str">
        <f>IF($A42&lt;&gt;"",VLOOKUP($A42,Pedidos!$A$2:$I$9998,9,0),"")</f>
        <v/>
      </c>
      <c r="H42" s="490" t="str">
        <f t="shared" si="3"/>
        <v/>
      </c>
      <c r="I42" s="490" t="str">
        <f>IFERROR(IF(INDEX(Procesos!$A$1:$HZ$457,MATCH(Resumen!$A$3&amp;"     ITEM # "&amp;Resumen!G42,Procesos!$A:$A,0)+6,MATCH(Resumen!A42,Procesos!$2:$2,0)+6)=0,"",INDEX(Procesos!$A$1:$HZ$457,MATCH(Resumen!$A$3&amp;"     ITEM # "&amp;Resumen!G42,Procesos!$A:$A,0)+6,MATCH(Resumen!A42,Procesos!$2:$2,0)+6)),"")</f>
        <v/>
      </c>
    </row>
    <row r="43" spans="1:9" x14ac:dyDescent="0.25">
      <c r="A43" t="str">
        <f>IF(Pedidos!$BA44="","",Pedidos!BB44)</f>
        <v/>
      </c>
      <c r="B43" t="str">
        <f>IF(Pedidos!$BA44="Proceso",Pedidos!BC44,"")</f>
        <v/>
      </c>
      <c r="C43" t="str">
        <f>IF(Pedidos!$BA44="Proceso",Pedidos!BD44,"")</f>
        <v/>
      </c>
      <c r="D43" s="490" t="str">
        <f>IF(Pedidos!$BA44="Proceso",Pedidos!BE44,"")</f>
        <v/>
      </c>
      <c r="E43" s="490" t="str">
        <f>IF($A43&lt;&gt;"",VLOOKUP($A43,Pedidos!$A$2:$I$9998,8,0),"")</f>
        <v/>
      </c>
      <c r="F43" s="490" t="str">
        <f>IF($A43&lt;&gt;"",VLOOKUP($A43,Pedidos!$A$2:$I$9998,9,0),"")</f>
        <v/>
      </c>
      <c r="H43" s="490" t="str">
        <f t="shared" si="3"/>
        <v/>
      </c>
      <c r="I43" s="490" t="str">
        <f>IFERROR(IF(INDEX(Procesos!$A$1:$HZ$457,MATCH(Resumen!$A$3&amp;"     ITEM # "&amp;Resumen!G43,Procesos!$A:$A,0)+6,MATCH(Resumen!A43,Procesos!$2:$2,0)+6)=0,"",INDEX(Procesos!$A$1:$HZ$457,MATCH(Resumen!$A$3&amp;"     ITEM # "&amp;Resumen!G43,Procesos!$A:$A,0)+6,MATCH(Resumen!A43,Procesos!$2:$2,0)+6)),"")</f>
        <v/>
      </c>
    </row>
    <row r="44" spans="1:9" x14ac:dyDescent="0.25">
      <c r="A44" t="str">
        <f>IF(Pedidos!$BA45="","",Pedidos!BB45)</f>
        <v/>
      </c>
      <c r="B44" t="str">
        <f>IF(Pedidos!$BA45="Proceso",Pedidos!BC45,"")</f>
        <v/>
      </c>
      <c r="C44" t="str">
        <f>IF(Pedidos!$BA45="Proceso",Pedidos!BD45,"")</f>
        <v/>
      </c>
      <c r="D44" s="490" t="str">
        <f>IF(Pedidos!$BA45="Proceso",Pedidos!BE45,"")</f>
        <v/>
      </c>
      <c r="E44" s="490" t="str">
        <f>IF($A44&lt;&gt;"",VLOOKUP($A44,Pedidos!$A$2:$I$9998,8,0),"")</f>
        <v/>
      </c>
      <c r="F44" s="490" t="str">
        <f>IF($A44&lt;&gt;"",VLOOKUP($A44,Pedidos!$A$2:$I$9998,9,0),"")</f>
        <v/>
      </c>
      <c r="H44" s="490" t="str">
        <f t="shared" si="3"/>
        <v/>
      </c>
      <c r="I44" s="490" t="str">
        <f>IFERROR(IF(INDEX(Procesos!$A$1:$HZ$457,MATCH(Resumen!$A$3&amp;"     ITEM # "&amp;Resumen!G44,Procesos!$A:$A,0)+6,MATCH(Resumen!A44,Procesos!$2:$2,0)+6)=0,"",INDEX(Procesos!$A$1:$HZ$457,MATCH(Resumen!$A$3&amp;"     ITEM # "&amp;Resumen!G44,Procesos!$A:$A,0)+6,MATCH(Resumen!A44,Procesos!$2:$2,0)+6)),"")</f>
        <v/>
      </c>
    </row>
    <row r="45" spans="1:9" x14ac:dyDescent="0.25">
      <c r="A45" t="str">
        <f>IF(Pedidos!$BA46="","",Pedidos!BB46)</f>
        <v/>
      </c>
      <c r="B45" t="str">
        <f>IF(Pedidos!$BA46="Proceso",Pedidos!BC46,"")</f>
        <v/>
      </c>
      <c r="C45" t="str">
        <f>IF(Pedidos!$BA46="Proceso",Pedidos!BD46,"")</f>
        <v/>
      </c>
      <c r="D45" s="490" t="str">
        <f>IF(Pedidos!$BA46="Proceso",Pedidos!BE46,"")</f>
        <v/>
      </c>
      <c r="E45" s="490" t="str">
        <f>IF($A45&lt;&gt;"",VLOOKUP($A45,Pedidos!$A$2:$I$9998,8,0),"")</f>
        <v/>
      </c>
      <c r="F45" s="490" t="str">
        <f>IF($A45&lt;&gt;"",VLOOKUP($A45,Pedidos!$A$2:$I$9998,9,0),"")</f>
        <v/>
      </c>
      <c r="H45" s="490" t="str">
        <f t="shared" si="3"/>
        <v/>
      </c>
      <c r="I45" s="490" t="str">
        <f>IFERROR(IF(INDEX(Procesos!$A$1:$HZ$457,MATCH(Resumen!$A$3&amp;"     ITEM # "&amp;Resumen!G45,Procesos!$A:$A,0)+6,MATCH(Resumen!A45,Procesos!$2:$2,0)+6)=0,"",INDEX(Procesos!$A$1:$HZ$457,MATCH(Resumen!$A$3&amp;"     ITEM # "&amp;Resumen!G45,Procesos!$A:$A,0)+6,MATCH(Resumen!A45,Procesos!$2:$2,0)+6)),"")</f>
        <v/>
      </c>
    </row>
    <row r="46" spans="1:9" x14ac:dyDescent="0.25">
      <c r="A46" t="str">
        <f>IF(Pedidos!$BA47="","",Pedidos!BB47)</f>
        <v/>
      </c>
      <c r="B46" t="str">
        <f>IF(Pedidos!$BA47="Proceso",Pedidos!BC47,"")</f>
        <v/>
      </c>
      <c r="C46" t="str">
        <f>IF(Pedidos!$BA47="Proceso",Pedidos!BD47,"")</f>
        <v/>
      </c>
      <c r="D46" s="490" t="str">
        <f>IF(Pedidos!$BA47="Proceso",Pedidos!BE47,"")</f>
        <v/>
      </c>
      <c r="E46" s="490" t="str">
        <f>IF($A46&lt;&gt;"",VLOOKUP($A46,Pedidos!$A$2:$I$9998,8,0),"")</f>
        <v/>
      </c>
      <c r="F46" s="490" t="str">
        <f>IF($A46&lt;&gt;"",VLOOKUP($A46,Pedidos!$A$2:$I$9998,9,0),"")</f>
        <v/>
      </c>
      <c r="H46" s="490" t="str">
        <f t="shared" si="3"/>
        <v/>
      </c>
      <c r="I46" s="490" t="str">
        <f>IFERROR(IF(INDEX(Procesos!$A$1:$HZ$457,MATCH(Resumen!$A$3&amp;"     ITEM # "&amp;Resumen!G46,Procesos!$A:$A,0)+6,MATCH(Resumen!A46,Procesos!$2:$2,0)+6)=0,"",INDEX(Procesos!$A$1:$HZ$457,MATCH(Resumen!$A$3&amp;"     ITEM # "&amp;Resumen!G46,Procesos!$A:$A,0)+6,MATCH(Resumen!A46,Procesos!$2:$2,0)+6)),"")</f>
        <v/>
      </c>
    </row>
    <row r="47" spans="1:9" x14ac:dyDescent="0.25">
      <c r="A47" t="str">
        <f>IF(Pedidos!$BA48="","",Pedidos!BB48)</f>
        <v/>
      </c>
      <c r="B47" t="str">
        <f>IF(Pedidos!$BA48="Proceso",Pedidos!BC48,"")</f>
        <v/>
      </c>
      <c r="C47" t="str">
        <f>IF(Pedidos!$BA48="Proceso",Pedidos!BD48,"")</f>
        <v/>
      </c>
      <c r="D47" s="490" t="str">
        <f>IF(Pedidos!$BA48="Proceso",Pedidos!BE48,"")</f>
        <v/>
      </c>
      <c r="E47" s="490" t="str">
        <f>IF($A47&lt;&gt;"",VLOOKUP($A47,Pedidos!$A$2:$I$9998,8,0),"")</f>
        <v/>
      </c>
      <c r="F47" s="490" t="str">
        <f>IF($A47&lt;&gt;"",VLOOKUP($A47,Pedidos!$A$2:$I$9998,9,0),"")</f>
        <v/>
      </c>
      <c r="H47" s="490" t="str">
        <f t="shared" si="3"/>
        <v/>
      </c>
      <c r="I47" s="490" t="str">
        <f>IFERROR(IF(INDEX(Procesos!$A$1:$HZ$457,MATCH(Resumen!$A$3&amp;"     ITEM # "&amp;Resumen!G47,Procesos!$A:$A,0)+6,MATCH(Resumen!A47,Procesos!$2:$2,0)+6)=0,"",INDEX(Procesos!$A$1:$HZ$457,MATCH(Resumen!$A$3&amp;"     ITEM # "&amp;Resumen!G47,Procesos!$A:$A,0)+6,MATCH(Resumen!A47,Procesos!$2:$2,0)+6)),"")</f>
        <v/>
      </c>
    </row>
    <row r="48" spans="1:9" x14ac:dyDescent="0.25">
      <c r="A48" t="str">
        <f>IF(Pedidos!$BA49="","",Pedidos!BB49)</f>
        <v/>
      </c>
      <c r="B48" t="str">
        <f>IF(Pedidos!$BA49="Proceso",Pedidos!BC49,"")</f>
        <v/>
      </c>
      <c r="C48" t="str">
        <f>IF(Pedidos!$BA49="Proceso",Pedidos!BD49,"")</f>
        <v/>
      </c>
      <c r="D48" s="490" t="str">
        <f>IF(Pedidos!$BA49="Proceso",Pedidos!BE49,"")</f>
        <v/>
      </c>
      <c r="E48" s="490" t="str">
        <f>IF($A48&lt;&gt;"",VLOOKUP($A48,Pedidos!$A$2:$I$9998,8,0),"")</f>
        <v/>
      </c>
      <c r="F48" s="490" t="str">
        <f>IF($A48&lt;&gt;"",VLOOKUP($A48,Pedidos!$A$2:$I$9998,9,0),"")</f>
        <v/>
      </c>
      <c r="H48" s="490" t="str">
        <f t="shared" si="3"/>
        <v/>
      </c>
      <c r="I48" s="490" t="str">
        <f>IFERROR(IF(INDEX(Procesos!$A$1:$HZ$457,MATCH(Resumen!$A$3&amp;"     ITEM # "&amp;Resumen!G48,Procesos!$A:$A,0)+6,MATCH(Resumen!A48,Procesos!$2:$2,0)+6)=0,"",INDEX(Procesos!$A$1:$HZ$457,MATCH(Resumen!$A$3&amp;"     ITEM # "&amp;Resumen!G48,Procesos!$A:$A,0)+6,MATCH(Resumen!A48,Procesos!$2:$2,0)+6)),"")</f>
        <v/>
      </c>
    </row>
    <row r="49" spans="1:9" x14ac:dyDescent="0.25">
      <c r="A49" t="str">
        <f>IF(Pedidos!$BA50="","",Pedidos!BB50)</f>
        <v/>
      </c>
      <c r="B49" t="str">
        <f>IF(Pedidos!$BA50="Proceso",Pedidos!BC50,"")</f>
        <v/>
      </c>
      <c r="C49" t="str">
        <f>IF(Pedidos!$BA50="Proceso",Pedidos!BD50,"")</f>
        <v/>
      </c>
      <c r="D49" s="490" t="str">
        <f>IF(Pedidos!$BA50="Proceso",Pedidos!BE50,"")</f>
        <v/>
      </c>
      <c r="E49" s="490" t="str">
        <f>IF($A49&lt;&gt;"",VLOOKUP($A49,Pedidos!$A$2:$I$9998,8,0),"")</f>
        <v/>
      </c>
      <c r="F49" s="490" t="str">
        <f>IF($A49&lt;&gt;"",VLOOKUP($A49,Pedidos!$A$2:$I$9998,9,0),"")</f>
        <v/>
      </c>
      <c r="H49" s="490" t="str">
        <f t="shared" si="3"/>
        <v/>
      </c>
      <c r="I49" s="490" t="str">
        <f>IFERROR(IF(INDEX(Procesos!$A$1:$HZ$457,MATCH(Resumen!$A$3&amp;"     ITEM # "&amp;Resumen!G49,Procesos!$A:$A,0)+6,MATCH(Resumen!A49,Procesos!$2:$2,0)+6)=0,"",INDEX(Procesos!$A$1:$HZ$457,MATCH(Resumen!$A$3&amp;"     ITEM # "&amp;Resumen!G49,Procesos!$A:$A,0)+6,MATCH(Resumen!A49,Procesos!$2:$2,0)+6)),"")</f>
        <v/>
      </c>
    </row>
    <row r="50" spans="1:9" x14ac:dyDescent="0.25">
      <c r="A50" t="str">
        <f>IF(Pedidos!$BA51="","",Pedidos!BB51)</f>
        <v/>
      </c>
      <c r="B50" t="str">
        <f>IF(Pedidos!$BA51="Proceso",Pedidos!BC51,"")</f>
        <v/>
      </c>
      <c r="C50" t="str">
        <f>IF(Pedidos!$BA51="Proceso",Pedidos!BD51,"")</f>
        <v/>
      </c>
      <c r="D50" s="490" t="str">
        <f>IF(Pedidos!$BA51="Proceso",Pedidos!BE51,"")</f>
        <v/>
      </c>
      <c r="E50" s="490" t="str">
        <f>IF($A50&lt;&gt;"",VLOOKUP($A50,Pedidos!$A$2:$I$9998,8,0),"")</f>
        <v/>
      </c>
      <c r="F50" s="490" t="str">
        <f>IF($A50&lt;&gt;"",VLOOKUP($A50,Pedidos!$A$2:$I$9998,9,0),"")</f>
        <v/>
      </c>
      <c r="H50" s="490" t="str">
        <f t="shared" si="3"/>
        <v/>
      </c>
      <c r="I50" s="490" t="str">
        <f>IFERROR(IF(INDEX(Procesos!$A$1:$HZ$457,MATCH(Resumen!$A$3&amp;"     ITEM # "&amp;Resumen!G50,Procesos!$A:$A,0)+6,MATCH(Resumen!A50,Procesos!$2:$2,0)+6)=0,"",INDEX(Procesos!$A$1:$HZ$457,MATCH(Resumen!$A$3&amp;"     ITEM # "&amp;Resumen!G50,Procesos!$A:$A,0)+6,MATCH(Resumen!A50,Procesos!$2:$2,0)+6)),"")</f>
        <v/>
      </c>
    </row>
    <row r="51" spans="1:9" x14ac:dyDescent="0.25">
      <c r="A51" t="str">
        <f>IF(Pedidos!$BA52="Proceso",Pedidos!BB52,"")</f>
        <v/>
      </c>
      <c r="B51" t="str">
        <f>IF(Pedidos!$BA52="Proceso",Pedidos!BC52,"")</f>
        <v/>
      </c>
      <c r="C51" t="str">
        <f>IF(Pedidos!$BA52="Proceso",Pedidos!BD52,"")</f>
        <v/>
      </c>
      <c r="D51" s="490" t="str">
        <f>IF(Pedidos!$BA52="Proceso",Pedidos!BE52,"")</f>
        <v/>
      </c>
      <c r="E51" s="490" t="str">
        <f>IF($A51&lt;&gt;"",VLOOKUP($A51,Pedidos!$A$2:$I$9998,8,0),"")</f>
        <v/>
      </c>
      <c r="F51" s="490" t="str">
        <f>IF($A51&lt;&gt;"",VLOOKUP($A51,Pedidos!$A$2:$I$9998,9,0),"")</f>
        <v/>
      </c>
      <c r="H51" s="490" t="str">
        <f t="shared" si="3"/>
        <v/>
      </c>
      <c r="I51" s="490" t="str">
        <f>IFERROR(IF(INDEX(Procesos!$A$1:$HZ$457,MATCH(Resumen!$A$3&amp;"     ITEM # "&amp;Resumen!G51,Procesos!$A:$A,0)+6,MATCH(Resumen!A51,Procesos!$2:$2,0)+6)=0,"",INDEX(Procesos!$A$1:$HZ$457,MATCH(Resumen!$A$3&amp;"     ITEM # "&amp;Resumen!G51,Procesos!$A:$A,0)+6,MATCH(Resumen!A51,Procesos!$2:$2,0)+6)),"")</f>
        <v/>
      </c>
    </row>
    <row r="52" spans="1:9" x14ac:dyDescent="0.25">
      <c r="A52" t="str">
        <f>IF(Pedidos!$BA53="Proceso",Pedidos!BB53,"")</f>
        <v/>
      </c>
      <c r="B52" t="str">
        <f>IF(Pedidos!$BA53="Proceso",Pedidos!BC53,"")</f>
        <v/>
      </c>
      <c r="C52" t="str">
        <f>IF(Pedidos!$BA53="Proceso",Pedidos!BD53,"")</f>
        <v/>
      </c>
      <c r="D52" s="490" t="str">
        <f>IF(Pedidos!$BA53="Proceso",Pedidos!BE53,"")</f>
        <v/>
      </c>
      <c r="E52" s="490" t="str">
        <f>IF($A52&lt;&gt;"",VLOOKUP($A52,Pedidos!$A$2:$I$9998,8,0),"")</f>
        <v/>
      </c>
      <c r="F52" s="490" t="str">
        <f>IF($A52&lt;&gt;"",VLOOKUP($A52,Pedidos!$A$2:$I$9998,9,0),"")</f>
        <v/>
      </c>
      <c r="H52" s="490" t="str">
        <f t="shared" si="3"/>
        <v/>
      </c>
      <c r="I52" s="490" t="str">
        <f>IFERROR(IF(INDEX(Procesos!$A$1:$HZ$457,MATCH(Resumen!$A$3&amp;"     ITEM # "&amp;Resumen!G52,Procesos!$A:$A,0)+6,MATCH(Resumen!A52,Procesos!$2:$2,0)+6)=0,"",INDEX(Procesos!$A$1:$HZ$457,MATCH(Resumen!$A$3&amp;"     ITEM # "&amp;Resumen!G52,Procesos!$A:$A,0)+6,MATCH(Resumen!A52,Procesos!$2:$2,0)+6)),"")</f>
        <v/>
      </c>
    </row>
    <row r="53" spans="1:9" x14ac:dyDescent="0.25">
      <c r="A53" t="str">
        <f>IF(Pedidos!$BA54="Proceso",Pedidos!BB54,"")</f>
        <v/>
      </c>
      <c r="B53" t="str">
        <f>IF(Pedidos!$BA54="Proceso",Pedidos!BC54,"")</f>
        <v/>
      </c>
      <c r="C53" t="str">
        <f>IF(Pedidos!$BA54="Proceso",Pedidos!BD54,"")</f>
        <v/>
      </c>
      <c r="D53" s="490" t="str">
        <f>IF(Pedidos!$BA54="Proceso",Pedidos!BE54,"")</f>
        <v/>
      </c>
      <c r="E53" s="490" t="str">
        <f>IF($A53&lt;&gt;"",VLOOKUP($A53,Pedidos!$A$2:$I$9998,8,0),"")</f>
        <v/>
      </c>
      <c r="F53" s="490" t="str">
        <f>IF($A53&lt;&gt;"",VLOOKUP($A53,Pedidos!$A$2:$I$9998,9,0),"")</f>
        <v/>
      </c>
      <c r="H53" s="490" t="str">
        <f t="shared" si="3"/>
        <v/>
      </c>
      <c r="I53" s="490" t="str">
        <f>IFERROR(IF(INDEX(Procesos!$A$1:$HZ$457,MATCH(Resumen!$A$3&amp;"     ITEM # "&amp;Resumen!G53,Procesos!$A:$A,0)+6,MATCH(Resumen!A53,Procesos!$2:$2,0)+6)=0,"",INDEX(Procesos!$A$1:$HZ$457,MATCH(Resumen!$A$3&amp;"     ITEM # "&amp;Resumen!G53,Procesos!$A:$A,0)+6,MATCH(Resumen!A53,Procesos!$2:$2,0)+6)),"")</f>
        <v/>
      </c>
    </row>
    <row r="54" spans="1:9" x14ac:dyDescent="0.25">
      <c r="A54" t="str">
        <f>IF(Pedidos!$BA55="Proceso",Pedidos!BB55,"")</f>
        <v/>
      </c>
      <c r="B54" t="str">
        <f>IF(Pedidos!$BA55="Proceso",Pedidos!BC55,"")</f>
        <v/>
      </c>
      <c r="C54" t="str">
        <f>IF(Pedidos!$BA55="Proceso",Pedidos!BD55,"")</f>
        <v/>
      </c>
      <c r="D54" s="490" t="str">
        <f>IF(Pedidos!$BA55="Proceso",Pedidos!BE55,"")</f>
        <v/>
      </c>
      <c r="E54" s="490" t="str">
        <f>IF($A54&lt;&gt;"",VLOOKUP($A54,Pedidos!$A$2:$I$9998,8,0),"")</f>
        <v/>
      </c>
      <c r="F54" s="490" t="str">
        <f>IF($A54&lt;&gt;"",VLOOKUP($A54,Pedidos!$A$2:$I$9998,9,0),"")</f>
        <v/>
      </c>
      <c r="H54" s="490" t="str">
        <f t="shared" si="3"/>
        <v/>
      </c>
      <c r="I54" s="490" t="str">
        <f>IFERROR(IF(INDEX(Procesos!$A$1:$HZ$457,MATCH(Resumen!$A$3&amp;"     ITEM # "&amp;Resumen!G54,Procesos!$A:$A,0)+6,MATCH(Resumen!A54,Procesos!$2:$2,0)+6)=0,"",INDEX(Procesos!$A$1:$HZ$457,MATCH(Resumen!$A$3&amp;"     ITEM # "&amp;Resumen!G54,Procesos!$A:$A,0)+6,MATCH(Resumen!A54,Procesos!$2:$2,0)+6)),"")</f>
        <v/>
      </c>
    </row>
    <row r="55" spans="1:9" x14ac:dyDescent="0.25">
      <c r="A55" t="str">
        <f>IF(Pedidos!$BA56="Proceso",Pedidos!BB56,"")</f>
        <v/>
      </c>
      <c r="B55" t="str">
        <f>IF(Pedidos!$BA56="Proceso",Pedidos!BC56,"")</f>
        <v/>
      </c>
      <c r="C55" t="str">
        <f>IF(Pedidos!$BA56="Proceso",Pedidos!BD56,"")</f>
        <v/>
      </c>
      <c r="D55" s="490" t="str">
        <f>IF(Pedidos!$BA56="Proceso",Pedidos!BE56,"")</f>
        <v/>
      </c>
      <c r="E55" s="490" t="str">
        <f>IF($A55&lt;&gt;"",VLOOKUP($A55,Pedidos!$A$2:$I$9998,8,0),"")</f>
        <v/>
      </c>
      <c r="F55" s="490" t="str">
        <f>IF($A55&lt;&gt;"",VLOOKUP($A55,Pedidos!$A$2:$I$9998,9,0),"")</f>
        <v/>
      </c>
      <c r="H55" s="490" t="str">
        <f t="shared" si="3"/>
        <v/>
      </c>
      <c r="I55" s="490" t="str">
        <f>IFERROR(IF(INDEX(Procesos!$A$1:$HZ$457,MATCH(Resumen!$A$3&amp;"     ITEM # "&amp;Resumen!G55,Procesos!$A:$A,0)+6,MATCH(Resumen!A55,Procesos!$2:$2,0)+6)=0,"",INDEX(Procesos!$A$1:$HZ$457,MATCH(Resumen!$A$3&amp;"     ITEM # "&amp;Resumen!G55,Procesos!$A:$A,0)+6,MATCH(Resumen!A55,Procesos!$2:$2,0)+6)),"")</f>
        <v/>
      </c>
    </row>
    <row r="56" spans="1:9" x14ac:dyDescent="0.25">
      <c r="A56" t="str">
        <f>IF(Pedidos!$BA57="Proceso",Pedidos!BB57,"")</f>
        <v/>
      </c>
      <c r="B56" t="str">
        <f>IF(Pedidos!$BA57="Proceso",Pedidos!BC57,"")</f>
        <v/>
      </c>
      <c r="C56" t="str">
        <f>IF(Pedidos!$BA57="Proceso",Pedidos!BD57,"")</f>
        <v/>
      </c>
      <c r="D56" s="490" t="str">
        <f>IF(Pedidos!$BA57="Proceso",Pedidos!BE57,"")</f>
        <v/>
      </c>
      <c r="E56" s="490" t="str">
        <f>IF($A56&lt;&gt;"",VLOOKUP($A56,Pedidos!$A$2:$I$9998,8,0),"")</f>
        <v/>
      </c>
      <c r="F56" s="490" t="str">
        <f>IF($A56&lt;&gt;"",VLOOKUP($A56,Pedidos!$A$2:$I$9998,9,0),"")</f>
        <v/>
      </c>
      <c r="H56" s="490" t="str">
        <f t="shared" si="3"/>
        <v/>
      </c>
      <c r="I56" s="490" t="str">
        <f>IFERROR(IF(INDEX(Procesos!$A$1:$HZ$457,MATCH(Resumen!$A$3&amp;"     ITEM # "&amp;Resumen!G56,Procesos!$A:$A,0)+6,MATCH(Resumen!A56,Procesos!$2:$2,0)+6)=0,"",INDEX(Procesos!$A$1:$HZ$457,MATCH(Resumen!$A$3&amp;"     ITEM # "&amp;Resumen!G56,Procesos!$A:$A,0)+6,MATCH(Resumen!A56,Procesos!$2:$2,0)+6)),"")</f>
        <v/>
      </c>
    </row>
    <row r="57" spans="1:9" x14ac:dyDescent="0.25">
      <c r="A57" t="str">
        <f>IF(Pedidos!$BA58="Proceso",Pedidos!BB58,"")</f>
        <v/>
      </c>
      <c r="B57" t="str">
        <f>IF(Pedidos!$BA58="Proceso",Pedidos!BC58,"")</f>
        <v/>
      </c>
      <c r="C57" t="str">
        <f>IF(Pedidos!$BA58="Proceso",Pedidos!BD58,"")</f>
        <v/>
      </c>
      <c r="D57" s="490" t="str">
        <f>IF(Pedidos!$BA58="Proceso",Pedidos!BE58,"")</f>
        <v/>
      </c>
      <c r="E57" s="490" t="str">
        <f>IF($A57&lt;&gt;"",VLOOKUP($A57,Pedidos!$A$2:$I$9998,8,0),"")</f>
        <v/>
      </c>
      <c r="F57" s="490" t="str">
        <f>IF($A57&lt;&gt;"",VLOOKUP($A57,Pedidos!$A$2:$I$9998,9,0),"")</f>
        <v/>
      </c>
      <c r="H57" s="490" t="str">
        <f t="shared" si="3"/>
        <v/>
      </c>
      <c r="I57" s="490" t="str">
        <f>IFERROR(IF(INDEX(Procesos!$A$1:$HZ$457,MATCH(Resumen!$A$3&amp;"     ITEM # "&amp;Resumen!G57,Procesos!$A:$A,0)+6,MATCH(Resumen!A57,Procesos!$2:$2,0)+6)=0,"",INDEX(Procesos!$A$1:$HZ$457,MATCH(Resumen!$A$3&amp;"     ITEM # "&amp;Resumen!G57,Procesos!$A:$A,0)+6,MATCH(Resumen!A57,Procesos!$2:$2,0)+6)),"")</f>
        <v/>
      </c>
    </row>
    <row r="58" spans="1:9" x14ac:dyDescent="0.25">
      <c r="A58" t="str">
        <f>IF(Pedidos!$BA59="Proceso",Pedidos!BB59,"")</f>
        <v/>
      </c>
      <c r="B58" t="str">
        <f>IF(Pedidos!$BA59="Proceso",Pedidos!BC59,"")</f>
        <v/>
      </c>
      <c r="C58" t="str">
        <f>IF(Pedidos!$BA59="Proceso",Pedidos!BD59,"")</f>
        <v/>
      </c>
      <c r="D58" s="490" t="str">
        <f>IF(Pedidos!$BA59="Proceso",Pedidos!BE59,"")</f>
        <v/>
      </c>
      <c r="E58" s="490" t="str">
        <f>IF($A58&lt;&gt;"",VLOOKUP($A58,Pedidos!$A$2:$I$9998,8,0),"")</f>
        <v/>
      </c>
      <c r="F58" s="490" t="str">
        <f>IF($A58&lt;&gt;"",VLOOKUP($A58,Pedidos!$A$2:$I$9998,9,0),"")</f>
        <v/>
      </c>
      <c r="H58" s="490" t="str">
        <f t="shared" si="3"/>
        <v/>
      </c>
      <c r="I58" s="490" t="str">
        <f>IFERROR(IF(INDEX(Procesos!$A$1:$HZ$457,MATCH(Resumen!$A$3&amp;"     ITEM # "&amp;Resumen!G58,Procesos!$A:$A,0)+6,MATCH(Resumen!A58,Procesos!$2:$2,0)+6)=0,"",INDEX(Procesos!$A$1:$HZ$457,MATCH(Resumen!$A$3&amp;"     ITEM # "&amp;Resumen!G58,Procesos!$A:$A,0)+6,MATCH(Resumen!A58,Procesos!$2:$2,0)+6)),"")</f>
        <v/>
      </c>
    </row>
    <row r="59" spans="1:9" x14ac:dyDescent="0.25">
      <c r="A59" t="str">
        <f>IF(Pedidos!$BA60="Proceso",Pedidos!BB60,"")</f>
        <v/>
      </c>
      <c r="B59" t="str">
        <f>IF(Pedidos!$BA60="Proceso",Pedidos!BC60,"")</f>
        <v/>
      </c>
      <c r="C59" t="str">
        <f>IF(Pedidos!$BA60="Proceso",Pedidos!BD60,"")</f>
        <v/>
      </c>
      <c r="D59" s="490" t="str">
        <f>IF(Pedidos!$BA60="Proceso",Pedidos!BE60,"")</f>
        <v/>
      </c>
      <c r="E59" s="490" t="str">
        <f>IF($A59&lt;&gt;"",VLOOKUP($A59,Pedidos!$A$2:$I$9998,8,0),"")</f>
        <v/>
      </c>
      <c r="F59" s="490" t="str">
        <f>IF($A59&lt;&gt;"",VLOOKUP($A59,Pedidos!$A$2:$I$9998,9,0),"")</f>
        <v/>
      </c>
      <c r="H59" s="490" t="str">
        <f t="shared" si="3"/>
        <v/>
      </c>
      <c r="I59" s="490" t="str">
        <f>IFERROR(IF(INDEX(Procesos!$A$1:$HZ$457,MATCH(Resumen!$A$3&amp;"     ITEM # "&amp;Resumen!G59,Procesos!$A:$A,0)+6,MATCH(Resumen!A59,Procesos!$2:$2,0)+6)=0,"",INDEX(Procesos!$A$1:$HZ$457,MATCH(Resumen!$A$3&amp;"     ITEM # "&amp;Resumen!G59,Procesos!$A:$A,0)+6,MATCH(Resumen!A59,Procesos!$2:$2,0)+6)),"")</f>
        <v/>
      </c>
    </row>
    <row r="60" spans="1:9" x14ac:dyDescent="0.25">
      <c r="A60" t="str">
        <f>IF(Pedidos!$BA61="Proceso",Pedidos!BB61,"")</f>
        <v/>
      </c>
      <c r="B60" t="str">
        <f>IF(Pedidos!$BA61="Proceso",Pedidos!BC61,"")</f>
        <v/>
      </c>
      <c r="C60" t="str">
        <f>IF(Pedidos!$BA61="Proceso",Pedidos!BD61,"")</f>
        <v/>
      </c>
      <c r="D60" s="490" t="str">
        <f>IF(Pedidos!$BA61="Proceso",Pedidos!BE61,"")</f>
        <v/>
      </c>
      <c r="E60" s="490" t="str">
        <f>IF($A60&lt;&gt;"",VLOOKUP($A60,Pedidos!$A$2:$I$9998,8,0),"")</f>
        <v/>
      </c>
      <c r="F60" s="490" t="str">
        <f>IF($A60&lt;&gt;"",VLOOKUP($A60,Pedidos!$A$2:$I$9998,9,0),"")</f>
        <v/>
      </c>
      <c r="H60" s="490" t="str">
        <f t="shared" si="3"/>
        <v/>
      </c>
      <c r="I60" s="490" t="str">
        <f>IFERROR(IF(INDEX(Procesos!$A$1:$HZ$457,MATCH(Resumen!$A$3&amp;"     ITEM # "&amp;Resumen!G60,Procesos!$A:$A,0)+6,MATCH(Resumen!A60,Procesos!$2:$2,0)+6)=0,"",INDEX(Procesos!$A$1:$HZ$457,MATCH(Resumen!$A$3&amp;"     ITEM # "&amp;Resumen!G60,Procesos!$A:$A,0)+6,MATCH(Resumen!A60,Procesos!$2:$2,0)+6)),"")</f>
        <v/>
      </c>
    </row>
    <row r="61" spans="1:9" x14ac:dyDescent="0.25">
      <c r="A61" t="str">
        <f>IF(Pedidos!$BA62="Proceso",Pedidos!BB62,"")</f>
        <v/>
      </c>
      <c r="B61" t="str">
        <f>IF(Pedidos!$BA62="Proceso",Pedidos!BC62,"")</f>
        <v/>
      </c>
      <c r="C61" t="str">
        <f>IF(Pedidos!$BA62="Proceso",Pedidos!BD62,"")</f>
        <v/>
      </c>
      <c r="D61" s="490" t="str">
        <f>IF(Pedidos!$BA62="Proceso",Pedidos!BE62,"")</f>
        <v/>
      </c>
      <c r="E61" s="490" t="str">
        <f>IF($A61&lt;&gt;"",VLOOKUP($A61,Pedidos!$A$2:$I$9998,8,0),"")</f>
        <v/>
      </c>
      <c r="F61" s="490" t="str">
        <f>IF($A61&lt;&gt;"",VLOOKUP($A61,Pedidos!$A$2:$I$9998,9,0),"")</f>
        <v/>
      </c>
      <c r="H61" s="490" t="str">
        <f t="shared" si="3"/>
        <v/>
      </c>
      <c r="I61" s="490" t="str">
        <f>IFERROR(IF(INDEX(Procesos!$A$1:$HZ$457,MATCH(Resumen!$A$3&amp;"     ITEM # "&amp;Resumen!G61,Procesos!$A:$A,0)+6,MATCH(Resumen!A61,Procesos!$2:$2,0)+6)=0,"",INDEX(Procesos!$A$1:$HZ$457,MATCH(Resumen!$A$3&amp;"     ITEM # "&amp;Resumen!G61,Procesos!$A:$A,0)+6,MATCH(Resumen!A61,Procesos!$2:$2,0)+6)),"")</f>
        <v/>
      </c>
    </row>
    <row r="62" spans="1:9" x14ac:dyDescent="0.25">
      <c r="A62" t="str">
        <f>IF(Pedidos!$BA63="Proceso",Pedidos!BB63,"")</f>
        <v/>
      </c>
      <c r="B62" t="str">
        <f>IF(Pedidos!$BA63="Proceso",Pedidos!BC63,"")</f>
        <v/>
      </c>
      <c r="C62" t="str">
        <f>IF(Pedidos!$BA63="Proceso",Pedidos!BD63,"")</f>
        <v/>
      </c>
      <c r="D62" s="490" t="str">
        <f>IF(Pedidos!$BA63="Proceso",Pedidos!BE63,"")</f>
        <v/>
      </c>
      <c r="E62" s="490" t="str">
        <f>IF($A62&lt;&gt;"",VLOOKUP($A62,Pedidos!$A$2:$I$9998,8,0),"")</f>
        <v/>
      </c>
      <c r="F62" s="490" t="str">
        <f>IF($A62&lt;&gt;"",VLOOKUP($A62,Pedidos!$A$2:$I$9998,9,0),"")</f>
        <v/>
      </c>
      <c r="H62" s="490" t="str">
        <f t="shared" si="3"/>
        <v/>
      </c>
      <c r="I62" s="490" t="str">
        <f>IFERROR(IF(INDEX(Procesos!$A$1:$HZ$457,MATCH(Resumen!$A$3&amp;"     ITEM # "&amp;Resumen!G62,Procesos!$A:$A,0)+6,MATCH(Resumen!A62,Procesos!$2:$2,0)+6)=0,"",INDEX(Procesos!$A$1:$HZ$457,MATCH(Resumen!$A$3&amp;"     ITEM # "&amp;Resumen!G62,Procesos!$A:$A,0)+6,MATCH(Resumen!A62,Procesos!$2:$2,0)+6)),"")</f>
        <v/>
      </c>
    </row>
    <row r="63" spans="1:9" x14ac:dyDescent="0.25">
      <c r="A63" t="str">
        <f>IF(Pedidos!$BA64="Proceso",Pedidos!BB64,"")</f>
        <v/>
      </c>
      <c r="B63" t="str">
        <f>IF(Pedidos!$BA64="Proceso",Pedidos!BC64,"")</f>
        <v/>
      </c>
      <c r="C63" t="str">
        <f>IF(Pedidos!$BA64="Proceso",Pedidos!BD64,"")</f>
        <v/>
      </c>
      <c r="D63" s="490" t="str">
        <f>IF(Pedidos!$BA64="Proceso",Pedidos!BE64,"")</f>
        <v/>
      </c>
      <c r="E63" s="490" t="str">
        <f>IF($A63&lt;&gt;"",VLOOKUP($A63,Pedidos!$A$2:$I$9998,8,0),"")</f>
        <v/>
      </c>
      <c r="F63" s="490" t="str">
        <f>IF($A63&lt;&gt;"",VLOOKUP($A63,Pedidos!$A$2:$I$9998,9,0),"")</f>
        <v/>
      </c>
      <c r="H63" s="490" t="str">
        <f t="shared" si="3"/>
        <v/>
      </c>
      <c r="I63" s="490" t="str">
        <f>IFERROR(IF(INDEX(Procesos!$A$1:$HZ$457,MATCH(Resumen!$A$3&amp;"     ITEM # "&amp;Resumen!G63,Procesos!$A:$A,0)+6,MATCH(Resumen!A63,Procesos!$2:$2,0)+6)=0,"",INDEX(Procesos!$A$1:$HZ$457,MATCH(Resumen!$A$3&amp;"     ITEM # "&amp;Resumen!G63,Procesos!$A:$A,0)+6,MATCH(Resumen!A63,Procesos!$2:$2,0)+6)),"")</f>
        <v/>
      </c>
    </row>
    <row r="64" spans="1:9" x14ac:dyDescent="0.25">
      <c r="A64" t="str">
        <f>IF(Pedidos!$BA65="Proceso",Pedidos!BB65,"")</f>
        <v/>
      </c>
      <c r="B64" t="str">
        <f>IF(Pedidos!$BA65="Proceso",Pedidos!BC65,"")</f>
        <v/>
      </c>
      <c r="C64" t="str">
        <f>IF(Pedidos!$BA65="Proceso",Pedidos!BD65,"")</f>
        <v/>
      </c>
      <c r="D64" s="490" t="str">
        <f>IF(Pedidos!$BA65="Proceso",Pedidos!BE65,"")</f>
        <v/>
      </c>
      <c r="E64" s="490" t="str">
        <f>IF($A64&lt;&gt;"",VLOOKUP($A64,Pedidos!$A$2:$I$9998,8,0),"")</f>
        <v/>
      </c>
      <c r="F64" s="490" t="str">
        <f>IF($A64&lt;&gt;"",VLOOKUP($A64,Pedidos!$A$2:$I$9998,9,0),"")</f>
        <v/>
      </c>
      <c r="H64" s="490" t="str">
        <f t="shared" si="3"/>
        <v/>
      </c>
      <c r="I64" s="490" t="str">
        <f>IFERROR(IF(INDEX(Procesos!$A$1:$HZ$457,MATCH(Resumen!$A$3&amp;"     ITEM # "&amp;Resumen!G64,Procesos!$A:$A,0)+6,MATCH(Resumen!A64,Procesos!$2:$2,0)+6)=0,"",INDEX(Procesos!$A$1:$HZ$457,MATCH(Resumen!$A$3&amp;"     ITEM # "&amp;Resumen!G64,Procesos!$A:$A,0)+6,MATCH(Resumen!A64,Procesos!$2:$2,0)+6)),"")</f>
        <v/>
      </c>
    </row>
    <row r="65" spans="1:9" x14ac:dyDescent="0.25">
      <c r="A65" t="str">
        <f>IF(Pedidos!$BA66="Proceso",Pedidos!BB66,"")</f>
        <v/>
      </c>
      <c r="B65" t="str">
        <f>IF(Pedidos!$BA66="Proceso",Pedidos!BC66,"")</f>
        <v/>
      </c>
      <c r="C65" t="str">
        <f>IF(Pedidos!$BA66="Proceso",Pedidos!BD66,"")</f>
        <v/>
      </c>
      <c r="D65" s="490" t="str">
        <f>IF(Pedidos!$BA66="Proceso",Pedidos!BE66,"")</f>
        <v/>
      </c>
      <c r="E65" s="490" t="str">
        <f>IF($A65&lt;&gt;"",VLOOKUP($A65,Pedidos!$A$2:$I$9998,8,0),"")</f>
        <v/>
      </c>
      <c r="F65" s="490" t="str">
        <f>IF($A65&lt;&gt;"",VLOOKUP($A65,Pedidos!$A$2:$I$9998,9,0),"")</f>
        <v/>
      </c>
      <c r="H65" s="490" t="str">
        <f t="shared" si="3"/>
        <v/>
      </c>
      <c r="I65" s="490" t="str">
        <f>IFERROR(IF(INDEX(Procesos!$A$1:$HZ$457,MATCH(Resumen!$A$3&amp;"     ITEM # "&amp;Resumen!G65,Procesos!$A:$A,0)+6,MATCH(Resumen!A65,Procesos!$2:$2,0)+6)=0,"",INDEX(Procesos!$A$1:$HZ$457,MATCH(Resumen!$A$3&amp;"     ITEM # "&amp;Resumen!G65,Procesos!$A:$A,0)+6,MATCH(Resumen!A65,Procesos!$2:$2,0)+6)),"")</f>
        <v/>
      </c>
    </row>
    <row r="66" spans="1:9" x14ac:dyDescent="0.25">
      <c r="A66" t="str">
        <f>IF(Pedidos!$BA67="Proceso",Pedidos!BB67,"")</f>
        <v/>
      </c>
      <c r="B66" t="str">
        <f>IF(Pedidos!$BA67="Proceso",Pedidos!BC67,"")</f>
        <v/>
      </c>
      <c r="C66" t="str">
        <f>IF(Pedidos!$BA67="Proceso",Pedidos!BD67,"")</f>
        <v/>
      </c>
      <c r="D66" s="490" t="str">
        <f>IF(Pedidos!$BA67="Proceso",Pedidos!BE67,"")</f>
        <v/>
      </c>
      <c r="E66" s="490" t="str">
        <f>IF($A66&lt;&gt;"",VLOOKUP($A66,Pedidos!$A$2:$I$9998,8,0),"")</f>
        <v/>
      </c>
      <c r="F66" s="490" t="str">
        <f>IF($A66&lt;&gt;"",VLOOKUP($A66,Pedidos!$A$2:$I$9998,9,0),"")</f>
        <v/>
      </c>
      <c r="H66" s="490" t="str">
        <f t="shared" si="3"/>
        <v/>
      </c>
      <c r="I66" s="490" t="str">
        <f>IFERROR(IF(INDEX(Procesos!$A$1:$HZ$457,MATCH(Resumen!$A$3&amp;"     ITEM # "&amp;Resumen!G66,Procesos!$A:$A,0)+6,MATCH(Resumen!A66,Procesos!$2:$2,0)+6)=0,"",INDEX(Procesos!$A$1:$HZ$457,MATCH(Resumen!$A$3&amp;"     ITEM # "&amp;Resumen!G66,Procesos!$A:$A,0)+6,MATCH(Resumen!A66,Procesos!$2:$2,0)+6)),"")</f>
        <v/>
      </c>
    </row>
    <row r="67" spans="1:9" x14ac:dyDescent="0.25">
      <c r="A67" t="str">
        <f>IF(Pedidos!$BA68="Proceso",Pedidos!BB68,"")</f>
        <v/>
      </c>
      <c r="B67" t="str">
        <f>IF(Pedidos!$BA68="Proceso",Pedidos!BC68,"")</f>
        <v/>
      </c>
      <c r="C67" t="str">
        <f>IF(Pedidos!$BA68="Proceso",Pedidos!BD68,"")</f>
        <v/>
      </c>
      <c r="D67" s="490" t="str">
        <f>IF(Pedidos!$BA68="Proceso",Pedidos!BE68,"")</f>
        <v/>
      </c>
      <c r="E67" s="490" t="str">
        <f>IF($A67&lt;&gt;"",VLOOKUP($A67,Pedidos!$A$2:$I$9998,8,0),"")</f>
        <v/>
      </c>
      <c r="F67" s="490" t="str">
        <f>IF($A67&lt;&gt;"",VLOOKUP($A67,Pedidos!$A$2:$I$9998,9,0),"")</f>
        <v/>
      </c>
      <c r="H67" s="490" t="str">
        <f t="shared" si="3"/>
        <v/>
      </c>
      <c r="I67" s="490" t="str">
        <f>IFERROR(IF(INDEX(Procesos!$A$1:$HZ$457,MATCH(Resumen!$A$3&amp;"     ITEM # "&amp;Resumen!G67,Procesos!$A:$A,0)+6,MATCH(Resumen!A67,Procesos!$2:$2,0)+6)=0,"",INDEX(Procesos!$A$1:$HZ$457,MATCH(Resumen!$A$3&amp;"     ITEM # "&amp;Resumen!G67,Procesos!$A:$A,0)+6,MATCH(Resumen!A67,Procesos!$2:$2,0)+6)),"")</f>
        <v/>
      </c>
    </row>
    <row r="68" spans="1:9" x14ac:dyDescent="0.25">
      <c r="A68" t="str">
        <f>IF(Pedidos!$BA69="Proceso",Pedidos!BB69,"")</f>
        <v/>
      </c>
      <c r="B68" t="str">
        <f>IF(Pedidos!$BA69="Proceso",Pedidos!BC69,"")</f>
        <v/>
      </c>
      <c r="C68" t="str">
        <f>IF(Pedidos!$BA69="Proceso",Pedidos!BD69,"")</f>
        <v/>
      </c>
      <c r="D68" s="490" t="str">
        <f>IF(Pedidos!$BA69="Proceso",Pedidos!BE69,"")</f>
        <v/>
      </c>
      <c r="E68" s="490" t="str">
        <f>IF($A68&lt;&gt;"",VLOOKUP($A68,Pedidos!$A$2:$I$9998,8,0),"")</f>
        <v/>
      </c>
      <c r="F68" s="490" t="str">
        <f>IF($A68&lt;&gt;"",VLOOKUP($A68,Pedidos!$A$2:$I$9998,9,0),"")</f>
        <v/>
      </c>
      <c r="H68" s="490" t="str">
        <f t="shared" ref="H68:H131" si="4">IF(A68="","",A68&amp;"     ITEM # "&amp;G68)</f>
        <v/>
      </c>
      <c r="I68" s="490" t="str">
        <f>IFERROR(IF(INDEX(Procesos!$A$1:$HZ$457,MATCH(Resumen!$A$3&amp;"     ITEM # "&amp;Resumen!G68,Procesos!$A:$A,0)+6,MATCH(Resumen!A68,Procesos!$2:$2,0)+6)=0,"",INDEX(Procesos!$A$1:$HZ$457,MATCH(Resumen!$A$3&amp;"     ITEM # "&amp;Resumen!G68,Procesos!$A:$A,0)+6,MATCH(Resumen!A68,Procesos!$2:$2,0)+6)),"")</f>
        <v/>
      </c>
    </row>
    <row r="69" spans="1:9" x14ac:dyDescent="0.25">
      <c r="A69" t="str">
        <f>IF(Pedidos!$BA70="Proceso",Pedidos!BB70,"")</f>
        <v/>
      </c>
      <c r="B69" t="str">
        <f>IF(Pedidos!$BA70="Proceso",Pedidos!BC70,"")</f>
        <v/>
      </c>
      <c r="C69" t="str">
        <f>IF(Pedidos!$BA70="Proceso",Pedidos!BD70,"")</f>
        <v/>
      </c>
      <c r="D69" s="490" t="str">
        <f>IF(Pedidos!$BA70="Proceso",Pedidos!BE70,"")</f>
        <v/>
      </c>
      <c r="E69" s="490" t="str">
        <f>IF($A69&lt;&gt;"",VLOOKUP($A69,Pedidos!$A$2:$I$9998,8,0),"")</f>
        <v/>
      </c>
      <c r="F69" s="490" t="str">
        <f>IF($A69&lt;&gt;"",VLOOKUP($A69,Pedidos!$A$2:$I$9998,9,0),"")</f>
        <v/>
      </c>
      <c r="H69" s="490" t="str">
        <f t="shared" si="4"/>
        <v/>
      </c>
      <c r="I69" s="490" t="str">
        <f>IFERROR(IF(INDEX(Procesos!$A$1:$HZ$457,MATCH(Resumen!$A$3&amp;"     ITEM # "&amp;Resumen!G69,Procesos!$A:$A,0)+6,MATCH(Resumen!A69,Procesos!$2:$2,0)+6)=0,"",INDEX(Procesos!$A$1:$HZ$457,MATCH(Resumen!$A$3&amp;"     ITEM # "&amp;Resumen!G69,Procesos!$A:$A,0)+6,MATCH(Resumen!A69,Procesos!$2:$2,0)+6)),"")</f>
        <v/>
      </c>
    </row>
    <row r="70" spans="1:9" x14ac:dyDescent="0.25">
      <c r="A70" t="str">
        <f>IF(Pedidos!$BA71="Proceso",Pedidos!BB71,"")</f>
        <v/>
      </c>
      <c r="B70" t="str">
        <f>IF(Pedidos!$BA71="Proceso",Pedidos!BC71,"")</f>
        <v/>
      </c>
      <c r="C70" t="str">
        <f>IF(Pedidos!$BA71="Proceso",Pedidos!BD71,"")</f>
        <v/>
      </c>
      <c r="D70" s="490" t="str">
        <f>IF(Pedidos!$BA71="Proceso",Pedidos!BE71,"")</f>
        <v/>
      </c>
      <c r="E70" s="490" t="str">
        <f>IF($A70&lt;&gt;"",VLOOKUP($A70,Pedidos!$A$2:$I$9998,8,0),"")</f>
        <v/>
      </c>
      <c r="F70" s="490" t="str">
        <f>IF($A70&lt;&gt;"",VLOOKUP($A70,Pedidos!$A$2:$I$9998,9,0),"")</f>
        <v/>
      </c>
      <c r="H70" s="490" t="str">
        <f t="shared" si="4"/>
        <v/>
      </c>
      <c r="I70" s="490" t="str">
        <f>IFERROR(IF(INDEX(Procesos!$A$1:$HZ$457,MATCH(Resumen!$A$3&amp;"     ITEM # "&amp;Resumen!G70,Procesos!$A:$A,0)+6,MATCH(Resumen!A70,Procesos!$2:$2,0)+6)=0,"",INDEX(Procesos!$A$1:$HZ$457,MATCH(Resumen!$A$3&amp;"     ITEM # "&amp;Resumen!G70,Procesos!$A:$A,0)+6,MATCH(Resumen!A70,Procesos!$2:$2,0)+6)),"")</f>
        <v/>
      </c>
    </row>
    <row r="71" spans="1:9" x14ac:dyDescent="0.25">
      <c r="A71" t="str">
        <f>IF(Pedidos!$BA72="Proceso",Pedidos!BB72,"")</f>
        <v/>
      </c>
      <c r="B71" t="str">
        <f>IF(Pedidos!$BA72="Proceso",Pedidos!BC72,"")</f>
        <v/>
      </c>
      <c r="C71" t="str">
        <f>IF(Pedidos!$BA72="Proceso",Pedidos!BD72,"")</f>
        <v/>
      </c>
      <c r="D71" s="490" t="str">
        <f>IF(Pedidos!$BA72="Proceso",Pedidos!BE72,"")</f>
        <v/>
      </c>
      <c r="E71" s="490" t="str">
        <f>IF($A71&lt;&gt;"",VLOOKUP($A71,Pedidos!$A$2:$I$9998,8,0),"")</f>
        <v/>
      </c>
      <c r="F71" s="490" t="str">
        <f>IF($A71&lt;&gt;"",VLOOKUP($A71,Pedidos!$A$2:$I$9998,9,0),"")</f>
        <v/>
      </c>
      <c r="H71" s="490" t="str">
        <f t="shared" si="4"/>
        <v/>
      </c>
      <c r="I71" s="490" t="str">
        <f>IFERROR(IF(INDEX(Procesos!$A$1:$HZ$457,MATCH(Resumen!$A$3&amp;"     ITEM # "&amp;Resumen!G71,Procesos!$A:$A,0)+6,MATCH(Resumen!A71,Procesos!$2:$2,0)+6)=0,"",INDEX(Procesos!$A$1:$HZ$457,MATCH(Resumen!$A$3&amp;"     ITEM # "&amp;Resumen!G71,Procesos!$A:$A,0)+6,MATCH(Resumen!A71,Procesos!$2:$2,0)+6)),"")</f>
        <v/>
      </c>
    </row>
    <row r="72" spans="1:9" x14ac:dyDescent="0.25">
      <c r="A72" t="str">
        <f>IF(Pedidos!$BA73="Proceso",Pedidos!BB73,"")</f>
        <v/>
      </c>
      <c r="B72" t="str">
        <f>IF(Pedidos!$BA73="Proceso",Pedidos!BC73,"")</f>
        <v/>
      </c>
      <c r="C72" t="str">
        <f>IF(Pedidos!$BA73="Proceso",Pedidos!BD73,"")</f>
        <v/>
      </c>
      <c r="D72" s="490" t="str">
        <f>IF(Pedidos!$BA73="Proceso",Pedidos!BE73,"")</f>
        <v/>
      </c>
      <c r="E72" s="490" t="str">
        <f>IF($A72&lt;&gt;"",VLOOKUP($A72,Pedidos!$A$2:$I$9998,8,0),"")</f>
        <v/>
      </c>
      <c r="F72" s="490" t="str">
        <f>IF($A72&lt;&gt;"",VLOOKUP($A72,Pedidos!$A$2:$I$9998,9,0),"")</f>
        <v/>
      </c>
      <c r="H72" s="490" t="str">
        <f t="shared" si="4"/>
        <v/>
      </c>
      <c r="I72" s="490" t="str">
        <f>IFERROR(IF(INDEX(Procesos!$A$1:$HZ$457,MATCH(Resumen!$A$3&amp;"     ITEM # "&amp;Resumen!G72,Procesos!$A:$A,0)+6,MATCH(Resumen!A72,Procesos!$2:$2,0)+6)=0,"",INDEX(Procesos!$A$1:$HZ$457,MATCH(Resumen!$A$3&amp;"     ITEM # "&amp;Resumen!G72,Procesos!$A:$A,0)+6,MATCH(Resumen!A72,Procesos!$2:$2,0)+6)),"")</f>
        <v/>
      </c>
    </row>
    <row r="73" spans="1:9" x14ac:dyDescent="0.25">
      <c r="A73" t="str">
        <f>IF(Pedidos!$BA74="Proceso",Pedidos!BB74,"")</f>
        <v/>
      </c>
      <c r="B73" t="str">
        <f>IF(Pedidos!$BA74="Proceso",Pedidos!BC74,"")</f>
        <v/>
      </c>
      <c r="C73" t="str">
        <f>IF(Pedidos!$BA74="Proceso",Pedidos!BD74,"")</f>
        <v/>
      </c>
      <c r="D73" s="490" t="str">
        <f>IF(Pedidos!$BA74="Proceso",Pedidos!BE74,"")</f>
        <v/>
      </c>
      <c r="E73" s="490" t="str">
        <f>IF($A73&lt;&gt;"",VLOOKUP($A73,Pedidos!$A$2:$I$9998,8,0),"")</f>
        <v/>
      </c>
      <c r="F73" s="490" t="str">
        <f>IF($A73&lt;&gt;"",VLOOKUP($A73,Pedidos!$A$2:$I$9998,9,0),"")</f>
        <v/>
      </c>
      <c r="H73" s="490" t="str">
        <f t="shared" si="4"/>
        <v/>
      </c>
      <c r="I73" s="490" t="str">
        <f>IFERROR(IF(INDEX(Procesos!$A$1:$HZ$457,MATCH(Resumen!$A$3&amp;"     ITEM # "&amp;Resumen!G73,Procesos!$A:$A,0)+6,MATCH(Resumen!A73,Procesos!$2:$2,0)+6)=0,"",INDEX(Procesos!$A$1:$HZ$457,MATCH(Resumen!$A$3&amp;"     ITEM # "&amp;Resumen!G73,Procesos!$A:$A,0)+6,MATCH(Resumen!A73,Procesos!$2:$2,0)+6)),"")</f>
        <v/>
      </c>
    </row>
    <row r="74" spans="1:9" x14ac:dyDescent="0.25">
      <c r="A74" t="str">
        <f>IF(Pedidos!$BA75="Proceso",Pedidos!BB75,"")</f>
        <v/>
      </c>
      <c r="B74" t="str">
        <f>IF(Pedidos!$BA75="Proceso",Pedidos!BC75,"")</f>
        <v/>
      </c>
      <c r="C74" t="str">
        <f>IF(Pedidos!$BA75="Proceso",Pedidos!BD75,"")</f>
        <v/>
      </c>
      <c r="D74" s="490" t="str">
        <f>IF(Pedidos!$BA75="Proceso",Pedidos!BE75,"")</f>
        <v/>
      </c>
      <c r="E74" s="490" t="str">
        <f>IF($A74&lt;&gt;"",VLOOKUP($A74,Pedidos!$A$2:$I$9998,8,0),"")</f>
        <v/>
      </c>
      <c r="F74" s="490" t="str">
        <f>IF($A74&lt;&gt;"",VLOOKUP($A74,Pedidos!$A$2:$I$9998,9,0),"")</f>
        <v/>
      </c>
      <c r="H74" s="490" t="str">
        <f t="shared" si="4"/>
        <v/>
      </c>
      <c r="I74" s="490" t="str">
        <f>IFERROR(IF(INDEX(Procesos!$A$1:$HZ$457,MATCH(Resumen!$A$3&amp;"     ITEM # "&amp;Resumen!G74,Procesos!$A:$A,0)+6,MATCH(Resumen!A74,Procesos!$2:$2,0)+6)=0,"",INDEX(Procesos!$A$1:$HZ$457,MATCH(Resumen!$A$3&amp;"     ITEM # "&amp;Resumen!G74,Procesos!$A:$A,0)+6,MATCH(Resumen!A74,Procesos!$2:$2,0)+6)),"")</f>
        <v/>
      </c>
    </row>
    <row r="75" spans="1:9" x14ac:dyDescent="0.25">
      <c r="A75" t="str">
        <f>IF(Pedidos!$BA76="Proceso",Pedidos!BB76,"")</f>
        <v/>
      </c>
      <c r="B75" t="str">
        <f>IF(Pedidos!$BA76="Proceso",Pedidos!BC76,"")</f>
        <v/>
      </c>
      <c r="C75" t="str">
        <f>IF(Pedidos!$BA76="Proceso",Pedidos!BD76,"")</f>
        <v/>
      </c>
      <c r="D75" s="490" t="str">
        <f>IF(Pedidos!$BA76="Proceso",Pedidos!BE76,"")</f>
        <v/>
      </c>
      <c r="E75" s="490" t="str">
        <f>IF($A75&lt;&gt;"",VLOOKUP($A75,Pedidos!$A$2:$I$9998,8,0),"")</f>
        <v/>
      </c>
      <c r="F75" s="490" t="str">
        <f>IF($A75&lt;&gt;"",VLOOKUP($A75,Pedidos!$A$2:$I$9998,9,0),"")</f>
        <v/>
      </c>
      <c r="H75" s="490" t="str">
        <f t="shared" si="4"/>
        <v/>
      </c>
      <c r="I75" s="490" t="str">
        <f>IFERROR(IF(INDEX(Procesos!$A$1:$HZ$457,MATCH(Resumen!$A$3&amp;"     ITEM # "&amp;Resumen!G75,Procesos!$A:$A,0)+6,MATCH(Resumen!A75,Procesos!$2:$2,0)+6)=0,"",INDEX(Procesos!$A$1:$HZ$457,MATCH(Resumen!$A$3&amp;"     ITEM # "&amp;Resumen!G75,Procesos!$A:$A,0)+6,MATCH(Resumen!A75,Procesos!$2:$2,0)+6)),"")</f>
        <v/>
      </c>
    </row>
    <row r="76" spans="1:9" x14ac:dyDescent="0.25">
      <c r="A76" t="str">
        <f>IF(Pedidos!$BA77="Proceso",Pedidos!BB77,"")</f>
        <v/>
      </c>
      <c r="B76" t="str">
        <f>IF(Pedidos!$BA77="Proceso",Pedidos!BC77,"")</f>
        <v/>
      </c>
      <c r="C76" t="str">
        <f>IF(Pedidos!$BA77="Proceso",Pedidos!BD77,"")</f>
        <v/>
      </c>
      <c r="D76" s="490" t="str">
        <f>IF(Pedidos!$BA77="Proceso",Pedidos!BE77,"")</f>
        <v/>
      </c>
      <c r="E76" s="490" t="str">
        <f>IF($A76&lt;&gt;"",VLOOKUP($A76,Pedidos!$A$2:$I$9998,8,0),"")</f>
        <v/>
      </c>
      <c r="F76" s="490" t="str">
        <f>IF($A76&lt;&gt;"",VLOOKUP($A76,Pedidos!$A$2:$I$9998,9,0),"")</f>
        <v/>
      </c>
      <c r="H76" s="490" t="str">
        <f t="shared" si="4"/>
        <v/>
      </c>
      <c r="I76" s="490" t="str">
        <f>IFERROR(IF(INDEX(Procesos!$A$1:$HZ$457,MATCH(Resumen!$A$3&amp;"     ITEM # "&amp;Resumen!G76,Procesos!$A:$A,0)+6,MATCH(Resumen!A76,Procesos!$2:$2,0)+6)=0,"",INDEX(Procesos!$A$1:$HZ$457,MATCH(Resumen!$A$3&amp;"     ITEM # "&amp;Resumen!G76,Procesos!$A:$A,0)+6,MATCH(Resumen!A76,Procesos!$2:$2,0)+6)),"")</f>
        <v/>
      </c>
    </row>
    <row r="77" spans="1:9" x14ac:dyDescent="0.25">
      <c r="A77" t="str">
        <f>IF(Pedidos!$BA78="Proceso",Pedidos!BB78,"")</f>
        <v/>
      </c>
      <c r="B77" t="str">
        <f>IF(Pedidos!$BA78="Proceso",Pedidos!BC78,"")</f>
        <v/>
      </c>
      <c r="C77" t="str">
        <f>IF(Pedidos!$BA78="Proceso",Pedidos!BD78,"")</f>
        <v/>
      </c>
      <c r="D77" s="490" t="str">
        <f>IF(Pedidos!$BA78="Proceso",Pedidos!BE78,"")</f>
        <v/>
      </c>
      <c r="E77" s="490" t="str">
        <f>IF($A77&lt;&gt;"",VLOOKUP($A77,Pedidos!$A$2:$I$9998,8,0),"")</f>
        <v/>
      </c>
      <c r="F77" s="490" t="str">
        <f>IF($A77&lt;&gt;"",VLOOKUP($A77,Pedidos!$A$2:$I$9998,9,0),"")</f>
        <v/>
      </c>
      <c r="H77" s="490" t="str">
        <f t="shared" si="4"/>
        <v/>
      </c>
      <c r="I77" s="490" t="str">
        <f>IFERROR(IF(INDEX(Procesos!$A$1:$HZ$457,MATCH(Resumen!$A$3&amp;"     ITEM # "&amp;Resumen!G77,Procesos!$A:$A,0)+6,MATCH(Resumen!A77,Procesos!$2:$2,0)+6)=0,"",INDEX(Procesos!$A$1:$HZ$457,MATCH(Resumen!$A$3&amp;"     ITEM # "&amp;Resumen!G77,Procesos!$A:$A,0)+6,MATCH(Resumen!A77,Procesos!$2:$2,0)+6)),"")</f>
        <v/>
      </c>
    </row>
    <row r="78" spans="1:9" x14ac:dyDescent="0.25">
      <c r="A78" t="str">
        <f>IF(Pedidos!$BA79="Proceso",Pedidos!BB79,"")</f>
        <v/>
      </c>
      <c r="B78" t="str">
        <f>IF(Pedidos!$BA79="Proceso",Pedidos!BC79,"")</f>
        <v/>
      </c>
      <c r="C78" t="str">
        <f>IF(Pedidos!$BA79="Proceso",Pedidos!BD79,"")</f>
        <v/>
      </c>
      <c r="D78" s="490" t="str">
        <f>IF(Pedidos!$BA79="Proceso",Pedidos!BE79,"")</f>
        <v/>
      </c>
      <c r="E78" s="490" t="str">
        <f>IF($A78&lt;&gt;"",VLOOKUP($A78,Pedidos!$A$2:$I$9998,8,0),"")</f>
        <v/>
      </c>
      <c r="F78" s="490" t="str">
        <f>IF($A78&lt;&gt;"",VLOOKUP($A78,Pedidos!$A$2:$I$9998,9,0),"")</f>
        <v/>
      </c>
      <c r="H78" s="490" t="str">
        <f t="shared" si="4"/>
        <v/>
      </c>
      <c r="I78" s="490" t="str">
        <f>IFERROR(IF(INDEX(Procesos!$A$1:$HZ$457,MATCH(Resumen!$A$3&amp;"     ITEM # "&amp;Resumen!G78,Procesos!$A:$A,0)+6,MATCH(Resumen!A78,Procesos!$2:$2,0)+6)=0,"",INDEX(Procesos!$A$1:$HZ$457,MATCH(Resumen!$A$3&amp;"     ITEM # "&amp;Resumen!G78,Procesos!$A:$A,0)+6,MATCH(Resumen!A78,Procesos!$2:$2,0)+6)),"")</f>
        <v/>
      </c>
    </row>
    <row r="79" spans="1:9" x14ac:dyDescent="0.25">
      <c r="A79" t="str">
        <f>IF(Pedidos!$BA80="Proceso",Pedidos!BB80,"")</f>
        <v/>
      </c>
      <c r="B79" t="str">
        <f>IF(Pedidos!$BA80="Proceso",Pedidos!BC80,"")</f>
        <v/>
      </c>
      <c r="C79" t="str">
        <f>IF(Pedidos!$BA80="Proceso",Pedidos!BD80,"")</f>
        <v/>
      </c>
      <c r="D79" s="490" t="str">
        <f>IF(Pedidos!$BA80="Proceso",Pedidos!BE80,"")</f>
        <v/>
      </c>
      <c r="E79" s="490" t="str">
        <f>IF($A79&lt;&gt;"",VLOOKUP($A79,Pedidos!$A$2:$I$9998,8,0),"")</f>
        <v/>
      </c>
      <c r="F79" s="490" t="str">
        <f>IF($A79&lt;&gt;"",VLOOKUP($A79,Pedidos!$A$2:$I$9998,9,0),"")</f>
        <v/>
      </c>
      <c r="H79" s="490" t="str">
        <f t="shared" si="4"/>
        <v/>
      </c>
      <c r="I79" s="490" t="str">
        <f>IFERROR(IF(INDEX(Procesos!$A$1:$HZ$457,MATCH(Resumen!$A$3&amp;"     ITEM # "&amp;Resumen!G79,Procesos!$A:$A,0)+6,MATCH(Resumen!A79,Procesos!$2:$2,0)+6)=0,"",INDEX(Procesos!$A$1:$HZ$457,MATCH(Resumen!$A$3&amp;"     ITEM # "&amp;Resumen!G79,Procesos!$A:$A,0)+6,MATCH(Resumen!A79,Procesos!$2:$2,0)+6)),"")</f>
        <v/>
      </c>
    </row>
    <row r="80" spans="1:9" x14ac:dyDescent="0.25">
      <c r="A80" t="str">
        <f>IF(Pedidos!$BA81="Proceso",Pedidos!BB81,"")</f>
        <v/>
      </c>
      <c r="B80" t="str">
        <f>IF(Pedidos!$BA81="Proceso",Pedidos!BC81,"")</f>
        <v/>
      </c>
      <c r="C80" t="str">
        <f>IF(Pedidos!$BA81="Proceso",Pedidos!BD81,"")</f>
        <v/>
      </c>
      <c r="D80" s="490" t="str">
        <f>IF(Pedidos!$BA81="Proceso",Pedidos!BE81,"")</f>
        <v/>
      </c>
      <c r="E80" s="490" t="str">
        <f>IF($A80&lt;&gt;"",VLOOKUP($A80,Pedidos!$A$2:$I$9998,8,0),"")</f>
        <v/>
      </c>
      <c r="F80" s="490" t="str">
        <f>IF($A80&lt;&gt;"",VLOOKUP($A80,Pedidos!$A$2:$I$9998,9,0),"")</f>
        <v/>
      </c>
      <c r="H80" s="490" t="str">
        <f t="shared" si="4"/>
        <v/>
      </c>
      <c r="I80" s="490" t="str">
        <f>IFERROR(IF(INDEX(Procesos!$A$1:$HZ$457,MATCH(Resumen!$A$3&amp;"     ITEM # "&amp;Resumen!G80,Procesos!$A:$A,0)+6,MATCH(Resumen!A80,Procesos!$2:$2,0)+6)=0,"",INDEX(Procesos!$A$1:$HZ$457,MATCH(Resumen!$A$3&amp;"     ITEM # "&amp;Resumen!G80,Procesos!$A:$A,0)+6,MATCH(Resumen!A80,Procesos!$2:$2,0)+6)),"")</f>
        <v/>
      </c>
    </row>
    <row r="81" spans="1:9" x14ac:dyDescent="0.25">
      <c r="A81" t="str">
        <f>IF(Pedidos!$BA82="Proceso",Pedidos!BB82,"")</f>
        <v/>
      </c>
      <c r="B81" t="str">
        <f>IF(Pedidos!$BA82="Proceso",Pedidos!BC82,"")</f>
        <v/>
      </c>
      <c r="C81" t="str">
        <f>IF(Pedidos!$BA82="Proceso",Pedidos!BD82,"")</f>
        <v/>
      </c>
      <c r="D81" s="490" t="str">
        <f>IF(Pedidos!$BA82="Proceso",Pedidos!BE82,"")</f>
        <v/>
      </c>
      <c r="E81" s="490" t="str">
        <f>IF($A81&lt;&gt;"",VLOOKUP($A81,Pedidos!$A$2:$I$9998,8,0),"")</f>
        <v/>
      </c>
      <c r="F81" s="490" t="str">
        <f>IF($A81&lt;&gt;"",VLOOKUP($A81,Pedidos!$A$2:$I$9998,9,0),"")</f>
        <v/>
      </c>
      <c r="H81" s="490" t="str">
        <f t="shared" si="4"/>
        <v/>
      </c>
      <c r="I81" s="490" t="str">
        <f>IFERROR(IF(INDEX(Procesos!$A$1:$HZ$457,MATCH(Resumen!$A$3&amp;"     ITEM # "&amp;Resumen!G81,Procesos!$A:$A,0)+6,MATCH(Resumen!A81,Procesos!$2:$2,0)+6)=0,"",INDEX(Procesos!$A$1:$HZ$457,MATCH(Resumen!$A$3&amp;"     ITEM # "&amp;Resumen!G81,Procesos!$A:$A,0)+6,MATCH(Resumen!A81,Procesos!$2:$2,0)+6)),"")</f>
        <v/>
      </c>
    </row>
    <row r="82" spans="1:9" x14ac:dyDescent="0.25">
      <c r="A82" t="str">
        <f>IF(Pedidos!$BA83="Proceso",Pedidos!BB83,"")</f>
        <v/>
      </c>
      <c r="B82" t="str">
        <f>IF(Pedidos!$BA83="Proceso",Pedidos!BC83,"")</f>
        <v/>
      </c>
      <c r="C82" t="str">
        <f>IF(Pedidos!$BA83="Proceso",Pedidos!BD83,"")</f>
        <v/>
      </c>
      <c r="D82" s="490" t="str">
        <f>IF(Pedidos!$BA83="Proceso",Pedidos!BE83,"")</f>
        <v/>
      </c>
      <c r="E82" s="490" t="str">
        <f>IF($A82&lt;&gt;"",VLOOKUP($A82,Pedidos!$A$2:$I$9998,8,0),"")</f>
        <v/>
      </c>
      <c r="F82" s="490" t="str">
        <f>IF($A82&lt;&gt;"",VLOOKUP($A82,Pedidos!$A$2:$I$9998,9,0),"")</f>
        <v/>
      </c>
      <c r="H82" s="490" t="str">
        <f t="shared" si="4"/>
        <v/>
      </c>
      <c r="I82" s="490" t="str">
        <f>IFERROR(IF(INDEX(Procesos!$A$1:$HZ$457,MATCH(Resumen!$A$3&amp;"     ITEM # "&amp;Resumen!G82,Procesos!$A:$A,0)+6,MATCH(Resumen!A82,Procesos!$2:$2,0)+6)=0,"",INDEX(Procesos!$A$1:$HZ$457,MATCH(Resumen!$A$3&amp;"     ITEM # "&amp;Resumen!G82,Procesos!$A:$A,0)+6,MATCH(Resumen!A82,Procesos!$2:$2,0)+6)),"")</f>
        <v/>
      </c>
    </row>
    <row r="83" spans="1:9" x14ac:dyDescent="0.25">
      <c r="A83" t="str">
        <f>IF(Pedidos!$BA84="Proceso",Pedidos!BB84,"")</f>
        <v/>
      </c>
      <c r="B83" t="str">
        <f>IF(Pedidos!$BA84="Proceso",Pedidos!BC84,"")</f>
        <v/>
      </c>
      <c r="C83" t="str">
        <f>IF(Pedidos!$BA84="Proceso",Pedidos!BD84,"")</f>
        <v/>
      </c>
      <c r="D83" s="490" t="str">
        <f>IF(Pedidos!$BA84="Proceso",Pedidos!BE84,"")</f>
        <v/>
      </c>
      <c r="E83" s="490" t="str">
        <f>IF($A83&lt;&gt;"",VLOOKUP($A83,Pedidos!$A$2:$I$9998,8,0),"")</f>
        <v/>
      </c>
      <c r="F83" s="490" t="str">
        <f>IF($A83&lt;&gt;"",VLOOKUP($A83,Pedidos!$A$2:$I$9998,9,0),"")</f>
        <v/>
      </c>
      <c r="H83" s="490" t="str">
        <f t="shared" si="4"/>
        <v/>
      </c>
      <c r="I83" s="490" t="str">
        <f>IFERROR(IF(INDEX(Procesos!$A$1:$HZ$457,MATCH(Resumen!$A$3&amp;"     ITEM # "&amp;Resumen!G83,Procesos!$A:$A,0)+6,MATCH(Resumen!A83,Procesos!$2:$2,0)+6)=0,"",INDEX(Procesos!$A$1:$HZ$457,MATCH(Resumen!$A$3&amp;"     ITEM # "&amp;Resumen!G83,Procesos!$A:$A,0)+6,MATCH(Resumen!A83,Procesos!$2:$2,0)+6)),"")</f>
        <v/>
      </c>
    </row>
    <row r="84" spans="1:9" x14ac:dyDescent="0.25">
      <c r="A84" t="str">
        <f>IF(Pedidos!$BA85="Proceso",Pedidos!BB85,"")</f>
        <v/>
      </c>
      <c r="B84" t="str">
        <f>IF(Pedidos!$BA85="Proceso",Pedidos!BC85,"")</f>
        <v/>
      </c>
      <c r="C84" t="str">
        <f>IF(Pedidos!$BA85="Proceso",Pedidos!BD85,"")</f>
        <v/>
      </c>
      <c r="D84" s="490" t="str">
        <f>IF(Pedidos!$BA85="Proceso",Pedidos!BE85,"")</f>
        <v/>
      </c>
      <c r="E84" s="490" t="str">
        <f>IF($A84&lt;&gt;"",VLOOKUP($A84,Pedidos!$A$2:$I$9998,8,0),"")</f>
        <v/>
      </c>
      <c r="F84" s="490" t="str">
        <f>IF($A84&lt;&gt;"",VLOOKUP($A84,Pedidos!$A$2:$I$9998,9,0),"")</f>
        <v/>
      </c>
      <c r="H84" s="490" t="str">
        <f t="shared" si="4"/>
        <v/>
      </c>
      <c r="I84" s="490" t="str">
        <f>IFERROR(IF(INDEX(Procesos!$A$1:$HZ$457,MATCH(Resumen!$A$3&amp;"     ITEM # "&amp;Resumen!G84,Procesos!$A:$A,0)+6,MATCH(Resumen!A84,Procesos!$2:$2,0)+6)=0,"",INDEX(Procesos!$A$1:$HZ$457,MATCH(Resumen!$A$3&amp;"     ITEM # "&amp;Resumen!G84,Procesos!$A:$A,0)+6,MATCH(Resumen!A84,Procesos!$2:$2,0)+6)),"")</f>
        <v/>
      </c>
    </row>
    <row r="85" spans="1:9" x14ac:dyDescent="0.25">
      <c r="A85" t="str">
        <f>IF(Pedidos!$BA86="Proceso",Pedidos!BB86,"")</f>
        <v/>
      </c>
      <c r="B85" t="str">
        <f>IF(Pedidos!$BA86="Proceso",Pedidos!BC86,"")</f>
        <v/>
      </c>
      <c r="C85" t="str">
        <f>IF(Pedidos!$BA86="Proceso",Pedidos!BD86,"")</f>
        <v/>
      </c>
      <c r="D85" s="490" t="str">
        <f>IF(Pedidos!$BA86="Proceso",Pedidos!BE86,"")</f>
        <v/>
      </c>
      <c r="E85" s="490" t="str">
        <f>IF($A85&lt;&gt;"",VLOOKUP($A85,Pedidos!$A$2:$I$9998,8,0),"")</f>
        <v/>
      </c>
      <c r="F85" s="490" t="str">
        <f>IF($A85&lt;&gt;"",VLOOKUP($A85,Pedidos!$A$2:$I$9998,9,0),"")</f>
        <v/>
      </c>
      <c r="H85" s="490" t="str">
        <f t="shared" si="4"/>
        <v/>
      </c>
      <c r="I85" s="490" t="str">
        <f>IFERROR(IF(INDEX(Procesos!$A$1:$HZ$457,MATCH(Resumen!$A$3&amp;"     ITEM # "&amp;Resumen!G85,Procesos!$A:$A,0)+6,MATCH(Resumen!A85,Procesos!$2:$2,0)+6)=0,"",INDEX(Procesos!$A$1:$HZ$457,MATCH(Resumen!$A$3&amp;"     ITEM # "&amp;Resumen!G85,Procesos!$A:$A,0)+6,MATCH(Resumen!A85,Procesos!$2:$2,0)+6)),"")</f>
        <v/>
      </c>
    </row>
    <row r="86" spans="1:9" x14ac:dyDescent="0.25">
      <c r="A86" t="str">
        <f>IF(Pedidos!$BA87="Proceso",Pedidos!BB87,"")</f>
        <v/>
      </c>
      <c r="B86" t="str">
        <f>IF(Pedidos!$BA87="Proceso",Pedidos!BC87,"")</f>
        <v/>
      </c>
      <c r="C86" t="str">
        <f>IF(Pedidos!$BA87="Proceso",Pedidos!BD87,"")</f>
        <v/>
      </c>
      <c r="D86" s="490" t="str">
        <f>IF(Pedidos!$BA87="Proceso",Pedidos!BE87,"")</f>
        <v/>
      </c>
      <c r="E86" s="490" t="str">
        <f>IF($A86&lt;&gt;"",VLOOKUP($A86,Pedidos!$A$2:$I$9998,8,0),"")</f>
        <v/>
      </c>
      <c r="F86" s="490" t="str">
        <f>IF($A86&lt;&gt;"",VLOOKUP($A86,Pedidos!$A$2:$I$9998,9,0),"")</f>
        <v/>
      </c>
      <c r="H86" s="490" t="str">
        <f t="shared" si="4"/>
        <v/>
      </c>
      <c r="I86" s="490" t="str">
        <f>IFERROR(IF(INDEX(Procesos!$A$1:$HZ$457,MATCH(Resumen!$A$3&amp;"     ITEM # "&amp;Resumen!G86,Procesos!$A:$A,0)+6,MATCH(Resumen!A86,Procesos!$2:$2,0)+6)=0,"",INDEX(Procesos!$A$1:$HZ$457,MATCH(Resumen!$A$3&amp;"     ITEM # "&amp;Resumen!G86,Procesos!$A:$A,0)+6,MATCH(Resumen!A86,Procesos!$2:$2,0)+6)),"")</f>
        <v/>
      </c>
    </row>
    <row r="87" spans="1:9" x14ac:dyDescent="0.25">
      <c r="A87" t="str">
        <f>IF(Pedidos!$BA88="Proceso",Pedidos!BB88,"")</f>
        <v/>
      </c>
      <c r="B87" t="str">
        <f>IF(Pedidos!$BA88="Proceso",Pedidos!BC88,"")</f>
        <v/>
      </c>
      <c r="C87" t="str">
        <f>IF(Pedidos!$BA88="Proceso",Pedidos!BD88,"")</f>
        <v/>
      </c>
      <c r="D87" s="490" t="str">
        <f>IF(Pedidos!$BA88="Proceso",Pedidos!BE88,"")</f>
        <v/>
      </c>
      <c r="E87" s="490" t="str">
        <f>IF($A87&lt;&gt;"",VLOOKUP($A87,Pedidos!$A$2:$I$9998,8,0),"")</f>
        <v/>
      </c>
      <c r="F87" s="490" t="str">
        <f>IF($A87&lt;&gt;"",VLOOKUP($A87,Pedidos!$A$2:$I$9998,9,0),"")</f>
        <v/>
      </c>
      <c r="H87" s="490" t="str">
        <f t="shared" si="4"/>
        <v/>
      </c>
      <c r="I87" s="490" t="str">
        <f>IFERROR(IF(INDEX(Procesos!$A$1:$HZ$457,MATCH(Resumen!$A$3&amp;"     ITEM # "&amp;Resumen!G87,Procesos!$A:$A,0)+6,MATCH(Resumen!A87,Procesos!$2:$2,0)+6)=0,"",INDEX(Procesos!$A$1:$HZ$457,MATCH(Resumen!$A$3&amp;"     ITEM # "&amp;Resumen!G87,Procesos!$A:$A,0)+6,MATCH(Resumen!A87,Procesos!$2:$2,0)+6)),"")</f>
        <v/>
      </c>
    </row>
    <row r="88" spans="1:9" x14ac:dyDescent="0.25">
      <c r="A88" t="str">
        <f>IF(Pedidos!$BA89="Proceso",Pedidos!BB89,"")</f>
        <v/>
      </c>
      <c r="B88" t="str">
        <f>IF(Pedidos!$BA89="Proceso",Pedidos!BC89,"")</f>
        <v/>
      </c>
      <c r="C88" t="str">
        <f>IF(Pedidos!$BA89="Proceso",Pedidos!BD89,"")</f>
        <v/>
      </c>
      <c r="D88" s="490" t="str">
        <f>IF(Pedidos!$BA89="Proceso",Pedidos!BE89,"")</f>
        <v/>
      </c>
      <c r="E88" s="490" t="str">
        <f>IF($A88&lt;&gt;"",VLOOKUP($A88,Pedidos!$A$2:$I$9998,8,0),"")</f>
        <v/>
      </c>
      <c r="F88" s="490" t="str">
        <f>IF($A88&lt;&gt;"",VLOOKUP($A88,Pedidos!$A$2:$I$9998,9,0),"")</f>
        <v/>
      </c>
      <c r="H88" s="490" t="str">
        <f t="shared" si="4"/>
        <v/>
      </c>
      <c r="I88" s="490" t="str">
        <f>IFERROR(IF(INDEX(Procesos!$A$1:$HZ$457,MATCH(Resumen!$A$3&amp;"     ITEM # "&amp;Resumen!G88,Procesos!$A:$A,0)+6,MATCH(Resumen!A88,Procesos!$2:$2,0)+6)=0,"",INDEX(Procesos!$A$1:$HZ$457,MATCH(Resumen!$A$3&amp;"     ITEM # "&amp;Resumen!G88,Procesos!$A:$A,0)+6,MATCH(Resumen!A88,Procesos!$2:$2,0)+6)),"")</f>
        <v/>
      </c>
    </row>
    <row r="89" spans="1:9" x14ac:dyDescent="0.25">
      <c r="A89" t="str">
        <f>IF(Pedidos!$BA90="Proceso",Pedidos!BB90,"")</f>
        <v/>
      </c>
      <c r="B89" t="str">
        <f>IF(Pedidos!$BA90="Proceso",Pedidos!BC90,"")</f>
        <v/>
      </c>
      <c r="C89" t="str">
        <f>IF(Pedidos!$BA90="Proceso",Pedidos!BD90,"")</f>
        <v/>
      </c>
      <c r="D89" s="490" t="str">
        <f>IF(Pedidos!$BA90="Proceso",Pedidos!BE90,"")</f>
        <v/>
      </c>
      <c r="E89" s="490" t="str">
        <f>IF($A89&lt;&gt;"",VLOOKUP($A89,Pedidos!$A$2:$I$9998,8,0),"")</f>
        <v/>
      </c>
      <c r="F89" s="490" t="str">
        <f>IF($A89&lt;&gt;"",VLOOKUP($A89,Pedidos!$A$2:$I$9998,9,0),"")</f>
        <v/>
      </c>
      <c r="H89" s="490" t="str">
        <f t="shared" si="4"/>
        <v/>
      </c>
      <c r="I89" s="490" t="str">
        <f>IFERROR(IF(INDEX(Procesos!$A$1:$HZ$457,MATCH(Resumen!$A$3&amp;"     ITEM # "&amp;Resumen!G89,Procesos!$A:$A,0)+6,MATCH(Resumen!A89,Procesos!$2:$2,0)+6)=0,"",INDEX(Procesos!$A$1:$HZ$457,MATCH(Resumen!$A$3&amp;"     ITEM # "&amp;Resumen!G89,Procesos!$A:$A,0)+6,MATCH(Resumen!A89,Procesos!$2:$2,0)+6)),"")</f>
        <v/>
      </c>
    </row>
    <row r="90" spans="1:9" x14ac:dyDescent="0.25">
      <c r="A90" t="str">
        <f>IF(Pedidos!$BA91="Proceso",Pedidos!BB91,"")</f>
        <v/>
      </c>
      <c r="B90" t="str">
        <f>IF(Pedidos!$BA91="Proceso",Pedidos!BC91,"")</f>
        <v/>
      </c>
      <c r="C90" t="str">
        <f>IF(Pedidos!$BA91="Proceso",Pedidos!BD91,"")</f>
        <v/>
      </c>
      <c r="D90" s="490" t="str">
        <f>IF(Pedidos!$BA91="Proceso",Pedidos!BE91,"")</f>
        <v/>
      </c>
      <c r="E90" s="490" t="str">
        <f>IF($A90&lt;&gt;"",VLOOKUP($A90,Pedidos!$A$2:$I$9998,8,0),"")</f>
        <v/>
      </c>
      <c r="F90" s="490" t="str">
        <f>IF($A90&lt;&gt;"",VLOOKUP($A90,Pedidos!$A$2:$I$9998,9,0),"")</f>
        <v/>
      </c>
      <c r="H90" s="490" t="str">
        <f t="shared" si="4"/>
        <v/>
      </c>
      <c r="I90" s="490" t="str">
        <f>IFERROR(IF(INDEX(Procesos!$A$1:$HZ$457,MATCH(Resumen!$A$3&amp;"     ITEM # "&amp;Resumen!G90,Procesos!$A:$A,0)+6,MATCH(Resumen!A90,Procesos!$2:$2,0)+6)=0,"",INDEX(Procesos!$A$1:$HZ$457,MATCH(Resumen!$A$3&amp;"     ITEM # "&amp;Resumen!G90,Procesos!$A:$A,0)+6,MATCH(Resumen!A90,Procesos!$2:$2,0)+6)),"")</f>
        <v/>
      </c>
    </row>
    <row r="91" spans="1:9" x14ac:dyDescent="0.25">
      <c r="A91" t="str">
        <f>IF(Pedidos!$BA92="Proceso",Pedidos!BB92,"")</f>
        <v/>
      </c>
      <c r="B91" t="str">
        <f>IF(Pedidos!$BA92="Proceso",Pedidos!BC92,"")</f>
        <v/>
      </c>
      <c r="C91" t="str">
        <f>IF(Pedidos!$BA92="Proceso",Pedidos!BD92,"")</f>
        <v/>
      </c>
      <c r="D91" s="490" t="str">
        <f>IF(Pedidos!$BA92="Proceso",Pedidos!BE92,"")</f>
        <v/>
      </c>
      <c r="E91" s="490" t="str">
        <f>IF($A91&lt;&gt;"",VLOOKUP($A91,Pedidos!$A$2:$I$9998,8,0),"")</f>
        <v/>
      </c>
      <c r="F91" s="490" t="str">
        <f>IF($A91&lt;&gt;"",VLOOKUP($A91,Pedidos!$A$2:$I$9998,9,0),"")</f>
        <v/>
      </c>
      <c r="H91" s="490" t="str">
        <f t="shared" si="4"/>
        <v/>
      </c>
      <c r="I91" s="490" t="str">
        <f>IFERROR(IF(INDEX(Procesos!$A$1:$HZ$457,MATCH(Resumen!$A$3&amp;"     ITEM # "&amp;Resumen!G91,Procesos!$A:$A,0)+6,MATCH(Resumen!A91,Procesos!$2:$2,0)+6)=0,"",INDEX(Procesos!$A$1:$HZ$457,MATCH(Resumen!$A$3&amp;"     ITEM # "&amp;Resumen!G91,Procesos!$A:$A,0)+6,MATCH(Resumen!A91,Procesos!$2:$2,0)+6)),"")</f>
        <v/>
      </c>
    </row>
    <row r="92" spans="1:9" x14ac:dyDescent="0.25">
      <c r="A92" t="str">
        <f>IF(Pedidos!$BA93="Proceso",Pedidos!BB93,"")</f>
        <v/>
      </c>
      <c r="B92" t="str">
        <f>IF(Pedidos!$BA93="Proceso",Pedidos!BC93,"")</f>
        <v/>
      </c>
      <c r="C92" t="str">
        <f>IF(Pedidos!$BA93="Proceso",Pedidos!BD93,"")</f>
        <v/>
      </c>
      <c r="D92" s="490" t="str">
        <f>IF(Pedidos!$BA93="Proceso",Pedidos!BE93,"")</f>
        <v/>
      </c>
      <c r="E92" s="490" t="str">
        <f>IF($A92&lt;&gt;"",VLOOKUP($A92,Pedidos!$A$2:$I$9998,8,0),"")</f>
        <v/>
      </c>
      <c r="F92" s="490" t="str">
        <f>IF($A92&lt;&gt;"",VLOOKUP($A92,Pedidos!$A$2:$I$9998,9,0),"")</f>
        <v/>
      </c>
      <c r="H92" s="490" t="str">
        <f t="shared" si="4"/>
        <v/>
      </c>
      <c r="I92" s="490" t="str">
        <f>IFERROR(IF(INDEX(Procesos!$A$1:$HZ$457,MATCH(Resumen!$A$3&amp;"     ITEM # "&amp;Resumen!G92,Procesos!$A:$A,0)+6,MATCH(Resumen!A92,Procesos!$2:$2,0)+6)=0,"",INDEX(Procesos!$A$1:$HZ$457,MATCH(Resumen!$A$3&amp;"     ITEM # "&amp;Resumen!G92,Procesos!$A:$A,0)+6,MATCH(Resumen!A92,Procesos!$2:$2,0)+6)),"")</f>
        <v/>
      </c>
    </row>
    <row r="93" spans="1:9" x14ac:dyDescent="0.25">
      <c r="A93" t="str">
        <f>IF(Pedidos!$BA94="Proceso",Pedidos!BB94,"")</f>
        <v/>
      </c>
      <c r="B93" t="str">
        <f>IF(Pedidos!$BA94="Proceso",Pedidos!BC94,"")</f>
        <v/>
      </c>
      <c r="C93" t="str">
        <f>IF(Pedidos!$BA94="Proceso",Pedidos!BD94,"")</f>
        <v/>
      </c>
      <c r="D93" s="490" t="str">
        <f>IF(Pedidos!$BA94="Proceso",Pedidos!BE94,"")</f>
        <v/>
      </c>
      <c r="E93" s="490" t="str">
        <f>IF($A93&lt;&gt;"",VLOOKUP($A93,Pedidos!$A$2:$I$9998,8,0),"")</f>
        <v/>
      </c>
      <c r="F93" s="490" t="str">
        <f>IF($A93&lt;&gt;"",VLOOKUP($A93,Pedidos!$A$2:$I$9998,9,0),"")</f>
        <v/>
      </c>
      <c r="H93" s="490" t="str">
        <f t="shared" si="4"/>
        <v/>
      </c>
      <c r="I93" s="490" t="str">
        <f>IFERROR(IF(INDEX(Procesos!$A$1:$HZ$457,MATCH(Resumen!$A$3&amp;"     ITEM # "&amp;Resumen!G93,Procesos!$A:$A,0)+6,MATCH(Resumen!A93,Procesos!$2:$2,0)+6)=0,"",INDEX(Procesos!$A$1:$HZ$457,MATCH(Resumen!$A$3&amp;"     ITEM # "&amp;Resumen!G93,Procesos!$A:$A,0)+6,MATCH(Resumen!A93,Procesos!$2:$2,0)+6)),"")</f>
        <v/>
      </c>
    </row>
    <row r="94" spans="1:9" x14ac:dyDescent="0.25">
      <c r="A94" t="str">
        <f>IF(Pedidos!$BA95="Proceso",Pedidos!BB95,"")</f>
        <v/>
      </c>
      <c r="B94" t="str">
        <f>IF(Pedidos!$BA95="Proceso",Pedidos!BC95,"")</f>
        <v/>
      </c>
      <c r="C94" t="str">
        <f>IF(Pedidos!$BA95="Proceso",Pedidos!BD95,"")</f>
        <v/>
      </c>
      <c r="D94" s="490" t="str">
        <f>IF(Pedidos!$BA95="Proceso",Pedidos!BE95,"")</f>
        <v/>
      </c>
      <c r="E94" s="490" t="str">
        <f>IF($A94&lt;&gt;"",VLOOKUP($A94,Pedidos!$A$2:$I$9998,8,0),"")</f>
        <v/>
      </c>
      <c r="F94" s="490" t="str">
        <f>IF($A94&lt;&gt;"",VLOOKUP($A94,Pedidos!$A$2:$I$9998,9,0),"")</f>
        <v/>
      </c>
      <c r="H94" s="490" t="str">
        <f t="shared" si="4"/>
        <v/>
      </c>
      <c r="I94" s="490" t="str">
        <f>IFERROR(IF(INDEX(Procesos!$A$1:$HZ$457,MATCH(Resumen!$A$3&amp;"     ITEM # "&amp;Resumen!G94,Procesos!$A:$A,0)+6,MATCH(Resumen!A94,Procesos!$2:$2,0)+6)=0,"",INDEX(Procesos!$A$1:$HZ$457,MATCH(Resumen!$A$3&amp;"     ITEM # "&amp;Resumen!G94,Procesos!$A:$A,0)+6,MATCH(Resumen!A94,Procesos!$2:$2,0)+6)),"")</f>
        <v/>
      </c>
    </row>
    <row r="95" spans="1:9" x14ac:dyDescent="0.25">
      <c r="A95" t="str">
        <f>IF(Pedidos!$BA96="Proceso",Pedidos!BB96,"")</f>
        <v/>
      </c>
      <c r="B95" t="str">
        <f>IF(Pedidos!$BA96="Proceso",Pedidos!BC96,"")</f>
        <v/>
      </c>
      <c r="C95" t="str">
        <f>IF(Pedidos!$BA96="Proceso",Pedidos!BD96,"")</f>
        <v/>
      </c>
      <c r="D95" s="490" t="str">
        <f>IF(Pedidos!$BA96="Proceso",Pedidos!BE96,"")</f>
        <v/>
      </c>
      <c r="E95" s="490" t="str">
        <f>IF($A95&lt;&gt;"",VLOOKUP($A95,Pedidos!$A$2:$I$9998,8,0),"")</f>
        <v/>
      </c>
      <c r="F95" s="490" t="str">
        <f>IF($A95&lt;&gt;"",VLOOKUP($A95,Pedidos!$A$2:$I$9998,9,0),"")</f>
        <v/>
      </c>
      <c r="H95" s="490" t="str">
        <f t="shared" si="4"/>
        <v/>
      </c>
      <c r="I95" s="490" t="str">
        <f>IFERROR(IF(INDEX(Procesos!$A$1:$HZ$457,MATCH(Resumen!$A$3&amp;"     ITEM # "&amp;Resumen!G95,Procesos!$A:$A,0)+6,MATCH(Resumen!A95,Procesos!$2:$2,0)+6)=0,"",INDEX(Procesos!$A$1:$HZ$457,MATCH(Resumen!$A$3&amp;"     ITEM # "&amp;Resumen!G95,Procesos!$A:$A,0)+6,MATCH(Resumen!A95,Procesos!$2:$2,0)+6)),"")</f>
        <v/>
      </c>
    </row>
    <row r="96" spans="1:9" x14ac:dyDescent="0.25">
      <c r="A96" t="str">
        <f>IF(Pedidos!$BA97="Proceso",Pedidos!BB97,"")</f>
        <v/>
      </c>
      <c r="B96" t="str">
        <f>IF(Pedidos!$BA97="Proceso",Pedidos!BC97,"")</f>
        <v/>
      </c>
      <c r="C96" t="str">
        <f>IF(Pedidos!$BA97="Proceso",Pedidos!BD97,"")</f>
        <v/>
      </c>
      <c r="D96" s="490" t="str">
        <f>IF(Pedidos!$BA97="Proceso",Pedidos!BE97,"")</f>
        <v/>
      </c>
      <c r="E96" s="490" t="str">
        <f>IF($A96&lt;&gt;"",VLOOKUP($A96,Pedidos!$A$2:$I$9998,8,0),"")</f>
        <v/>
      </c>
      <c r="F96" s="490" t="str">
        <f>IF($A96&lt;&gt;"",VLOOKUP($A96,Pedidos!$A$2:$I$9998,9,0),"")</f>
        <v/>
      </c>
      <c r="H96" s="490" t="str">
        <f t="shared" si="4"/>
        <v/>
      </c>
      <c r="I96" s="490" t="str">
        <f>IFERROR(IF(INDEX(Procesos!$A$1:$HZ$457,MATCH(Resumen!$A$3&amp;"     ITEM # "&amp;Resumen!G96,Procesos!$A:$A,0)+6,MATCH(Resumen!A96,Procesos!$2:$2,0)+6)=0,"",INDEX(Procesos!$A$1:$HZ$457,MATCH(Resumen!$A$3&amp;"     ITEM # "&amp;Resumen!G96,Procesos!$A:$A,0)+6,MATCH(Resumen!A96,Procesos!$2:$2,0)+6)),"")</f>
        <v/>
      </c>
    </row>
    <row r="97" spans="1:9" x14ac:dyDescent="0.25">
      <c r="A97" t="str">
        <f>IF(Pedidos!$BA98="Proceso",Pedidos!BB98,"")</f>
        <v/>
      </c>
      <c r="B97" t="str">
        <f>IF(Pedidos!$BA98="Proceso",Pedidos!BC98,"")</f>
        <v/>
      </c>
      <c r="C97" t="str">
        <f>IF(Pedidos!$BA98="Proceso",Pedidos!BD98,"")</f>
        <v/>
      </c>
      <c r="D97" s="490" t="str">
        <f>IF(Pedidos!$BA98="Proceso",Pedidos!BE98,"")</f>
        <v/>
      </c>
      <c r="E97" s="490" t="str">
        <f>IF($A97&lt;&gt;"",VLOOKUP($A97,Pedidos!$A$2:$I$9998,8,0),"")</f>
        <v/>
      </c>
      <c r="F97" s="490" t="str">
        <f>IF($A97&lt;&gt;"",VLOOKUP($A97,Pedidos!$A$2:$I$9998,9,0),"")</f>
        <v/>
      </c>
      <c r="H97" s="490" t="str">
        <f t="shared" si="4"/>
        <v/>
      </c>
      <c r="I97" s="490" t="str">
        <f>IFERROR(IF(INDEX(Procesos!$A$1:$HZ$457,MATCH(Resumen!$A$3&amp;"     ITEM # "&amp;Resumen!G97,Procesos!$A:$A,0)+6,MATCH(Resumen!A97,Procesos!$2:$2,0)+6)=0,"",INDEX(Procesos!$A$1:$HZ$457,MATCH(Resumen!$A$3&amp;"     ITEM # "&amp;Resumen!G97,Procesos!$A:$A,0)+6,MATCH(Resumen!A97,Procesos!$2:$2,0)+6)),"")</f>
        <v/>
      </c>
    </row>
    <row r="98" spans="1:9" x14ac:dyDescent="0.25">
      <c r="A98" t="str">
        <f>IF(Pedidos!$BA99="Proceso",Pedidos!BB99,"")</f>
        <v/>
      </c>
      <c r="B98" t="str">
        <f>IF(Pedidos!$BA99="Proceso",Pedidos!BC99,"")</f>
        <v/>
      </c>
      <c r="C98" t="str">
        <f>IF(Pedidos!$BA99="Proceso",Pedidos!BD99,"")</f>
        <v/>
      </c>
      <c r="D98" s="490" t="str">
        <f>IF(Pedidos!$BA99="Proceso",Pedidos!BE99,"")</f>
        <v/>
      </c>
      <c r="E98" s="490" t="str">
        <f>IF($A98&lt;&gt;"",VLOOKUP($A98,Pedidos!$A$2:$I$9998,8,0),"")</f>
        <v/>
      </c>
      <c r="F98" s="490" t="str">
        <f>IF($A98&lt;&gt;"",VLOOKUP($A98,Pedidos!$A$2:$I$9998,9,0),"")</f>
        <v/>
      </c>
      <c r="H98" s="490" t="str">
        <f t="shared" si="4"/>
        <v/>
      </c>
      <c r="I98" s="490" t="str">
        <f>IFERROR(IF(INDEX(Procesos!$A$1:$HZ$457,MATCH(Resumen!$A$3&amp;"     ITEM # "&amp;Resumen!G98,Procesos!$A:$A,0)+6,MATCH(Resumen!A98,Procesos!$2:$2,0)+6)=0,"",INDEX(Procesos!$A$1:$HZ$457,MATCH(Resumen!$A$3&amp;"     ITEM # "&amp;Resumen!G98,Procesos!$A:$A,0)+6,MATCH(Resumen!A98,Procesos!$2:$2,0)+6)),"")</f>
        <v/>
      </c>
    </row>
    <row r="99" spans="1:9" x14ac:dyDescent="0.25">
      <c r="A99" t="str">
        <f>IF(Pedidos!$BA100="Proceso",Pedidos!BB100,"")</f>
        <v/>
      </c>
      <c r="B99" t="str">
        <f>IF(Pedidos!$BA100="Proceso",Pedidos!BC100,"")</f>
        <v/>
      </c>
      <c r="C99" t="str">
        <f>IF(Pedidos!$BA100="Proceso",Pedidos!BD100,"")</f>
        <v/>
      </c>
      <c r="D99" s="490" t="str">
        <f>IF(Pedidos!$BA100="Proceso",Pedidos!BE100,"")</f>
        <v/>
      </c>
      <c r="E99" s="490" t="str">
        <f>IF($A99&lt;&gt;"",VLOOKUP($A99,Pedidos!$A$2:$I$9998,8,0),"")</f>
        <v/>
      </c>
      <c r="F99" s="490" t="str">
        <f>IF($A99&lt;&gt;"",VLOOKUP($A99,Pedidos!$A$2:$I$9998,9,0),"")</f>
        <v/>
      </c>
      <c r="H99" s="490" t="str">
        <f t="shared" si="4"/>
        <v/>
      </c>
      <c r="I99" s="490" t="str">
        <f>IFERROR(IF(INDEX(Procesos!$A$1:$HZ$457,MATCH(Resumen!$A$3&amp;"     ITEM # "&amp;Resumen!G99,Procesos!$A:$A,0)+6,MATCH(Resumen!A99,Procesos!$2:$2,0)+6)=0,"",INDEX(Procesos!$A$1:$HZ$457,MATCH(Resumen!$A$3&amp;"     ITEM # "&amp;Resumen!G99,Procesos!$A:$A,0)+6,MATCH(Resumen!A99,Procesos!$2:$2,0)+6)),"")</f>
        <v/>
      </c>
    </row>
    <row r="100" spans="1:9" x14ac:dyDescent="0.25">
      <c r="A100" t="str">
        <f>IF(Pedidos!$BA101="Proceso",Pedidos!BB101,"")</f>
        <v/>
      </c>
      <c r="B100" t="str">
        <f>IF(Pedidos!$BA101="Proceso",Pedidos!BC101,"")</f>
        <v/>
      </c>
      <c r="C100" t="str">
        <f>IF(Pedidos!$BA101="Proceso",Pedidos!BD101,"")</f>
        <v/>
      </c>
      <c r="D100" s="490" t="str">
        <f>IF(Pedidos!$BA101="Proceso",Pedidos!BE101,"")</f>
        <v/>
      </c>
      <c r="E100" s="490" t="str">
        <f>IF($A100&lt;&gt;"",VLOOKUP($A100,Pedidos!$A$2:$I$9998,8,0),"")</f>
        <v/>
      </c>
      <c r="F100" s="490" t="str">
        <f>IF($A100&lt;&gt;"",VLOOKUP($A100,Pedidos!$A$2:$I$9998,9,0),"")</f>
        <v/>
      </c>
      <c r="H100" s="490" t="str">
        <f t="shared" si="4"/>
        <v/>
      </c>
      <c r="I100" s="490" t="str">
        <f>IFERROR(IF(INDEX(Procesos!$A$1:$HZ$457,MATCH(Resumen!$A$3&amp;"     ITEM # "&amp;Resumen!G100,Procesos!$A:$A,0)+6,MATCH(Resumen!A100,Procesos!$2:$2,0)+6)=0,"",INDEX(Procesos!$A$1:$HZ$457,MATCH(Resumen!$A$3&amp;"     ITEM # "&amp;Resumen!G100,Procesos!$A:$A,0)+6,MATCH(Resumen!A100,Procesos!$2:$2,0)+6)),"")</f>
        <v/>
      </c>
    </row>
    <row r="101" spans="1:9" x14ac:dyDescent="0.25">
      <c r="A101" t="str">
        <f>IF(Pedidos!$BA102="Proceso",Pedidos!BB102,"")</f>
        <v/>
      </c>
      <c r="B101" t="str">
        <f>IF(Pedidos!$BA102="Proceso",Pedidos!BC102,"")</f>
        <v/>
      </c>
      <c r="C101" t="str">
        <f>IF(Pedidos!$BA102="Proceso",Pedidos!BD102,"")</f>
        <v/>
      </c>
      <c r="D101" s="490" t="str">
        <f>IF(Pedidos!$BA102="Proceso",Pedidos!BE102,"")</f>
        <v/>
      </c>
      <c r="E101" s="490" t="str">
        <f>IF($A101&lt;&gt;"",VLOOKUP($A101,Pedidos!$A$2:$I$9998,8,0),"")</f>
        <v/>
      </c>
      <c r="F101" s="490" t="str">
        <f>IF($A101&lt;&gt;"",VLOOKUP($A101,Pedidos!$A$2:$I$9998,9,0),"")</f>
        <v/>
      </c>
      <c r="H101" s="490" t="str">
        <f t="shared" si="4"/>
        <v/>
      </c>
      <c r="I101" s="490" t="str">
        <f>IFERROR(IF(INDEX(Procesos!$A$1:$HZ$457,MATCH(Resumen!$A$3&amp;"     ITEM # "&amp;Resumen!G101,Procesos!$A:$A,0)+6,MATCH(Resumen!A101,Procesos!$2:$2,0)+6)=0,"",INDEX(Procesos!$A$1:$HZ$457,MATCH(Resumen!$A$3&amp;"     ITEM # "&amp;Resumen!G101,Procesos!$A:$A,0)+6,MATCH(Resumen!A101,Procesos!$2:$2,0)+6)),"")</f>
        <v/>
      </c>
    </row>
    <row r="102" spans="1:9" x14ac:dyDescent="0.25">
      <c r="A102" t="str">
        <f>IF(Pedidos!$BA103="Proceso",Pedidos!BB103,"")</f>
        <v/>
      </c>
      <c r="B102" t="str">
        <f>IF(Pedidos!$BA103="Proceso",Pedidos!BC103,"")</f>
        <v/>
      </c>
      <c r="C102" t="str">
        <f>IF(Pedidos!$BA103="Proceso",Pedidos!BD103,"")</f>
        <v/>
      </c>
      <c r="D102" s="490" t="str">
        <f>IF(Pedidos!$BA103="Proceso",Pedidos!BE103,"")</f>
        <v/>
      </c>
      <c r="E102" s="490" t="str">
        <f>IF($A102&lt;&gt;"",VLOOKUP($A102,Pedidos!$A$2:$I$9998,8,0),"")</f>
        <v/>
      </c>
      <c r="F102" s="490" t="str">
        <f>IF($A102&lt;&gt;"",VLOOKUP($A102,Pedidos!$A$2:$I$9998,9,0),"")</f>
        <v/>
      </c>
      <c r="H102" s="490" t="str">
        <f t="shared" si="4"/>
        <v/>
      </c>
      <c r="I102" s="490" t="str">
        <f>IFERROR(IF(INDEX(Procesos!$A$1:$HZ$457,MATCH(Resumen!$A$3&amp;"     ITEM # "&amp;Resumen!G102,Procesos!$A:$A,0)+6,MATCH(Resumen!A102,Procesos!$2:$2,0)+6)=0,"",INDEX(Procesos!$A$1:$HZ$457,MATCH(Resumen!$A$3&amp;"     ITEM # "&amp;Resumen!G102,Procesos!$A:$A,0)+6,MATCH(Resumen!A102,Procesos!$2:$2,0)+6)),"")</f>
        <v/>
      </c>
    </row>
    <row r="103" spans="1:9" x14ac:dyDescent="0.25">
      <c r="A103" t="str">
        <f>IF(Pedidos!$BA104="Proceso",Pedidos!BB104,"")</f>
        <v/>
      </c>
      <c r="B103" t="str">
        <f>IF(Pedidos!$BA104="Proceso",Pedidos!BC104,"")</f>
        <v/>
      </c>
      <c r="C103" t="str">
        <f>IF(Pedidos!$BA104="Proceso",Pedidos!BD104,"")</f>
        <v/>
      </c>
      <c r="D103" s="490" t="str">
        <f>IF(Pedidos!$BA104="Proceso",Pedidos!BE104,"")</f>
        <v/>
      </c>
      <c r="E103" s="490" t="str">
        <f>IF($A103&lt;&gt;"",VLOOKUP($A103,Pedidos!$A$2:$I$9998,8,0),"")</f>
        <v/>
      </c>
      <c r="F103" s="490" t="str">
        <f>IF($A103&lt;&gt;"",VLOOKUP($A103,Pedidos!$A$2:$I$9998,9,0),"")</f>
        <v/>
      </c>
      <c r="H103" s="490" t="str">
        <f t="shared" si="4"/>
        <v/>
      </c>
      <c r="I103" s="490" t="str">
        <f>IFERROR(IF(INDEX(Procesos!$A$1:$HZ$457,MATCH(Resumen!$A$3&amp;"     ITEM # "&amp;Resumen!G103,Procesos!$A:$A,0)+6,MATCH(Resumen!A103,Procesos!$2:$2,0)+6)=0,"",INDEX(Procesos!$A$1:$HZ$457,MATCH(Resumen!$A$3&amp;"     ITEM # "&amp;Resumen!G103,Procesos!$A:$A,0)+6,MATCH(Resumen!A103,Procesos!$2:$2,0)+6)),"")</f>
        <v/>
      </c>
    </row>
    <row r="104" spans="1:9" x14ac:dyDescent="0.25">
      <c r="A104" t="str">
        <f>IF(Pedidos!$BA105="Proceso",Pedidos!BB105,"")</f>
        <v/>
      </c>
      <c r="B104" t="str">
        <f>IF(Pedidos!$BA105="Proceso",Pedidos!BC105,"")</f>
        <v/>
      </c>
      <c r="C104" t="str">
        <f>IF(Pedidos!$BA105="Proceso",Pedidos!BD105,"")</f>
        <v/>
      </c>
      <c r="D104" s="490" t="str">
        <f>IF(Pedidos!$BA105="Proceso",Pedidos!BE105,"")</f>
        <v/>
      </c>
      <c r="E104" s="490" t="str">
        <f>IF($A104&lt;&gt;"",VLOOKUP($A104,Pedidos!$A$2:$I$9998,8,0),"")</f>
        <v/>
      </c>
      <c r="F104" s="490" t="str">
        <f>IF($A104&lt;&gt;"",VLOOKUP($A104,Pedidos!$A$2:$I$9998,9,0),"")</f>
        <v/>
      </c>
      <c r="H104" s="490" t="str">
        <f t="shared" si="4"/>
        <v/>
      </c>
      <c r="I104" s="490" t="str">
        <f>IFERROR(IF(INDEX(Procesos!$A$1:$HZ$457,MATCH(Resumen!$A$3&amp;"     ITEM # "&amp;Resumen!G104,Procesos!$A:$A,0)+6,MATCH(Resumen!A104,Procesos!$2:$2,0)+6)=0,"",INDEX(Procesos!$A$1:$HZ$457,MATCH(Resumen!$A$3&amp;"     ITEM # "&amp;Resumen!G104,Procesos!$A:$A,0)+6,MATCH(Resumen!A104,Procesos!$2:$2,0)+6)),"")</f>
        <v/>
      </c>
    </row>
    <row r="105" spans="1:9" x14ac:dyDescent="0.25">
      <c r="A105" t="str">
        <f>IF(Pedidos!$BA106="Proceso",Pedidos!BB106,"")</f>
        <v/>
      </c>
      <c r="B105" t="str">
        <f>IF(Pedidos!$BA106="Proceso",Pedidos!BC106,"")</f>
        <v/>
      </c>
      <c r="C105" t="str">
        <f>IF(Pedidos!$BA106="Proceso",Pedidos!BD106,"")</f>
        <v/>
      </c>
      <c r="D105" s="490" t="str">
        <f>IF(Pedidos!$BA106="Proceso",Pedidos!BE106,"")</f>
        <v/>
      </c>
      <c r="E105" s="490" t="str">
        <f>IF($A105&lt;&gt;"",VLOOKUP($A105,Pedidos!$A$2:$I$9998,8,0),"")</f>
        <v/>
      </c>
      <c r="F105" s="490" t="str">
        <f>IF($A105&lt;&gt;"",VLOOKUP($A105,Pedidos!$A$2:$I$9998,9,0),"")</f>
        <v/>
      </c>
      <c r="H105" s="490" t="str">
        <f t="shared" si="4"/>
        <v/>
      </c>
      <c r="I105" s="490" t="str">
        <f>IFERROR(IF(INDEX(Procesos!$A$1:$HZ$457,MATCH(Resumen!$A$3&amp;"     ITEM # "&amp;Resumen!G105,Procesos!$A:$A,0)+6,MATCH(Resumen!A105,Procesos!$2:$2,0)+6)=0,"",INDEX(Procesos!$A$1:$HZ$457,MATCH(Resumen!$A$3&amp;"     ITEM # "&amp;Resumen!G105,Procesos!$A:$A,0)+6,MATCH(Resumen!A105,Procesos!$2:$2,0)+6)),"")</f>
        <v/>
      </c>
    </row>
    <row r="106" spans="1:9" x14ac:dyDescent="0.25">
      <c r="A106" t="str">
        <f>IF(Pedidos!$BA107="Proceso",Pedidos!BB107,"")</f>
        <v/>
      </c>
      <c r="B106" t="str">
        <f>IF(Pedidos!$BA107="Proceso",Pedidos!BC107,"")</f>
        <v/>
      </c>
      <c r="C106" t="str">
        <f>IF(Pedidos!$BA107="Proceso",Pedidos!BD107,"")</f>
        <v/>
      </c>
      <c r="D106" s="490" t="str">
        <f>IF(Pedidos!$BA107="Proceso",Pedidos!BE107,"")</f>
        <v/>
      </c>
      <c r="E106" s="490" t="str">
        <f>IF($A106&lt;&gt;"",VLOOKUP($A106,Pedidos!$A$2:$I$9998,8,0),"")</f>
        <v/>
      </c>
      <c r="F106" s="490" t="str">
        <f>IF($A106&lt;&gt;"",VLOOKUP($A106,Pedidos!$A$2:$I$9998,9,0),"")</f>
        <v/>
      </c>
      <c r="H106" s="490" t="str">
        <f t="shared" si="4"/>
        <v/>
      </c>
      <c r="I106" s="490" t="str">
        <f>IFERROR(IF(INDEX(Procesos!$A$1:$HZ$457,MATCH(Resumen!$A$3&amp;"     ITEM # "&amp;Resumen!G106,Procesos!$A:$A,0)+6,MATCH(Resumen!A106,Procesos!$2:$2,0)+6)=0,"",INDEX(Procesos!$A$1:$HZ$457,MATCH(Resumen!$A$3&amp;"     ITEM # "&amp;Resumen!G106,Procesos!$A:$A,0)+6,MATCH(Resumen!A106,Procesos!$2:$2,0)+6)),"")</f>
        <v/>
      </c>
    </row>
    <row r="107" spans="1:9" x14ac:dyDescent="0.25">
      <c r="A107" t="str">
        <f>IF(Pedidos!$BA108="Proceso",Pedidos!BB108,"")</f>
        <v/>
      </c>
      <c r="B107" t="str">
        <f>IF(Pedidos!$BA108="Proceso",Pedidos!BC108,"")</f>
        <v/>
      </c>
      <c r="C107" t="str">
        <f>IF(Pedidos!$BA108="Proceso",Pedidos!BD108,"")</f>
        <v/>
      </c>
      <c r="D107" s="490" t="str">
        <f>IF(Pedidos!$BA108="Proceso",Pedidos!BE108,"")</f>
        <v/>
      </c>
      <c r="E107" s="490" t="str">
        <f>IF($A107&lt;&gt;"",VLOOKUP($A107,Pedidos!$A$2:$I$9998,8,0),"")</f>
        <v/>
      </c>
      <c r="F107" s="490" t="str">
        <f>IF($A107&lt;&gt;"",VLOOKUP($A107,Pedidos!$A$2:$I$9998,9,0),"")</f>
        <v/>
      </c>
      <c r="H107" s="490" t="str">
        <f t="shared" si="4"/>
        <v/>
      </c>
      <c r="I107" s="490" t="str">
        <f>IFERROR(IF(INDEX(Procesos!$A$1:$HZ$457,MATCH(Resumen!$A$3&amp;"     ITEM # "&amp;Resumen!G107,Procesos!$A:$A,0)+6,MATCH(Resumen!A107,Procesos!$2:$2,0)+6)=0,"",INDEX(Procesos!$A$1:$HZ$457,MATCH(Resumen!$A$3&amp;"     ITEM # "&amp;Resumen!G107,Procesos!$A:$A,0)+6,MATCH(Resumen!A107,Procesos!$2:$2,0)+6)),"")</f>
        <v/>
      </c>
    </row>
    <row r="108" spans="1:9" x14ac:dyDescent="0.25">
      <c r="A108" t="str">
        <f>IF(Pedidos!$BA109="Proceso",Pedidos!BB109,"")</f>
        <v/>
      </c>
      <c r="B108" t="str">
        <f>IF(Pedidos!$BA109="Proceso",Pedidos!BC109,"")</f>
        <v/>
      </c>
      <c r="C108" t="str">
        <f>IF(Pedidos!$BA109="Proceso",Pedidos!BD109,"")</f>
        <v/>
      </c>
      <c r="D108" s="490" t="str">
        <f>IF(Pedidos!$BA109="Proceso",Pedidos!BE109,"")</f>
        <v/>
      </c>
      <c r="E108" s="490" t="str">
        <f>IF($A108&lt;&gt;"",VLOOKUP($A108,Pedidos!$A$2:$I$9998,8,0),"")</f>
        <v/>
      </c>
      <c r="F108" s="490" t="str">
        <f>IF($A108&lt;&gt;"",VLOOKUP($A108,Pedidos!$A$2:$I$9998,9,0),"")</f>
        <v/>
      </c>
      <c r="H108" s="490" t="str">
        <f t="shared" si="4"/>
        <v/>
      </c>
      <c r="I108" s="490" t="str">
        <f>IFERROR(IF(INDEX(Procesos!$A$1:$HZ$457,MATCH(Resumen!$A$3&amp;"     ITEM # "&amp;Resumen!G108,Procesos!$A:$A,0)+6,MATCH(Resumen!A108,Procesos!$2:$2,0)+6)=0,"",INDEX(Procesos!$A$1:$HZ$457,MATCH(Resumen!$A$3&amp;"     ITEM # "&amp;Resumen!G108,Procesos!$A:$A,0)+6,MATCH(Resumen!A108,Procesos!$2:$2,0)+6)),"")</f>
        <v/>
      </c>
    </row>
    <row r="109" spans="1:9" x14ac:dyDescent="0.25">
      <c r="A109" t="str">
        <f>IF(Pedidos!$BA110="Proceso",Pedidos!BB110,"")</f>
        <v/>
      </c>
      <c r="B109" t="str">
        <f>IF(Pedidos!$BA110="Proceso",Pedidos!BC110,"")</f>
        <v/>
      </c>
      <c r="C109" t="str">
        <f>IF(Pedidos!$BA110="Proceso",Pedidos!BD110,"")</f>
        <v/>
      </c>
      <c r="D109" s="490" t="str">
        <f>IF(Pedidos!$BA110="Proceso",Pedidos!BE110,"")</f>
        <v/>
      </c>
      <c r="E109" s="490" t="str">
        <f>IF($A109&lt;&gt;"",VLOOKUP($A109,Pedidos!$A$2:$I$9998,8,0),"")</f>
        <v/>
      </c>
      <c r="F109" s="490" t="str">
        <f>IF($A109&lt;&gt;"",VLOOKUP($A109,Pedidos!$A$2:$I$9998,9,0),"")</f>
        <v/>
      </c>
      <c r="H109" s="490" t="str">
        <f t="shared" si="4"/>
        <v/>
      </c>
      <c r="I109" s="490" t="str">
        <f>IFERROR(IF(INDEX(Procesos!$A$1:$HZ$457,MATCH(Resumen!$A$3&amp;"     ITEM # "&amp;Resumen!G109,Procesos!$A:$A,0)+6,MATCH(Resumen!A109,Procesos!$2:$2,0)+6)=0,"",INDEX(Procesos!$A$1:$HZ$457,MATCH(Resumen!$A$3&amp;"     ITEM # "&amp;Resumen!G109,Procesos!$A:$A,0)+6,MATCH(Resumen!A109,Procesos!$2:$2,0)+6)),"")</f>
        <v/>
      </c>
    </row>
    <row r="110" spans="1:9" x14ac:dyDescent="0.25">
      <c r="A110" t="str">
        <f>IF(Pedidos!$BA111="Proceso",Pedidos!BB111,"")</f>
        <v/>
      </c>
      <c r="B110" t="str">
        <f>IF(Pedidos!$BA111="Proceso",Pedidos!BC111,"")</f>
        <v/>
      </c>
      <c r="C110" t="str">
        <f>IF(Pedidos!$BA111="Proceso",Pedidos!BD111,"")</f>
        <v/>
      </c>
      <c r="D110" s="490" t="str">
        <f>IF(Pedidos!$BA111="Proceso",Pedidos!BE111,"")</f>
        <v/>
      </c>
      <c r="E110" s="490" t="str">
        <f>IF($A110&lt;&gt;"",VLOOKUP($A110,Pedidos!$A$2:$I$9998,8,0),"")</f>
        <v/>
      </c>
      <c r="F110" s="490" t="str">
        <f>IF($A110&lt;&gt;"",VLOOKUP($A110,Pedidos!$A$2:$I$9998,9,0),"")</f>
        <v/>
      </c>
      <c r="H110" s="490" t="str">
        <f t="shared" si="4"/>
        <v/>
      </c>
      <c r="I110" s="490" t="str">
        <f>IFERROR(IF(INDEX(Procesos!$A$1:$HZ$457,MATCH(Resumen!$A$3&amp;"     ITEM # "&amp;Resumen!G110,Procesos!$A:$A,0)+6,MATCH(Resumen!A110,Procesos!$2:$2,0)+6)=0,"",INDEX(Procesos!$A$1:$HZ$457,MATCH(Resumen!$A$3&amp;"     ITEM # "&amp;Resumen!G110,Procesos!$A:$A,0)+6,MATCH(Resumen!A110,Procesos!$2:$2,0)+6)),"")</f>
        <v/>
      </c>
    </row>
    <row r="111" spans="1:9" x14ac:dyDescent="0.25">
      <c r="A111" t="str">
        <f>IF(Pedidos!$BA112="Proceso",Pedidos!BB112,"")</f>
        <v/>
      </c>
      <c r="B111" t="str">
        <f>IF(Pedidos!$BA112="Proceso",Pedidos!BC112,"")</f>
        <v/>
      </c>
      <c r="C111" t="str">
        <f>IF(Pedidos!$BA112="Proceso",Pedidos!BD112,"")</f>
        <v/>
      </c>
      <c r="D111" s="490" t="str">
        <f>IF(Pedidos!$BA112="Proceso",Pedidos!BE112,"")</f>
        <v/>
      </c>
      <c r="E111" s="490" t="str">
        <f>IF($A111&lt;&gt;"",VLOOKUP($A111,Pedidos!$A$2:$I$9998,8,0),"")</f>
        <v/>
      </c>
      <c r="F111" s="490" t="str">
        <f>IF($A111&lt;&gt;"",VLOOKUP($A111,Pedidos!$A$2:$I$9998,9,0),"")</f>
        <v/>
      </c>
      <c r="H111" s="490" t="str">
        <f t="shared" si="4"/>
        <v/>
      </c>
      <c r="I111" s="490" t="str">
        <f>IFERROR(IF(INDEX(Procesos!$A$1:$HZ$457,MATCH(Resumen!$A$3&amp;"     ITEM # "&amp;Resumen!G111,Procesos!$A:$A,0)+6,MATCH(Resumen!A111,Procesos!$2:$2,0)+6)=0,"",INDEX(Procesos!$A$1:$HZ$457,MATCH(Resumen!$A$3&amp;"     ITEM # "&amp;Resumen!G111,Procesos!$A:$A,0)+6,MATCH(Resumen!A111,Procesos!$2:$2,0)+6)),"")</f>
        <v/>
      </c>
    </row>
    <row r="112" spans="1:9" x14ac:dyDescent="0.25">
      <c r="A112" t="str">
        <f>IF(Pedidos!$BA113="Proceso",Pedidos!BB113,"")</f>
        <v/>
      </c>
      <c r="B112" t="str">
        <f>IF(Pedidos!$BA113="Proceso",Pedidos!BC113,"")</f>
        <v/>
      </c>
      <c r="C112" t="str">
        <f>IF(Pedidos!$BA113="Proceso",Pedidos!BD113,"")</f>
        <v/>
      </c>
      <c r="D112" s="490" t="str">
        <f>IF(Pedidos!$BA113="Proceso",Pedidos!BE113,"")</f>
        <v/>
      </c>
      <c r="E112" s="490" t="str">
        <f>IF($A112&lt;&gt;"",VLOOKUP($A112,Pedidos!$A$2:$I$9998,8,0),"")</f>
        <v/>
      </c>
      <c r="F112" s="490" t="str">
        <f>IF($A112&lt;&gt;"",VLOOKUP($A112,Pedidos!$A$2:$I$9998,9,0),"")</f>
        <v/>
      </c>
      <c r="H112" s="490" t="str">
        <f t="shared" si="4"/>
        <v/>
      </c>
      <c r="I112" s="490" t="str">
        <f>IFERROR(IF(INDEX(Procesos!$A$1:$HZ$457,MATCH(Resumen!$A$3&amp;"     ITEM # "&amp;Resumen!G112,Procesos!$A:$A,0)+6,MATCH(Resumen!A112,Procesos!$2:$2,0)+6)=0,"",INDEX(Procesos!$A$1:$HZ$457,MATCH(Resumen!$A$3&amp;"     ITEM # "&amp;Resumen!G112,Procesos!$A:$A,0)+6,MATCH(Resumen!A112,Procesos!$2:$2,0)+6)),"")</f>
        <v/>
      </c>
    </row>
    <row r="113" spans="1:9" x14ac:dyDescent="0.25">
      <c r="A113" t="str">
        <f>IF(Pedidos!$BA114="Proceso",Pedidos!BB114,"")</f>
        <v/>
      </c>
      <c r="B113" t="str">
        <f>IF(Pedidos!$BA114="Proceso",Pedidos!BC114,"")</f>
        <v/>
      </c>
      <c r="C113" t="str">
        <f>IF(Pedidos!$BA114="Proceso",Pedidos!BD114,"")</f>
        <v/>
      </c>
      <c r="D113" s="490" t="str">
        <f>IF(Pedidos!$BA114="Proceso",Pedidos!BE114,"")</f>
        <v/>
      </c>
      <c r="E113" s="490" t="str">
        <f>IF($A113&lt;&gt;"",VLOOKUP($A113,Pedidos!$A$2:$I$9998,8,0),"")</f>
        <v/>
      </c>
      <c r="F113" s="490" t="str">
        <f>IF($A113&lt;&gt;"",VLOOKUP($A113,Pedidos!$A$2:$I$9998,9,0),"")</f>
        <v/>
      </c>
      <c r="H113" s="490" t="str">
        <f t="shared" si="4"/>
        <v/>
      </c>
      <c r="I113" s="490" t="str">
        <f>IFERROR(IF(INDEX(Procesos!$A$1:$HZ$457,MATCH(Resumen!$A$3&amp;"     ITEM # "&amp;Resumen!G113,Procesos!$A:$A,0)+6,MATCH(Resumen!A113,Procesos!$2:$2,0)+6)=0,"",INDEX(Procesos!$A$1:$HZ$457,MATCH(Resumen!$A$3&amp;"     ITEM # "&amp;Resumen!G113,Procesos!$A:$A,0)+6,MATCH(Resumen!A113,Procesos!$2:$2,0)+6)),"")</f>
        <v/>
      </c>
    </row>
    <row r="114" spans="1:9" x14ac:dyDescent="0.25">
      <c r="A114" t="str">
        <f>IF(Pedidos!$BA115="Proceso",Pedidos!BB115,"")</f>
        <v/>
      </c>
      <c r="B114" t="str">
        <f>IF(Pedidos!$BA115="Proceso",Pedidos!BC115,"")</f>
        <v/>
      </c>
      <c r="C114" t="str">
        <f>IF(Pedidos!$BA115="Proceso",Pedidos!BD115,"")</f>
        <v/>
      </c>
      <c r="D114" s="490" t="str">
        <f>IF(Pedidos!$BA115="Proceso",Pedidos!BE115,"")</f>
        <v/>
      </c>
      <c r="E114" s="490" t="str">
        <f>IF($A114&lt;&gt;"",VLOOKUP($A114,Pedidos!$A$2:$I$9998,8,0),"")</f>
        <v/>
      </c>
      <c r="F114" s="490" t="str">
        <f>IF($A114&lt;&gt;"",VLOOKUP($A114,Pedidos!$A$2:$I$9998,9,0),"")</f>
        <v/>
      </c>
      <c r="H114" s="490" t="str">
        <f t="shared" si="4"/>
        <v/>
      </c>
      <c r="I114" s="490" t="str">
        <f>IFERROR(IF(INDEX(Procesos!$A$1:$HZ$457,MATCH(Resumen!$A$3&amp;"     ITEM # "&amp;Resumen!G114,Procesos!$A:$A,0)+6,MATCH(Resumen!A114,Procesos!$2:$2,0)+6)=0,"",INDEX(Procesos!$A$1:$HZ$457,MATCH(Resumen!$A$3&amp;"     ITEM # "&amp;Resumen!G114,Procesos!$A:$A,0)+6,MATCH(Resumen!A114,Procesos!$2:$2,0)+6)),"")</f>
        <v/>
      </c>
    </row>
    <row r="115" spans="1:9" x14ac:dyDescent="0.25">
      <c r="A115" t="str">
        <f>IF(Pedidos!$BA116="Proceso",Pedidos!BB116,"")</f>
        <v/>
      </c>
      <c r="B115" t="str">
        <f>IF(Pedidos!$BA116="Proceso",Pedidos!BC116,"")</f>
        <v/>
      </c>
      <c r="C115" t="str">
        <f>IF(Pedidos!$BA116="Proceso",Pedidos!BD116,"")</f>
        <v/>
      </c>
      <c r="D115" s="490" t="str">
        <f>IF(Pedidos!$BA116="Proceso",Pedidos!BE116,"")</f>
        <v/>
      </c>
      <c r="E115" s="490" t="str">
        <f>IF($A115&lt;&gt;"",VLOOKUP($A115,Pedidos!$A$2:$I$9998,8,0),"")</f>
        <v/>
      </c>
      <c r="F115" s="490" t="str">
        <f>IF($A115&lt;&gt;"",VLOOKUP($A115,Pedidos!$A$2:$I$9998,9,0),"")</f>
        <v/>
      </c>
      <c r="H115" s="490" t="str">
        <f t="shared" si="4"/>
        <v/>
      </c>
      <c r="I115" s="490" t="str">
        <f>IFERROR(IF(INDEX(Procesos!$A$1:$HZ$457,MATCH(Resumen!$A$3&amp;"     ITEM # "&amp;Resumen!G115,Procesos!$A:$A,0)+6,MATCH(Resumen!A115,Procesos!$2:$2,0)+6)=0,"",INDEX(Procesos!$A$1:$HZ$457,MATCH(Resumen!$A$3&amp;"     ITEM # "&amp;Resumen!G115,Procesos!$A:$A,0)+6,MATCH(Resumen!A115,Procesos!$2:$2,0)+6)),"")</f>
        <v/>
      </c>
    </row>
    <row r="116" spans="1:9" x14ac:dyDescent="0.25">
      <c r="A116" t="str">
        <f>IF(Pedidos!$BA117="Proceso",Pedidos!BB117,"")</f>
        <v/>
      </c>
      <c r="B116" t="str">
        <f>IF(Pedidos!$BA117="Proceso",Pedidos!BC117,"")</f>
        <v/>
      </c>
      <c r="C116" t="str">
        <f>IF(Pedidos!$BA117="Proceso",Pedidos!BD117,"")</f>
        <v/>
      </c>
      <c r="D116" s="490" t="str">
        <f>IF(Pedidos!$BA117="Proceso",Pedidos!BE117,"")</f>
        <v/>
      </c>
      <c r="E116" s="490" t="str">
        <f>IF($A116&lt;&gt;"",VLOOKUP($A116,Pedidos!$A$2:$I$9998,8,0),"")</f>
        <v/>
      </c>
      <c r="F116" s="490" t="str">
        <f>IF($A116&lt;&gt;"",VLOOKUP($A116,Pedidos!$A$2:$I$9998,9,0),"")</f>
        <v/>
      </c>
      <c r="H116" s="490" t="str">
        <f t="shared" si="4"/>
        <v/>
      </c>
      <c r="I116" s="490" t="str">
        <f>IFERROR(IF(INDEX(Procesos!$A$1:$HZ$457,MATCH(Resumen!$A$3&amp;"     ITEM # "&amp;Resumen!G116,Procesos!$A:$A,0)+6,MATCH(Resumen!A116,Procesos!$2:$2,0)+6)=0,"",INDEX(Procesos!$A$1:$HZ$457,MATCH(Resumen!$A$3&amp;"     ITEM # "&amp;Resumen!G116,Procesos!$A:$A,0)+6,MATCH(Resumen!A116,Procesos!$2:$2,0)+6)),"")</f>
        <v/>
      </c>
    </row>
    <row r="117" spans="1:9" x14ac:dyDescent="0.25">
      <c r="A117" t="str">
        <f>IF(Pedidos!$BA118="Proceso",Pedidos!BB118,"")</f>
        <v/>
      </c>
      <c r="B117" t="str">
        <f>IF(Pedidos!$BA118="Proceso",Pedidos!BC118,"")</f>
        <v/>
      </c>
      <c r="C117" t="str">
        <f>IF(Pedidos!$BA118="Proceso",Pedidos!BD118,"")</f>
        <v/>
      </c>
      <c r="D117" s="490" t="str">
        <f>IF(Pedidos!$BA118="Proceso",Pedidos!BE118,"")</f>
        <v/>
      </c>
      <c r="E117" s="490" t="str">
        <f>IF($A117&lt;&gt;"",VLOOKUP($A117,Pedidos!$A$2:$I$9998,8,0),"")</f>
        <v/>
      </c>
      <c r="F117" s="490" t="str">
        <f>IF($A117&lt;&gt;"",VLOOKUP($A117,Pedidos!$A$2:$I$9998,9,0),"")</f>
        <v/>
      </c>
      <c r="H117" s="490" t="str">
        <f t="shared" si="4"/>
        <v/>
      </c>
      <c r="I117" s="490" t="str">
        <f>IFERROR(IF(INDEX(Procesos!$A$1:$HZ$457,MATCH(Resumen!$A$3&amp;"     ITEM # "&amp;Resumen!G117,Procesos!$A:$A,0)+6,MATCH(Resumen!A117,Procesos!$2:$2,0)+6)=0,"",INDEX(Procesos!$A$1:$HZ$457,MATCH(Resumen!$A$3&amp;"     ITEM # "&amp;Resumen!G117,Procesos!$A:$A,0)+6,MATCH(Resumen!A117,Procesos!$2:$2,0)+6)),"")</f>
        <v/>
      </c>
    </row>
    <row r="118" spans="1:9" x14ac:dyDescent="0.25">
      <c r="A118" t="str">
        <f>IF(Pedidos!$BA119="Proceso",Pedidos!BB119,"")</f>
        <v/>
      </c>
      <c r="B118" t="str">
        <f>IF(Pedidos!$BA119="Proceso",Pedidos!BC119,"")</f>
        <v/>
      </c>
      <c r="C118" t="str">
        <f>IF(Pedidos!$BA119="Proceso",Pedidos!BD119,"")</f>
        <v/>
      </c>
      <c r="D118" s="490" t="str">
        <f>IF(Pedidos!$BA119="Proceso",Pedidos!BE119,"")</f>
        <v/>
      </c>
      <c r="E118" s="490" t="str">
        <f>IF($A118&lt;&gt;"",VLOOKUP($A118,Pedidos!$A$2:$I$9998,8,0),"")</f>
        <v/>
      </c>
      <c r="F118" s="490" t="str">
        <f>IF($A118&lt;&gt;"",VLOOKUP($A118,Pedidos!$A$2:$I$9998,9,0),"")</f>
        <v/>
      </c>
      <c r="H118" s="490" t="str">
        <f t="shared" si="4"/>
        <v/>
      </c>
      <c r="I118" s="490" t="str">
        <f>IFERROR(IF(INDEX(Procesos!$A$1:$HZ$457,MATCH(Resumen!$A$3&amp;"     ITEM # "&amp;Resumen!G118,Procesos!$A:$A,0)+6,MATCH(Resumen!A118,Procesos!$2:$2,0)+6)=0,"",INDEX(Procesos!$A$1:$HZ$457,MATCH(Resumen!$A$3&amp;"     ITEM # "&amp;Resumen!G118,Procesos!$A:$A,0)+6,MATCH(Resumen!A118,Procesos!$2:$2,0)+6)),"")</f>
        <v/>
      </c>
    </row>
    <row r="119" spans="1:9" x14ac:dyDescent="0.25">
      <c r="A119" t="str">
        <f>IF(Pedidos!$BA120="Proceso",Pedidos!BB120,"")</f>
        <v/>
      </c>
      <c r="B119" t="str">
        <f>IF(Pedidos!$BA120="Proceso",Pedidos!BC120,"")</f>
        <v/>
      </c>
      <c r="C119" t="str">
        <f>IF(Pedidos!$BA120="Proceso",Pedidos!BD120,"")</f>
        <v/>
      </c>
      <c r="D119" s="490" t="str">
        <f>IF(Pedidos!$BA120="Proceso",Pedidos!BE120,"")</f>
        <v/>
      </c>
      <c r="E119" s="490" t="str">
        <f>IF($A119&lt;&gt;"",VLOOKUP($A119,Pedidos!$A$2:$I$9998,8,0),"")</f>
        <v/>
      </c>
      <c r="F119" s="490" t="str">
        <f>IF($A119&lt;&gt;"",VLOOKUP($A119,Pedidos!$A$2:$I$9998,9,0),"")</f>
        <v/>
      </c>
      <c r="H119" s="490" t="str">
        <f t="shared" si="4"/>
        <v/>
      </c>
      <c r="I119" s="490" t="str">
        <f>IFERROR(IF(INDEX(Procesos!$A$1:$HZ$457,MATCH(Resumen!$A$3&amp;"     ITEM # "&amp;Resumen!G119,Procesos!$A:$A,0)+6,MATCH(Resumen!A119,Procesos!$2:$2,0)+6)=0,"",INDEX(Procesos!$A$1:$HZ$457,MATCH(Resumen!$A$3&amp;"     ITEM # "&amp;Resumen!G119,Procesos!$A:$A,0)+6,MATCH(Resumen!A119,Procesos!$2:$2,0)+6)),"")</f>
        <v/>
      </c>
    </row>
    <row r="120" spans="1:9" x14ac:dyDescent="0.25">
      <c r="A120" t="str">
        <f>IF(Pedidos!$BA121="Proceso",Pedidos!BB121,"")</f>
        <v/>
      </c>
      <c r="B120" t="str">
        <f>IF(Pedidos!$BA121="Proceso",Pedidos!BC121,"")</f>
        <v/>
      </c>
      <c r="C120" t="str">
        <f>IF(Pedidos!$BA121="Proceso",Pedidos!BD121,"")</f>
        <v/>
      </c>
      <c r="D120" s="490" t="str">
        <f>IF(Pedidos!$BA121="Proceso",Pedidos!BE121,"")</f>
        <v/>
      </c>
      <c r="E120" s="490" t="str">
        <f>IF($A120&lt;&gt;"",VLOOKUP($A120,Pedidos!$A$2:$I$9998,8,0),"")</f>
        <v/>
      </c>
      <c r="F120" s="490" t="str">
        <f>IF($A120&lt;&gt;"",VLOOKUP($A120,Pedidos!$A$2:$I$9998,9,0),"")</f>
        <v/>
      </c>
      <c r="H120" s="490" t="str">
        <f t="shared" si="4"/>
        <v/>
      </c>
      <c r="I120" s="490" t="str">
        <f>IFERROR(IF(INDEX(Procesos!$A$1:$HZ$457,MATCH(Resumen!$A$3&amp;"     ITEM # "&amp;Resumen!G120,Procesos!$A:$A,0)+6,MATCH(Resumen!A120,Procesos!$2:$2,0)+6)=0,"",INDEX(Procesos!$A$1:$HZ$457,MATCH(Resumen!$A$3&amp;"     ITEM # "&amp;Resumen!G120,Procesos!$A:$A,0)+6,MATCH(Resumen!A120,Procesos!$2:$2,0)+6)),"")</f>
        <v/>
      </c>
    </row>
    <row r="121" spans="1:9" x14ac:dyDescent="0.25">
      <c r="A121" t="str">
        <f>IF(Pedidos!$BA122="Proceso",Pedidos!BB122,"")</f>
        <v/>
      </c>
      <c r="B121" t="str">
        <f>IF(Pedidos!$BA122="Proceso",Pedidos!BC122,"")</f>
        <v/>
      </c>
      <c r="C121" t="str">
        <f>IF(Pedidos!$BA122="Proceso",Pedidos!BD122,"")</f>
        <v/>
      </c>
      <c r="D121" s="490" t="str">
        <f>IF(Pedidos!$BA122="Proceso",Pedidos!BE122,"")</f>
        <v/>
      </c>
      <c r="E121" s="490" t="str">
        <f>IF($A121&lt;&gt;"",VLOOKUP($A121,Pedidos!$A$2:$I$9998,8,0),"")</f>
        <v/>
      </c>
      <c r="F121" s="490" t="str">
        <f>IF($A121&lt;&gt;"",VLOOKUP($A121,Pedidos!$A$2:$I$9998,9,0),"")</f>
        <v/>
      </c>
      <c r="H121" s="490" t="str">
        <f t="shared" si="4"/>
        <v/>
      </c>
      <c r="I121" s="490" t="str">
        <f>IFERROR(IF(INDEX(Procesos!$A$1:$HZ$457,MATCH(Resumen!$A$3&amp;"     ITEM # "&amp;Resumen!G121,Procesos!$A:$A,0)+6,MATCH(Resumen!A121,Procesos!$2:$2,0)+6)=0,"",INDEX(Procesos!$A$1:$HZ$457,MATCH(Resumen!$A$3&amp;"     ITEM # "&amp;Resumen!G121,Procesos!$A:$A,0)+6,MATCH(Resumen!A121,Procesos!$2:$2,0)+6)),"")</f>
        <v/>
      </c>
    </row>
    <row r="122" spans="1:9" x14ac:dyDescent="0.25">
      <c r="A122" t="str">
        <f>IF(Pedidos!$BA123="Proceso",Pedidos!BB123,"")</f>
        <v/>
      </c>
      <c r="B122" t="str">
        <f>IF(Pedidos!$BA123="Proceso",Pedidos!BC123,"")</f>
        <v/>
      </c>
      <c r="C122" t="str">
        <f>IF(Pedidos!$BA123="Proceso",Pedidos!BD123,"")</f>
        <v/>
      </c>
      <c r="D122" s="490" t="str">
        <f>IF(Pedidos!$BA123="Proceso",Pedidos!BE123,"")</f>
        <v/>
      </c>
      <c r="E122" s="490" t="str">
        <f>IF($A122&lt;&gt;"",VLOOKUP($A122,Pedidos!$A$2:$I$9998,8,0),"")</f>
        <v/>
      </c>
      <c r="F122" s="490" t="str">
        <f>IF($A122&lt;&gt;"",VLOOKUP($A122,Pedidos!$A$2:$I$9998,9,0),"")</f>
        <v/>
      </c>
      <c r="H122" s="490" t="str">
        <f t="shared" si="4"/>
        <v/>
      </c>
      <c r="I122" s="490" t="str">
        <f>IFERROR(IF(INDEX(Procesos!$A$1:$HZ$457,MATCH(Resumen!$A$3&amp;"     ITEM # "&amp;Resumen!G122,Procesos!$A:$A,0)+6,MATCH(Resumen!A122,Procesos!$2:$2,0)+6)=0,"",INDEX(Procesos!$A$1:$HZ$457,MATCH(Resumen!$A$3&amp;"     ITEM # "&amp;Resumen!G122,Procesos!$A:$A,0)+6,MATCH(Resumen!A122,Procesos!$2:$2,0)+6)),"")</f>
        <v/>
      </c>
    </row>
    <row r="123" spans="1:9" x14ac:dyDescent="0.25">
      <c r="A123" t="str">
        <f>IF(Pedidos!$BA124="Proceso",Pedidos!BB124,"")</f>
        <v/>
      </c>
      <c r="B123" t="str">
        <f>IF(Pedidos!$BA124="Proceso",Pedidos!BC124,"")</f>
        <v/>
      </c>
      <c r="C123" t="str">
        <f>IF(Pedidos!$BA124="Proceso",Pedidos!BD124,"")</f>
        <v/>
      </c>
      <c r="D123" s="490" t="str">
        <f>IF(Pedidos!$BA124="Proceso",Pedidos!BE124,"")</f>
        <v/>
      </c>
      <c r="E123" s="490" t="str">
        <f>IF($A123&lt;&gt;"",VLOOKUP($A123,Pedidos!$A$2:$I$9998,8,0),"")</f>
        <v/>
      </c>
      <c r="F123" s="490" t="str">
        <f>IF($A123&lt;&gt;"",VLOOKUP($A123,Pedidos!$A$2:$I$9998,9,0),"")</f>
        <v/>
      </c>
      <c r="H123" s="490" t="str">
        <f t="shared" si="4"/>
        <v/>
      </c>
      <c r="I123" s="490" t="str">
        <f>IFERROR(IF(INDEX(Procesos!$A$1:$HZ$457,MATCH(Resumen!$A$3&amp;"     ITEM # "&amp;Resumen!G123,Procesos!$A:$A,0)+6,MATCH(Resumen!A123,Procesos!$2:$2,0)+6)=0,"",INDEX(Procesos!$A$1:$HZ$457,MATCH(Resumen!$A$3&amp;"     ITEM # "&amp;Resumen!G123,Procesos!$A:$A,0)+6,MATCH(Resumen!A123,Procesos!$2:$2,0)+6)),"")</f>
        <v/>
      </c>
    </row>
    <row r="124" spans="1:9" x14ac:dyDescent="0.25">
      <c r="A124" t="str">
        <f>IF(Pedidos!$BA125="Proceso",Pedidos!BB125,"")</f>
        <v/>
      </c>
      <c r="B124" t="str">
        <f>IF(Pedidos!$BA125="Proceso",Pedidos!BC125,"")</f>
        <v/>
      </c>
      <c r="C124" t="str">
        <f>IF(Pedidos!$BA125="Proceso",Pedidos!BD125,"")</f>
        <v/>
      </c>
      <c r="D124" s="490" t="str">
        <f>IF(Pedidos!$BA125="Proceso",Pedidos!BE125,"")</f>
        <v/>
      </c>
      <c r="E124" s="490" t="str">
        <f>IF($A124&lt;&gt;"",VLOOKUP($A124,Pedidos!$A$2:$I$9998,8,0),"")</f>
        <v/>
      </c>
      <c r="F124" s="490" t="str">
        <f>IF($A124&lt;&gt;"",VLOOKUP($A124,Pedidos!$A$2:$I$9998,9,0),"")</f>
        <v/>
      </c>
      <c r="H124" s="490" t="str">
        <f t="shared" si="4"/>
        <v/>
      </c>
      <c r="I124" s="490" t="str">
        <f>IFERROR(IF(INDEX(Procesos!$A$1:$HZ$457,MATCH(Resumen!$A$3&amp;"     ITEM # "&amp;Resumen!G124,Procesos!$A:$A,0)+6,MATCH(Resumen!A124,Procesos!$2:$2,0)+6)=0,"",INDEX(Procesos!$A$1:$HZ$457,MATCH(Resumen!$A$3&amp;"     ITEM # "&amp;Resumen!G124,Procesos!$A:$A,0)+6,MATCH(Resumen!A124,Procesos!$2:$2,0)+6)),"")</f>
        <v/>
      </c>
    </row>
    <row r="125" spans="1:9" x14ac:dyDescent="0.25">
      <c r="A125" t="str">
        <f>IF(Pedidos!$BA126="Proceso",Pedidos!BB126,"")</f>
        <v/>
      </c>
      <c r="B125" t="str">
        <f>IF(Pedidos!$BA126="Proceso",Pedidos!BC126,"")</f>
        <v/>
      </c>
      <c r="C125" t="str">
        <f>IF(Pedidos!$BA126="Proceso",Pedidos!BD126,"")</f>
        <v/>
      </c>
      <c r="D125" s="490" t="str">
        <f>IF(Pedidos!$BA126="Proceso",Pedidos!BE126,"")</f>
        <v/>
      </c>
      <c r="E125" s="490" t="str">
        <f>IF($A125&lt;&gt;"",VLOOKUP($A125,Pedidos!$A$2:$I$9998,8,0),"")</f>
        <v/>
      </c>
      <c r="F125" s="490" t="str">
        <f>IF($A125&lt;&gt;"",VLOOKUP($A125,Pedidos!$A$2:$I$9998,9,0),"")</f>
        <v/>
      </c>
      <c r="H125" s="490" t="str">
        <f t="shared" si="4"/>
        <v/>
      </c>
      <c r="I125" s="490" t="str">
        <f>IFERROR(IF(INDEX(Procesos!$A$1:$HZ$457,MATCH(Resumen!$A$3&amp;"     ITEM # "&amp;Resumen!G125,Procesos!$A:$A,0)+6,MATCH(Resumen!A125,Procesos!$2:$2,0)+6)=0,"",INDEX(Procesos!$A$1:$HZ$457,MATCH(Resumen!$A$3&amp;"     ITEM # "&amp;Resumen!G125,Procesos!$A:$A,0)+6,MATCH(Resumen!A125,Procesos!$2:$2,0)+6)),"")</f>
        <v/>
      </c>
    </row>
    <row r="126" spans="1:9" x14ac:dyDescent="0.25">
      <c r="A126" t="str">
        <f>IF(Pedidos!$BA127="Proceso",Pedidos!BB127,"")</f>
        <v/>
      </c>
      <c r="B126" t="str">
        <f>IF(Pedidos!$BA127="Proceso",Pedidos!BC127,"")</f>
        <v/>
      </c>
      <c r="C126" t="str">
        <f>IF(Pedidos!$BA127="Proceso",Pedidos!BD127,"")</f>
        <v/>
      </c>
      <c r="D126" s="490" t="str">
        <f>IF(Pedidos!$BA127="Proceso",Pedidos!BE127,"")</f>
        <v/>
      </c>
      <c r="E126" s="490" t="str">
        <f>IF($A126&lt;&gt;"",VLOOKUP($A126,Pedidos!$A$2:$I$9998,8,0),"")</f>
        <v/>
      </c>
      <c r="F126" s="490" t="str">
        <f>IF($A126&lt;&gt;"",VLOOKUP($A126,Pedidos!$A$2:$I$9998,9,0),"")</f>
        <v/>
      </c>
      <c r="H126" s="490" t="str">
        <f t="shared" si="4"/>
        <v/>
      </c>
      <c r="I126" s="490" t="str">
        <f>IFERROR(IF(INDEX(Procesos!$A$1:$HZ$457,MATCH(Resumen!$A$3&amp;"     ITEM # "&amp;Resumen!G126,Procesos!$A:$A,0)+6,MATCH(Resumen!A126,Procesos!$2:$2,0)+6)=0,"",INDEX(Procesos!$A$1:$HZ$457,MATCH(Resumen!$A$3&amp;"     ITEM # "&amp;Resumen!G126,Procesos!$A:$A,0)+6,MATCH(Resumen!A126,Procesos!$2:$2,0)+6)),"")</f>
        <v/>
      </c>
    </row>
    <row r="127" spans="1:9" x14ac:dyDescent="0.25">
      <c r="A127" t="str">
        <f>IF(Pedidos!$BA128="Proceso",Pedidos!BB128,"")</f>
        <v/>
      </c>
      <c r="B127" t="str">
        <f>IF(Pedidos!$BA128="Proceso",Pedidos!BC128,"")</f>
        <v/>
      </c>
      <c r="C127" t="str">
        <f>IF(Pedidos!$BA128="Proceso",Pedidos!BD128,"")</f>
        <v/>
      </c>
      <c r="D127" s="490" t="str">
        <f>IF(Pedidos!$BA128="Proceso",Pedidos!BE128,"")</f>
        <v/>
      </c>
      <c r="E127" s="490" t="str">
        <f>IF($A127&lt;&gt;"",VLOOKUP($A127,Pedidos!$A$2:$I$9998,8,0),"")</f>
        <v/>
      </c>
      <c r="F127" s="490" t="str">
        <f>IF($A127&lt;&gt;"",VLOOKUP($A127,Pedidos!$A$2:$I$9998,9,0),"")</f>
        <v/>
      </c>
      <c r="H127" s="490" t="str">
        <f t="shared" si="4"/>
        <v/>
      </c>
      <c r="I127" s="490" t="str">
        <f>IFERROR(IF(INDEX(Procesos!$A$1:$HZ$457,MATCH(Resumen!$A$3&amp;"     ITEM # "&amp;Resumen!G127,Procesos!$A:$A,0)+6,MATCH(Resumen!A127,Procesos!$2:$2,0)+6)=0,"",INDEX(Procesos!$A$1:$HZ$457,MATCH(Resumen!$A$3&amp;"     ITEM # "&amp;Resumen!G127,Procesos!$A:$A,0)+6,MATCH(Resumen!A127,Procesos!$2:$2,0)+6)),"")</f>
        <v/>
      </c>
    </row>
    <row r="128" spans="1:9" x14ac:dyDescent="0.25">
      <c r="A128" t="str">
        <f>IF(Pedidos!$BA129="Proceso",Pedidos!BB129,"")</f>
        <v/>
      </c>
      <c r="B128" t="str">
        <f>IF(Pedidos!$BA129="Proceso",Pedidos!BC129,"")</f>
        <v/>
      </c>
      <c r="C128" t="str">
        <f>IF(Pedidos!$BA129="Proceso",Pedidos!BD129,"")</f>
        <v/>
      </c>
      <c r="D128" s="490" t="str">
        <f>IF(Pedidos!$BA129="Proceso",Pedidos!BE129,"")</f>
        <v/>
      </c>
      <c r="E128" s="490" t="str">
        <f>IF($A128&lt;&gt;"",VLOOKUP($A128,Pedidos!$A$2:$I$9998,8,0),"")</f>
        <v/>
      </c>
      <c r="F128" s="490" t="str">
        <f>IF($A128&lt;&gt;"",VLOOKUP($A128,Pedidos!$A$2:$I$9998,9,0),"")</f>
        <v/>
      </c>
      <c r="H128" s="490" t="str">
        <f t="shared" si="4"/>
        <v/>
      </c>
      <c r="I128" s="490" t="str">
        <f>IFERROR(IF(INDEX(Procesos!$A$1:$HZ$457,MATCH(Resumen!$A$3&amp;"     ITEM # "&amp;Resumen!G128,Procesos!$A:$A,0)+6,MATCH(Resumen!A128,Procesos!$2:$2,0)+6)=0,"",INDEX(Procesos!$A$1:$HZ$457,MATCH(Resumen!$A$3&amp;"     ITEM # "&amp;Resumen!G128,Procesos!$A:$A,0)+6,MATCH(Resumen!A128,Procesos!$2:$2,0)+6)),"")</f>
        <v/>
      </c>
    </row>
    <row r="129" spans="1:9" x14ac:dyDescent="0.25">
      <c r="A129" t="str">
        <f>IF(Pedidos!$BA130="Proceso",Pedidos!BB130,"")</f>
        <v/>
      </c>
      <c r="B129" t="str">
        <f>IF(Pedidos!$BA130="Proceso",Pedidos!BC130,"")</f>
        <v/>
      </c>
      <c r="C129" t="str">
        <f>IF(Pedidos!$BA130="Proceso",Pedidos!BD130,"")</f>
        <v/>
      </c>
      <c r="D129" s="490" t="str">
        <f>IF(Pedidos!$BA130="Proceso",Pedidos!BE130,"")</f>
        <v/>
      </c>
      <c r="E129" s="490" t="str">
        <f>IF($A129&lt;&gt;"",VLOOKUP($A129,Pedidos!$A$2:$I$9998,8,0),"")</f>
        <v/>
      </c>
      <c r="F129" s="490" t="str">
        <f>IF($A129&lt;&gt;"",VLOOKUP($A129,Pedidos!$A$2:$I$9998,9,0),"")</f>
        <v/>
      </c>
      <c r="H129" s="490" t="str">
        <f t="shared" si="4"/>
        <v/>
      </c>
      <c r="I129" s="490" t="str">
        <f>IFERROR(IF(INDEX(Procesos!$A$1:$HZ$457,MATCH(Resumen!$A$3&amp;"     ITEM # "&amp;Resumen!G129,Procesos!$A:$A,0)+6,MATCH(Resumen!A129,Procesos!$2:$2,0)+6)=0,"",INDEX(Procesos!$A$1:$HZ$457,MATCH(Resumen!$A$3&amp;"     ITEM # "&amp;Resumen!G129,Procesos!$A:$A,0)+6,MATCH(Resumen!A129,Procesos!$2:$2,0)+6)),"")</f>
        <v/>
      </c>
    </row>
    <row r="130" spans="1:9" x14ac:dyDescent="0.25">
      <c r="A130" t="str">
        <f>IF(Pedidos!$BA131="Proceso",Pedidos!BB131,"")</f>
        <v/>
      </c>
      <c r="B130" t="str">
        <f>IF(Pedidos!$BA131="Proceso",Pedidos!BC131,"")</f>
        <v/>
      </c>
      <c r="C130" t="str">
        <f>IF(Pedidos!$BA131="Proceso",Pedidos!BD131,"")</f>
        <v/>
      </c>
      <c r="D130" s="490" t="str">
        <f>IF(Pedidos!$BA131="Proceso",Pedidos!BE131,"")</f>
        <v/>
      </c>
      <c r="E130" s="490" t="str">
        <f>IF($A130&lt;&gt;"",VLOOKUP($A130,Pedidos!$A$2:$I$9998,8,0),"")</f>
        <v/>
      </c>
      <c r="F130" s="490" t="str">
        <f>IF($A130&lt;&gt;"",VLOOKUP($A130,Pedidos!$A$2:$I$9998,9,0),"")</f>
        <v/>
      </c>
      <c r="H130" s="490" t="str">
        <f t="shared" si="4"/>
        <v/>
      </c>
      <c r="I130" s="490" t="str">
        <f>IFERROR(IF(INDEX(Procesos!$A$1:$HZ$457,MATCH(Resumen!$A$3&amp;"     ITEM # "&amp;Resumen!G130,Procesos!$A:$A,0)+6,MATCH(Resumen!A130,Procesos!$2:$2,0)+6)=0,"",INDEX(Procesos!$A$1:$HZ$457,MATCH(Resumen!$A$3&amp;"     ITEM # "&amp;Resumen!G130,Procesos!$A:$A,0)+6,MATCH(Resumen!A130,Procesos!$2:$2,0)+6)),"")</f>
        <v/>
      </c>
    </row>
    <row r="131" spans="1:9" x14ac:dyDescent="0.25">
      <c r="A131" t="str">
        <f>IF(Pedidos!$BA132="Proceso",Pedidos!BB132,"")</f>
        <v/>
      </c>
      <c r="B131" t="str">
        <f>IF(Pedidos!$BA132="Proceso",Pedidos!BC132,"")</f>
        <v/>
      </c>
      <c r="C131" t="str">
        <f>IF(Pedidos!$BA132="Proceso",Pedidos!BD132,"")</f>
        <v/>
      </c>
      <c r="D131" s="490" t="str">
        <f>IF(Pedidos!$BA132="Proceso",Pedidos!BE132,"")</f>
        <v/>
      </c>
      <c r="E131" s="490" t="str">
        <f>IF($A131&lt;&gt;"",VLOOKUP($A131,Pedidos!$A$2:$I$9998,8,0),"")</f>
        <v/>
      </c>
      <c r="F131" s="490" t="str">
        <f>IF($A131&lt;&gt;"",VLOOKUP($A131,Pedidos!$A$2:$I$9998,9,0),"")</f>
        <v/>
      </c>
      <c r="H131" s="490" t="str">
        <f t="shared" si="4"/>
        <v/>
      </c>
      <c r="I131" s="490" t="str">
        <f>IFERROR(IF(INDEX(Procesos!$A$1:$HZ$457,MATCH(Resumen!$A$3&amp;"     ITEM # "&amp;Resumen!G131,Procesos!$A:$A,0)+6,MATCH(Resumen!A131,Procesos!$2:$2,0)+6)=0,"",INDEX(Procesos!$A$1:$HZ$457,MATCH(Resumen!$A$3&amp;"     ITEM # "&amp;Resumen!G131,Procesos!$A:$A,0)+6,MATCH(Resumen!A131,Procesos!$2:$2,0)+6)),"")</f>
        <v/>
      </c>
    </row>
    <row r="132" spans="1:9" x14ac:dyDescent="0.25">
      <c r="A132" t="str">
        <f>IF(Pedidos!$BA133="Proceso",Pedidos!BB133,"")</f>
        <v/>
      </c>
      <c r="B132" t="str">
        <f>IF(Pedidos!$BA133="Proceso",Pedidos!BC133,"")</f>
        <v/>
      </c>
      <c r="C132" t="str">
        <f>IF(Pedidos!$BA133="Proceso",Pedidos!BD133,"")</f>
        <v/>
      </c>
      <c r="D132" s="490" t="str">
        <f>IF(Pedidos!$BA133="Proceso",Pedidos!BE133,"")</f>
        <v/>
      </c>
      <c r="E132" s="490" t="str">
        <f>IF($A132&lt;&gt;"",VLOOKUP($A132,Pedidos!$A$2:$I$9998,8,0),"")</f>
        <v/>
      </c>
      <c r="F132" s="490" t="str">
        <f>IF($A132&lt;&gt;"",VLOOKUP($A132,Pedidos!$A$2:$I$9998,9,0),"")</f>
        <v/>
      </c>
      <c r="H132" s="490" t="str">
        <f t="shared" ref="H132:H195" si="5">IF(A132="","",A132&amp;"     ITEM # "&amp;G132)</f>
        <v/>
      </c>
      <c r="I132" s="490" t="str">
        <f>IFERROR(IF(INDEX(Procesos!$A$1:$HZ$457,MATCH(Resumen!$A$3&amp;"     ITEM # "&amp;Resumen!G132,Procesos!$A:$A,0)+6,MATCH(Resumen!A132,Procesos!$2:$2,0)+6)=0,"",INDEX(Procesos!$A$1:$HZ$457,MATCH(Resumen!$A$3&amp;"     ITEM # "&amp;Resumen!G132,Procesos!$A:$A,0)+6,MATCH(Resumen!A132,Procesos!$2:$2,0)+6)),"")</f>
        <v/>
      </c>
    </row>
    <row r="133" spans="1:9" x14ac:dyDescent="0.25">
      <c r="A133" t="str">
        <f>IF(Pedidos!$BA134="Proceso",Pedidos!BB134,"")</f>
        <v/>
      </c>
      <c r="B133" t="str">
        <f>IF(Pedidos!$BA134="Proceso",Pedidos!BC134,"")</f>
        <v/>
      </c>
      <c r="C133" t="str">
        <f>IF(Pedidos!$BA134="Proceso",Pedidos!BD134,"")</f>
        <v/>
      </c>
      <c r="D133" s="490" t="str">
        <f>IF(Pedidos!$BA134="Proceso",Pedidos!BE134,"")</f>
        <v/>
      </c>
      <c r="E133" s="490" t="str">
        <f>IF($A133&lt;&gt;"",VLOOKUP($A133,Pedidos!$A$2:$I$9998,8,0),"")</f>
        <v/>
      </c>
      <c r="F133" s="490" t="str">
        <f>IF($A133&lt;&gt;"",VLOOKUP($A133,Pedidos!$A$2:$I$9998,9,0),"")</f>
        <v/>
      </c>
      <c r="H133" s="490" t="str">
        <f t="shared" si="5"/>
        <v/>
      </c>
      <c r="I133" s="490" t="str">
        <f>IFERROR(IF(INDEX(Procesos!$A$1:$HZ$457,MATCH(Resumen!$A$3&amp;"     ITEM # "&amp;Resumen!G133,Procesos!$A:$A,0)+6,MATCH(Resumen!A133,Procesos!$2:$2,0)+6)=0,"",INDEX(Procesos!$A$1:$HZ$457,MATCH(Resumen!$A$3&amp;"     ITEM # "&amp;Resumen!G133,Procesos!$A:$A,0)+6,MATCH(Resumen!A133,Procesos!$2:$2,0)+6)),"")</f>
        <v/>
      </c>
    </row>
    <row r="134" spans="1:9" x14ac:dyDescent="0.25">
      <c r="A134" t="str">
        <f>IF(Pedidos!$BA135="Proceso",Pedidos!BB135,"")</f>
        <v/>
      </c>
      <c r="B134" t="str">
        <f>IF(Pedidos!$BA135="Proceso",Pedidos!BC135,"")</f>
        <v/>
      </c>
      <c r="C134" t="str">
        <f>IF(Pedidos!$BA135="Proceso",Pedidos!BD135,"")</f>
        <v/>
      </c>
      <c r="D134" s="490" t="str">
        <f>IF(Pedidos!$BA135="Proceso",Pedidos!BE135,"")</f>
        <v/>
      </c>
      <c r="E134" s="490" t="str">
        <f>IF($A134&lt;&gt;"",VLOOKUP($A134,Pedidos!$A$2:$I$9998,8,0),"")</f>
        <v/>
      </c>
      <c r="F134" s="490" t="str">
        <f>IF($A134&lt;&gt;"",VLOOKUP($A134,Pedidos!$A$2:$I$9998,9,0),"")</f>
        <v/>
      </c>
      <c r="H134" s="490" t="str">
        <f t="shared" si="5"/>
        <v/>
      </c>
      <c r="I134" s="490" t="str">
        <f>IFERROR(IF(INDEX(Procesos!$A$1:$HZ$457,MATCH(Resumen!$A$3&amp;"     ITEM # "&amp;Resumen!G134,Procesos!$A:$A,0)+6,MATCH(Resumen!A134,Procesos!$2:$2,0)+6)=0,"",INDEX(Procesos!$A$1:$HZ$457,MATCH(Resumen!$A$3&amp;"     ITEM # "&amp;Resumen!G134,Procesos!$A:$A,0)+6,MATCH(Resumen!A134,Procesos!$2:$2,0)+6)),"")</f>
        <v/>
      </c>
    </row>
    <row r="135" spans="1:9" x14ac:dyDescent="0.25">
      <c r="A135" t="str">
        <f>IF(Pedidos!$BA136="Proceso",Pedidos!BB136,"")</f>
        <v/>
      </c>
      <c r="B135" t="str">
        <f>IF(Pedidos!$BA136="Proceso",Pedidos!BC136,"")</f>
        <v/>
      </c>
      <c r="C135" t="str">
        <f>IF(Pedidos!$BA136="Proceso",Pedidos!BD136,"")</f>
        <v/>
      </c>
      <c r="D135" s="490" t="str">
        <f>IF(Pedidos!$BA136="Proceso",Pedidos!BE136,"")</f>
        <v/>
      </c>
      <c r="E135" s="490" t="str">
        <f>IF($A135&lt;&gt;"",VLOOKUP($A135,Pedidos!$A$2:$I$9998,8,0),"")</f>
        <v/>
      </c>
      <c r="F135" s="490" t="str">
        <f>IF($A135&lt;&gt;"",VLOOKUP($A135,Pedidos!$A$2:$I$9998,9,0),"")</f>
        <v/>
      </c>
      <c r="H135" s="490" t="str">
        <f t="shared" si="5"/>
        <v/>
      </c>
      <c r="I135" s="490" t="str">
        <f>IFERROR(IF(INDEX(Procesos!$A$1:$HZ$457,MATCH(Resumen!$A$3&amp;"     ITEM # "&amp;Resumen!G135,Procesos!$A:$A,0)+6,MATCH(Resumen!A135,Procesos!$2:$2,0)+6)=0,"",INDEX(Procesos!$A$1:$HZ$457,MATCH(Resumen!$A$3&amp;"     ITEM # "&amp;Resumen!G135,Procesos!$A:$A,0)+6,MATCH(Resumen!A135,Procesos!$2:$2,0)+6)),"")</f>
        <v/>
      </c>
    </row>
    <row r="136" spans="1:9" x14ac:dyDescent="0.25">
      <c r="A136" t="str">
        <f>IF(Pedidos!$BA137="Proceso",Pedidos!BB137,"")</f>
        <v/>
      </c>
      <c r="B136" t="str">
        <f>IF(Pedidos!$BA137="Proceso",Pedidos!BC137,"")</f>
        <v/>
      </c>
      <c r="C136" t="str">
        <f>IF(Pedidos!$BA137="Proceso",Pedidos!BD137,"")</f>
        <v/>
      </c>
      <c r="D136" s="490" t="str">
        <f>IF(Pedidos!$BA137="Proceso",Pedidos!BE137,"")</f>
        <v/>
      </c>
      <c r="E136" s="490" t="str">
        <f>IF($A136&lt;&gt;"",VLOOKUP($A136,Pedidos!$A$2:$I$9998,8,0),"")</f>
        <v/>
      </c>
      <c r="F136" s="490" t="str">
        <f>IF($A136&lt;&gt;"",VLOOKUP($A136,Pedidos!$A$2:$I$9998,9,0),"")</f>
        <v/>
      </c>
      <c r="H136" s="490" t="str">
        <f t="shared" si="5"/>
        <v/>
      </c>
      <c r="I136" s="490" t="str">
        <f>IFERROR(IF(INDEX(Procesos!$A$1:$HZ$457,MATCH(Resumen!$A$3&amp;"     ITEM # "&amp;Resumen!G136,Procesos!$A:$A,0)+6,MATCH(Resumen!A136,Procesos!$2:$2,0)+6)=0,"",INDEX(Procesos!$A$1:$HZ$457,MATCH(Resumen!$A$3&amp;"     ITEM # "&amp;Resumen!G136,Procesos!$A:$A,0)+6,MATCH(Resumen!A136,Procesos!$2:$2,0)+6)),"")</f>
        <v/>
      </c>
    </row>
    <row r="137" spans="1:9" x14ac:dyDescent="0.25">
      <c r="A137" t="str">
        <f>IF(Pedidos!$BA138="Proceso",Pedidos!BB138,"")</f>
        <v/>
      </c>
      <c r="B137" t="str">
        <f>IF(Pedidos!$BA138="Proceso",Pedidos!BC138,"")</f>
        <v/>
      </c>
      <c r="C137" t="str">
        <f>IF(Pedidos!$BA138="Proceso",Pedidos!BD138,"")</f>
        <v/>
      </c>
      <c r="D137" s="490" t="str">
        <f>IF(Pedidos!$BA138="Proceso",Pedidos!BE138,"")</f>
        <v/>
      </c>
      <c r="E137" s="490" t="str">
        <f>IF($A137&lt;&gt;"",VLOOKUP($A137,Pedidos!$A$2:$I$9998,8,0),"")</f>
        <v/>
      </c>
      <c r="F137" s="490" t="str">
        <f>IF($A137&lt;&gt;"",VLOOKUP($A137,Pedidos!$A$2:$I$9998,9,0),"")</f>
        <v/>
      </c>
      <c r="H137" s="490" t="str">
        <f t="shared" si="5"/>
        <v/>
      </c>
      <c r="I137" s="490" t="str">
        <f>IFERROR(IF(INDEX(Procesos!$A$1:$HZ$457,MATCH(Resumen!$A$3&amp;"     ITEM # "&amp;Resumen!G137,Procesos!$A:$A,0)+6,MATCH(Resumen!A137,Procesos!$2:$2,0)+6)=0,"",INDEX(Procesos!$A$1:$HZ$457,MATCH(Resumen!$A$3&amp;"     ITEM # "&amp;Resumen!G137,Procesos!$A:$A,0)+6,MATCH(Resumen!A137,Procesos!$2:$2,0)+6)),"")</f>
        <v/>
      </c>
    </row>
    <row r="138" spans="1:9" x14ac:dyDescent="0.25">
      <c r="A138" t="str">
        <f>IF(Pedidos!$BA139="Proceso",Pedidos!BB139,"")</f>
        <v/>
      </c>
      <c r="B138" t="str">
        <f>IF(Pedidos!$BA139="Proceso",Pedidos!BC139,"")</f>
        <v/>
      </c>
      <c r="C138" t="str">
        <f>IF(Pedidos!$BA139="Proceso",Pedidos!BD139,"")</f>
        <v/>
      </c>
      <c r="D138" s="490" t="str">
        <f>IF(Pedidos!$BA139="Proceso",Pedidos!BE139,"")</f>
        <v/>
      </c>
      <c r="E138" s="490" t="str">
        <f>IF($A138&lt;&gt;"",VLOOKUP($A138,Pedidos!$A$2:$I$9998,8,0),"")</f>
        <v/>
      </c>
      <c r="F138" s="490" t="str">
        <f>IF($A138&lt;&gt;"",VLOOKUP($A138,Pedidos!$A$2:$I$9998,9,0),"")</f>
        <v/>
      </c>
      <c r="H138" s="490" t="str">
        <f t="shared" si="5"/>
        <v/>
      </c>
      <c r="I138" s="490" t="str">
        <f>IFERROR(IF(INDEX(Procesos!$A$1:$HZ$457,MATCH(Resumen!$A$3&amp;"     ITEM # "&amp;Resumen!G138,Procesos!$A:$A,0)+6,MATCH(Resumen!A138,Procesos!$2:$2,0)+6)=0,"",INDEX(Procesos!$A$1:$HZ$457,MATCH(Resumen!$A$3&amp;"     ITEM # "&amp;Resumen!G138,Procesos!$A:$A,0)+6,MATCH(Resumen!A138,Procesos!$2:$2,0)+6)),"")</f>
        <v/>
      </c>
    </row>
    <row r="139" spans="1:9" x14ac:dyDescent="0.25">
      <c r="A139" t="str">
        <f>IF(Pedidos!$BA140="Proceso",Pedidos!BB140,"")</f>
        <v/>
      </c>
      <c r="B139" t="str">
        <f>IF(Pedidos!$BA140="Proceso",Pedidos!BC140,"")</f>
        <v/>
      </c>
      <c r="C139" t="str">
        <f>IF(Pedidos!$BA140="Proceso",Pedidos!BD140,"")</f>
        <v/>
      </c>
      <c r="D139" s="490" t="str">
        <f>IF(Pedidos!$BA140="Proceso",Pedidos!BE140,"")</f>
        <v/>
      </c>
      <c r="E139" s="490" t="str">
        <f>IF($A139&lt;&gt;"",VLOOKUP($A139,Pedidos!$A$2:$I$9998,8,0),"")</f>
        <v/>
      </c>
      <c r="F139" s="490" t="str">
        <f>IF($A139&lt;&gt;"",VLOOKUP($A139,Pedidos!$A$2:$I$9998,9,0),"")</f>
        <v/>
      </c>
      <c r="H139" s="490" t="str">
        <f t="shared" si="5"/>
        <v/>
      </c>
      <c r="I139" s="490" t="str">
        <f>IFERROR(IF(INDEX(Procesos!$A$1:$HZ$457,MATCH(Resumen!$A$3&amp;"     ITEM # "&amp;Resumen!G139,Procesos!$A:$A,0)+6,MATCH(Resumen!A139,Procesos!$2:$2,0)+6)=0,"",INDEX(Procesos!$A$1:$HZ$457,MATCH(Resumen!$A$3&amp;"     ITEM # "&amp;Resumen!G139,Procesos!$A:$A,0)+6,MATCH(Resumen!A139,Procesos!$2:$2,0)+6)),"")</f>
        <v/>
      </c>
    </row>
    <row r="140" spans="1:9" x14ac:dyDescent="0.25">
      <c r="A140" t="str">
        <f>IF(Pedidos!$BA141="Proceso",Pedidos!BB141,"")</f>
        <v/>
      </c>
      <c r="B140" t="str">
        <f>IF(Pedidos!$BA141="Proceso",Pedidos!BC141,"")</f>
        <v/>
      </c>
      <c r="C140" t="str">
        <f>IF(Pedidos!$BA141="Proceso",Pedidos!BD141,"")</f>
        <v/>
      </c>
      <c r="D140" s="490" t="str">
        <f>IF(Pedidos!$BA141="Proceso",Pedidos!BE141,"")</f>
        <v/>
      </c>
      <c r="E140" s="490" t="str">
        <f>IF($A140&lt;&gt;"",VLOOKUP($A140,Pedidos!$A$2:$I$9998,8,0),"")</f>
        <v/>
      </c>
      <c r="F140" s="490" t="str">
        <f>IF($A140&lt;&gt;"",VLOOKUP($A140,Pedidos!$A$2:$I$9998,9,0),"")</f>
        <v/>
      </c>
      <c r="H140" s="490" t="str">
        <f t="shared" si="5"/>
        <v/>
      </c>
      <c r="I140" s="490" t="str">
        <f>IFERROR(IF(INDEX(Procesos!$A$1:$HZ$457,MATCH(Resumen!$A$3&amp;"     ITEM # "&amp;Resumen!G140,Procesos!$A:$A,0)+6,MATCH(Resumen!A140,Procesos!$2:$2,0)+6)=0,"",INDEX(Procesos!$A$1:$HZ$457,MATCH(Resumen!$A$3&amp;"     ITEM # "&amp;Resumen!G140,Procesos!$A:$A,0)+6,MATCH(Resumen!A140,Procesos!$2:$2,0)+6)),"")</f>
        <v/>
      </c>
    </row>
    <row r="141" spans="1:9" x14ac:dyDescent="0.25">
      <c r="A141" t="str">
        <f>IF(Pedidos!$BA142="Proceso",Pedidos!BB142,"")</f>
        <v/>
      </c>
      <c r="B141" t="str">
        <f>IF(Pedidos!$BA142="Proceso",Pedidos!BC142,"")</f>
        <v/>
      </c>
      <c r="C141" t="str">
        <f>IF(Pedidos!$BA142="Proceso",Pedidos!BD142,"")</f>
        <v/>
      </c>
      <c r="D141" s="490" t="str">
        <f>IF(Pedidos!$BA142="Proceso",Pedidos!BE142,"")</f>
        <v/>
      </c>
      <c r="E141" s="490" t="str">
        <f>IF($A141&lt;&gt;"",VLOOKUP($A141,Pedidos!$A$2:$I$9998,8,0),"")</f>
        <v/>
      </c>
      <c r="F141" s="490" t="str">
        <f>IF($A141&lt;&gt;"",VLOOKUP($A141,Pedidos!$A$2:$I$9998,9,0),"")</f>
        <v/>
      </c>
      <c r="H141" s="490" t="str">
        <f t="shared" si="5"/>
        <v/>
      </c>
      <c r="I141" s="490" t="str">
        <f>IFERROR(IF(INDEX(Procesos!$A$1:$HZ$457,MATCH(Resumen!$A$3&amp;"     ITEM # "&amp;Resumen!G141,Procesos!$A:$A,0)+6,MATCH(Resumen!A141,Procesos!$2:$2,0)+6)=0,"",INDEX(Procesos!$A$1:$HZ$457,MATCH(Resumen!$A$3&amp;"     ITEM # "&amp;Resumen!G141,Procesos!$A:$A,0)+6,MATCH(Resumen!A141,Procesos!$2:$2,0)+6)),"")</f>
        <v/>
      </c>
    </row>
    <row r="142" spans="1:9" x14ac:dyDescent="0.25">
      <c r="A142" t="str">
        <f>IF(Pedidos!$BA143="Proceso",Pedidos!BB143,"")</f>
        <v/>
      </c>
      <c r="B142" t="str">
        <f>IF(Pedidos!$BA143="Proceso",Pedidos!BC143,"")</f>
        <v/>
      </c>
      <c r="C142" t="str">
        <f>IF(Pedidos!$BA143="Proceso",Pedidos!BD143,"")</f>
        <v/>
      </c>
      <c r="D142" s="490" t="str">
        <f>IF(Pedidos!$BA143="Proceso",Pedidos!BE143,"")</f>
        <v/>
      </c>
      <c r="E142" s="490" t="str">
        <f>IF($A142&lt;&gt;"",VLOOKUP($A142,Pedidos!$A$2:$I$9998,8,0),"")</f>
        <v/>
      </c>
      <c r="F142" s="490" t="str">
        <f>IF($A142&lt;&gt;"",VLOOKUP($A142,Pedidos!$A$2:$I$9998,9,0),"")</f>
        <v/>
      </c>
      <c r="H142" s="490" t="str">
        <f t="shared" si="5"/>
        <v/>
      </c>
      <c r="I142" s="490" t="str">
        <f>IFERROR(IF(INDEX(Procesos!$A$1:$HZ$457,MATCH(Resumen!$A$3&amp;"     ITEM # "&amp;Resumen!G142,Procesos!$A:$A,0)+6,MATCH(Resumen!A142,Procesos!$2:$2,0)+6)=0,"",INDEX(Procesos!$A$1:$HZ$457,MATCH(Resumen!$A$3&amp;"     ITEM # "&amp;Resumen!G142,Procesos!$A:$A,0)+6,MATCH(Resumen!A142,Procesos!$2:$2,0)+6)),"")</f>
        <v/>
      </c>
    </row>
    <row r="143" spans="1:9" x14ac:dyDescent="0.25">
      <c r="A143" t="str">
        <f>IF(Pedidos!$BA144="Proceso",Pedidos!BB144,"")</f>
        <v/>
      </c>
      <c r="B143" t="str">
        <f>IF(Pedidos!$BA144="Proceso",Pedidos!BC144,"")</f>
        <v/>
      </c>
      <c r="C143" t="str">
        <f>IF(Pedidos!$BA144="Proceso",Pedidos!BD144,"")</f>
        <v/>
      </c>
      <c r="D143" s="490" t="str">
        <f>IF(Pedidos!$BA144="Proceso",Pedidos!BE144,"")</f>
        <v/>
      </c>
      <c r="E143" s="490" t="str">
        <f>IF($A143&lt;&gt;"",VLOOKUP($A143,Pedidos!$A$2:$I$9998,8,0),"")</f>
        <v/>
      </c>
      <c r="F143" s="490" t="str">
        <f>IF($A143&lt;&gt;"",VLOOKUP($A143,Pedidos!$A$2:$I$9998,9,0),"")</f>
        <v/>
      </c>
      <c r="H143" s="490" t="str">
        <f t="shared" si="5"/>
        <v/>
      </c>
      <c r="I143" s="490" t="str">
        <f>IFERROR(IF(INDEX(Procesos!$A$1:$HZ$457,MATCH(Resumen!$A$3&amp;"     ITEM # "&amp;Resumen!G143,Procesos!$A:$A,0)+6,MATCH(Resumen!A143,Procesos!$2:$2,0)+6)=0,"",INDEX(Procesos!$A$1:$HZ$457,MATCH(Resumen!$A$3&amp;"     ITEM # "&amp;Resumen!G143,Procesos!$A:$A,0)+6,MATCH(Resumen!A143,Procesos!$2:$2,0)+6)),"")</f>
        <v/>
      </c>
    </row>
    <row r="144" spans="1:9" x14ac:dyDescent="0.25">
      <c r="A144" t="str">
        <f>IF(Pedidos!$BA145="Proceso",Pedidos!BB145,"")</f>
        <v/>
      </c>
      <c r="B144" t="str">
        <f>IF(Pedidos!$BA145="Proceso",Pedidos!BC145,"")</f>
        <v/>
      </c>
      <c r="C144" t="str">
        <f>IF(Pedidos!$BA145="Proceso",Pedidos!BD145,"")</f>
        <v/>
      </c>
      <c r="D144" s="490" t="str">
        <f>IF(Pedidos!$BA145="Proceso",Pedidos!BE145,"")</f>
        <v/>
      </c>
      <c r="E144" s="490" t="str">
        <f>IF($A144&lt;&gt;"",VLOOKUP($A144,Pedidos!$A$2:$I$9998,8,0),"")</f>
        <v/>
      </c>
      <c r="F144" s="490" t="str">
        <f>IF($A144&lt;&gt;"",VLOOKUP($A144,Pedidos!$A$2:$I$9998,9,0),"")</f>
        <v/>
      </c>
      <c r="H144" s="490" t="str">
        <f t="shared" si="5"/>
        <v/>
      </c>
      <c r="I144" s="490" t="str">
        <f>IFERROR(IF(INDEX(Procesos!$A$1:$HZ$457,MATCH(Resumen!$A$3&amp;"     ITEM # "&amp;Resumen!G144,Procesos!$A:$A,0)+6,MATCH(Resumen!A144,Procesos!$2:$2,0)+6)=0,"",INDEX(Procesos!$A$1:$HZ$457,MATCH(Resumen!$A$3&amp;"     ITEM # "&amp;Resumen!G144,Procesos!$A:$A,0)+6,MATCH(Resumen!A144,Procesos!$2:$2,0)+6)),"")</f>
        <v/>
      </c>
    </row>
    <row r="145" spans="1:9" x14ac:dyDescent="0.25">
      <c r="A145" t="str">
        <f>IF(Pedidos!$BA146="Proceso",Pedidos!BB146,"")</f>
        <v/>
      </c>
      <c r="B145" t="str">
        <f>IF(Pedidos!$BA146="Proceso",Pedidos!BC146,"")</f>
        <v/>
      </c>
      <c r="C145" t="str">
        <f>IF(Pedidos!$BA146="Proceso",Pedidos!BD146,"")</f>
        <v/>
      </c>
      <c r="D145" s="490" t="str">
        <f>IF(Pedidos!$BA146="Proceso",Pedidos!BE146,"")</f>
        <v/>
      </c>
      <c r="E145" s="490" t="str">
        <f>IF($A145&lt;&gt;"",VLOOKUP($A145,Pedidos!$A$2:$I$9998,8,0),"")</f>
        <v/>
      </c>
      <c r="F145" s="490" t="str">
        <f>IF($A145&lt;&gt;"",VLOOKUP($A145,Pedidos!$A$2:$I$9998,9,0),"")</f>
        <v/>
      </c>
      <c r="H145" s="490" t="str">
        <f t="shared" si="5"/>
        <v/>
      </c>
      <c r="I145" s="490" t="str">
        <f>IFERROR(IF(INDEX(Procesos!$A$1:$HZ$457,MATCH(Resumen!$A$3&amp;"     ITEM # "&amp;Resumen!G145,Procesos!$A:$A,0)+6,MATCH(Resumen!A145,Procesos!$2:$2,0)+6)=0,"",INDEX(Procesos!$A$1:$HZ$457,MATCH(Resumen!$A$3&amp;"     ITEM # "&amp;Resumen!G145,Procesos!$A:$A,0)+6,MATCH(Resumen!A145,Procesos!$2:$2,0)+6)),"")</f>
        <v/>
      </c>
    </row>
    <row r="146" spans="1:9" x14ac:dyDescent="0.25">
      <c r="A146" t="str">
        <f>IF(Pedidos!$BA147="Proceso",Pedidos!BB147,"")</f>
        <v/>
      </c>
      <c r="B146" t="str">
        <f>IF(Pedidos!$BA147="Proceso",Pedidos!BC147,"")</f>
        <v/>
      </c>
      <c r="C146" t="str">
        <f>IF(Pedidos!$BA147="Proceso",Pedidos!BD147,"")</f>
        <v/>
      </c>
      <c r="D146" s="490" t="str">
        <f>IF(Pedidos!$BA147="Proceso",Pedidos!BE147,"")</f>
        <v/>
      </c>
      <c r="E146" s="490" t="str">
        <f>IF($A146&lt;&gt;"",VLOOKUP($A146,Pedidos!$A$2:$I$9998,8,0),"")</f>
        <v/>
      </c>
      <c r="F146" s="490" t="str">
        <f>IF($A146&lt;&gt;"",VLOOKUP($A146,Pedidos!$A$2:$I$9998,9,0),"")</f>
        <v/>
      </c>
      <c r="H146" s="490" t="str">
        <f t="shared" si="5"/>
        <v/>
      </c>
      <c r="I146" s="490" t="str">
        <f>IFERROR(IF(INDEX(Procesos!$A$1:$HZ$457,MATCH(Resumen!$A$3&amp;"     ITEM # "&amp;Resumen!G146,Procesos!$A:$A,0)+6,MATCH(Resumen!A146,Procesos!$2:$2,0)+6)=0,"",INDEX(Procesos!$A$1:$HZ$457,MATCH(Resumen!$A$3&amp;"     ITEM # "&amp;Resumen!G146,Procesos!$A:$A,0)+6,MATCH(Resumen!A146,Procesos!$2:$2,0)+6)),"")</f>
        <v/>
      </c>
    </row>
    <row r="147" spans="1:9" x14ac:dyDescent="0.25">
      <c r="A147" t="str">
        <f>IF(Pedidos!$BA148="Proceso",Pedidos!BB148,"")</f>
        <v/>
      </c>
      <c r="B147" t="str">
        <f>IF(Pedidos!$BA148="Proceso",Pedidos!BC148,"")</f>
        <v/>
      </c>
      <c r="C147" t="str">
        <f>IF(Pedidos!$BA148="Proceso",Pedidos!BD148,"")</f>
        <v/>
      </c>
      <c r="D147" s="490" t="str">
        <f>IF(Pedidos!$BA148="Proceso",Pedidos!BE148,"")</f>
        <v/>
      </c>
      <c r="E147" s="490" t="str">
        <f>IF($A147&lt;&gt;"",VLOOKUP($A147,Pedidos!$A$2:$I$9998,8,0),"")</f>
        <v/>
      </c>
      <c r="F147" s="490" t="str">
        <f>IF($A147&lt;&gt;"",VLOOKUP($A147,Pedidos!$A$2:$I$9998,9,0),"")</f>
        <v/>
      </c>
      <c r="H147" s="490" t="str">
        <f t="shared" si="5"/>
        <v/>
      </c>
      <c r="I147" s="490" t="str">
        <f>IFERROR(IF(INDEX(Procesos!$A$1:$HZ$457,MATCH(Resumen!$A$3&amp;"     ITEM # "&amp;Resumen!G147,Procesos!$A:$A,0)+6,MATCH(Resumen!A147,Procesos!$2:$2,0)+6)=0,"",INDEX(Procesos!$A$1:$HZ$457,MATCH(Resumen!$A$3&amp;"     ITEM # "&amp;Resumen!G147,Procesos!$A:$A,0)+6,MATCH(Resumen!A147,Procesos!$2:$2,0)+6)),"")</f>
        <v/>
      </c>
    </row>
    <row r="148" spans="1:9" x14ac:dyDescent="0.25">
      <c r="A148" t="str">
        <f>IF(Pedidos!$BA149="Proceso",Pedidos!BB149,"")</f>
        <v/>
      </c>
      <c r="B148" t="str">
        <f>IF(Pedidos!$BA149="Proceso",Pedidos!BC149,"")</f>
        <v/>
      </c>
      <c r="C148" t="str">
        <f>IF(Pedidos!$BA149="Proceso",Pedidos!BD149,"")</f>
        <v/>
      </c>
      <c r="D148" s="490" t="str">
        <f>IF(Pedidos!$BA149="Proceso",Pedidos!BE149,"")</f>
        <v/>
      </c>
      <c r="E148" s="490" t="str">
        <f>IF($A148&lt;&gt;"",VLOOKUP($A148,Pedidos!$A$2:$I$9998,8,0),"")</f>
        <v/>
      </c>
      <c r="F148" s="490" t="str">
        <f>IF($A148&lt;&gt;"",VLOOKUP($A148,Pedidos!$A$2:$I$9998,9,0),"")</f>
        <v/>
      </c>
      <c r="H148" s="490" t="str">
        <f t="shared" si="5"/>
        <v/>
      </c>
      <c r="I148" s="490" t="str">
        <f>IFERROR(IF(INDEX(Procesos!$A$1:$HZ$457,MATCH(Resumen!$A$3&amp;"     ITEM # "&amp;Resumen!G148,Procesos!$A:$A,0)+6,MATCH(Resumen!A148,Procesos!$2:$2,0)+6)=0,"",INDEX(Procesos!$A$1:$HZ$457,MATCH(Resumen!$A$3&amp;"     ITEM # "&amp;Resumen!G148,Procesos!$A:$A,0)+6,MATCH(Resumen!A148,Procesos!$2:$2,0)+6)),"")</f>
        <v/>
      </c>
    </row>
    <row r="149" spans="1:9" x14ac:dyDescent="0.25">
      <c r="A149" t="str">
        <f>IF(Pedidos!$BA150="Proceso",Pedidos!BB150,"")</f>
        <v/>
      </c>
      <c r="B149" t="str">
        <f>IF(Pedidos!$BA150="Proceso",Pedidos!BC150,"")</f>
        <v/>
      </c>
      <c r="C149" t="str">
        <f>IF(Pedidos!$BA150="Proceso",Pedidos!BD150,"")</f>
        <v/>
      </c>
      <c r="D149" s="490" t="str">
        <f>IF(Pedidos!$BA150="Proceso",Pedidos!BE150,"")</f>
        <v/>
      </c>
      <c r="E149" s="490" t="str">
        <f>IF($A149&lt;&gt;"",VLOOKUP($A149,Pedidos!$A$2:$I$9998,8,0),"")</f>
        <v/>
      </c>
      <c r="F149" s="490" t="str">
        <f>IF($A149&lt;&gt;"",VLOOKUP($A149,Pedidos!$A$2:$I$9998,9,0),"")</f>
        <v/>
      </c>
      <c r="H149" s="490" t="str">
        <f t="shared" si="5"/>
        <v/>
      </c>
      <c r="I149" s="490" t="str">
        <f>IFERROR(IF(INDEX(Procesos!$A$1:$HZ$457,MATCH(Resumen!$A$3&amp;"     ITEM # "&amp;Resumen!G149,Procesos!$A:$A,0)+6,MATCH(Resumen!A149,Procesos!$2:$2,0)+6)=0,"",INDEX(Procesos!$A$1:$HZ$457,MATCH(Resumen!$A$3&amp;"     ITEM # "&amp;Resumen!G149,Procesos!$A:$A,0)+6,MATCH(Resumen!A149,Procesos!$2:$2,0)+6)),"")</f>
        <v/>
      </c>
    </row>
    <row r="150" spans="1:9" x14ac:dyDescent="0.25">
      <c r="A150" t="str">
        <f>IF(Pedidos!$BA151="Proceso",Pedidos!BB151,"")</f>
        <v/>
      </c>
      <c r="B150" t="str">
        <f>IF(Pedidos!$BA151="Proceso",Pedidos!BC151,"")</f>
        <v/>
      </c>
      <c r="C150" t="str">
        <f>IF(Pedidos!$BA151="Proceso",Pedidos!BD151,"")</f>
        <v/>
      </c>
      <c r="D150" s="490" t="str">
        <f>IF(Pedidos!$BA151="Proceso",Pedidos!BE151,"")</f>
        <v/>
      </c>
      <c r="E150" s="490" t="str">
        <f>IF($A150&lt;&gt;"",VLOOKUP($A150,Pedidos!$A$2:$I$9998,8,0),"")</f>
        <v/>
      </c>
      <c r="F150" s="490" t="str">
        <f>IF($A150&lt;&gt;"",VLOOKUP($A150,Pedidos!$A$2:$I$9998,9,0),"")</f>
        <v/>
      </c>
      <c r="H150" s="490" t="str">
        <f t="shared" si="5"/>
        <v/>
      </c>
      <c r="I150" s="490" t="str">
        <f>IFERROR(IF(INDEX(Procesos!$A$1:$HZ$457,MATCH(Resumen!$A$3&amp;"     ITEM # "&amp;Resumen!G150,Procesos!$A:$A,0)+6,MATCH(Resumen!A150,Procesos!$2:$2,0)+6)=0,"",INDEX(Procesos!$A$1:$HZ$457,MATCH(Resumen!$A$3&amp;"     ITEM # "&amp;Resumen!G150,Procesos!$A:$A,0)+6,MATCH(Resumen!A150,Procesos!$2:$2,0)+6)),"")</f>
        <v/>
      </c>
    </row>
    <row r="151" spans="1:9" x14ac:dyDescent="0.25">
      <c r="A151" t="str">
        <f>IF(Pedidos!$BA152="Proceso",Pedidos!BB152,"")</f>
        <v/>
      </c>
      <c r="B151" t="str">
        <f>IF(Pedidos!$BA152="Proceso",Pedidos!BC152,"")</f>
        <v/>
      </c>
      <c r="C151" t="str">
        <f>IF(Pedidos!$BA152="Proceso",Pedidos!BD152,"")</f>
        <v/>
      </c>
      <c r="D151" s="490" t="str">
        <f>IF(Pedidos!$BA152="Proceso",Pedidos!BE152,"")</f>
        <v/>
      </c>
      <c r="E151" s="490" t="str">
        <f>IF($A151&lt;&gt;"",VLOOKUP($A151,Pedidos!$A$2:$I$9998,8,0),"")</f>
        <v/>
      </c>
      <c r="F151" s="490" t="str">
        <f>IF($A151&lt;&gt;"",VLOOKUP($A151,Pedidos!$A$2:$I$9998,9,0),"")</f>
        <v/>
      </c>
      <c r="H151" s="490" t="str">
        <f t="shared" si="5"/>
        <v/>
      </c>
      <c r="I151" s="490" t="str">
        <f>IFERROR(IF(INDEX(Procesos!$A$1:$HZ$457,MATCH(Resumen!$A$3&amp;"     ITEM # "&amp;Resumen!G151,Procesos!$A:$A,0)+6,MATCH(Resumen!A151,Procesos!$2:$2,0)+6)=0,"",INDEX(Procesos!$A$1:$HZ$457,MATCH(Resumen!$A$3&amp;"     ITEM # "&amp;Resumen!G151,Procesos!$A:$A,0)+6,MATCH(Resumen!A151,Procesos!$2:$2,0)+6)),"")</f>
        <v/>
      </c>
    </row>
    <row r="152" spans="1:9" x14ac:dyDescent="0.25">
      <c r="A152" t="str">
        <f>IF(Pedidos!$BA153="Proceso",Pedidos!BB153,"")</f>
        <v/>
      </c>
      <c r="B152" t="str">
        <f>IF(Pedidos!$BA153="Proceso",Pedidos!BC153,"")</f>
        <v/>
      </c>
      <c r="C152" t="str">
        <f>IF(Pedidos!$BA153="Proceso",Pedidos!BD153,"")</f>
        <v/>
      </c>
      <c r="D152" s="490" t="str">
        <f>IF(Pedidos!$BA153="Proceso",Pedidos!BE153,"")</f>
        <v/>
      </c>
      <c r="E152" s="490" t="str">
        <f>IF($A152&lt;&gt;"",VLOOKUP($A152,Pedidos!$A$2:$I$9998,8,0),"")</f>
        <v/>
      </c>
      <c r="F152" s="490" t="str">
        <f>IF($A152&lt;&gt;"",VLOOKUP($A152,Pedidos!$A$2:$I$9998,9,0),"")</f>
        <v/>
      </c>
      <c r="H152" s="490" t="str">
        <f t="shared" si="5"/>
        <v/>
      </c>
      <c r="I152" s="490" t="str">
        <f>IFERROR(IF(INDEX(Procesos!$A$1:$HZ$457,MATCH(Resumen!$A$3&amp;"     ITEM # "&amp;Resumen!G152,Procesos!$A:$A,0)+6,MATCH(Resumen!A152,Procesos!$2:$2,0)+6)=0,"",INDEX(Procesos!$A$1:$HZ$457,MATCH(Resumen!$A$3&amp;"     ITEM # "&amp;Resumen!G152,Procesos!$A:$A,0)+6,MATCH(Resumen!A152,Procesos!$2:$2,0)+6)),"")</f>
        <v/>
      </c>
    </row>
    <row r="153" spans="1:9" x14ac:dyDescent="0.25">
      <c r="A153" t="str">
        <f>IF(Pedidos!$BA154="Proceso",Pedidos!BB154,"")</f>
        <v/>
      </c>
      <c r="B153" t="str">
        <f>IF(Pedidos!$BA154="Proceso",Pedidos!BC154,"")</f>
        <v/>
      </c>
      <c r="C153" t="str">
        <f>IF(Pedidos!$BA154="Proceso",Pedidos!BD154,"")</f>
        <v/>
      </c>
      <c r="D153" s="490" t="str">
        <f>IF(Pedidos!$BA154="Proceso",Pedidos!BE154,"")</f>
        <v/>
      </c>
      <c r="E153" s="490" t="str">
        <f>IF($A153&lt;&gt;"",VLOOKUP($A153,Pedidos!$A$2:$I$9998,8,0),"")</f>
        <v/>
      </c>
      <c r="F153" s="490" t="str">
        <f>IF($A153&lt;&gt;"",VLOOKUP($A153,Pedidos!$A$2:$I$9998,9,0),"")</f>
        <v/>
      </c>
      <c r="H153" s="490" t="str">
        <f t="shared" si="5"/>
        <v/>
      </c>
      <c r="I153" s="490" t="str">
        <f>IFERROR(IF(INDEX(Procesos!$A$1:$HZ$457,MATCH(Resumen!$A$3&amp;"     ITEM # "&amp;Resumen!G153,Procesos!$A:$A,0)+6,MATCH(Resumen!A153,Procesos!$2:$2,0)+6)=0,"",INDEX(Procesos!$A$1:$HZ$457,MATCH(Resumen!$A$3&amp;"     ITEM # "&amp;Resumen!G153,Procesos!$A:$A,0)+6,MATCH(Resumen!A153,Procesos!$2:$2,0)+6)),"")</f>
        <v/>
      </c>
    </row>
    <row r="154" spans="1:9" x14ac:dyDescent="0.25">
      <c r="A154" t="str">
        <f>IF(Pedidos!$BA155="Proceso",Pedidos!BB155,"")</f>
        <v/>
      </c>
      <c r="B154" t="str">
        <f>IF(Pedidos!$BA155="Proceso",Pedidos!BC155,"")</f>
        <v/>
      </c>
      <c r="C154" t="str">
        <f>IF(Pedidos!$BA155="Proceso",Pedidos!BD155,"")</f>
        <v/>
      </c>
      <c r="D154" s="490" t="str">
        <f>IF(Pedidos!$BA155="Proceso",Pedidos!BE155,"")</f>
        <v/>
      </c>
      <c r="E154" s="490" t="str">
        <f>IF($A154&lt;&gt;"",VLOOKUP($A154,Pedidos!$A$2:$I$9998,8,0),"")</f>
        <v/>
      </c>
      <c r="F154" s="490" t="str">
        <f>IF($A154&lt;&gt;"",VLOOKUP($A154,Pedidos!$A$2:$I$9998,9,0),"")</f>
        <v/>
      </c>
      <c r="H154" s="490" t="str">
        <f t="shared" si="5"/>
        <v/>
      </c>
      <c r="I154" s="490" t="str">
        <f>IFERROR(IF(INDEX(Procesos!$A$1:$HZ$457,MATCH(Resumen!$A$3&amp;"     ITEM # "&amp;Resumen!G154,Procesos!$A:$A,0)+6,MATCH(Resumen!A154,Procesos!$2:$2,0)+6)=0,"",INDEX(Procesos!$A$1:$HZ$457,MATCH(Resumen!$A$3&amp;"     ITEM # "&amp;Resumen!G154,Procesos!$A:$A,0)+6,MATCH(Resumen!A154,Procesos!$2:$2,0)+6)),"")</f>
        <v/>
      </c>
    </row>
    <row r="155" spans="1:9" x14ac:dyDescent="0.25">
      <c r="A155" t="str">
        <f>IF(Pedidos!$BA156="Proceso",Pedidos!BB156,"")</f>
        <v/>
      </c>
      <c r="B155" t="str">
        <f>IF(Pedidos!$BA156="Proceso",Pedidos!BC156,"")</f>
        <v/>
      </c>
      <c r="C155" t="str">
        <f>IF(Pedidos!$BA156="Proceso",Pedidos!BD156,"")</f>
        <v/>
      </c>
      <c r="D155" s="490" t="str">
        <f>IF(Pedidos!$BA156="Proceso",Pedidos!BE156,"")</f>
        <v/>
      </c>
      <c r="E155" s="490" t="str">
        <f>IF($A155&lt;&gt;"",VLOOKUP($A155,Pedidos!$A$2:$I$9998,8,0),"")</f>
        <v/>
      </c>
      <c r="F155" s="490" t="str">
        <f>IF($A155&lt;&gt;"",VLOOKUP($A155,Pedidos!$A$2:$I$9998,9,0),"")</f>
        <v/>
      </c>
      <c r="H155" s="490" t="str">
        <f t="shared" si="5"/>
        <v/>
      </c>
      <c r="I155" s="490" t="str">
        <f>IFERROR(IF(INDEX(Procesos!$A$1:$HZ$457,MATCH(Resumen!$A$3&amp;"     ITEM # "&amp;Resumen!G155,Procesos!$A:$A,0)+6,MATCH(Resumen!A155,Procesos!$2:$2,0)+6)=0,"",INDEX(Procesos!$A$1:$HZ$457,MATCH(Resumen!$A$3&amp;"     ITEM # "&amp;Resumen!G155,Procesos!$A:$A,0)+6,MATCH(Resumen!A155,Procesos!$2:$2,0)+6)),"")</f>
        <v/>
      </c>
    </row>
    <row r="156" spans="1:9" x14ac:dyDescent="0.25">
      <c r="A156" t="str">
        <f>IF(Pedidos!$BA157="Proceso",Pedidos!BB157,"")</f>
        <v/>
      </c>
      <c r="B156" t="str">
        <f>IF(Pedidos!$BA157="Proceso",Pedidos!BC157,"")</f>
        <v/>
      </c>
      <c r="C156" t="str">
        <f>IF(Pedidos!$BA157="Proceso",Pedidos!BD157,"")</f>
        <v/>
      </c>
      <c r="D156" s="490" t="str">
        <f>IF(Pedidos!$BA157="Proceso",Pedidos!BE157,"")</f>
        <v/>
      </c>
      <c r="E156" s="490" t="str">
        <f>IF($A156&lt;&gt;"",VLOOKUP($A156,Pedidos!$A$2:$I$9998,8,0),"")</f>
        <v/>
      </c>
      <c r="F156" s="490" t="str">
        <f>IF($A156&lt;&gt;"",VLOOKUP($A156,Pedidos!$A$2:$I$9998,9,0),"")</f>
        <v/>
      </c>
      <c r="H156" s="490" t="str">
        <f t="shared" si="5"/>
        <v/>
      </c>
      <c r="I156" s="490" t="str">
        <f>IFERROR(IF(INDEX(Procesos!$A$1:$HZ$457,MATCH(Resumen!$A$3&amp;"     ITEM # "&amp;Resumen!G156,Procesos!$A:$A,0)+6,MATCH(Resumen!A156,Procesos!$2:$2,0)+6)=0,"",INDEX(Procesos!$A$1:$HZ$457,MATCH(Resumen!$A$3&amp;"     ITEM # "&amp;Resumen!G156,Procesos!$A:$A,0)+6,MATCH(Resumen!A156,Procesos!$2:$2,0)+6)),"")</f>
        <v/>
      </c>
    </row>
    <row r="157" spans="1:9" x14ac:dyDescent="0.25">
      <c r="A157" t="str">
        <f>IF(Pedidos!$BA158="Proceso",Pedidos!BB158,"")</f>
        <v/>
      </c>
      <c r="B157" t="str">
        <f>IF(Pedidos!$BA158="Proceso",Pedidos!BC158,"")</f>
        <v/>
      </c>
      <c r="C157" t="str">
        <f>IF(Pedidos!$BA158="Proceso",Pedidos!BD158,"")</f>
        <v/>
      </c>
      <c r="D157" s="490" t="str">
        <f>IF(Pedidos!$BA158="Proceso",Pedidos!BE158,"")</f>
        <v/>
      </c>
      <c r="E157" s="490" t="str">
        <f>IF($A157&lt;&gt;"",VLOOKUP($A157,Pedidos!$A$2:$I$9998,8,0),"")</f>
        <v/>
      </c>
      <c r="F157" s="490" t="str">
        <f>IF($A157&lt;&gt;"",VLOOKUP($A157,Pedidos!$A$2:$I$9998,9,0),"")</f>
        <v/>
      </c>
      <c r="H157" s="490" t="str">
        <f t="shared" si="5"/>
        <v/>
      </c>
      <c r="I157" s="490" t="str">
        <f>IFERROR(IF(INDEX(Procesos!$A$1:$HZ$457,MATCH(Resumen!$A$3&amp;"     ITEM # "&amp;Resumen!G157,Procesos!$A:$A,0)+6,MATCH(Resumen!A157,Procesos!$2:$2,0)+6)=0,"",INDEX(Procesos!$A$1:$HZ$457,MATCH(Resumen!$A$3&amp;"     ITEM # "&amp;Resumen!G157,Procesos!$A:$A,0)+6,MATCH(Resumen!A157,Procesos!$2:$2,0)+6)),"")</f>
        <v/>
      </c>
    </row>
    <row r="158" spans="1:9" x14ac:dyDescent="0.25">
      <c r="A158" t="str">
        <f>IF(Pedidos!$BA159="Proceso",Pedidos!BB159,"")</f>
        <v/>
      </c>
      <c r="B158" t="str">
        <f>IF(Pedidos!$BA159="Proceso",Pedidos!BC159,"")</f>
        <v/>
      </c>
      <c r="C158" t="str">
        <f>IF(Pedidos!$BA159="Proceso",Pedidos!BD159,"")</f>
        <v/>
      </c>
      <c r="D158" s="490" t="str">
        <f>IF(Pedidos!$BA159="Proceso",Pedidos!BE159,"")</f>
        <v/>
      </c>
      <c r="E158" s="490" t="str">
        <f>IF($A158&lt;&gt;"",VLOOKUP($A158,Pedidos!$A$2:$I$9998,8,0),"")</f>
        <v/>
      </c>
      <c r="F158" s="490" t="str">
        <f>IF($A158&lt;&gt;"",VLOOKUP($A158,Pedidos!$A$2:$I$9998,9,0),"")</f>
        <v/>
      </c>
      <c r="H158" s="490" t="str">
        <f t="shared" si="5"/>
        <v/>
      </c>
      <c r="I158" s="490" t="str">
        <f>IFERROR(IF(INDEX(Procesos!$A$1:$HZ$457,MATCH(Resumen!$A$3&amp;"     ITEM # "&amp;Resumen!G158,Procesos!$A:$A,0)+6,MATCH(Resumen!A158,Procesos!$2:$2,0)+6)=0,"",INDEX(Procesos!$A$1:$HZ$457,MATCH(Resumen!$A$3&amp;"     ITEM # "&amp;Resumen!G158,Procesos!$A:$A,0)+6,MATCH(Resumen!A158,Procesos!$2:$2,0)+6)),"")</f>
        <v/>
      </c>
    </row>
    <row r="159" spans="1:9" x14ac:dyDescent="0.25">
      <c r="A159" t="str">
        <f>IF(Pedidos!$BA160="Proceso",Pedidos!BB160,"")</f>
        <v/>
      </c>
      <c r="B159" t="str">
        <f>IF(Pedidos!$BA160="Proceso",Pedidos!BC160,"")</f>
        <v/>
      </c>
      <c r="C159" t="str">
        <f>IF(Pedidos!$BA160="Proceso",Pedidos!BD160,"")</f>
        <v/>
      </c>
      <c r="D159" s="490" t="str">
        <f>IF(Pedidos!$BA160="Proceso",Pedidos!BE160,"")</f>
        <v/>
      </c>
      <c r="E159" s="490" t="str">
        <f>IF($A159&lt;&gt;"",VLOOKUP($A159,Pedidos!$A$2:$I$9998,8,0),"")</f>
        <v/>
      </c>
      <c r="F159" s="490" t="str">
        <f>IF($A159&lt;&gt;"",VLOOKUP($A159,Pedidos!$A$2:$I$9998,9,0),"")</f>
        <v/>
      </c>
      <c r="H159" s="490" t="str">
        <f t="shared" si="5"/>
        <v/>
      </c>
      <c r="I159" s="490" t="str">
        <f>IFERROR(IF(INDEX(Procesos!$A$1:$HZ$457,MATCH(Resumen!$A$3&amp;"     ITEM # "&amp;Resumen!G159,Procesos!$A:$A,0)+6,MATCH(Resumen!A159,Procesos!$2:$2,0)+6)=0,"",INDEX(Procesos!$A$1:$HZ$457,MATCH(Resumen!$A$3&amp;"     ITEM # "&amp;Resumen!G159,Procesos!$A:$A,0)+6,MATCH(Resumen!A159,Procesos!$2:$2,0)+6)),"")</f>
        <v/>
      </c>
    </row>
    <row r="160" spans="1:9" x14ac:dyDescent="0.25">
      <c r="A160" t="str">
        <f>IF(Pedidos!$BA161="Proceso",Pedidos!BB161,"")</f>
        <v/>
      </c>
      <c r="B160" t="str">
        <f>IF(Pedidos!$BA161="Proceso",Pedidos!BC161,"")</f>
        <v/>
      </c>
      <c r="C160" t="str">
        <f>IF(Pedidos!$BA161="Proceso",Pedidos!BD161,"")</f>
        <v/>
      </c>
      <c r="D160" s="490" t="str">
        <f>IF(Pedidos!$BA161="Proceso",Pedidos!BE161,"")</f>
        <v/>
      </c>
      <c r="E160" s="490" t="str">
        <f>IF($A160&lt;&gt;"",VLOOKUP($A160,Pedidos!$A$2:$I$9998,8,0),"")</f>
        <v/>
      </c>
      <c r="F160" s="490" t="str">
        <f>IF($A160&lt;&gt;"",VLOOKUP($A160,Pedidos!$A$2:$I$9998,9,0),"")</f>
        <v/>
      </c>
      <c r="H160" s="490" t="str">
        <f t="shared" si="5"/>
        <v/>
      </c>
      <c r="I160" s="490" t="str">
        <f>IFERROR(IF(INDEX(Procesos!$A$1:$HZ$457,MATCH(Resumen!$A$3&amp;"     ITEM # "&amp;Resumen!G160,Procesos!$A:$A,0)+6,MATCH(Resumen!A160,Procesos!$2:$2,0)+6)=0,"",INDEX(Procesos!$A$1:$HZ$457,MATCH(Resumen!$A$3&amp;"     ITEM # "&amp;Resumen!G160,Procesos!$A:$A,0)+6,MATCH(Resumen!A160,Procesos!$2:$2,0)+6)),"")</f>
        <v/>
      </c>
    </row>
    <row r="161" spans="1:9" x14ac:dyDescent="0.25">
      <c r="A161" t="str">
        <f>IF(Pedidos!$BA162="Proceso",Pedidos!BB162,"")</f>
        <v/>
      </c>
      <c r="B161" t="str">
        <f>IF(Pedidos!$BA162="Proceso",Pedidos!BC162,"")</f>
        <v/>
      </c>
      <c r="C161" t="str">
        <f>IF(Pedidos!$BA162="Proceso",Pedidos!BD162,"")</f>
        <v/>
      </c>
      <c r="D161" s="490" t="str">
        <f>IF(Pedidos!$BA162="Proceso",Pedidos!BE162,"")</f>
        <v/>
      </c>
      <c r="E161" s="490" t="str">
        <f>IF($A161&lt;&gt;"",VLOOKUP($A161,Pedidos!$A$2:$I$9998,8,0),"")</f>
        <v/>
      </c>
      <c r="F161" s="490" t="str">
        <f>IF($A161&lt;&gt;"",VLOOKUP($A161,Pedidos!$A$2:$I$9998,9,0),"")</f>
        <v/>
      </c>
      <c r="H161" s="490" t="str">
        <f t="shared" si="5"/>
        <v/>
      </c>
      <c r="I161" s="490" t="str">
        <f>IFERROR(IF(INDEX(Procesos!$A$1:$HZ$457,MATCH(Resumen!$A$3&amp;"     ITEM # "&amp;Resumen!G161,Procesos!$A:$A,0)+6,MATCH(Resumen!A161,Procesos!$2:$2,0)+6)=0,"",INDEX(Procesos!$A$1:$HZ$457,MATCH(Resumen!$A$3&amp;"     ITEM # "&amp;Resumen!G161,Procesos!$A:$A,0)+6,MATCH(Resumen!A161,Procesos!$2:$2,0)+6)),"")</f>
        <v/>
      </c>
    </row>
    <row r="162" spans="1:9" x14ac:dyDescent="0.25">
      <c r="A162" t="str">
        <f>IF(Pedidos!$BA163="Proceso",Pedidos!BB163,"")</f>
        <v/>
      </c>
      <c r="B162" t="str">
        <f>IF(Pedidos!$BA163="Proceso",Pedidos!BC163,"")</f>
        <v/>
      </c>
      <c r="C162" t="str">
        <f>IF(Pedidos!$BA163="Proceso",Pedidos!BD163,"")</f>
        <v/>
      </c>
      <c r="D162" s="490" t="str">
        <f>IF(Pedidos!$BA163="Proceso",Pedidos!BE163,"")</f>
        <v/>
      </c>
      <c r="E162" s="490" t="str">
        <f>IF($A162&lt;&gt;"",VLOOKUP($A162,Pedidos!$A$2:$I$9998,8,0),"")</f>
        <v/>
      </c>
      <c r="F162" s="490" t="str">
        <f>IF($A162&lt;&gt;"",VLOOKUP($A162,Pedidos!$A$2:$I$9998,9,0),"")</f>
        <v/>
      </c>
      <c r="H162" s="490" t="str">
        <f t="shared" si="5"/>
        <v/>
      </c>
      <c r="I162" s="490" t="str">
        <f>IFERROR(IF(INDEX(Procesos!$A$1:$HZ$457,MATCH(Resumen!$A$3&amp;"     ITEM # "&amp;Resumen!G162,Procesos!$A:$A,0)+6,MATCH(Resumen!A162,Procesos!$2:$2,0)+6)=0,"",INDEX(Procesos!$A$1:$HZ$457,MATCH(Resumen!$A$3&amp;"     ITEM # "&amp;Resumen!G162,Procesos!$A:$A,0)+6,MATCH(Resumen!A162,Procesos!$2:$2,0)+6)),"")</f>
        <v/>
      </c>
    </row>
    <row r="163" spans="1:9" x14ac:dyDescent="0.25">
      <c r="A163" t="str">
        <f>IF(Pedidos!$BA164="Proceso",Pedidos!BB164,"")</f>
        <v/>
      </c>
      <c r="B163" t="str">
        <f>IF(Pedidos!$BA164="Proceso",Pedidos!BC164,"")</f>
        <v/>
      </c>
      <c r="C163" t="str">
        <f>IF(Pedidos!$BA164="Proceso",Pedidos!BD164,"")</f>
        <v/>
      </c>
      <c r="D163" s="490" t="str">
        <f>IF(Pedidos!$BA164="Proceso",Pedidos!BE164,"")</f>
        <v/>
      </c>
      <c r="E163" s="490" t="str">
        <f>IF($A163&lt;&gt;"",VLOOKUP($A163,Pedidos!$A$2:$I$9998,8,0),"")</f>
        <v/>
      </c>
      <c r="F163" s="490" t="str">
        <f>IF($A163&lt;&gt;"",VLOOKUP($A163,Pedidos!$A$2:$I$9998,9,0),"")</f>
        <v/>
      </c>
      <c r="H163" s="490" t="str">
        <f t="shared" si="5"/>
        <v/>
      </c>
      <c r="I163" s="490" t="str">
        <f>IFERROR(IF(INDEX(Procesos!$A$1:$HZ$457,MATCH(Resumen!$A$3&amp;"     ITEM # "&amp;Resumen!G163,Procesos!$A:$A,0)+6,MATCH(Resumen!A163,Procesos!$2:$2,0)+6)=0,"",INDEX(Procesos!$A$1:$HZ$457,MATCH(Resumen!$A$3&amp;"     ITEM # "&amp;Resumen!G163,Procesos!$A:$A,0)+6,MATCH(Resumen!A163,Procesos!$2:$2,0)+6)),"")</f>
        <v/>
      </c>
    </row>
    <row r="164" spans="1:9" x14ac:dyDescent="0.25">
      <c r="A164" t="str">
        <f>IF(Pedidos!$BA165="Proceso",Pedidos!BB165,"")</f>
        <v/>
      </c>
      <c r="B164" t="str">
        <f>IF(Pedidos!$BA165="Proceso",Pedidos!BC165,"")</f>
        <v/>
      </c>
      <c r="C164" t="str">
        <f>IF(Pedidos!$BA165="Proceso",Pedidos!BD165,"")</f>
        <v/>
      </c>
      <c r="D164" s="490" t="str">
        <f>IF(Pedidos!$BA165="Proceso",Pedidos!BE165,"")</f>
        <v/>
      </c>
      <c r="E164" s="490" t="str">
        <f>IF($A164&lt;&gt;"",VLOOKUP($A164,Pedidos!$A$2:$I$9998,8,0),"")</f>
        <v/>
      </c>
      <c r="F164" s="490" t="str">
        <f>IF($A164&lt;&gt;"",VLOOKUP($A164,Pedidos!$A$2:$I$9998,9,0),"")</f>
        <v/>
      </c>
      <c r="H164" s="490" t="str">
        <f t="shared" si="5"/>
        <v/>
      </c>
      <c r="I164" s="490" t="str">
        <f>IFERROR(IF(INDEX(Procesos!$A$1:$HZ$457,MATCH(Resumen!$A$3&amp;"     ITEM # "&amp;Resumen!G164,Procesos!$A:$A,0)+6,MATCH(Resumen!A164,Procesos!$2:$2,0)+6)=0,"",INDEX(Procesos!$A$1:$HZ$457,MATCH(Resumen!$A$3&amp;"     ITEM # "&amp;Resumen!G164,Procesos!$A:$A,0)+6,MATCH(Resumen!A164,Procesos!$2:$2,0)+6)),"")</f>
        <v/>
      </c>
    </row>
    <row r="165" spans="1:9" x14ac:dyDescent="0.25">
      <c r="A165" t="str">
        <f>IF(Pedidos!$BA166="Proceso",Pedidos!BB166,"")</f>
        <v/>
      </c>
      <c r="B165" t="str">
        <f>IF(Pedidos!$BA166="Proceso",Pedidos!BC166,"")</f>
        <v/>
      </c>
      <c r="C165" t="str">
        <f>IF(Pedidos!$BA166="Proceso",Pedidos!BD166,"")</f>
        <v/>
      </c>
      <c r="D165" s="490" t="str">
        <f>IF(Pedidos!$BA166="Proceso",Pedidos!BE166,"")</f>
        <v/>
      </c>
      <c r="E165" s="490" t="str">
        <f>IF($A165&lt;&gt;"",VLOOKUP($A165,Pedidos!$A$2:$I$9998,8,0),"")</f>
        <v/>
      </c>
      <c r="F165" s="490" t="str">
        <f>IF($A165&lt;&gt;"",VLOOKUP($A165,Pedidos!$A$2:$I$9998,9,0),"")</f>
        <v/>
      </c>
      <c r="H165" s="490" t="str">
        <f t="shared" si="5"/>
        <v/>
      </c>
      <c r="I165" s="490" t="str">
        <f>IFERROR(IF(INDEX(Procesos!$A$1:$HZ$457,MATCH(Resumen!$A$3&amp;"     ITEM # "&amp;Resumen!G165,Procesos!$A:$A,0)+6,MATCH(Resumen!A165,Procesos!$2:$2,0)+6)=0,"",INDEX(Procesos!$A$1:$HZ$457,MATCH(Resumen!$A$3&amp;"     ITEM # "&amp;Resumen!G165,Procesos!$A:$A,0)+6,MATCH(Resumen!A165,Procesos!$2:$2,0)+6)),"")</f>
        <v/>
      </c>
    </row>
    <row r="166" spans="1:9" x14ac:dyDescent="0.25">
      <c r="A166" t="str">
        <f>IF(Pedidos!$BA167="Proceso",Pedidos!BB167,"")</f>
        <v/>
      </c>
      <c r="B166" t="str">
        <f>IF(Pedidos!$BA167="Proceso",Pedidos!BC167,"")</f>
        <v/>
      </c>
      <c r="C166" t="str">
        <f>IF(Pedidos!$BA167="Proceso",Pedidos!BD167,"")</f>
        <v/>
      </c>
      <c r="D166" s="490" t="str">
        <f>IF(Pedidos!$BA167="Proceso",Pedidos!BE167,"")</f>
        <v/>
      </c>
      <c r="E166" s="490" t="str">
        <f>IF($A166&lt;&gt;"",VLOOKUP($A166,Pedidos!$A$2:$I$9998,8,0),"")</f>
        <v/>
      </c>
      <c r="F166" s="490" t="str">
        <f>IF($A166&lt;&gt;"",VLOOKUP($A166,Pedidos!$A$2:$I$9998,9,0),"")</f>
        <v/>
      </c>
      <c r="H166" s="490" t="str">
        <f t="shared" si="5"/>
        <v/>
      </c>
      <c r="I166" s="490" t="str">
        <f>IFERROR(IF(INDEX(Procesos!$A$1:$HZ$457,MATCH(Resumen!$A$3&amp;"     ITEM # "&amp;Resumen!G166,Procesos!$A:$A,0)+6,MATCH(Resumen!A166,Procesos!$2:$2,0)+6)=0,"",INDEX(Procesos!$A$1:$HZ$457,MATCH(Resumen!$A$3&amp;"     ITEM # "&amp;Resumen!G166,Procesos!$A:$A,0)+6,MATCH(Resumen!A166,Procesos!$2:$2,0)+6)),"")</f>
        <v/>
      </c>
    </row>
    <row r="167" spans="1:9" x14ac:dyDescent="0.25">
      <c r="A167" t="str">
        <f>IF(Pedidos!$BA168="Proceso",Pedidos!BB168,"")</f>
        <v/>
      </c>
      <c r="B167" t="str">
        <f>IF(Pedidos!$BA168="Proceso",Pedidos!BC168,"")</f>
        <v/>
      </c>
      <c r="C167" t="str">
        <f>IF(Pedidos!$BA168="Proceso",Pedidos!BD168,"")</f>
        <v/>
      </c>
      <c r="D167" s="490" t="str">
        <f>IF(Pedidos!$BA168="Proceso",Pedidos!BE168,"")</f>
        <v/>
      </c>
      <c r="E167" s="490" t="str">
        <f>IF($A167&lt;&gt;"",VLOOKUP($A167,Pedidos!$A$2:$I$9998,8,0),"")</f>
        <v/>
      </c>
      <c r="F167" s="490" t="str">
        <f>IF($A167&lt;&gt;"",VLOOKUP($A167,Pedidos!$A$2:$I$9998,9,0),"")</f>
        <v/>
      </c>
      <c r="H167" s="490" t="str">
        <f t="shared" si="5"/>
        <v/>
      </c>
      <c r="I167" s="490" t="str">
        <f>IFERROR(IF(INDEX(Procesos!$A$1:$HZ$457,MATCH(Resumen!$A$3&amp;"     ITEM # "&amp;Resumen!G167,Procesos!$A:$A,0)+6,MATCH(Resumen!A167,Procesos!$2:$2,0)+6)=0,"",INDEX(Procesos!$A$1:$HZ$457,MATCH(Resumen!$A$3&amp;"     ITEM # "&amp;Resumen!G167,Procesos!$A:$A,0)+6,MATCH(Resumen!A167,Procesos!$2:$2,0)+6)),"")</f>
        <v/>
      </c>
    </row>
    <row r="168" spans="1:9" x14ac:dyDescent="0.25">
      <c r="A168" t="str">
        <f>IF(Pedidos!$BA169="Proceso",Pedidos!BB169,"")</f>
        <v/>
      </c>
      <c r="B168" t="str">
        <f>IF(Pedidos!$BA169="Proceso",Pedidos!BC169,"")</f>
        <v/>
      </c>
      <c r="C168" t="str">
        <f>IF(Pedidos!$BA169="Proceso",Pedidos!BD169,"")</f>
        <v/>
      </c>
      <c r="D168" s="490" t="str">
        <f>IF(Pedidos!$BA169="Proceso",Pedidos!BE169,"")</f>
        <v/>
      </c>
      <c r="E168" s="490" t="str">
        <f>IF($A168&lt;&gt;"",VLOOKUP($A168,Pedidos!$A$2:$I$9998,8,0),"")</f>
        <v/>
      </c>
      <c r="F168" s="490" t="str">
        <f>IF($A168&lt;&gt;"",VLOOKUP($A168,Pedidos!$A$2:$I$9998,9,0),"")</f>
        <v/>
      </c>
      <c r="H168" s="490" t="str">
        <f t="shared" si="5"/>
        <v/>
      </c>
      <c r="I168" s="490" t="str">
        <f>IFERROR(IF(INDEX(Procesos!$A$1:$HZ$457,MATCH(Resumen!$A$3&amp;"     ITEM # "&amp;Resumen!G168,Procesos!$A:$A,0)+6,MATCH(Resumen!A168,Procesos!$2:$2,0)+6)=0,"",INDEX(Procesos!$A$1:$HZ$457,MATCH(Resumen!$A$3&amp;"     ITEM # "&amp;Resumen!G168,Procesos!$A:$A,0)+6,MATCH(Resumen!A168,Procesos!$2:$2,0)+6)),"")</f>
        <v/>
      </c>
    </row>
    <row r="169" spans="1:9" x14ac:dyDescent="0.25">
      <c r="A169" t="str">
        <f>IF(Pedidos!$BA170="Proceso",Pedidos!BB170,"")</f>
        <v/>
      </c>
      <c r="B169" t="str">
        <f>IF(Pedidos!$BA170="Proceso",Pedidos!BC170,"")</f>
        <v/>
      </c>
      <c r="C169" t="str">
        <f>IF(Pedidos!$BA170="Proceso",Pedidos!BD170,"")</f>
        <v/>
      </c>
      <c r="D169" s="490" t="str">
        <f>IF(Pedidos!$BA170="Proceso",Pedidos!BE170,"")</f>
        <v/>
      </c>
      <c r="E169" s="490" t="str">
        <f>IF($A169&lt;&gt;"",VLOOKUP($A169,Pedidos!$A$2:$I$9998,8,0),"")</f>
        <v/>
      </c>
      <c r="F169" s="490" t="str">
        <f>IF($A169&lt;&gt;"",VLOOKUP($A169,Pedidos!$A$2:$I$9998,9,0),"")</f>
        <v/>
      </c>
      <c r="H169" s="490" t="str">
        <f t="shared" si="5"/>
        <v/>
      </c>
      <c r="I169" s="490" t="str">
        <f>IFERROR(IF(INDEX(Procesos!$A$1:$HZ$457,MATCH(Resumen!$A$3&amp;"     ITEM # "&amp;Resumen!G169,Procesos!$A:$A,0)+6,MATCH(Resumen!A169,Procesos!$2:$2,0)+6)=0,"",INDEX(Procesos!$A$1:$HZ$457,MATCH(Resumen!$A$3&amp;"     ITEM # "&amp;Resumen!G169,Procesos!$A:$A,0)+6,MATCH(Resumen!A169,Procesos!$2:$2,0)+6)),"")</f>
        <v/>
      </c>
    </row>
    <row r="170" spans="1:9" x14ac:dyDescent="0.25">
      <c r="A170" t="str">
        <f>IF(Pedidos!$BA171="Proceso",Pedidos!BB171,"")</f>
        <v/>
      </c>
      <c r="B170" t="str">
        <f>IF(Pedidos!$BA171="Proceso",Pedidos!BC171,"")</f>
        <v/>
      </c>
      <c r="C170" t="str">
        <f>IF(Pedidos!$BA171="Proceso",Pedidos!BD171,"")</f>
        <v/>
      </c>
      <c r="D170" s="490" t="str">
        <f>IF(Pedidos!$BA171="Proceso",Pedidos!BE171,"")</f>
        <v/>
      </c>
      <c r="E170" s="490" t="str">
        <f>IF($A170&lt;&gt;"",VLOOKUP($A170,Pedidos!$A$2:$I$9998,8,0),"")</f>
        <v/>
      </c>
      <c r="F170" s="490" t="str">
        <f>IF($A170&lt;&gt;"",VLOOKUP($A170,Pedidos!$A$2:$I$9998,9,0),"")</f>
        <v/>
      </c>
      <c r="H170" s="490" t="str">
        <f t="shared" si="5"/>
        <v/>
      </c>
      <c r="I170" s="490" t="str">
        <f>IFERROR(IF(INDEX(Procesos!$A$1:$HZ$457,MATCH(Resumen!$A$3&amp;"     ITEM # "&amp;Resumen!G170,Procesos!$A:$A,0)+6,MATCH(Resumen!A170,Procesos!$2:$2,0)+6)=0,"",INDEX(Procesos!$A$1:$HZ$457,MATCH(Resumen!$A$3&amp;"     ITEM # "&amp;Resumen!G170,Procesos!$A:$A,0)+6,MATCH(Resumen!A170,Procesos!$2:$2,0)+6)),"")</f>
        <v/>
      </c>
    </row>
    <row r="171" spans="1:9" x14ac:dyDescent="0.25">
      <c r="A171" t="str">
        <f>IF(Pedidos!$BA172="Proceso",Pedidos!BB172,"")</f>
        <v/>
      </c>
      <c r="B171" t="str">
        <f>IF(Pedidos!$BA172="Proceso",Pedidos!BC172,"")</f>
        <v/>
      </c>
      <c r="C171" t="str">
        <f>IF(Pedidos!$BA172="Proceso",Pedidos!BD172,"")</f>
        <v/>
      </c>
      <c r="D171" s="490" t="str">
        <f>IF(Pedidos!$BA172="Proceso",Pedidos!BE172,"")</f>
        <v/>
      </c>
      <c r="E171" s="490" t="str">
        <f>IF($A171&lt;&gt;"",VLOOKUP($A171,Pedidos!$A$2:$I$9998,8,0),"")</f>
        <v/>
      </c>
      <c r="F171" s="490" t="str">
        <f>IF($A171&lt;&gt;"",VLOOKUP($A171,Pedidos!$A$2:$I$9998,9,0),"")</f>
        <v/>
      </c>
      <c r="H171" s="490" t="str">
        <f t="shared" si="5"/>
        <v/>
      </c>
      <c r="I171" s="490" t="str">
        <f>IFERROR(IF(INDEX(Procesos!$A$1:$HZ$457,MATCH(Resumen!$A$3&amp;"     ITEM # "&amp;Resumen!G171,Procesos!$A:$A,0)+6,MATCH(Resumen!A171,Procesos!$2:$2,0)+6)=0,"",INDEX(Procesos!$A$1:$HZ$457,MATCH(Resumen!$A$3&amp;"     ITEM # "&amp;Resumen!G171,Procesos!$A:$A,0)+6,MATCH(Resumen!A171,Procesos!$2:$2,0)+6)),"")</f>
        <v/>
      </c>
    </row>
    <row r="172" spans="1:9" x14ac:dyDescent="0.25">
      <c r="A172" t="str">
        <f>IF(Pedidos!$BA173="Proceso",Pedidos!BB173,"")</f>
        <v/>
      </c>
      <c r="B172" t="str">
        <f>IF(Pedidos!$BA173="Proceso",Pedidos!BC173,"")</f>
        <v/>
      </c>
      <c r="C172" t="str">
        <f>IF(Pedidos!$BA173="Proceso",Pedidos!BD173,"")</f>
        <v/>
      </c>
      <c r="D172" s="490" t="str">
        <f>IF(Pedidos!$BA173="Proceso",Pedidos!BE173,"")</f>
        <v/>
      </c>
      <c r="E172" s="490" t="str">
        <f>IF($A172&lt;&gt;"",VLOOKUP($A172,Pedidos!$A$2:$I$9998,8,0),"")</f>
        <v/>
      </c>
      <c r="F172" s="490" t="str">
        <f>IF($A172&lt;&gt;"",VLOOKUP($A172,Pedidos!$A$2:$I$9998,9,0),"")</f>
        <v/>
      </c>
      <c r="H172" s="490" t="str">
        <f t="shared" si="5"/>
        <v/>
      </c>
      <c r="I172" s="490" t="str">
        <f>IFERROR(IF(INDEX(Procesos!$A$1:$HZ$457,MATCH(Resumen!$A$3&amp;"     ITEM # "&amp;Resumen!G172,Procesos!$A:$A,0)+6,MATCH(Resumen!A172,Procesos!$2:$2,0)+6)=0,"",INDEX(Procesos!$A$1:$HZ$457,MATCH(Resumen!$A$3&amp;"     ITEM # "&amp;Resumen!G172,Procesos!$A:$A,0)+6,MATCH(Resumen!A172,Procesos!$2:$2,0)+6)),"")</f>
        <v/>
      </c>
    </row>
    <row r="173" spans="1:9" x14ac:dyDescent="0.25">
      <c r="A173" t="str">
        <f>IF(Pedidos!$BA174="Proceso",Pedidos!BB174,"")</f>
        <v/>
      </c>
      <c r="B173" t="str">
        <f>IF(Pedidos!$BA174="Proceso",Pedidos!BC174,"")</f>
        <v/>
      </c>
      <c r="C173" t="str">
        <f>IF(Pedidos!$BA174="Proceso",Pedidos!BD174,"")</f>
        <v/>
      </c>
      <c r="D173" s="490" t="str">
        <f>IF(Pedidos!$BA174="Proceso",Pedidos!BE174,"")</f>
        <v/>
      </c>
      <c r="E173" s="490" t="str">
        <f>IF($A173&lt;&gt;"",VLOOKUP($A173,Pedidos!$A$2:$I$9998,8,0),"")</f>
        <v/>
      </c>
      <c r="F173" s="490" t="str">
        <f>IF($A173&lt;&gt;"",VLOOKUP($A173,Pedidos!$A$2:$I$9998,9,0),"")</f>
        <v/>
      </c>
      <c r="H173" s="490" t="str">
        <f t="shared" si="5"/>
        <v/>
      </c>
      <c r="I173" s="490" t="str">
        <f>IFERROR(IF(INDEX(Procesos!$A$1:$HZ$457,MATCH(Resumen!$A$3&amp;"     ITEM # "&amp;Resumen!G173,Procesos!$A:$A,0)+6,MATCH(Resumen!A173,Procesos!$2:$2,0)+6)=0,"",INDEX(Procesos!$A$1:$HZ$457,MATCH(Resumen!$A$3&amp;"     ITEM # "&amp;Resumen!G173,Procesos!$A:$A,0)+6,MATCH(Resumen!A173,Procesos!$2:$2,0)+6)),"")</f>
        <v/>
      </c>
    </row>
    <row r="174" spans="1:9" x14ac:dyDescent="0.25">
      <c r="A174" t="str">
        <f>IF(Pedidos!$BA175="Proceso",Pedidos!BB175,"")</f>
        <v/>
      </c>
      <c r="B174" t="str">
        <f>IF(Pedidos!$BA175="Proceso",Pedidos!BC175,"")</f>
        <v/>
      </c>
      <c r="C174" t="str">
        <f>IF(Pedidos!$BA175="Proceso",Pedidos!BD175,"")</f>
        <v/>
      </c>
      <c r="D174" s="490" t="str">
        <f>IF(Pedidos!$BA175="Proceso",Pedidos!BE175,"")</f>
        <v/>
      </c>
      <c r="E174" s="490" t="str">
        <f>IF($A174&lt;&gt;"",VLOOKUP($A174,Pedidos!$A$2:$I$9998,8,0),"")</f>
        <v/>
      </c>
      <c r="F174" s="490" t="str">
        <f>IF($A174&lt;&gt;"",VLOOKUP($A174,Pedidos!$A$2:$I$9998,9,0),"")</f>
        <v/>
      </c>
      <c r="H174" s="490" t="str">
        <f t="shared" si="5"/>
        <v/>
      </c>
      <c r="I174" s="490" t="str">
        <f>IFERROR(IF(INDEX(Procesos!$A$1:$HZ$457,MATCH(Resumen!$A$3&amp;"     ITEM # "&amp;Resumen!G174,Procesos!$A:$A,0)+6,MATCH(Resumen!A174,Procesos!$2:$2,0)+6)=0,"",INDEX(Procesos!$A$1:$HZ$457,MATCH(Resumen!$A$3&amp;"     ITEM # "&amp;Resumen!G174,Procesos!$A:$A,0)+6,MATCH(Resumen!A174,Procesos!$2:$2,0)+6)),"")</f>
        <v/>
      </c>
    </row>
    <row r="175" spans="1:9" x14ac:dyDescent="0.25">
      <c r="A175" t="str">
        <f>IF(Pedidos!$BA176="Proceso",Pedidos!BB176,"")</f>
        <v/>
      </c>
      <c r="B175" t="str">
        <f>IF(Pedidos!$BA176="Proceso",Pedidos!BC176,"")</f>
        <v/>
      </c>
      <c r="C175" t="str">
        <f>IF(Pedidos!$BA176="Proceso",Pedidos!BD176,"")</f>
        <v/>
      </c>
      <c r="D175" s="490" t="str">
        <f>IF(Pedidos!$BA176="Proceso",Pedidos!BE176,"")</f>
        <v/>
      </c>
      <c r="E175" s="490" t="str">
        <f>IF($A175&lt;&gt;"",VLOOKUP($A175,Pedidos!$A$2:$I$9998,8,0),"")</f>
        <v/>
      </c>
      <c r="F175" s="490" t="str">
        <f>IF($A175&lt;&gt;"",VLOOKUP($A175,Pedidos!$A$2:$I$9998,9,0),"")</f>
        <v/>
      </c>
      <c r="H175" s="490" t="str">
        <f t="shared" si="5"/>
        <v/>
      </c>
      <c r="I175" s="490" t="str">
        <f>IFERROR(IF(INDEX(Procesos!$A$1:$HZ$457,MATCH(Resumen!$A$3&amp;"     ITEM # "&amp;Resumen!G175,Procesos!$A:$A,0)+6,MATCH(Resumen!A175,Procesos!$2:$2,0)+6)=0,"",INDEX(Procesos!$A$1:$HZ$457,MATCH(Resumen!$A$3&amp;"     ITEM # "&amp;Resumen!G175,Procesos!$A:$A,0)+6,MATCH(Resumen!A175,Procesos!$2:$2,0)+6)),"")</f>
        <v/>
      </c>
    </row>
    <row r="176" spans="1:9" x14ac:dyDescent="0.25">
      <c r="A176" t="str">
        <f>IF(Pedidos!$BA177="Proceso",Pedidos!BB177,"")</f>
        <v/>
      </c>
      <c r="B176" t="str">
        <f>IF(Pedidos!$BA177="Proceso",Pedidos!BC177,"")</f>
        <v/>
      </c>
      <c r="C176" t="str">
        <f>IF(Pedidos!$BA177="Proceso",Pedidos!BD177,"")</f>
        <v/>
      </c>
      <c r="D176" s="490" t="str">
        <f>IF(Pedidos!$BA177="Proceso",Pedidos!BE177,"")</f>
        <v/>
      </c>
      <c r="E176" s="490" t="str">
        <f>IF($A176&lt;&gt;"",VLOOKUP($A176,Pedidos!$A$2:$I$9998,8,0),"")</f>
        <v/>
      </c>
      <c r="F176" s="490" t="str">
        <f>IF($A176&lt;&gt;"",VLOOKUP($A176,Pedidos!$A$2:$I$9998,9,0),"")</f>
        <v/>
      </c>
      <c r="H176" s="490" t="str">
        <f t="shared" si="5"/>
        <v/>
      </c>
      <c r="I176" s="490" t="str">
        <f>IFERROR(IF(INDEX(Procesos!$A$1:$HZ$457,MATCH(Resumen!$A$3&amp;"     ITEM # "&amp;Resumen!G176,Procesos!$A:$A,0)+6,MATCH(Resumen!A176,Procesos!$2:$2,0)+6)=0,"",INDEX(Procesos!$A$1:$HZ$457,MATCH(Resumen!$A$3&amp;"     ITEM # "&amp;Resumen!G176,Procesos!$A:$A,0)+6,MATCH(Resumen!A176,Procesos!$2:$2,0)+6)),"")</f>
        <v/>
      </c>
    </row>
    <row r="177" spans="1:9" x14ac:dyDescent="0.25">
      <c r="A177" t="str">
        <f>IF(Pedidos!$BA178="Proceso",Pedidos!BB178,"")</f>
        <v/>
      </c>
      <c r="B177" t="str">
        <f>IF(Pedidos!$BA178="Proceso",Pedidos!BC178,"")</f>
        <v/>
      </c>
      <c r="C177" t="str">
        <f>IF(Pedidos!$BA178="Proceso",Pedidos!BD178,"")</f>
        <v/>
      </c>
      <c r="D177" s="490" t="str">
        <f>IF(Pedidos!$BA178="Proceso",Pedidos!BE178,"")</f>
        <v/>
      </c>
      <c r="E177" s="490" t="str">
        <f>IF($A177&lt;&gt;"",VLOOKUP($A177,Pedidos!$A$2:$I$9998,8,0),"")</f>
        <v/>
      </c>
      <c r="F177" s="490" t="str">
        <f>IF($A177&lt;&gt;"",VLOOKUP($A177,Pedidos!$A$2:$I$9998,9,0),"")</f>
        <v/>
      </c>
      <c r="H177" s="490" t="str">
        <f t="shared" si="5"/>
        <v/>
      </c>
      <c r="I177" s="490" t="str">
        <f>IFERROR(IF(INDEX(Procesos!$A$1:$HZ$457,MATCH(Resumen!$A$3&amp;"     ITEM # "&amp;Resumen!G177,Procesos!$A:$A,0)+6,MATCH(Resumen!A177,Procesos!$2:$2,0)+6)=0,"",INDEX(Procesos!$A$1:$HZ$457,MATCH(Resumen!$A$3&amp;"     ITEM # "&amp;Resumen!G177,Procesos!$A:$A,0)+6,MATCH(Resumen!A177,Procesos!$2:$2,0)+6)),"")</f>
        <v/>
      </c>
    </row>
    <row r="178" spans="1:9" x14ac:dyDescent="0.25">
      <c r="A178" t="str">
        <f>IF(Pedidos!$BA179="Proceso",Pedidos!BB179,"")</f>
        <v/>
      </c>
      <c r="B178" t="str">
        <f>IF(Pedidos!$BA179="Proceso",Pedidos!BC179,"")</f>
        <v/>
      </c>
      <c r="C178" t="str">
        <f>IF(Pedidos!$BA179="Proceso",Pedidos!BD179,"")</f>
        <v/>
      </c>
      <c r="D178" s="490" t="str">
        <f>IF(Pedidos!$BA179="Proceso",Pedidos!BE179,"")</f>
        <v/>
      </c>
      <c r="E178" s="490" t="str">
        <f>IF($A178&lt;&gt;"",VLOOKUP($A178,Pedidos!$A$2:$I$9998,8,0),"")</f>
        <v/>
      </c>
      <c r="F178" s="490" t="str">
        <f>IF($A178&lt;&gt;"",VLOOKUP($A178,Pedidos!$A$2:$I$9998,9,0),"")</f>
        <v/>
      </c>
      <c r="H178" s="490" t="str">
        <f t="shared" si="5"/>
        <v/>
      </c>
      <c r="I178" s="490" t="str">
        <f>IFERROR(IF(INDEX(Procesos!$A$1:$HZ$457,MATCH(Resumen!$A$3&amp;"     ITEM # "&amp;Resumen!G178,Procesos!$A:$A,0)+6,MATCH(Resumen!A178,Procesos!$2:$2,0)+6)=0,"",INDEX(Procesos!$A$1:$HZ$457,MATCH(Resumen!$A$3&amp;"     ITEM # "&amp;Resumen!G178,Procesos!$A:$A,0)+6,MATCH(Resumen!A178,Procesos!$2:$2,0)+6)),"")</f>
        <v/>
      </c>
    </row>
    <row r="179" spans="1:9" x14ac:dyDescent="0.25">
      <c r="A179" t="str">
        <f>IF(Pedidos!$BA180="Proceso",Pedidos!BB180,"")</f>
        <v/>
      </c>
      <c r="B179" t="str">
        <f>IF(Pedidos!$BA180="Proceso",Pedidos!BC180,"")</f>
        <v/>
      </c>
      <c r="C179" t="str">
        <f>IF(Pedidos!$BA180="Proceso",Pedidos!BD180,"")</f>
        <v/>
      </c>
      <c r="D179" s="490" t="str">
        <f>IF(Pedidos!$BA180="Proceso",Pedidos!BE180,"")</f>
        <v/>
      </c>
      <c r="E179" s="490" t="str">
        <f>IF($A179&lt;&gt;"",VLOOKUP($A179,Pedidos!$A$2:$I$9998,8,0),"")</f>
        <v/>
      </c>
      <c r="F179" s="490" t="str">
        <f>IF($A179&lt;&gt;"",VLOOKUP($A179,Pedidos!$A$2:$I$9998,9,0),"")</f>
        <v/>
      </c>
      <c r="H179" s="490" t="str">
        <f t="shared" si="5"/>
        <v/>
      </c>
      <c r="I179" s="490" t="str">
        <f>IFERROR(IF(INDEX(Procesos!$A$1:$HZ$457,MATCH(Resumen!$A$3&amp;"     ITEM # "&amp;Resumen!G179,Procesos!$A:$A,0)+6,MATCH(Resumen!A179,Procesos!$2:$2,0)+6)=0,"",INDEX(Procesos!$A$1:$HZ$457,MATCH(Resumen!$A$3&amp;"     ITEM # "&amp;Resumen!G179,Procesos!$A:$A,0)+6,MATCH(Resumen!A179,Procesos!$2:$2,0)+6)),"")</f>
        <v/>
      </c>
    </row>
    <row r="180" spans="1:9" x14ac:dyDescent="0.25">
      <c r="A180" t="str">
        <f>IF(Pedidos!$BA181="Proceso",Pedidos!BB181,"")</f>
        <v/>
      </c>
      <c r="B180" t="str">
        <f>IF(Pedidos!$BA181="Proceso",Pedidos!BC181,"")</f>
        <v/>
      </c>
      <c r="C180" t="str">
        <f>IF(Pedidos!$BA181="Proceso",Pedidos!BD181,"")</f>
        <v/>
      </c>
      <c r="D180" s="490" t="str">
        <f>IF(Pedidos!$BA181="Proceso",Pedidos!BE181,"")</f>
        <v/>
      </c>
      <c r="E180" s="490" t="str">
        <f>IF($A180&lt;&gt;"",VLOOKUP($A180,Pedidos!$A$2:$I$9998,8,0),"")</f>
        <v/>
      </c>
      <c r="F180" s="490" t="str">
        <f>IF($A180&lt;&gt;"",VLOOKUP($A180,Pedidos!$A$2:$I$9998,9,0),"")</f>
        <v/>
      </c>
      <c r="H180" s="490" t="str">
        <f t="shared" si="5"/>
        <v/>
      </c>
      <c r="I180" s="490" t="str">
        <f>IFERROR(IF(INDEX(Procesos!$A$1:$HZ$457,MATCH(Resumen!$A$3&amp;"     ITEM # "&amp;Resumen!G180,Procesos!$A:$A,0)+6,MATCH(Resumen!A180,Procesos!$2:$2,0)+6)=0,"",INDEX(Procesos!$A$1:$HZ$457,MATCH(Resumen!$A$3&amp;"     ITEM # "&amp;Resumen!G180,Procesos!$A:$A,0)+6,MATCH(Resumen!A180,Procesos!$2:$2,0)+6)),"")</f>
        <v/>
      </c>
    </row>
    <row r="181" spans="1:9" x14ac:dyDescent="0.25">
      <c r="A181" t="str">
        <f>IF(Pedidos!$BA182="Proceso",Pedidos!BB182,"")</f>
        <v/>
      </c>
      <c r="B181" t="str">
        <f>IF(Pedidos!$BA182="Proceso",Pedidos!BC182,"")</f>
        <v/>
      </c>
      <c r="C181" t="str">
        <f>IF(Pedidos!$BA182="Proceso",Pedidos!BD182,"")</f>
        <v/>
      </c>
      <c r="D181" s="490" t="str">
        <f>IF(Pedidos!$BA182="Proceso",Pedidos!BE182,"")</f>
        <v/>
      </c>
      <c r="E181" s="490" t="str">
        <f>IF($A181&lt;&gt;"",VLOOKUP($A181,Pedidos!$A$2:$I$9998,8,0),"")</f>
        <v/>
      </c>
      <c r="F181" s="490" t="str">
        <f>IF($A181&lt;&gt;"",VLOOKUP($A181,Pedidos!$A$2:$I$9998,9,0),"")</f>
        <v/>
      </c>
      <c r="H181" s="490" t="str">
        <f t="shared" si="5"/>
        <v/>
      </c>
      <c r="I181" s="490" t="str">
        <f>IFERROR(IF(INDEX(Procesos!$A$1:$HZ$457,MATCH(Resumen!$A$3&amp;"     ITEM # "&amp;Resumen!G181,Procesos!$A:$A,0)+6,MATCH(Resumen!A181,Procesos!$2:$2,0)+6)=0,"",INDEX(Procesos!$A$1:$HZ$457,MATCH(Resumen!$A$3&amp;"     ITEM # "&amp;Resumen!G181,Procesos!$A:$A,0)+6,MATCH(Resumen!A181,Procesos!$2:$2,0)+6)),"")</f>
        <v/>
      </c>
    </row>
    <row r="182" spans="1:9" x14ac:dyDescent="0.25">
      <c r="A182" t="str">
        <f>IF(Pedidos!$BA183="Proceso",Pedidos!BB183,"")</f>
        <v/>
      </c>
      <c r="B182" t="str">
        <f>IF(Pedidos!$BA183="Proceso",Pedidos!BC183,"")</f>
        <v/>
      </c>
      <c r="C182" t="str">
        <f>IF(Pedidos!$BA183="Proceso",Pedidos!BD183,"")</f>
        <v/>
      </c>
      <c r="D182" s="490" t="str">
        <f>IF(Pedidos!$BA183="Proceso",Pedidos!BE183,"")</f>
        <v/>
      </c>
      <c r="E182" s="490" t="str">
        <f>IF($A182&lt;&gt;"",VLOOKUP($A182,Pedidos!$A$2:$I$9998,8,0),"")</f>
        <v/>
      </c>
      <c r="F182" s="490" t="str">
        <f>IF($A182&lt;&gt;"",VLOOKUP($A182,Pedidos!$A$2:$I$9998,9,0),"")</f>
        <v/>
      </c>
      <c r="H182" s="490" t="str">
        <f t="shared" si="5"/>
        <v/>
      </c>
      <c r="I182" s="490" t="str">
        <f>IFERROR(IF(INDEX(Procesos!$A$1:$HZ$457,MATCH(Resumen!$A$3&amp;"     ITEM # "&amp;Resumen!G182,Procesos!$A:$A,0)+6,MATCH(Resumen!A182,Procesos!$2:$2,0)+6)=0,"",INDEX(Procesos!$A$1:$HZ$457,MATCH(Resumen!$A$3&amp;"     ITEM # "&amp;Resumen!G182,Procesos!$A:$A,0)+6,MATCH(Resumen!A182,Procesos!$2:$2,0)+6)),"")</f>
        <v/>
      </c>
    </row>
    <row r="183" spans="1:9" x14ac:dyDescent="0.25">
      <c r="A183" t="str">
        <f>IF(Pedidos!$BA184="Proceso",Pedidos!BB184,"")</f>
        <v/>
      </c>
      <c r="B183" t="str">
        <f>IF(Pedidos!$BA184="Proceso",Pedidos!BC184,"")</f>
        <v/>
      </c>
      <c r="C183" t="str">
        <f>IF(Pedidos!$BA184="Proceso",Pedidos!BD184,"")</f>
        <v/>
      </c>
      <c r="D183" s="490" t="str">
        <f>IF(Pedidos!$BA184="Proceso",Pedidos!BE184,"")</f>
        <v/>
      </c>
      <c r="E183" s="490" t="str">
        <f>IF($A183&lt;&gt;"",VLOOKUP($A183,Pedidos!$A$2:$I$9998,8,0),"")</f>
        <v/>
      </c>
      <c r="F183" s="490" t="str">
        <f>IF($A183&lt;&gt;"",VLOOKUP($A183,Pedidos!$A$2:$I$9998,9,0),"")</f>
        <v/>
      </c>
      <c r="H183" s="490" t="str">
        <f t="shared" si="5"/>
        <v/>
      </c>
      <c r="I183" s="490" t="str">
        <f>IFERROR(IF(INDEX(Procesos!$A$1:$HZ$457,MATCH(Resumen!$A$3&amp;"     ITEM # "&amp;Resumen!G183,Procesos!$A:$A,0)+6,MATCH(Resumen!A183,Procesos!$2:$2,0)+6)=0,"",INDEX(Procesos!$A$1:$HZ$457,MATCH(Resumen!$A$3&amp;"     ITEM # "&amp;Resumen!G183,Procesos!$A:$A,0)+6,MATCH(Resumen!A183,Procesos!$2:$2,0)+6)),"")</f>
        <v/>
      </c>
    </row>
    <row r="184" spans="1:9" x14ac:dyDescent="0.25">
      <c r="A184" t="str">
        <f>IF(Pedidos!$BA185="Proceso",Pedidos!BB185,"")</f>
        <v/>
      </c>
      <c r="B184" t="str">
        <f>IF(Pedidos!$BA185="Proceso",Pedidos!BC185,"")</f>
        <v/>
      </c>
      <c r="C184" t="str">
        <f>IF(Pedidos!$BA185="Proceso",Pedidos!BD185,"")</f>
        <v/>
      </c>
      <c r="D184" s="490" t="str">
        <f>IF(Pedidos!$BA185="Proceso",Pedidos!BE185,"")</f>
        <v/>
      </c>
      <c r="E184" s="490" t="str">
        <f>IF($A184&lt;&gt;"",VLOOKUP($A184,Pedidos!$A$2:$I$9998,8,0),"")</f>
        <v/>
      </c>
      <c r="F184" s="490" t="str">
        <f>IF($A184&lt;&gt;"",VLOOKUP($A184,Pedidos!$A$2:$I$9998,9,0),"")</f>
        <v/>
      </c>
      <c r="H184" s="490" t="str">
        <f t="shared" si="5"/>
        <v/>
      </c>
      <c r="I184" s="490" t="str">
        <f>IFERROR(IF(INDEX(Procesos!$A$1:$HZ$457,MATCH(Resumen!$A$3&amp;"     ITEM # "&amp;Resumen!G184,Procesos!$A:$A,0)+6,MATCH(Resumen!A184,Procesos!$2:$2,0)+6)=0,"",INDEX(Procesos!$A$1:$HZ$457,MATCH(Resumen!$A$3&amp;"     ITEM # "&amp;Resumen!G184,Procesos!$A:$A,0)+6,MATCH(Resumen!A184,Procesos!$2:$2,0)+6)),"")</f>
        <v/>
      </c>
    </row>
    <row r="185" spans="1:9" x14ac:dyDescent="0.25">
      <c r="A185" t="str">
        <f>IF(Pedidos!$BA186="Proceso",Pedidos!BB186,"")</f>
        <v/>
      </c>
      <c r="B185" t="str">
        <f>IF(Pedidos!$BA186="Proceso",Pedidos!BC186,"")</f>
        <v/>
      </c>
      <c r="C185" t="str">
        <f>IF(Pedidos!$BA186="Proceso",Pedidos!BD186,"")</f>
        <v/>
      </c>
      <c r="D185" s="490" t="str">
        <f>IF(Pedidos!$BA186="Proceso",Pedidos!BE186,"")</f>
        <v/>
      </c>
      <c r="E185" s="490" t="str">
        <f>IF($A185&lt;&gt;"",VLOOKUP($A185,Pedidos!$A$2:$I$9998,8,0),"")</f>
        <v/>
      </c>
      <c r="F185" s="490" t="str">
        <f>IF($A185&lt;&gt;"",VLOOKUP($A185,Pedidos!$A$2:$I$9998,9,0),"")</f>
        <v/>
      </c>
      <c r="H185" s="490" t="str">
        <f t="shared" si="5"/>
        <v/>
      </c>
      <c r="I185" s="490" t="str">
        <f>IFERROR(IF(INDEX(Procesos!$A$1:$HZ$457,MATCH(Resumen!$A$3&amp;"     ITEM # "&amp;Resumen!G185,Procesos!$A:$A,0)+6,MATCH(Resumen!A185,Procesos!$2:$2,0)+6)=0,"",INDEX(Procesos!$A$1:$HZ$457,MATCH(Resumen!$A$3&amp;"     ITEM # "&amp;Resumen!G185,Procesos!$A:$A,0)+6,MATCH(Resumen!A185,Procesos!$2:$2,0)+6)),"")</f>
        <v/>
      </c>
    </row>
    <row r="186" spans="1:9" x14ac:dyDescent="0.25">
      <c r="A186" t="str">
        <f>IF(Pedidos!$BA187="Proceso",Pedidos!BB187,"")</f>
        <v/>
      </c>
      <c r="B186" t="str">
        <f>IF(Pedidos!$BA187="Proceso",Pedidos!BC187,"")</f>
        <v/>
      </c>
      <c r="C186" t="str">
        <f>IF(Pedidos!$BA187="Proceso",Pedidos!BD187,"")</f>
        <v/>
      </c>
      <c r="D186" s="490" t="str">
        <f>IF(Pedidos!$BA187="Proceso",Pedidos!BE187,"")</f>
        <v/>
      </c>
      <c r="E186" s="490" t="str">
        <f>IF($A186&lt;&gt;"",VLOOKUP($A186,Pedidos!$A$2:$I$9998,8,0),"")</f>
        <v/>
      </c>
      <c r="F186" s="490" t="str">
        <f>IF($A186&lt;&gt;"",VLOOKUP($A186,Pedidos!$A$2:$I$9998,9,0),"")</f>
        <v/>
      </c>
      <c r="H186" s="490" t="str">
        <f t="shared" si="5"/>
        <v/>
      </c>
      <c r="I186" s="490" t="str">
        <f>IFERROR(IF(INDEX(Procesos!$A$1:$HZ$457,MATCH(Resumen!$A$3&amp;"     ITEM # "&amp;Resumen!G186,Procesos!$A:$A,0)+6,MATCH(Resumen!A186,Procesos!$2:$2,0)+6)=0,"",INDEX(Procesos!$A$1:$HZ$457,MATCH(Resumen!$A$3&amp;"     ITEM # "&amp;Resumen!G186,Procesos!$A:$A,0)+6,MATCH(Resumen!A186,Procesos!$2:$2,0)+6)),"")</f>
        <v/>
      </c>
    </row>
    <row r="187" spans="1:9" x14ac:dyDescent="0.25">
      <c r="A187" t="str">
        <f>IF(Pedidos!$BA188="Proceso",Pedidos!BB188,"")</f>
        <v/>
      </c>
      <c r="B187" t="str">
        <f>IF(Pedidos!$BA188="Proceso",Pedidos!BC188,"")</f>
        <v/>
      </c>
      <c r="C187" t="str">
        <f>IF(Pedidos!$BA188="Proceso",Pedidos!BD188,"")</f>
        <v/>
      </c>
      <c r="D187" s="490" t="str">
        <f>IF(Pedidos!$BA188="Proceso",Pedidos!BE188,"")</f>
        <v/>
      </c>
      <c r="E187" s="490" t="str">
        <f>IF($A187&lt;&gt;"",VLOOKUP($A187,Pedidos!$A$2:$I$9998,8,0),"")</f>
        <v/>
      </c>
      <c r="F187" s="490" t="str">
        <f>IF($A187&lt;&gt;"",VLOOKUP($A187,Pedidos!$A$2:$I$9998,9,0),"")</f>
        <v/>
      </c>
      <c r="H187" s="490" t="str">
        <f t="shared" si="5"/>
        <v/>
      </c>
      <c r="I187" s="490" t="str">
        <f>IFERROR(IF(INDEX(Procesos!$A$1:$HZ$457,MATCH(Resumen!$A$3&amp;"     ITEM # "&amp;Resumen!G187,Procesos!$A:$A,0)+6,MATCH(Resumen!A187,Procesos!$2:$2,0)+6)=0,"",INDEX(Procesos!$A$1:$HZ$457,MATCH(Resumen!$A$3&amp;"     ITEM # "&amp;Resumen!G187,Procesos!$A:$A,0)+6,MATCH(Resumen!A187,Procesos!$2:$2,0)+6)),"")</f>
        <v/>
      </c>
    </row>
    <row r="188" spans="1:9" x14ac:dyDescent="0.25">
      <c r="A188" t="str">
        <f>IF(Pedidos!$BA189="Proceso",Pedidos!BB189,"")</f>
        <v/>
      </c>
      <c r="B188" t="str">
        <f>IF(Pedidos!$BA189="Proceso",Pedidos!BC189,"")</f>
        <v/>
      </c>
      <c r="C188" t="str">
        <f>IF(Pedidos!$BA189="Proceso",Pedidos!BD189,"")</f>
        <v/>
      </c>
      <c r="D188" s="490" t="str">
        <f>IF(Pedidos!$BA189="Proceso",Pedidos!BE189,"")</f>
        <v/>
      </c>
      <c r="E188" s="490" t="str">
        <f>IF($A188&lt;&gt;"",VLOOKUP($A188,Pedidos!$A$2:$I$9998,8,0),"")</f>
        <v/>
      </c>
      <c r="F188" s="490" t="str">
        <f>IF($A188&lt;&gt;"",VLOOKUP($A188,Pedidos!$A$2:$I$9998,9,0),"")</f>
        <v/>
      </c>
      <c r="H188" s="490" t="str">
        <f t="shared" si="5"/>
        <v/>
      </c>
      <c r="I188" s="490" t="str">
        <f>IFERROR(IF(INDEX(Procesos!$A$1:$HZ$457,MATCH(Resumen!$A$3&amp;"     ITEM # "&amp;Resumen!G188,Procesos!$A:$A,0)+6,MATCH(Resumen!A188,Procesos!$2:$2,0)+6)=0,"",INDEX(Procesos!$A$1:$HZ$457,MATCH(Resumen!$A$3&amp;"     ITEM # "&amp;Resumen!G188,Procesos!$A:$A,0)+6,MATCH(Resumen!A188,Procesos!$2:$2,0)+6)),"")</f>
        <v/>
      </c>
    </row>
    <row r="189" spans="1:9" x14ac:dyDescent="0.25">
      <c r="A189" t="str">
        <f>IF(Pedidos!$BA190="Proceso",Pedidos!BB190,"")</f>
        <v/>
      </c>
      <c r="B189" t="str">
        <f>IF(Pedidos!$BA190="Proceso",Pedidos!BC190,"")</f>
        <v/>
      </c>
      <c r="C189" t="str">
        <f>IF(Pedidos!$BA190="Proceso",Pedidos!BD190,"")</f>
        <v/>
      </c>
      <c r="D189" s="490" t="str">
        <f>IF(Pedidos!$BA190="Proceso",Pedidos!BE190,"")</f>
        <v/>
      </c>
      <c r="E189" s="490" t="str">
        <f>IF($A189&lt;&gt;"",VLOOKUP($A189,Pedidos!$A$2:$I$9998,8,0),"")</f>
        <v/>
      </c>
      <c r="F189" s="490" t="str">
        <f>IF($A189&lt;&gt;"",VLOOKUP($A189,Pedidos!$A$2:$I$9998,9,0),"")</f>
        <v/>
      </c>
      <c r="H189" s="490" t="str">
        <f t="shared" si="5"/>
        <v/>
      </c>
      <c r="I189" s="490" t="str">
        <f>IFERROR(IF(INDEX(Procesos!$A$1:$HZ$457,MATCH(Resumen!$A$3&amp;"     ITEM # "&amp;Resumen!G189,Procesos!$A:$A,0)+6,MATCH(Resumen!A189,Procesos!$2:$2,0)+6)=0,"",INDEX(Procesos!$A$1:$HZ$457,MATCH(Resumen!$A$3&amp;"     ITEM # "&amp;Resumen!G189,Procesos!$A:$A,0)+6,MATCH(Resumen!A189,Procesos!$2:$2,0)+6)),"")</f>
        <v/>
      </c>
    </row>
    <row r="190" spans="1:9" x14ac:dyDescent="0.25">
      <c r="A190" t="str">
        <f>IF(Pedidos!$BA191="Proceso",Pedidos!BB191,"")</f>
        <v/>
      </c>
      <c r="B190" t="str">
        <f>IF(Pedidos!$BA191="Proceso",Pedidos!BC191,"")</f>
        <v/>
      </c>
      <c r="C190" t="str">
        <f>IF(Pedidos!$BA191="Proceso",Pedidos!BD191,"")</f>
        <v/>
      </c>
      <c r="D190" s="490" t="str">
        <f>IF(Pedidos!$BA191="Proceso",Pedidos!BE191,"")</f>
        <v/>
      </c>
      <c r="E190" s="490" t="str">
        <f>IF($A190&lt;&gt;"",VLOOKUP($A190,Pedidos!$A$2:$I$9998,8,0),"")</f>
        <v/>
      </c>
      <c r="F190" s="490" t="str">
        <f>IF($A190&lt;&gt;"",VLOOKUP($A190,Pedidos!$A$2:$I$9998,9,0),"")</f>
        <v/>
      </c>
      <c r="H190" s="490" t="str">
        <f t="shared" si="5"/>
        <v/>
      </c>
      <c r="I190" s="490" t="str">
        <f>IFERROR(IF(INDEX(Procesos!$A$1:$HZ$457,MATCH(Resumen!$A$3&amp;"     ITEM # "&amp;Resumen!G190,Procesos!$A:$A,0)+6,MATCH(Resumen!A190,Procesos!$2:$2,0)+6)=0,"",INDEX(Procesos!$A$1:$HZ$457,MATCH(Resumen!$A$3&amp;"     ITEM # "&amp;Resumen!G190,Procesos!$A:$A,0)+6,MATCH(Resumen!A190,Procesos!$2:$2,0)+6)),"")</f>
        <v/>
      </c>
    </row>
    <row r="191" spans="1:9" x14ac:dyDescent="0.25">
      <c r="A191" t="str">
        <f>IF(Pedidos!$BA192="Proceso",Pedidos!BB192,"")</f>
        <v/>
      </c>
      <c r="B191" t="str">
        <f>IF(Pedidos!$BA192="Proceso",Pedidos!BC192,"")</f>
        <v/>
      </c>
      <c r="C191" t="str">
        <f>IF(Pedidos!$BA192="Proceso",Pedidos!BD192,"")</f>
        <v/>
      </c>
      <c r="D191" s="490" t="str">
        <f>IF(Pedidos!$BA192="Proceso",Pedidos!BE192,"")</f>
        <v/>
      </c>
      <c r="E191" s="490" t="str">
        <f>IF($A191&lt;&gt;"",VLOOKUP($A191,Pedidos!$A$2:$I$9998,8,0),"")</f>
        <v/>
      </c>
      <c r="F191" s="490" t="str">
        <f>IF($A191&lt;&gt;"",VLOOKUP($A191,Pedidos!$A$2:$I$9998,9,0),"")</f>
        <v/>
      </c>
      <c r="H191" s="490" t="str">
        <f t="shared" si="5"/>
        <v/>
      </c>
      <c r="I191" s="490" t="str">
        <f>IFERROR(IF(INDEX(Procesos!$A$1:$HZ$457,MATCH(Resumen!$A$3&amp;"     ITEM # "&amp;Resumen!G191,Procesos!$A:$A,0)+6,MATCH(Resumen!A191,Procesos!$2:$2,0)+6)=0,"",INDEX(Procesos!$A$1:$HZ$457,MATCH(Resumen!$A$3&amp;"     ITEM # "&amp;Resumen!G191,Procesos!$A:$A,0)+6,MATCH(Resumen!A191,Procesos!$2:$2,0)+6)),"")</f>
        <v/>
      </c>
    </row>
    <row r="192" spans="1:9" x14ac:dyDescent="0.25">
      <c r="A192" t="str">
        <f>IF(Pedidos!$BA193="Proceso",Pedidos!BB193,"")</f>
        <v/>
      </c>
      <c r="B192" t="str">
        <f>IF(Pedidos!$BA193="Proceso",Pedidos!BC193,"")</f>
        <v/>
      </c>
      <c r="C192" t="str">
        <f>IF(Pedidos!$BA193="Proceso",Pedidos!BD193,"")</f>
        <v/>
      </c>
      <c r="D192" s="490" t="str">
        <f>IF(Pedidos!$BA193="Proceso",Pedidos!BE193,"")</f>
        <v/>
      </c>
      <c r="E192" s="490" t="str">
        <f>IF($A192&lt;&gt;"",VLOOKUP($A192,Pedidos!$A$2:$I$9998,8,0),"")</f>
        <v/>
      </c>
      <c r="F192" s="490" t="str">
        <f>IF($A192&lt;&gt;"",VLOOKUP($A192,Pedidos!$A$2:$I$9998,9,0),"")</f>
        <v/>
      </c>
      <c r="H192" s="490" t="str">
        <f t="shared" si="5"/>
        <v/>
      </c>
      <c r="I192" s="490" t="str">
        <f>IFERROR(IF(INDEX(Procesos!$A$1:$HZ$457,MATCH(Resumen!$A$3&amp;"     ITEM # "&amp;Resumen!G192,Procesos!$A:$A,0)+6,MATCH(Resumen!A192,Procesos!$2:$2,0)+6)=0,"",INDEX(Procesos!$A$1:$HZ$457,MATCH(Resumen!$A$3&amp;"     ITEM # "&amp;Resumen!G192,Procesos!$A:$A,0)+6,MATCH(Resumen!A192,Procesos!$2:$2,0)+6)),"")</f>
        <v/>
      </c>
    </row>
    <row r="193" spans="1:9" x14ac:dyDescent="0.25">
      <c r="A193" t="str">
        <f>IF(Pedidos!$BA194="Proceso",Pedidos!BB194,"")</f>
        <v/>
      </c>
      <c r="B193" t="str">
        <f>IF(Pedidos!$BA194="Proceso",Pedidos!BC194,"")</f>
        <v/>
      </c>
      <c r="C193" t="str">
        <f>IF(Pedidos!$BA194="Proceso",Pedidos!BD194,"")</f>
        <v/>
      </c>
      <c r="D193" s="490" t="str">
        <f>IF(Pedidos!$BA194="Proceso",Pedidos!BE194,"")</f>
        <v/>
      </c>
      <c r="E193" s="490" t="str">
        <f>IF($A193&lt;&gt;"",VLOOKUP($A193,Pedidos!$A$2:$I$9998,8,0),"")</f>
        <v/>
      </c>
      <c r="F193" s="490" t="str">
        <f>IF($A193&lt;&gt;"",VLOOKUP($A193,Pedidos!$A$2:$I$9998,9,0),"")</f>
        <v/>
      </c>
      <c r="H193" s="490" t="str">
        <f t="shared" si="5"/>
        <v/>
      </c>
      <c r="I193" s="490" t="str">
        <f>IFERROR(IF(INDEX(Procesos!$A$1:$HZ$457,MATCH(Resumen!$A$3&amp;"     ITEM # "&amp;Resumen!G193,Procesos!$A:$A,0)+6,MATCH(Resumen!A193,Procesos!$2:$2,0)+6)=0,"",INDEX(Procesos!$A$1:$HZ$457,MATCH(Resumen!$A$3&amp;"     ITEM # "&amp;Resumen!G193,Procesos!$A:$A,0)+6,MATCH(Resumen!A193,Procesos!$2:$2,0)+6)),"")</f>
        <v/>
      </c>
    </row>
    <row r="194" spans="1:9" x14ac:dyDescent="0.25">
      <c r="A194" t="str">
        <f>IF(Pedidos!$BA195="Proceso",Pedidos!BB195,"")</f>
        <v/>
      </c>
      <c r="B194" t="str">
        <f>IF(Pedidos!$BA195="Proceso",Pedidos!BC195,"")</f>
        <v/>
      </c>
      <c r="C194" t="str">
        <f>IF(Pedidos!$BA195="Proceso",Pedidos!BD195,"")</f>
        <v/>
      </c>
      <c r="D194" s="490" t="str">
        <f>IF(Pedidos!$BA195="Proceso",Pedidos!BE195,"")</f>
        <v/>
      </c>
      <c r="E194" s="490" t="str">
        <f>IF($A194&lt;&gt;"",VLOOKUP($A194,Pedidos!$A$2:$I$9998,8,0),"")</f>
        <v/>
      </c>
      <c r="F194" s="490" t="str">
        <f>IF($A194&lt;&gt;"",VLOOKUP($A194,Pedidos!$A$2:$I$9998,9,0),"")</f>
        <v/>
      </c>
      <c r="H194" s="490" t="str">
        <f t="shared" si="5"/>
        <v/>
      </c>
      <c r="I194" s="490" t="str">
        <f>IFERROR(IF(INDEX(Procesos!$A$1:$HZ$457,MATCH(Resumen!$A$3&amp;"     ITEM # "&amp;Resumen!G194,Procesos!$A:$A,0)+6,MATCH(Resumen!A194,Procesos!$2:$2,0)+6)=0,"",INDEX(Procesos!$A$1:$HZ$457,MATCH(Resumen!$A$3&amp;"     ITEM # "&amp;Resumen!G194,Procesos!$A:$A,0)+6,MATCH(Resumen!A194,Procesos!$2:$2,0)+6)),"")</f>
        <v/>
      </c>
    </row>
    <row r="195" spans="1:9" x14ac:dyDescent="0.25">
      <c r="A195" t="str">
        <f>IF(Pedidos!$BA196="Proceso",Pedidos!BB196,"")</f>
        <v/>
      </c>
      <c r="B195" t="str">
        <f>IF(Pedidos!$BA196="Proceso",Pedidos!BC196,"")</f>
        <v/>
      </c>
      <c r="C195" t="str">
        <f>IF(Pedidos!$BA196="Proceso",Pedidos!BD196,"")</f>
        <v/>
      </c>
      <c r="D195" s="490" t="str">
        <f>IF(Pedidos!$BA196="Proceso",Pedidos!BE196,"")</f>
        <v/>
      </c>
      <c r="E195" s="490" t="str">
        <f>IF($A195&lt;&gt;"",VLOOKUP($A195,Pedidos!$A$2:$I$9998,8,0),"")</f>
        <v/>
      </c>
      <c r="F195" s="490" t="str">
        <f>IF($A195&lt;&gt;"",VLOOKUP($A195,Pedidos!$A$2:$I$9998,9,0),"")</f>
        <v/>
      </c>
      <c r="H195" s="490" t="str">
        <f t="shared" si="5"/>
        <v/>
      </c>
      <c r="I195" s="490" t="str">
        <f>IFERROR(IF(INDEX(Procesos!$A$1:$HZ$457,MATCH(Resumen!$A$3&amp;"     ITEM # "&amp;Resumen!G195,Procesos!$A:$A,0)+6,MATCH(Resumen!A195,Procesos!$2:$2,0)+6)=0,"",INDEX(Procesos!$A$1:$HZ$457,MATCH(Resumen!$A$3&amp;"     ITEM # "&amp;Resumen!G195,Procesos!$A:$A,0)+6,MATCH(Resumen!A195,Procesos!$2:$2,0)+6)),"")</f>
        <v/>
      </c>
    </row>
    <row r="196" spans="1:9" x14ac:dyDescent="0.25">
      <c r="A196" t="str">
        <f>IF(Pedidos!$BA197="Proceso",Pedidos!BB197,"")</f>
        <v/>
      </c>
      <c r="B196" t="str">
        <f>IF(Pedidos!$BA197="Proceso",Pedidos!BC197,"")</f>
        <v/>
      </c>
      <c r="C196" t="str">
        <f>IF(Pedidos!$BA197="Proceso",Pedidos!BD197,"")</f>
        <v/>
      </c>
      <c r="D196" s="490" t="str">
        <f>IF(Pedidos!$BA197="Proceso",Pedidos!BE197,"")</f>
        <v/>
      </c>
      <c r="E196" s="490" t="str">
        <f>IF($A196&lt;&gt;"",VLOOKUP($A196,Pedidos!$A$2:$I$9998,8,0),"")</f>
        <v/>
      </c>
      <c r="F196" s="490" t="str">
        <f>IF($A196&lt;&gt;"",VLOOKUP($A196,Pedidos!$A$2:$I$9998,9,0),"")</f>
        <v/>
      </c>
      <c r="H196" s="490" t="str">
        <f t="shared" ref="H196:H259" si="6">IF(A196="","",A196&amp;"     ITEM # "&amp;G196)</f>
        <v/>
      </c>
      <c r="I196" s="490" t="str">
        <f>IFERROR(IF(INDEX(Procesos!$A$1:$HZ$457,MATCH(Resumen!$A$3&amp;"     ITEM # "&amp;Resumen!G196,Procesos!$A:$A,0)+6,MATCH(Resumen!A196,Procesos!$2:$2,0)+6)=0,"",INDEX(Procesos!$A$1:$HZ$457,MATCH(Resumen!$A$3&amp;"     ITEM # "&amp;Resumen!G196,Procesos!$A:$A,0)+6,MATCH(Resumen!A196,Procesos!$2:$2,0)+6)),"")</f>
        <v/>
      </c>
    </row>
    <row r="197" spans="1:9" x14ac:dyDescent="0.25">
      <c r="A197" t="str">
        <f>IF(Pedidos!$BA198="Proceso",Pedidos!BB198,"")</f>
        <v/>
      </c>
      <c r="B197" t="str">
        <f>IF(Pedidos!$BA198="Proceso",Pedidos!BC198,"")</f>
        <v/>
      </c>
      <c r="C197" t="str">
        <f>IF(Pedidos!$BA198="Proceso",Pedidos!BD198,"")</f>
        <v/>
      </c>
      <c r="D197" s="490" t="str">
        <f>IF(Pedidos!$BA198="Proceso",Pedidos!BE198,"")</f>
        <v/>
      </c>
      <c r="E197" s="490" t="str">
        <f>IF($A197&lt;&gt;"",VLOOKUP($A197,Pedidos!$A$2:$I$9998,8,0),"")</f>
        <v/>
      </c>
      <c r="F197" s="490" t="str">
        <f>IF($A197&lt;&gt;"",VLOOKUP($A197,Pedidos!$A$2:$I$9998,9,0),"")</f>
        <v/>
      </c>
      <c r="H197" s="490" t="str">
        <f t="shared" si="6"/>
        <v/>
      </c>
      <c r="I197" s="490" t="str">
        <f>IFERROR(IF(INDEX(Procesos!$A$1:$HZ$457,MATCH(Resumen!$A$3&amp;"     ITEM # "&amp;Resumen!G197,Procesos!$A:$A,0)+6,MATCH(Resumen!A197,Procesos!$2:$2,0)+6)=0,"",INDEX(Procesos!$A$1:$HZ$457,MATCH(Resumen!$A$3&amp;"     ITEM # "&amp;Resumen!G197,Procesos!$A:$A,0)+6,MATCH(Resumen!A197,Procesos!$2:$2,0)+6)),"")</f>
        <v/>
      </c>
    </row>
    <row r="198" spans="1:9" x14ac:dyDescent="0.25">
      <c r="A198" t="str">
        <f>IF(Pedidos!$BA199="Proceso",Pedidos!BB199,"")</f>
        <v/>
      </c>
      <c r="B198" t="str">
        <f>IF(Pedidos!$BA199="Proceso",Pedidos!BC199,"")</f>
        <v/>
      </c>
      <c r="C198" t="str">
        <f>IF(Pedidos!$BA199="Proceso",Pedidos!BD199,"")</f>
        <v/>
      </c>
      <c r="D198" s="490" t="str">
        <f>IF(Pedidos!$BA199="Proceso",Pedidos!BE199,"")</f>
        <v/>
      </c>
      <c r="E198" s="490" t="str">
        <f>IF($A198&lt;&gt;"",VLOOKUP($A198,Pedidos!$A$2:$I$9998,8,0),"")</f>
        <v/>
      </c>
      <c r="F198" s="490" t="str">
        <f>IF($A198&lt;&gt;"",VLOOKUP($A198,Pedidos!$A$2:$I$9998,9,0),"")</f>
        <v/>
      </c>
      <c r="H198" s="490" t="str">
        <f t="shared" si="6"/>
        <v/>
      </c>
      <c r="I198" s="490" t="str">
        <f>IFERROR(IF(INDEX(Procesos!$A$1:$HZ$457,MATCH(Resumen!$A$3&amp;"     ITEM # "&amp;Resumen!G198,Procesos!$A:$A,0)+6,MATCH(Resumen!A198,Procesos!$2:$2,0)+6)=0,"",INDEX(Procesos!$A$1:$HZ$457,MATCH(Resumen!$A$3&amp;"     ITEM # "&amp;Resumen!G198,Procesos!$A:$A,0)+6,MATCH(Resumen!A198,Procesos!$2:$2,0)+6)),"")</f>
        <v/>
      </c>
    </row>
    <row r="199" spans="1:9" x14ac:dyDescent="0.25">
      <c r="A199" t="str">
        <f>IF(Pedidos!$BA200="Proceso",Pedidos!BB200,"")</f>
        <v/>
      </c>
      <c r="B199" t="str">
        <f>IF(Pedidos!$BA200="Proceso",Pedidos!BC200,"")</f>
        <v/>
      </c>
      <c r="C199" t="str">
        <f>IF(Pedidos!$BA200="Proceso",Pedidos!BD200,"")</f>
        <v/>
      </c>
      <c r="D199" s="490" t="str">
        <f>IF(Pedidos!$BA200="Proceso",Pedidos!BE200,"")</f>
        <v/>
      </c>
      <c r="E199" s="490" t="str">
        <f>IF($A199&lt;&gt;"",VLOOKUP($A199,Pedidos!$A$2:$I$9998,8,0),"")</f>
        <v/>
      </c>
      <c r="F199" s="490" t="str">
        <f>IF($A199&lt;&gt;"",VLOOKUP($A199,Pedidos!$A$2:$I$9998,9,0),"")</f>
        <v/>
      </c>
      <c r="H199" s="490" t="str">
        <f t="shared" si="6"/>
        <v/>
      </c>
      <c r="I199" s="490" t="str">
        <f>IFERROR(IF(INDEX(Procesos!$A$1:$HZ$457,MATCH(Resumen!$A$3&amp;"     ITEM # "&amp;Resumen!G199,Procesos!$A:$A,0)+6,MATCH(Resumen!A199,Procesos!$2:$2,0)+6)=0,"",INDEX(Procesos!$A$1:$HZ$457,MATCH(Resumen!$A$3&amp;"     ITEM # "&amp;Resumen!G199,Procesos!$A:$A,0)+6,MATCH(Resumen!A199,Procesos!$2:$2,0)+6)),"")</f>
        <v/>
      </c>
    </row>
    <row r="200" spans="1:9" x14ac:dyDescent="0.25">
      <c r="A200" t="str">
        <f>IF(Pedidos!$BA201="Proceso",Pedidos!BB201,"")</f>
        <v/>
      </c>
      <c r="B200" t="str">
        <f>IF(Pedidos!$BA201="Proceso",Pedidos!BC201,"")</f>
        <v/>
      </c>
      <c r="C200" t="str">
        <f>IF(Pedidos!$BA201="Proceso",Pedidos!BD201,"")</f>
        <v/>
      </c>
      <c r="D200" s="490" t="str">
        <f>IF(Pedidos!$BA201="Proceso",Pedidos!BE201,"")</f>
        <v/>
      </c>
      <c r="E200" s="490" t="str">
        <f>IF($A200&lt;&gt;"",VLOOKUP($A200,Pedidos!$A$2:$I$9998,8,0),"")</f>
        <v/>
      </c>
      <c r="F200" s="490" t="str">
        <f>IF($A200&lt;&gt;"",VLOOKUP($A200,Pedidos!$A$2:$I$9998,9,0),"")</f>
        <v/>
      </c>
      <c r="H200" s="490" t="str">
        <f t="shared" si="6"/>
        <v/>
      </c>
      <c r="I200" s="490" t="str">
        <f>IFERROR(IF(INDEX(Procesos!$A$1:$HZ$457,MATCH(Resumen!$A$3&amp;"     ITEM # "&amp;Resumen!G200,Procesos!$A:$A,0)+6,MATCH(Resumen!A200,Procesos!$2:$2,0)+6)=0,"",INDEX(Procesos!$A$1:$HZ$457,MATCH(Resumen!$A$3&amp;"     ITEM # "&amp;Resumen!G200,Procesos!$A:$A,0)+6,MATCH(Resumen!A200,Procesos!$2:$2,0)+6)),"")</f>
        <v/>
      </c>
    </row>
    <row r="201" spans="1:9" x14ac:dyDescent="0.25">
      <c r="A201" t="str">
        <f>IF(Pedidos!$BA202="Proceso",Pedidos!BB202,"")</f>
        <v/>
      </c>
      <c r="B201" t="str">
        <f>IF(Pedidos!$BA202="Proceso",Pedidos!BC202,"")</f>
        <v/>
      </c>
      <c r="C201" t="str">
        <f>IF(Pedidos!$BA202="Proceso",Pedidos!BD202,"")</f>
        <v/>
      </c>
      <c r="D201" s="490" t="str">
        <f>IF(Pedidos!$BA202="Proceso",Pedidos!BE202,"")</f>
        <v/>
      </c>
      <c r="E201" s="490" t="str">
        <f>IF($A201&lt;&gt;"",VLOOKUP($A201,Pedidos!$A$2:$I$9998,8,0),"")</f>
        <v/>
      </c>
      <c r="F201" s="490" t="str">
        <f>IF($A201&lt;&gt;"",VLOOKUP($A201,Pedidos!$A$2:$I$9998,9,0),"")</f>
        <v/>
      </c>
      <c r="H201" s="490" t="str">
        <f t="shared" si="6"/>
        <v/>
      </c>
      <c r="I201" s="490" t="str">
        <f>IFERROR(IF(INDEX(Procesos!$A$1:$HZ$457,MATCH(Resumen!$A$3&amp;"     ITEM # "&amp;Resumen!G201,Procesos!$A:$A,0)+6,MATCH(Resumen!A201,Procesos!$2:$2,0)+6)=0,"",INDEX(Procesos!$A$1:$HZ$457,MATCH(Resumen!$A$3&amp;"     ITEM # "&amp;Resumen!G201,Procesos!$A:$A,0)+6,MATCH(Resumen!A201,Procesos!$2:$2,0)+6)),"")</f>
        <v/>
      </c>
    </row>
    <row r="202" spans="1:9" x14ac:dyDescent="0.25">
      <c r="A202" t="str">
        <f>IF(Pedidos!$BA203="Proceso",Pedidos!BB203,"")</f>
        <v/>
      </c>
      <c r="B202" t="str">
        <f>IF(Pedidos!$BA203="Proceso",Pedidos!BC203,"")</f>
        <v/>
      </c>
      <c r="C202" t="str">
        <f>IF(Pedidos!$BA203="Proceso",Pedidos!BD203,"")</f>
        <v/>
      </c>
      <c r="D202" s="490" t="str">
        <f>IF(Pedidos!$BA203="Proceso",Pedidos!BE203,"")</f>
        <v/>
      </c>
      <c r="E202" s="490" t="str">
        <f>IF($A202&lt;&gt;"",VLOOKUP($A202,Pedidos!$A$2:$I$9998,8,0),"")</f>
        <v/>
      </c>
      <c r="F202" s="490" t="str">
        <f>IF($A202&lt;&gt;"",VLOOKUP($A202,Pedidos!$A$2:$I$9998,9,0),"")</f>
        <v/>
      </c>
      <c r="H202" s="490" t="str">
        <f t="shared" si="6"/>
        <v/>
      </c>
      <c r="I202" s="490" t="str">
        <f>IFERROR(IF(INDEX(Procesos!$A$1:$HZ$457,MATCH(Resumen!$A$3&amp;"     ITEM # "&amp;Resumen!G202,Procesos!$A:$A,0)+6,MATCH(Resumen!A202,Procesos!$2:$2,0)+6)=0,"",INDEX(Procesos!$A$1:$HZ$457,MATCH(Resumen!$A$3&amp;"     ITEM # "&amp;Resumen!G202,Procesos!$A:$A,0)+6,MATCH(Resumen!A202,Procesos!$2:$2,0)+6)),"")</f>
        <v/>
      </c>
    </row>
    <row r="203" spans="1:9" x14ac:dyDescent="0.25">
      <c r="A203" t="str">
        <f>IF(Pedidos!$BA204="Proceso",Pedidos!BB204,"")</f>
        <v/>
      </c>
      <c r="B203" t="str">
        <f>IF(Pedidos!$BA204="Proceso",Pedidos!BC204,"")</f>
        <v/>
      </c>
      <c r="C203" t="str">
        <f>IF(Pedidos!$BA204="Proceso",Pedidos!BD204,"")</f>
        <v/>
      </c>
      <c r="D203" s="490" t="str">
        <f>IF(Pedidos!$BA204="Proceso",Pedidos!BE204,"")</f>
        <v/>
      </c>
      <c r="E203" s="490" t="str">
        <f>IF($A203&lt;&gt;"",VLOOKUP($A203,Pedidos!$A$2:$I$9998,8,0),"")</f>
        <v/>
      </c>
      <c r="F203" s="490" t="str">
        <f>IF($A203&lt;&gt;"",VLOOKUP($A203,Pedidos!$A$2:$I$9998,9,0),"")</f>
        <v/>
      </c>
      <c r="H203" s="490" t="str">
        <f t="shared" si="6"/>
        <v/>
      </c>
      <c r="I203" s="490" t="str">
        <f>IFERROR(IF(INDEX(Procesos!$A$1:$HZ$457,MATCH(Resumen!$A$3&amp;"     ITEM # "&amp;Resumen!G203,Procesos!$A:$A,0)+6,MATCH(Resumen!A203,Procesos!$2:$2,0)+6)=0,"",INDEX(Procesos!$A$1:$HZ$457,MATCH(Resumen!$A$3&amp;"     ITEM # "&amp;Resumen!G203,Procesos!$A:$A,0)+6,MATCH(Resumen!A203,Procesos!$2:$2,0)+6)),"")</f>
        <v/>
      </c>
    </row>
    <row r="204" spans="1:9" x14ac:dyDescent="0.25">
      <c r="A204" t="str">
        <f>IF(Pedidos!$BA205="Proceso",Pedidos!BB205,"")</f>
        <v/>
      </c>
      <c r="B204" t="str">
        <f>IF(Pedidos!$BA205="Proceso",Pedidos!BC205,"")</f>
        <v/>
      </c>
      <c r="C204" t="str">
        <f>IF(Pedidos!$BA205="Proceso",Pedidos!BD205,"")</f>
        <v/>
      </c>
      <c r="D204" s="490" t="str">
        <f>IF(Pedidos!$BA205="Proceso",Pedidos!BE205,"")</f>
        <v/>
      </c>
      <c r="E204" s="490" t="str">
        <f>IF($A204&lt;&gt;"",VLOOKUP($A204,Pedidos!$A$2:$I$9998,8,0),"")</f>
        <v/>
      </c>
      <c r="F204" s="490" t="str">
        <f>IF($A204&lt;&gt;"",VLOOKUP($A204,Pedidos!$A$2:$I$9998,9,0),"")</f>
        <v/>
      </c>
      <c r="H204" s="490" t="str">
        <f t="shared" si="6"/>
        <v/>
      </c>
      <c r="I204" s="490" t="str">
        <f>IFERROR(IF(INDEX(Procesos!$A$1:$HZ$457,MATCH(Resumen!$A$3&amp;"     ITEM # "&amp;Resumen!G204,Procesos!$A:$A,0)+6,MATCH(Resumen!A204,Procesos!$2:$2,0)+6)=0,"",INDEX(Procesos!$A$1:$HZ$457,MATCH(Resumen!$A$3&amp;"     ITEM # "&amp;Resumen!G204,Procesos!$A:$A,0)+6,MATCH(Resumen!A204,Procesos!$2:$2,0)+6)),"")</f>
        <v/>
      </c>
    </row>
    <row r="205" spans="1:9" x14ac:dyDescent="0.25">
      <c r="A205" t="str">
        <f>IF(Pedidos!$BA206="Proceso",Pedidos!BB206,"")</f>
        <v/>
      </c>
      <c r="B205" t="str">
        <f>IF(Pedidos!$BA206="Proceso",Pedidos!BC206,"")</f>
        <v/>
      </c>
      <c r="C205" t="str">
        <f>IF(Pedidos!$BA206="Proceso",Pedidos!BD206,"")</f>
        <v/>
      </c>
      <c r="D205" s="490" t="str">
        <f>IF(Pedidos!$BA206="Proceso",Pedidos!BE206,"")</f>
        <v/>
      </c>
      <c r="E205" s="490" t="str">
        <f>IF($A205&lt;&gt;"",VLOOKUP($A205,Pedidos!$A$2:$I$9998,8,0),"")</f>
        <v/>
      </c>
      <c r="F205" s="490" t="str">
        <f>IF($A205&lt;&gt;"",VLOOKUP($A205,Pedidos!$A$2:$I$9998,9,0),"")</f>
        <v/>
      </c>
      <c r="H205" s="490" t="str">
        <f t="shared" si="6"/>
        <v/>
      </c>
      <c r="I205" s="490" t="str">
        <f>IFERROR(IF(INDEX(Procesos!$A$1:$HZ$457,MATCH(Resumen!$A$3&amp;"     ITEM # "&amp;Resumen!G205,Procesos!$A:$A,0)+6,MATCH(Resumen!A205,Procesos!$2:$2,0)+6)=0,"",INDEX(Procesos!$A$1:$HZ$457,MATCH(Resumen!$A$3&amp;"     ITEM # "&amp;Resumen!G205,Procesos!$A:$A,0)+6,MATCH(Resumen!A205,Procesos!$2:$2,0)+6)),"")</f>
        <v/>
      </c>
    </row>
    <row r="206" spans="1:9" x14ac:dyDescent="0.25">
      <c r="A206" t="str">
        <f>IF(Pedidos!$BA207="Proceso",Pedidos!BB207,"")</f>
        <v/>
      </c>
      <c r="B206" t="str">
        <f>IF(Pedidos!$BA207="Proceso",Pedidos!BC207,"")</f>
        <v/>
      </c>
      <c r="C206" t="str">
        <f>IF(Pedidos!$BA207="Proceso",Pedidos!BD207,"")</f>
        <v/>
      </c>
      <c r="D206" s="490" t="str">
        <f>IF(Pedidos!$BA207="Proceso",Pedidos!BE207,"")</f>
        <v/>
      </c>
      <c r="E206" s="490" t="str">
        <f>IF($A206&lt;&gt;"",VLOOKUP($A206,Pedidos!$A$2:$I$9998,8,0),"")</f>
        <v/>
      </c>
      <c r="F206" s="490" t="str">
        <f>IF($A206&lt;&gt;"",VLOOKUP($A206,Pedidos!$A$2:$I$9998,9,0),"")</f>
        <v/>
      </c>
      <c r="H206" s="490" t="str">
        <f t="shared" si="6"/>
        <v/>
      </c>
      <c r="I206" s="490" t="str">
        <f>IFERROR(IF(INDEX(Procesos!$A$1:$HZ$457,MATCH(Resumen!$A$3&amp;"     ITEM # "&amp;Resumen!G206,Procesos!$A:$A,0)+6,MATCH(Resumen!A206,Procesos!$2:$2,0)+6)=0,"",INDEX(Procesos!$A$1:$HZ$457,MATCH(Resumen!$A$3&amp;"     ITEM # "&amp;Resumen!G206,Procesos!$A:$A,0)+6,MATCH(Resumen!A206,Procesos!$2:$2,0)+6)),"")</f>
        <v/>
      </c>
    </row>
    <row r="207" spans="1:9" x14ac:dyDescent="0.25">
      <c r="A207" t="str">
        <f>IF(Pedidos!$BA208="Proceso",Pedidos!BB208,"")</f>
        <v/>
      </c>
      <c r="B207" t="str">
        <f>IF(Pedidos!$BA208="Proceso",Pedidos!BC208,"")</f>
        <v/>
      </c>
      <c r="C207" t="str">
        <f>IF(Pedidos!$BA208="Proceso",Pedidos!BD208,"")</f>
        <v/>
      </c>
      <c r="D207" s="490" t="str">
        <f>IF(Pedidos!$BA208="Proceso",Pedidos!BE208,"")</f>
        <v/>
      </c>
      <c r="E207" s="490" t="str">
        <f>IF($A207&lt;&gt;"",VLOOKUP($A207,Pedidos!$A$2:$I$9998,8,0),"")</f>
        <v/>
      </c>
      <c r="F207" s="490" t="str">
        <f>IF($A207&lt;&gt;"",VLOOKUP($A207,Pedidos!$A$2:$I$9998,9,0),"")</f>
        <v/>
      </c>
      <c r="H207" s="490" t="str">
        <f t="shared" si="6"/>
        <v/>
      </c>
      <c r="I207" s="490" t="str">
        <f>IFERROR(IF(INDEX(Procesos!$A$1:$HZ$457,MATCH(Resumen!$A$3&amp;"     ITEM # "&amp;Resumen!G207,Procesos!$A:$A,0)+6,MATCH(Resumen!A207,Procesos!$2:$2,0)+6)=0,"",INDEX(Procesos!$A$1:$HZ$457,MATCH(Resumen!$A$3&amp;"     ITEM # "&amp;Resumen!G207,Procesos!$A:$A,0)+6,MATCH(Resumen!A207,Procesos!$2:$2,0)+6)),"")</f>
        <v/>
      </c>
    </row>
    <row r="208" spans="1:9" x14ac:dyDescent="0.25">
      <c r="A208" t="str">
        <f>IF(Pedidos!$BA209="Proceso",Pedidos!BB209,"")</f>
        <v/>
      </c>
      <c r="B208" t="str">
        <f>IF(Pedidos!$BA209="Proceso",Pedidos!BC209,"")</f>
        <v/>
      </c>
      <c r="C208" t="str">
        <f>IF(Pedidos!$BA209="Proceso",Pedidos!BD209,"")</f>
        <v/>
      </c>
      <c r="D208" s="490" t="str">
        <f>IF(Pedidos!$BA209="Proceso",Pedidos!BE209,"")</f>
        <v/>
      </c>
      <c r="E208" s="490" t="str">
        <f>IF($A208&lt;&gt;"",VLOOKUP($A208,Pedidos!$A$2:$I$9998,8,0),"")</f>
        <v/>
      </c>
      <c r="F208" s="490" t="str">
        <f>IF($A208&lt;&gt;"",VLOOKUP($A208,Pedidos!$A$2:$I$9998,9,0),"")</f>
        <v/>
      </c>
      <c r="H208" s="490" t="str">
        <f t="shared" si="6"/>
        <v/>
      </c>
      <c r="I208" s="490" t="str">
        <f>IFERROR(IF(INDEX(Procesos!$A$1:$HZ$457,MATCH(Resumen!$A$3&amp;"     ITEM # "&amp;Resumen!G208,Procesos!$A:$A,0)+6,MATCH(Resumen!A208,Procesos!$2:$2,0)+6)=0,"",INDEX(Procesos!$A$1:$HZ$457,MATCH(Resumen!$A$3&amp;"     ITEM # "&amp;Resumen!G208,Procesos!$A:$A,0)+6,MATCH(Resumen!A208,Procesos!$2:$2,0)+6)),"")</f>
        <v/>
      </c>
    </row>
    <row r="209" spans="1:9" x14ac:dyDescent="0.25">
      <c r="A209" t="str">
        <f>IF(Pedidos!$BA210="Proceso",Pedidos!BB210,"")</f>
        <v/>
      </c>
      <c r="B209" t="str">
        <f>IF(Pedidos!$BA210="Proceso",Pedidos!BC210,"")</f>
        <v/>
      </c>
      <c r="C209" t="str">
        <f>IF(Pedidos!$BA210="Proceso",Pedidos!BD210,"")</f>
        <v/>
      </c>
      <c r="D209" s="490" t="str">
        <f>IF(Pedidos!$BA210="Proceso",Pedidos!BE210,"")</f>
        <v/>
      </c>
      <c r="E209" s="490" t="str">
        <f>IF($A209&lt;&gt;"",VLOOKUP($A209,Pedidos!$A$2:$I$9998,8,0),"")</f>
        <v/>
      </c>
      <c r="F209" s="490" t="str">
        <f>IF($A209&lt;&gt;"",VLOOKUP($A209,Pedidos!$A$2:$I$9998,9,0),"")</f>
        <v/>
      </c>
      <c r="H209" s="490" t="str">
        <f t="shared" si="6"/>
        <v/>
      </c>
      <c r="I209" s="490" t="str">
        <f>IFERROR(IF(INDEX(Procesos!$A$1:$HZ$457,MATCH(Resumen!$A$3&amp;"     ITEM # "&amp;Resumen!G209,Procesos!$A:$A,0)+6,MATCH(Resumen!A209,Procesos!$2:$2,0)+6)=0,"",INDEX(Procesos!$A$1:$HZ$457,MATCH(Resumen!$A$3&amp;"     ITEM # "&amp;Resumen!G209,Procesos!$A:$A,0)+6,MATCH(Resumen!A209,Procesos!$2:$2,0)+6)),"")</f>
        <v/>
      </c>
    </row>
    <row r="210" spans="1:9" x14ac:dyDescent="0.25">
      <c r="A210" t="str">
        <f>IF(Pedidos!$BA211="Proceso",Pedidos!BB211,"")</f>
        <v/>
      </c>
      <c r="B210" t="str">
        <f>IF(Pedidos!$BA211="Proceso",Pedidos!BC211,"")</f>
        <v/>
      </c>
      <c r="C210" t="str">
        <f>IF(Pedidos!$BA211="Proceso",Pedidos!BD211,"")</f>
        <v/>
      </c>
      <c r="D210" s="490" t="str">
        <f>IF(Pedidos!$BA211="Proceso",Pedidos!BE211,"")</f>
        <v/>
      </c>
      <c r="E210" s="490" t="str">
        <f>IF($A210&lt;&gt;"",VLOOKUP($A210,Pedidos!$A$2:$I$9998,8,0),"")</f>
        <v/>
      </c>
      <c r="F210" s="490" t="str">
        <f>IF($A210&lt;&gt;"",VLOOKUP($A210,Pedidos!$A$2:$I$9998,9,0),"")</f>
        <v/>
      </c>
      <c r="H210" s="490" t="str">
        <f t="shared" si="6"/>
        <v/>
      </c>
      <c r="I210" s="490" t="str">
        <f>IFERROR(IF(INDEX(Procesos!$A$1:$HZ$457,MATCH(Resumen!$A$3&amp;"     ITEM # "&amp;Resumen!G210,Procesos!$A:$A,0)+6,MATCH(Resumen!A210,Procesos!$2:$2,0)+6)=0,"",INDEX(Procesos!$A$1:$HZ$457,MATCH(Resumen!$A$3&amp;"     ITEM # "&amp;Resumen!G210,Procesos!$A:$A,0)+6,MATCH(Resumen!A210,Procesos!$2:$2,0)+6)),"")</f>
        <v/>
      </c>
    </row>
    <row r="211" spans="1:9" x14ac:dyDescent="0.25">
      <c r="A211" t="str">
        <f>IF(Pedidos!$BA212="Proceso",Pedidos!BB212,"")</f>
        <v/>
      </c>
      <c r="B211" t="str">
        <f>IF(Pedidos!$BA212="Proceso",Pedidos!BC212,"")</f>
        <v/>
      </c>
      <c r="C211" t="str">
        <f>IF(Pedidos!$BA212="Proceso",Pedidos!BD212,"")</f>
        <v/>
      </c>
      <c r="D211" s="490" t="str">
        <f>IF(Pedidos!$BA212="Proceso",Pedidos!BE212,"")</f>
        <v/>
      </c>
      <c r="E211" s="490" t="str">
        <f>IF($A211&lt;&gt;"",VLOOKUP($A211,Pedidos!$A$2:$I$9998,8,0),"")</f>
        <v/>
      </c>
      <c r="F211" s="490" t="str">
        <f>IF($A211&lt;&gt;"",VLOOKUP($A211,Pedidos!$A$2:$I$9998,9,0),"")</f>
        <v/>
      </c>
      <c r="H211" s="490" t="str">
        <f t="shared" si="6"/>
        <v/>
      </c>
      <c r="I211" s="490" t="str">
        <f>IFERROR(IF(INDEX(Procesos!$A$1:$HZ$457,MATCH(Resumen!$A$3&amp;"     ITEM # "&amp;Resumen!G211,Procesos!$A:$A,0)+6,MATCH(Resumen!A211,Procesos!$2:$2,0)+6)=0,"",INDEX(Procesos!$A$1:$HZ$457,MATCH(Resumen!$A$3&amp;"     ITEM # "&amp;Resumen!G211,Procesos!$A:$A,0)+6,MATCH(Resumen!A211,Procesos!$2:$2,0)+6)),"")</f>
        <v/>
      </c>
    </row>
    <row r="212" spans="1:9" x14ac:dyDescent="0.25">
      <c r="A212" t="str">
        <f>IF(Pedidos!$BA213="Proceso",Pedidos!BB213,"")</f>
        <v/>
      </c>
      <c r="B212" t="str">
        <f>IF(Pedidos!$BA213="Proceso",Pedidos!BC213,"")</f>
        <v/>
      </c>
      <c r="C212" t="str">
        <f>IF(Pedidos!$BA213="Proceso",Pedidos!BD213,"")</f>
        <v/>
      </c>
      <c r="D212" s="490" t="str">
        <f>IF(Pedidos!$BA213="Proceso",Pedidos!BE213,"")</f>
        <v/>
      </c>
      <c r="E212" s="490" t="str">
        <f>IF($A212&lt;&gt;"",VLOOKUP($A212,Pedidos!$A$2:$I$9998,8,0),"")</f>
        <v/>
      </c>
      <c r="F212" s="490" t="str">
        <f>IF($A212&lt;&gt;"",VLOOKUP($A212,Pedidos!$A$2:$I$9998,9,0),"")</f>
        <v/>
      </c>
      <c r="H212" s="490" t="str">
        <f t="shared" si="6"/>
        <v/>
      </c>
      <c r="I212" s="490" t="str">
        <f>IFERROR(IF(INDEX(Procesos!$A$1:$HZ$457,MATCH(Resumen!$A$3&amp;"     ITEM # "&amp;Resumen!G212,Procesos!$A:$A,0)+6,MATCH(Resumen!A212,Procesos!$2:$2,0)+6)=0,"",INDEX(Procesos!$A$1:$HZ$457,MATCH(Resumen!$A$3&amp;"     ITEM # "&amp;Resumen!G212,Procesos!$A:$A,0)+6,MATCH(Resumen!A212,Procesos!$2:$2,0)+6)),"")</f>
        <v/>
      </c>
    </row>
    <row r="213" spans="1:9" x14ac:dyDescent="0.25">
      <c r="A213" t="str">
        <f>IF(Pedidos!$BA214="Proceso",Pedidos!BB214,"")</f>
        <v/>
      </c>
      <c r="B213" t="str">
        <f>IF(Pedidos!$BA214="Proceso",Pedidos!BC214,"")</f>
        <v/>
      </c>
      <c r="C213" t="str">
        <f>IF(Pedidos!$BA214="Proceso",Pedidos!BD214,"")</f>
        <v/>
      </c>
      <c r="D213" s="490" t="str">
        <f>IF(Pedidos!$BA214="Proceso",Pedidos!BE214,"")</f>
        <v/>
      </c>
      <c r="E213" s="490" t="str">
        <f>IF($A213&lt;&gt;"",VLOOKUP($A213,Pedidos!$A$2:$I$9998,8,0),"")</f>
        <v/>
      </c>
      <c r="F213" s="490" t="str">
        <f>IF($A213&lt;&gt;"",VLOOKUP($A213,Pedidos!$A$2:$I$9998,9,0),"")</f>
        <v/>
      </c>
      <c r="H213" s="490" t="str">
        <f t="shared" si="6"/>
        <v/>
      </c>
      <c r="I213" s="490" t="str">
        <f>IFERROR(IF(INDEX(Procesos!$A$1:$HZ$457,MATCH(Resumen!$A$3&amp;"     ITEM # "&amp;Resumen!G213,Procesos!$A:$A,0)+6,MATCH(Resumen!A213,Procesos!$2:$2,0)+6)=0,"",INDEX(Procesos!$A$1:$HZ$457,MATCH(Resumen!$A$3&amp;"     ITEM # "&amp;Resumen!G213,Procesos!$A:$A,0)+6,MATCH(Resumen!A213,Procesos!$2:$2,0)+6)),"")</f>
        <v/>
      </c>
    </row>
    <row r="214" spans="1:9" x14ac:dyDescent="0.25">
      <c r="A214" t="str">
        <f>IF(Pedidos!$BA215="Proceso",Pedidos!BB215,"")</f>
        <v/>
      </c>
      <c r="B214" t="str">
        <f>IF(Pedidos!$BA215="Proceso",Pedidos!BC215,"")</f>
        <v/>
      </c>
      <c r="C214" t="str">
        <f>IF(Pedidos!$BA215="Proceso",Pedidos!BD215,"")</f>
        <v/>
      </c>
      <c r="D214" s="490" t="str">
        <f>IF(Pedidos!$BA215="Proceso",Pedidos!BE215,"")</f>
        <v/>
      </c>
      <c r="E214" s="490" t="str">
        <f>IF($A214&lt;&gt;"",VLOOKUP($A214,Pedidos!$A$2:$I$9998,8,0),"")</f>
        <v/>
      </c>
      <c r="F214" s="490" t="str">
        <f>IF($A214&lt;&gt;"",VLOOKUP($A214,Pedidos!$A$2:$I$9998,9,0),"")</f>
        <v/>
      </c>
      <c r="H214" s="490" t="str">
        <f t="shared" si="6"/>
        <v/>
      </c>
      <c r="I214" s="490" t="str">
        <f>IFERROR(IF(INDEX(Procesos!$A$1:$HZ$457,MATCH(Resumen!$A$3&amp;"     ITEM # "&amp;Resumen!G214,Procesos!$A:$A,0)+6,MATCH(Resumen!A214,Procesos!$2:$2,0)+6)=0,"",INDEX(Procesos!$A$1:$HZ$457,MATCH(Resumen!$A$3&amp;"     ITEM # "&amp;Resumen!G214,Procesos!$A:$A,0)+6,MATCH(Resumen!A214,Procesos!$2:$2,0)+6)),"")</f>
        <v/>
      </c>
    </row>
    <row r="215" spans="1:9" x14ac:dyDescent="0.25">
      <c r="A215" t="str">
        <f>IF(Pedidos!$BA216="Proceso",Pedidos!BB216,"")</f>
        <v/>
      </c>
      <c r="B215" t="str">
        <f>IF(Pedidos!$BA216="Proceso",Pedidos!BC216,"")</f>
        <v/>
      </c>
      <c r="C215" t="str">
        <f>IF(Pedidos!$BA216="Proceso",Pedidos!BD216,"")</f>
        <v/>
      </c>
      <c r="D215" s="490" t="str">
        <f>IF(Pedidos!$BA216="Proceso",Pedidos!BE216,"")</f>
        <v/>
      </c>
      <c r="E215" s="490" t="str">
        <f>IF($A215&lt;&gt;"",VLOOKUP($A215,Pedidos!$A$2:$I$9998,8,0),"")</f>
        <v/>
      </c>
      <c r="F215" s="490" t="str">
        <f>IF($A215&lt;&gt;"",VLOOKUP($A215,Pedidos!$A$2:$I$9998,9,0),"")</f>
        <v/>
      </c>
      <c r="H215" s="490" t="str">
        <f t="shared" si="6"/>
        <v/>
      </c>
      <c r="I215" s="490" t="str">
        <f>IFERROR(IF(INDEX(Procesos!$A$1:$HZ$457,MATCH(Resumen!$A$3&amp;"     ITEM # "&amp;Resumen!G215,Procesos!$A:$A,0)+6,MATCH(Resumen!A215,Procesos!$2:$2,0)+6)=0,"",INDEX(Procesos!$A$1:$HZ$457,MATCH(Resumen!$A$3&amp;"     ITEM # "&amp;Resumen!G215,Procesos!$A:$A,0)+6,MATCH(Resumen!A215,Procesos!$2:$2,0)+6)),"")</f>
        <v/>
      </c>
    </row>
    <row r="216" spans="1:9" x14ac:dyDescent="0.25">
      <c r="A216" t="str">
        <f>IF(Pedidos!$BA217="Proceso",Pedidos!BB217,"")</f>
        <v/>
      </c>
      <c r="B216" t="str">
        <f>IF(Pedidos!$BA217="Proceso",Pedidos!BC217,"")</f>
        <v/>
      </c>
      <c r="C216" t="str">
        <f>IF(Pedidos!$BA217="Proceso",Pedidos!BD217,"")</f>
        <v/>
      </c>
      <c r="D216" s="490" t="str">
        <f>IF(Pedidos!$BA217="Proceso",Pedidos!BE217,"")</f>
        <v/>
      </c>
      <c r="E216" s="490" t="str">
        <f>IF($A216&lt;&gt;"",VLOOKUP($A216,Pedidos!$A$2:$I$9998,8,0),"")</f>
        <v/>
      </c>
      <c r="F216" s="490" t="str">
        <f>IF($A216&lt;&gt;"",VLOOKUP($A216,Pedidos!$A$2:$I$9998,9,0),"")</f>
        <v/>
      </c>
      <c r="H216" s="490" t="str">
        <f t="shared" si="6"/>
        <v/>
      </c>
      <c r="I216" s="490" t="str">
        <f>IFERROR(IF(INDEX(Procesos!$A$1:$HZ$457,MATCH(Resumen!$A$3&amp;"     ITEM # "&amp;Resumen!G216,Procesos!$A:$A,0)+6,MATCH(Resumen!A216,Procesos!$2:$2,0)+6)=0,"",INDEX(Procesos!$A$1:$HZ$457,MATCH(Resumen!$A$3&amp;"     ITEM # "&amp;Resumen!G216,Procesos!$A:$A,0)+6,MATCH(Resumen!A216,Procesos!$2:$2,0)+6)),"")</f>
        <v/>
      </c>
    </row>
    <row r="217" spans="1:9" x14ac:dyDescent="0.25">
      <c r="A217" t="str">
        <f>IF(Pedidos!$BA218="Proceso",Pedidos!BB218,"")</f>
        <v/>
      </c>
      <c r="B217" t="str">
        <f>IF(Pedidos!$BA218="Proceso",Pedidos!BC218,"")</f>
        <v/>
      </c>
      <c r="C217" t="str">
        <f>IF(Pedidos!$BA218="Proceso",Pedidos!BD218,"")</f>
        <v/>
      </c>
      <c r="D217" s="490" t="str">
        <f>IF(Pedidos!$BA218="Proceso",Pedidos!BE218,"")</f>
        <v/>
      </c>
      <c r="E217" s="490" t="str">
        <f>IF($A217&lt;&gt;"",VLOOKUP($A217,Pedidos!$A$2:$I$9998,8,0),"")</f>
        <v/>
      </c>
      <c r="F217" s="490" t="str">
        <f>IF($A217&lt;&gt;"",VLOOKUP($A217,Pedidos!$A$2:$I$9998,9,0),"")</f>
        <v/>
      </c>
      <c r="H217" s="490" t="str">
        <f t="shared" si="6"/>
        <v/>
      </c>
      <c r="I217" s="490" t="str">
        <f>IFERROR(IF(INDEX(Procesos!$A$1:$HZ$457,MATCH(Resumen!$A$3&amp;"     ITEM # "&amp;Resumen!G217,Procesos!$A:$A,0)+6,MATCH(Resumen!A217,Procesos!$2:$2,0)+6)=0,"",INDEX(Procesos!$A$1:$HZ$457,MATCH(Resumen!$A$3&amp;"     ITEM # "&amp;Resumen!G217,Procesos!$A:$A,0)+6,MATCH(Resumen!A217,Procesos!$2:$2,0)+6)),"")</f>
        <v/>
      </c>
    </row>
    <row r="218" spans="1:9" x14ac:dyDescent="0.25">
      <c r="A218" t="str">
        <f>IF(Pedidos!$BA219="Proceso",Pedidos!BB219,"")</f>
        <v/>
      </c>
      <c r="B218" t="str">
        <f>IF(Pedidos!$BA219="Proceso",Pedidos!BC219,"")</f>
        <v/>
      </c>
      <c r="C218" t="str">
        <f>IF(Pedidos!$BA219="Proceso",Pedidos!BD219,"")</f>
        <v/>
      </c>
      <c r="D218" s="490" t="str">
        <f>IF(Pedidos!$BA219="Proceso",Pedidos!BE219,"")</f>
        <v/>
      </c>
      <c r="E218" s="490" t="str">
        <f>IF($A218&lt;&gt;"",VLOOKUP($A218,Pedidos!$A$2:$I$9998,8,0),"")</f>
        <v/>
      </c>
      <c r="F218" s="490" t="str">
        <f>IF($A218&lt;&gt;"",VLOOKUP($A218,Pedidos!$A$2:$I$9998,9,0),"")</f>
        <v/>
      </c>
      <c r="H218" s="490" t="str">
        <f t="shared" si="6"/>
        <v/>
      </c>
      <c r="I218" s="490" t="str">
        <f>IFERROR(IF(INDEX(Procesos!$A$1:$HZ$457,MATCH(Resumen!$A$3&amp;"     ITEM # "&amp;Resumen!G218,Procesos!$A:$A,0)+6,MATCH(Resumen!A218,Procesos!$2:$2,0)+6)=0,"",INDEX(Procesos!$A$1:$HZ$457,MATCH(Resumen!$A$3&amp;"     ITEM # "&amp;Resumen!G218,Procesos!$A:$A,0)+6,MATCH(Resumen!A218,Procesos!$2:$2,0)+6)),"")</f>
        <v/>
      </c>
    </row>
    <row r="219" spans="1:9" x14ac:dyDescent="0.25">
      <c r="A219" t="str">
        <f>IF(Pedidos!$BA220="Proceso",Pedidos!BB220,"")</f>
        <v/>
      </c>
      <c r="B219" t="str">
        <f>IF(Pedidos!$BA220="Proceso",Pedidos!BC220,"")</f>
        <v/>
      </c>
      <c r="C219" t="str">
        <f>IF(Pedidos!$BA220="Proceso",Pedidos!BD220,"")</f>
        <v/>
      </c>
      <c r="D219" s="490" t="str">
        <f>IF(Pedidos!$BA220="Proceso",Pedidos!BE220,"")</f>
        <v/>
      </c>
      <c r="E219" s="490" t="str">
        <f>IF($A219&lt;&gt;"",VLOOKUP($A219,Pedidos!$A$2:$I$9998,8,0),"")</f>
        <v/>
      </c>
      <c r="F219" s="490" t="str">
        <f>IF($A219&lt;&gt;"",VLOOKUP($A219,Pedidos!$A$2:$I$9998,9,0),"")</f>
        <v/>
      </c>
      <c r="H219" s="490" t="str">
        <f t="shared" si="6"/>
        <v/>
      </c>
      <c r="I219" s="490" t="str">
        <f>IFERROR(IF(INDEX(Procesos!$A$1:$HZ$457,MATCH(Resumen!$A$3&amp;"     ITEM # "&amp;Resumen!G219,Procesos!$A:$A,0)+6,MATCH(Resumen!A219,Procesos!$2:$2,0)+6)=0,"",INDEX(Procesos!$A$1:$HZ$457,MATCH(Resumen!$A$3&amp;"     ITEM # "&amp;Resumen!G219,Procesos!$A:$A,0)+6,MATCH(Resumen!A219,Procesos!$2:$2,0)+6)),"")</f>
        <v/>
      </c>
    </row>
    <row r="220" spans="1:9" x14ac:dyDescent="0.25">
      <c r="A220" t="str">
        <f>IF(Pedidos!$BA221="Proceso",Pedidos!BB221,"")</f>
        <v/>
      </c>
      <c r="B220" t="str">
        <f>IF(Pedidos!$BA221="Proceso",Pedidos!BC221,"")</f>
        <v/>
      </c>
      <c r="C220" t="str">
        <f>IF(Pedidos!$BA221="Proceso",Pedidos!BD221,"")</f>
        <v/>
      </c>
      <c r="D220" s="490" t="str">
        <f>IF(Pedidos!$BA221="Proceso",Pedidos!BE221,"")</f>
        <v/>
      </c>
      <c r="E220" s="490" t="str">
        <f>IF($A220&lt;&gt;"",VLOOKUP($A220,Pedidos!$A$2:$I$9998,8,0),"")</f>
        <v/>
      </c>
      <c r="F220" s="490" t="str">
        <f>IF($A220&lt;&gt;"",VLOOKUP($A220,Pedidos!$A$2:$I$9998,9,0),"")</f>
        <v/>
      </c>
      <c r="H220" s="490" t="str">
        <f t="shared" si="6"/>
        <v/>
      </c>
      <c r="I220" s="490" t="str">
        <f>IFERROR(IF(INDEX(Procesos!$A$1:$HZ$457,MATCH(Resumen!$A$3&amp;"     ITEM # "&amp;Resumen!G220,Procesos!$A:$A,0)+6,MATCH(Resumen!A220,Procesos!$2:$2,0)+6)=0,"",INDEX(Procesos!$A$1:$HZ$457,MATCH(Resumen!$A$3&amp;"     ITEM # "&amp;Resumen!G220,Procesos!$A:$A,0)+6,MATCH(Resumen!A220,Procesos!$2:$2,0)+6)),"")</f>
        <v/>
      </c>
    </row>
    <row r="221" spans="1:9" x14ac:dyDescent="0.25">
      <c r="A221" t="str">
        <f>IF(Pedidos!$BA222="Proceso",Pedidos!BB222,"")</f>
        <v/>
      </c>
      <c r="B221" t="str">
        <f>IF(Pedidos!$BA222="Proceso",Pedidos!BC222,"")</f>
        <v/>
      </c>
      <c r="C221" t="str">
        <f>IF(Pedidos!$BA222="Proceso",Pedidos!BD222,"")</f>
        <v/>
      </c>
      <c r="D221" s="490" t="str">
        <f>IF(Pedidos!$BA222="Proceso",Pedidos!BE222,"")</f>
        <v/>
      </c>
      <c r="E221" s="490" t="str">
        <f>IF($A221&lt;&gt;"",VLOOKUP($A221,Pedidos!$A$2:$I$9998,8,0),"")</f>
        <v/>
      </c>
      <c r="F221" s="490" t="str">
        <f>IF($A221&lt;&gt;"",VLOOKUP($A221,Pedidos!$A$2:$I$9998,9,0),"")</f>
        <v/>
      </c>
      <c r="H221" s="490" t="str">
        <f t="shared" si="6"/>
        <v/>
      </c>
      <c r="I221" s="490" t="str">
        <f>IFERROR(IF(INDEX(Procesos!$A$1:$HZ$457,MATCH(Resumen!$A$3&amp;"     ITEM # "&amp;Resumen!G221,Procesos!$A:$A,0)+6,MATCH(Resumen!A221,Procesos!$2:$2,0)+6)=0,"",INDEX(Procesos!$A$1:$HZ$457,MATCH(Resumen!$A$3&amp;"     ITEM # "&amp;Resumen!G221,Procesos!$A:$A,0)+6,MATCH(Resumen!A221,Procesos!$2:$2,0)+6)),"")</f>
        <v/>
      </c>
    </row>
    <row r="222" spans="1:9" x14ac:dyDescent="0.25">
      <c r="A222" t="str">
        <f>IF(Pedidos!$BA223="Proceso",Pedidos!BB223,"")</f>
        <v/>
      </c>
      <c r="B222" t="str">
        <f>IF(Pedidos!$BA223="Proceso",Pedidos!BC223,"")</f>
        <v/>
      </c>
      <c r="C222" t="str">
        <f>IF(Pedidos!$BA223="Proceso",Pedidos!BD223,"")</f>
        <v/>
      </c>
      <c r="D222" s="490" t="str">
        <f>IF(Pedidos!$BA223="Proceso",Pedidos!BE223,"")</f>
        <v/>
      </c>
      <c r="E222" s="490" t="str">
        <f>IF($A222&lt;&gt;"",VLOOKUP($A222,Pedidos!$A$2:$I$9998,8,0),"")</f>
        <v/>
      </c>
      <c r="F222" s="490" t="str">
        <f>IF($A222&lt;&gt;"",VLOOKUP($A222,Pedidos!$A$2:$I$9998,9,0),"")</f>
        <v/>
      </c>
      <c r="H222" s="490" t="str">
        <f t="shared" si="6"/>
        <v/>
      </c>
      <c r="I222" s="490" t="str">
        <f>IFERROR(IF(INDEX(Procesos!$A$1:$HZ$457,MATCH(Resumen!$A$3&amp;"     ITEM # "&amp;Resumen!G222,Procesos!$A:$A,0)+6,MATCH(Resumen!A222,Procesos!$2:$2,0)+6)=0,"",INDEX(Procesos!$A$1:$HZ$457,MATCH(Resumen!$A$3&amp;"     ITEM # "&amp;Resumen!G222,Procesos!$A:$A,0)+6,MATCH(Resumen!A222,Procesos!$2:$2,0)+6)),"")</f>
        <v/>
      </c>
    </row>
    <row r="223" spans="1:9" x14ac:dyDescent="0.25">
      <c r="A223" t="str">
        <f>IF(Pedidos!$BA224="Proceso",Pedidos!BB224,"")</f>
        <v/>
      </c>
      <c r="B223" t="str">
        <f>IF(Pedidos!$BA224="Proceso",Pedidos!BC224,"")</f>
        <v/>
      </c>
      <c r="C223" t="str">
        <f>IF(Pedidos!$BA224="Proceso",Pedidos!BD224,"")</f>
        <v/>
      </c>
      <c r="D223" s="490" t="str">
        <f>IF(Pedidos!$BA224="Proceso",Pedidos!BE224,"")</f>
        <v/>
      </c>
      <c r="E223" s="490" t="str">
        <f>IF($A223&lt;&gt;"",VLOOKUP($A223,Pedidos!$A$2:$I$9998,8,0),"")</f>
        <v/>
      </c>
      <c r="F223" s="490" t="str">
        <f>IF($A223&lt;&gt;"",VLOOKUP($A223,Pedidos!$A$2:$I$9998,9,0),"")</f>
        <v/>
      </c>
      <c r="H223" s="490" t="str">
        <f t="shared" si="6"/>
        <v/>
      </c>
      <c r="I223" s="490" t="str">
        <f>IFERROR(IF(INDEX(Procesos!$A$1:$HZ$457,MATCH(Resumen!$A$3&amp;"     ITEM # "&amp;Resumen!G223,Procesos!$A:$A,0)+6,MATCH(Resumen!A223,Procesos!$2:$2,0)+6)=0,"",INDEX(Procesos!$A$1:$HZ$457,MATCH(Resumen!$A$3&amp;"     ITEM # "&amp;Resumen!G223,Procesos!$A:$A,0)+6,MATCH(Resumen!A223,Procesos!$2:$2,0)+6)),"")</f>
        <v/>
      </c>
    </row>
    <row r="224" spans="1:9" x14ac:dyDescent="0.25">
      <c r="A224" t="str">
        <f>IF(Pedidos!$BA225="Proceso",Pedidos!BB225,"")</f>
        <v/>
      </c>
      <c r="B224" t="str">
        <f>IF(Pedidos!$BA225="Proceso",Pedidos!BC225,"")</f>
        <v/>
      </c>
      <c r="C224" t="str">
        <f>IF(Pedidos!$BA225="Proceso",Pedidos!BD225,"")</f>
        <v/>
      </c>
      <c r="D224" s="490" t="str">
        <f>IF(Pedidos!$BA225="Proceso",Pedidos!BE225,"")</f>
        <v/>
      </c>
      <c r="E224" s="490" t="str">
        <f>IF($A224&lt;&gt;"",VLOOKUP($A224,Pedidos!$A$2:$I$9998,8,0),"")</f>
        <v/>
      </c>
      <c r="F224" s="490" t="str">
        <f>IF($A224&lt;&gt;"",VLOOKUP($A224,Pedidos!$A$2:$I$9998,9,0),"")</f>
        <v/>
      </c>
      <c r="H224" s="490" t="str">
        <f t="shared" si="6"/>
        <v/>
      </c>
      <c r="I224" s="490" t="str">
        <f>IFERROR(IF(INDEX(Procesos!$A$1:$HZ$457,MATCH(Resumen!$A$3&amp;"     ITEM # "&amp;Resumen!G224,Procesos!$A:$A,0)+6,MATCH(Resumen!A224,Procesos!$2:$2,0)+6)=0,"",INDEX(Procesos!$A$1:$HZ$457,MATCH(Resumen!$A$3&amp;"     ITEM # "&amp;Resumen!G224,Procesos!$A:$A,0)+6,MATCH(Resumen!A224,Procesos!$2:$2,0)+6)),"")</f>
        <v/>
      </c>
    </row>
    <row r="225" spans="1:9" x14ac:dyDescent="0.25">
      <c r="A225" t="str">
        <f>IF(Pedidos!$BA226="Proceso",Pedidos!BB226,"")</f>
        <v/>
      </c>
      <c r="B225" t="str">
        <f>IF(Pedidos!$BA226="Proceso",Pedidos!BC226,"")</f>
        <v/>
      </c>
      <c r="C225" t="str">
        <f>IF(Pedidos!$BA226="Proceso",Pedidos!BD226,"")</f>
        <v/>
      </c>
      <c r="D225" s="490" t="str">
        <f>IF(Pedidos!$BA226="Proceso",Pedidos!BE226,"")</f>
        <v/>
      </c>
      <c r="E225" s="490" t="str">
        <f>IF($A225&lt;&gt;"",VLOOKUP($A225,Pedidos!$A$2:$I$9998,8,0),"")</f>
        <v/>
      </c>
      <c r="F225" s="490" t="str">
        <f>IF($A225&lt;&gt;"",VLOOKUP($A225,Pedidos!$A$2:$I$9998,9,0),"")</f>
        <v/>
      </c>
      <c r="H225" s="490" t="str">
        <f t="shared" si="6"/>
        <v/>
      </c>
      <c r="I225" s="490" t="str">
        <f>IFERROR(IF(INDEX(Procesos!$A$1:$HZ$457,MATCH(Resumen!$A$3&amp;"     ITEM # "&amp;Resumen!G225,Procesos!$A:$A,0)+6,MATCH(Resumen!A225,Procesos!$2:$2,0)+6)=0,"",INDEX(Procesos!$A$1:$HZ$457,MATCH(Resumen!$A$3&amp;"     ITEM # "&amp;Resumen!G225,Procesos!$A:$A,0)+6,MATCH(Resumen!A225,Procesos!$2:$2,0)+6)),"")</f>
        <v/>
      </c>
    </row>
    <row r="226" spans="1:9" x14ac:dyDescent="0.25">
      <c r="A226" t="str">
        <f>IF(Pedidos!$BA227="Proceso",Pedidos!BB227,"")</f>
        <v/>
      </c>
      <c r="B226" t="str">
        <f>IF(Pedidos!$BA227="Proceso",Pedidos!BC227,"")</f>
        <v/>
      </c>
      <c r="C226" t="str">
        <f>IF(Pedidos!$BA227="Proceso",Pedidos!BD227,"")</f>
        <v/>
      </c>
      <c r="D226" s="490" t="str">
        <f>IF(Pedidos!$BA227="Proceso",Pedidos!BE227,"")</f>
        <v/>
      </c>
      <c r="E226" s="490" t="str">
        <f>IF($A226&lt;&gt;"",VLOOKUP($A226,Pedidos!$A$2:$I$9998,8,0),"")</f>
        <v/>
      </c>
      <c r="F226" s="490" t="str">
        <f>IF($A226&lt;&gt;"",VLOOKUP($A226,Pedidos!$A$2:$I$9998,9,0),"")</f>
        <v/>
      </c>
      <c r="H226" s="490" t="str">
        <f t="shared" si="6"/>
        <v/>
      </c>
      <c r="I226" s="490" t="str">
        <f>IFERROR(IF(INDEX(Procesos!$A$1:$HZ$457,MATCH(Resumen!$A$3&amp;"     ITEM # "&amp;Resumen!G226,Procesos!$A:$A,0)+6,MATCH(Resumen!A226,Procesos!$2:$2,0)+6)=0,"",INDEX(Procesos!$A$1:$HZ$457,MATCH(Resumen!$A$3&amp;"     ITEM # "&amp;Resumen!G226,Procesos!$A:$A,0)+6,MATCH(Resumen!A226,Procesos!$2:$2,0)+6)),"")</f>
        <v/>
      </c>
    </row>
    <row r="227" spans="1:9" x14ac:dyDescent="0.25">
      <c r="A227" t="str">
        <f>IF(Pedidos!$BA228="Proceso",Pedidos!BB228,"")</f>
        <v/>
      </c>
      <c r="B227" t="str">
        <f>IF(Pedidos!$BA228="Proceso",Pedidos!BC228,"")</f>
        <v/>
      </c>
      <c r="C227" t="str">
        <f>IF(Pedidos!$BA228="Proceso",Pedidos!BD228,"")</f>
        <v/>
      </c>
      <c r="D227" s="490" t="str">
        <f>IF(Pedidos!$BA228="Proceso",Pedidos!BE228,"")</f>
        <v/>
      </c>
      <c r="E227" s="490" t="str">
        <f>IF($A227&lt;&gt;"",VLOOKUP($A227,Pedidos!$A$2:$I$9998,8,0),"")</f>
        <v/>
      </c>
      <c r="F227" s="490" t="str">
        <f>IF($A227&lt;&gt;"",VLOOKUP($A227,Pedidos!$A$2:$I$9998,9,0),"")</f>
        <v/>
      </c>
      <c r="H227" s="490" t="str">
        <f t="shared" si="6"/>
        <v/>
      </c>
      <c r="I227" s="490" t="str">
        <f>IFERROR(IF(INDEX(Procesos!$A$1:$HZ$457,MATCH(Resumen!$A$3&amp;"     ITEM # "&amp;Resumen!G227,Procesos!$A:$A,0)+6,MATCH(Resumen!A227,Procesos!$2:$2,0)+6)=0,"",INDEX(Procesos!$A$1:$HZ$457,MATCH(Resumen!$A$3&amp;"     ITEM # "&amp;Resumen!G227,Procesos!$A:$A,0)+6,MATCH(Resumen!A227,Procesos!$2:$2,0)+6)),"")</f>
        <v/>
      </c>
    </row>
    <row r="228" spans="1:9" x14ac:dyDescent="0.25">
      <c r="A228" t="str">
        <f>IF(Pedidos!$BA229="Proceso",Pedidos!BB229,"")</f>
        <v/>
      </c>
      <c r="B228" t="str">
        <f>IF(Pedidos!$BA229="Proceso",Pedidos!BC229,"")</f>
        <v/>
      </c>
      <c r="C228" t="str">
        <f>IF(Pedidos!$BA229="Proceso",Pedidos!BD229,"")</f>
        <v/>
      </c>
      <c r="D228" s="490" t="str">
        <f>IF(Pedidos!$BA229="Proceso",Pedidos!BE229,"")</f>
        <v/>
      </c>
      <c r="E228" s="490" t="str">
        <f>IF($A228&lt;&gt;"",VLOOKUP($A228,Pedidos!$A$2:$I$9998,8,0),"")</f>
        <v/>
      </c>
      <c r="F228" s="490" t="str">
        <f>IF($A228&lt;&gt;"",VLOOKUP($A228,Pedidos!$A$2:$I$9998,9,0),"")</f>
        <v/>
      </c>
      <c r="H228" s="490" t="str">
        <f t="shared" si="6"/>
        <v/>
      </c>
      <c r="I228" s="490" t="str">
        <f>IFERROR(IF(INDEX(Procesos!$A$1:$HZ$457,MATCH(Resumen!$A$3&amp;"     ITEM # "&amp;Resumen!G228,Procesos!$A:$A,0)+6,MATCH(Resumen!A228,Procesos!$2:$2,0)+6)=0,"",INDEX(Procesos!$A$1:$HZ$457,MATCH(Resumen!$A$3&amp;"     ITEM # "&amp;Resumen!G228,Procesos!$A:$A,0)+6,MATCH(Resumen!A228,Procesos!$2:$2,0)+6)),"")</f>
        <v/>
      </c>
    </row>
    <row r="229" spans="1:9" x14ac:dyDescent="0.25">
      <c r="A229" t="str">
        <f>IF(Pedidos!$BA230="Proceso",Pedidos!BB230,"")</f>
        <v/>
      </c>
      <c r="B229" t="str">
        <f>IF(Pedidos!$BA230="Proceso",Pedidos!BC230,"")</f>
        <v/>
      </c>
      <c r="C229" t="str">
        <f>IF(Pedidos!$BA230="Proceso",Pedidos!BD230,"")</f>
        <v/>
      </c>
      <c r="D229" s="490" t="str">
        <f>IF(Pedidos!$BA230="Proceso",Pedidos!BE230,"")</f>
        <v/>
      </c>
      <c r="E229" s="490" t="str">
        <f>IF($A229&lt;&gt;"",VLOOKUP($A229,Pedidos!$A$2:$I$9998,8,0),"")</f>
        <v/>
      </c>
      <c r="F229" s="490" t="str">
        <f>IF($A229&lt;&gt;"",VLOOKUP($A229,Pedidos!$A$2:$I$9998,9,0),"")</f>
        <v/>
      </c>
      <c r="H229" s="490" t="str">
        <f t="shared" si="6"/>
        <v/>
      </c>
      <c r="I229" s="490" t="str">
        <f>IFERROR(IF(INDEX(Procesos!$A$1:$HZ$457,MATCH(Resumen!$A$3&amp;"     ITEM # "&amp;Resumen!G229,Procesos!$A:$A,0)+6,MATCH(Resumen!A229,Procesos!$2:$2,0)+6)=0,"",INDEX(Procesos!$A$1:$HZ$457,MATCH(Resumen!$A$3&amp;"     ITEM # "&amp;Resumen!G229,Procesos!$A:$A,0)+6,MATCH(Resumen!A229,Procesos!$2:$2,0)+6)),"")</f>
        <v/>
      </c>
    </row>
    <row r="230" spans="1:9" x14ac:dyDescent="0.25">
      <c r="A230" t="str">
        <f>IF(Pedidos!$BA231="Proceso",Pedidos!BB231,"")</f>
        <v/>
      </c>
      <c r="B230" t="str">
        <f>IF(Pedidos!$BA231="Proceso",Pedidos!BC231,"")</f>
        <v/>
      </c>
      <c r="C230" t="str">
        <f>IF(Pedidos!$BA231="Proceso",Pedidos!BD231,"")</f>
        <v/>
      </c>
      <c r="D230" s="490" t="str">
        <f>IF(Pedidos!$BA231="Proceso",Pedidos!BE231,"")</f>
        <v/>
      </c>
      <c r="E230" s="490" t="str">
        <f>IF($A230&lt;&gt;"",VLOOKUP($A230,Pedidos!$A$2:$I$9998,8,0),"")</f>
        <v/>
      </c>
      <c r="F230" s="490" t="str">
        <f>IF($A230&lt;&gt;"",VLOOKUP($A230,Pedidos!$A$2:$I$9998,9,0),"")</f>
        <v/>
      </c>
      <c r="H230" s="490" t="str">
        <f t="shared" si="6"/>
        <v/>
      </c>
      <c r="I230" s="490" t="str">
        <f>IFERROR(IF(INDEX(Procesos!$A$1:$HZ$457,MATCH(Resumen!$A$3&amp;"     ITEM # "&amp;Resumen!G230,Procesos!$A:$A,0)+6,MATCH(Resumen!A230,Procesos!$2:$2,0)+6)=0,"",INDEX(Procesos!$A$1:$HZ$457,MATCH(Resumen!$A$3&amp;"     ITEM # "&amp;Resumen!G230,Procesos!$A:$A,0)+6,MATCH(Resumen!A230,Procesos!$2:$2,0)+6)),"")</f>
        <v/>
      </c>
    </row>
    <row r="231" spans="1:9" x14ac:dyDescent="0.25">
      <c r="A231" t="str">
        <f>IF(Pedidos!$BA232="Proceso",Pedidos!BB232,"")</f>
        <v/>
      </c>
      <c r="B231" t="str">
        <f>IF(Pedidos!$BA232="Proceso",Pedidos!BC232,"")</f>
        <v/>
      </c>
      <c r="C231" t="str">
        <f>IF(Pedidos!$BA232="Proceso",Pedidos!BD232,"")</f>
        <v/>
      </c>
      <c r="D231" s="490" t="str">
        <f>IF(Pedidos!$BA232="Proceso",Pedidos!BE232,"")</f>
        <v/>
      </c>
      <c r="E231" s="490" t="str">
        <f>IF($A231&lt;&gt;"",VLOOKUP($A231,Pedidos!$A$2:$I$9998,8,0),"")</f>
        <v/>
      </c>
      <c r="F231" s="490" t="str">
        <f>IF($A231&lt;&gt;"",VLOOKUP($A231,Pedidos!$A$2:$I$9998,9,0),"")</f>
        <v/>
      </c>
      <c r="H231" s="490" t="str">
        <f t="shared" si="6"/>
        <v/>
      </c>
      <c r="I231" s="490" t="str">
        <f>IFERROR(IF(INDEX(Procesos!$A$1:$HZ$457,MATCH(Resumen!$A$3&amp;"     ITEM # "&amp;Resumen!G231,Procesos!$A:$A,0)+6,MATCH(Resumen!A231,Procesos!$2:$2,0)+6)=0,"",INDEX(Procesos!$A$1:$HZ$457,MATCH(Resumen!$A$3&amp;"     ITEM # "&amp;Resumen!G231,Procesos!$A:$A,0)+6,MATCH(Resumen!A231,Procesos!$2:$2,0)+6)),"")</f>
        <v/>
      </c>
    </row>
    <row r="232" spans="1:9" x14ac:dyDescent="0.25">
      <c r="A232" t="str">
        <f>IF(Pedidos!$BA233="Proceso",Pedidos!BB233,"")</f>
        <v/>
      </c>
      <c r="B232" t="str">
        <f>IF(Pedidos!$BA233="Proceso",Pedidos!BC233,"")</f>
        <v/>
      </c>
      <c r="C232" t="str">
        <f>IF(Pedidos!$BA233="Proceso",Pedidos!BD233,"")</f>
        <v/>
      </c>
      <c r="D232" s="490" t="str">
        <f>IF(Pedidos!$BA233="Proceso",Pedidos!BE233,"")</f>
        <v/>
      </c>
      <c r="E232" s="490" t="str">
        <f>IF($A232&lt;&gt;"",VLOOKUP($A232,Pedidos!$A$2:$I$9998,8,0),"")</f>
        <v/>
      </c>
      <c r="F232" s="490" t="str">
        <f>IF($A232&lt;&gt;"",VLOOKUP($A232,Pedidos!$A$2:$I$9998,9,0),"")</f>
        <v/>
      </c>
      <c r="H232" s="490" t="str">
        <f t="shared" si="6"/>
        <v/>
      </c>
      <c r="I232" s="490" t="str">
        <f>IFERROR(IF(INDEX(Procesos!$A$1:$HZ$457,MATCH(Resumen!$A$3&amp;"     ITEM # "&amp;Resumen!G232,Procesos!$A:$A,0)+6,MATCH(Resumen!A232,Procesos!$2:$2,0)+6)=0,"",INDEX(Procesos!$A$1:$HZ$457,MATCH(Resumen!$A$3&amp;"     ITEM # "&amp;Resumen!G232,Procesos!$A:$A,0)+6,MATCH(Resumen!A232,Procesos!$2:$2,0)+6)),"")</f>
        <v/>
      </c>
    </row>
    <row r="233" spans="1:9" x14ac:dyDescent="0.25">
      <c r="A233" t="str">
        <f>IF(Pedidos!$BA234="Proceso",Pedidos!BB234,"")</f>
        <v/>
      </c>
      <c r="B233" t="str">
        <f>IF(Pedidos!$BA234="Proceso",Pedidos!BC234,"")</f>
        <v/>
      </c>
      <c r="C233" t="str">
        <f>IF(Pedidos!$BA234="Proceso",Pedidos!BD234,"")</f>
        <v/>
      </c>
      <c r="D233" s="490" t="str">
        <f>IF(Pedidos!$BA234="Proceso",Pedidos!BE234,"")</f>
        <v/>
      </c>
      <c r="E233" s="490" t="str">
        <f>IF($A233&lt;&gt;"",VLOOKUP($A233,Pedidos!$A$2:$I$9998,8,0),"")</f>
        <v/>
      </c>
      <c r="F233" s="490" t="str">
        <f>IF($A233&lt;&gt;"",VLOOKUP($A233,Pedidos!$A$2:$I$9998,9,0),"")</f>
        <v/>
      </c>
      <c r="H233" s="490" t="str">
        <f t="shared" si="6"/>
        <v/>
      </c>
      <c r="I233" s="490" t="str">
        <f>IFERROR(IF(INDEX(Procesos!$A$1:$HZ$457,MATCH(Resumen!$A$3&amp;"     ITEM # "&amp;Resumen!G233,Procesos!$A:$A,0)+6,MATCH(Resumen!A233,Procesos!$2:$2,0)+6)=0,"",INDEX(Procesos!$A$1:$HZ$457,MATCH(Resumen!$A$3&amp;"     ITEM # "&amp;Resumen!G233,Procesos!$A:$A,0)+6,MATCH(Resumen!A233,Procesos!$2:$2,0)+6)),"")</f>
        <v/>
      </c>
    </row>
    <row r="234" spans="1:9" x14ac:dyDescent="0.25">
      <c r="A234" t="str">
        <f>IF(Pedidos!$BA235="Proceso",Pedidos!BB235,"")</f>
        <v/>
      </c>
      <c r="B234" t="str">
        <f>IF(Pedidos!$BA235="Proceso",Pedidos!BC235,"")</f>
        <v/>
      </c>
      <c r="C234" t="str">
        <f>IF(Pedidos!$BA235="Proceso",Pedidos!BD235,"")</f>
        <v/>
      </c>
      <c r="D234" s="490" t="str">
        <f>IF(Pedidos!$BA235="Proceso",Pedidos!BE235,"")</f>
        <v/>
      </c>
      <c r="E234" s="490" t="str">
        <f>IF($A234&lt;&gt;"",VLOOKUP($A234,Pedidos!$A$2:$I$9998,8,0),"")</f>
        <v/>
      </c>
      <c r="F234" s="490" t="str">
        <f>IF($A234&lt;&gt;"",VLOOKUP($A234,Pedidos!$A$2:$I$9998,9,0),"")</f>
        <v/>
      </c>
      <c r="H234" s="490" t="str">
        <f t="shared" si="6"/>
        <v/>
      </c>
      <c r="I234" s="490" t="str">
        <f>IFERROR(IF(INDEX(Procesos!$A$1:$HZ$457,MATCH(Resumen!$A$3&amp;"     ITEM # "&amp;Resumen!G234,Procesos!$A:$A,0)+6,MATCH(Resumen!A234,Procesos!$2:$2,0)+6)=0,"",INDEX(Procesos!$A$1:$HZ$457,MATCH(Resumen!$A$3&amp;"     ITEM # "&amp;Resumen!G234,Procesos!$A:$A,0)+6,MATCH(Resumen!A234,Procesos!$2:$2,0)+6)),"")</f>
        <v/>
      </c>
    </row>
    <row r="235" spans="1:9" x14ac:dyDescent="0.25">
      <c r="A235" t="str">
        <f>IF(Pedidos!$BA236="Proceso",Pedidos!BB236,"")</f>
        <v/>
      </c>
      <c r="B235" t="str">
        <f>IF(Pedidos!$BA236="Proceso",Pedidos!BC236,"")</f>
        <v/>
      </c>
      <c r="C235" t="str">
        <f>IF(Pedidos!$BA236="Proceso",Pedidos!BD236,"")</f>
        <v/>
      </c>
      <c r="D235" s="490" t="str">
        <f>IF(Pedidos!$BA236="Proceso",Pedidos!BE236,"")</f>
        <v/>
      </c>
      <c r="E235" s="490" t="str">
        <f>IF($A235&lt;&gt;"",VLOOKUP($A235,Pedidos!$A$2:$I$9998,8,0),"")</f>
        <v/>
      </c>
      <c r="F235" s="490" t="str">
        <f>IF($A235&lt;&gt;"",VLOOKUP($A235,Pedidos!$A$2:$I$9998,9,0),"")</f>
        <v/>
      </c>
      <c r="H235" s="490" t="str">
        <f t="shared" si="6"/>
        <v/>
      </c>
      <c r="I235" s="490" t="str">
        <f>IFERROR(IF(INDEX(Procesos!$A$1:$HZ$457,MATCH(Resumen!$A$3&amp;"     ITEM # "&amp;Resumen!G235,Procesos!$A:$A,0)+6,MATCH(Resumen!A235,Procesos!$2:$2,0)+6)=0,"",INDEX(Procesos!$A$1:$HZ$457,MATCH(Resumen!$A$3&amp;"     ITEM # "&amp;Resumen!G235,Procesos!$A:$A,0)+6,MATCH(Resumen!A235,Procesos!$2:$2,0)+6)),"")</f>
        <v/>
      </c>
    </row>
    <row r="236" spans="1:9" x14ac:dyDescent="0.25">
      <c r="A236" t="str">
        <f>IF(Pedidos!$BA237="Proceso",Pedidos!BB237,"")</f>
        <v/>
      </c>
      <c r="B236" t="str">
        <f>IF(Pedidos!$BA237="Proceso",Pedidos!BC237,"")</f>
        <v/>
      </c>
      <c r="C236" t="str">
        <f>IF(Pedidos!$BA237="Proceso",Pedidos!BD237,"")</f>
        <v/>
      </c>
      <c r="D236" s="490" t="str">
        <f>IF(Pedidos!$BA237="Proceso",Pedidos!BE237,"")</f>
        <v/>
      </c>
      <c r="E236" s="490" t="str">
        <f>IF($A236&lt;&gt;"",VLOOKUP($A236,Pedidos!$A$2:$I$9998,8,0),"")</f>
        <v/>
      </c>
      <c r="F236" s="490" t="str">
        <f>IF($A236&lt;&gt;"",VLOOKUP($A236,Pedidos!$A$2:$I$9998,9,0),"")</f>
        <v/>
      </c>
      <c r="H236" s="490" t="str">
        <f t="shared" si="6"/>
        <v/>
      </c>
      <c r="I236" s="490" t="str">
        <f>IFERROR(IF(INDEX(Procesos!$A$1:$HZ$457,MATCH(Resumen!$A$3&amp;"     ITEM # "&amp;Resumen!G236,Procesos!$A:$A,0)+6,MATCH(Resumen!A236,Procesos!$2:$2,0)+6)=0,"",INDEX(Procesos!$A$1:$HZ$457,MATCH(Resumen!$A$3&amp;"     ITEM # "&amp;Resumen!G236,Procesos!$A:$A,0)+6,MATCH(Resumen!A236,Procesos!$2:$2,0)+6)),"")</f>
        <v/>
      </c>
    </row>
    <row r="237" spans="1:9" x14ac:dyDescent="0.25">
      <c r="A237" t="str">
        <f>IF(Pedidos!$BA238="Proceso",Pedidos!BB238,"")</f>
        <v/>
      </c>
      <c r="B237" t="str">
        <f>IF(Pedidos!$BA238="Proceso",Pedidos!BC238,"")</f>
        <v/>
      </c>
      <c r="C237" t="str">
        <f>IF(Pedidos!$BA238="Proceso",Pedidos!BD238,"")</f>
        <v/>
      </c>
      <c r="D237" s="490" t="str">
        <f>IF(Pedidos!$BA238="Proceso",Pedidos!BE238,"")</f>
        <v/>
      </c>
      <c r="E237" s="490" t="str">
        <f>IF($A237&lt;&gt;"",VLOOKUP($A237,Pedidos!$A$2:$I$9998,8,0),"")</f>
        <v/>
      </c>
      <c r="F237" s="490" t="str">
        <f>IF($A237&lt;&gt;"",VLOOKUP($A237,Pedidos!$A$2:$I$9998,9,0),"")</f>
        <v/>
      </c>
      <c r="H237" s="490" t="str">
        <f t="shared" si="6"/>
        <v/>
      </c>
      <c r="I237" s="490" t="str">
        <f>IFERROR(IF(INDEX(Procesos!$A$1:$HZ$457,MATCH(Resumen!$A$3&amp;"     ITEM # "&amp;Resumen!G237,Procesos!$A:$A,0)+6,MATCH(Resumen!A237,Procesos!$2:$2,0)+6)=0,"",INDEX(Procesos!$A$1:$HZ$457,MATCH(Resumen!$A$3&amp;"     ITEM # "&amp;Resumen!G237,Procesos!$A:$A,0)+6,MATCH(Resumen!A237,Procesos!$2:$2,0)+6)),"")</f>
        <v/>
      </c>
    </row>
    <row r="238" spans="1:9" x14ac:dyDescent="0.25">
      <c r="A238" t="str">
        <f>IF(Pedidos!$BA239="Proceso",Pedidos!BB239,"")</f>
        <v/>
      </c>
      <c r="B238" t="str">
        <f>IF(Pedidos!$BA239="Proceso",Pedidos!BC239,"")</f>
        <v/>
      </c>
      <c r="C238" t="str">
        <f>IF(Pedidos!$BA239="Proceso",Pedidos!BD239,"")</f>
        <v/>
      </c>
      <c r="D238" s="490" t="str">
        <f>IF(Pedidos!$BA239="Proceso",Pedidos!BE239,"")</f>
        <v/>
      </c>
      <c r="E238" s="490" t="str">
        <f>IF($A238&lt;&gt;"",VLOOKUP($A238,Pedidos!$A$2:$I$9998,8,0),"")</f>
        <v/>
      </c>
      <c r="F238" s="490" t="str">
        <f>IF($A238&lt;&gt;"",VLOOKUP($A238,Pedidos!$A$2:$I$9998,9,0),"")</f>
        <v/>
      </c>
      <c r="H238" s="490" t="str">
        <f t="shared" si="6"/>
        <v/>
      </c>
      <c r="I238" s="490" t="str">
        <f>IFERROR(IF(INDEX(Procesos!$A$1:$HZ$457,MATCH(Resumen!$A$3&amp;"     ITEM # "&amp;Resumen!G238,Procesos!$A:$A,0)+6,MATCH(Resumen!A238,Procesos!$2:$2,0)+6)=0,"",INDEX(Procesos!$A$1:$HZ$457,MATCH(Resumen!$A$3&amp;"     ITEM # "&amp;Resumen!G238,Procesos!$A:$A,0)+6,MATCH(Resumen!A238,Procesos!$2:$2,0)+6)),"")</f>
        <v/>
      </c>
    </row>
    <row r="239" spans="1:9" x14ac:dyDescent="0.25">
      <c r="A239" t="str">
        <f>IF(Pedidos!$BA240="Proceso",Pedidos!BB240,"")</f>
        <v/>
      </c>
      <c r="B239" t="str">
        <f>IF(Pedidos!$BA240="Proceso",Pedidos!BC240,"")</f>
        <v/>
      </c>
      <c r="C239" t="str">
        <f>IF(Pedidos!$BA240="Proceso",Pedidos!BD240,"")</f>
        <v/>
      </c>
      <c r="D239" s="490" t="str">
        <f>IF(Pedidos!$BA240="Proceso",Pedidos!BE240,"")</f>
        <v/>
      </c>
      <c r="E239" s="490" t="str">
        <f>IF($A239&lt;&gt;"",VLOOKUP($A239,Pedidos!$A$2:$I$9998,8,0),"")</f>
        <v/>
      </c>
      <c r="F239" s="490" t="str">
        <f>IF($A239&lt;&gt;"",VLOOKUP($A239,Pedidos!$A$2:$I$9998,9,0),"")</f>
        <v/>
      </c>
      <c r="H239" s="490" t="str">
        <f t="shared" si="6"/>
        <v/>
      </c>
      <c r="I239" s="490" t="str">
        <f>IFERROR(IF(INDEX(Procesos!$A$1:$HZ$457,MATCH(Resumen!$A$3&amp;"     ITEM # "&amp;Resumen!G239,Procesos!$A:$A,0)+6,MATCH(Resumen!A239,Procesos!$2:$2,0)+6)=0,"",INDEX(Procesos!$A$1:$HZ$457,MATCH(Resumen!$A$3&amp;"     ITEM # "&amp;Resumen!G239,Procesos!$A:$A,0)+6,MATCH(Resumen!A239,Procesos!$2:$2,0)+6)),"")</f>
        <v/>
      </c>
    </row>
    <row r="240" spans="1:9" x14ac:dyDescent="0.25">
      <c r="A240" t="str">
        <f>IF(Pedidos!$BA241="Proceso",Pedidos!BB241,"")</f>
        <v/>
      </c>
      <c r="B240" t="str">
        <f>IF(Pedidos!$BA241="Proceso",Pedidos!BC241,"")</f>
        <v/>
      </c>
      <c r="C240" t="str">
        <f>IF(Pedidos!$BA241="Proceso",Pedidos!BD241,"")</f>
        <v/>
      </c>
      <c r="D240" s="490" t="str">
        <f>IF(Pedidos!$BA241="Proceso",Pedidos!BE241,"")</f>
        <v/>
      </c>
      <c r="E240" s="490" t="str">
        <f>IF($A240&lt;&gt;"",VLOOKUP($A240,Pedidos!$A$2:$I$9998,8,0),"")</f>
        <v/>
      </c>
      <c r="F240" s="490" t="str">
        <f>IF($A240&lt;&gt;"",VLOOKUP($A240,Pedidos!$A$2:$I$9998,9,0),"")</f>
        <v/>
      </c>
      <c r="H240" s="490" t="str">
        <f t="shared" si="6"/>
        <v/>
      </c>
      <c r="I240" s="490" t="str">
        <f>IFERROR(IF(INDEX(Procesos!$A$1:$HZ$457,MATCH(Resumen!$A$3&amp;"     ITEM # "&amp;Resumen!G240,Procesos!$A:$A,0)+6,MATCH(Resumen!A240,Procesos!$2:$2,0)+6)=0,"",INDEX(Procesos!$A$1:$HZ$457,MATCH(Resumen!$A$3&amp;"     ITEM # "&amp;Resumen!G240,Procesos!$A:$A,0)+6,MATCH(Resumen!A240,Procesos!$2:$2,0)+6)),"")</f>
        <v/>
      </c>
    </row>
    <row r="241" spans="1:9" x14ac:dyDescent="0.25">
      <c r="A241" t="str">
        <f>IF(Pedidos!$BA242="Proceso",Pedidos!BB242,"")</f>
        <v/>
      </c>
      <c r="B241" t="str">
        <f>IF(Pedidos!$BA242="Proceso",Pedidos!BC242,"")</f>
        <v/>
      </c>
      <c r="C241" t="str">
        <f>IF(Pedidos!$BA242="Proceso",Pedidos!BD242,"")</f>
        <v/>
      </c>
      <c r="D241" s="490" t="str">
        <f>IF(Pedidos!$BA242="Proceso",Pedidos!BE242,"")</f>
        <v/>
      </c>
      <c r="E241" s="490" t="str">
        <f>IF($A241&lt;&gt;"",VLOOKUP($A241,Pedidos!$A$2:$I$9998,8,0),"")</f>
        <v/>
      </c>
      <c r="F241" s="490" t="str">
        <f>IF($A241&lt;&gt;"",VLOOKUP($A241,Pedidos!$A$2:$I$9998,9,0),"")</f>
        <v/>
      </c>
      <c r="H241" s="490" t="str">
        <f t="shared" si="6"/>
        <v/>
      </c>
      <c r="I241" s="490" t="str">
        <f>IFERROR(IF(INDEX(Procesos!$A$1:$HZ$457,MATCH(Resumen!$A$3&amp;"     ITEM # "&amp;Resumen!G241,Procesos!$A:$A,0)+6,MATCH(Resumen!A241,Procesos!$2:$2,0)+6)=0,"",INDEX(Procesos!$A$1:$HZ$457,MATCH(Resumen!$A$3&amp;"     ITEM # "&amp;Resumen!G241,Procesos!$A:$A,0)+6,MATCH(Resumen!A241,Procesos!$2:$2,0)+6)),"")</f>
        <v/>
      </c>
    </row>
    <row r="242" spans="1:9" x14ac:dyDescent="0.25">
      <c r="A242" t="str">
        <f>IF(Pedidos!$BA243="Proceso",Pedidos!BB243,"")</f>
        <v/>
      </c>
      <c r="B242" t="str">
        <f>IF(Pedidos!$BA243="Proceso",Pedidos!BC243,"")</f>
        <v/>
      </c>
      <c r="C242" t="str">
        <f>IF(Pedidos!$BA243="Proceso",Pedidos!BD243,"")</f>
        <v/>
      </c>
      <c r="D242" s="490" t="str">
        <f>IF(Pedidos!$BA243="Proceso",Pedidos!BE243,"")</f>
        <v/>
      </c>
      <c r="E242" s="490" t="str">
        <f>IF($A242&lt;&gt;"",VLOOKUP($A242,Pedidos!$A$2:$I$9998,8,0),"")</f>
        <v/>
      </c>
      <c r="F242" s="490" t="str">
        <f>IF($A242&lt;&gt;"",VLOOKUP($A242,Pedidos!$A$2:$I$9998,9,0),"")</f>
        <v/>
      </c>
      <c r="H242" s="490" t="str">
        <f t="shared" si="6"/>
        <v/>
      </c>
      <c r="I242" s="490" t="str">
        <f>IFERROR(IF(INDEX(Procesos!$A$1:$HZ$457,MATCH(Resumen!$A$3&amp;"     ITEM # "&amp;Resumen!G242,Procesos!$A:$A,0)+6,MATCH(Resumen!A242,Procesos!$2:$2,0)+6)=0,"",INDEX(Procesos!$A$1:$HZ$457,MATCH(Resumen!$A$3&amp;"     ITEM # "&amp;Resumen!G242,Procesos!$A:$A,0)+6,MATCH(Resumen!A242,Procesos!$2:$2,0)+6)),"")</f>
        <v/>
      </c>
    </row>
    <row r="243" spans="1:9" x14ac:dyDescent="0.25">
      <c r="A243" t="str">
        <f>IF(Pedidos!$BA244="Proceso",Pedidos!BB244,"")</f>
        <v/>
      </c>
      <c r="B243" t="str">
        <f>IF(Pedidos!$BA244="Proceso",Pedidos!BC244,"")</f>
        <v/>
      </c>
      <c r="C243" t="str">
        <f>IF(Pedidos!$BA244="Proceso",Pedidos!BD244,"")</f>
        <v/>
      </c>
      <c r="D243" s="490" t="str">
        <f>IF(Pedidos!$BA244="Proceso",Pedidos!BE244,"")</f>
        <v/>
      </c>
      <c r="E243" s="490" t="str">
        <f>IF($A243&lt;&gt;"",VLOOKUP($A243,Pedidos!$A$2:$I$9998,8,0),"")</f>
        <v/>
      </c>
      <c r="F243" s="490" t="str">
        <f>IF($A243&lt;&gt;"",VLOOKUP($A243,Pedidos!$A$2:$I$9998,9,0),"")</f>
        <v/>
      </c>
      <c r="H243" s="490" t="str">
        <f t="shared" si="6"/>
        <v/>
      </c>
      <c r="I243" s="490" t="str">
        <f>IFERROR(IF(INDEX(Procesos!$A$1:$HZ$457,MATCH(Resumen!$A$3&amp;"     ITEM # "&amp;Resumen!G243,Procesos!$A:$A,0)+6,MATCH(Resumen!A243,Procesos!$2:$2,0)+6)=0,"",INDEX(Procesos!$A$1:$HZ$457,MATCH(Resumen!$A$3&amp;"     ITEM # "&amp;Resumen!G243,Procesos!$A:$A,0)+6,MATCH(Resumen!A243,Procesos!$2:$2,0)+6)),"")</f>
        <v/>
      </c>
    </row>
    <row r="244" spans="1:9" x14ac:dyDescent="0.25">
      <c r="A244" t="str">
        <f>IF(Pedidos!$BA245="Proceso",Pedidos!BB245,"")</f>
        <v/>
      </c>
      <c r="B244" t="str">
        <f>IF(Pedidos!$BA245="Proceso",Pedidos!BC245,"")</f>
        <v/>
      </c>
      <c r="C244" t="str">
        <f>IF(Pedidos!$BA245="Proceso",Pedidos!BD245,"")</f>
        <v/>
      </c>
      <c r="D244" s="490" t="str">
        <f>IF(Pedidos!$BA245="Proceso",Pedidos!BE245,"")</f>
        <v/>
      </c>
      <c r="E244" s="490" t="str">
        <f>IF($A244&lt;&gt;"",VLOOKUP($A244,Pedidos!$A$2:$I$9998,8,0),"")</f>
        <v/>
      </c>
      <c r="F244" s="490" t="str">
        <f>IF($A244&lt;&gt;"",VLOOKUP($A244,Pedidos!$A$2:$I$9998,9,0),"")</f>
        <v/>
      </c>
      <c r="H244" s="490" t="str">
        <f t="shared" si="6"/>
        <v/>
      </c>
      <c r="I244" s="490" t="str">
        <f>IFERROR(IF(INDEX(Procesos!$A$1:$HZ$457,MATCH(Resumen!$A$3&amp;"     ITEM # "&amp;Resumen!G244,Procesos!$A:$A,0)+6,MATCH(Resumen!A244,Procesos!$2:$2,0)+6)=0,"",INDEX(Procesos!$A$1:$HZ$457,MATCH(Resumen!$A$3&amp;"     ITEM # "&amp;Resumen!G244,Procesos!$A:$A,0)+6,MATCH(Resumen!A244,Procesos!$2:$2,0)+6)),"")</f>
        <v/>
      </c>
    </row>
    <row r="245" spans="1:9" x14ac:dyDescent="0.25">
      <c r="A245" t="str">
        <f>IF(Pedidos!$BA246="Proceso",Pedidos!BB246,"")</f>
        <v/>
      </c>
      <c r="B245" t="str">
        <f>IF(Pedidos!$BA246="Proceso",Pedidos!BC246,"")</f>
        <v/>
      </c>
      <c r="C245" t="str">
        <f>IF(Pedidos!$BA246="Proceso",Pedidos!BD246,"")</f>
        <v/>
      </c>
      <c r="D245" s="490" t="str">
        <f>IF(Pedidos!$BA246="Proceso",Pedidos!BE246,"")</f>
        <v/>
      </c>
      <c r="E245" s="490" t="str">
        <f>IF($A245&lt;&gt;"",VLOOKUP($A245,Pedidos!$A$2:$I$9998,8,0),"")</f>
        <v/>
      </c>
      <c r="F245" s="490" t="str">
        <f>IF($A245&lt;&gt;"",VLOOKUP($A245,Pedidos!$A$2:$I$9998,9,0),"")</f>
        <v/>
      </c>
      <c r="H245" s="490" t="str">
        <f t="shared" si="6"/>
        <v/>
      </c>
      <c r="I245" s="490" t="str">
        <f>IFERROR(IF(INDEX(Procesos!$A$1:$HZ$457,MATCH(Resumen!$A$3&amp;"     ITEM # "&amp;Resumen!G245,Procesos!$A:$A,0)+6,MATCH(Resumen!A245,Procesos!$2:$2,0)+6)=0,"",INDEX(Procesos!$A$1:$HZ$457,MATCH(Resumen!$A$3&amp;"     ITEM # "&amp;Resumen!G245,Procesos!$A:$A,0)+6,MATCH(Resumen!A245,Procesos!$2:$2,0)+6)),"")</f>
        <v/>
      </c>
    </row>
    <row r="246" spans="1:9" x14ac:dyDescent="0.25">
      <c r="A246" t="str">
        <f>IF(Pedidos!$BA247="Proceso",Pedidos!BB247,"")</f>
        <v/>
      </c>
      <c r="B246" t="str">
        <f>IF(Pedidos!$BA247="Proceso",Pedidos!BC247,"")</f>
        <v/>
      </c>
      <c r="C246" t="str">
        <f>IF(Pedidos!$BA247="Proceso",Pedidos!BD247,"")</f>
        <v/>
      </c>
      <c r="D246" s="490" t="str">
        <f>IF(Pedidos!$BA247="Proceso",Pedidos!BE247,"")</f>
        <v/>
      </c>
      <c r="E246" s="490" t="str">
        <f>IF($A246&lt;&gt;"",VLOOKUP($A246,Pedidos!$A$2:$I$9998,8,0),"")</f>
        <v/>
      </c>
      <c r="F246" s="490" t="str">
        <f>IF($A246&lt;&gt;"",VLOOKUP($A246,Pedidos!$A$2:$I$9998,9,0),"")</f>
        <v/>
      </c>
      <c r="H246" s="490" t="str">
        <f t="shared" si="6"/>
        <v/>
      </c>
      <c r="I246" s="490" t="str">
        <f>IFERROR(IF(INDEX(Procesos!$A$1:$HZ$457,MATCH(Resumen!$A$3&amp;"     ITEM # "&amp;Resumen!G246,Procesos!$A:$A,0)+6,MATCH(Resumen!A246,Procesos!$2:$2,0)+6)=0,"",INDEX(Procesos!$A$1:$HZ$457,MATCH(Resumen!$A$3&amp;"     ITEM # "&amp;Resumen!G246,Procesos!$A:$A,0)+6,MATCH(Resumen!A246,Procesos!$2:$2,0)+6)),"")</f>
        <v/>
      </c>
    </row>
    <row r="247" spans="1:9" x14ac:dyDescent="0.25">
      <c r="A247" t="str">
        <f>IF(Pedidos!$BA248="Proceso",Pedidos!BB248,"")</f>
        <v/>
      </c>
      <c r="B247" t="str">
        <f>IF(Pedidos!$BA248="Proceso",Pedidos!BC248,"")</f>
        <v/>
      </c>
      <c r="C247" t="str">
        <f>IF(Pedidos!$BA248="Proceso",Pedidos!BD248,"")</f>
        <v/>
      </c>
      <c r="D247" s="490" t="str">
        <f>IF(Pedidos!$BA248="Proceso",Pedidos!BE248,"")</f>
        <v/>
      </c>
      <c r="E247" s="490" t="str">
        <f>IF($A247&lt;&gt;"",VLOOKUP($A247,Pedidos!$A$2:$I$9998,8,0),"")</f>
        <v/>
      </c>
      <c r="F247" s="490" t="str">
        <f>IF($A247&lt;&gt;"",VLOOKUP($A247,Pedidos!$A$2:$I$9998,9,0),"")</f>
        <v/>
      </c>
      <c r="H247" s="490" t="str">
        <f t="shared" si="6"/>
        <v/>
      </c>
      <c r="I247" s="490" t="str">
        <f>IFERROR(IF(INDEX(Procesos!$A$1:$HZ$457,MATCH(Resumen!$A$3&amp;"     ITEM # "&amp;Resumen!G247,Procesos!$A:$A,0)+6,MATCH(Resumen!A247,Procesos!$2:$2,0)+6)=0,"",INDEX(Procesos!$A$1:$HZ$457,MATCH(Resumen!$A$3&amp;"     ITEM # "&amp;Resumen!G247,Procesos!$A:$A,0)+6,MATCH(Resumen!A247,Procesos!$2:$2,0)+6)),"")</f>
        <v/>
      </c>
    </row>
    <row r="248" spans="1:9" x14ac:dyDescent="0.25">
      <c r="A248" t="str">
        <f>IF(Pedidos!$BA249="Proceso",Pedidos!BB249,"")</f>
        <v/>
      </c>
      <c r="B248" t="str">
        <f>IF(Pedidos!$BA249="Proceso",Pedidos!BC249,"")</f>
        <v/>
      </c>
      <c r="C248" t="str">
        <f>IF(Pedidos!$BA249="Proceso",Pedidos!BD249,"")</f>
        <v/>
      </c>
      <c r="D248" s="490" t="str">
        <f>IF(Pedidos!$BA249="Proceso",Pedidos!BE249,"")</f>
        <v/>
      </c>
      <c r="E248" s="490" t="str">
        <f>IF($A248&lt;&gt;"",VLOOKUP($A248,Pedidos!$A$2:$I$9998,8,0),"")</f>
        <v/>
      </c>
      <c r="F248" s="490" t="str">
        <f>IF($A248&lt;&gt;"",VLOOKUP($A248,Pedidos!$A$2:$I$9998,9,0),"")</f>
        <v/>
      </c>
      <c r="H248" s="490" t="str">
        <f t="shared" si="6"/>
        <v/>
      </c>
      <c r="I248" s="490" t="str">
        <f>IFERROR(IF(INDEX(Procesos!$A$1:$HZ$457,MATCH(Resumen!$A$3&amp;"     ITEM # "&amp;Resumen!G248,Procesos!$A:$A,0)+6,MATCH(Resumen!A248,Procesos!$2:$2,0)+6)=0,"",INDEX(Procesos!$A$1:$HZ$457,MATCH(Resumen!$A$3&amp;"     ITEM # "&amp;Resumen!G248,Procesos!$A:$A,0)+6,MATCH(Resumen!A248,Procesos!$2:$2,0)+6)),"")</f>
        <v/>
      </c>
    </row>
    <row r="249" spans="1:9" x14ac:dyDescent="0.25">
      <c r="A249" t="str">
        <f>IF(Pedidos!$BA250="Proceso",Pedidos!BB250,"")</f>
        <v/>
      </c>
      <c r="B249" t="str">
        <f>IF(Pedidos!$BA250="Proceso",Pedidos!BC250,"")</f>
        <v/>
      </c>
      <c r="C249" t="str">
        <f>IF(Pedidos!$BA250="Proceso",Pedidos!BD250,"")</f>
        <v/>
      </c>
      <c r="D249" s="490" t="str">
        <f>IF(Pedidos!$BA250="Proceso",Pedidos!BE250,"")</f>
        <v/>
      </c>
      <c r="E249" s="490" t="str">
        <f>IF($A249&lt;&gt;"",VLOOKUP($A249,Pedidos!$A$2:$I$9998,8,0),"")</f>
        <v/>
      </c>
      <c r="F249" s="490" t="str">
        <f>IF($A249&lt;&gt;"",VLOOKUP($A249,Pedidos!$A$2:$I$9998,9,0),"")</f>
        <v/>
      </c>
      <c r="H249" s="490" t="str">
        <f t="shared" si="6"/>
        <v/>
      </c>
      <c r="I249" s="490" t="str">
        <f>IFERROR(IF(INDEX(Procesos!$A$1:$HZ$457,MATCH(Resumen!$A$3&amp;"     ITEM # "&amp;Resumen!G249,Procesos!$A:$A,0)+6,MATCH(Resumen!A249,Procesos!$2:$2,0)+6)=0,"",INDEX(Procesos!$A$1:$HZ$457,MATCH(Resumen!$A$3&amp;"     ITEM # "&amp;Resumen!G249,Procesos!$A:$A,0)+6,MATCH(Resumen!A249,Procesos!$2:$2,0)+6)),"")</f>
        <v/>
      </c>
    </row>
    <row r="250" spans="1:9" x14ac:dyDescent="0.25">
      <c r="A250" t="str">
        <f>IF(Pedidos!$BA251="Proceso",Pedidos!BB251,"")</f>
        <v/>
      </c>
      <c r="B250" t="str">
        <f>IF(Pedidos!$BA251="Proceso",Pedidos!BC251,"")</f>
        <v/>
      </c>
      <c r="C250" t="str">
        <f>IF(Pedidos!$BA251="Proceso",Pedidos!BD251,"")</f>
        <v/>
      </c>
      <c r="D250" s="490" t="str">
        <f>IF(Pedidos!$BA251="Proceso",Pedidos!BE251,"")</f>
        <v/>
      </c>
      <c r="E250" s="490" t="str">
        <f>IF($A250&lt;&gt;"",VLOOKUP($A250,Pedidos!$A$2:$I$9998,8,0),"")</f>
        <v/>
      </c>
      <c r="F250" s="490" t="str">
        <f>IF($A250&lt;&gt;"",VLOOKUP($A250,Pedidos!$A$2:$I$9998,9,0),"")</f>
        <v/>
      </c>
      <c r="H250" s="490" t="str">
        <f t="shared" si="6"/>
        <v/>
      </c>
      <c r="I250" s="490" t="str">
        <f>IFERROR(IF(INDEX(Procesos!$A$1:$HZ$457,MATCH(Resumen!$A$3&amp;"     ITEM # "&amp;Resumen!G250,Procesos!$A:$A,0)+6,MATCH(Resumen!A250,Procesos!$2:$2,0)+6)=0,"",INDEX(Procesos!$A$1:$HZ$457,MATCH(Resumen!$A$3&amp;"     ITEM # "&amp;Resumen!G250,Procesos!$A:$A,0)+6,MATCH(Resumen!A250,Procesos!$2:$2,0)+6)),"")</f>
        <v/>
      </c>
    </row>
    <row r="251" spans="1:9" x14ac:dyDescent="0.25">
      <c r="A251" t="str">
        <f>IF(Pedidos!$BA252="Proceso",Pedidos!BB252,"")</f>
        <v/>
      </c>
      <c r="B251" t="str">
        <f>IF(Pedidos!$BA252="Proceso",Pedidos!BC252,"")</f>
        <v/>
      </c>
      <c r="C251" t="str">
        <f>IF(Pedidos!$BA252="Proceso",Pedidos!BD252,"")</f>
        <v/>
      </c>
      <c r="D251" s="490" t="str">
        <f>IF(Pedidos!$BA252="Proceso",Pedidos!BE252,"")</f>
        <v/>
      </c>
      <c r="E251" s="490" t="str">
        <f>IF($A251&lt;&gt;"",VLOOKUP($A251,Pedidos!$A$2:$I$9998,8,0),"")</f>
        <v/>
      </c>
      <c r="F251" s="490" t="str">
        <f>IF($A251&lt;&gt;"",VLOOKUP($A251,Pedidos!$A$2:$I$9998,9,0),"")</f>
        <v/>
      </c>
      <c r="H251" s="490" t="str">
        <f t="shared" si="6"/>
        <v/>
      </c>
      <c r="I251" s="490" t="str">
        <f>IFERROR(IF(INDEX(Procesos!$A$1:$HZ$457,MATCH(Resumen!$A$3&amp;"     ITEM # "&amp;Resumen!G251,Procesos!$A:$A,0)+6,MATCH(Resumen!A251,Procesos!$2:$2,0)+6)=0,"",INDEX(Procesos!$A$1:$HZ$457,MATCH(Resumen!$A$3&amp;"     ITEM # "&amp;Resumen!G251,Procesos!$A:$A,0)+6,MATCH(Resumen!A251,Procesos!$2:$2,0)+6)),"")</f>
        <v/>
      </c>
    </row>
    <row r="252" spans="1:9" x14ac:dyDescent="0.25">
      <c r="A252" t="str">
        <f>IF(Pedidos!$BA253="Proceso",Pedidos!BB253,"")</f>
        <v/>
      </c>
      <c r="B252" t="str">
        <f>IF(Pedidos!$BA253="Proceso",Pedidos!BC253,"")</f>
        <v/>
      </c>
      <c r="C252" t="str">
        <f>IF(Pedidos!$BA253="Proceso",Pedidos!BD253,"")</f>
        <v/>
      </c>
      <c r="D252" s="490" t="str">
        <f>IF(Pedidos!$BA253="Proceso",Pedidos!BE253,"")</f>
        <v/>
      </c>
      <c r="E252" s="490" t="str">
        <f>IF($A252&lt;&gt;"",VLOOKUP($A252,Pedidos!$A$2:$I$9998,8,0),"")</f>
        <v/>
      </c>
      <c r="F252" s="490" t="str">
        <f>IF($A252&lt;&gt;"",VLOOKUP($A252,Pedidos!$A$2:$I$9998,9,0),"")</f>
        <v/>
      </c>
      <c r="H252" s="490" t="str">
        <f t="shared" si="6"/>
        <v/>
      </c>
      <c r="I252" s="490" t="str">
        <f>IFERROR(IF(INDEX(Procesos!$A$1:$HZ$457,MATCH(Resumen!$A$3&amp;"     ITEM # "&amp;Resumen!G252,Procesos!$A:$A,0)+6,MATCH(Resumen!A252,Procesos!$2:$2,0)+6)=0,"",INDEX(Procesos!$A$1:$HZ$457,MATCH(Resumen!$A$3&amp;"     ITEM # "&amp;Resumen!G252,Procesos!$A:$A,0)+6,MATCH(Resumen!A252,Procesos!$2:$2,0)+6)),"")</f>
        <v/>
      </c>
    </row>
    <row r="253" spans="1:9" x14ac:dyDescent="0.25">
      <c r="A253" t="str">
        <f>IF(Pedidos!$BA254="Proceso",Pedidos!BB254,"")</f>
        <v/>
      </c>
      <c r="B253" t="str">
        <f>IF(Pedidos!$BA254="Proceso",Pedidos!BC254,"")</f>
        <v/>
      </c>
      <c r="C253" t="str">
        <f>IF(Pedidos!$BA254="Proceso",Pedidos!BD254,"")</f>
        <v/>
      </c>
      <c r="D253" s="490" t="str">
        <f>IF(Pedidos!$BA254="Proceso",Pedidos!BE254,"")</f>
        <v/>
      </c>
      <c r="E253" s="490" t="str">
        <f>IF($A253&lt;&gt;"",VLOOKUP($A253,Pedidos!$A$2:$I$9998,8,0),"")</f>
        <v/>
      </c>
      <c r="F253" s="490" t="str">
        <f>IF($A253&lt;&gt;"",VLOOKUP($A253,Pedidos!$A$2:$I$9998,9,0),"")</f>
        <v/>
      </c>
      <c r="H253" s="490" t="str">
        <f t="shared" si="6"/>
        <v/>
      </c>
      <c r="I253" s="490" t="str">
        <f>IFERROR(IF(INDEX(Procesos!$A$1:$HZ$457,MATCH(Resumen!$A$3&amp;"     ITEM # "&amp;Resumen!G253,Procesos!$A:$A,0)+6,MATCH(Resumen!A253,Procesos!$2:$2,0)+6)=0,"",INDEX(Procesos!$A$1:$HZ$457,MATCH(Resumen!$A$3&amp;"     ITEM # "&amp;Resumen!G253,Procesos!$A:$A,0)+6,MATCH(Resumen!A253,Procesos!$2:$2,0)+6)),"")</f>
        <v/>
      </c>
    </row>
    <row r="254" spans="1:9" x14ac:dyDescent="0.25">
      <c r="A254" t="str">
        <f>IF(Pedidos!$BA255="Proceso",Pedidos!BB255,"")</f>
        <v/>
      </c>
      <c r="B254" t="str">
        <f>IF(Pedidos!$BA255="Proceso",Pedidos!BC255,"")</f>
        <v/>
      </c>
      <c r="C254" t="str">
        <f>IF(Pedidos!$BA255="Proceso",Pedidos!BD255,"")</f>
        <v/>
      </c>
      <c r="D254" s="490" t="str">
        <f>IF(Pedidos!$BA255="Proceso",Pedidos!BE255,"")</f>
        <v/>
      </c>
      <c r="E254" s="490" t="str">
        <f>IF($A254&lt;&gt;"",VLOOKUP($A254,Pedidos!$A$2:$I$9998,8,0),"")</f>
        <v/>
      </c>
      <c r="F254" s="490" t="str">
        <f>IF($A254&lt;&gt;"",VLOOKUP($A254,Pedidos!$A$2:$I$9998,9,0),"")</f>
        <v/>
      </c>
      <c r="H254" s="490" t="str">
        <f t="shared" si="6"/>
        <v/>
      </c>
      <c r="I254" s="490" t="str">
        <f>IFERROR(IF(INDEX(Procesos!$A$1:$HZ$457,MATCH(Resumen!$A$3&amp;"     ITEM # "&amp;Resumen!G254,Procesos!$A:$A,0)+6,MATCH(Resumen!A254,Procesos!$2:$2,0)+6)=0,"",INDEX(Procesos!$A$1:$HZ$457,MATCH(Resumen!$A$3&amp;"     ITEM # "&amp;Resumen!G254,Procesos!$A:$A,0)+6,MATCH(Resumen!A254,Procesos!$2:$2,0)+6)),"")</f>
        <v/>
      </c>
    </row>
    <row r="255" spans="1:9" x14ac:dyDescent="0.25">
      <c r="A255" t="str">
        <f>IF(Pedidos!$BA256="Proceso",Pedidos!BB256,"")</f>
        <v/>
      </c>
      <c r="B255" t="str">
        <f>IF(Pedidos!$BA256="Proceso",Pedidos!BC256,"")</f>
        <v/>
      </c>
      <c r="C255" t="str">
        <f>IF(Pedidos!$BA256="Proceso",Pedidos!BD256,"")</f>
        <v/>
      </c>
      <c r="D255" s="490" t="str">
        <f>IF(Pedidos!$BA256="Proceso",Pedidos!BE256,"")</f>
        <v/>
      </c>
      <c r="E255" s="490" t="str">
        <f>IF($A255&lt;&gt;"",VLOOKUP($A255,Pedidos!$A$2:$I$9998,8,0),"")</f>
        <v/>
      </c>
      <c r="F255" s="490" t="str">
        <f>IF($A255&lt;&gt;"",VLOOKUP($A255,Pedidos!$A$2:$I$9998,9,0),"")</f>
        <v/>
      </c>
      <c r="H255" s="490" t="str">
        <f t="shared" si="6"/>
        <v/>
      </c>
      <c r="I255" s="490" t="str">
        <f>IFERROR(IF(INDEX(Procesos!$A$1:$HZ$457,MATCH(Resumen!$A$3&amp;"     ITEM # "&amp;Resumen!G255,Procesos!$A:$A,0)+6,MATCH(Resumen!A255,Procesos!$2:$2,0)+6)=0,"",INDEX(Procesos!$A$1:$HZ$457,MATCH(Resumen!$A$3&amp;"     ITEM # "&amp;Resumen!G255,Procesos!$A:$A,0)+6,MATCH(Resumen!A255,Procesos!$2:$2,0)+6)),"")</f>
        <v/>
      </c>
    </row>
    <row r="256" spans="1:9" x14ac:dyDescent="0.25">
      <c r="A256" t="str">
        <f>IF(Pedidos!$BA257="Proceso",Pedidos!BB257,"")</f>
        <v/>
      </c>
      <c r="B256" t="str">
        <f>IF(Pedidos!$BA257="Proceso",Pedidos!BC257,"")</f>
        <v/>
      </c>
      <c r="C256" t="str">
        <f>IF(Pedidos!$BA257="Proceso",Pedidos!BD257,"")</f>
        <v/>
      </c>
      <c r="D256" s="490" t="str">
        <f>IF(Pedidos!$BA257="Proceso",Pedidos!BE257,"")</f>
        <v/>
      </c>
      <c r="E256" s="490" t="str">
        <f>IF($A256&lt;&gt;"",VLOOKUP($A256,Pedidos!$A$2:$I$9998,8,0),"")</f>
        <v/>
      </c>
      <c r="F256" s="490" t="str">
        <f>IF($A256&lt;&gt;"",VLOOKUP($A256,Pedidos!$A$2:$I$9998,9,0),"")</f>
        <v/>
      </c>
      <c r="H256" s="490" t="str">
        <f t="shared" si="6"/>
        <v/>
      </c>
      <c r="I256" s="490" t="str">
        <f>IFERROR(IF(INDEX(Procesos!$A$1:$HZ$457,MATCH(Resumen!$A$3&amp;"     ITEM # "&amp;Resumen!G256,Procesos!$A:$A,0)+6,MATCH(Resumen!A256,Procesos!$2:$2,0)+6)=0,"",INDEX(Procesos!$A$1:$HZ$457,MATCH(Resumen!$A$3&amp;"     ITEM # "&amp;Resumen!G256,Procesos!$A:$A,0)+6,MATCH(Resumen!A256,Procesos!$2:$2,0)+6)),"")</f>
        <v/>
      </c>
    </row>
    <row r="257" spans="1:9" x14ac:dyDescent="0.25">
      <c r="A257" t="str">
        <f>IF(Pedidos!$BA258="Proceso",Pedidos!BB258,"")</f>
        <v/>
      </c>
      <c r="B257" t="str">
        <f>IF(Pedidos!$BA258="Proceso",Pedidos!BC258,"")</f>
        <v/>
      </c>
      <c r="C257" t="str">
        <f>IF(Pedidos!$BA258="Proceso",Pedidos!BD258,"")</f>
        <v/>
      </c>
      <c r="D257" s="490" t="str">
        <f>IF(Pedidos!$BA258="Proceso",Pedidos!BE258,"")</f>
        <v/>
      </c>
      <c r="E257" s="490" t="str">
        <f>IF($A257&lt;&gt;"",VLOOKUP($A257,Pedidos!$A$2:$I$9998,8,0),"")</f>
        <v/>
      </c>
      <c r="F257" s="490" t="str">
        <f>IF($A257&lt;&gt;"",VLOOKUP($A257,Pedidos!$A$2:$I$9998,9,0),"")</f>
        <v/>
      </c>
      <c r="H257" s="490" t="str">
        <f t="shared" si="6"/>
        <v/>
      </c>
      <c r="I257" s="490" t="str">
        <f>IFERROR(IF(INDEX(Procesos!$A$1:$HZ$457,MATCH(Resumen!$A$3&amp;"     ITEM # "&amp;Resumen!G257,Procesos!$A:$A,0)+6,MATCH(Resumen!A257,Procesos!$2:$2,0)+6)=0,"",INDEX(Procesos!$A$1:$HZ$457,MATCH(Resumen!$A$3&amp;"     ITEM # "&amp;Resumen!G257,Procesos!$A:$A,0)+6,MATCH(Resumen!A257,Procesos!$2:$2,0)+6)),"")</f>
        <v/>
      </c>
    </row>
    <row r="258" spans="1:9" x14ac:dyDescent="0.25">
      <c r="A258" t="str">
        <f>IF(Pedidos!$BA259="Proceso",Pedidos!BB259,"")</f>
        <v/>
      </c>
      <c r="B258" t="str">
        <f>IF(Pedidos!$BA259="Proceso",Pedidos!BC259,"")</f>
        <v/>
      </c>
      <c r="C258" t="str">
        <f>IF(Pedidos!$BA259="Proceso",Pedidos!BD259,"")</f>
        <v/>
      </c>
      <c r="D258" s="490" t="str">
        <f>IF(Pedidos!$BA259="Proceso",Pedidos!BE259,"")</f>
        <v/>
      </c>
      <c r="E258" s="490" t="str">
        <f>IF($A258&lt;&gt;"",VLOOKUP($A258,Pedidos!$A$2:$I$9998,8,0),"")</f>
        <v/>
      </c>
      <c r="F258" s="490" t="str">
        <f>IF($A258&lt;&gt;"",VLOOKUP($A258,Pedidos!$A$2:$I$9998,9,0),"")</f>
        <v/>
      </c>
      <c r="H258" s="490" t="str">
        <f t="shared" si="6"/>
        <v/>
      </c>
      <c r="I258" s="490" t="str">
        <f>IFERROR(IF(INDEX(Procesos!$A$1:$HZ$457,MATCH(Resumen!$A$3&amp;"     ITEM # "&amp;Resumen!G258,Procesos!$A:$A,0)+6,MATCH(Resumen!A258,Procesos!$2:$2,0)+6)=0,"",INDEX(Procesos!$A$1:$HZ$457,MATCH(Resumen!$A$3&amp;"     ITEM # "&amp;Resumen!G258,Procesos!$A:$A,0)+6,MATCH(Resumen!A258,Procesos!$2:$2,0)+6)),"")</f>
        <v/>
      </c>
    </row>
    <row r="259" spans="1:9" x14ac:dyDescent="0.25">
      <c r="A259" t="str">
        <f>IF(Pedidos!$BA260="Proceso",Pedidos!BB260,"")</f>
        <v/>
      </c>
      <c r="B259" t="str">
        <f>IF(Pedidos!$BA260="Proceso",Pedidos!BC260,"")</f>
        <v/>
      </c>
      <c r="C259" t="str">
        <f>IF(Pedidos!$BA260="Proceso",Pedidos!BD260,"")</f>
        <v/>
      </c>
      <c r="D259" s="490" t="str">
        <f>IF(Pedidos!$BA260="Proceso",Pedidos!BE260,"")</f>
        <v/>
      </c>
      <c r="E259" s="490" t="str">
        <f>IF($A259&lt;&gt;"",VLOOKUP($A259,Pedidos!$A$2:$I$9998,8,0),"")</f>
        <v/>
      </c>
      <c r="F259" s="490" t="str">
        <f>IF($A259&lt;&gt;"",VLOOKUP($A259,Pedidos!$A$2:$I$9998,9,0),"")</f>
        <v/>
      </c>
      <c r="H259" s="490" t="str">
        <f t="shared" si="6"/>
        <v/>
      </c>
      <c r="I259" s="490" t="str">
        <f>IFERROR(IF(INDEX(Procesos!$A$1:$HZ$457,MATCH(Resumen!$A$3&amp;"     ITEM # "&amp;Resumen!G259,Procesos!$A:$A,0)+6,MATCH(Resumen!A259,Procesos!$2:$2,0)+6)=0,"",INDEX(Procesos!$A$1:$HZ$457,MATCH(Resumen!$A$3&amp;"     ITEM # "&amp;Resumen!G259,Procesos!$A:$A,0)+6,MATCH(Resumen!A259,Procesos!$2:$2,0)+6)),"")</f>
        <v/>
      </c>
    </row>
    <row r="260" spans="1:9" x14ac:dyDescent="0.25">
      <c r="A260" t="str">
        <f>IF(Pedidos!$BA261="Proceso",Pedidos!BB261,"")</f>
        <v/>
      </c>
      <c r="B260" t="str">
        <f>IF(Pedidos!$BA261="Proceso",Pedidos!BC261,"")</f>
        <v/>
      </c>
      <c r="C260" t="str">
        <f>IF(Pedidos!$BA261="Proceso",Pedidos!BD261,"")</f>
        <v/>
      </c>
      <c r="D260" s="490" t="str">
        <f>IF(Pedidos!$BA261="Proceso",Pedidos!BE261,"")</f>
        <v/>
      </c>
      <c r="E260" s="490" t="str">
        <f>IF($A260&lt;&gt;"",VLOOKUP($A260,Pedidos!$A$2:$I$9998,8,0),"")</f>
        <v/>
      </c>
      <c r="F260" s="490" t="str">
        <f>IF($A260&lt;&gt;"",VLOOKUP($A260,Pedidos!$A$2:$I$9998,9,0),"")</f>
        <v/>
      </c>
      <c r="H260" s="490" t="str">
        <f t="shared" ref="H260:H300" si="7">IF(A260="","",A260&amp;"     ITEM # "&amp;G260)</f>
        <v/>
      </c>
      <c r="I260" s="490" t="str">
        <f>IFERROR(IF(INDEX(Procesos!$A$1:$HZ$457,MATCH(Resumen!$A$3&amp;"     ITEM # "&amp;Resumen!G260,Procesos!$A:$A,0)+6,MATCH(Resumen!A260,Procesos!$2:$2,0)+6)=0,"",INDEX(Procesos!$A$1:$HZ$457,MATCH(Resumen!$A$3&amp;"     ITEM # "&amp;Resumen!G260,Procesos!$A:$A,0)+6,MATCH(Resumen!A260,Procesos!$2:$2,0)+6)),"")</f>
        <v/>
      </c>
    </row>
    <row r="261" spans="1:9" x14ac:dyDescent="0.25">
      <c r="A261" t="str">
        <f>IF(Pedidos!$BA262="Proceso",Pedidos!BB262,"")</f>
        <v/>
      </c>
      <c r="B261" t="str">
        <f>IF(Pedidos!$BA262="Proceso",Pedidos!BC262,"")</f>
        <v/>
      </c>
      <c r="C261" t="str">
        <f>IF(Pedidos!$BA262="Proceso",Pedidos!BD262,"")</f>
        <v/>
      </c>
      <c r="D261" s="490" t="str">
        <f>IF(Pedidos!$BA262="Proceso",Pedidos!BE262,"")</f>
        <v/>
      </c>
      <c r="E261" s="490" t="str">
        <f>IF($A261&lt;&gt;"",VLOOKUP($A261,Pedidos!$A$2:$I$9998,8,0),"")</f>
        <v/>
      </c>
      <c r="F261" s="490" t="str">
        <f>IF($A261&lt;&gt;"",VLOOKUP($A261,Pedidos!$A$2:$I$9998,9,0),"")</f>
        <v/>
      </c>
      <c r="H261" s="490" t="str">
        <f t="shared" si="7"/>
        <v/>
      </c>
      <c r="I261" s="490" t="str">
        <f>IFERROR(IF(INDEX(Procesos!$A$1:$HZ$457,MATCH(Resumen!$A$3&amp;"     ITEM # "&amp;Resumen!G261,Procesos!$A:$A,0)+6,MATCH(Resumen!A261,Procesos!$2:$2,0)+6)=0,"",INDEX(Procesos!$A$1:$HZ$457,MATCH(Resumen!$A$3&amp;"     ITEM # "&amp;Resumen!G261,Procesos!$A:$A,0)+6,MATCH(Resumen!A261,Procesos!$2:$2,0)+6)),"")</f>
        <v/>
      </c>
    </row>
    <row r="262" spans="1:9" x14ac:dyDescent="0.25">
      <c r="A262" t="str">
        <f>IF(Pedidos!$BA263="Proceso",Pedidos!BB263,"")</f>
        <v/>
      </c>
      <c r="B262" t="str">
        <f>IF(Pedidos!$BA263="Proceso",Pedidos!BC263,"")</f>
        <v/>
      </c>
      <c r="C262" t="str">
        <f>IF(Pedidos!$BA263="Proceso",Pedidos!BD263,"")</f>
        <v/>
      </c>
      <c r="D262" s="490" t="str">
        <f>IF(Pedidos!$BA263="Proceso",Pedidos!BE263,"")</f>
        <v/>
      </c>
      <c r="E262" s="490" t="str">
        <f>IF($A262&lt;&gt;"",VLOOKUP($A262,Pedidos!$A$2:$I$9998,8,0),"")</f>
        <v/>
      </c>
      <c r="F262" s="490" t="str">
        <f>IF($A262&lt;&gt;"",VLOOKUP($A262,Pedidos!$A$2:$I$9998,9,0),"")</f>
        <v/>
      </c>
      <c r="H262" s="490" t="str">
        <f t="shared" si="7"/>
        <v/>
      </c>
      <c r="I262" s="490" t="str">
        <f>IFERROR(IF(INDEX(Procesos!$A$1:$HZ$457,MATCH(Resumen!$A$3&amp;"     ITEM # "&amp;Resumen!G262,Procesos!$A:$A,0)+6,MATCH(Resumen!A262,Procesos!$2:$2,0)+6)=0,"",INDEX(Procesos!$A$1:$HZ$457,MATCH(Resumen!$A$3&amp;"     ITEM # "&amp;Resumen!G262,Procesos!$A:$A,0)+6,MATCH(Resumen!A262,Procesos!$2:$2,0)+6)),"")</f>
        <v/>
      </c>
    </row>
    <row r="263" spans="1:9" x14ac:dyDescent="0.25">
      <c r="A263" t="str">
        <f>IF(Pedidos!$BA264="Proceso",Pedidos!BB264,"")</f>
        <v/>
      </c>
      <c r="B263" t="str">
        <f>IF(Pedidos!$BA264="Proceso",Pedidos!BC264,"")</f>
        <v/>
      </c>
      <c r="C263" t="str">
        <f>IF(Pedidos!$BA264="Proceso",Pedidos!BD264,"")</f>
        <v/>
      </c>
      <c r="D263" s="490" t="str">
        <f>IF(Pedidos!$BA264="Proceso",Pedidos!BE264,"")</f>
        <v/>
      </c>
      <c r="E263" s="490" t="str">
        <f>IF($A263&lt;&gt;"",VLOOKUP($A263,Pedidos!$A$2:$I$9998,8,0),"")</f>
        <v/>
      </c>
      <c r="F263" s="490" t="str">
        <f>IF($A263&lt;&gt;"",VLOOKUP($A263,Pedidos!$A$2:$I$9998,9,0),"")</f>
        <v/>
      </c>
      <c r="H263" s="490" t="str">
        <f t="shared" si="7"/>
        <v/>
      </c>
      <c r="I263" s="490" t="str">
        <f>IFERROR(IF(INDEX(Procesos!$A$1:$HZ$457,MATCH(Resumen!$A$3&amp;"     ITEM # "&amp;Resumen!G263,Procesos!$A:$A,0)+6,MATCH(Resumen!A263,Procesos!$2:$2,0)+6)=0,"",INDEX(Procesos!$A$1:$HZ$457,MATCH(Resumen!$A$3&amp;"     ITEM # "&amp;Resumen!G263,Procesos!$A:$A,0)+6,MATCH(Resumen!A263,Procesos!$2:$2,0)+6)),"")</f>
        <v/>
      </c>
    </row>
    <row r="264" spans="1:9" x14ac:dyDescent="0.25">
      <c r="A264" t="str">
        <f>IF(Pedidos!$BA265="Proceso",Pedidos!BB265,"")</f>
        <v/>
      </c>
      <c r="B264" t="str">
        <f>IF(Pedidos!$BA265="Proceso",Pedidos!BC265,"")</f>
        <v/>
      </c>
      <c r="C264" t="str">
        <f>IF(Pedidos!$BA265="Proceso",Pedidos!BD265,"")</f>
        <v/>
      </c>
      <c r="D264" s="490" t="str">
        <f>IF(Pedidos!$BA265="Proceso",Pedidos!BE265,"")</f>
        <v/>
      </c>
      <c r="E264" s="490" t="str">
        <f>IF($A264&lt;&gt;"",VLOOKUP($A264,Pedidos!$A$2:$I$9998,8,0),"")</f>
        <v/>
      </c>
      <c r="F264" s="490" t="str">
        <f>IF($A264&lt;&gt;"",VLOOKUP($A264,Pedidos!$A$2:$I$9998,9,0),"")</f>
        <v/>
      </c>
      <c r="H264" s="490" t="str">
        <f t="shared" si="7"/>
        <v/>
      </c>
      <c r="I264" s="490" t="str">
        <f>IFERROR(IF(INDEX(Procesos!$A$1:$HZ$457,MATCH(Resumen!$A$3&amp;"     ITEM # "&amp;Resumen!G264,Procesos!$A:$A,0)+6,MATCH(Resumen!A264,Procesos!$2:$2,0)+6)=0,"",INDEX(Procesos!$A$1:$HZ$457,MATCH(Resumen!$A$3&amp;"     ITEM # "&amp;Resumen!G264,Procesos!$A:$A,0)+6,MATCH(Resumen!A264,Procesos!$2:$2,0)+6)),"")</f>
        <v/>
      </c>
    </row>
    <row r="265" spans="1:9" x14ac:dyDescent="0.25">
      <c r="A265" t="str">
        <f>IF(Pedidos!$BA266="Proceso",Pedidos!BB266,"")</f>
        <v/>
      </c>
      <c r="B265" t="str">
        <f>IF(Pedidos!$BA266="Proceso",Pedidos!BC266,"")</f>
        <v/>
      </c>
      <c r="C265" t="str">
        <f>IF(Pedidos!$BA266="Proceso",Pedidos!BD266,"")</f>
        <v/>
      </c>
      <c r="D265" s="490" t="str">
        <f>IF(Pedidos!$BA266="Proceso",Pedidos!BE266,"")</f>
        <v/>
      </c>
      <c r="E265" s="490" t="str">
        <f>IF($A265&lt;&gt;"",VLOOKUP($A265,Pedidos!$A$2:$I$9998,8,0),"")</f>
        <v/>
      </c>
      <c r="F265" s="490" t="str">
        <f>IF($A265&lt;&gt;"",VLOOKUP($A265,Pedidos!$A$2:$I$9998,9,0),"")</f>
        <v/>
      </c>
      <c r="H265" s="490" t="str">
        <f t="shared" si="7"/>
        <v/>
      </c>
      <c r="I265" s="490" t="str">
        <f>IFERROR(IF(INDEX(Procesos!$A$1:$HZ$457,MATCH(Resumen!$A$3&amp;"     ITEM # "&amp;Resumen!G265,Procesos!$A:$A,0)+6,MATCH(Resumen!A265,Procesos!$2:$2,0)+6)=0,"",INDEX(Procesos!$A$1:$HZ$457,MATCH(Resumen!$A$3&amp;"     ITEM # "&amp;Resumen!G265,Procesos!$A:$A,0)+6,MATCH(Resumen!A265,Procesos!$2:$2,0)+6)),"")</f>
        <v/>
      </c>
    </row>
    <row r="266" spans="1:9" x14ac:dyDescent="0.25">
      <c r="A266" t="str">
        <f>IF(Pedidos!$BA267="Proceso",Pedidos!BB267,"")</f>
        <v/>
      </c>
      <c r="B266" t="str">
        <f>IF(Pedidos!$BA267="Proceso",Pedidos!BC267,"")</f>
        <v/>
      </c>
      <c r="C266" t="str">
        <f>IF(Pedidos!$BA267="Proceso",Pedidos!BD267,"")</f>
        <v/>
      </c>
      <c r="D266" s="490" t="str">
        <f>IF(Pedidos!$BA267="Proceso",Pedidos!BE267,"")</f>
        <v/>
      </c>
      <c r="E266" s="490" t="str">
        <f>IF($A266&lt;&gt;"",VLOOKUP($A266,Pedidos!$A$2:$I$9998,8,0),"")</f>
        <v/>
      </c>
      <c r="F266" s="490" t="str">
        <f>IF($A266&lt;&gt;"",VLOOKUP($A266,Pedidos!$A$2:$I$9998,9,0),"")</f>
        <v/>
      </c>
      <c r="H266" s="490" t="str">
        <f t="shared" si="7"/>
        <v/>
      </c>
      <c r="I266" s="490" t="str">
        <f>IFERROR(IF(INDEX(Procesos!$A$1:$HZ$457,MATCH(Resumen!$A$3&amp;"     ITEM # "&amp;Resumen!G266,Procesos!$A:$A,0)+6,MATCH(Resumen!A266,Procesos!$2:$2,0)+6)=0,"",INDEX(Procesos!$A$1:$HZ$457,MATCH(Resumen!$A$3&amp;"     ITEM # "&amp;Resumen!G266,Procesos!$A:$A,0)+6,MATCH(Resumen!A266,Procesos!$2:$2,0)+6)),"")</f>
        <v/>
      </c>
    </row>
    <row r="267" spans="1:9" x14ac:dyDescent="0.25">
      <c r="A267" t="str">
        <f>IF(Pedidos!$BA268="Proceso",Pedidos!BB268,"")</f>
        <v/>
      </c>
      <c r="B267" t="str">
        <f>IF(Pedidos!$BA268="Proceso",Pedidos!BC268,"")</f>
        <v/>
      </c>
      <c r="C267" t="str">
        <f>IF(Pedidos!$BA268="Proceso",Pedidos!BD268,"")</f>
        <v/>
      </c>
      <c r="D267" s="490" t="str">
        <f>IF(Pedidos!$BA268="Proceso",Pedidos!BE268,"")</f>
        <v/>
      </c>
      <c r="E267" s="490" t="str">
        <f>IF($A267&lt;&gt;"",VLOOKUP($A267,Pedidos!$A$2:$I$9998,8,0),"")</f>
        <v/>
      </c>
      <c r="F267" s="490" t="str">
        <f>IF($A267&lt;&gt;"",VLOOKUP($A267,Pedidos!$A$2:$I$9998,9,0),"")</f>
        <v/>
      </c>
      <c r="H267" s="490" t="str">
        <f t="shared" si="7"/>
        <v/>
      </c>
      <c r="I267" s="490" t="str">
        <f>IFERROR(IF(INDEX(Procesos!$A$1:$HZ$457,MATCH(Resumen!$A$3&amp;"     ITEM # "&amp;Resumen!G267,Procesos!$A:$A,0)+6,MATCH(Resumen!A267,Procesos!$2:$2,0)+6)=0,"",INDEX(Procesos!$A$1:$HZ$457,MATCH(Resumen!$A$3&amp;"     ITEM # "&amp;Resumen!G267,Procesos!$A:$A,0)+6,MATCH(Resumen!A267,Procesos!$2:$2,0)+6)),"")</f>
        <v/>
      </c>
    </row>
    <row r="268" spans="1:9" x14ac:dyDescent="0.25">
      <c r="A268" t="str">
        <f>IF(Pedidos!$BA269="Proceso",Pedidos!BB269,"")</f>
        <v/>
      </c>
      <c r="B268" t="str">
        <f>IF(Pedidos!$BA269="Proceso",Pedidos!BC269,"")</f>
        <v/>
      </c>
      <c r="C268" t="str">
        <f>IF(Pedidos!$BA269="Proceso",Pedidos!BD269,"")</f>
        <v/>
      </c>
      <c r="D268" s="490" t="str">
        <f>IF(Pedidos!$BA269="Proceso",Pedidos!BE269,"")</f>
        <v/>
      </c>
      <c r="E268" s="490" t="str">
        <f>IF($A268&lt;&gt;"",VLOOKUP($A268,Pedidos!$A$2:$I$9998,8,0),"")</f>
        <v/>
      </c>
      <c r="F268" s="490" t="str">
        <f>IF($A268&lt;&gt;"",VLOOKUP($A268,Pedidos!$A$2:$I$9998,9,0),"")</f>
        <v/>
      </c>
      <c r="H268" s="490" t="str">
        <f t="shared" si="7"/>
        <v/>
      </c>
      <c r="I268" s="490" t="str">
        <f>IFERROR(IF(INDEX(Procesos!$A$1:$HZ$457,MATCH(Resumen!$A$3&amp;"     ITEM # "&amp;Resumen!G268,Procesos!$A:$A,0)+6,MATCH(Resumen!A268,Procesos!$2:$2,0)+6)=0,"",INDEX(Procesos!$A$1:$HZ$457,MATCH(Resumen!$A$3&amp;"     ITEM # "&amp;Resumen!G268,Procesos!$A:$A,0)+6,MATCH(Resumen!A268,Procesos!$2:$2,0)+6)),"")</f>
        <v/>
      </c>
    </row>
    <row r="269" spans="1:9" x14ac:dyDescent="0.25">
      <c r="A269" t="str">
        <f>IF(Pedidos!$BA270="Proceso",Pedidos!BB270,"")</f>
        <v/>
      </c>
      <c r="B269" t="str">
        <f>IF(Pedidos!$BA270="Proceso",Pedidos!BC270,"")</f>
        <v/>
      </c>
      <c r="C269" t="str">
        <f>IF(Pedidos!$BA270="Proceso",Pedidos!BD270,"")</f>
        <v/>
      </c>
      <c r="D269" s="490" t="str">
        <f>IF(Pedidos!$BA270="Proceso",Pedidos!BE270,"")</f>
        <v/>
      </c>
      <c r="E269" s="490" t="str">
        <f>IF($A269&lt;&gt;"",VLOOKUP($A269,Pedidos!$A$2:$I$9998,8,0),"")</f>
        <v/>
      </c>
      <c r="F269" s="490" t="str">
        <f>IF($A269&lt;&gt;"",VLOOKUP($A269,Pedidos!$A$2:$I$9998,9,0),"")</f>
        <v/>
      </c>
      <c r="H269" s="490" t="str">
        <f t="shared" si="7"/>
        <v/>
      </c>
      <c r="I269" s="490" t="str">
        <f>IFERROR(IF(INDEX(Procesos!$A$1:$HZ$457,MATCH(Resumen!$A$3&amp;"     ITEM # "&amp;Resumen!G269,Procesos!$A:$A,0)+6,MATCH(Resumen!A269,Procesos!$2:$2,0)+6)=0,"",INDEX(Procesos!$A$1:$HZ$457,MATCH(Resumen!$A$3&amp;"     ITEM # "&amp;Resumen!G269,Procesos!$A:$A,0)+6,MATCH(Resumen!A269,Procesos!$2:$2,0)+6)),"")</f>
        <v/>
      </c>
    </row>
    <row r="270" spans="1:9" x14ac:dyDescent="0.25">
      <c r="A270" t="str">
        <f>IF(Pedidos!$BA271="Proceso",Pedidos!BB271,"")</f>
        <v/>
      </c>
      <c r="B270" t="str">
        <f>IF(Pedidos!$BA271="Proceso",Pedidos!BC271,"")</f>
        <v/>
      </c>
      <c r="C270" t="str">
        <f>IF(Pedidos!$BA271="Proceso",Pedidos!BD271,"")</f>
        <v/>
      </c>
      <c r="D270" s="490" t="str">
        <f>IF(Pedidos!$BA271="Proceso",Pedidos!BE271,"")</f>
        <v/>
      </c>
      <c r="E270" s="490" t="str">
        <f>IF($A270&lt;&gt;"",VLOOKUP($A270,Pedidos!$A$2:$I$9998,8,0),"")</f>
        <v/>
      </c>
      <c r="F270" s="490" t="str">
        <f>IF($A270&lt;&gt;"",VLOOKUP($A270,Pedidos!$A$2:$I$9998,9,0),"")</f>
        <v/>
      </c>
      <c r="H270" s="490" t="str">
        <f t="shared" si="7"/>
        <v/>
      </c>
      <c r="I270" s="490" t="str">
        <f>IFERROR(IF(INDEX(Procesos!$A$1:$HZ$457,MATCH(Resumen!$A$3&amp;"     ITEM # "&amp;Resumen!G270,Procesos!$A:$A,0)+6,MATCH(Resumen!A270,Procesos!$2:$2,0)+6)=0,"",INDEX(Procesos!$A$1:$HZ$457,MATCH(Resumen!$A$3&amp;"     ITEM # "&amp;Resumen!G270,Procesos!$A:$A,0)+6,MATCH(Resumen!A270,Procesos!$2:$2,0)+6)),"")</f>
        <v/>
      </c>
    </row>
    <row r="271" spans="1:9" x14ac:dyDescent="0.25">
      <c r="A271" t="str">
        <f>IF(Pedidos!$BA272="Proceso",Pedidos!BB272,"")</f>
        <v/>
      </c>
      <c r="B271" t="str">
        <f>IF(Pedidos!$BA272="Proceso",Pedidos!BC272,"")</f>
        <v/>
      </c>
      <c r="C271" t="str">
        <f>IF(Pedidos!$BA272="Proceso",Pedidos!BD272,"")</f>
        <v/>
      </c>
      <c r="D271" s="490" t="str">
        <f>IF(Pedidos!$BA272="Proceso",Pedidos!BE272,"")</f>
        <v/>
      </c>
      <c r="E271" s="490" t="str">
        <f>IF($A271&lt;&gt;"",VLOOKUP($A271,Pedidos!$A$2:$I$9998,8,0),"")</f>
        <v/>
      </c>
      <c r="F271" s="490" t="str">
        <f>IF($A271&lt;&gt;"",VLOOKUP($A271,Pedidos!$A$2:$I$9998,9,0),"")</f>
        <v/>
      </c>
      <c r="H271" s="490" t="str">
        <f t="shared" si="7"/>
        <v/>
      </c>
      <c r="I271" s="490" t="str">
        <f>IFERROR(IF(INDEX(Procesos!$A$1:$HZ$457,MATCH(Resumen!$A$3&amp;"     ITEM # "&amp;Resumen!G271,Procesos!$A:$A,0)+6,MATCH(Resumen!A271,Procesos!$2:$2,0)+6)=0,"",INDEX(Procesos!$A$1:$HZ$457,MATCH(Resumen!$A$3&amp;"     ITEM # "&amp;Resumen!G271,Procesos!$A:$A,0)+6,MATCH(Resumen!A271,Procesos!$2:$2,0)+6)),"")</f>
        <v/>
      </c>
    </row>
    <row r="272" spans="1:9" x14ac:dyDescent="0.25">
      <c r="A272" t="str">
        <f>IF(Pedidos!$BA273="Proceso",Pedidos!BB273,"")</f>
        <v/>
      </c>
      <c r="B272" t="str">
        <f>IF(Pedidos!$BA273="Proceso",Pedidos!BC273,"")</f>
        <v/>
      </c>
      <c r="C272" t="str">
        <f>IF(Pedidos!$BA273="Proceso",Pedidos!BD273,"")</f>
        <v/>
      </c>
      <c r="D272" s="490" t="str">
        <f>IF(Pedidos!$BA273="Proceso",Pedidos!BE273,"")</f>
        <v/>
      </c>
      <c r="E272" s="490" t="str">
        <f>IF($A272&lt;&gt;"",VLOOKUP($A272,Pedidos!$A$2:$I$9998,8,0),"")</f>
        <v/>
      </c>
      <c r="F272" s="490" t="str">
        <f>IF($A272&lt;&gt;"",VLOOKUP($A272,Pedidos!$A$2:$I$9998,9,0),"")</f>
        <v/>
      </c>
      <c r="H272" s="490" t="str">
        <f t="shared" si="7"/>
        <v/>
      </c>
      <c r="I272" s="490" t="str">
        <f>IFERROR(IF(INDEX(Procesos!$A$1:$HZ$457,MATCH(Resumen!$A$3&amp;"     ITEM # "&amp;Resumen!G272,Procesos!$A:$A,0)+6,MATCH(Resumen!A272,Procesos!$2:$2,0)+6)=0,"",INDEX(Procesos!$A$1:$HZ$457,MATCH(Resumen!$A$3&amp;"     ITEM # "&amp;Resumen!G272,Procesos!$A:$A,0)+6,MATCH(Resumen!A272,Procesos!$2:$2,0)+6)),"")</f>
        <v/>
      </c>
    </row>
    <row r="273" spans="1:9" x14ac:dyDescent="0.25">
      <c r="A273" t="str">
        <f>IF(Pedidos!$BA274="Proceso",Pedidos!BB274,"")</f>
        <v/>
      </c>
      <c r="B273" t="str">
        <f>IF(Pedidos!$BA274="Proceso",Pedidos!BC274,"")</f>
        <v/>
      </c>
      <c r="C273" t="str">
        <f>IF(Pedidos!$BA274="Proceso",Pedidos!BD274,"")</f>
        <v/>
      </c>
      <c r="D273" s="490" t="str">
        <f>IF(Pedidos!$BA274="Proceso",Pedidos!BE274,"")</f>
        <v/>
      </c>
      <c r="E273" s="490" t="str">
        <f>IF($A273&lt;&gt;"",VLOOKUP($A273,Pedidos!$A$2:$I$9998,8,0),"")</f>
        <v/>
      </c>
      <c r="F273" s="490" t="str">
        <f>IF($A273&lt;&gt;"",VLOOKUP($A273,Pedidos!$A$2:$I$9998,9,0),"")</f>
        <v/>
      </c>
      <c r="H273" s="490" t="str">
        <f t="shared" si="7"/>
        <v/>
      </c>
      <c r="I273" s="490" t="str">
        <f>IFERROR(IF(INDEX(Procesos!$A$1:$HZ$457,MATCH(Resumen!$A$3&amp;"     ITEM # "&amp;Resumen!G273,Procesos!$A:$A,0)+6,MATCH(Resumen!A273,Procesos!$2:$2,0)+6)=0,"",INDEX(Procesos!$A$1:$HZ$457,MATCH(Resumen!$A$3&amp;"     ITEM # "&amp;Resumen!G273,Procesos!$A:$A,0)+6,MATCH(Resumen!A273,Procesos!$2:$2,0)+6)),"")</f>
        <v/>
      </c>
    </row>
    <row r="274" spans="1:9" x14ac:dyDescent="0.25">
      <c r="A274" t="str">
        <f>IF(Pedidos!$BA275="Proceso",Pedidos!BB275,"")</f>
        <v/>
      </c>
      <c r="B274" t="str">
        <f>IF(Pedidos!$BA275="Proceso",Pedidos!BC275,"")</f>
        <v/>
      </c>
      <c r="C274" t="str">
        <f>IF(Pedidos!$BA275="Proceso",Pedidos!BD275,"")</f>
        <v/>
      </c>
      <c r="D274" s="490" t="str">
        <f>IF(Pedidos!$BA275="Proceso",Pedidos!BE275,"")</f>
        <v/>
      </c>
      <c r="E274" s="490" t="str">
        <f>IF($A274&lt;&gt;"",VLOOKUP($A274,Pedidos!$A$2:$I$9998,8,0),"")</f>
        <v/>
      </c>
      <c r="F274" s="490" t="str">
        <f>IF($A274&lt;&gt;"",VLOOKUP($A274,Pedidos!$A$2:$I$9998,9,0),"")</f>
        <v/>
      </c>
      <c r="H274" s="490" t="str">
        <f t="shared" si="7"/>
        <v/>
      </c>
      <c r="I274" s="490" t="str">
        <f>IFERROR(IF(INDEX(Procesos!$A$1:$HZ$457,MATCH(Resumen!$A$3&amp;"     ITEM # "&amp;Resumen!G274,Procesos!$A:$A,0)+6,MATCH(Resumen!A274,Procesos!$2:$2,0)+6)=0,"",INDEX(Procesos!$A$1:$HZ$457,MATCH(Resumen!$A$3&amp;"     ITEM # "&amp;Resumen!G274,Procesos!$A:$A,0)+6,MATCH(Resumen!A274,Procesos!$2:$2,0)+6)),"")</f>
        <v/>
      </c>
    </row>
    <row r="275" spans="1:9" x14ac:dyDescent="0.25">
      <c r="A275" t="str">
        <f>IF(Pedidos!$BA276="Proceso",Pedidos!BB276,"")</f>
        <v/>
      </c>
      <c r="B275" t="str">
        <f>IF(Pedidos!$BA276="Proceso",Pedidos!BC276,"")</f>
        <v/>
      </c>
      <c r="C275" t="str">
        <f>IF(Pedidos!$BA276="Proceso",Pedidos!BD276,"")</f>
        <v/>
      </c>
      <c r="D275" s="490" t="str">
        <f>IF(Pedidos!$BA276="Proceso",Pedidos!BE276,"")</f>
        <v/>
      </c>
      <c r="E275" s="490" t="str">
        <f>IF($A275&lt;&gt;"",VLOOKUP($A275,Pedidos!$A$2:$I$9998,8,0),"")</f>
        <v/>
      </c>
      <c r="F275" s="490" t="str">
        <f>IF($A275&lt;&gt;"",VLOOKUP($A275,Pedidos!$A$2:$I$9998,9,0),"")</f>
        <v/>
      </c>
      <c r="H275" s="490" t="str">
        <f t="shared" si="7"/>
        <v/>
      </c>
      <c r="I275" s="490" t="str">
        <f>IFERROR(IF(INDEX(Procesos!$A$1:$HZ$457,MATCH(Resumen!$A$3&amp;"     ITEM # "&amp;Resumen!G275,Procesos!$A:$A,0)+6,MATCH(Resumen!A275,Procesos!$2:$2,0)+6)=0,"",INDEX(Procesos!$A$1:$HZ$457,MATCH(Resumen!$A$3&amp;"     ITEM # "&amp;Resumen!G275,Procesos!$A:$A,0)+6,MATCH(Resumen!A275,Procesos!$2:$2,0)+6)),"")</f>
        <v/>
      </c>
    </row>
    <row r="276" spans="1:9" x14ac:dyDescent="0.25">
      <c r="A276" t="str">
        <f>IF(Pedidos!$BA277="Proceso",Pedidos!BB277,"")</f>
        <v/>
      </c>
      <c r="B276" t="str">
        <f>IF(Pedidos!$BA277="Proceso",Pedidos!BC277,"")</f>
        <v/>
      </c>
      <c r="C276" t="str">
        <f>IF(Pedidos!$BA277="Proceso",Pedidos!BD277,"")</f>
        <v/>
      </c>
      <c r="D276" s="490" t="str">
        <f>IF(Pedidos!$BA277="Proceso",Pedidos!BE277,"")</f>
        <v/>
      </c>
      <c r="E276" s="490" t="str">
        <f>IF($A276&lt;&gt;"",VLOOKUP($A276,Pedidos!$A$2:$I$9998,8,0),"")</f>
        <v/>
      </c>
      <c r="F276" s="490" t="str">
        <f>IF($A276&lt;&gt;"",VLOOKUP($A276,Pedidos!$A$2:$I$9998,9,0),"")</f>
        <v/>
      </c>
      <c r="H276" s="490" t="str">
        <f t="shared" si="7"/>
        <v/>
      </c>
      <c r="I276" s="490" t="str">
        <f>IFERROR(IF(INDEX(Procesos!$A$1:$HZ$457,MATCH(Resumen!$A$3&amp;"     ITEM # "&amp;Resumen!G276,Procesos!$A:$A,0)+6,MATCH(Resumen!A276,Procesos!$2:$2,0)+6)=0,"",INDEX(Procesos!$A$1:$HZ$457,MATCH(Resumen!$A$3&amp;"     ITEM # "&amp;Resumen!G276,Procesos!$A:$A,0)+6,MATCH(Resumen!A276,Procesos!$2:$2,0)+6)),"")</f>
        <v/>
      </c>
    </row>
    <row r="277" spans="1:9" x14ac:dyDescent="0.25">
      <c r="A277" t="str">
        <f>IF(Pedidos!$BA278="Proceso",Pedidos!BB278,"")</f>
        <v/>
      </c>
      <c r="B277" t="str">
        <f>IF(Pedidos!$BA278="Proceso",Pedidos!BC278,"")</f>
        <v/>
      </c>
      <c r="C277" t="str">
        <f>IF(Pedidos!$BA278="Proceso",Pedidos!BD278,"")</f>
        <v/>
      </c>
      <c r="D277" s="490" t="str">
        <f>IF(Pedidos!$BA278="Proceso",Pedidos!BE278,"")</f>
        <v/>
      </c>
      <c r="E277" s="490" t="str">
        <f>IF($A277&lt;&gt;"",VLOOKUP($A277,Pedidos!$A$2:$I$9998,8,0),"")</f>
        <v/>
      </c>
      <c r="F277" s="490" t="str">
        <f>IF($A277&lt;&gt;"",VLOOKUP($A277,Pedidos!$A$2:$I$9998,9,0),"")</f>
        <v/>
      </c>
      <c r="H277" s="490" t="str">
        <f t="shared" si="7"/>
        <v/>
      </c>
      <c r="I277" s="490" t="str">
        <f>IFERROR(IF(INDEX(Procesos!$A$1:$HZ$457,MATCH(Resumen!$A$3&amp;"     ITEM # "&amp;Resumen!G277,Procesos!$A:$A,0)+6,MATCH(Resumen!A277,Procesos!$2:$2,0)+6)=0,"",INDEX(Procesos!$A$1:$HZ$457,MATCH(Resumen!$A$3&amp;"     ITEM # "&amp;Resumen!G277,Procesos!$A:$A,0)+6,MATCH(Resumen!A277,Procesos!$2:$2,0)+6)),"")</f>
        <v/>
      </c>
    </row>
    <row r="278" spans="1:9" x14ac:dyDescent="0.25">
      <c r="A278" t="str">
        <f>IF(Pedidos!$BA279="Proceso",Pedidos!BB279,"")</f>
        <v/>
      </c>
      <c r="B278" t="str">
        <f>IF(Pedidos!$BA279="Proceso",Pedidos!BC279,"")</f>
        <v/>
      </c>
      <c r="C278" t="str">
        <f>IF(Pedidos!$BA279="Proceso",Pedidos!BD279,"")</f>
        <v/>
      </c>
      <c r="D278" s="490" t="str">
        <f>IF(Pedidos!$BA279="Proceso",Pedidos!BE279,"")</f>
        <v/>
      </c>
      <c r="E278" s="490" t="str">
        <f>IF($A278&lt;&gt;"",VLOOKUP($A278,Pedidos!$A$2:$I$9998,8,0),"")</f>
        <v/>
      </c>
      <c r="F278" s="490" t="str">
        <f>IF($A278&lt;&gt;"",VLOOKUP($A278,Pedidos!$A$2:$I$9998,9,0),"")</f>
        <v/>
      </c>
      <c r="H278" s="490" t="str">
        <f t="shared" si="7"/>
        <v/>
      </c>
      <c r="I278" s="490" t="str">
        <f>IFERROR(IF(INDEX(Procesos!$A$1:$HZ$457,MATCH(Resumen!$A$3&amp;"     ITEM # "&amp;Resumen!G278,Procesos!$A:$A,0)+6,MATCH(Resumen!A278,Procesos!$2:$2,0)+6)=0,"",INDEX(Procesos!$A$1:$HZ$457,MATCH(Resumen!$A$3&amp;"     ITEM # "&amp;Resumen!G278,Procesos!$A:$A,0)+6,MATCH(Resumen!A278,Procesos!$2:$2,0)+6)),"")</f>
        <v/>
      </c>
    </row>
    <row r="279" spans="1:9" x14ac:dyDescent="0.25">
      <c r="A279" t="str">
        <f>IF(Pedidos!$BA280="Proceso",Pedidos!BB280,"")</f>
        <v/>
      </c>
      <c r="B279" t="str">
        <f>IF(Pedidos!$BA280="Proceso",Pedidos!BC280,"")</f>
        <v/>
      </c>
      <c r="C279" t="str">
        <f>IF(Pedidos!$BA280="Proceso",Pedidos!BD280,"")</f>
        <v/>
      </c>
      <c r="D279" s="490" t="str">
        <f>IF(Pedidos!$BA280="Proceso",Pedidos!BE280,"")</f>
        <v/>
      </c>
      <c r="E279" s="490" t="str">
        <f>IF($A279&lt;&gt;"",VLOOKUP($A279,Pedidos!$A$2:$I$9998,8,0),"")</f>
        <v/>
      </c>
      <c r="F279" s="490" t="str">
        <f>IF($A279&lt;&gt;"",VLOOKUP($A279,Pedidos!$A$2:$I$9998,9,0),"")</f>
        <v/>
      </c>
      <c r="H279" s="490" t="str">
        <f t="shared" si="7"/>
        <v/>
      </c>
      <c r="I279" s="490" t="str">
        <f>IFERROR(IF(INDEX(Procesos!$A$1:$HZ$457,MATCH(Resumen!$A$3&amp;"     ITEM # "&amp;Resumen!G279,Procesos!$A:$A,0)+6,MATCH(Resumen!A279,Procesos!$2:$2,0)+6)=0,"",INDEX(Procesos!$A$1:$HZ$457,MATCH(Resumen!$A$3&amp;"     ITEM # "&amp;Resumen!G279,Procesos!$A:$A,0)+6,MATCH(Resumen!A279,Procesos!$2:$2,0)+6)),"")</f>
        <v/>
      </c>
    </row>
    <row r="280" spans="1:9" x14ac:dyDescent="0.25">
      <c r="A280" t="str">
        <f>IF(Pedidos!$BA281="Proceso",Pedidos!BB281,"")</f>
        <v/>
      </c>
      <c r="B280" t="str">
        <f>IF(Pedidos!$BA281="Proceso",Pedidos!BC281,"")</f>
        <v/>
      </c>
      <c r="C280" t="str">
        <f>IF(Pedidos!$BA281="Proceso",Pedidos!BD281,"")</f>
        <v/>
      </c>
      <c r="D280" s="490" t="str">
        <f>IF(Pedidos!$BA281="Proceso",Pedidos!BE281,"")</f>
        <v/>
      </c>
      <c r="E280" s="490" t="str">
        <f>IF($A280&lt;&gt;"",VLOOKUP($A280,Pedidos!$A$2:$I$9998,8,0),"")</f>
        <v/>
      </c>
      <c r="F280" s="490" t="str">
        <f>IF($A280&lt;&gt;"",VLOOKUP($A280,Pedidos!$A$2:$I$9998,9,0),"")</f>
        <v/>
      </c>
      <c r="H280" s="490" t="str">
        <f t="shared" si="7"/>
        <v/>
      </c>
      <c r="I280" s="490" t="str">
        <f>IFERROR(IF(INDEX(Procesos!$A$1:$HZ$457,MATCH(Resumen!$A$3&amp;"     ITEM # "&amp;Resumen!G280,Procesos!$A:$A,0)+6,MATCH(Resumen!A280,Procesos!$2:$2,0)+6)=0,"",INDEX(Procesos!$A$1:$HZ$457,MATCH(Resumen!$A$3&amp;"     ITEM # "&amp;Resumen!G280,Procesos!$A:$A,0)+6,MATCH(Resumen!A280,Procesos!$2:$2,0)+6)),"")</f>
        <v/>
      </c>
    </row>
    <row r="281" spans="1:9" x14ac:dyDescent="0.25">
      <c r="A281" t="str">
        <f>IF(Pedidos!$BA282="Proceso",Pedidos!BB282,"")</f>
        <v/>
      </c>
      <c r="B281" t="str">
        <f>IF(Pedidos!$BA282="Proceso",Pedidos!BC282,"")</f>
        <v/>
      </c>
      <c r="C281" t="str">
        <f>IF(Pedidos!$BA282="Proceso",Pedidos!BD282,"")</f>
        <v/>
      </c>
      <c r="D281" s="490" t="str">
        <f>IF(Pedidos!$BA282="Proceso",Pedidos!BE282,"")</f>
        <v/>
      </c>
      <c r="E281" s="490" t="str">
        <f>IF($A281&lt;&gt;"",VLOOKUP($A281,Pedidos!$A$2:$I$9998,8,0),"")</f>
        <v/>
      </c>
      <c r="F281" s="490" t="str">
        <f>IF($A281&lt;&gt;"",VLOOKUP($A281,Pedidos!$A$2:$I$9998,9,0),"")</f>
        <v/>
      </c>
      <c r="H281" s="490" t="str">
        <f t="shared" si="7"/>
        <v/>
      </c>
      <c r="I281" s="490" t="str">
        <f>IFERROR(IF(INDEX(Procesos!$A$1:$HZ$457,MATCH(Resumen!$A$3&amp;"     ITEM # "&amp;Resumen!G281,Procesos!$A:$A,0)+6,MATCH(Resumen!A281,Procesos!$2:$2,0)+6)=0,"",INDEX(Procesos!$A$1:$HZ$457,MATCH(Resumen!$A$3&amp;"     ITEM # "&amp;Resumen!G281,Procesos!$A:$A,0)+6,MATCH(Resumen!A281,Procesos!$2:$2,0)+6)),"")</f>
        <v/>
      </c>
    </row>
    <row r="282" spans="1:9" x14ac:dyDescent="0.25">
      <c r="A282" t="str">
        <f>IF(Pedidos!$BA283="Proceso",Pedidos!BB283,"")</f>
        <v/>
      </c>
      <c r="B282" t="str">
        <f>IF(Pedidos!$BA283="Proceso",Pedidos!BC283,"")</f>
        <v/>
      </c>
      <c r="C282" t="str">
        <f>IF(Pedidos!$BA283="Proceso",Pedidos!BD283,"")</f>
        <v/>
      </c>
      <c r="D282" s="490" t="str">
        <f>IF(Pedidos!$BA283="Proceso",Pedidos!BE283,"")</f>
        <v/>
      </c>
      <c r="E282" s="490" t="str">
        <f>IF($A282&lt;&gt;"",VLOOKUP($A282,Pedidos!$A$2:$I$9998,8,0),"")</f>
        <v/>
      </c>
      <c r="F282" s="490" t="str">
        <f>IF($A282&lt;&gt;"",VLOOKUP($A282,Pedidos!$A$2:$I$9998,9,0),"")</f>
        <v/>
      </c>
      <c r="H282" s="490" t="str">
        <f t="shared" si="7"/>
        <v/>
      </c>
      <c r="I282" s="490" t="str">
        <f>IFERROR(IF(INDEX(Procesos!$A$1:$HZ$457,MATCH(Resumen!$A$3&amp;"     ITEM # "&amp;Resumen!G282,Procesos!$A:$A,0)+6,MATCH(Resumen!A282,Procesos!$2:$2,0)+6)=0,"",INDEX(Procesos!$A$1:$HZ$457,MATCH(Resumen!$A$3&amp;"     ITEM # "&amp;Resumen!G282,Procesos!$A:$A,0)+6,MATCH(Resumen!A282,Procesos!$2:$2,0)+6)),"")</f>
        <v/>
      </c>
    </row>
    <row r="283" spans="1:9" x14ac:dyDescent="0.25">
      <c r="A283" t="str">
        <f>IF(Pedidos!$BA284="Proceso",Pedidos!BB284,"")</f>
        <v/>
      </c>
      <c r="B283" t="str">
        <f>IF(Pedidos!$BA284="Proceso",Pedidos!BC284,"")</f>
        <v/>
      </c>
      <c r="C283" t="str">
        <f>IF(Pedidos!$BA284="Proceso",Pedidos!BD284,"")</f>
        <v/>
      </c>
      <c r="D283" s="490" t="str">
        <f>IF(Pedidos!$BA284="Proceso",Pedidos!BE284,"")</f>
        <v/>
      </c>
      <c r="E283" s="490" t="str">
        <f>IF($A283&lt;&gt;"",VLOOKUP($A283,Pedidos!$A$2:$I$9998,8,0),"")</f>
        <v/>
      </c>
      <c r="F283" s="490" t="str">
        <f>IF($A283&lt;&gt;"",VLOOKUP($A283,Pedidos!$A$2:$I$9998,9,0),"")</f>
        <v/>
      </c>
      <c r="H283" s="490" t="str">
        <f t="shared" si="7"/>
        <v/>
      </c>
      <c r="I283" s="490" t="str">
        <f>IFERROR(IF(INDEX(Procesos!$A$1:$HZ$457,MATCH(Resumen!$A$3&amp;"     ITEM # "&amp;Resumen!G283,Procesos!$A:$A,0)+6,MATCH(Resumen!A283,Procesos!$2:$2,0)+6)=0,"",INDEX(Procesos!$A$1:$HZ$457,MATCH(Resumen!$A$3&amp;"     ITEM # "&amp;Resumen!G283,Procesos!$A:$A,0)+6,MATCH(Resumen!A283,Procesos!$2:$2,0)+6)),"")</f>
        <v/>
      </c>
    </row>
    <row r="284" spans="1:9" x14ac:dyDescent="0.25">
      <c r="A284" t="str">
        <f>IF(Pedidos!$BA285="Proceso",Pedidos!BB285,"")</f>
        <v/>
      </c>
      <c r="B284" t="str">
        <f>IF(Pedidos!$BA285="Proceso",Pedidos!BC285,"")</f>
        <v/>
      </c>
      <c r="C284" t="str">
        <f>IF(Pedidos!$BA285="Proceso",Pedidos!BD285,"")</f>
        <v/>
      </c>
      <c r="D284" s="490" t="str">
        <f>IF(Pedidos!$BA285="Proceso",Pedidos!BE285,"")</f>
        <v/>
      </c>
      <c r="E284" s="490" t="str">
        <f>IF($A284&lt;&gt;"",VLOOKUP($A284,Pedidos!$A$2:$I$9998,8,0),"")</f>
        <v/>
      </c>
      <c r="F284" s="490" t="str">
        <f>IF($A284&lt;&gt;"",VLOOKUP($A284,Pedidos!$A$2:$I$9998,9,0),"")</f>
        <v/>
      </c>
      <c r="H284" s="490" t="str">
        <f t="shared" si="7"/>
        <v/>
      </c>
      <c r="I284" s="490" t="str">
        <f>IFERROR(IF(INDEX(Procesos!$A$1:$HZ$457,MATCH(Resumen!$A$3&amp;"     ITEM # "&amp;Resumen!G284,Procesos!$A:$A,0)+6,MATCH(Resumen!A284,Procesos!$2:$2,0)+6)=0,"",INDEX(Procesos!$A$1:$HZ$457,MATCH(Resumen!$A$3&amp;"     ITEM # "&amp;Resumen!G284,Procesos!$A:$A,0)+6,MATCH(Resumen!A284,Procesos!$2:$2,0)+6)),"")</f>
        <v/>
      </c>
    </row>
    <row r="285" spans="1:9" x14ac:dyDescent="0.25">
      <c r="A285" t="str">
        <f>IF(Pedidos!$BA286="Proceso",Pedidos!BB286,"")</f>
        <v/>
      </c>
      <c r="B285" t="str">
        <f>IF(Pedidos!$BA286="Proceso",Pedidos!BC286,"")</f>
        <v/>
      </c>
      <c r="C285" t="str">
        <f>IF(Pedidos!$BA286="Proceso",Pedidos!BD286,"")</f>
        <v/>
      </c>
      <c r="D285" s="490" t="str">
        <f>IF(Pedidos!$BA286="Proceso",Pedidos!BE286,"")</f>
        <v/>
      </c>
      <c r="E285" s="490" t="str">
        <f>IF($A285&lt;&gt;"",VLOOKUP($A285,Pedidos!$A$2:$I$9998,8,0),"")</f>
        <v/>
      </c>
      <c r="F285" s="490" t="str">
        <f>IF($A285&lt;&gt;"",VLOOKUP($A285,Pedidos!$A$2:$I$9998,9,0),"")</f>
        <v/>
      </c>
      <c r="H285" s="490" t="str">
        <f t="shared" si="7"/>
        <v/>
      </c>
      <c r="I285" s="490" t="str">
        <f>IFERROR(IF(INDEX(Procesos!$A$1:$HZ$457,MATCH(Resumen!$A$3&amp;"     ITEM # "&amp;Resumen!G285,Procesos!$A:$A,0)+6,MATCH(Resumen!A285,Procesos!$2:$2,0)+6)=0,"",INDEX(Procesos!$A$1:$HZ$457,MATCH(Resumen!$A$3&amp;"     ITEM # "&amp;Resumen!G285,Procesos!$A:$A,0)+6,MATCH(Resumen!A285,Procesos!$2:$2,0)+6)),"")</f>
        <v/>
      </c>
    </row>
    <row r="286" spans="1:9" x14ac:dyDescent="0.25">
      <c r="A286" t="str">
        <f>IF(Pedidos!$BA287="Proceso",Pedidos!BB287,"")</f>
        <v/>
      </c>
      <c r="B286" t="str">
        <f>IF(Pedidos!$BA287="Proceso",Pedidos!BC287,"")</f>
        <v/>
      </c>
      <c r="C286" t="str">
        <f>IF(Pedidos!$BA287="Proceso",Pedidos!BD287,"")</f>
        <v/>
      </c>
      <c r="D286" s="490" t="str">
        <f>IF(Pedidos!$BA287="Proceso",Pedidos!BE287,"")</f>
        <v/>
      </c>
      <c r="E286" s="490" t="str">
        <f>IF($A286&lt;&gt;"",VLOOKUP($A286,Pedidos!$A$2:$I$9998,8,0),"")</f>
        <v/>
      </c>
      <c r="F286" s="490" t="str">
        <f>IF($A286&lt;&gt;"",VLOOKUP($A286,Pedidos!$A$2:$I$9998,9,0),"")</f>
        <v/>
      </c>
      <c r="H286" s="490" t="str">
        <f t="shared" si="7"/>
        <v/>
      </c>
      <c r="I286" s="490" t="str">
        <f>IFERROR(IF(INDEX(Procesos!$A$1:$HZ$457,MATCH(Resumen!$A$3&amp;"     ITEM # "&amp;Resumen!G286,Procesos!$A:$A,0)+6,MATCH(Resumen!A286,Procesos!$2:$2,0)+6)=0,"",INDEX(Procesos!$A$1:$HZ$457,MATCH(Resumen!$A$3&amp;"     ITEM # "&amp;Resumen!G286,Procesos!$A:$A,0)+6,MATCH(Resumen!A286,Procesos!$2:$2,0)+6)),"")</f>
        <v/>
      </c>
    </row>
    <row r="287" spans="1:9" x14ac:dyDescent="0.25">
      <c r="A287" t="str">
        <f>IF(Pedidos!$BA288="Proceso",Pedidos!BB288,"")</f>
        <v/>
      </c>
      <c r="B287" t="str">
        <f>IF(Pedidos!$BA288="Proceso",Pedidos!BC288,"")</f>
        <v/>
      </c>
      <c r="C287" t="str">
        <f>IF(Pedidos!$BA288="Proceso",Pedidos!BD288,"")</f>
        <v/>
      </c>
      <c r="D287" s="490" t="str">
        <f>IF(Pedidos!$BA288="Proceso",Pedidos!BE288,"")</f>
        <v/>
      </c>
      <c r="E287" s="490" t="str">
        <f>IF($A287&lt;&gt;"",VLOOKUP($A287,Pedidos!$A$2:$I$9998,8,0),"")</f>
        <v/>
      </c>
      <c r="F287" s="490" t="str">
        <f>IF($A287&lt;&gt;"",VLOOKUP($A287,Pedidos!$A$2:$I$9998,9,0),"")</f>
        <v/>
      </c>
      <c r="H287" s="490" t="str">
        <f t="shared" si="7"/>
        <v/>
      </c>
      <c r="I287" s="490" t="str">
        <f>IFERROR(IF(INDEX(Procesos!$A$1:$HZ$457,MATCH(Resumen!$A$3&amp;"     ITEM # "&amp;Resumen!G287,Procesos!$A:$A,0)+6,MATCH(Resumen!A287,Procesos!$2:$2,0)+6)=0,"",INDEX(Procesos!$A$1:$HZ$457,MATCH(Resumen!$A$3&amp;"     ITEM # "&amp;Resumen!G287,Procesos!$A:$A,0)+6,MATCH(Resumen!A287,Procesos!$2:$2,0)+6)),"")</f>
        <v/>
      </c>
    </row>
    <row r="288" spans="1:9" x14ac:dyDescent="0.25">
      <c r="A288" t="str">
        <f>IF(Pedidos!$BA289="Proceso",Pedidos!BB289,"")</f>
        <v/>
      </c>
      <c r="B288" t="str">
        <f>IF(Pedidos!$BA289="Proceso",Pedidos!BC289,"")</f>
        <v/>
      </c>
      <c r="C288" t="str">
        <f>IF(Pedidos!$BA289="Proceso",Pedidos!BD289,"")</f>
        <v/>
      </c>
      <c r="D288" s="490" t="str">
        <f>IF(Pedidos!$BA289="Proceso",Pedidos!BE289,"")</f>
        <v/>
      </c>
      <c r="E288" s="490" t="str">
        <f>IF($A288&lt;&gt;"",VLOOKUP($A288,Pedidos!$A$2:$I$9998,8,0),"")</f>
        <v/>
      </c>
      <c r="F288" s="490" t="str">
        <f>IF($A288&lt;&gt;"",VLOOKUP($A288,Pedidos!$A$2:$I$9998,9,0),"")</f>
        <v/>
      </c>
      <c r="H288" s="490" t="str">
        <f t="shared" si="7"/>
        <v/>
      </c>
      <c r="I288" s="490" t="str">
        <f>IFERROR(IF(INDEX(Procesos!$A$1:$HZ$457,MATCH(Resumen!$A$3&amp;"     ITEM # "&amp;Resumen!G288,Procesos!$A:$A,0)+6,MATCH(Resumen!A288,Procesos!$2:$2,0)+6)=0,"",INDEX(Procesos!$A$1:$HZ$457,MATCH(Resumen!$A$3&amp;"     ITEM # "&amp;Resumen!G288,Procesos!$A:$A,0)+6,MATCH(Resumen!A288,Procesos!$2:$2,0)+6)),"")</f>
        <v/>
      </c>
    </row>
    <row r="289" spans="1:9" x14ac:dyDescent="0.25">
      <c r="A289" t="str">
        <f>IF(Pedidos!$BA290="Proceso",Pedidos!BB290,"")</f>
        <v/>
      </c>
      <c r="B289" t="str">
        <f>IF(Pedidos!$BA290="Proceso",Pedidos!BC290,"")</f>
        <v/>
      </c>
      <c r="C289" t="str">
        <f>IF(Pedidos!$BA290="Proceso",Pedidos!BD290,"")</f>
        <v/>
      </c>
      <c r="D289" s="490" t="str">
        <f>IF(Pedidos!$BA290="Proceso",Pedidos!BE290,"")</f>
        <v/>
      </c>
      <c r="E289" s="490" t="str">
        <f>IF($A289&lt;&gt;"",VLOOKUP($A289,Pedidos!$A$2:$I$9998,8,0),"")</f>
        <v/>
      </c>
      <c r="F289" s="490" t="str">
        <f>IF($A289&lt;&gt;"",VLOOKUP($A289,Pedidos!$A$2:$I$9998,9,0),"")</f>
        <v/>
      </c>
      <c r="H289" s="490" t="str">
        <f t="shared" si="7"/>
        <v/>
      </c>
      <c r="I289" s="490" t="str">
        <f>IFERROR(IF(INDEX(Procesos!$A$1:$HZ$457,MATCH(Resumen!$A$3&amp;"     ITEM # "&amp;Resumen!G289,Procesos!$A:$A,0)+6,MATCH(Resumen!A289,Procesos!$2:$2,0)+6)=0,"",INDEX(Procesos!$A$1:$HZ$457,MATCH(Resumen!$A$3&amp;"     ITEM # "&amp;Resumen!G289,Procesos!$A:$A,0)+6,MATCH(Resumen!A289,Procesos!$2:$2,0)+6)),"")</f>
        <v/>
      </c>
    </row>
    <row r="290" spans="1:9" x14ac:dyDescent="0.25">
      <c r="A290" t="str">
        <f>IF(Pedidos!$BA291="Proceso",Pedidos!BB291,"")</f>
        <v/>
      </c>
      <c r="B290" t="str">
        <f>IF(Pedidos!$BA291="Proceso",Pedidos!BC291,"")</f>
        <v/>
      </c>
      <c r="C290" t="str">
        <f>IF(Pedidos!$BA291="Proceso",Pedidos!BD291,"")</f>
        <v/>
      </c>
      <c r="D290" s="490" t="str">
        <f>IF(Pedidos!$BA291="Proceso",Pedidos!BE291,"")</f>
        <v/>
      </c>
      <c r="E290" s="490" t="str">
        <f>IF($A290&lt;&gt;"",VLOOKUP($A290,Pedidos!$A$2:$I$9998,8,0),"")</f>
        <v/>
      </c>
      <c r="F290" s="490" t="str">
        <f>IF($A290&lt;&gt;"",VLOOKUP($A290,Pedidos!$A$2:$I$9998,9,0),"")</f>
        <v/>
      </c>
      <c r="H290" s="490" t="str">
        <f t="shared" si="7"/>
        <v/>
      </c>
      <c r="I290" s="490" t="str">
        <f>IFERROR(IF(INDEX(Procesos!$A$1:$HZ$457,MATCH(Resumen!$A$3&amp;"     ITEM # "&amp;Resumen!G290,Procesos!$A:$A,0)+6,MATCH(Resumen!A290,Procesos!$2:$2,0)+6)=0,"",INDEX(Procesos!$A$1:$HZ$457,MATCH(Resumen!$A$3&amp;"     ITEM # "&amp;Resumen!G290,Procesos!$A:$A,0)+6,MATCH(Resumen!A290,Procesos!$2:$2,0)+6)),"")</f>
        <v/>
      </c>
    </row>
    <row r="291" spans="1:9" x14ac:dyDescent="0.25">
      <c r="A291" t="str">
        <f>IF(Pedidos!$BA292="Proceso",Pedidos!BB292,"")</f>
        <v/>
      </c>
      <c r="B291" t="str">
        <f>IF(Pedidos!$BA292="Proceso",Pedidos!BC292,"")</f>
        <v/>
      </c>
      <c r="C291" t="str">
        <f>IF(Pedidos!$BA292="Proceso",Pedidos!BD292,"")</f>
        <v/>
      </c>
      <c r="D291" s="490" t="str">
        <f>IF(Pedidos!$BA292="Proceso",Pedidos!BE292,"")</f>
        <v/>
      </c>
      <c r="E291" s="490" t="str">
        <f>IF($A291&lt;&gt;"",VLOOKUP($A291,Pedidos!$A$2:$I$9998,8,0),"")</f>
        <v/>
      </c>
      <c r="F291" s="490" t="str">
        <f>IF($A291&lt;&gt;"",VLOOKUP($A291,Pedidos!$A$2:$I$9998,9,0),"")</f>
        <v/>
      </c>
      <c r="H291" s="490" t="str">
        <f t="shared" si="7"/>
        <v/>
      </c>
      <c r="I291" s="490" t="str">
        <f>IFERROR(IF(INDEX(Procesos!$A$1:$HZ$457,MATCH(Resumen!$A$3&amp;"     ITEM # "&amp;Resumen!G291,Procesos!$A:$A,0)+6,MATCH(Resumen!A291,Procesos!$2:$2,0)+6)=0,"",INDEX(Procesos!$A$1:$HZ$457,MATCH(Resumen!$A$3&amp;"     ITEM # "&amp;Resumen!G291,Procesos!$A:$A,0)+6,MATCH(Resumen!A291,Procesos!$2:$2,0)+6)),"")</f>
        <v/>
      </c>
    </row>
    <row r="292" spans="1:9" x14ac:dyDescent="0.25">
      <c r="A292" t="str">
        <f>IF(Pedidos!$BA293="Proceso",Pedidos!BB293,"")</f>
        <v/>
      </c>
      <c r="B292" t="str">
        <f>IF(Pedidos!$BA293="Proceso",Pedidos!BC293,"")</f>
        <v/>
      </c>
      <c r="C292" t="str">
        <f>IF(Pedidos!$BA293="Proceso",Pedidos!BD293,"")</f>
        <v/>
      </c>
      <c r="D292" s="490" t="str">
        <f>IF(Pedidos!$BA293="Proceso",Pedidos!BE293,"")</f>
        <v/>
      </c>
      <c r="E292" s="490" t="str">
        <f>IF($A292&lt;&gt;"",VLOOKUP($A292,Pedidos!$A$2:$I$9998,8,0),"")</f>
        <v/>
      </c>
      <c r="F292" s="490" t="str">
        <f>IF($A292&lt;&gt;"",VLOOKUP($A292,Pedidos!$A$2:$I$9998,9,0),"")</f>
        <v/>
      </c>
      <c r="H292" s="490" t="str">
        <f t="shared" si="7"/>
        <v/>
      </c>
      <c r="I292" s="490" t="str">
        <f>IFERROR(IF(INDEX(Procesos!$A$1:$HZ$457,MATCH(Resumen!$A$3&amp;"     ITEM # "&amp;Resumen!G292,Procesos!$A:$A,0)+6,MATCH(Resumen!A292,Procesos!$2:$2,0)+6)=0,"",INDEX(Procesos!$A$1:$HZ$457,MATCH(Resumen!$A$3&amp;"     ITEM # "&amp;Resumen!G292,Procesos!$A:$A,0)+6,MATCH(Resumen!A292,Procesos!$2:$2,0)+6)),"")</f>
        <v/>
      </c>
    </row>
    <row r="293" spans="1:9" x14ac:dyDescent="0.25">
      <c r="A293" t="str">
        <f>IF(Pedidos!$BA294="Proceso",Pedidos!BB294,"")</f>
        <v/>
      </c>
      <c r="B293" t="str">
        <f>IF(Pedidos!$BA294="Proceso",Pedidos!BC294,"")</f>
        <v/>
      </c>
      <c r="C293" t="str">
        <f>IF(Pedidos!$BA294="Proceso",Pedidos!BD294,"")</f>
        <v/>
      </c>
      <c r="D293" s="490" t="str">
        <f>IF(Pedidos!$BA294="Proceso",Pedidos!BE294,"")</f>
        <v/>
      </c>
      <c r="E293" s="490" t="str">
        <f>IF($A293&lt;&gt;"",VLOOKUP($A293,Pedidos!$A$2:$I$9998,8,0),"")</f>
        <v/>
      </c>
      <c r="F293" s="490" t="str">
        <f>IF($A293&lt;&gt;"",VLOOKUP($A293,Pedidos!$A$2:$I$9998,9,0),"")</f>
        <v/>
      </c>
      <c r="H293" s="490" t="str">
        <f t="shared" si="7"/>
        <v/>
      </c>
      <c r="I293" s="490" t="str">
        <f>IFERROR(IF(INDEX(Procesos!$A$1:$HZ$457,MATCH(Resumen!$A$3&amp;"     ITEM # "&amp;Resumen!G293,Procesos!$A:$A,0)+6,MATCH(Resumen!A293,Procesos!$2:$2,0)+6)=0,"",INDEX(Procesos!$A$1:$HZ$457,MATCH(Resumen!$A$3&amp;"     ITEM # "&amp;Resumen!G293,Procesos!$A:$A,0)+6,MATCH(Resumen!A293,Procesos!$2:$2,0)+6)),"")</f>
        <v/>
      </c>
    </row>
    <row r="294" spans="1:9" x14ac:dyDescent="0.25">
      <c r="A294" t="str">
        <f>IF(Pedidos!$BA295="Proceso",Pedidos!BB295,"")</f>
        <v/>
      </c>
      <c r="B294" t="str">
        <f>IF(Pedidos!$BA295="Proceso",Pedidos!BC295,"")</f>
        <v/>
      </c>
      <c r="C294" t="str">
        <f>IF(Pedidos!$BA295="Proceso",Pedidos!BD295,"")</f>
        <v/>
      </c>
      <c r="D294" s="490" t="str">
        <f>IF(Pedidos!$BA295="Proceso",Pedidos!BE295,"")</f>
        <v/>
      </c>
      <c r="E294" s="490" t="str">
        <f>IF($A294&lt;&gt;"",VLOOKUP($A294,Pedidos!$A$2:$I$9998,8,0),"")</f>
        <v/>
      </c>
      <c r="F294" s="490" t="str">
        <f>IF($A294&lt;&gt;"",VLOOKUP($A294,Pedidos!$A$2:$I$9998,9,0),"")</f>
        <v/>
      </c>
      <c r="H294" s="490" t="str">
        <f t="shared" si="7"/>
        <v/>
      </c>
      <c r="I294" s="490" t="str">
        <f>IFERROR(IF(INDEX(Procesos!$A$1:$HZ$457,MATCH(Resumen!$A$3&amp;"     ITEM # "&amp;Resumen!G294,Procesos!$A:$A,0)+6,MATCH(Resumen!A294,Procesos!$2:$2,0)+6)=0,"",INDEX(Procesos!$A$1:$HZ$457,MATCH(Resumen!$A$3&amp;"     ITEM # "&amp;Resumen!G294,Procesos!$A:$A,0)+6,MATCH(Resumen!A294,Procesos!$2:$2,0)+6)),"")</f>
        <v/>
      </c>
    </row>
    <row r="295" spans="1:9" x14ac:dyDescent="0.25">
      <c r="A295" t="str">
        <f>IF(Pedidos!$BA296="Proceso",Pedidos!BB296,"")</f>
        <v/>
      </c>
      <c r="B295" t="str">
        <f>IF(Pedidos!$BA296="Proceso",Pedidos!BC296,"")</f>
        <v/>
      </c>
      <c r="C295" t="str">
        <f>IF(Pedidos!$BA296="Proceso",Pedidos!BD296,"")</f>
        <v/>
      </c>
      <c r="D295" s="490" t="str">
        <f>IF(Pedidos!$BA296="Proceso",Pedidos!BE296,"")</f>
        <v/>
      </c>
      <c r="E295" s="490" t="str">
        <f>IF($A295&lt;&gt;"",VLOOKUP($A295,Pedidos!$A$2:$I$9998,8,0),"")</f>
        <v/>
      </c>
      <c r="F295" s="490" t="str">
        <f>IF($A295&lt;&gt;"",VLOOKUP($A295,Pedidos!$A$2:$I$9998,9,0),"")</f>
        <v/>
      </c>
      <c r="H295" s="490" t="str">
        <f t="shared" si="7"/>
        <v/>
      </c>
      <c r="I295" s="490" t="str">
        <f>IFERROR(IF(INDEX(Procesos!$A$1:$HZ$457,MATCH(Resumen!$A$3&amp;"     ITEM # "&amp;Resumen!G295,Procesos!$A:$A,0)+6,MATCH(Resumen!A295,Procesos!$2:$2,0)+6)=0,"",INDEX(Procesos!$A$1:$HZ$457,MATCH(Resumen!$A$3&amp;"     ITEM # "&amp;Resumen!G295,Procesos!$A:$A,0)+6,MATCH(Resumen!A295,Procesos!$2:$2,0)+6)),"")</f>
        <v/>
      </c>
    </row>
    <row r="296" spans="1:9" x14ac:dyDescent="0.25">
      <c r="A296" t="str">
        <f>IF(Pedidos!$BA297="Proceso",Pedidos!BB297,"")</f>
        <v/>
      </c>
      <c r="B296" t="str">
        <f>IF(Pedidos!$BA297="Proceso",Pedidos!BC297,"")</f>
        <v/>
      </c>
      <c r="C296" t="str">
        <f>IF(Pedidos!$BA297="Proceso",Pedidos!BD297,"")</f>
        <v/>
      </c>
      <c r="D296" s="490" t="str">
        <f>IF(Pedidos!$BA297="Proceso",Pedidos!BE297,"")</f>
        <v/>
      </c>
      <c r="E296" s="490" t="str">
        <f>IF($A296&lt;&gt;"",VLOOKUP($A296,Pedidos!$A$2:$I$9998,8,0),"")</f>
        <v/>
      </c>
      <c r="F296" s="490" t="str">
        <f>IF($A296&lt;&gt;"",VLOOKUP($A296,Pedidos!$A$2:$I$9998,9,0),"")</f>
        <v/>
      </c>
      <c r="H296" s="490" t="str">
        <f t="shared" si="7"/>
        <v/>
      </c>
      <c r="I296" s="490" t="str">
        <f>IFERROR(IF(INDEX(Procesos!$A$1:$HZ$457,MATCH(Resumen!$A$3&amp;"     ITEM # "&amp;Resumen!G296,Procesos!$A:$A,0)+6,MATCH(Resumen!A296,Procesos!$2:$2,0)+6)=0,"",INDEX(Procesos!$A$1:$HZ$457,MATCH(Resumen!$A$3&amp;"     ITEM # "&amp;Resumen!G296,Procesos!$A:$A,0)+6,MATCH(Resumen!A296,Procesos!$2:$2,0)+6)),"")</f>
        <v/>
      </c>
    </row>
    <row r="297" spans="1:9" x14ac:dyDescent="0.25">
      <c r="A297" t="str">
        <f>IF(Pedidos!$BA298="Proceso",Pedidos!BB298,"")</f>
        <v/>
      </c>
      <c r="B297" t="str">
        <f>IF(Pedidos!$BA298="Proceso",Pedidos!BC298,"")</f>
        <v/>
      </c>
      <c r="C297" t="str">
        <f>IF(Pedidos!$BA298="Proceso",Pedidos!BD298,"")</f>
        <v/>
      </c>
      <c r="D297" s="490" t="str">
        <f>IF(Pedidos!$BA298="Proceso",Pedidos!BE298,"")</f>
        <v/>
      </c>
      <c r="E297" s="490" t="str">
        <f>IF($A297&lt;&gt;"",VLOOKUP($A297,Pedidos!$A$2:$I$9998,8,0),"")</f>
        <v/>
      </c>
      <c r="F297" s="490" t="str">
        <f>IF($A297&lt;&gt;"",VLOOKUP($A297,Pedidos!$A$2:$I$9998,9,0),"")</f>
        <v/>
      </c>
      <c r="H297" s="490" t="str">
        <f t="shared" si="7"/>
        <v/>
      </c>
      <c r="I297" s="490" t="str">
        <f>IFERROR(IF(INDEX(Procesos!$A$1:$HZ$457,MATCH(Resumen!$A$3&amp;"     ITEM # "&amp;Resumen!G297,Procesos!$A:$A,0)+6,MATCH(Resumen!A297,Procesos!$2:$2,0)+6)=0,"",INDEX(Procesos!$A$1:$HZ$457,MATCH(Resumen!$A$3&amp;"     ITEM # "&amp;Resumen!G297,Procesos!$A:$A,0)+6,MATCH(Resumen!A297,Procesos!$2:$2,0)+6)),"")</f>
        <v/>
      </c>
    </row>
    <row r="298" spans="1:9" x14ac:dyDescent="0.25">
      <c r="A298" t="str">
        <f>IF(Pedidos!$BA299="Proceso",Pedidos!BB299,"")</f>
        <v/>
      </c>
      <c r="B298" t="str">
        <f>IF(Pedidos!$BA299="Proceso",Pedidos!BC299,"")</f>
        <v/>
      </c>
      <c r="C298" t="str">
        <f>IF(Pedidos!$BA299="Proceso",Pedidos!BD299,"")</f>
        <v/>
      </c>
      <c r="D298" s="490" t="str">
        <f>IF(Pedidos!$BA299="Proceso",Pedidos!BE299,"")</f>
        <v/>
      </c>
      <c r="E298" s="490" t="str">
        <f>IF($A298&lt;&gt;"",VLOOKUP($A298,Pedidos!$A$2:$I$9998,8,0),"")</f>
        <v/>
      </c>
      <c r="F298" s="490" t="str">
        <f>IF($A298&lt;&gt;"",VLOOKUP($A298,Pedidos!$A$2:$I$9998,9,0),"")</f>
        <v/>
      </c>
      <c r="H298" s="490" t="str">
        <f t="shared" si="7"/>
        <v/>
      </c>
      <c r="I298" s="490" t="str">
        <f>IFERROR(IF(INDEX(Procesos!$A$1:$HZ$457,MATCH(Resumen!$A$3&amp;"     ITEM # "&amp;Resumen!G298,Procesos!$A:$A,0)+6,MATCH(Resumen!A298,Procesos!$2:$2,0)+6)=0,"",INDEX(Procesos!$A$1:$HZ$457,MATCH(Resumen!$A$3&amp;"     ITEM # "&amp;Resumen!G298,Procesos!$A:$A,0)+6,MATCH(Resumen!A298,Procesos!$2:$2,0)+6)),"")</f>
        <v/>
      </c>
    </row>
    <row r="299" spans="1:9" x14ac:dyDescent="0.25">
      <c r="A299" t="str">
        <f>IF(Pedidos!$BA300="Proceso",Pedidos!BB300,"")</f>
        <v/>
      </c>
      <c r="B299" t="str">
        <f>IF(Pedidos!$BA300="Proceso",Pedidos!BC300,"")</f>
        <v/>
      </c>
      <c r="C299" t="str">
        <f>IF(Pedidos!$BA300="Proceso",Pedidos!BD300,"")</f>
        <v/>
      </c>
      <c r="D299" s="490" t="str">
        <f>IF(Pedidos!$BA300="Proceso",Pedidos!BE300,"")</f>
        <v/>
      </c>
      <c r="E299" s="490" t="str">
        <f>IF($A299&lt;&gt;"",VLOOKUP($A299,Pedidos!$A$2:$I$9998,8,0),"")</f>
        <v/>
      </c>
      <c r="F299" s="490" t="str">
        <f>IF($A299&lt;&gt;"",VLOOKUP($A299,Pedidos!$A$2:$I$9998,9,0),"")</f>
        <v/>
      </c>
      <c r="H299" s="490" t="str">
        <f t="shared" si="7"/>
        <v/>
      </c>
      <c r="I299" s="490" t="str">
        <f>IFERROR(IF(INDEX(Procesos!$A$1:$HZ$457,MATCH(Resumen!$A$3&amp;"     ITEM # "&amp;Resumen!G299,Procesos!$A:$A,0)+6,MATCH(Resumen!A299,Procesos!$2:$2,0)+6)=0,"",INDEX(Procesos!$A$1:$HZ$457,MATCH(Resumen!$A$3&amp;"     ITEM # "&amp;Resumen!G299,Procesos!$A:$A,0)+6,MATCH(Resumen!A299,Procesos!$2:$2,0)+6)),"")</f>
        <v/>
      </c>
    </row>
    <row r="300" spans="1:9" x14ac:dyDescent="0.25">
      <c r="A300" t="str">
        <f>IF(Pedidos!$BA301="Proceso",Pedidos!BB301,"")</f>
        <v/>
      </c>
      <c r="B300" t="str">
        <f>IF(Pedidos!$BA301="Proceso",Pedidos!BC301,"")</f>
        <v/>
      </c>
      <c r="C300" t="str">
        <f>IF(Pedidos!$BA301="Proceso",Pedidos!BD301,"")</f>
        <v/>
      </c>
      <c r="D300" s="490" t="str">
        <f>IF(Pedidos!$BA301="Proceso",Pedidos!BE301,"")</f>
        <v/>
      </c>
      <c r="E300" s="490" t="str">
        <f>IF($A300&lt;&gt;"",VLOOKUP($A300,Pedidos!$A$2:$I$9998,8,0),"")</f>
        <v/>
      </c>
      <c r="F300" s="490" t="str">
        <f>IF($A300&lt;&gt;"",VLOOKUP($A300,Pedidos!$A$2:$I$9998,9,0),"")</f>
        <v/>
      </c>
      <c r="H300" s="490" t="str">
        <f t="shared" si="7"/>
        <v/>
      </c>
      <c r="I300" s="490" t="str">
        <f>IFERROR(IF(INDEX(Procesos!$A$1:$HZ$457,MATCH(Resumen!$A$3&amp;"     ITEM # "&amp;Resumen!G300,Procesos!$A:$A,0)+6,MATCH(Resumen!A300,Procesos!$2:$2,0)+6)=0,"",INDEX(Procesos!$A$1:$HZ$457,MATCH(Resumen!$A$3&amp;"     ITEM # "&amp;Resumen!G300,Procesos!$A:$A,0)+6,MATCH(Resumen!A300,Procesos!$2:$2,0)+6)),"")</f>
        <v/>
      </c>
    </row>
  </sheetData>
  <mergeCells count="1">
    <mergeCell ref="A1:I1"/>
  </mergeCells>
  <conditionalFormatting sqref="A3:H1048576">
    <cfRule type="containsText" dxfId="0" priority="1" operator="containsText" text="*">
      <formula>NOT(ISERROR(SEARCH("*",A3)))</formula>
    </cfRule>
  </conditionalFormatting>
  <pageMargins left="0.7" right="0.7" top="0.75" bottom="0.75" header="0.3" footer="0.3"/>
  <pageSetup orientation="portrait" horizontalDpi="4294967293" verticalDpi="4294967293"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BK299"/>
  <sheetViews>
    <sheetView zoomScale="80" zoomScaleNormal="80" workbookViewId="0">
      <pane ySplit="1" topLeftCell="A17" activePane="bottomLeft" state="frozen"/>
      <selection pane="bottomLeft" activeCell="I37" sqref="A37:I37"/>
    </sheetView>
  </sheetViews>
  <sheetFormatPr baseColWidth="10" defaultRowHeight="15.95" customHeight="1" x14ac:dyDescent="0.25"/>
  <cols>
    <col min="1" max="1" width="9.5703125" style="4" customWidth="1"/>
    <col min="2" max="2" width="9.7109375" style="228" customWidth="1"/>
    <col min="3" max="3" width="15.28515625" style="487" customWidth="1"/>
    <col min="4" max="4" width="17.140625" style="487" customWidth="1"/>
    <col min="5" max="5" width="11.28515625" style="487" customWidth="1"/>
    <col min="6" max="6" width="15" style="487" bestFit="1" customWidth="1"/>
    <col min="7" max="7" width="15" style="489" bestFit="1" customWidth="1"/>
    <col min="8" max="8" width="15.5703125" style="489" bestFit="1" customWidth="1"/>
    <col min="9" max="9" width="9.28515625" style="490" bestFit="1" customWidth="1"/>
    <col min="10" max="10" width="12.5703125" style="236" customWidth="1"/>
    <col min="11" max="11" width="12.42578125" style="57" customWidth="1"/>
    <col min="12" max="12" width="12.5703125" style="58" customWidth="1"/>
    <col min="13" max="13" width="6.5703125" style="70" customWidth="1"/>
    <col min="14" max="14" width="19.140625" style="58" customWidth="1"/>
    <col min="15" max="15" width="17.28515625" style="58" customWidth="1"/>
    <col min="16" max="17" width="7.140625" style="57" customWidth="1"/>
    <col min="18" max="18" width="8" style="57" customWidth="1"/>
    <col min="19" max="19" width="11.42578125" style="57" customWidth="1"/>
    <col min="20" max="20" width="8.85546875" style="57" customWidth="1"/>
    <col min="21" max="21" width="9.28515625" style="57" customWidth="1"/>
    <col min="22" max="26" width="3.7109375" style="57" hidden="1" customWidth="1"/>
    <col min="27" max="39" width="3.7109375" style="237" customWidth="1"/>
    <col min="41" max="41" width="16.7109375" style="236" bestFit="1" customWidth="1"/>
    <col min="42" max="42" width="15.5703125" bestFit="1" customWidth="1"/>
    <col min="46" max="46" width="34" customWidth="1"/>
    <col min="50" max="50" width="4.42578125" style="490" customWidth="1"/>
    <col min="58" max="58" width="18.140625" style="490" bestFit="1" customWidth="1"/>
  </cols>
  <sheetData>
    <row r="1" spans="1:63" s="59" customFormat="1" ht="15.95" customHeight="1" x14ac:dyDescent="0.25">
      <c r="A1" s="69" t="s">
        <v>262</v>
      </c>
      <c r="B1" s="229" t="s">
        <v>263</v>
      </c>
      <c r="C1" s="280" t="s">
        <v>257</v>
      </c>
      <c r="D1" s="280" t="s">
        <v>258</v>
      </c>
      <c r="E1" s="280" t="s">
        <v>236</v>
      </c>
      <c r="F1" s="280" t="s">
        <v>261</v>
      </c>
      <c r="G1" s="486" t="s">
        <v>259</v>
      </c>
      <c r="H1" s="486" t="s">
        <v>260</v>
      </c>
      <c r="I1" s="280" t="s">
        <v>404</v>
      </c>
      <c r="J1" s="280" t="s">
        <v>262</v>
      </c>
      <c r="K1" s="280" t="s">
        <v>430</v>
      </c>
      <c r="L1" s="60" t="s">
        <v>0</v>
      </c>
      <c r="M1" s="69" t="s">
        <v>372</v>
      </c>
      <c r="N1" s="60" t="s">
        <v>231</v>
      </c>
      <c r="O1" s="60" t="s">
        <v>373</v>
      </c>
      <c r="P1" s="61" t="s">
        <v>204</v>
      </c>
      <c r="Q1" s="61" t="s">
        <v>374</v>
      </c>
      <c r="R1" s="61" t="s">
        <v>389</v>
      </c>
      <c r="S1" s="61" t="s">
        <v>397</v>
      </c>
      <c r="T1" s="274" t="s">
        <v>399</v>
      </c>
      <c r="U1" s="274" t="s">
        <v>400</v>
      </c>
      <c r="AA1" s="238" t="s">
        <v>348</v>
      </c>
      <c r="AB1" s="238" t="s">
        <v>349</v>
      </c>
      <c r="AC1" s="238" t="s">
        <v>237</v>
      </c>
      <c r="AD1" s="238" t="s">
        <v>238</v>
      </c>
      <c r="AE1" s="238" t="s">
        <v>239</v>
      </c>
      <c r="AF1" s="238" t="s">
        <v>240</v>
      </c>
      <c r="AG1" s="238" t="s">
        <v>241</v>
      </c>
      <c r="AH1" s="238" t="s">
        <v>242</v>
      </c>
      <c r="AI1" s="238" t="s">
        <v>243</v>
      </c>
      <c r="AJ1" s="238" t="s">
        <v>244</v>
      </c>
      <c r="AK1" s="238" t="s">
        <v>245</v>
      </c>
      <c r="AL1" s="238" t="s">
        <v>246</v>
      </c>
      <c r="AM1" s="238" t="s">
        <v>371</v>
      </c>
      <c r="AN1" s="59" t="s">
        <v>412</v>
      </c>
      <c r="AO1" s="59" t="s">
        <v>413</v>
      </c>
      <c r="AT1" s="59" t="s">
        <v>414</v>
      </c>
      <c r="AV1" s="280"/>
      <c r="AW1" s="69"/>
      <c r="AZ1" s="521" t="s">
        <v>430</v>
      </c>
      <c r="BA1" s="521"/>
      <c r="BF1" s="522" t="s">
        <v>262</v>
      </c>
      <c r="BG1" s="522" t="s">
        <v>430</v>
      </c>
      <c r="BH1" s="522"/>
    </row>
    <row r="2" spans="1:63" ht="15.95" customHeight="1" x14ac:dyDescent="0.25">
      <c r="A2" s="236" t="s">
        <v>446</v>
      </c>
      <c r="C2" s="57"/>
      <c r="D2" s="57"/>
      <c r="E2" s="58"/>
      <c r="F2"/>
      <c r="G2" s="489" t="s">
        <v>416</v>
      </c>
      <c r="H2" s="489" t="s">
        <v>417</v>
      </c>
      <c r="I2" s="490" t="s">
        <v>409</v>
      </c>
      <c r="M2" s="57"/>
      <c r="AV2" s="58"/>
      <c r="AW2" s="57"/>
      <c r="AX2" s="490">
        <v>1</v>
      </c>
      <c r="AZ2" s="525" t="s">
        <v>421</v>
      </c>
      <c r="BA2" s="57"/>
      <c r="BG2" s="57"/>
    </row>
    <row r="3" spans="1:63" ht="15.95" customHeight="1" x14ac:dyDescent="0.25">
      <c r="B3" s="490"/>
      <c r="C3" s="57"/>
      <c r="D3" s="57"/>
      <c r="E3" s="58"/>
      <c r="F3"/>
      <c r="I3" s="489"/>
      <c r="J3" s="236" t="s">
        <v>446</v>
      </c>
      <c r="K3" s="57" t="s">
        <v>438</v>
      </c>
      <c r="L3" s="58" t="s">
        <v>4</v>
      </c>
      <c r="M3" s="57">
        <v>5</v>
      </c>
      <c r="N3" s="58" t="s">
        <v>5</v>
      </c>
      <c r="O3" s="58" t="s">
        <v>6</v>
      </c>
      <c r="P3" s="57" t="s">
        <v>248</v>
      </c>
      <c r="Q3" s="57" t="s">
        <v>265</v>
      </c>
      <c r="R3" s="57" t="s">
        <v>266</v>
      </c>
      <c r="S3" s="57" t="s">
        <v>281</v>
      </c>
      <c r="T3" s="57" t="s">
        <v>424</v>
      </c>
      <c r="U3" s="57" t="s">
        <v>265</v>
      </c>
      <c r="AA3" s="237">
        <v>1</v>
      </c>
      <c r="AB3" s="237">
        <v>2</v>
      </c>
      <c r="AC3" s="237">
        <v>3</v>
      </c>
      <c r="AD3" s="237">
        <v>4</v>
      </c>
      <c r="AE3" s="237">
        <v>5</v>
      </c>
      <c r="AF3" s="237">
        <v>6</v>
      </c>
      <c r="AG3" s="237">
        <v>7</v>
      </c>
      <c r="AH3" s="237">
        <v>8</v>
      </c>
      <c r="AI3" s="237">
        <v>9</v>
      </c>
      <c r="AJ3" s="237">
        <v>10</v>
      </c>
      <c r="AK3" s="237">
        <v>11</v>
      </c>
      <c r="AL3" s="237">
        <v>12</v>
      </c>
      <c r="AM3" s="237">
        <v>13</v>
      </c>
      <c r="AN3" s="490" t="s">
        <v>410</v>
      </c>
      <c r="AO3" t="s">
        <v>406</v>
      </c>
      <c r="AP3" t="s">
        <v>281</v>
      </c>
      <c r="AQ3" t="s">
        <v>281</v>
      </c>
      <c r="AT3" t="s">
        <v>473</v>
      </c>
      <c r="AX3" s="490">
        <f>IF(J3=J2,AX2+1,1)</f>
        <v>1</v>
      </c>
      <c r="AZ3" s="525" t="s">
        <v>432</v>
      </c>
      <c r="BG3" s="57"/>
    </row>
    <row r="4" spans="1:63" ht="15.95" customHeight="1" x14ac:dyDescent="0.25">
      <c r="B4" s="490"/>
      <c r="C4" s="57"/>
      <c r="D4" s="57"/>
      <c r="E4" s="58"/>
      <c r="F4"/>
      <c r="I4" s="489"/>
      <c r="J4" s="490" t="s">
        <v>446</v>
      </c>
      <c r="K4" s="57" t="s">
        <v>438</v>
      </c>
      <c r="L4" s="58" t="s">
        <v>72</v>
      </c>
      <c r="M4" s="57">
        <v>4</v>
      </c>
      <c r="N4" s="58" t="s">
        <v>73</v>
      </c>
      <c r="O4" s="58" t="s">
        <v>284</v>
      </c>
      <c r="P4" s="57" t="s">
        <v>249</v>
      </c>
      <c r="Q4" s="57" t="s">
        <v>266</v>
      </c>
      <c r="R4" s="57" t="s">
        <v>266</v>
      </c>
      <c r="S4" s="57" t="s">
        <v>281</v>
      </c>
      <c r="T4" s="57" t="s">
        <v>428</v>
      </c>
      <c r="U4" s="57" t="s">
        <v>265</v>
      </c>
      <c r="AA4" s="237">
        <v>1</v>
      </c>
      <c r="AB4" s="237">
        <v>0</v>
      </c>
      <c r="AC4" s="237">
        <v>0</v>
      </c>
      <c r="AD4" s="237">
        <v>3</v>
      </c>
      <c r="AE4" s="237">
        <v>0</v>
      </c>
      <c r="AF4" s="237">
        <v>0</v>
      </c>
      <c r="AG4" s="237">
        <v>0</v>
      </c>
      <c r="AH4" s="237">
        <v>0</v>
      </c>
      <c r="AI4" s="237">
        <v>0</v>
      </c>
      <c r="AJ4" s="237">
        <v>0</v>
      </c>
      <c r="AK4" s="237">
        <v>0</v>
      </c>
      <c r="AL4" s="237">
        <v>0</v>
      </c>
      <c r="AM4" s="237">
        <v>0</v>
      </c>
      <c r="AN4" s="490"/>
      <c r="AO4"/>
      <c r="AT4" t="s">
        <v>418</v>
      </c>
      <c r="AX4" s="490">
        <f t="shared" ref="AX4:AX66" si="0">IF(J4=J3,AX3+1,1)</f>
        <v>2</v>
      </c>
      <c r="AZ4" s="525" t="s">
        <v>433</v>
      </c>
      <c r="BA4" s="524" t="s">
        <v>430</v>
      </c>
      <c r="BB4" s="522" t="s">
        <v>262</v>
      </c>
      <c r="BC4" s="522" t="s">
        <v>0</v>
      </c>
      <c r="BD4" s="523" t="s">
        <v>231</v>
      </c>
      <c r="BE4" s="523" t="s">
        <v>372</v>
      </c>
      <c r="BF4" s="522" t="s">
        <v>493</v>
      </c>
      <c r="BG4" s="522" t="s">
        <v>484</v>
      </c>
      <c r="BH4" s="57"/>
      <c r="BI4" s="522" t="s">
        <v>262</v>
      </c>
      <c r="BJ4" s="69"/>
      <c r="BK4" s="69"/>
    </row>
    <row r="5" spans="1:63" ht="15.95" customHeight="1" x14ac:dyDescent="0.25">
      <c r="A5" s="236" t="s">
        <v>447</v>
      </c>
      <c r="B5" s="490"/>
      <c r="C5" s="57"/>
      <c r="D5" s="57"/>
      <c r="E5" s="58"/>
      <c r="F5" s="490"/>
      <c r="G5" s="489" t="s">
        <v>416</v>
      </c>
      <c r="H5" s="489" t="s">
        <v>417</v>
      </c>
      <c r="I5" s="490" t="s">
        <v>409</v>
      </c>
      <c r="J5" s="490"/>
      <c r="K5" s="57" t="s">
        <v>281</v>
      </c>
      <c r="M5" s="57"/>
      <c r="AN5" s="490"/>
      <c r="AO5"/>
      <c r="AU5" s="57"/>
      <c r="AV5" s="58"/>
      <c r="AW5" s="57"/>
      <c r="AX5" s="490">
        <f t="shared" si="0"/>
        <v>1</v>
      </c>
      <c r="AZ5" s="525" t="s">
        <v>434</v>
      </c>
      <c r="BA5" s="57" t="s">
        <v>435</v>
      </c>
      <c r="BB5" s="490" t="s">
        <v>475</v>
      </c>
      <c r="BC5" s="58" t="s">
        <v>111</v>
      </c>
      <c r="BD5" s="58" t="s">
        <v>112</v>
      </c>
      <c r="BE5" s="57">
        <v>2</v>
      </c>
      <c r="BF5" s="490" t="str">
        <f>$BB5&amp;"     ITEM # "&amp;$BG5</f>
        <v>PO# 16     ITEM # 1</v>
      </c>
      <c r="BG5" s="57">
        <v>1</v>
      </c>
      <c r="BH5" s="57"/>
      <c r="BI5" s="490" t="s">
        <v>475</v>
      </c>
      <c r="BJ5" s="58"/>
      <c r="BK5" s="57"/>
    </row>
    <row r="6" spans="1:63" ht="15.95" customHeight="1" x14ac:dyDescent="0.25">
      <c r="B6" s="490"/>
      <c r="C6" s="57"/>
      <c r="D6" s="57"/>
      <c r="E6" s="58"/>
      <c r="F6" s="490"/>
      <c r="I6" s="489"/>
      <c r="J6" s="490" t="s">
        <v>447</v>
      </c>
      <c r="K6" s="57" t="s">
        <v>438</v>
      </c>
      <c r="L6" s="58" t="s">
        <v>86</v>
      </c>
      <c r="M6" s="57">
        <v>7</v>
      </c>
      <c r="N6" s="58" t="s">
        <v>87</v>
      </c>
      <c r="O6" s="58" t="s">
        <v>85</v>
      </c>
      <c r="P6" s="57" t="s">
        <v>265</v>
      </c>
      <c r="Q6" s="57" t="s">
        <v>281</v>
      </c>
      <c r="R6" s="57" t="s">
        <v>281</v>
      </c>
      <c r="S6" s="57" t="s">
        <v>314</v>
      </c>
      <c r="T6" s="57" t="s">
        <v>424</v>
      </c>
      <c r="U6" s="57" t="s">
        <v>248</v>
      </c>
      <c r="AA6" s="237">
        <v>1</v>
      </c>
      <c r="AB6" s="237">
        <v>2</v>
      </c>
      <c r="AC6" s="237">
        <v>0</v>
      </c>
      <c r="AD6" s="237">
        <v>4</v>
      </c>
      <c r="AE6" s="237">
        <v>5</v>
      </c>
      <c r="AF6" s="237">
        <v>6</v>
      </c>
      <c r="AG6" s="237">
        <v>7</v>
      </c>
      <c r="AH6" s="237">
        <v>8</v>
      </c>
      <c r="AI6" s="237">
        <v>9</v>
      </c>
      <c r="AJ6" s="237">
        <v>10</v>
      </c>
      <c r="AK6" s="237">
        <v>11</v>
      </c>
      <c r="AL6" s="237">
        <v>12</v>
      </c>
      <c r="AM6" s="237">
        <v>13</v>
      </c>
      <c r="AN6" s="490" t="s">
        <v>410</v>
      </c>
      <c r="AO6" t="s">
        <v>406</v>
      </c>
      <c r="AU6" s="57"/>
      <c r="AV6" s="58"/>
      <c r="AW6" s="57"/>
      <c r="AX6" s="490">
        <f t="shared" si="0"/>
        <v>1</v>
      </c>
      <c r="AZ6" s="525" t="s">
        <v>435</v>
      </c>
      <c r="BA6" s="57" t="s">
        <v>432</v>
      </c>
      <c r="BB6" s="490" t="s">
        <v>488</v>
      </c>
      <c r="BC6" s="58" t="s">
        <v>141</v>
      </c>
      <c r="BD6" s="58" t="s">
        <v>168</v>
      </c>
      <c r="BE6" s="57">
        <v>8</v>
      </c>
      <c r="BF6" s="490" t="str">
        <f>IF(BB6="","",$BB6&amp;"     ITEM # "&amp;$BG6)</f>
        <v>PO# 20     ITEM # 1</v>
      </c>
      <c r="BG6" s="57">
        <f>IF(BB5=BB6,BG5+1,1)</f>
        <v>1</v>
      </c>
      <c r="BH6" s="57"/>
      <c r="BI6" s="490" t="s">
        <v>488</v>
      </c>
      <c r="BJ6" s="58"/>
      <c r="BK6" s="57"/>
    </row>
    <row r="7" spans="1:63" ht="15.95" customHeight="1" x14ac:dyDescent="0.25">
      <c r="A7" s="236" t="s">
        <v>448</v>
      </c>
      <c r="B7" s="490"/>
      <c r="C7" s="57"/>
      <c r="D7" s="57"/>
      <c r="E7" s="58"/>
      <c r="F7" s="490"/>
      <c r="G7" s="489" t="s">
        <v>416</v>
      </c>
      <c r="H7" s="489" t="s">
        <v>417</v>
      </c>
      <c r="I7" s="490" t="s">
        <v>409</v>
      </c>
      <c r="J7" s="490"/>
      <c r="K7" s="57" t="s">
        <v>281</v>
      </c>
      <c r="M7" s="57"/>
      <c r="AN7" s="490"/>
      <c r="AO7"/>
      <c r="AU7" s="57"/>
      <c r="AV7" s="58"/>
      <c r="AW7" s="57"/>
      <c r="AX7" s="490">
        <f t="shared" si="0"/>
        <v>1</v>
      </c>
      <c r="AZ7" s="525" t="s">
        <v>436</v>
      </c>
      <c r="BA7" s="57" t="s">
        <v>435</v>
      </c>
      <c r="BB7" s="490" t="s">
        <v>488</v>
      </c>
      <c r="BC7" s="58" t="s">
        <v>82</v>
      </c>
      <c r="BD7" s="58" t="s">
        <v>287</v>
      </c>
      <c r="BE7" s="57">
        <v>4</v>
      </c>
      <c r="BF7" s="490" t="str">
        <f t="shared" ref="BF7:BF69" si="1">IF(BB7="","",$BB7&amp;"     ITEM # "&amp;$BG7)</f>
        <v xml:space="preserve">PO# 20     ITEM # </v>
      </c>
      <c r="BG7" s="57"/>
      <c r="BH7" s="57"/>
      <c r="BI7" s="490"/>
      <c r="BJ7" s="58"/>
      <c r="BK7" s="57"/>
    </row>
    <row r="8" spans="1:63" ht="15.95" customHeight="1" x14ac:dyDescent="0.25">
      <c r="B8" s="490"/>
      <c r="C8" s="57"/>
      <c r="D8" s="57"/>
      <c r="E8" s="58"/>
      <c r="F8" s="57"/>
      <c r="I8" s="489"/>
      <c r="J8" s="490" t="s">
        <v>448</v>
      </c>
      <c r="K8" s="57" t="s">
        <v>438</v>
      </c>
      <c r="L8" s="58" t="s">
        <v>53</v>
      </c>
      <c r="M8" s="57">
        <v>5</v>
      </c>
      <c r="N8" s="58" t="s">
        <v>54</v>
      </c>
      <c r="O8" s="58" t="s">
        <v>282</v>
      </c>
      <c r="P8" s="57" t="s">
        <v>248</v>
      </c>
      <c r="Q8" s="57" t="s">
        <v>281</v>
      </c>
      <c r="R8" s="57" t="s">
        <v>281</v>
      </c>
      <c r="S8" s="57" t="s">
        <v>281</v>
      </c>
      <c r="T8" s="57" t="s">
        <v>281</v>
      </c>
      <c r="U8" s="57" t="s">
        <v>281</v>
      </c>
      <c r="AA8" s="237">
        <v>3</v>
      </c>
      <c r="AB8" s="237">
        <v>5</v>
      </c>
      <c r="AC8" s="237">
        <v>7</v>
      </c>
      <c r="AD8" s="237">
        <v>9</v>
      </c>
      <c r="AE8" s="237">
        <v>11</v>
      </c>
      <c r="AF8" s="237">
        <v>13</v>
      </c>
      <c r="AG8" s="237">
        <v>15</v>
      </c>
      <c r="AH8" s="237">
        <v>17</v>
      </c>
      <c r="AI8" s="237">
        <v>19</v>
      </c>
      <c r="AJ8" s="237">
        <v>21</v>
      </c>
      <c r="AK8" s="237">
        <v>23</v>
      </c>
      <c r="AL8" s="237">
        <v>25</v>
      </c>
      <c r="AM8" s="237">
        <v>27</v>
      </c>
      <c r="AN8" s="490" t="s">
        <v>281</v>
      </c>
      <c r="AO8" t="s">
        <v>281</v>
      </c>
      <c r="AP8" t="s">
        <v>281</v>
      </c>
      <c r="AU8" s="57"/>
      <c r="AV8" s="58"/>
      <c r="AW8" s="57"/>
      <c r="AX8" s="490">
        <f t="shared" si="0"/>
        <v>1</v>
      </c>
      <c r="AZ8" s="525" t="s">
        <v>437</v>
      </c>
      <c r="BA8" s="57" t="s">
        <v>436</v>
      </c>
      <c r="BB8" s="490" t="s">
        <v>488</v>
      </c>
      <c r="BC8" s="58" t="s">
        <v>63</v>
      </c>
      <c r="BD8" s="58" t="s">
        <v>64</v>
      </c>
      <c r="BE8" s="70">
        <v>3</v>
      </c>
      <c r="BF8" s="490" t="str">
        <f t="shared" si="1"/>
        <v xml:space="preserve">PO# 20     ITEM # </v>
      </c>
      <c r="BG8" s="57"/>
      <c r="BH8" s="57"/>
      <c r="BI8" s="490"/>
      <c r="BJ8" s="58"/>
      <c r="BK8" s="57"/>
    </row>
    <row r="9" spans="1:63" ht="15.95" customHeight="1" x14ac:dyDescent="0.25">
      <c r="B9" s="490"/>
      <c r="C9" s="57"/>
      <c r="D9" s="57"/>
      <c r="E9" s="58"/>
      <c r="F9" s="57"/>
      <c r="I9" s="489"/>
      <c r="J9" s="490" t="s">
        <v>448</v>
      </c>
      <c r="K9" s="57" t="s">
        <v>438</v>
      </c>
      <c r="L9" s="58" t="s">
        <v>11</v>
      </c>
      <c r="M9" s="57">
        <v>4</v>
      </c>
      <c r="N9" s="58" t="s">
        <v>12</v>
      </c>
      <c r="O9" s="58" t="s">
        <v>8</v>
      </c>
      <c r="P9" s="57" t="s">
        <v>248</v>
      </c>
      <c r="Q9" s="57" t="s">
        <v>281</v>
      </c>
      <c r="R9" s="57" t="s">
        <v>265</v>
      </c>
      <c r="S9" s="57" t="s">
        <v>314</v>
      </c>
      <c r="T9" s="57" t="s">
        <v>428</v>
      </c>
      <c r="U9" s="57" t="s">
        <v>265</v>
      </c>
      <c r="AA9" s="237">
        <v>1</v>
      </c>
      <c r="AB9" s="237">
        <v>2</v>
      </c>
      <c r="AC9" s="237">
        <v>3</v>
      </c>
      <c r="AD9" s="237">
        <v>4</v>
      </c>
      <c r="AE9" s="237">
        <v>5</v>
      </c>
      <c r="AF9" s="237">
        <v>6</v>
      </c>
      <c r="AG9" s="237">
        <v>7</v>
      </c>
      <c r="AH9" s="237">
        <v>8</v>
      </c>
      <c r="AI9" s="237">
        <v>9</v>
      </c>
      <c r="AJ9" s="237">
        <v>10</v>
      </c>
      <c r="AK9" s="237">
        <v>11</v>
      </c>
      <c r="AL9" s="237">
        <v>12</v>
      </c>
      <c r="AM9" s="237">
        <v>13</v>
      </c>
      <c r="AN9" s="490" t="s">
        <v>281</v>
      </c>
      <c r="AO9" t="s">
        <v>281</v>
      </c>
      <c r="AP9" t="s">
        <v>281</v>
      </c>
      <c r="AU9" s="57"/>
      <c r="AV9" s="58"/>
      <c r="AW9" s="57"/>
      <c r="AX9" s="490">
        <f t="shared" si="0"/>
        <v>2</v>
      </c>
      <c r="BA9" s="57"/>
      <c r="BB9" s="490"/>
      <c r="BC9" s="58"/>
      <c r="BD9" s="58"/>
      <c r="BE9" s="70"/>
      <c r="BF9" s="490" t="str">
        <f t="shared" si="1"/>
        <v/>
      </c>
      <c r="BG9" s="57"/>
      <c r="BH9" s="57"/>
      <c r="BI9" s="490"/>
      <c r="BJ9" s="58"/>
      <c r="BK9" s="57"/>
    </row>
    <row r="10" spans="1:63" ht="15.95" customHeight="1" x14ac:dyDescent="0.25">
      <c r="A10" s="236" t="s">
        <v>449</v>
      </c>
      <c r="B10" s="490"/>
      <c r="C10" s="57"/>
      <c r="D10" s="57"/>
      <c r="E10" s="58"/>
      <c r="F10" s="57"/>
      <c r="G10" s="489" t="s">
        <v>416</v>
      </c>
      <c r="H10" s="489" t="s">
        <v>417</v>
      </c>
      <c r="I10" s="490" t="s">
        <v>409</v>
      </c>
      <c r="J10" s="490"/>
      <c r="K10" s="57" t="s">
        <v>281</v>
      </c>
      <c r="M10" s="57"/>
      <c r="AN10" s="490"/>
      <c r="AO10"/>
      <c r="AU10" s="57"/>
      <c r="AV10" s="58"/>
      <c r="AW10" s="57"/>
      <c r="AX10" s="490">
        <f t="shared" si="0"/>
        <v>1</v>
      </c>
      <c r="BA10" s="57"/>
      <c r="BB10" s="490"/>
      <c r="BC10" s="58"/>
      <c r="BD10" s="58"/>
      <c r="BE10" s="70"/>
      <c r="BF10" s="490" t="str">
        <f t="shared" si="1"/>
        <v/>
      </c>
      <c r="BG10" s="57"/>
      <c r="BH10" s="57"/>
      <c r="BI10" s="490"/>
      <c r="BJ10" s="58"/>
      <c r="BK10" s="57"/>
    </row>
    <row r="11" spans="1:63" ht="15.95" customHeight="1" x14ac:dyDescent="0.25">
      <c r="B11" s="490"/>
      <c r="C11" s="57"/>
      <c r="D11" s="57"/>
      <c r="E11" s="58"/>
      <c r="F11" s="57"/>
      <c r="I11" s="489"/>
      <c r="J11" s="490" t="s">
        <v>449</v>
      </c>
      <c r="K11" s="57" t="s">
        <v>438</v>
      </c>
      <c r="L11" s="58" t="s">
        <v>113</v>
      </c>
      <c r="M11" s="57">
        <v>8</v>
      </c>
      <c r="N11" s="58" t="s">
        <v>114</v>
      </c>
      <c r="O11" s="58" t="s">
        <v>282</v>
      </c>
      <c r="P11" s="57" t="s">
        <v>248</v>
      </c>
      <c r="Q11" s="57" t="s">
        <v>281</v>
      </c>
      <c r="R11" s="57" t="s">
        <v>281</v>
      </c>
      <c r="S11" s="57" t="s">
        <v>281</v>
      </c>
      <c r="T11" s="57" t="s">
        <v>281</v>
      </c>
      <c r="U11" s="57" t="s">
        <v>281</v>
      </c>
      <c r="AA11" s="237">
        <v>3</v>
      </c>
      <c r="AB11" s="237">
        <v>5</v>
      </c>
      <c r="AC11" s="237">
        <v>7</v>
      </c>
      <c r="AD11" s="237">
        <v>9</v>
      </c>
      <c r="AE11" s="237">
        <v>11</v>
      </c>
      <c r="AF11" s="237">
        <v>13</v>
      </c>
      <c r="AG11" s="237">
        <v>15</v>
      </c>
      <c r="AH11" s="237">
        <v>17</v>
      </c>
      <c r="AI11" s="237">
        <v>19</v>
      </c>
      <c r="AJ11" s="237">
        <v>21</v>
      </c>
      <c r="AK11" s="237">
        <v>23</v>
      </c>
      <c r="AL11" s="237">
        <v>25</v>
      </c>
      <c r="AM11" s="237">
        <v>27</v>
      </c>
      <c r="AN11" s="490" t="s">
        <v>281</v>
      </c>
      <c r="AO11" t="s">
        <v>281</v>
      </c>
      <c r="AP11" t="s">
        <v>281</v>
      </c>
      <c r="AU11" s="57"/>
      <c r="AV11" s="58"/>
      <c r="AW11" s="57"/>
      <c r="AX11" s="490">
        <f t="shared" si="0"/>
        <v>1</v>
      </c>
      <c r="BA11" s="57"/>
      <c r="BB11" s="490"/>
      <c r="BC11" s="58"/>
      <c r="BD11" s="58"/>
      <c r="BE11" s="57"/>
      <c r="BF11" s="490" t="str">
        <f t="shared" si="1"/>
        <v/>
      </c>
      <c r="BG11" s="57"/>
      <c r="BH11" s="57"/>
      <c r="BI11" s="490"/>
      <c r="BJ11" s="58"/>
      <c r="BK11" s="57"/>
    </row>
    <row r="12" spans="1:63" ht="15.95" customHeight="1" x14ac:dyDescent="0.25">
      <c r="A12" s="236" t="s">
        <v>450</v>
      </c>
      <c r="B12" s="490"/>
      <c r="C12" s="57"/>
      <c r="D12" s="57"/>
      <c r="E12" s="58"/>
      <c r="F12" s="57"/>
      <c r="G12" s="489" t="s">
        <v>416</v>
      </c>
      <c r="H12" s="489" t="s">
        <v>417</v>
      </c>
      <c r="I12" s="490" t="s">
        <v>409</v>
      </c>
      <c r="J12" s="490"/>
      <c r="K12" s="57" t="s">
        <v>281</v>
      </c>
      <c r="M12" s="57"/>
      <c r="AN12" s="490"/>
      <c r="AO12"/>
      <c r="AU12" s="57"/>
      <c r="AV12" s="58"/>
      <c r="AW12" s="57"/>
      <c r="AX12" s="490">
        <f t="shared" si="0"/>
        <v>1</v>
      </c>
      <c r="BA12" s="57"/>
      <c r="BB12" s="490"/>
      <c r="BC12" s="58"/>
      <c r="BD12" s="58"/>
      <c r="BE12" s="70"/>
      <c r="BF12" s="490" t="str">
        <f t="shared" si="1"/>
        <v/>
      </c>
      <c r="BG12" s="57"/>
      <c r="BH12" s="57"/>
      <c r="BI12" s="490"/>
      <c r="BJ12" s="58"/>
      <c r="BK12" s="57"/>
    </row>
    <row r="13" spans="1:63" ht="15.95" customHeight="1" x14ac:dyDescent="0.25">
      <c r="B13" s="490"/>
      <c r="C13" s="57"/>
      <c r="D13" s="57"/>
      <c r="E13" s="58"/>
      <c r="F13" s="57"/>
      <c r="I13" s="489"/>
      <c r="J13" s="236" t="s">
        <v>450</v>
      </c>
      <c r="K13" s="57" t="s">
        <v>438</v>
      </c>
      <c r="L13" s="58" t="s">
        <v>142</v>
      </c>
      <c r="M13" s="57">
        <v>7</v>
      </c>
      <c r="N13" s="58" t="s">
        <v>229</v>
      </c>
      <c r="O13" s="58" t="s">
        <v>143</v>
      </c>
      <c r="P13" s="57" t="s">
        <v>249</v>
      </c>
      <c r="Q13" s="57" t="s">
        <v>281</v>
      </c>
      <c r="R13" s="57" t="s">
        <v>281</v>
      </c>
      <c r="S13" s="57" t="s">
        <v>281</v>
      </c>
      <c r="T13" s="57" t="s">
        <v>281</v>
      </c>
      <c r="U13" s="57" t="s">
        <v>281</v>
      </c>
      <c r="AA13" s="237">
        <v>2</v>
      </c>
      <c r="AB13" s="237">
        <v>4</v>
      </c>
      <c r="AC13" s="237">
        <v>6</v>
      </c>
      <c r="AD13" s="237">
        <v>8</v>
      </c>
      <c r="AE13" s="237">
        <v>10</v>
      </c>
      <c r="AF13" s="237">
        <v>12</v>
      </c>
      <c r="AG13" s="237">
        <v>14</v>
      </c>
      <c r="AH13" s="237">
        <v>16</v>
      </c>
      <c r="AI13" s="237">
        <v>18</v>
      </c>
      <c r="AJ13" s="237">
        <v>20</v>
      </c>
      <c r="AK13" s="237">
        <v>22</v>
      </c>
      <c r="AL13" s="237">
        <v>24</v>
      </c>
      <c r="AM13" s="237">
        <v>26</v>
      </c>
      <c r="AN13" s="490" t="s">
        <v>410</v>
      </c>
      <c r="AO13" t="s">
        <v>407</v>
      </c>
      <c r="AP13" t="s">
        <v>281</v>
      </c>
      <c r="AU13" s="57"/>
      <c r="AV13" s="58"/>
      <c r="AW13" s="57"/>
      <c r="AX13" s="490">
        <f t="shared" si="0"/>
        <v>1</v>
      </c>
      <c r="BA13" s="57"/>
      <c r="BB13" s="490"/>
      <c r="BC13" s="58"/>
      <c r="BD13" s="58"/>
      <c r="BE13" s="70"/>
      <c r="BF13" s="490" t="str">
        <f t="shared" si="1"/>
        <v/>
      </c>
      <c r="BG13" s="57"/>
      <c r="BH13" s="57"/>
      <c r="BI13" s="490"/>
      <c r="BJ13" s="58"/>
      <c r="BK13" s="57"/>
    </row>
    <row r="14" spans="1:63" ht="15.95" customHeight="1" x14ac:dyDescent="0.25">
      <c r="A14" s="4" t="s">
        <v>440</v>
      </c>
      <c r="B14" s="490"/>
      <c r="C14" s="57"/>
      <c r="D14" s="57"/>
      <c r="E14" s="58"/>
      <c r="F14" s="57"/>
      <c r="G14" s="489" t="s">
        <v>441</v>
      </c>
      <c r="H14" s="489" t="s">
        <v>442</v>
      </c>
      <c r="I14" s="490" t="s">
        <v>409</v>
      </c>
      <c r="K14" s="57" t="s">
        <v>281</v>
      </c>
      <c r="M14" s="57"/>
      <c r="AA14" s="237">
        <v>3</v>
      </c>
      <c r="AB14" s="237">
        <v>5</v>
      </c>
      <c r="AC14" s="237">
        <v>7</v>
      </c>
      <c r="AD14" s="237">
        <v>9</v>
      </c>
      <c r="AE14" s="237">
        <v>11</v>
      </c>
      <c r="AF14" s="237">
        <v>13</v>
      </c>
      <c r="AG14" s="237">
        <v>15</v>
      </c>
      <c r="AH14" s="237">
        <v>17</v>
      </c>
      <c r="AI14" s="237">
        <v>19</v>
      </c>
      <c r="AJ14" s="237">
        <v>21</v>
      </c>
      <c r="AK14" s="237">
        <v>23</v>
      </c>
      <c r="AL14" s="237">
        <v>25</v>
      </c>
      <c r="AM14" s="237">
        <v>27</v>
      </c>
      <c r="AN14" s="490"/>
      <c r="AO14"/>
      <c r="AU14" s="57"/>
      <c r="AV14" s="58"/>
      <c r="AW14" s="57"/>
      <c r="AX14" s="490">
        <f t="shared" si="0"/>
        <v>1</v>
      </c>
      <c r="BA14" s="57"/>
      <c r="BB14" s="490"/>
      <c r="BC14" s="58"/>
      <c r="BD14" s="58"/>
      <c r="BE14" s="70"/>
      <c r="BF14" s="490" t="str">
        <f t="shared" si="1"/>
        <v/>
      </c>
      <c r="BG14" s="57"/>
      <c r="BH14" s="57"/>
      <c r="BI14" s="490"/>
      <c r="BJ14" s="58"/>
      <c r="BK14" s="57"/>
    </row>
    <row r="15" spans="1:63" ht="15.95" customHeight="1" x14ac:dyDescent="0.25">
      <c r="B15" s="490"/>
      <c r="C15" s="57"/>
      <c r="D15" s="57"/>
      <c r="E15" s="58"/>
      <c r="F15" s="57"/>
      <c r="I15" s="489"/>
      <c r="J15" s="236" t="s">
        <v>440</v>
      </c>
      <c r="K15" s="57" t="s">
        <v>438</v>
      </c>
      <c r="L15" s="58" t="s">
        <v>94</v>
      </c>
      <c r="M15" s="57">
        <v>8</v>
      </c>
      <c r="N15" s="58" t="s">
        <v>95</v>
      </c>
      <c r="O15" s="58" t="s">
        <v>91</v>
      </c>
      <c r="P15" s="57" t="s">
        <v>250</v>
      </c>
      <c r="Q15" s="57" t="s">
        <v>281</v>
      </c>
      <c r="R15" s="57" t="s">
        <v>281</v>
      </c>
      <c r="S15" s="57" t="s">
        <v>281</v>
      </c>
      <c r="T15" s="57" t="s">
        <v>281</v>
      </c>
      <c r="U15" s="57" t="s">
        <v>281</v>
      </c>
      <c r="AA15" s="237">
        <v>1</v>
      </c>
      <c r="AB15" s="237">
        <v>2</v>
      </c>
      <c r="AC15" s="237">
        <v>3</v>
      </c>
      <c r="AD15" s="237">
        <v>4</v>
      </c>
      <c r="AE15" s="237">
        <v>5</v>
      </c>
      <c r="AF15" s="237">
        <v>6</v>
      </c>
      <c r="AG15" s="237">
        <v>7</v>
      </c>
      <c r="AH15" s="237">
        <v>8</v>
      </c>
      <c r="AI15" s="237">
        <v>9</v>
      </c>
      <c r="AJ15" s="237">
        <v>10</v>
      </c>
      <c r="AK15" s="237">
        <v>11</v>
      </c>
      <c r="AL15" s="237">
        <v>12</v>
      </c>
      <c r="AM15" s="237">
        <v>13</v>
      </c>
      <c r="AN15" s="490" t="s">
        <v>410</v>
      </c>
      <c r="AO15" t="s">
        <v>406</v>
      </c>
      <c r="AP15" t="s">
        <v>281</v>
      </c>
      <c r="AU15" s="57"/>
      <c r="AV15" s="58"/>
      <c r="AW15" s="57"/>
      <c r="AX15" s="490">
        <f t="shared" si="0"/>
        <v>1</v>
      </c>
      <c r="BA15" s="57"/>
      <c r="BB15" s="490"/>
      <c r="BC15" s="58"/>
      <c r="BD15" s="58"/>
      <c r="BE15" s="57"/>
      <c r="BF15" s="490" t="str">
        <f t="shared" si="1"/>
        <v/>
      </c>
      <c r="BG15" s="57"/>
      <c r="BH15" s="57"/>
      <c r="BI15" s="490"/>
      <c r="BJ15" s="58"/>
      <c r="BK15" s="57"/>
    </row>
    <row r="16" spans="1:63" ht="15.95" customHeight="1" x14ac:dyDescent="0.25">
      <c r="A16" s="4" t="s">
        <v>444</v>
      </c>
      <c r="B16" s="490"/>
      <c r="C16" s="57"/>
      <c r="D16" s="57"/>
      <c r="E16" s="58"/>
      <c r="F16" s="57"/>
      <c r="G16" s="489" t="s">
        <v>441</v>
      </c>
      <c r="H16" s="489" t="s">
        <v>442</v>
      </c>
      <c r="I16" s="490" t="s">
        <v>409</v>
      </c>
      <c r="K16" s="57" t="s">
        <v>281</v>
      </c>
      <c r="M16" s="57"/>
      <c r="AU16" s="57"/>
      <c r="AV16" s="58"/>
      <c r="AW16" s="57"/>
      <c r="AX16" s="490">
        <f t="shared" si="0"/>
        <v>1</v>
      </c>
      <c r="BA16" s="57"/>
      <c r="BB16" s="490"/>
      <c r="BC16" s="58"/>
      <c r="BD16" s="58"/>
      <c r="BE16" s="57"/>
      <c r="BF16" s="490" t="str">
        <f t="shared" si="1"/>
        <v/>
      </c>
      <c r="BG16" s="57"/>
      <c r="BH16" s="57"/>
      <c r="BI16" s="490"/>
      <c r="BJ16" s="58"/>
      <c r="BK16" s="57"/>
    </row>
    <row r="17" spans="1:63" ht="15.95" customHeight="1" x14ac:dyDescent="0.25">
      <c r="B17" s="490"/>
      <c r="C17" s="57"/>
      <c r="D17" s="57"/>
      <c r="E17" s="58"/>
      <c r="F17" s="57"/>
      <c r="I17" s="489"/>
      <c r="J17" s="236" t="s">
        <v>444</v>
      </c>
      <c r="K17" s="57" t="s">
        <v>438</v>
      </c>
      <c r="L17" s="58" t="s">
        <v>115</v>
      </c>
      <c r="M17" s="57">
        <v>7</v>
      </c>
      <c r="N17" s="58" t="s">
        <v>226</v>
      </c>
      <c r="O17" s="58" t="s">
        <v>116</v>
      </c>
      <c r="P17" s="57" t="s">
        <v>248</v>
      </c>
      <c r="Q17" s="57" t="s">
        <v>281</v>
      </c>
      <c r="R17" s="57" t="s">
        <v>281</v>
      </c>
      <c r="S17" s="57" t="s">
        <v>281</v>
      </c>
      <c r="T17" s="57" t="s">
        <v>281</v>
      </c>
      <c r="U17" s="57" t="s">
        <v>281</v>
      </c>
      <c r="AA17" s="237">
        <v>0</v>
      </c>
      <c r="AB17" s="237">
        <v>0</v>
      </c>
      <c r="AC17" s="237">
        <v>0</v>
      </c>
      <c r="AD17" s="237">
        <v>0</v>
      </c>
      <c r="AE17" s="237">
        <v>0</v>
      </c>
      <c r="AF17" s="237">
        <v>0</v>
      </c>
      <c r="AG17" s="237">
        <v>0</v>
      </c>
      <c r="AH17" s="237">
        <v>0</v>
      </c>
      <c r="AI17" s="237">
        <v>0</v>
      </c>
      <c r="AJ17" s="237">
        <v>0</v>
      </c>
      <c r="AK17" s="237">
        <v>0</v>
      </c>
      <c r="AL17" s="237">
        <v>0</v>
      </c>
      <c r="AM17" s="237">
        <v>7</v>
      </c>
      <c r="AO17" s="236" t="s">
        <v>281</v>
      </c>
      <c r="AP17" t="s">
        <v>281</v>
      </c>
      <c r="AQ17" t="s">
        <v>281</v>
      </c>
      <c r="AU17" s="57"/>
      <c r="AV17" s="58"/>
      <c r="AW17" s="57"/>
      <c r="AX17" s="490">
        <f t="shared" si="0"/>
        <v>1</v>
      </c>
      <c r="BA17" s="57"/>
      <c r="BB17" s="490"/>
      <c r="BC17" s="58"/>
      <c r="BD17" s="58"/>
      <c r="BE17" s="57"/>
      <c r="BF17" s="490" t="str">
        <f t="shared" si="1"/>
        <v/>
      </c>
      <c r="BG17" s="57"/>
      <c r="BH17" s="57"/>
      <c r="BI17" s="490"/>
      <c r="BJ17" s="58"/>
      <c r="BK17" s="57"/>
    </row>
    <row r="18" spans="1:63" ht="15.95" customHeight="1" x14ac:dyDescent="0.25">
      <c r="B18" s="490"/>
      <c r="C18" s="57"/>
      <c r="D18" s="57"/>
      <c r="E18" s="58"/>
      <c r="F18" s="57"/>
      <c r="I18" s="489"/>
      <c r="J18" s="236" t="s">
        <v>444</v>
      </c>
      <c r="K18" s="57" t="s">
        <v>438</v>
      </c>
      <c r="L18" s="58" t="s">
        <v>82</v>
      </c>
      <c r="M18" s="57">
        <v>4</v>
      </c>
      <c r="N18" s="58" t="s">
        <v>287</v>
      </c>
      <c r="O18" s="58" t="s">
        <v>286</v>
      </c>
      <c r="P18" s="57" t="s">
        <v>265</v>
      </c>
      <c r="Q18" s="57" t="s">
        <v>281</v>
      </c>
      <c r="R18" s="57" t="s">
        <v>281</v>
      </c>
      <c r="S18" s="57" t="s">
        <v>281</v>
      </c>
      <c r="T18" s="57" t="s">
        <v>281</v>
      </c>
      <c r="U18" s="57" t="s">
        <v>281</v>
      </c>
      <c r="AA18" s="237">
        <v>0</v>
      </c>
      <c r="AB18" s="237">
        <v>0</v>
      </c>
      <c r="AC18" s="237">
        <v>0</v>
      </c>
      <c r="AD18" s="237">
        <v>0</v>
      </c>
      <c r="AE18" s="237">
        <v>0</v>
      </c>
      <c r="AF18" s="237">
        <v>0</v>
      </c>
      <c r="AG18" s="237">
        <v>0</v>
      </c>
      <c r="AH18" s="237">
        <v>0</v>
      </c>
      <c r="AI18" s="237">
        <v>0</v>
      </c>
      <c r="AJ18" s="237">
        <v>0</v>
      </c>
      <c r="AK18" s="237">
        <v>4</v>
      </c>
      <c r="AL18" s="237">
        <v>0</v>
      </c>
      <c r="AM18" s="237">
        <v>0</v>
      </c>
      <c r="AO18" s="236" t="s">
        <v>281</v>
      </c>
      <c r="AP18" t="s">
        <v>281</v>
      </c>
      <c r="AQ18" t="s">
        <v>281</v>
      </c>
      <c r="AU18" s="57"/>
      <c r="AV18" s="58"/>
      <c r="AW18" s="57"/>
      <c r="AX18" s="490">
        <f t="shared" si="0"/>
        <v>2</v>
      </c>
      <c r="BA18" s="57"/>
      <c r="BB18" s="490"/>
      <c r="BC18" s="58"/>
      <c r="BD18" s="58"/>
      <c r="BE18" s="57"/>
      <c r="BF18" s="490" t="str">
        <f t="shared" si="1"/>
        <v/>
      </c>
      <c r="BG18" s="57"/>
      <c r="BH18" s="57"/>
      <c r="BI18" s="490"/>
      <c r="BJ18" s="58"/>
      <c r="BK18" s="57"/>
    </row>
    <row r="19" spans="1:63" ht="15.95" customHeight="1" x14ac:dyDescent="0.25">
      <c r="A19" s="4" t="s">
        <v>455</v>
      </c>
      <c r="B19" s="490"/>
      <c r="C19" s="57"/>
      <c r="D19" s="57"/>
      <c r="E19" s="58"/>
      <c r="F19" s="57"/>
      <c r="G19" s="489" t="s">
        <v>441</v>
      </c>
      <c r="H19" s="489" t="s">
        <v>442</v>
      </c>
      <c r="I19" s="490" t="s">
        <v>409</v>
      </c>
      <c r="K19" s="57" t="s">
        <v>281</v>
      </c>
      <c r="M19" s="57"/>
      <c r="AU19" s="57"/>
      <c r="AV19" s="58"/>
      <c r="AW19" s="57"/>
      <c r="AX19" s="490">
        <f t="shared" si="0"/>
        <v>1</v>
      </c>
      <c r="BA19" s="57"/>
      <c r="BB19" s="490"/>
      <c r="BC19" s="58"/>
      <c r="BD19" s="58"/>
      <c r="BE19" s="57"/>
      <c r="BF19" s="490" t="str">
        <f t="shared" si="1"/>
        <v/>
      </c>
      <c r="BG19" s="57"/>
      <c r="BH19" s="57"/>
      <c r="BI19" s="490"/>
      <c r="BJ19" s="58"/>
      <c r="BK19" s="57"/>
    </row>
    <row r="20" spans="1:63" ht="15.95" customHeight="1" x14ac:dyDescent="0.25">
      <c r="B20" s="490"/>
      <c r="C20" s="57"/>
      <c r="D20" s="57"/>
      <c r="E20" s="58"/>
      <c r="F20" s="57"/>
      <c r="I20" s="489"/>
      <c r="J20" s="236" t="s">
        <v>455</v>
      </c>
      <c r="K20" s="57" t="s">
        <v>438</v>
      </c>
      <c r="L20" s="58" t="s">
        <v>72</v>
      </c>
      <c r="M20" s="57">
        <v>1</v>
      </c>
      <c r="N20" s="58" t="s">
        <v>73</v>
      </c>
      <c r="O20" s="58" t="s">
        <v>284</v>
      </c>
      <c r="P20" s="57" t="s">
        <v>265</v>
      </c>
      <c r="Q20" s="57" t="s">
        <v>281</v>
      </c>
      <c r="R20" s="57" t="s">
        <v>281</v>
      </c>
      <c r="S20" s="57" t="s">
        <v>281</v>
      </c>
      <c r="T20" s="57" t="s">
        <v>281</v>
      </c>
      <c r="U20" s="57" t="s">
        <v>281</v>
      </c>
      <c r="AA20" s="237">
        <v>1</v>
      </c>
      <c r="AB20" s="237">
        <v>0</v>
      </c>
      <c r="AC20" s="237">
        <v>0</v>
      </c>
      <c r="AD20" s="237">
        <v>0</v>
      </c>
      <c r="AE20" s="237">
        <v>0</v>
      </c>
      <c r="AF20" s="237">
        <v>0</v>
      </c>
      <c r="AG20" s="237">
        <v>0</v>
      </c>
      <c r="AH20" s="237">
        <v>0</v>
      </c>
      <c r="AI20" s="237">
        <v>0</v>
      </c>
      <c r="AJ20" s="237">
        <v>0</v>
      </c>
      <c r="AK20" s="237">
        <v>0</v>
      </c>
      <c r="AL20" s="237">
        <v>0</v>
      </c>
      <c r="AM20" s="237">
        <v>0</v>
      </c>
      <c r="AO20" s="236" t="s">
        <v>281</v>
      </c>
      <c r="AP20" t="s">
        <v>281</v>
      </c>
      <c r="AQ20" t="s">
        <v>281</v>
      </c>
      <c r="AU20" s="57"/>
      <c r="AV20" s="58"/>
      <c r="AW20" s="57"/>
      <c r="AX20" s="490">
        <f t="shared" si="0"/>
        <v>1</v>
      </c>
      <c r="BA20" s="57"/>
      <c r="BB20" s="490"/>
      <c r="BC20" s="58"/>
      <c r="BD20" s="58"/>
      <c r="BE20" s="57"/>
      <c r="BF20" s="490" t="str">
        <f t="shared" si="1"/>
        <v/>
      </c>
      <c r="BG20" s="57"/>
      <c r="BH20" s="57"/>
      <c r="BI20" s="490"/>
      <c r="BJ20" s="58"/>
      <c r="BK20" s="57"/>
    </row>
    <row r="21" spans="1:63" ht="15.95" customHeight="1" x14ac:dyDescent="0.25">
      <c r="A21" s="4" t="s">
        <v>475</v>
      </c>
      <c r="B21" s="490"/>
      <c r="C21" s="57"/>
      <c r="D21" s="57"/>
      <c r="E21" s="58"/>
      <c r="F21" s="57"/>
      <c r="G21" s="489" t="s">
        <v>474</v>
      </c>
      <c r="H21" s="489" t="s">
        <v>476</v>
      </c>
      <c r="I21" s="490" t="s">
        <v>409</v>
      </c>
      <c r="K21" s="57" t="s">
        <v>281</v>
      </c>
      <c r="M21" s="57"/>
      <c r="AU21" s="57"/>
      <c r="AV21" s="58"/>
      <c r="AW21" s="57"/>
      <c r="AX21" s="490">
        <f t="shared" si="0"/>
        <v>1</v>
      </c>
      <c r="BA21" s="57"/>
      <c r="BB21" s="490"/>
      <c r="BC21" s="58"/>
      <c r="BD21" s="58"/>
      <c r="BE21" s="57"/>
      <c r="BF21" s="490" t="str">
        <f t="shared" si="1"/>
        <v/>
      </c>
      <c r="BG21" s="57"/>
      <c r="BH21" s="57"/>
      <c r="BI21" s="490"/>
      <c r="BJ21" s="58"/>
      <c r="BK21" s="57"/>
    </row>
    <row r="22" spans="1:63" ht="15.95" customHeight="1" x14ac:dyDescent="0.25">
      <c r="B22" s="490"/>
      <c r="C22" s="57"/>
      <c r="D22" s="57"/>
      <c r="E22" s="58"/>
      <c r="I22" s="489"/>
      <c r="J22" s="236" t="s">
        <v>475</v>
      </c>
      <c r="K22" s="57" t="s">
        <v>435</v>
      </c>
      <c r="L22" s="58" t="s">
        <v>111</v>
      </c>
      <c r="M22" s="57">
        <v>2</v>
      </c>
      <c r="N22" s="58" t="s">
        <v>112</v>
      </c>
      <c r="O22" s="58" t="s">
        <v>289</v>
      </c>
      <c r="P22" s="57" t="s">
        <v>251</v>
      </c>
      <c r="Q22" s="57" t="s">
        <v>266</v>
      </c>
      <c r="R22" s="57" t="s">
        <v>281</v>
      </c>
      <c r="S22" s="57" t="s">
        <v>281</v>
      </c>
      <c r="T22" s="57" t="s">
        <v>281</v>
      </c>
      <c r="U22" s="57" t="s">
        <v>281</v>
      </c>
      <c r="AA22" s="237">
        <v>0</v>
      </c>
      <c r="AB22" s="237">
        <v>0</v>
      </c>
      <c r="AC22" s="237">
        <v>0</v>
      </c>
      <c r="AD22" s="237">
        <v>0</v>
      </c>
      <c r="AE22" s="237">
        <v>0</v>
      </c>
      <c r="AF22" s="237">
        <v>0</v>
      </c>
      <c r="AG22" s="237">
        <v>0</v>
      </c>
      <c r="AH22" s="237">
        <v>0</v>
      </c>
      <c r="AI22" s="237">
        <v>0</v>
      </c>
      <c r="AJ22" s="237">
        <v>0</v>
      </c>
      <c r="AK22" s="237">
        <v>0</v>
      </c>
      <c r="AL22" s="237">
        <v>0</v>
      </c>
      <c r="AM22" s="237">
        <v>2</v>
      </c>
      <c r="AN22" t="s">
        <v>281</v>
      </c>
      <c r="AO22" s="236" t="s">
        <v>281</v>
      </c>
      <c r="AT22" t="s">
        <v>281</v>
      </c>
      <c r="AU22" s="57"/>
      <c r="AV22" s="58"/>
      <c r="AW22" s="57"/>
      <c r="AX22" s="490">
        <f t="shared" si="0"/>
        <v>1</v>
      </c>
      <c r="BA22" s="57"/>
      <c r="BB22" s="490"/>
      <c r="BC22" s="58"/>
      <c r="BD22" s="58"/>
      <c r="BE22" s="57"/>
      <c r="BF22" s="490" t="str">
        <f t="shared" si="1"/>
        <v/>
      </c>
      <c r="BH22" s="57"/>
      <c r="BI22" s="490"/>
    </row>
    <row r="23" spans="1:63" ht="15.95" customHeight="1" x14ac:dyDescent="0.25">
      <c r="A23" s="490" t="s">
        <v>478</v>
      </c>
      <c r="B23" s="490"/>
      <c r="C23" s="57"/>
      <c r="D23" s="57"/>
      <c r="E23" s="58"/>
      <c r="G23" s="489" t="s">
        <v>479</v>
      </c>
      <c r="H23" s="489" t="s">
        <v>480</v>
      </c>
      <c r="I23" s="490" t="s">
        <v>409</v>
      </c>
      <c r="K23" s="57" t="s">
        <v>281</v>
      </c>
      <c r="M23" s="57"/>
      <c r="AX23" s="490">
        <f t="shared" si="0"/>
        <v>1</v>
      </c>
      <c r="BA23" s="57"/>
      <c r="BB23" s="490"/>
      <c r="BC23" s="58"/>
      <c r="BD23" s="58"/>
      <c r="BE23" s="57"/>
      <c r="BF23" s="490" t="str">
        <f t="shared" si="1"/>
        <v/>
      </c>
      <c r="BH23" s="57"/>
      <c r="BI23" s="490"/>
    </row>
    <row r="24" spans="1:63" ht="15.95" customHeight="1" x14ac:dyDescent="0.25">
      <c r="B24" s="490"/>
      <c r="C24" s="57"/>
      <c r="D24" s="57"/>
      <c r="E24" s="58"/>
      <c r="I24" s="489"/>
      <c r="J24" s="236" t="s">
        <v>478</v>
      </c>
      <c r="K24" s="57" t="s">
        <v>438</v>
      </c>
      <c r="L24" s="58" t="s">
        <v>142</v>
      </c>
      <c r="M24" s="57">
        <v>0</v>
      </c>
      <c r="N24" s="58" t="s">
        <v>229</v>
      </c>
      <c r="O24" s="58" t="s">
        <v>143</v>
      </c>
      <c r="P24" s="57" t="s">
        <v>281</v>
      </c>
      <c r="Q24" s="57" t="s">
        <v>281</v>
      </c>
      <c r="R24" s="57" t="s">
        <v>281</v>
      </c>
      <c r="S24" s="57" t="s">
        <v>281</v>
      </c>
      <c r="T24" s="57" t="s">
        <v>281</v>
      </c>
      <c r="U24" s="57" t="s">
        <v>281</v>
      </c>
      <c r="AA24" s="237">
        <v>0</v>
      </c>
      <c r="AB24" s="237">
        <v>0</v>
      </c>
      <c r="AC24" s="237">
        <v>0</v>
      </c>
      <c r="AD24" s="237">
        <v>0</v>
      </c>
      <c r="AE24" s="237">
        <v>0</v>
      </c>
      <c r="AF24" s="237">
        <v>0</v>
      </c>
      <c r="AG24" s="237">
        <v>0</v>
      </c>
      <c r="AH24" s="237">
        <v>0</v>
      </c>
      <c r="AI24" s="237">
        <v>0</v>
      </c>
      <c r="AJ24" s="237">
        <v>0</v>
      </c>
      <c r="AK24" s="237">
        <v>0</v>
      </c>
      <c r="AL24" s="237">
        <v>0</v>
      </c>
      <c r="AM24" s="237">
        <v>0</v>
      </c>
      <c r="AN24" t="s">
        <v>281</v>
      </c>
      <c r="AO24" s="236" t="s">
        <v>281</v>
      </c>
      <c r="AT24" t="s">
        <v>281</v>
      </c>
      <c r="AX24" s="490">
        <f t="shared" si="0"/>
        <v>1</v>
      </c>
      <c r="BF24" s="490" t="str">
        <f t="shared" si="1"/>
        <v/>
      </c>
      <c r="BH24" s="57"/>
      <c r="BI24" s="490"/>
    </row>
    <row r="25" spans="1:63" ht="15.95" customHeight="1" x14ac:dyDescent="0.25">
      <c r="A25" s="490" t="s">
        <v>481</v>
      </c>
      <c r="B25" s="490"/>
      <c r="C25" s="57"/>
      <c r="D25" s="57"/>
      <c r="E25" s="58"/>
      <c r="G25" s="489" t="s">
        <v>479</v>
      </c>
      <c r="H25" s="489" t="s">
        <v>480</v>
      </c>
      <c r="I25" s="490" t="s">
        <v>409</v>
      </c>
      <c r="K25" s="57" t="s">
        <v>281</v>
      </c>
      <c r="M25" s="57"/>
      <c r="AX25" s="490">
        <f t="shared" si="0"/>
        <v>1</v>
      </c>
      <c r="BF25" s="490" t="str">
        <f t="shared" si="1"/>
        <v/>
      </c>
    </row>
    <row r="26" spans="1:63" ht="15.95" customHeight="1" x14ac:dyDescent="0.25">
      <c r="B26" s="490"/>
      <c r="C26" s="57"/>
      <c r="D26" s="57"/>
      <c r="E26" s="58"/>
      <c r="I26" s="489"/>
      <c r="J26" s="236" t="s">
        <v>481</v>
      </c>
      <c r="K26" s="57" t="s">
        <v>438</v>
      </c>
      <c r="L26" s="58" t="s">
        <v>117</v>
      </c>
      <c r="M26" s="57">
        <v>5</v>
      </c>
      <c r="N26" s="58" t="s">
        <v>118</v>
      </c>
      <c r="O26" s="58" t="s">
        <v>119</v>
      </c>
      <c r="P26" s="57" t="s">
        <v>310</v>
      </c>
      <c r="Q26" s="57" t="s">
        <v>281</v>
      </c>
      <c r="R26" s="57" t="s">
        <v>281</v>
      </c>
      <c r="S26" s="57" t="s">
        <v>281</v>
      </c>
      <c r="T26" s="57" t="s">
        <v>281</v>
      </c>
      <c r="U26" s="57" t="s">
        <v>281</v>
      </c>
      <c r="AA26" s="237">
        <v>0</v>
      </c>
      <c r="AB26" s="237">
        <v>0</v>
      </c>
      <c r="AC26" s="237">
        <v>0</v>
      </c>
      <c r="AD26" s="237">
        <v>0</v>
      </c>
      <c r="AE26" s="237">
        <v>0</v>
      </c>
      <c r="AF26" s="237">
        <v>0</v>
      </c>
      <c r="AG26" s="237">
        <v>0</v>
      </c>
      <c r="AH26" s="237">
        <v>0</v>
      </c>
      <c r="AI26" s="237">
        <v>0</v>
      </c>
      <c r="AJ26" s="237">
        <v>0</v>
      </c>
      <c r="AK26" s="237">
        <v>0</v>
      </c>
      <c r="AL26" s="237">
        <v>0</v>
      </c>
      <c r="AM26" s="237">
        <v>5</v>
      </c>
      <c r="AN26" t="s">
        <v>410</v>
      </c>
      <c r="AO26" s="236" t="s">
        <v>407</v>
      </c>
      <c r="AT26" t="s">
        <v>281</v>
      </c>
      <c r="AX26" s="490">
        <f t="shared" si="0"/>
        <v>1</v>
      </c>
      <c r="BF26" s="490" t="str">
        <f t="shared" si="1"/>
        <v/>
      </c>
    </row>
    <row r="27" spans="1:63" ht="15.95" customHeight="1" x14ac:dyDescent="0.25">
      <c r="A27" s="490" t="s">
        <v>485</v>
      </c>
      <c r="B27" s="490"/>
      <c r="C27" s="57"/>
      <c r="D27" s="57"/>
      <c r="E27" s="58"/>
      <c r="G27" s="489" t="s">
        <v>486</v>
      </c>
      <c r="H27" s="489" t="s">
        <v>487</v>
      </c>
      <c r="I27" s="490" t="s">
        <v>409</v>
      </c>
      <c r="J27" s="490"/>
      <c r="K27" s="57" t="s">
        <v>281</v>
      </c>
      <c r="M27" s="57"/>
      <c r="AX27" s="490">
        <f t="shared" si="0"/>
        <v>1</v>
      </c>
      <c r="BF27" s="490" t="str">
        <f t="shared" si="1"/>
        <v/>
      </c>
    </row>
    <row r="28" spans="1:63" ht="15.95" customHeight="1" x14ac:dyDescent="0.25">
      <c r="B28" s="490"/>
      <c r="C28" s="57"/>
      <c r="D28" s="57"/>
      <c r="E28" s="58"/>
      <c r="I28" s="489"/>
      <c r="J28" s="236" t="s">
        <v>485</v>
      </c>
      <c r="K28" s="57" t="s">
        <v>438</v>
      </c>
      <c r="L28" s="58" t="s">
        <v>72</v>
      </c>
      <c r="M28" s="57">
        <v>8</v>
      </c>
      <c r="N28" s="58" t="s">
        <v>73</v>
      </c>
      <c r="O28" s="58" t="s">
        <v>284</v>
      </c>
      <c r="P28" s="57" t="s">
        <v>310</v>
      </c>
      <c r="Q28" s="57" t="s">
        <v>281</v>
      </c>
      <c r="R28" s="57" t="s">
        <v>281</v>
      </c>
      <c r="S28" s="57" t="s">
        <v>281</v>
      </c>
      <c r="T28" s="57" t="s">
        <v>281</v>
      </c>
      <c r="U28" s="57" t="s">
        <v>281</v>
      </c>
      <c r="AA28" s="237">
        <v>0</v>
      </c>
      <c r="AB28" s="237">
        <v>0</v>
      </c>
      <c r="AC28" s="237">
        <v>0</v>
      </c>
      <c r="AD28" s="237">
        <v>0</v>
      </c>
      <c r="AE28" s="237">
        <v>8</v>
      </c>
      <c r="AF28" s="237">
        <v>0</v>
      </c>
      <c r="AG28" s="237">
        <v>0</v>
      </c>
      <c r="AH28" s="237">
        <v>0</v>
      </c>
      <c r="AI28" s="237">
        <v>0</v>
      </c>
      <c r="AJ28" s="237">
        <v>0</v>
      </c>
      <c r="AK28" s="237">
        <v>0</v>
      </c>
      <c r="AL28" s="237">
        <v>0</v>
      </c>
      <c r="AM28" s="237">
        <v>0</v>
      </c>
      <c r="AN28" t="s">
        <v>281</v>
      </c>
      <c r="AO28" s="236" t="s">
        <v>281</v>
      </c>
      <c r="AT28" t="s">
        <v>281</v>
      </c>
      <c r="AX28" s="490">
        <f t="shared" si="0"/>
        <v>1</v>
      </c>
      <c r="BF28" s="490" t="str">
        <f t="shared" si="1"/>
        <v/>
      </c>
    </row>
    <row r="29" spans="1:63" ht="15.95" customHeight="1" x14ac:dyDescent="0.25">
      <c r="A29" s="4" t="s">
        <v>488</v>
      </c>
      <c r="B29" s="490"/>
      <c r="C29" s="57"/>
      <c r="D29" s="57"/>
      <c r="E29" s="58"/>
      <c r="G29" s="489" t="s">
        <v>486</v>
      </c>
      <c r="H29" s="489" t="s">
        <v>487</v>
      </c>
      <c r="I29" s="490" t="s">
        <v>409</v>
      </c>
      <c r="K29" s="57" t="s">
        <v>281</v>
      </c>
      <c r="M29" s="57"/>
      <c r="AX29" s="490">
        <f t="shared" si="0"/>
        <v>1</v>
      </c>
      <c r="BF29" s="490" t="str">
        <f t="shared" si="1"/>
        <v/>
      </c>
    </row>
    <row r="30" spans="1:63" ht="15.95" customHeight="1" x14ac:dyDescent="0.25">
      <c r="B30" s="490"/>
      <c r="C30" s="57"/>
      <c r="D30" s="57"/>
      <c r="E30" s="58"/>
      <c r="G30" s="490"/>
      <c r="J30" s="236" t="s">
        <v>488</v>
      </c>
      <c r="K30" s="57" t="s">
        <v>432</v>
      </c>
      <c r="L30" s="58" t="s">
        <v>141</v>
      </c>
      <c r="M30" s="57">
        <v>8</v>
      </c>
      <c r="N30" s="58" t="s">
        <v>168</v>
      </c>
      <c r="O30" s="58" t="s">
        <v>6</v>
      </c>
      <c r="P30" s="57" t="s">
        <v>250</v>
      </c>
      <c r="Q30" s="57" t="s">
        <v>281</v>
      </c>
      <c r="R30" s="57" t="s">
        <v>281</v>
      </c>
      <c r="S30" s="57" t="s">
        <v>281</v>
      </c>
      <c r="T30" s="57" t="s">
        <v>281</v>
      </c>
      <c r="U30" s="57" t="s">
        <v>281</v>
      </c>
      <c r="AA30" s="237">
        <v>0</v>
      </c>
      <c r="AB30" s="237">
        <v>0</v>
      </c>
      <c r="AC30" s="237">
        <v>0</v>
      </c>
      <c r="AD30" s="237">
        <v>0</v>
      </c>
      <c r="AE30" s="237">
        <v>0</v>
      </c>
      <c r="AF30" s="237">
        <v>0</v>
      </c>
      <c r="AG30" s="237">
        <v>8</v>
      </c>
      <c r="AH30" s="237">
        <v>0</v>
      </c>
      <c r="AI30" s="237">
        <v>0</v>
      </c>
      <c r="AJ30" s="237">
        <v>0</v>
      </c>
      <c r="AK30" s="237">
        <v>0</v>
      </c>
      <c r="AL30" s="237">
        <v>0</v>
      </c>
      <c r="AM30" s="237">
        <v>0</v>
      </c>
      <c r="AN30" t="s">
        <v>281</v>
      </c>
      <c r="AO30" s="236" t="s">
        <v>281</v>
      </c>
      <c r="AT30" t="s">
        <v>281</v>
      </c>
      <c r="AX30" s="490">
        <f t="shared" si="0"/>
        <v>1</v>
      </c>
      <c r="BF30" s="490" t="str">
        <f t="shared" si="1"/>
        <v/>
      </c>
    </row>
    <row r="31" spans="1:63" ht="15.95" customHeight="1" x14ac:dyDescent="0.25">
      <c r="B31" s="490"/>
      <c r="C31" s="57"/>
      <c r="D31" s="57"/>
      <c r="E31" s="58"/>
      <c r="J31" s="490" t="s">
        <v>488</v>
      </c>
      <c r="K31" s="57" t="s">
        <v>438</v>
      </c>
      <c r="L31" s="58" t="s">
        <v>115</v>
      </c>
      <c r="M31" s="57">
        <v>7</v>
      </c>
      <c r="N31" s="58" t="s">
        <v>226</v>
      </c>
      <c r="O31" s="58" t="s">
        <v>116</v>
      </c>
      <c r="P31" s="57" t="s">
        <v>248</v>
      </c>
      <c r="Q31" s="57" t="s">
        <v>281</v>
      </c>
      <c r="R31" s="57" t="s">
        <v>281</v>
      </c>
      <c r="S31" s="57" t="s">
        <v>281</v>
      </c>
      <c r="T31" s="57" t="s">
        <v>281</v>
      </c>
      <c r="U31" s="57" t="s">
        <v>281</v>
      </c>
      <c r="AA31" s="237">
        <v>0</v>
      </c>
      <c r="AB31" s="237">
        <v>0</v>
      </c>
      <c r="AC31" s="237">
        <v>0</v>
      </c>
      <c r="AD31" s="237">
        <v>0</v>
      </c>
      <c r="AE31" s="237">
        <v>0</v>
      </c>
      <c r="AF31" s="237">
        <v>0</v>
      </c>
      <c r="AG31" s="237">
        <v>0</v>
      </c>
      <c r="AH31" s="237">
        <v>0</v>
      </c>
      <c r="AI31" s="237">
        <v>0</v>
      </c>
      <c r="AJ31" s="237">
        <v>0</v>
      </c>
      <c r="AK31" s="237">
        <v>0</v>
      </c>
      <c r="AL31" s="237">
        <v>0</v>
      </c>
      <c r="AM31" s="237">
        <v>7</v>
      </c>
      <c r="AX31" s="490">
        <f t="shared" si="0"/>
        <v>2</v>
      </c>
      <c r="BF31" s="490" t="str">
        <f t="shared" si="1"/>
        <v/>
      </c>
    </row>
    <row r="32" spans="1:63" ht="15.75" customHeight="1" x14ac:dyDescent="0.25">
      <c r="B32" s="490"/>
      <c r="C32" s="57"/>
      <c r="D32" s="57"/>
      <c r="E32" s="58"/>
      <c r="J32" s="490" t="s">
        <v>488</v>
      </c>
      <c r="K32" s="57" t="s">
        <v>435</v>
      </c>
      <c r="L32" s="58" t="s">
        <v>82</v>
      </c>
      <c r="M32" s="57">
        <v>4</v>
      </c>
      <c r="N32" s="58" t="s">
        <v>287</v>
      </c>
      <c r="O32" s="58" t="s">
        <v>286</v>
      </c>
      <c r="P32" s="57" t="s">
        <v>265</v>
      </c>
      <c r="Q32" s="57" t="s">
        <v>281</v>
      </c>
      <c r="R32" s="57" t="s">
        <v>281</v>
      </c>
      <c r="S32" s="57" t="s">
        <v>281</v>
      </c>
      <c r="T32" s="57" t="s">
        <v>281</v>
      </c>
      <c r="U32" s="57" t="s">
        <v>281</v>
      </c>
      <c r="AA32" s="237">
        <v>0</v>
      </c>
      <c r="AB32" s="237">
        <v>0</v>
      </c>
      <c r="AC32" s="237">
        <v>0</v>
      </c>
      <c r="AD32" s="237">
        <v>0</v>
      </c>
      <c r="AE32" s="237">
        <v>0</v>
      </c>
      <c r="AF32" s="237">
        <v>0</v>
      </c>
      <c r="AG32" s="237">
        <v>0</v>
      </c>
      <c r="AH32" s="237">
        <v>0</v>
      </c>
      <c r="AI32" s="237">
        <v>0</v>
      </c>
      <c r="AJ32" s="237">
        <v>0</v>
      </c>
      <c r="AK32" s="237">
        <v>4</v>
      </c>
      <c r="AL32" s="237">
        <v>0</v>
      </c>
      <c r="AM32" s="237">
        <v>0</v>
      </c>
      <c r="AX32" s="490">
        <f t="shared" si="0"/>
        <v>3</v>
      </c>
      <c r="BF32" s="490" t="str">
        <f t="shared" si="1"/>
        <v/>
      </c>
    </row>
    <row r="33" spans="1:58" ht="15.95" customHeight="1" x14ac:dyDescent="0.25">
      <c r="B33" s="490"/>
      <c r="C33" s="57"/>
      <c r="D33" s="57"/>
      <c r="E33" s="58"/>
      <c r="J33" s="236" t="s">
        <v>488</v>
      </c>
      <c r="K33" s="57" t="s">
        <v>436</v>
      </c>
      <c r="L33" s="58" t="s">
        <v>63</v>
      </c>
      <c r="M33" s="70">
        <v>3</v>
      </c>
      <c r="N33" s="58" t="s">
        <v>64</v>
      </c>
      <c r="O33" s="58" t="s">
        <v>283</v>
      </c>
      <c r="P33" s="57" t="s">
        <v>265</v>
      </c>
      <c r="Q33" s="57" t="s">
        <v>281</v>
      </c>
      <c r="R33" s="57" t="s">
        <v>281</v>
      </c>
      <c r="S33" s="57" t="s">
        <v>281</v>
      </c>
      <c r="T33" s="57" t="s">
        <v>281</v>
      </c>
      <c r="U33" s="57" t="s">
        <v>281</v>
      </c>
      <c r="AA33" s="237">
        <v>0</v>
      </c>
      <c r="AB33" s="237">
        <v>0</v>
      </c>
      <c r="AC33" s="237">
        <v>0</v>
      </c>
      <c r="AD33" s="237">
        <v>0</v>
      </c>
      <c r="AE33" s="237">
        <v>0</v>
      </c>
      <c r="AF33" s="237">
        <v>0</v>
      </c>
      <c r="AG33" s="237">
        <v>0</v>
      </c>
      <c r="AH33" s="237">
        <v>0</v>
      </c>
      <c r="AI33" s="237">
        <v>0</v>
      </c>
      <c r="AJ33" s="237">
        <v>3</v>
      </c>
      <c r="AK33" s="237">
        <v>0</v>
      </c>
      <c r="AL33" s="237">
        <v>0</v>
      </c>
      <c r="AM33" s="237">
        <v>0</v>
      </c>
      <c r="AN33" t="s">
        <v>281</v>
      </c>
      <c r="AO33" s="236" t="s">
        <v>281</v>
      </c>
      <c r="AT33" t="s">
        <v>281</v>
      </c>
      <c r="AX33" s="490">
        <f t="shared" si="0"/>
        <v>4</v>
      </c>
      <c r="BF33" s="490" t="str">
        <f t="shared" si="1"/>
        <v/>
      </c>
    </row>
    <row r="34" spans="1:58" ht="15.95" customHeight="1" x14ac:dyDescent="0.25">
      <c r="A34" s="4" t="s">
        <v>490</v>
      </c>
      <c r="B34" s="490"/>
      <c r="C34" s="57"/>
      <c r="D34" s="57"/>
      <c r="E34" s="58"/>
      <c r="F34" s="487" t="s">
        <v>281</v>
      </c>
      <c r="G34" s="489" t="s">
        <v>491</v>
      </c>
      <c r="H34" t="s">
        <v>492</v>
      </c>
      <c r="I34" s="490" t="s">
        <v>409</v>
      </c>
      <c r="K34" s="57" t="s">
        <v>281</v>
      </c>
      <c r="AX34" s="490">
        <f t="shared" si="0"/>
        <v>1</v>
      </c>
    </row>
    <row r="35" spans="1:58" ht="15.95" customHeight="1" x14ac:dyDescent="0.25">
      <c r="B35" s="490"/>
      <c r="C35" s="57"/>
      <c r="D35" s="57"/>
      <c r="E35" s="58"/>
      <c r="J35" s="236" t="s">
        <v>490</v>
      </c>
      <c r="K35" s="57" t="s">
        <v>438</v>
      </c>
      <c r="L35" s="58" t="s">
        <v>395</v>
      </c>
      <c r="M35" s="70">
        <v>6</v>
      </c>
      <c r="N35" s="58" t="s">
        <v>77</v>
      </c>
      <c r="O35" s="58" t="s">
        <v>66</v>
      </c>
      <c r="P35" s="57" t="s">
        <v>281</v>
      </c>
      <c r="Q35" s="57" t="s">
        <v>281</v>
      </c>
      <c r="R35" s="57" t="s">
        <v>281</v>
      </c>
      <c r="S35" s="57" t="s">
        <v>281</v>
      </c>
      <c r="T35" s="57" t="s">
        <v>281</v>
      </c>
      <c r="U35" s="57" t="s">
        <v>281</v>
      </c>
      <c r="AA35" s="237">
        <v>0</v>
      </c>
      <c r="AB35" s="237">
        <v>0</v>
      </c>
      <c r="AC35" s="237">
        <v>0</v>
      </c>
      <c r="AD35" s="237">
        <v>0</v>
      </c>
      <c r="AE35" s="237">
        <v>0</v>
      </c>
      <c r="AF35" s="237">
        <v>0</v>
      </c>
      <c r="AG35" s="237">
        <v>0</v>
      </c>
      <c r="AH35" s="237">
        <v>0</v>
      </c>
      <c r="AI35" s="237">
        <v>6</v>
      </c>
      <c r="AJ35" s="237">
        <v>0</v>
      </c>
      <c r="AK35" s="237">
        <v>0</v>
      </c>
      <c r="AL35" s="237">
        <v>0</v>
      </c>
      <c r="AM35" s="237">
        <v>0</v>
      </c>
      <c r="AN35" t="s">
        <v>281</v>
      </c>
      <c r="AO35" s="236" t="s">
        <v>281</v>
      </c>
      <c r="AT35" t="s">
        <v>281</v>
      </c>
      <c r="AX35" s="490">
        <f t="shared" si="0"/>
        <v>1</v>
      </c>
    </row>
    <row r="36" spans="1:58" ht="15.95" customHeight="1" x14ac:dyDescent="0.25">
      <c r="A36" s="490"/>
      <c r="B36" s="490"/>
      <c r="C36" s="57" t="str">
        <f>IFERROR(IF(L36="","",IF(I36="",INDEX(Procesos!$1:$1048576,IF(AX36=1,5,MATCH(AX36,Procesos!A:A,0))+7,MATCH(J36,Procesos!$2:$2,0)+6),"")),"Despacho")</f>
        <v>Despacho</v>
      </c>
      <c r="D36" s="57"/>
      <c r="E36" s="58" t="s">
        <v>432</v>
      </c>
      <c r="H36"/>
      <c r="J36" s="236" t="s">
        <v>490</v>
      </c>
      <c r="K36" s="57" t="s">
        <v>281</v>
      </c>
      <c r="L36" s="58" t="e">
        <v>#N/A</v>
      </c>
      <c r="M36" s="70">
        <v>0</v>
      </c>
      <c r="N36" s="58" t="s">
        <v>281</v>
      </c>
      <c r="O36" s="58" t="s">
        <v>281</v>
      </c>
      <c r="P36" s="57" t="s">
        <v>281</v>
      </c>
      <c r="Q36" s="57" t="s">
        <v>281</v>
      </c>
      <c r="R36" s="57" t="s">
        <v>281</v>
      </c>
      <c r="S36" s="57" t="s">
        <v>281</v>
      </c>
      <c r="T36" s="57" t="s">
        <v>281</v>
      </c>
      <c r="U36" s="57" t="s">
        <v>281</v>
      </c>
      <c r="AA36" s="237">
        <v>0</v>
      </c>
      <c r="AB36" s="237">
        <v>0</v>
      </c>
      <c r="AC36" s="237">
        <v>0</v>
      </c>
      <c r="AD36" s="237">
        <v>0</v>
      </c>
      <c r="AE36" s="237">
        <v>0</v>
      </c>
      <c r="AF36" s="237">
        <v>0</v>
      </c>
      <c r="AG36" s="237">
        <v>0</v>
      </c>
      <c r="AH36" s="237">
        <v>0</v>
      </c>
      <c r="AI36" s="237">
        <v>0</v>
      </c>
      <c r="AJ36" s="237">
        <v>0</v>
      </c>
      <c r="AK36" s="237">
        <v>0</v>
      </c>
      <c r="AL36" s="237">
        <v>0</v>
      </c>
      <c r="AM36" s="237">
        <v>0</v>
      </c>
      <c r="AN36" t="s">
        <v>281</v>
      </c>
      <c r="AO36" s="236" t="s">
        <v>281</v>
      </c>
      <c r="AT36" t="s">
        <v>281</v>
      </c>
      <c r="AX36" s="490">
        <f t="shared" si="0"/>
        <v>2</v>
      </c>
      <c r="BF36" s="490" t="str">
        <f t="shared" si="1"/>
        <v/>
      </c>
    </row>
    <row r="37" spans="1:58" ht="15.95" customHeight="1" x14ac:dyDescent="0.25">
      <c r="A37" s="490"/>
      <c r="B37" s="490"/>
      <c r="C37" s="57"/>
      <c r="D37" s="57"/>
      <c r="E37" s="58"/>
      <c r="K37" s="57" t="s">
        <v>281</v>
      </c>
      <c r="R37" s="57" t="s">
        <v>281</v>
      </c>
      <c r="S37" s="57" t="s">
        <v>281</v>
      </c>
      <c r="T37" s="57" t="s">
        <v>281</v>
      </c>
      <c r="AT37" t="s">
        <v>281</v>
      </c>
      <c r="AX37" s="490">
        <f t="shared" si="0"/>
        <v>1</v>
      </c>
      <c r="BF37" s="490" t="str">
        <f t="shared" si="1"/>
        <v/>
      </c>
    </row>
    <row r="38" spans="1:58" ht="15.95" customHeight="1" x14ac:dyDescent="0.25">
      <c r="C38" s="57" t="str">
        <f>IFERROR(IF(L38="","",IF(I38="",INDEX(Procesos!$1:$1048576,IF(AX38=1,5,MATCH(AX38,Procesos!A:A,0))+7,MATCH(J38,Procesos!$2:$2,0)+6),"")),"Despacho")</f>
        <v/>
      </c>
      <c r="D38" s="57"/>
      <c r="K38" s="57" t="s">
        <v>281</v>
      </c>
      <c r="R38" s="57" t="s">
        <v>281</v>
      </c>
      <c r="S38" s="57" t="s">
        <v>281</v>
      </c>
      <c r="T38" s="57" t="s">
        <v>281</v>
      </c>
      <c r="AT38" t="s">
        <v>281</v>
      </c>
      <c r="AX38" s="490" t="e">
        <f>IF(J38=#REF!,#REF!+1,1)</f>
        <v>#REF!</v>
      </c>
      <c r="BF38" s="490" t="str">
        <f t="shared" si="1"/>
        <v/>
      </c>
    </row>
    <row r="39" spans="1:58" ht="15.95" customHeight="1" x14ac:dyDescent="0.25">
      <c r="C39" s="57"/>
      <c r="D39" s="57"/>
      <c r="AX39" s="490" t="e">
        <f t="shared" si="0"/>
        <v>#REF!</v>
      </c>
      <c r="BF39" s="490" t="str">
        <f t="shared" si="1"/>
        <v/>
      </c>
    </row>
    <row r="40" spans="1:58" ht="15.95" customHeight="1" x14ac:dyDescent="0.25">
      <c r="C40" s="57"/>
      <c r="D40" s="57"/>
      <c r="AX40" s="490" t="e">
        <f t="shared" si="0"/>
        <v>#REF!</v>
      </c>
      <c r="BF40" s="490" t="str">
        <f t="shared" si="1"/>
        <v/>
      </c>
    </row>
    <row r="41" spans="1:58" ht="15.95" customHeight="1" x14ac:dyDescent="0.25">
      <c r="C41" s="57"/>
      <c r="D41" s="57"/>
      <c r="AX41" s="490" t="e">
        <f t="shared" si="0"/>
        <v>#REF!</v>
      </c>
      <c r="BF41" s="490" t="str">
        <f t="shared" si="1"/>
        <v/>
      </c>
    </row>
    <row r="42" spans="1:58" ht="15.95" customHeight="1" x14ac:dyDescent="0.25">
      <c r="C42" s="57" t="str">
        <f>IFERROR(IF(L42="","",IF(I42="",INDEX(Procesos!$1:$1048576,IF(AX42=1,5,MATCH(AX42,Procesos!A:A,0))+7,MATCH(J42,Procesos!$2:$2,0)+6),"")),"")</f>
        <v/>
      </c>
      <c r="D42" s="57" t="str">
        <f t="shared" ref="D42:D65" si="2">IF(J42="","",J42&amp;"     ITEM # "&amp;AX42)</f>
        <v/>
      </c>
      <c r="K42" s="57" t="s">
        <v>281</v>
      </c>
      <c r="AX42" s="490" t="e">
        <f t="shared" si="0"/>
        <v>#REF!</v>
      </c>
      <c r="BF42" s="490" t="str">
        <f t="shared" si="1"/>
        <v/>
      </c>
    </row>
    <row r="43" spans="1:58" ht="15.95" customHeight="1" x14ac:dyDescent="0.25">
      <c r="C43" s="57" t="str">
        <f>IFERROR(IF(L43="","",IF(I43="",INDEX(Procesos!$1:$1048576,IF(AX43=1,5,MATCH(AX43,Procesos!A:A,0))+7,MATCH(J43,Procesos!$2:$2,0)+6),"")),"")</f>
        <v/>
      </c>
      <c r="D43" s="57" t="str">
        <f t="shared" si="2"/>
        <v/>
      </c>
      <c r="K43" s="57" t="s">
        <v>281</v>
      </c>
      <c r="AX43" s="490" t="e">
        <f t="shared" si="0"/>
        <v>#REF!</v>
      </c>
      <c r="BF43" s="490" t="str">
        <f t="shared" si="1"/>
        <v/>
      </c>
    </row>
    <row r="44" spans="1:58" ht="15.95" customHeight="1" x14ac:dyDescent="0.25">
      <c r="C44" s="57" t="str">
        <f>IFERROR(IF(L44="","",IF(I44="",INDEX(Procesos!$1:$1048576,IF(AX44=1,5,MATCH(AX44,Procesos!A:A,0))+7,MATCH(J44,Procesos!$2:$2,0)+6),"")),"")</f>
        <v/>
      </c>
      <c r="D44" s="57" t="str">
        <f t="shared" si="2"/>
        <v/>
      </c>
      <c r="K44" s="57" t="s">
        <v>281</v>
      </c>
      <c r="AX44" s="490" t="e">
        <f t="shared" si="0"/>
        <v>#REF!</v>
      </c>
      <c r="BF44" s="490" t="str">
        <f t="shared" si="1"/>
        <v/>
      </c>
    </row>
    <row r="45" spans="1:58" ht="15.95" customHeight="1" x14ac:dyDescent="0.25">
      <c r="C45" s="57" t="str">
        <f>IFERROR(IF(L45="","",IF(I45="",INDEX(Procesos!$1:$1048576,IF(AX45=1,5,MATCH(AX45,Procesos!A:A,0))+7,MATCH(J45,Procesos!$2:$2,0)+6),"")),"")</f>
        <v/>
      </c>
      <c r="D45" s="57" t="str">
        <f t="shared" si="2"/>
        <v/>
      </c>
      <c r="K45" s="57" t="s">
        <v>281</v>
      </c>
      <c r="AX45" s="490" t="e">
        <f t="shared" si="0"/>
        <v>#REF!</v>
      </c>
      <c r="BF45" s="490" t="str">
        <f t="shared" si="1"/>
        <v/>
      </c>
    </row>
    <row r="46" spans="1:58" ht="15.95" customHeight="1" x14ac:dyDescent="0.25">
      <c r="C46" s="57" t="str">
        <f>IFERROR(IF(L46="","",IF(I46="",INDEX(Procesos!$1:$1048576,IF(AX46=1,5,MATCH(AX46,Procesos!A:A,0))+7,MATCH(J46,Procesos!$2:$2,0)+6),"")),"")</f>
        <v/>
      </c>
      <c r="D46" s="57" t="str">
        <f t="shared" si="2"/>
        <v/>
      </c>
      <c r="K46" s="57" t="s">
        <v>281</v>
      </c>
      <c r="AX46" s="490" t="e">
        <f t="shared" si="0"/>
        <v>#REF!</v>
      </c>
      <c r="BF46" s="490" t="str">
        <f t="shared" si="1"/>
        <v/>
      </c>
    </row>
    <row r="47" spans="1:58" ht="15.95" customHeight="1" x14ac:dyDescent="0.25">
      <c r="C47" s="57" t="str">
        <f>IFERROR(IF(L47="","",IF(I47="",INDEX(Procesos!$1:$1048576,IF(AX47=1,5,MATCH(AX47,Procesos!A:A,0))+7,MATCH(J47,Procesos!$2:$2,0)+6),"")),"")</f>
        <v/>
      </c>
      <c r="D47" s="57" t="str">
        <f t="shared" si="2"/>
        <v/>
      </c>
      <c r="K47" s="57" t="s">
        <v>281</v>
      </c>
      <c r="AX47" s="490" t="e">
        <f t="shared" si="0"/>
        <v>#REF!</v>
      </c>
      <c r="BF47" s="490" t="str">
        <f t="shared" si="1"/>
        <v/>
      </c>
    </row>
    <row r="48" spans="1:58" ht="15.95" customHeight="1" x14ac:dyDescent="0.25">
      <c r="C48" s="57" t="str">
        <f>IFERROR(IF(L48="","",IF(I48="",INDEX(Procesos!$1:$1048576,IF(AX48=1,5,MATCH(AX48,Procesos!A:A,0))+7,MATCH(J48,Procesos!$2:$2,0)+6),"")),"")</f>
        <v/>
      </c>
      <c r="D48" s="57" t="str">
        <f t="shared" si="2"/>
        <v/>
      </c>
      <c r="K48" s="57" t="s">
        <v>281</v>
      </c>
      <c r="AX48" s="490" t="e">
        <f t="shared" si="0"/>
        <v>#REF!</v>
      </c>
      <c r="BF48" s="490" t="str">
        <f t="shared" si="1"/>
        <v/>
      </c>
    </row>
    <row r="49" spans="3:58" ht="15.95" customHeight="1" x14ac:dyDescent="0.25">
      <c r="C49" s="57" t="str">
        <f>IFERROR(IF(L49="","",IF(I49="",INDEX(Procesos!$1:$1048576,IF(AX49=1,5,MATCH(AX49,Procesos!A:A,0))+7,MATCH(J49,Procesos!$2:$2,0)+6),"")),"")</f>
        <v/>
      </c>
      <c r="D49" s="57" t="str">
        <f t="shared" si="2"/>
        <v/>
      </c>
      <c r="K49" s="57" t="s">
        <v>281</v>
      </c>
      <c r="AX49" s="490" t="e">
        <f t="shared" si="0"/>
        <v>#REF!</v>
      </c>
      <c r="BF49" s="490" t="str">
        <f t="shared" si="1"/>
        <v/>
      </c>
    </row>
    <row r="50" spans="3:58" ht="15.95" customHeight="1" x14ac:dyDescent="0.25">
      <c r="C50" s="57" t="str">
        <f>IFERROR(IF(L50="","",IF(I50="",INDEX(Procesos!$1:$1048576,IF(AX50=1,5,MATCH(AX50,Procesos!A:A,0))+7,MATCH(J50,Procesos!$2:$2,0)+6),"")),"")</f>
        <v/>
      </c>
      <c r="D50" s="57" t="str">
        <f t="shared" si="2"/>
        <v/>
      </c>
      <c r="K50" s="57" t="s">
        <v>281</v>
      </c>
      <c r="AX50" s="490" t="e">
        <f t="shared" si="0"/>
        <v>#REF!</v>
      </c>
      <c r="BF50" s="490" t="str">
        <f t="shared" si="1"/>
        <v/>
      </c>
    </row>
    <row r="51" spans="3:58" ht="15.95" customHeight="1" x14ac:dyDescent="0.25">
      <c r="C51" s="57" t="str">
        <f>IFERROR(IF(L51="","",IF(I51="",INDEX(Procesos!$1:$1048576,IF(AX51=1,5,MATCH(AX51,Procesos!A:A,0))+7,MATCH(J51,Procesos!$2:$2,0)+6),"")),"")</f>
        <v/>
      </c>
      <c r="D51" s="57" t="str">
        <f t="shared" si="2"/>
        <v/>
      </c>
      <c r="K51" s="57" t="s">
        <v>281</v>
      </c>
      <c r="AX51" s="490" t="e">
        <f t="shared" si="0"/>
        <v>#REF!</v>
      </c>
      <c r="BF51" s="490" t="str">
        <f t="shared" si="1"/>
        <v/>
      </c>
    </row>
    <row r="52" spans="3:58" ht="15.95" customHeight="1" x14ac:dyDescent="0.25">
      <c r="C52" s="57" t="str">
        <f>IFERROR(IF(L52="","",IF(I52="",INDEX(Procesos!$1:$1048576,IF(AX52=1,5,MATCH(AX52,Procesos!A:A,0))+7,MATCH(J52,Procesos!$2:$2,0)+6),"")),"")</f>
        <v/>
      </c>
      <c r="D52" s="57" t="str">
        <f t="shared" si="2"/>
        <v/>
      </c>
      <c r="K52" s="57" t="s">
        <v>281</v>
      </c>
      <c r="AX52" s="490" t="e">
        <f t="shared" si="0"/>
        <v>#REF!</v>
      </c>
      <c r="BF52" s="490" t="str">
        <f t="shared" si="1"/>
        <v/>
      </c>
    </row>
    <row r="53" spans="3:58" ht="15.95" customHeight="1" x14ac:dyDescent="0.25">
      <c r="C53" s="57" t="str">
        <f>IFERROR(IF(L53="","",IF(I53="",INDEX(Procesos!$1:$1048576,IF(AX53=1,5,MATCH(AX53,Procesos!A:A,0))+7,MATCH(J53,Procesos!$2:$2,0)+6),"")),"")</f>
        <v/>
      </c>
      <c r="D53" s="57" t="str">
        <f t="shared" si="2"/>
        <v/>
      </c>
      <c r="K53" s="57" t="s">
        <v>281</v>
      </c>
      <c r="AX53" s="490" t="e">
        <f t="shared" si="0"/>
        <v>#REF!</v>
      </c>
      <c r="BF53" s="490" t="str">
        <f t="shared" si="1"/>
        <v/>
      </c>
    </row>
    <row r="54" spans="3:58" ht="15.95" customHeight="1" x14ac:dyDescent="0.25">
      <c r="C54" s="57" t="str">
        <f>IFERROR(IF(L54="","",IF(I54="",INDEX(Procesos!$1:$1048576,IF(AX54=1,5,MATCH(AX54,Procesos!A:A,0))+7,MATCH(J54,Procesos!$2:$2,0)+6),"")),"")</f>
        <v/>
      </c>
      <c r="D54" s="57" t="str">
        <f t="shared" si="2"/>
        <v/>
      </c>
      <c r="K54" s="57" t="s">
        <v>281</v>
      </c>
      <c r="AX54" s="490" t="e">
        <f t="shared" si="0"/>
        <v>#REF!</v>
      </c>
      <c r="BF54" s="490" t="str">
        <f t="shared" si="1"/>
        <v/>
      </c>
    </row>
    <row r="55" spans="3:58" ht="15.95" customHeight="1" x14ac:dyDescent="0.25">
      <c r="C55" s="57" t="str">
        <f>IFERROR(IF(L55="","",IF(I55="",INDEX(Procesos!$1:$1048576,IF(AX55=1,5,MATCH(AX55,Procesos!A:A,0))+7,MATCH(J55,Procesos!$2:$2,0)+6),"")),"")</f>
        <v/>
      </c>
      <c r="D55" s="57" t="str">
        <f t="shared" si="2"/>
        <v/>
      </c>
      <c r="K55" s="57" t="s">
        <v>281</v>
      </c>
      <c r="AX55" s="490" t="e">
        <f t="shared" si="0"/>
        <v>#REF!</v>
      </c>
      <c r="BF55" s="490" t="str">
        <f t="shared" si="1"/>
        <v/>
      </c>
    </row>
    <row r="56" spans="3:58" ht="15.95" customHeight="1" x14ac:dyDescent="0.25">
      <c r="C56" s="57" t="str">
        <f>IFERROR(IF(L56="","",IF(I56="",INDEX(Procesos!$1:$1048576,IF(AX56=1,5,MATCH(AX56,Procesos!A:A,0))+7,MATCH(J56,Procesos!$2:$2,0)+6),"")),"")</f>
        <v/>
      </c>
      <c r="D56" s="57" t="str">
        <f t="shared" si="2"/>
        <v/>
      </c>
      <c r="K56" s="57" t="s">
        <v>281</v>
      </c>
      <c r="AX56" s="490" t="e">
        <f t="shared" si="0"/>
        <v>#REF!</v>
      </c>
      <c r="BF56" s="490" t="str">
        <f t="shared" si="1"/>
        <v/>
      </c>
    </row>
    <row r="57" spans="3:58" ht="15.95" customHeight="1" x14ac:dyDescent="0.25">
      <c r="C57" s="57" t="str">
        <f>IFERROR(IF(L57="","",IF(I57="",INDEX(Procesos!$1:$1048576,IF(AX57=1,5,MATCH(AX57,Procesos!A:A,0))+7,MATCH(J57,Procesos!$2:$2,0)+6),"")),"")</f>
        <v/>
      </c>
      <c r="D57" s="57" t="str">
        <f t="shared" si="2"/>
        <v/>
      </c>
      <c r="K57" s="57" t="s">
        <v>281</v>
      </c>
      <c r="AX57" s="490" t="e">
        <f t="shared" si="0"/>
        <v>#REF!</v>
      </c>
      <c r="BF57" s="490" t="str">
        <f t="shared" si="1"/>
        <v/>
      </c>
    </row>
    <row r="58" spans="3:58" ht="15.95" customHeight="1" x14ac:dyDescent="0.25">
      <c r="C58" s="57" t="str">
        <f>IFERROR(IF(L58="","",IF(I58="",INDEX(Procesos!$1:$1048576,IF(AX58=1,5,MATCH(AX58,Procesos!A:A,0))+7,MATCH(J58,Procesos!$2:$2,0)+6),"")),"")</f>
        <v/>
      </c>
      <c r="D58" s="57" t="str">
        <f t="shared" si="2"/>
        <v/>
      </c>
      <c r="K58" s="57" t="s">
        <v>281</v>
      </c>
      <c r="AX58" s="490" t="e">
        <f t="shared" si="0"/>
        <v>#REF!</v>
      </c>
      <c r="BF58" s="490" t="str">
        <f t="shared" si="1"/>
        <v/>
      </c>
    </row>
    <row r="59" spans="3:58" ht="15.95" customHeight="1" x14ac:dyDescent="0.25">
      <c r="C59" s="57" t="str">
        <f>IFERROR(IF(L59="","",IF(I59="",INDEX(Procesos!$1:$1048576,IF(AX59=1,5,MATCH(AX59,Procesos!A:A,0))+7,MATCH(J59,Procesos!$2:$2,0)+6),"")),"")</f>
        <v/>
      </c>
      <c r="D59" s="57" t="str">
        <f t="shared" si="2"/>
        <v/>
      </c>
      <c r="K59" s="57" t="s">
        <v>281</v>
      </c>
      <c r="AX59" s="490" t="e">
        <f t="shared" si="0"/>
        <v>#REF!</v>
      </c>
      <c r="BF59" s="490" t="str">
        <f t="shared" si="1"/>
        <v/>
      </c>
    </row>
    <row r="60" spans="3:58" ht="15.95" customHeight="1" x14ac:dyDescent="0.25">
      <c r="C60" s="57" t="str">
        <f>IFERROR(IF(L60="","",IF(I60="",INDEX(Procesos!$1:$1048576,IF(AX60=1,5,MATCH(AX60,Procesos!A:A,0))+7,MATCH(J60,Procesos!$2:$2,0)+6),"")),"")</f>
        <v/>
      </c>
      <c r="D60" s="57" t="str">
        <f t="shared" si="2"/>
        <v/>
      </c>
      <c r="K60" s="57" t="s">
        <v>281</v>
      </c>
      <c r="AX60" s="490" t="e">
        <f t="shared" si="0"/>
        <v>#REF!</v>
      </c>
      <c r="BF60" s="490" t="str">
        <f t="shared" si="1"/>
        <v/>
      </c>
    </row>
    <row r="61" spans="3:58" ht="15.95" customHeight="1" x14ac:dyDescent="0.25">
      <c r="C61" s="57" t="str">
        <f>IFERROR(IF(L61="","",IF(I61="",INDEX(Procesos!$1:$1048576,IF(AX61=1,5,MATCH(AX61,Procesos!A:A,0))+7,MATCH(J61,Procesos!$2:$2,0)+6),"")),"")</f>
        <v/>
      </c>
      <c r="D61" s="57" t="str">
        <f t="shared" si="2"/>
        <v/>
      </c>
      <c r="K61" s="57" t="s">
        <v>281</v>
      </c>
      <c r="AX61" s="490" t="e">
        <f t="shared" si="0"/>
        <v>#REF!</v>
      </c>
      <c r="BF61" s="490" t="str">
        <f t="shared" si="1"/>
        <v/>
      </c>
    </row>
    <row r="62" spans="3:58" ht="15.95" customHeight="1" x14ac:dyDescent="0.25">
      <c r="C62" s="57" t="str">
        <f>IFERROR(IF(L62="","",IF(I62="",INDEX(Procesos!$1:$1048576,IF(AX62=1,5,MATCH(AX62,Procesos!A:A,0))+7,MATCH(J62,Procesos!$2:$2,0)+6),"")),"")</f>
        <v/>
      </c>
      <c r="D62" s="57" t="str">
        <f t="shared" si="2"/>
        <v/>
      </c>
      <c r="K62" s="57" t="s">
        <v>281</v>
      </c>
      <c r="AX62" s="490" t="e">
        <f t="shared" si="0"/>
        <v>#REF!</v>
      </c>
      <c r="BF62" s="490" t="str">
        <f t="shared" si="1"/>
        <v/>
      </c>
    </row>
    <row r="63" spans="3:58" ht="15.95" customHeight="1" x14ac:dyDescent="0.25">
      <c r="C63" s="57" t="str">
        <f>IFERROR(IF(L63="","",IF(I63="",INDEX(Procesos!$1:$1048576,IF(AX63=1,5,MATCH(AX63,Procesos!A:A,0))+7,MATCH(J63,Procesos!$2:$2,0)+6),"")),"")</f>
        <v/>
      </c>
      <c r="D63" s="57" t="str">
        <f t="shared" si="2"/>
        <v/>
      </c>
      <c r="K63" s="57" t="s">
        <v>281</v>
      </c>
      <c r="AX63" s="490" t="e">
        <f t="shared" si="0"/>
        <v>#REF!</v>
      </c>
      <c r="BF63" s="490" t="str">
        <f t="shared" si="1"/>
        <v/>
      </c>
    </row>
    <row r="64" spans="3:58" ht="15.95" customHeight="1" x14ac:dyDescent="0.25">
      <c r="C64" s="57" t="str">
        <f>IFERROR(IF(L64="","",IF(I64="",INDEX(Procesos!$1:$1048576,IF(AX64=1,5,MATCH(AX64,Procesos!A:A,0))+7,MATCH(J64,Procesos!$2:$2,0)+6),"")),"")</f>
        <v/>
      </c>
      <c r="D64" s="57" t="str">
        <f t="shared" si="2"/>
        <v/>
      </c>
      <c r="K64" s="57" t="s">
        <v>281</v>
      </c>
      <c r="AX64" s="490" t="e">
        <f t="shared" si="0"/>
        <v>#REF!</v>
      </c>
      <c r="BF64" s="490" t="str">
        <f t="shared" si="1"/>
        <v/>
      </c>
    </row>
    <row r="65" spans="3:58" ht="15.95" customHeight="1" x14ac:dyDescent="0.25">
      <c r="C65" s="57" t="str">
        <f>IFERROR(IF(L65="","",IF(I65="",INDEX(Procesos!$1:$1048576,IF(AX65=1,5,MATCH(AX65,Procesos!A:A,0))+7,MATCH(J65,Procesos!$2:$2,0)+6),"")),"")</f>
        <v/>
      </c>
      <c r="D65" s="57" t="str">
        <f t="shared" si="2"/>
        <v/>
      </c>
      <c r="K65" s="57" t="s">
        <v>281</v>
      </c>
      <c r="AX65" s="490" t="e">
        <f t="shared" si="0"/>
        <v>#REF!</v>
      </c>
      <c r="BF65" s="490" t="str">
        <f t="shared" si="1"/>
        <v/>
      </c>
    </row>
    <row r="66" spans="3:58" ht="15.95" customHeight="1" x14ac:dyDescent="0.25">
      <c r="C66" s="57" t="str">
        <f>IFERROR(IF(L66="","",IF(I66="",INDEX(Procesos!$1:$1048576,IF(AX66=1,5,MATCH(AX66,Procesos!A:A,0))+7,MATCH(J66,Procesos!$2:$2,0)+6),"")),"")</f>
        <v/>
      </c>
      <c r="D66" s="57" t="str">
        <f t="shared" ref="D66:D129" si="3">IF(J66="","",J66&amp;"     ITEM # "&amp;AX66)</f>
        <v/>
      </c>
      <c r="K66" s="57" t="s">
        <v>281</v>
      </c>
      <c r="AX66" s="490" t="e">
        <f t="shared" si="0"/>
        <v>#REF!</v>
      </c>
      <c r="BF66" s="490" t="str">
        <f t="shared" si="1"/>
        <v/>
      </c>
    </row>
    <row r="67" spans="3:58" ht="15.95" customHeight="1" x14ac:dyDescent="0.25">
      <c r="C67" s="57" t="str">
        <f>IFERROR(IF(L67="","",IF(I67="",INDEX(Procesos!$1:$1048576,IF(AX67=1,5,MATCH(AX67,Procesos!A:A,0))+7,MATCH(J67,Procesos!$2:$2,0)+6),"")),"")</f>
        <v/>
      </c>
      <c r="D67" s="57" t="str">
        <f t="shared" si="3"/>
        <v/>
      </c>
      <c r="K67" s="57" t="s">
        <v>281</v>
      </c>
      <c r="AX67" s="490" t="e">
        <f t="shared" ref="AX67:AX130" si="4">IF(J67=J66,AX66+1,1)</f>
        <v>#REF!</v>
      </c>
      <c r="BF67" s="490" t="str">
        <f t="shared" si="1"/>
        <v/>
      </c>
    </row>
    <row r="68" spans="3:58" ht="15.95" customHeight="1" x14ac:dyDescent="0.25">
      <c r="C68" s="57" t="str">
        <f>IFERROR(IF(L68="","",IF(I68="",INDEX(Procesos!$1:$1048576,IF(AX68=1,5,MATCH(AX68,Procesos!A:A,0))+7,MATCH(J68,Procesos!$2:$2,0)+6),"")),"")</f>
        <v/>
      </c>
      <c r="D68" s="57" t="str">
        <f t="shared" si="3"/>
        <v/>
      </c>
      <c r="K68" s="57" t="s">
        <v>281</v>
      </c>
      <c r="AX68" s="490" t="e">
        <f t="shared" si="4"/>
        <v>#REF!</v>
      </c>
      <c r="BF68" s="490" t="str">
        <f t="shared" si="1"/>
        <v/>
      </c>
    </row>
    <row r="69" spans="3:58" ht="15.95" customHeight="1" x14ac:dyDescent="0.25">
      <c r="C69" s="57" t="str">
        <f>IFERROR(IF(L69="","",IF(I69="",INDEX(Procesos!$1:$1048576,IF(AX69=1,5,MATCH(AX69,Procesos!A:A,0))+7,MATCH(J69,Procesos!$2:$2,0)+6),"")),"")</f>
        <v/>
      </c>
      <c r="D69" s="57" t="str">
        <f t="shared" si="3"/>
        <v/>
      </c>
      <c r="K69" s="57" t="s">
        <v>281</v>
      </c>
      <c r="AX69" s="490" t="e">
        <f t="shared" si="4"/>
        <v>#REF!</v>
      </c>
      <c r="BF69" s="490" t="str">
        <f t="shared" si="1"/>
        <v/>
      </c>
    </row>
    <row r="70" spans="3:58" ht="15.95" customHeight="1" x14ac:dyDescent="0.25">
      <c r="C70" s="57" t="str">
        <f>IFERROR(IF(L70="","",IF(I70="",INDEX(Procesos!$1:$1048576,IF(AX70=1,5,MATCH(AX70,Procesos!A:A,0))+7,MATCH(J70,Procesos!$2:$2,0)+6),"")),"")</f>
        <v/>
      </c>
      <c r="D70" s="57" t="str">
        <f t="shared" si="3"/>
        <v/>
      </c>
      <c r="K70" s="57" t="s">
        <v>281</v>
      </c>
      <c r="AX70" s="490" t="e">
        <f t="shared" si="4"/>
        <v>#REF!</v>
      </c>
      <c r="BF70" s="490" t="str">
        <f t="shared" ref="BF70:BF133" si="5">IF(BB70="","",$BB70&amp;"     ITEM # "&amp;$BG70)</f>
        <v/>
      </c>
    </row>
    <row r="71" spans="3:58" ht="15.95" customHeight="1" x14ac:dyDescent="0.25">
      <c r="C71" s="57" t="str">
        <f>IFERROR(IF(L71="","",IF(I71="",INDEX(Procesos!$1:$1048576,IF(AX71=1,5,MATCH(AX71,Procesos!A:A,0))+7,MATCH(J71,Procesos!$2:$2,0)+6),"")),"")</f>
        <v/>
      </c>
      <c r="D71" s="57" t="str">
        <f t="shared" si="3"/>
        <v/>
      </c>
      <c r="K71" s="57" t="s">
        <v>281</v>
      </c>
      <c r="AX71" s="490" t="e">
        <f t="shared" si="4"/>
        <v>#REF!</v>
      </c>
      <c r="BF71" s="490" t="str">
        <f t="shared" si="5"/>
        <v/>
      </c>
    </row>
    <row r="72" spans="3:58" ht="15.95" customHeight="1" x14ac:dyDescent="0.25">
      <c r="C72" s="57" t="str">
        <f>IFERROR(IF(L72="","",IF(I72="",INDEX(Procesos!$1:$1048576,IF(AX72=1,5,MATCH(AX72,Procesos!A:A,0))+7,MATCH(J72,Procesos!$2:$2,0)+6),"")),"")</f>
        <v/>
      </c>
      <c r="D72" s="57" t="str">
        <f t="shared" si="3"/>
        <v/>
      </c>
      <c r="K72" s="57" t="s">
        <v>281</v>
      </c>
      <c r="AX72" s="490" t="e">
        <f t="shared" si="4"/>
        <v>#REF!</v>
      </c>
      <c r="BF72" s="490" t="str">
        <f t="shared" si="5"/>
        <v/>
      </c>
    </row>
    <row r="73" spans="3:58" ht="15.95" customHeight="1" x14ac:dyDescent="0.25">
      <c r="C73" s="57" t="str">
        <f>IFERROR(IF(L73="","",IF(I73="",INDEX(Procesos!$1:$1048576,IF(AX73=1,5,MATCH(AX73,Procesos!A:A,0))+7,MATCH(J73,Procesos!$2:$2,0)+6),"")),"")</f>
        <v/>
      </c>
      <c r="D73" s="57" t="str">
        <f t="shared" si="3"/>
        <v/>
      </c>
      <c r="K73" s="57" t="s">
        <v>281</v>
      </c>
      <c r="AX73" s="490" t="e">
        <f t="shared" si="4"/>
        <v>#REF!</v>
      </c>
      <c r="BF73" s="490" t="str">
        <f t="shared" si="5"/>
        <v/>
      </c>
    </row>
    <row r="74" spans="3:58" ht="15.95" customHeight="1" x14ac:dyDescent="0.25">
      <c r="C74" s="57" t="str">
        <f>IFERROR(IF(L74="","",IF(I74="",INDEX(Procesos!$1:$1048576,IF(AX74=1,5,MATCH(AX74,Procesos!A:A,0))+7,MATCH(J74,Procesos!$2:$2,0)+6),"")),"")</f>
        <v/>
      </c>
      <c r="D74" s="57" t="str">
        <f t="shared" si="3"/>
        <v/>
      </c>
      <c r="K74" s="57" t="s">
        <v>281</v>
      </c>
      <c r="AX74" s="490" t="e">
        <f t="shared" si="4"/>
        <v>#REF!</v>
      </c>
      <c r="BF74" s="490" t="str">
        <f t="shared" si="5"/>
        <v/>
      </c>
    </row>
    <row r="75" spans="3:58" ht="15.95" customHeight="1" x14ac:dyDescent="0.25">
      <c r="C75" s="57" t="str">
        <f>IFERROR(IF(L75="","",IF(I75="",INDEX(Procesos!$1:$1048576,IF(AX75=1,5,MATCH(AX75,Procesos!A:A,0))+7,MATCH(J75,Procesos!$2:$2,0)+6),"")),"")</f>
        <v/>
      </c>
      <c r="D75" s="57" t="str">
        <f t="shared" si="3"/>
        <v/>
      </c>
      <c r="K75" s="57" t="s">
        <v>281</v>
      </c>
      <c r="AX75" s="490" t="e">
        <f t="shared" si="4"/>
        <v>#REF!</v>
      </c>
      <c r="BF75" s="490" t="str">
        <f t="shared" si="5"/>
        <v/>
      </c>
    </row>
    <row r="76" spans="3:58" ht="15.95" customHeight="1" x14ac:dyDescent="0.25">
      <c r="C76" s="57" t="str">
        <f>IFERROR(IF(L76="","",IF(I76="",INDEX(Procesos!$1:$1048576,IF(AX76=1,5,MATCH(AX76,Procesos!A:A,0))+7,MATCH(J76,Procesos!$2:$2,0)+6),"")),"")</f>
        <v/>
      </c>
      <c r="D76" s="57" t="str">
        <f t="shared" si="3"/>
        <v/>
      </c>
      <c r="K76" s="57" t="s">
        <v>281</v>
      </c>
      <c r="AX76" s="490" t="e">
        <f t="shared" si="4"/>
        <v>#REF!</v>
      </c>
      <c r="BF76" s="490" t="str">
        <f t="shared" si="5"/>
        <v/>
      </c>
    </row>
    <row r="77" spans="3:58" ht="15.95" customHeight="1" x14ac:dyDescent="0.25">
      <c r="C77" s="57" t="str">
        <f>IFERROR(IF(L77="","",IF(I77="",INDEX(Procesos!$1:$1048576,IF(AX77=1,5,MATCH(AX77,Procesos!A:A,0))+7,MATCH(J77,Procesos!$2:$2,0)+6),"")),"")</f>
        <v/>
      </c>
      <c r="D77" s="57" t="str">
        <f t="shared" si="3"/>
        <v/>
      </c>
      <c r="K77" s="57" t="s">
        <v>281</v>
      </c>
      <c r="AX77" s="490" t="e">
        <f t="shared" si="4"/>
        <v>#REF!</v>
      </c>
      <c r="BF77" s="490" t="str">
        <f t="shared" si="5"/>
        <v/>
      </c>
    </row>
    <row r="78" spans="3:58" ht="15.95" customHeight="1" x14ac:dyDescent="0.25">
      <c r="C78" s="57" t="str">
        <f>IFERROR(IF(L78="","",IF(I78="",INDEX(Procesos!$1:$1048576,IF(AX78=1,5,MATCH(AX78,Procesos!A:A,0))+7,MATCH(J78,Procesos!$2:$2,0)+6),"")),"")</f>
        <v/>
      </c>
      <c r="D78" s="57" t="str">
        <f t="shared" si="3"/>
        <v/>
      </c>
      <c r="K78" s="57" t="s">
        <v>281</v>
      </c>
      <c r="AX78" s="490" t="e">
        <f t="shared" si="4"/>
        <v>#REF!</v>
      </c>
      <c r="BF78" s="490" t="str">
        <f t="shared" si="5"/>
        <v/>
      </c>
    </row>
    <row r="79" spans="3:58" ht="15.95" customHeight="1" x14ac:dyDescent="0.25">
      <c r="C79" s="57" t="str">
        <f>IFERROR(IF(L79="","",IF(I79="",INDEX(Procesos!$1:$1048576,IF(AX79=1,5,MATCH(AX79,Procesos!A:A,0))+7,MATCH(J79,Procesos!$2:$2,0)+6),"")),"")</f>
        <v/>
      </c>
      <c r="D79" s="57" t="str">
        <f t="shared" si="3"/>
        <v/>
      </c>
      <c r="K79" s="57" t="s">
        <v>281</v>
      </c>
      <c r="AX79" s="490" t="e">
        <f t="shared" si="4"/>
        <v>#REF!</v>
      </c>
      <c r="BF79" s="490" t="str">
        <f t="shared" si="5"/>
        <v/>
      </c>
    </row>
    <row r="80" spans="3:58" ht="15.95" customHeight="1" x14ac:dyDescent="0.25">
      <c r="C80" s="57" t="str">
        <f>IFERROR(IF(L80="","",IF(I80="",INDEX(Procesos!$1:$1048576,IF(AX80=1,5,MATCH(AX80,Procesos!A:A,0))+7,MATCH(J80,Procesos!$2:$2,0)+6),"")),"")</f>
        <v/>
      </c>
      <c r="D80" s="57" t="str">
        <f t="shared" si="3"/>
        <v/>
      </c>
      <c r="K80" s="57" t="s">
        <v>281</v>
      </c>
      <c r="AX80" s="490" t="e">
        <f t="shared" si="4"/>
        <v>#REF!</v>
      </c>
      <c r="BF80" s="490" t="str">
        <f t="shared" si="5"/>
        <v/>
      </c>
    </row>
    <row r="81" spans="3:58" ht="15.95" customHeight="1" x14ac:dyDescent="0.25">
      <c r="C81" s="57" t="str">
        <f>IFERROR(IF(L81="","",IF(I81="",INDEX(Procesos!$1:$1048576,IF(AX81=1,5,MATCH(AX81,Procesos!A:A,0))+7,MATCH(J81,Procesos!$2:$2,0)+6),"")),"")</f>
        <v/>
      </c>
      <c r="D81" s="57" t="str">
        <f t="shared" si="3"/>
        <v/>
      </c>
      <c r="K81" s="57" t="s">
        <v>281</v>
      </c>
      <c r="AX81" s="490" t="e">
        <f t="shared" si="4"/>
        <v>#REF!</v>
      </c>
      <c r="BF81" s="490" t="str">
        <f t="shared" si="5"/>
        <v/>
      </c>
    </row>
    <row r="82" spans="3:58" ht="15.95" customHeight="1" x14ac:dyDescent="0.25">
      <c r="C82" s="57" t="str">
        <f>IFERROR(IF(L82="","",IF(I82="",INDEX(Procesos!$1:$1048576,IF(AX82=1,5,MATCH(AX82,Procesos!A:A,0))+7,MATCH(J82,Procesos!$2:$2,0)+6),"")),"")</f>
        <v/>
      </c>
      <c r="D82" s="57" t="str">
        <f t="shared" si="3"/>
        <v/>
      </c>
      <c r="K82" s="57" t="s">
        <v>281</v>
      </c>
      <c r="AX82" s="490" t="e">
        <f t="shared" si="4"/>
        <v>#REF!</v>
      </c>
      <c r="BF82" s="490" t="str">
        <f t="shared" si="5"/>
        <v/>
      </c>
    </row>
    <row r="83" spans="3:58" ht="15.95" customHeight="1" x14ac:dyDescent="0.25">
      <c r="C83" s="57" t="str">
        <f>IFERROR(IF(L83="","",IF(I83="",INDEX(Procesos!$1:$1048576,IF(AX83=1,5,MATCH(AX83,Procesos!A:A,0))+7,MATCH(J83,Procesos!$2:$2,0)+6),"")),"")</f>
        <v/>
      </c>
      <c r="D83" s="57" t="str">
        <f t="shared" si="3"/>
        <v/>
      </c>
      <c r="K83" s="57" t="s">
        <v>281</v>
      </c>
      <c r="AX83" s="490" t="e">
        <f t="shared" si="4"/>
        <v>#REF!</v>
      </c>
      <c r="BF83" s="490" t="str">
        <f t="shared" si="5"/>
        <v/>
      </c>
    </row>
    <row r="84" spans="3:58" ht="15.95" customHeight="1" x14ac:dyDescent="0.25">
      <c r="C84" s="57" t="str">
        <f>IFERROR(IF(L84="","",IF(I84="",INDEX(Procesos!$1:$1048576,IF(AX84=1,5,MATCH(AX84,Procesos!A:A,0))+7,MATCH(J84,Procesos!$2:$2,0)+6),"")),"")</f>
        <v/>
      </c>
      <c r="D84" s="57" t="str">
        <f t="shared" si="3"/>
        <v/>
      </c>
      <c r="K84" s="57" t="s">
        <v>281</v>
      </c>
      <c r="AX84" s="490" t="e">
        <f t="shared" si="4"/>
        <v>#REF!</v>
      </c>
      <c r="BF84" s="490" t="str">
        <f t="shared" si="5"/>
        <v/>
      </c>
    </row>
    <row r="85" spans="3:58" ht="15.95" customHeight="1" x14ac:dyDescent="0.25">
      <c r="C85" s="57" t="str">
        <f>IFERROR(IF(L85="","",IF(I85="",INDEX(Procesos!$1:$1048576,IF(AX85=1,5,MATCH(AX85,Procesos!A:A,0))+7,MATCH(J85,Procesos!$2:$2,0)+6),"")),"")</f>
        <v/>
      </c>
      <c r="D85" s="57" t="str">
        <f t="shared" si="3"/>
        <v/>
      </c>
      <c r="K85" s="57" t="s">
        <v>281</v>
      </c>
      <c r="AX85" s="490" t="e">
        <f t="shared" si="4"/>
        <v>#REF!</v>
      </c>
      <c r="BF85" s="490" t="str">
        <f t="shared" si="5"/>
        <v/>
      </c>
    </row>
    <row r="86" spans="3:58" ht="15.95" customHeight="1" x14ac:dyDescent="0.25">
      <c r="C86" s="57" t="str">
        <f>IFERROR(IF(L86="","",IF(I86="",INDEX(Procesos!$1:$1048576,IF(AX86=1,5,MATCH(AX86,Procesos!A:A,0))+7,MATCH(J86,Procesos!$2:$2,0)+6),"")),"")</f>
        <v/>
      </c>
      <c r="D86" s="57" t="str">
        <f t="shared" si="3"/>
        <v/>
      </c>
      <c r="K86" s="57" t="s">
        <v>281</v>
      </c>
      <c r="AX86" s="490" t="e">
        <f t="shared" si="4"/>
        <v>#REF!</v>
      </c>
      <c r="BF86" s="490" t="str">
        <f t="shared" si="5"/>
        <v/>
      </c>
    </row>
    <row r="87" spans="3:58" ht="15.95" customHeight="1" x14ac:dyDescent="0.25">
      <c r="C87" s="57" t="str">
        <f>IFERROR(IF(L87="","",IF(I87="",INDEX(Procesos!$1:$1048576,IF(AX87=1,5,MATCH(AX87,Procesos!A:A,0))+7,MATCH(J87,Procesos!$2:$2,0)+6),"")),"")</f>
        <v/>
      </c>
      <c r="D87" s="57" t="str">
        <f t="shared" si="3"/>
        <v/>
      </c>
      <c r="K87" s="57" t="s">
        <v>281</v>
      </c>
      <c r="AX87" s="490" t="e">
        <f t="shared" si="4"/>
        <v>#REF!</v>
      </c>
      <c r="BF87" s="490" t="str">
        <f t="shared" si="5"/>
        <v/>
      </c>
    </row>
    <row r="88" spans="3:58" ht="15.95" customHeight="1" x14ac:dyDescent="0.25">
      <c r="C88" s="57" t="str">
        <f>IFERROR(IF(L88="","",IF(I88="",INDEX(Procesos!$1:$1048576,IF(AX88=1,5,MATCH(AX88,Procesos!A:A,0))+7,MATCH(J88,Procesos!$2:$2,0)+6),"")),"")</f>
        <v/>
      </c>
      <c r="D88" s="57" t="str">
        <f t="shared" si="3"/>
        <v/>
      </c>
      <c r="K88" s="57" t="s">
        <v>281</v>
      </c>
      <c r="AX88" s="490" t="e">
        <f t="shared" si="4"/>
        <v>#REF!</v>
      </c>
      <c r="BF88" s="490" t="str">
        <f t="shared" si="5"/>
        <v/>
      </c>
    </row>
    <row r="89" spans="3:58" ht="15.95" customHeight="1" x14ac:dyDescent="0.25">
      <c r="C89" s="57" t="str">
        <f>IFERROR(IF(L89="","",IF(I89="",INDEX(Procesos!$1:$1048576,IF(AX89=1,5,MATCH(AX89,Procesos!A:A,0))+7,MATCH(J89,Procesos!$2:$2,0)+6),"")),"")</f>
        <v/>
      </c>
      <c r="D89" s="57" t="str">
        <f t="shared" si="3"/>
        <v/>
      </c>
      <c r="K89" s="57" t="s">
        <v>281</v>
      </c>
      <c r="AX89" s="490" t="e">
        <f t="shared" si="4"/>
        <v>#REF!</v>
      </c>
      <c r="BF89" s="490" t="str">
        <f t="shared" si="5"/>
        <v/>
      </c>
    </row>
    <row r="90" spans="3:58" ht="15.95" customHeight="1" x14ac:dyDescent="0.25">
      <c r="C90" s="57" t="str">
        <f>IFERROR(IF(L90="","",IF(I90="",INDEX(Procesos!$1:$1048576,IF(AX90=1,5,MATCH(AX90,Procesos!A:A,0))+7,MATCH(J90,Procesos!$2:$2,0)+6),"")),"")</f>
        <v/>
      </c>
      <c r="D90" s="57" t="str">
        <f t="shared" si="3"/>
        <v/>
      </c>
      <c r="K90" s="57" t="s">
        <v>281</v>
      </c>
      <c r="AX90" s="490" t="e">
        <f t="shared" si="4"/>
        <v>#REF!</v>
      </c>
      <c r="BF90" s="490" t="str">
        <f t="shared" si="5"/>
        <v/>
      </c>
    </row>
    <row r="91" spans="3:58" ht="15.95" customHeight="1" x14ac:dyDescent="0.25">
      <c r="C91" s="57" t="str">
        <f>IFERROR(IF(L91="","",IF(I91="",INDEX(Procesos!$1:$1048576,IF(AX91=1,5,MATCH(AX91,Procesos!A:A,0))+7,MATCH(J91,Procesos!$2:$2,0)+6),"")),"")</f>
        <v/>
      </c>
      <c r="D91" s="57" t="str">
        <f t="shared" si="3"/>
        <v/>
      </c>
      <c r="K91" s="57" t="s">
        <v>281</v>
      </c>
      <c r="AX91" s="490" t="e">
        <f t="shared" si="4"/>
        <v>#REF!</v>
      </c>
      <c r="BF91" s="490" t="str">
        <f t="shared" si="5"/>
        <v/>
      </c>
    </row>
    <row r="92" spans="3:58" ht="15.95" customHeight="1" x14ac:dyDescent="0.25">
      <c r="C92" s="57" t="str">
        <f>IFERROR(IF(L92="","",IF(I92="",INDEX(Procesos!$1:$1048576,IF(AX92=1,5,MATCH(AX92,Procesos!A:A,0))+7,MATCH(J92,Procesos!$2:$2,0)+6),"")),"Despacho")</f>
        <v/>
      </c>
      <c r="D92" s="57" t="str">
        <f t="shared" si="3"/>
        <v/>
      </c>
      <c r="K92" s="57" t="s">
        <v>281</v>
      </c>
      <c r="AX92" s="490" t="e">
        <f t="shared" si="4"/>
        <v>#REF!</v>
      </c>
      <c r="BF92" s="490" t="str">
        <f t="shared" si="5"/>
        <v/>
      </c>
    </row>
    <row r="93" spans="3:58" ht="15.95" customHeight="1" x14ac:dyDescent="0.25">
      <c r="C93" s="57" t="str">
        <f>IFERROR(IF(L93="","",IF(I93="",INDEX(Procesos!$1:$1048576,IF(AX93=1,5,MATCH(AX93,Procesos!A:A,0))+7,MATCH(J93,Procesos!$2:$2,0)+6),"")),"Despacho")</f>
        <v/>
      </c>
      <c r="D93" s="57" t="str">
        <f t="shared" si="3"/>
        <v/>
      </c>
      <c r="K93" s="57" t="s">
        <v>281</v>
      </c>
      <c r="AX93" s="490" t="e">
        <f t="shared" si="4"/>
        <v>#REF!</v>
      </c>
      <c r="BF93" s="490" t="str">
        <f t="shared" si="5"/>
        <v/>
      </c>
    </row>
    <row r="94" spans="3:58" ht="15.95" customHeight="1" x14ac:dyDescent="0.25">
      <c r="C94" s="57" t="str">
        <f>IFERROR(IF(L94="","",IF(I94="",INDEX(Procesos!$1:$1048576,IF(AX94=1,5,MATCH(AX94,Procesos!A:A,0))+7,MATCH(J94,Procesos!$2:$2,0)+6),"")),"Despacho")</f>
        <v/>
      </c>
      <c r="D94" s="57" t="str">
        <f t="shared" si="3"/>
        <v/>
      </c>
      <c r="K94" s="57" t="s">
        <v>281</v>
      </c>
      <c r="AX94" s="490" t="e">
        <f t="shared" si="4"/>
        <v>#REF!</v>
      </c>
      <c r="BF94" s="490" t="str">
        <f t="shared" si="5"/>
        <v/>
      </c>
    </row>
    <row r="95" spans="3:58" ht="15.95" customHeight="1" x14ac:dyDescent="0.25">
      <c r="C95" s="57" t="str">
        <f>IFERROR(IF(L95="","",IF(I95="",INDEX(Procesos!$1:$1048576,IF(AX95=1,5,MATCH(AX95,Procesos!A:A,0))+7,MATCH(J95,Procesos!$2:$2,0)+6),"")),"Despacho")</f>
        <v/>
      </c>
      <c r="D95" s="57" t="str">
        <f t="shared" si="3"/>
        <v/>
      </c>
      <c r="K95" s="57" t="s">
        <v>281</v>
      </c>
      <c r="AX95" s="490" t="e">
        <f t="shared" si="4"/>
        <v>#REF!</v>
      </c>
      <c r="BF95" s="490" t="str">
        <f t="shared" si="5"/>
        <v/>
      </c>
    </row>
    <row r="96" spans="3:58" ht="15.95" customHeight="1" x14ac:dyDescent="0.25">
      <c r="C96" s="57" t="str">
        <f>IFERROR(IF(L96="","",IF(I96="",INDEX(Procesos!$1:$1048576,IF(AX96=1,5,MATCH(AX96,Procesos!A:A,0))+7,MATCH(J96,Procesos!$2:$2,0)+6),"")),"Despacho")</f>
        <v/>
      </c>
      <c r="D96" s="57" t="str">
        <f t="shared" si="3"/>
        <v/>
      </c>
      <c r="K96" s="57" t="s">
        <v>281</v>
      </c>
      <c r="AX96" s="490" t="e">
        <f t="shared" si="4"/>
        <v>#REF!</v>
      </c>
      <c r="BF96" s="490" t="str">
        <f t="shared" si="5"/>
        <v/>
      </c>
    </row>
    <row r="97" spans="3:58" ht="15.95" customHeight="1" x14ac:dyDescent="0.25">
      <c r="C97" s="57" t="str">
        <f>IFERROR(IF(L97="","",IF(I97="",INDEX(Procesos!$1:$1048576,IF(AX97=1,5,MATCH(AX97,Procesos!A:A,0))+7,MATCH(J97,Procesos!$2:$2,0)+6),"")),"Despacho")</f>
        <v/>
      </c>
      <c r="D97" s="57" t="str">
        <f t="shared" si="3"/>
        <v/>
      </c>
      <c r="K97" s="57" t="s">
        <v>281</v>
      </c>
      <c r="AX97" s="490" t="e">
        <f t="shared" si="4"/>
        <v>#REF!</v>
      </c>
      <c r="BF97" s="490" t="str">
        <f t="shared" si="5"/>
        <v/>
      </c>
    </row>
    <row r="98" spans="3:58" ht="15.95" customHeight="1" x14ac:dyDescent="0.25">
      <c r="C98" s="57" t="str">
        <f>IFERROR(IF(L98="","",IF(I98="",INDEX(Procesos!$1:$1048576,IF(AX98=1,5,MATCH(AX98,Procesos!A:A,0))+7,MATCH(J98,Procesos!$2:$2,0)+6),"")),"Despacho")</f>
        <v/>
      </c>
      <c r="D98" s="57" t="str">
        <f t="shared" si="3"/>
        <v/>
      </c>
      <c r="K98" s="57" t="s">
        <v>281</v>
      </c>
      <c r="AX98" s="490" t="e">
        <f t="shared" si="4"/>
        <v>#REF!</v>
      </c>
      <c r="BF98" s="490" t="str">
        <f t="shared" si="5"/>
        <v/>
      </c>
    </row>
    <row r="99" spans="3:58" ht="15.95" customHeight="1" x14ac:dyDescent="0.25">
      <c r="C99" s="57" t="str">
        <f>IFERROR(IF(L99="","",IF(I99="",INDEX(Procesos!$1:$1048576,IF(AX99=1,5,MATCH(AX99,Procesos!A:A,0))+7,MATCH(J99,Procesos!$2:$2,0)+6),"")),"Despacho")</f>
        <v/>
      </c>
      <c r="D99" s="57" t="str">
        <f t="shared" si="3"/>
        <v/>
      </c>
      <c r="K99" s="57" t="s">
        <v>281</v>
      </c>
      <c r="AX99" s="490" t="e">
        <f t="shared" si="4"/>
        <v>#REF!</v>
      </c>
      <c r="BF99" s="490" t="str">
        <f t="shared" si="5"/>
        <v/>
      </c>
    </row>
    <row r="100" spans="3:58" ht="15.95" customHeight="1" x14ac:dyDescent="0.25">
      <c r="C100" s="57" t="str">
        <f>IFERROR(IF(L100="","",IF(I100="",INDEX(Procesos!$1:$1048576,IF(AX100=1,5,MATCH(AX100,Procesos!A:A,0))+7,MATCH(J100,Procesos!$2:$2,0)+6),"")),"Despacho")</f>
        <v/>
      </c>
      <c r="D100" s="57" t="str">
        <f t="shared" si="3"/>
        <v/>
      </c>
      <c r="K100" s="57" t="s">
        <v>281</v>
      </c>
      <c r="AX100" s="490" t="e">
        <f t="shared" si="4"/>
        <v>#REF!</v>
      </c>
      <c r="BF100" s="490" t="str">
        <f t="shared" si="5"/>
        <v/>
      </c>
    </row>
    <row r="101" spans="3:58" ht="15.95" customHeight="1" x14ac:dyDescent="0.25">
      <c r="C101" s="57" t="str">
        <f>IFERROR(IF(L101="","",IF(I101="",INDEX(Procesos!$1:$1048576,IF(AX101=1,5,MATCH(AX101,Procesos!A:A,0))+7,MATCH(J101,Procesos!$2:$2,0)+6),"")),"Despacho")</f>
        <v/>
      </c>
      <c r="D101" s="57" t="str">
        <f t="shared" si="3"/>
        <v/>
      </c>
      <c r="K101" s="57" t="s">
        <v>281</v>
      </c>
      <c r="AX101" s="490" t="e">
        <f t="shared" si="4"/>
        <v>#REF!</v>
      </c>
      <c r="BF101" s="490" t="str">
        <f t="shared" si="5"/>
        <v/>
      </c>
    </row>
    <row r="102" spans="3:58" ht="15.95" customHeight="1" x14ac:dyDescent="0.25">
      <c r="C102" s="57" t="str">
        <f>IFERROR(IF(L102="","",IF(I102="",INDEX(Procesos!$1:$1048576,IF(AX102=1,5,MATCH(AX102,Procesos!A:A,0))+7,MATCH(J102,Procesos!$2:$2,0)+6),"")),"Despacho")</f>
        <v/>
      </c>
      <c r="D102" s="57" t="str">
        <f t="shared" si="3"/>
        <v/>
      </c>
      <c r="K102" s="57" t="s">
        <v>281</v>
      </c>
      <c r="AX102" s="490" t="e">
        <f t="shared" si="4"/>
        <v>#REF!</v>
      </c>
      <c r="BF102" s="490" t="str">
        <f t="shared" si="5"/>
        <v/>
      </c>
    </row>
    <row r="103" spans="3:58" ht="15.95" customHeight="1" x14ac:dyDescent="0.25">
      <c r="C103" s="57" t="str">
        <f>IFERROR(IF(L103="","",IF(I103="",INDEX(Procesos!$1:$1048576,IF(AX103=1,5,MATCH(AX103,Procesos!A:A,0))+7,MATCH(J103,Procesos!$2:$2,0)+6),"")),"Despacho")</f>
        <v/>
      </c>
      <c r="D103" s="57" t="str">
        <f t="shared" si="3"/>
        <v/>
      </c>
      <c r="K103" s="57" t="s">
        <v>281</v>
      </c>
      <c r="AX103" s="490" t="e">
        <f t="shared" si="4"/>
        <v>#REF!</v>
      </c>
      <c r="BF103" s="490" t="str">
        <f t="shared" si="5"/>
        <v/>
      </c>
    </row>
    <row r="104" spans="3:58" ht="15.95" customHeight="1" x14ac:dyDescent="0.25">
      <c r="C104" s="57" t="str">
        <f>IFERROR(IF(L104="","",IF(I104="",INDEX(Procesos!$1:$1048576,IF(AX104=1,5,MATCH(AX104,Procesos!A:A,0))+7,MATCH(J104,Procesos!$2:$2,0)+6),"")),"Despacho")</f>
        <v/>
      </c>
      <c r="D104" s="57" t="str">
        <f t="shared" si="3"/>
        <v/>
      </c>
      <c r="K104" s="57" t="s">
        <v>281</v>
      </c>
      <c r="AX104" s="490" t="e">
        <f t="shared" si="4"/>
        <v>#REF!</v>
      </c>
      <c r="BF104" s="490" t="str">
        <f t="shared" si="5"/>
        <v/>
      </c>
    </row>
    <row r="105" spans="3:58" ht="15.95" customHeight="1" x14ac:dyDescent="0.25">
      <c r="C105" s="57" t="str">
        <f>IFERROR(IF(L105="","",IF(I105="",INDEX(Procesos!$1:$1048576,IF(AX105=1,5,MATCH(AX105,Procesos!A:A,0))+7,MATCH(J105,Procesos!$2:$2,0)+6),"")),"Despacho")</f>
        <v/>
      </c>
      <c r="D105" s="57" t="str">
        <f t="shared" si="3"/>
        <v/>
      </c>
      <c r="K105" s="57" t="s">
        <v>281</v>
      </c>
      <c r="AX105" s="490" t="e">
        <f t="shared" si="4"/>
        <v>#REF!</v>
      </c>
      <c r="BF105" s="490" t="str">
        <f t="shared" si="5"/>
        <v/>
      </c>
    </row>
    <row r="106" spans="3:58" ht="15.95" customHeight="1" x14ac:dyDescent="0.25">
      <c r="C106" s="57" t="str">
        <f>IFERROR(IF(L106="","",IF(I106="",INDEX(Procesos!$1:$1048576,IF(AX106=1,5,MATCH(AX106,Procesos!A:A,0))+7,MATCH(J106,Procesos!$2:$2,0)+6),"")),"Despacho")</f>
        <v/>
      </c>
      <c r="D106" s="57" t="str">
        <f t="shared" si="3"/>
        <v/>
      </c>
      <c r="K106" s="57" t="s">
        <v>281</v>
      </c>
      <c r="AX106" s="490" t="e">
        <f t="shared" si="4"/>
        <v>#REF!</v>
      </c>
      <c r="BF106" s="490" t="str">
        <f t="shared" si="5"/>
        <v/>
      </c>
    </row>
    <row r="107" spans="3:58" ht="15.95" customHeight="1" x14ac:dyDescent="0.25">
      <c r="C107" s="57" t="str">
        <f>IFERROR(IF(L107="","",IF(I107="",INDEX(Procesos!$1:$1048576,IF(AX107=1,5,MATCH(AX107,Procesos!A:A,0))+7,MATCH(J107,Procesos!$2:$2,0)+6),"")),"Despacho")</f>
        <v/>
      </c>
      <c r="D107" s="57" t="str">
        <f t="shared" si="3"/>
        <v/>
      </c>
      <c r="K107" s="57" t="s">
        <v>281</v>
      </c>
      <c r="AX107" s="490" t="e">
        <f t="shared" si="4"/>
        <v>#REF!</v>
      </c>
      <c r="BF107" s="490" t="str">
        <f t="shared" si="5"/>
        <v/>
      </c>
    </row>
    <row r="108" spans="3:58" ht="15.95" customHeight="1" x14ac:dyDescent="0.25">
      <c r="C108" s="57" t="str">
        <f>IFERROR(IF(L108="","",IF(I108="",INDEX(Procesos!$1:$1048576,IF(AX108=1,5,MATCH(AX108,Procesos!A:A,0))+7,MATCH(J108,Procesos!$2:$2,0)+6),"")),"Despacho")</f>
        <v/>
      </c>
      <c r="D108" s="57" t="str">
        <f t="shared" si="3"/>
        <v/>
      </c>
      <c r="K108" s="57" t="s">
        <v>281</v>
      </c>
      <c r="AX108" s="490" t="e">
        <f t="shared" si="4"/>
        <v>#REF!</v>
      </c>
      <c r="BF108" s="490" t="str">
        <f t="shared" si="5"/>
        <v/>
      </c>
    </row>
    <row r="109" spans="3:58" ht="15.95" customHeight="1" x14ac:dyDescent="0.25">
      <c r="C109" s="57" t="str">
        <f>IFERROR(IF(L109="","",IF(I109="",INDEX(Procesos!$1:$1048576,IF(AX109=1,5,MATCH(AX109,Procesos!A:A,0))+7,MATCH(J109,Procesos!$2:$2,0)+6),"")),"Despacho")</f>
        <v/>
      </c>
      <c r="D109" s="57" t="str">
        <f t="shared" si="3"/>
        <v/>
      </c>
      <c r="K109" s="57" t="s">
        <v>281</v>
      </c>
      <c r="AX109" s="490" t="e">
        <f t="shared" si="4"/>
        <v>#REF!</v>
      </c>
      <c r="BF109" s="490" t="str">
        <f t="shared" si="5"/>
        <v/>
      </c>
    </row>
    <row r="110" spans="3:58" ht="15.95" customHeight="1" x14ac:dyDescent="0.25">
      <c r="C110" s="57" t="str">
        <f>IFERROR(IF(L110="","",IF(I110="",INDEX(Procesos!$1:$1048576,IF(AX110=1,5,MATCH(AX110,Procesos!A:A,0))+7,MATCH(J110,Procesos!$2:$2,0)+6),"")),"Despacho")</f>
        <v/>
      </c>
      <c r="D110" s="57" t="str">
        <f t="shared" si="3"/>
        <v/>
      </c>
      <c r="K110" s="57" t="s">
        <v>281</v>
      </c>
      <c r="AX110" s="490" t="e">
        <f t="shared" si="4"/>
        <v>#REF!</v>
      </c>
      <c r="BF110" s="490" t="str">
        <f t="shared" si="5"/>
        <v/>
      </c>
    </row>
    <row r="111" spans="3:58" ht="15.95" customHeight="1" x14ac:dyDescent="0.25">
      <c r="C111" s="57" t="str">
        <f>IFERROR(IF(L111="","",IF(I111="",INDEX(Procesos!$1:$1048576,IF(AX111=1,5,MATCH(AX111,Procesos!A:A,0))+7,MATCH(J111,Procesos!$2:$2,0)+6),"")),"Despacho")</f>
        <v/>
      </c>
      <c r="D111" s="57" t="str">
        <f t="shared" si="3"/>
        <v/>
      </c>
      <c r="K111" s="57" t="s">
        <v>281</v>
      </c>
      <c r="AX111" s="490" t="e">
        <f t="shared" si="4"/>
        <v>#REF!</v>
      </c>
      <c r="BF111" s="490" t="str">
        <f t="shared" si="5"/>
        <v/>
      </c>
    </row>
    <row r="112" spans="3:58" ht="15.95" customHeight="1" x14ac:dyDescent="0.25">
      <c r="C112" s="57" t="str">
        <f>IFERROR(IF(L112="","",IF(I112="",INDEX(Procesos!$1:$1048576,IF(AX112=1,5,MATCH(AX112,Procesos!A:A,0))+7,MATCH(J112,Procesos!$2:$2,0)+6),"")),"Despacho")</f>
        <v/>
      </c>
      <c r="D112" s="57" t="str">
        <f t="shared" si="3"/>
        <v/>
      </c>
      <c r="K112" s="57" t="s">
        <v>281</v>
      </c>
      <c r="AX112" s="490" t="e">
        <f t="shared" si="4"/>
        <v>#REF!</v>
      </c>
      <c r="BF112" s="490" t="str">
        <f t="shared" si="5"/>
        <v/>
      </c>
    </row>
    <row r="113" spans="3:58" ht="15.95" customHeight="1" x14ac:dyDescent="0.25">
      <c r="C113" s="57" t="str">
        <f>IFERROR(IF(L113="","",IF(I113="",INDEX(Procesos!$1:$1048576,IF(AX113=1,5,MATCH(AX113,Procesos!A:A,0))+7,MATCH(J113,Procesos!$2:$2,0)+6),"")),"Despacho")</f>
        <v/>
      </c>
      <c r="D113" s="57" t="str">
        <f t="shared" si="3"/>
        <v/>
      </c>
      <c r="K113" s="57" t="s">
        <v>281</v>
      </c>
      <c r="AX113" s="490" t="e">
        <f t="shared" si="4"/>
        <v>#REF!</v>
      </c>
      <c r="BF113" s="490" t="str">
        <f t="shared" si="5"/>
        <v/>
      </c>
    </row>
    <row r="114" spans="3:58" ht="15.95" customHeight="1" x14ac:dyDescent="0.25">
      <c r="C114" s="57" t="str">
        <f>IFERROR(IF(L114="","",IF(I114="",INDEX(Procesos!$1:$1048576,IF(AX114=1,5,MATCH(AX114,Procesos!A:A,0))+7,MATCH(J114,Procesos!$2:$2,0)+6),"")),"Despacho")</f>
        <v/>
      </c>
      <c r="D114" s="57" t="str">
        <f t="shared" si="3"/>
        <v/>
      </c>
      <c r="K114" s="57" t="s">
        <v>281</v>
      </c>
      <c r="AX114" s="490" t="e">
        <f t="shared" si="4"/>
        <v>#REF!</v>
      </c>
      <c r="BF114" s="490" t="str">
        <f t="shared" si="5"/>
        <v/>
      </c>
    </row>
    <row r="115" spans="3:58" ht="15.95" customHeight="1" x14ac:dyDescent="0.25">
      <c r="C115" s="57" t="str">
        <f>IFERROR(IF(L115="","",IF(I115="",INDEX(Procesos!$1:$1048576,IF(AX115=1,5,MATCH(AX115,Procesos!A:A,0))+7,MATCH(J115,Procesos!$2:$2,0)+6),"")),"Despacho")</f>
        <v/>
      </c>
      <c r="D115" s="57" t="str">
        <f t="shared" si="3"/>
        <v/>
      </c>
      <c r="K115" s="57" t="s">
        <v>281</v>
      </c>
      <c r="AX115" s="490" t="e">
        <f t="shared" si="4"/>
        <v>#REF!</v>
      </c>
      <c r="BF115" s="490" t="str">
        <f t="shared" si="5"/>
        <v/>
      </c>
    </row>
    <row r="116" spans="3:58" ht="15.95" customHeight="1" x14ac:dyDescent="0.25">
      <c r="C116" s="57" t="str">
        <f>IFERROR(IF(L116="","",IF(I116="",INDEX(Procesos!$1:$1048576,IF(AX116=1,5,MATCH(AX116,Procesos!A:A,0))+7,MATCH(J116,Procesos!$2:$2,0)+6),"")),"Despacho")</f>
        <v/>
      </c>
      <c r="D116" s="57" t="str">
        <f t="shared" si="3"/>
        <v/>
      </c>
      <c r="K116" s="57" t="s">
        <v>281</v>
      </c>
      <c r="AX116" s="490" t="e">
        <f t="shared" si="4"/>
        <v>#REF!</v>
      </c>
      <c r="BF116" s="490" t="str">
        <f t="shared" si="5"/>
        <v/>
      </c>
    </row>
    <row r="117" spans="3:58" ht="15.95" customHeight="1" x14ac:dyDescent="0.25">
      <c r="C117" s="57" t="str">
        <f>IFERROR(IF(L117="","",IF(I117="",INDEX(Procesos!$1:$1048576,IF(AX117=1,5,MATCH(AX117,Procesos!A:A,0))+7,MATCH(J117,Procesos!$2:$2,0)+6),"")),"Despacho")</f>
        <v/>
      </c>
      <c r="D117" s="57" t="str">
        <f t="shared" si="3"/>
        <v/>
      </c>
      <c r="K117" s="57" t="s">
        <v>281</v>
      </c>
      <c r="AX117" s="490" t="e">
        <f t="shared" si="4"/>
        <v>#REF!</v>
      </c>
      <c r="BF117" s="490" t="str">
        <f t="shared" si="5"/>
        <v/>
      </c>
    </row>
    <row r="118" spans="3:58" ht="15.95" customHeight="1" x14ac:dyDescent="0.25">
      <c r="C118" s="57" t="str">
        <f>IFERROR(IF(L118="","",IF(I118="",INDEX(Procesos!$1:$1048576,IF(AX118=1,5,MATCH(AX118,Procesos!A:A,0))+7,MATCH(J118,Procesos!$2:$2,0)+6),"")),"Despacho")</f>
        <v/>
      </c>
      <c r="D118" s="57" t="str">
        <f t="shared" si="3"/>
        <v/>
      </c>
      <c r="K118" s="57" t="s">
        <v>281</v>
      </c>
      <c r="AX118" s="490" t="e">
        <f t="shared" si="4"/>
        <v>#REF!</v>
      </c>
      <c r="BF118" s="490" t="str">
        <f t="shared" si="5"/>
        <v/>
      </c>
    </row>
    <row r="119" spans="3:58" ht="15.95" customHeight="1" x14ac:dyDescent="0.25">
      <c r="C119" s="57" t="str">
        <f>IFERROR(IF(L119="","",IF(I119="",INDEX(Procesos!$1:$1048576,IF(AX119=1,5,MATCH(AX119,Procesos!A:A,0))+7,MATCH(J119,Procesos!$2:$2,0)+6),"")),"Despacho")</f>
        <v/>
      </c>
      <c r="D119" s="57" t="str">
        <f t="shared" si="3"/>
        <v/>
      </c>
      <c r="K119" s="57" t="s">
        <v>281</v>
      </c>
      <c r="AX119" s="490" t="e">
        <f t="shared" si="4"/>
        <v>#REF!</v>
      </c>
      <c r="BF119" s="490" t="str">
        <f t="shared" si="5"/>
        <v/>
      </c>
    </row>
    <row r="120" spans="3:58" ht="15.95" customHeight="1" x14ac:dyDescent="0.25">
      <c r="C120" s="57" t="str">
        <f>IFERROR(IF(L120="","",IF(I120="",INDEX(Procesos!$1:$1048576,IF(AX120=1,5,MATCH(AX120,Procesos!A:A,0))+7,MATCH(J120,Procesos!$2:$2,0)+6),"")),"Despacho")</f>
        <v/>
      </c>
      <c r="D120" s="57" t="str">
        <f t="shared" si="3"/>
        <v/>
      </c>
      <c r="K120" s="57" t="s">
        <v>281</v>
      </c>
      <c r="AX120" s="490" t="e">
        <f t="shared" si="4"/>
        <v>#REF!</v>
      </c>
      <c r="BF120" s="490" t="str">
        <f t="shared" si="5"/>
        <v/>
      </c>
    </row>
    <row r="121" spans="3:58" ht="15.95" customHeight="1" x14ac:dyDescent="0.25">
      <c r="C121" s="57" t="str">
        <f>IFERROR(IF(L121="","",IF(I121="",INDEX(Procesos!$1:$1048576,IF(AX121=1,5,MATCH(AX121,Procesos!A:A,0))+7,MATCH(J121,Procesos!$2:$2,0)+6),"")),"Despacho")</f>
        <v/>
      </c>
      <c r="D121" s="57" t="str">
        <f t="shared" si="3"/>
        <v/>
      </c>
      <c r="K121" s="57" t="s">
        <v>281</v>
      </c>
      <c r="AX121" s="490" t="e">
        <f t="shared" si="4"/>
        <v>#REF!</v>
      </c>
      <c r="BF121" s="490" t="str">
        <f t="shared" si="5"/>
        <v/>
      </c>
    </row>
    <row r="122" spans="3:58" ht="15.95" customHeight="1" x14ac:dyDescent="0.25">
      <c r="C122" s="57" t="str">
        <f>IFERROR(IF(L122="","",IF(I122="",INDEX(Procesos!$1:$1048576,IF(AX122=1,5,MATCH(AX122,Procesos!A:A,0))+7,MATCH(J122,Procesos!$2:$2,0)+6),"")),"Despacho")</f>
        <v/>
      </c>
      <c r="D122" s="57" t="str">
        <f t="shared" si="3"/>
        <v/>
      </c>
      <c r="K122" s="57" t="s">
        <v>281</v>
      </c>
      <c r="AX122" s="490" t="e">
        <f t="shared" si="4"/>
        <v>#REF!</v>
      </c>
      <c r="BF122" s="490" t="str">
        <f t="shared" si="5"/>
        <v/>
      </c>
    </row>
    <row r="123" spans="3:58" ht="15.95" customHeight="1" x14ac:dyDescent="0.25">
      <c r="C123" s="57" t="str">
        <f>IFERROR(IF(L123="","",IF(I123="",INDEX(Procesos!$1:$1048576,IF(AX123=1,5,MATCH(AX123,Procesos!A:A,0))+7,MATCH(J123,Procesos!$2:$2,0)+6),"")),"Despacho")</f>
        <v/>
      </c>
      <c r="D123" s="57" t="str">
        <f t="shared" si="3"/>
        <v/>
      </c>
      <c r="K123" s="57" t="s">
        <v>281</v>
      </c>
      <c r="AX123" s="490" t="e">
        <f t="shared" si="4"/>
        <v>#REF!</v>
      </c>
      <c r="BF123" s="490" t="str">
        <f t="shared" si="5"/>
        <v/>
      </c>
    </row>
    <row r="124" spans="3:58" ht="15.95" customHeight="1" x14ac:dyDescent="0.25">
      <c r="C124" s="57" t="str">
        <f>IFERROR(IF(L124="","",IF(I124="",INDEX(Procesos!$1:$1048576,IF(AX124=1,5,MATCH(AX124,Procesos!A:A,0))+7,MATCH(J124,Procesos!$2:$2,0)+6),"")),"Despacho")</f>
        <v/>
      </c>
      <c r="D124" s="57" t="str">
        <f t="shared" si="3"/>
        <v/>
      </c>
      <c r="K124" s="57" t="s">
        <v>281</v>
      </c>
      <c r="AX124" s="490" t="e">
        <f t="shared" si="4"/>
        <v>#REF!</v>
      </c>
      <c r="BF124" s="490" t="str">
        <f t="shared" si="5"/>
        <v/>
      </c>
    </row>
    <row r="125" spans="3:58" ht="15.95" customHeight="1" x14ac:dyDescent="0.25">
      <c r="C125" s="57" t="str">
        <f>IFERROR(IF(L125="","",IF(I125="",INDEX(Procesos!$1:$1048576,IF(AX125=1,5,MATCH(AX125,Procesos!A:A,0))+7,MATCH(J125,Procesos!$2:$2,0)+6),"")),"Despacho")</f>
        <v/>
      </c>
      <c r="D125" s="57" t="str">
        <f t="shared" si="3"/>
        <v/>
      </c>
      <c r="K125" s="57" t="s">
        <v>281</v>
      </c>
      <c r="AX125" s="490" t="e">
        <f t="shared" si="4"/>
        <v>#REF!</v>
      </c>
      <c r="BF125" s="490" t="str">
        <f t="shared" si="5"/>
        <v/>
      </c>
    </row>
    <row r="126" spans="3:58" ht="15.95" customHeight="1" x14ac:dyDescent="0.25">
      <c r="C126" s="57" t="str">
        <f>IFERROR(IF(L126="","",IF(I126="",INDEX(Procesos!$1:$1048576,IF(AX126=1,5,MATCH(AX126,Procesos!A:A,0))+7,MATCH(J126,Procesos!$2:$2,0)+6),"")),"Despacho")</f>
        <v/>
      </c>
      <c r="D126" s="57" t="str">
        <f t="shared" si="3"/>
        <v/>
      </c>
      <c r="K126" s="57" t="s">
        <v>281</v>
      </c>
      <c r="AX126" s="490" t="e">
        <f t="shared" si="4"/>
        <v>#REF!</v>
      </c>
      <c r="BF126" s="490" t="str">
        <f t="shared" si="5"/>
        <v/>
      </c>
    </row>
    <row r="127" spans="3:58" ht="15.95" customHeight="1" x14ac:dyDescent="0.25">
      <c r="C127" s="57" t="str">
        <f>IFERROR(IF(L127="","",IF(I127="",INDEX(Procesos!$1:$1048576,IF(AX127=1,5,MATCH(AX127,Procesos!A:A,0))+7,MATCH(J127,Procesos!$2:$2,0)+6),"")),"Despacho")</f>
        <v/>
      </c>
      <c r="D127" s="57" t="str">
        <f t="shared" si="3"/>
        <v/>
      </c>
      <c r="K127" s="57" t="s">
        <v>281</v>
      </c>
      <c r="AX127" s="490" t="e">
        <f t="shared" si="4"/>
        <v>#REF!</v>
      </c>
      <c r="BF127" s="490" t="str">
        <f t="shared" si="5"/>
        <v/>
      </c>
    </row>
    <row r="128" spans="3:58" ht="15.95" customHeight="1" x14ac:dyDescent="0.25">
      <c r="C128" s="57" t="str">
        <f>IFERROR(IF(L128="","",IF(I128="",INDEX(Procesos!$1:$1048576,IF(AX128=1,5,MATCH(AX128,Procesos!A:A,0))+7,MATCH(J128,Procesos!$2:$2,0)+6),"")),"Despacho")</f>
        <v/>
      </c>
      <c r="D128" s="57" t="str">
        <f t="shared" si="3"/>
        <v/>
      </c>
      <c r="K128" s="57" t="s">
        <v>281</v>
      </c>
      <c r="AX128" s="490" t="e">
        <f t="shared" si="4"/>
        <v>#REF!</v>
      </c>
      <c r="BF128" s="490" t="str">
        <f t="shared" si="5"/>
        <v/>
      </c>
    </row>
    <row r="129" spans="3:58" ht="15.95" customHeight="1" x14ac:dyDescent="0.25">
      <c r="C129" s="57" t="str">
        <f>IFERROR(IF(L129="","",IF(I129="",INDEX(Procesos!$1:$1048576,IF(AX129=1,5,MATCH(AX129,Procesos!A:A,0))+7,MATCH(J129,Procesos!$2:$2,0)+6),"")),"Despacho")</f>
        <v/>
      </c>
      <c r="D129" s="57" t="str">
        <f t="shared" si="3"/>
        <v/>
      </c>
      <c r="K129" s="57" t="s">
        <v>281</v>
      </c>
      <c r="AX129" s="490" t="e">
        <f t="shared" si="4"/>
        <v>#REF!</v>
      </c>
      <c r="BF129" s="490" t="str">
        <f t="shared" si="5"/>
        <v/>
      </c>
    </row>
    <row r="130" spans="3:58" ht="15.95" customHeight="1" x14ac:dyDescent="0.25">
      <c r="C130" s="57" t="str">
        <f>IFERROR(IF(L130="","",IF(I130="",INDEX(Procesos!$1:$1048576,IF(AX130=1,5,MATCH(AX130,Procesos!A:A,0))+7,MATCH(J130,Procesos!$2:$2,0)+6),"")),"Despacho")</f>
        <v/>
      </c>
      <c r="D130" s="57" t="str">
        <f t="shared" ref="D130:D193" si="6">IF(J130="","",J130&amp;"     ITEM # "&amp;AX130)</f>
        <v/>
      </c>
      <c r="K130" s="57" t="s">
        <v>281</v>
      </c>
      <c r="AX130" s="490" t="e">
        <f t="shared" si="4"/>
        <v>#REF!</v>
      </c>
      <c r="BF130" s="490" t="str">
        <f t="shared" si="5"/>
        <v/>
      </c>
    </row>
    <row r="131" spans="3:58" ht="15.95" customHeight="1" x14ac:dyDescent="0.25">
      <c r="C131" s="57" t="str">
        <f>IFERROR(IF(L131="","",IF(I131="",INDEX(Procesos!$1:$1048576,IF(AX131=1,5,MATCH(AX131,Procesos!A:A,0))+7,MATCH(J131,Procesos!$2:$2,0)+6),"")),"Despacho")</f>
        <v/>
      </c>
      <c r="D131" s="57" t="str">
        <f t="shared" si="6"/>
        <v/>
      </c>
      <c r="K131" s="57" t="s">
        <v>281</v>
      </c>
      <c r="AX131" s="490" t="e">
        <f t="shared" ref="AX131:AX194" si="7">IF(J131=J130,AX130+1,1)</f>
        <v>#REF!</v>
      </c>
      <c r="BF131" s="490" t="str">
        <f t="shared" si="5"/>
        <v/>
      </c>
    </row>
    <row r="132" spans="3:58" ht="15.95" customHeight="1" x14ac:dyDescent="0.25">
      <c r="C132" s="57" t="str">
        <f>IFERROR(IF(L132="","",IF(I132="",INDEX(Procesos!$1:$1048576,IF(AX132=1,5,MATCH(AX132,Procesos!A:A,0))+7,MATCH(J132,Procesos!$2:$2,0)+6),"")),"Despacho")</f>
        <v/>
      </c>
      <c r="D132" s="57" t="str">
        <f t="shared" si="6"/>
        <v/>
      </c>
      <c r="K132" s="57" t="s">
        <v>281</v>
      </c>
      <c r="AX132" s="490" t="e">
        <f t="shared" si="7"/>
        <v>#REF!</v>
      </c>
      <c r="BF132" s="490" t="str">
        <f t="shared" si="5"/>
        <v/>
      </c>
    </row>
    <row r="133" spans="3:58" ht="15.95" customHeight="1" x14ac:dyDescent="0.25">
      <c r="C133" s="57" t="str">
        <f>IFERROR(IF(L133="","",IF(I133="",INDEX(Procesos!$1:$1048576,IF(AX133=1,5,MATCH(AX133,Procesos!A:A,0))+7,MATCH(J133,Procesos!$2:$2,0)+6),"")),"Despacho")</f>
        <v/>
      </c>
      <c r="D133" s="57" t="str">
        <f t="shared" si="6"/>
        <v/>
      </c>
      <c r="K133" s="57" t="s">
        <v>281</v>
      </c>
      <c r="AX133" s="490" t="e">
        <f t="shared" si="7"/>
        <v>#REF!</v>
      </c>
      <c r="BF133" s="490" t="str">
        <f t="shared" si="5"/>
        <v/>
      </c>
    </row>
    <row r="134" spans="3:58" ht="15.95" customHeight="1" x14ac:dyDescent="0.25">
      <c r="C134" s="57" t="str">
        <f>IFERROR(IF(L134="","",IF(I134="",INDEX(Procesos!$1:$1048576,IF(AX134=1,5,MATCH(AX134,Procesos!A:A,0))+7,MATCH(J134,Procesos!$2:$2,0)+6),"")),"Despacho")</f>
        <v/>
      </c>
      <c r="D134" s="57" t="str">
        <f t="shared" si="6"/>
        <v/>
      </c>
      <c r="K134" s="57" t="s">
        <v>281</v>
      </c>
      <c r="AX134" s="490" t="e">
        <f t="shared" si="7"/>
        <v>#REF!</v>
      </c>
      <c r="BF134" s="490" t="str">
        <f t="shared" ref="BF134:BF197" si="8">IF(BB134="","",$BB134&amp;"     ITEM # "&amp;$BG134)</f>
        <v/>
      </c>
    </row>
    <row r="135" spans="3:58" ht="15.95" customHeight="1" x14ac:dyDescent="0.25">
      <c r="C135" s="57" t="str">
        <f>IFERROR(IF(L135="","",IF(I135="",INDEX(Procesos!$1:$1048576,IF(AX135=1,5,MATCH(AX135,Procesos!A:A,0))+7,MATCH(J135,Procesos!$2:$2,0)+6),"")),"Despacho")</f>
        <v/>
      </c>
      <c r="D135" s="57" t="str">
        <f t="shared" si="6"/>
        <v/>
      </c>
      <c r="K135" s="57" t="s">
        <v>281</v>
      </c>
      <c r="AX135" s="490" t="e">
        <f t="shared" si="7"/>
        <v>#REF!</v>
      </c>
      <c r="BF135" s="490" t="str">
        <f t="shared" si="8"/>
        <v/>
      </c>
    </row>
    <row r="136" spans="3:58" ht="15.95" customHeight="1" x14ac:dyDescent="0.25">
      <c r="C136" s="57" t="str">
        <f>IFERROR(IF(L136="","",IF(I136="",INDEX(Procesos!$1:$1048576,IF(AX136=1,5,MATCH(AX136,Procesos!A:A,0))+7,MATCH(J136,Procesos!$2:$2,0)+6),"")),"Despacho")</f>
        <v/>
      </c>
      <c r="D136" s="57" t="str">
        <f t="shared" si="6"/>
        <v/>
      </c>
      <c r="K136" s="57" t="s">
        <v>281</v>
      </c>
      <c r="AX136" s="490" t="e">
        <f t="shared" si="7"/>
        <v>#REF!</v>
      </c>
      <c r="BF136" s="490" t="str">
        <f t="shared" si="8"/>
        <v/>
      </c>
    </row>
    <row r="137" spans="3:58" ht="15.95" customHeight="1" x14ac:dyDescent="0.25">
      <c r="C137" s="57" t="str">
        <f>IFERROR(IF(L137="","",IF(I137="",INDEX(Procesos!$1:$1048576,IF(AX137=1,5,MATCH(AX137,Procesos!A:A,0))+7,MATCH(J137,Procesos!$2:$2,0)+6),"")),"Despacho")</f>
        <v/>
      </c>
      <c r="D137" s="57" t="str">
        <f t="shared" si="6"/>
        <v/>
      </c>
      <c r="K137" s="57" t="s">
        <v>281</v>
      </c>
      <c r="AX137" s="490" t="e">
        <f t="shared" si="7"/>
        <v>#REF!</v>
      </c>
      <c r="BF137" s="490" t="str">
        <f t="shared" si="8"/>
        <v/>
      </c>
    </row>
    <row r="138" spans="3:58" ht="15.95" customHeight="1" x14ac:dyDescent="0.25">
      <c r="C138" s="57" t="str">
        <f>IFERROR(IF(L138="","",IF(I138="",INDEX(Procesos!$1:$1048576,IF(AX138=1,5,MATCH(AX138,Procesos!A:A,0))+7,MATCH(J138,Procesos!$2:$2,0)+6),"")),"Despacho")</f>
        <v/>
      </c>
      <c r="D138" s="57" t="str">
        <f t="shared" si="6"/>
        <v/>
      </c>
      <c r="K138" s="57" t="s">
        <v>281</v>
      </c>
      <c r="AX138" s="490" t="e">
        <f t="shared" si="7"/>
        <v>#REF!</v>
      </c>
      <c r="BF138" s="490" t="str">
        <f t="shared" si="8"/>
        <v/>
      </c>
    </row>
    <row r="139" spans="3:58" ht="15.95" customHeight="1" x14ac:dyDescent="0.25">
      <c r="C139" s="57" t="str">
        <f>IFERROR(IF(L139="","",IF(I139="",INDEX(Procesos!$1:$1048576,IF(AX139=1,5,MATCH(AX139,Procesos!A:A,0))+7,MATCH(J139,Procesos!$2:$2,0)+6),"")),"Despacho")</f>
        <v/>
      </c>
      <c r="D139" s="57" t="str">
        <f t="shared" si="6"/>
        <v/>
      </c>
      <c r="K139" s="57" t="s">
        <v>281</v>
      </c>
      <c r="AX139" s="490" t="e">
        <f t="shared" si="7"/>
        <v>#REF!</v>
      </c>
      <c r="BF139" s="490" t="str">
        <f t="shared" si="8"/>
        <v/>
      </c>
    </row>
    <row r="140" spans="3:58" ht="15.95" customHeight="1" x14ac:dyDescent="0.25">
      <c r="C140" s="57" t="str">
        <f>IFERROR(IF(L140="","",IF(I140="",INDEX(Procesos!$1:$1048576,IF(AX140=1,5,MATCH(AX140,Procesos!A:A,0))+7,MATCH(J140,Procesos!$2:$2,0)+6),"")),"Despacho")</f>
        <v/>
      </c>
      <c r="D140" s="57" t="str">
        <f t="shared" si="6"/>
        <v/>
      </c>
      <c r="K140" s="57" t="s">
        <v>281</v>
      </c>
      <c r="AX140" s="490" t="e">
        <f t="shared" si="7"/>
        <v>#REF!</v>
      </c>
      <c r="BF140" s="490" t="str">
        <f t="shared" si="8"/>
        <v/>
      </c>
    </row>
    <row r="141" spans="3:58" ht="15.95" customHeight="1" x14ac:dyDescent="0.25">
      <c r="C141" s="57" t="str">
        <f>IFERROR(IF(L141="","",IF(I141="",INDEX(Procesos!$1:$1048576,IF(AX141=1,5,MATCH(AX141,Procesos!A:A,0))+7,MATCH(J141,Procesos!$2:$2,0)+6),"")),"Despacho")</f>
        <v/>
      </c>
      <c r="D141" s="57" t="str">
        <f t="shared" si="6"/>
        <v/>
      </c>
      <c r="K141" s="57" t="s">
        <v>281</v>
      </c>
      <c r="AX141" s="490" t="e">
        <f t="shared" si="7"/>
        <v>#REF!</v>
      </c>
      <c r="BF141" s="490" t="str">
        <f t="shared" si="8"/>
        <v/>
      </c>
    </row>
    <row r="142" spans="3:58" ht="15.95" customHeight="1" x14ac:dyDescent="0.25">
      <c r="C142" s="57" t="str">
        <f>IFERROR(IF(L142="","",IF(I142="",INDEX(Procesos!$1:$1048576,IF(AX142=1,5,MATCH(AX142,Procesos!A:A,0))+7,MATCH(J142,Procesos!$2:$2,0)+6),"")),"Despacho")</f>
        <v/>
      </c>
      <c r="D142" s="57" t="str">
        <f t="shared" si="6"/>
        <v/>
      </c>
      <c r="K142" s="57" t="s">
        <v>281</v>
      </c>
      <c r="AX142" s="490" t="e">
        <f t="shared" si="7"/>
        <v>#REF!</v>
      </c>
      <c r="BF142" s="490" t="str">
        <f t="shared" si="8"/>
        <v/>
      </c>
    </row>
    <row r="143" spans="3:58" ht="15.95" customHeight="1" x14ac:dyDescent="0.25">
      <c r="C143" s="57" t="str">
        <f>IFERROR(IF(L143="","",IF(I143="",INDEX(Procesos!$1:$1048576,IF(AX143=1,5,MATCH(AX143,Procesos!A:A,0))+7,MATCH(J143,Procesos!$2:$2,0)+6),"")),"Despacho")</f>
        <v/>
      </c>
      <c r="D143" s="57" t="str">
        <f t="shared" si="6"/>
        <v/>
      </c>
      <c r="K143" s="57" t="s">
        <v>281</v>
      </c>
      <c r="AX143" s="490" t="e">
        <f t="shared" si="7"/>
        <v>#REF!</v>
      </c>
      <c r="BF143" s="490" t="str">
        <f t="shared" si="8"/>
        <v/>
      </c>
    </row>
    <row r="144" spans="3:58" ht="15.95" customHeight="1" x14ac:dyDescent="0.25">
      <c r="C144" s="57" t="str">
        <f>IFERROR(IF(L144="","",IF(I144="",INDEX(Procesos!$1:$1048576,IF(AX144=1,5,MATCH(AX144,Procesos!A:A,0))+7,MATCH(J144,Procesos!$2:$2,0)+6),"")),"Despacho")</f>
        <v/>
      </c>
      <c r="D144" s="57" t="str">
        <f t="shared" si="6"/>
        <v/>
      </c>
      <c r="K144" s="57" t="s">
        <v>281</v>
      </c>
      <c r="AX144" s="490" t="e">
        <f t="shared" si="7"/>
        <v>#REF!</v>
      </c>
      <c r="BF144" s="490" t="str">
        <f t="shared" si="8"/>
        <v/>
      </c>
    </row>
    <row r="145" spans="3:58" ht="15.95" customHeight="1" x14ac:dyDescent="0.25">
      <c r="C145" s="57" t="str">
        <f>IFERROR(IF(L145="","",IF(I145="",INDEX(Procesos!$1:$1048576,IF(AX145=1,5,MATCH(AX145,Procesos!A:A,0))+7,MATCH(J145,Procesos!$2:$2,0)+6),"")),"Despacho")</f>
        <v/>
      </c>
      <c r="D145" s="57" t="str">
        <f t="shared" si="6"/>
        <v/>
      </c>
      <c r="K145" s="57" t="s">
        <v>281</v>
      </c>
      <c r="AX145" s="490" t="e">
        <f t="shared" si="7"/>
        <v>#REF!</v>
      </c>
      <c r="BF145" s="490" t="str">
        <f t="shared" si="8"/>
        <v/>
      </c>
    </row>
    <row r="146" spans="3:58" ht="15.95" customHeight="1" x14ac:dyDescent="0.25">
      <c r="C146" s="57" t="str">
        <f>IFERROR(IF(L146="","",IF(I146="",INDEX(Procesos!$1:$1048576,IF(AX146=1,5,MATCH(AX146,Procesos!A:A,0))+7,MATCH(J146,Procesos!$2:$2,0)+6),"")),"Despacho")</f>
        <v/>
      </c>
      <c r="D146" s="57" t="str">
        <f t="shared" si="6"/>
        <v/>
      </c>
      <c r="K146" s="57" t="s">
        <v>281</v>
      </c>
      <c r="AX146" s="490" t="e">
        <f t="shared" si="7"/>
        <v>#REF!</v>
      </c>
      <c r="BF146" s="490" t="str">
        <f t="shared" si="8"/>
        <v/>
      </c>
    </row>
    <row r="147" spans="3:58" ht="15.95" customHeight="1" x14ac:dyDescent="0.25">
      <c r="C147" s="57" t="str">
        <f>IFERROR(IF(L147="","",IF(I147="",INDEX(Procesos!$1:$1048576,IF(AX147=1,5,MATCH(AX147,Procesos!A:A,0))+7,MATCH(J147,Procesos!$2:$2,0)+6),"")),"Despacho")</f>
        <v/>
      </c>
      <c r="D147" s="57" t="str">
        <f t="shared" si="6"/>
        <v/>
      </c>
      <c r="K147" s="57" t="s">
        <v>281</v>
      </c>
      <c r="AX147" s="490" t="e">
        <f t="shared" si="7"/>
        <v>#REF!</v>
      </c>
      <c r="BF147" s="490" t="str">
        <f t="shared" si="8"/>
        <v/>
      </c>
    </row>
    <row r="148" spans="3:58" ht="15.95" customHeight="1" x14ac:dyDescent="0.25">
      <c r="C148" s="57" t="str">
        <f>IFERROR(IF(L148="","",IF(I148="",INDEX(Procesos!$1:$1048576,IF(AX148=1,5,MATCH(AX148,Procesos!A:A,0))+7,MATCH(J148,Procesos!$2:$2,0)+6),"")),"Despacho")</f>
        <v/>
      </c>
      <c r="D148" s="57" t="str">
        <f t="shared" si="6"/>
        <v/>
      </c>
      <c r="K148" s="57" t="s">
        <v>281</v>
      </c>
      <c r="AX148" s="490" t="e">
        <f t="shared" si="7"/>
        <v>#REF!</v>
      </c>
      <c r="BF148" s="490" t="str">
        <f t="shared" si="8"/>
        <v/>
      </c>
    </row>
    <row r="149" spans="3:58" ht="15.95" customHeight="1" x14ac:dyDescent="0.25">
      <c r="C149" s="57" t="str">
        <f>IFERROR(IF(L149="","",IF(I149="",INDEX(Procesos!$1:$1048576,IF(AX149=1,5,MATCH(AX149,Procesos!A:A,0))+7,MATCH(J149,Procesos!$2:$2,0)+6),"")),"Despacho")</f>
        <v/>
      </c>
      <c r="D149" s="57" t="str">
        <f t="shared" si="6"/>
        <v/>
      </c>
      <c r="K149" s="57" t="s">
        <v>281</v>
      </c>
      <c r="AX149" s="490" t="e">
        <f t="shared" si="7"/>
        <v>#REF!</v>
      </c>
      <c r="BF149" s="490" t="str">
        <f t="shared" si="8"/>
        <v/>
      </c>
    </row>
    <row r="150" spans="3:58" ht="15.95" customHeight="1" x14ac:dyDescent="0.25">
      <c r="C150" s="57" t="str">
        <f>IFERROR(IF(L150="","",IF(I150="",INDEX(Procesos!$1:$1048576,IF(AX150=1,5,MATCH(AX150,Procesos!A:A,0))+7,MATCH(J150,Procesos!$2:$2,0)+6),"")),"Despacho")</f>
        <v/>
      </c>
      <c r="D150" s="57" t="str">
        <f t="shared" si="6"/>
        <v/>
      </c>
      <c r="K150" s="57" t="s">
        <v>281</v>
      </c>
      <c r="AX150" s="490" t="e">
        <f t="shared" si="7"/>
        <v>#REF!</v>
      </c>
      <c r="BF150" s="490" t="str">
        <f t="shared" si="8"/>
        <v/>
      </c>
    </row>
    <row r="151" spans="3:58" ht="15.95" customHeight="1" x14ac:dyDescent="0.25">
      <c r="C151" s="57" t="str">
        <f>IFERROR(IF(L151="","",IF(I151="",INDEX(Procesos!$1:$1048576,IF(AX151=1,5,MATCH(AX151,Procesos!A:A,0))+7,MATCH(J151,Procesos!$2:$2,0)+6),"")),"Despacho")</f>
        <v/>
      </c>
      <c r="D151" s="57" t="str">
        <f t="shared" si="6"/>
        <v/>
      </c>
      <c r="K151" s="57" t="s">
        <v>281</v>
      </c>
      <c r="AX151" s="490" t="e">
        <f t="shared" si="7"/>
        <v>#REF!</v>
      </c>
      <c r="BF151" s="490" t="str">
        <f t="shared" si="8"/>
        <v/>
      </c>
    </row>
    <row r="152" spans="3:58" ht="15.95" customHeight="1" x14ac:dyDescent="0.25">
      <c r="C152" s="57" t="str">
        <f>IFERROR(IF(L152="","",IF(I152="",INDEX(Procesos!$1:$1048576,IF(AX152=1,5,MATCH(AX152,Procesos!A:A,0))+7,MATCH(J152,Procesos!$2:$2,0)+6),"")),"Despacho")</f>
        <v/>
      </c>
      <c r="D152" s="57" t="str">
        <f t="shared" si="6"/>
        <v/>
      </c>
      <c r="K152" s="57" t="s">
        <v>281</v>
      </c>
      <c r="AX152" s="490" t="e">
        <f t="shared" si="7"/>
        <v>#REF!</v>
      </c>
      <c r="BF152" s="490" t="str">
        <f t="shared" si="8"/>
        <v/>
      </c>
    </row>
    <row r="153" spans="3:58" ht="15.95" customHeight="1" x14ac:dyDescent="0.25">
      <c r="C153" s="57" t="str">
        <f>IFERROR(IF(L153="","",IF(I153="",INDEX(Procesos!$1:$1048576,IF(AX153=1,5,MATCH(AX153,Procesos!A:A,0))+7,MATCH(J153,Procesos!$2:$2,0)+6),"")),"Despacho")</f>
        <v/>
      </c>
      <c r="D153" s="57" t="str">
        <f t="shared" si="6"/>
        <v/>
      </c>
      <c r="K153" s="57" t="s">
        <v>281</v>
      </c>
      <c r="AX153" s="490" t="e">
        <f t="shared" si="7"/>
        <v>#REF!</v>
      </c>
      <c r="BF153" s="490" t="str">
        <f t="shared" si="8"/>
        <v/>
      </c>
    </row>
    <row r="154" spans="3:58" ht="15.95" customHeight="1" x14ac:dyDescent="0.25">
      <c r="C154" s="57" t="str">
        <f>IFERROR(IF(L154="","",IF(I154="",INDEX(Procesos!$1:$1048576,IF(AX154=1,5,MATCH(AX154,Procesos!A:A,0))+7,MATCH(J154,Procesos!$2:$2,0)+6),"")),"Despacho")</f>
        <v/>
      </c>
      <c r="D154" s="57" t="str">
        <f t="shared" si="6"/>
        <v/>
      </c>
      <c r="K154" s="57" t="s">
        <v>281</v>
      </c>
      <c r="AX154" s="490" t="e">
        <f t="shared" si="7"/>
        <v>#REF!</v>
      </c>
      <c r="BF154" s="490" t="str">
        <f t="shared" si="8"/>
        <v/>
      </c>
    </row>
    <row r="155" spans="3:58" ht="15.95" customHeight="1" x14ac:dyDescent="0.25">
      <c r="C155" s="57" t="str">
        <f>IFERROR(IF(L155="","",IF(I155="",INDEX(Procesos!$1:$1048576,IF(AX155=1,5,MATCH(AX155,Procesos!A:A,0))+7,MATCH(J155,Procesos!$2:$2,0)+6),"")),"Despacho")</f>
        <v/>
      </c>
      <c r="D155" s="57" t="str">
        <f t="shared" si="6"/>
        <v/>
      </c>
      <c r="K155" s="57" t="s">
        <v>281</v>
      </c>
      <c r="AX155" s="490" t="e">
        <f t="shared" si="7"/>
        <v>#REF!</v>
      </c>
      <c r="BF155" s="490" t="str">
        <f t="shared" si="8"/>
        <v/>
      </c>
    </row>
    <row r="156" spans="3:58" ht="15.95" customHeight="1" x14ac:dyDescent="0.25">
      <c r="C156" s="57" t="str">
        <f>IFERROR(IF(L156="","",IF(I156="",INDEX(Procesos!$1:$1048576,IF(AX156=1,5,MATCH(AX156,Procesos!A:A,0))+7,MATCH(J156,Procesos!$2:$2,0)+6),"")),"Despacho")</f>
        <v/>
      </c>
      <c r="D156" s="57" t="str">
        <f t="shared" si="6"/>
        <v/>
      </c>
      <c r="K156" s="57" t="s">
        <v>281</v>
      </c>
      <c r="AX156" s="490" t="e">
        <f t="shared" si="7"/>
        <v>#REF!</v>
      </c>
      <c r="BF156" s="490" t="str">
        <f t="shared" si="8"/>
        <v/>
      </c>
    </row>
    <row r="157" spans="3:58" ht="15.95" customHeight="1" x14ac:dyDescent="0.25">
      <c r="C157" s="57" t="str">
        <f>IFERROR(IF(L157="","",IF(I157="",INDEX(Procesos!$1:$1048576,IF(AX157=1,5,MATCH(AX157,Procesos!A:A,0))+7,MATCH(J157,Procesos!$2:$2,0)+6),"")),"Despacho")</f>
        <v/>
      </c>
      <c r="D157" s="57" t="str">
        <f t="shared" si="6"/>
        <v/>
      </c>
      <c r="K157" s="57" t="s">
        <v>281</v>
      </c>
      <c r="AX157" s="490" t="e">
        <f t="shared" si="7"/>
        <v>#REF!</v>
      </c>
      <c r="BF157" s="490" t="str">
        <f t="shared" si="8"/>
        <v/>
      </c>
    </row>
    <row r="158" spans="3:58" ht="15.95" customHeight="1" x14ac:dyDescent="0.25">
      <c r="C158" s="57" t="str">
        <f>IFERROR(IF(L158="","",IF(I158="",INDEX(Procesos!$1:$1048576,IF(AX158=1,5,MATCH(AX158,Procesos!A:A,0))+7,MATCH(J158,Procesos!$2:$2,0)+6),"")),"Despacho")</f>
        <v/>
      </c>
      <c r="D158" s="57" t="str">
        <f t="shared" si="6"/>
        <v/>
      </c>
      <c r="K158" s="57" t="s">
        <v>281</v>
      </c>
      <c r="AX158" s="490" t="e">
        <f t="shared" si="7"/>
        <v>#REF!</v>
      </c>
      <c r="BF158" s="490" t="str">
        <f t="shared" si="8"/>
        <v/>
      </c>
    </row>
    <row r="159" spans="3:58" ht="15.95" customHeight="1" x14ac:dyDescent="0.25">
      <c r="C159" s="57" t="str">
        <f>IFERROR(IF(L159="","",IF(I159="",INDEX(Procesos!$1:$1048576,IF(AX159=1,5,MATCH(AX159,Procesos!A:A,0))+7,MATCH(J159,Procesos!$2:$2,0)+6),"")),"Despacho")</f>
        <v/>
      </c>
      <c r="D159" s="57" t="str">
        <f t="shared" si="6"/>
        <v/>
      </c>
      <c r="K159" s="57" t="s">
        <v>281</v>
      </c>
      <c r="AX159" s="490" t="e">
        <f t="shared" si="7"/>
        <v>#REF!</v>
      </c>
      <c r="BF159" s="490" t="str">
        <f t="shared" si="8"/>
        <v/>
      </c>
    </row>
    <row r="160" spans="3:58" ht="15.95" customHeight="1" x14ac:dyDescent="0.25">
      <c r="C160" s="57" t="str">
        <f>IFERROR(IF(L160="","",IF(I160="",INDEX(Procesos!$1:$1048576,IF(AX160=1,5,MATCH(AX160,Procesos!A:A,0))+7,MATCH(J160,Procesos!$2:$2,0)+6),"")),"Despacho")</f>
        <v/>
      </c>
      <c r="D160" s="57" t="str">
        <f t="shared" si="6"/>
        <v/>
      </c>
      <c r="K160" s="57" t="s">
        <v>281</v>
      </c>
      <c r="AX160" s="490" t="e">
        <f t="shared" si="7"/>
        <v>#REF!</v>
      </c>
      <c r="BF160" s="490" t="str">
        <f t="shared" si="8"/>
        <v/>
      </c>
    </row>
    <row r="161" spans="3:58" ht="15.95" customHeight="1" x14ac:dyDescent="0.25">
      <c r="C161" s="57" t="str">
        <f>IFERROR(IF(L161="","",IF(I161="",INDEX(Procesos!$1:$1048576,IF(AX161=1,5,MATCH(AX161,Procesos!A:A,0))+7,MATCH(J161,Procesos!$2:$2,0)+6),"")),"Despacho")</f>
        <v/>
      </c>
      <c r="D161" s="57" t="str">
        <f t="shared" si="6"/>
        <v/>
      </c>
      <c r="K161" s="57" t="s">
        <v>281</v>
      </c>
      <c r="AX161" s="490" t="e">
        <f t="shared" si="7"/>
        <v>#REF!</v>
      </c>
      <c r="BF161" s="490" t="str">
        <f t="shared" si="8"/>
        <v/>
      </c>
    </row>
    <row r="162" spans="3:58" ht="15.95" customHeight="1" x14ac:dyDescent="0.25">
      <c r="C162" s="57" t="str">
        <f>IFERROR(IF(L162="","",IF(I162="",INDEX(Procesos!$1:$1048576,IF(AX162=1,5,MATCH(AX162,Procesos!A:A,0))+7,MATCH(J162,Procesos!$2:$2,0)+6),"")),"Despacho")</f>
        <v/>
      </c>
      <c r="D162" s="57" t="str">
        <f t="shared" si="6"/>
        <v/>
      </c>
      <c r="K162" s="57" t="s">
        <v>281</v>
      </c>
      <c r="AX162" s="490" t="e">
        <f t="shared" si="7"/>
        <v>#REF!</v>
      </c>
      <c r="BF162" s="490" t="str">
        <f t="shared" si="8"/>
        <v/>
      </c>
    </row>
    <row r="163" spans="3:58" ht="15.95" customHeight="1" x14ac:dyDescent="0.25">
      <c r="C163" s="57" t="str">
        <f>IFERROR(IF(L163="","",IF(I163="",INDEX(Procesos!$1:$1048576,IF(AX163=1,5,MATCH(AX163,Procesos!A:A,0))+7,MATCH(J163,Procesos!$2:$2,0)+6),"")),"Despacho")</f>
        <v/>
      </c>
      <c r="D163" s="57" t="str">
        <f t="shared" si="6"/>
        <v/>
      </c>
      <c r="K163" s="57" t="s">
        <v>281</v>
      </c>
      <c r="AX163" s="490" t="e">
        <f t="shared" si="7"/>
        <v>#REF!</v>
      </c>
      <c r="BF163" s="490" t="str">
        <f t="shared" si="8"/>
        <v/>
      </c>
    </row>
    <row r="164" spans="3:58" ht="15.95" customHeight="1" x14ac:dyDescent="0.25">
      <c r="C164" s="57" t="str">
        <f>IFERROR(IF(L164="","",IF(I164="",INDEX(Procesos!$1:$1048576,IF(AX164=1,5,MATCH(AX164,Procesos!A:A,0))+7,MATCH(J164,Procesos!$2:$2,0)+6),"")),"Despacho")</f>
        <v/>
      </c>
      <c r="D164" s="57" t="str">
        <f t="shared" si="6"/>
        <v/>
      </c>
      <c r="K164" s="57" t="s">
        <v>281</v>
      </c>
      <c r="AX164" s="490" t="e">
        <f t="shared" si="7"/>
        <v>#REF!</v>
      </c>
      <c r="BF164" s="490" t="str">
        <f t="shared" si="8"/>
        <v/>
      </c>
    </row>
    <row r="165" spans="3:58" ht="15.95" customHeight="1" x14ac:dyDescent="0.25">
      <c r="C165" s="57" t="str">
        <f>IFERROR(IF(L165="","",IF(I165="",INDEX(Procesos!$1:$1048576,IF(AX165=1,5,MATCH(AX165,Procesos!A:A,0))+7,MATCH(J165,Procesos!$2:$2,0)+6),"")),"Despacho")</f>
        <v/>
      </c>
      <c r="D165" s="57" t="str">
        <f t="shared" si="6"/>
        <v/>
      </c>
      <c r="K165" s="57" t="s">
        <v>281</v>
      </c>
      <c r="AX165" s="490" t="e">
        <f t="shared" si="7"/>
        <v>#REF!</v>
      </c>
      <c r="BF165" s="490" t="str">
        <f t="shared" si="8"/>
        <v/>
      </c>
    </row>
    <row r="166" spans="3:58" ht="15.95" customHeight="1" x14ac:dyDescent="0.25">
      <c r="C166" s="57" t="str">
        <f>IFERROR(IF(L166="","",IF(I166="",INDEX(Procesos!$1:$1048576,IF(AX166=1,5,MATCH(AX166,Procesos!A:A,0))+7,MATCH(J166,Procesos!$2:$2,0)+6),"")),"Despacho")</f>
        <v/>
      </c>
      <c r="D166" s="57" t="str">
        <f t="shared" si="6"/>
        <v/>
      </c>
      <c r="K166" s="57" t="s">
        <v>281</v>
      </c>
      <c r="AX166" s="490" t="e">
        <f t="shared" si="7"/>
        <v>#REF!</v>
      </c>
      <c r="BF166" s="490" t="str">
        <f t="shared" si="8"/>
        <v/>
      </c>
    </row>
    <row r="167" spans="3:58" ht="15.95" customHeight="1" x14ac:dyDescent="0.25">
      <c r="C167" s="57" t="str">
        <f>IFERROR(IF(L167="","",IF(I167="",INDEX(Procesos!$1:$1048576,IF(AX167=1,5,MATCH(AX167,Procesos!A:A,0))+7,MATCH(J167,Procesos!$2:$2,0)+6),"")),"Despacho")</f>
        <v/>
      </c>
      <c r="D167" s="57" t="str">
        <f t="shared" si="6"/>
        <v/>
      </c>
      <c r="K167" s="57" t="s">
        <v>281</v>
      </c>
      <c r="AX167" s="490" t="e">
        <f t="shared" si="7"/>
        <v>#REF!</v>
      </c>
      <c r="BF167" s="490" t="str">
        <f t="shared" si="8"/>
        <v/>
      </c>
    </row>
    <row r="168" spans="3:58" ht="15.95" customHeight="1" x14ac:dyDescent="0.25">
      <c r="C168" s="57" t="str">
        <f>IFERROR(IF(L168="","",IF(I168="",INDEX(Procesos!$1:$1048576,IF(AX168=1,5,MATCH(AX168,Procesos!A:A,0))+7,MATCH(J168,Procesos!$2:$2,0)+6),"")),"Despacho")</f>
        <v/>
      </c>
      <c r="D168" s="57" t="str">
        <f t="shared" si="6"/>
        <v/>
      </c>
      <c r="K168" s="57" t="s">
        <v>281</v>
      </c>
      <c r="AX168" s="490" t="e">
        <f t="shared" si="7"/>
        <v>#REF!</v>
      </c>
      <c r="BF168" s="490" t="str">
        <f t="shared" si="8"/>
        <v/>
      </c>
    </row>
    <row r="169" spans="3:58" ht="15.95" customHeight="1" x14ac:dyDescent="0.25">
      <c r="C169" s="57" t="str">
        <f>IFERROR(IF(L169="","",IF(I169="",INDEX(Procesos!$1:$1048576,IF(AX169=1,5,MATCH(AX169,Procesos!A:A,0))+7,MATCH(J169,Procesos!$2:$2,0)+6),"")),"Despacho")</f>
        <v/>
      </c>
      <c r="D169" s="57" t="str">
        <f t="shared" si="6"/>
        <v/>
      </c>
      <c r="K169" s="57" t="s">
        <v>281</v>
      </c>
      <c r="AX169" s="490" t="e">
        <f t="shared" si="7"/>
        <v>#REF!</v>
      </c>
      <c r="BF169" s="490" t="str">
        <f t="shared" si="8"/>
        <v/>
      </c>
    </row>
    <row r="170" spans="3:58" ht="15.95" customHeight="1" x14ac:dyDescent="0.25">
      <c r="C170" s="57" t="str">
        <f>IFERROR(IF(L170="","",IF(I170="",INDEX(Procesos!$1:$1048576,IF(AX170=1,5,MATCH(AX170,Procesos!A:A,0))+7,MATCH(J170,Procesos!$2:$2,0)+6),"")),"Despacho")</f>
        <v/>
      </c>
      <c r="D170" s="57" t="str">
        <f t="shared" si="6"/>
        <v/>
      </c>
      <c r="K170" s="57" t="s">
        <v>281</v>
      </c>
      <c r="AX170" s="490" t="e">
        <f t="shared" si="7"/>
        <v>#REF!</v>
      </c>
      <c r="BF170" s="490" t="str">
        <f t="shared" si="8"/>
        <v/>
      </c>
    </row>
    <row r="171" spans="3:58" ht="15.95" customHeight="1" x14ac:dyDescent="0.25">
      <c r="C171" s="57" t="str">
        <f>IFERROR(IF(L171="","",IF(I171="",INDEX(Procesos!$1:$1048576,IF(AX171=1,5,MATCH(AX171,Procesos!A:A,0))+7,MATCH(J171,Procesos!$2:$2,0)+6),"")),"Despacho")</f>
        <v/>
      </c>
      <c r="D171" s="57" t="str">
        <f t="shared" si="6"/>
        <v/>
      </c>
      <c r="K171" s="57" t="s">
        <v>281</v>
      </c>
      <c r="AX171" s="490" t="e">
        <f t="shared" si="7"/>
        <v>#REF!</v>
      </c>
      <c r="BF171" s="490" t="str">
        <f t="shared" si="8"/>
        <v/>
      </c>
    </row>
    <row r="172" spans="3:58" ht="15.95" customHeight="1" x14ac:dyDescent="0.25">
      <c r="C172" s="57" t="str">
        <f>IFERROR(IF(L172="","",IF(I172="",INDEX(Procesos!$1:$1048576,IF(AX172=1,5,MATCH(AX172,Procesos!A:A,0))+7,MATCH(J172,Procesos!$2:$2,0)+6),"")),"Despacho")</f>
        <v/>
      </c>
      <c r="D172" s="57" t="str">
        <f t="shared" si="6"/>
        <v/>
      </c>
      <c r="K172" s="57" t="s">
        <v>281</v>
      </c>
      <c r="AX172" s="490" t="e">
        <f t="shared" si="7"/>
        <v>#REF!</v>
      </c>
      <c r="BF172" s="490" t="str">
        <f t="shared" si="8"/>
        <v/>
      </c>
    </row>
    <row r="173" spans="3:58" ht="15.95" customHeight="1" x14ac:dyDescent="0.25">
      <c r="C173" s="57" t="str">
        <f>IFERROR(IF(L173="","",IF(I173="",INDEX(Procesos!$1:$1048576,IF(AX173=1,5,MATCH(AX173,Procesos!A:A,0))+7,MATCH(J173,Procesos!$2:$2,0)+6),"")),"Despacho")</f>
        <v/>
      </c>
      <c r="D173" s="57" t="str">
        <f t="shared" si="6"/>
        <v/>
      </c>
      <c r="K173" s="57" t="s">
        <v>281</v>
      </c>
      <c r="AX173" s="490" t="e">
        <f t="shared" si="7"/>
        <v>#REF!</v>
      </c>
      <c r="BF173" s="490" t="str">
        <f t="shared" si="8"/>
        <v/>
      </c>
    </row>
    <row r="174" spans="3:58" ht="15.95" customHeight="1" x14ac:dyDescent="0.25">
      <c r="C174" s="57" t="str">
        <f>IFERROR(IF(L174="","",IF(I174="",INDEX(Procesos!$1:$1048576,IF(AX174=1,5,MATCH(AX174,Procesos!A:A,0))+7,MATCH(J174,Procesos!$2:$2,0)+6),"")),"Despacho")</f>
        <v/>
      </c>
      <c r="D174" s="57" t="str">
        <f t="shared" si="6"/>
        <v/>
      </c>
      <c r="K174" s="57" t="s">
        <v>281</v>
      </c>
      <c r="AX174" s="490" t="e">
        <f t="shared" si="7"/>
        <v>#REF!</v>
      </c>
      <c r="BF174" s="490" t="str">
        <f t="shared" si="8"/>
        <v/>
      </c>
    </row>
    <row r="175" spans="3:58" ht="15.95" customHeight="1" x14ac:dyDescent="0.25">
      <c r="C175" s="57" t="str">
        <f>IFERROR(IF(L175="","",IF(I175="",INDEX(Procesos!$1:$1048576,IF(AX175=1,5,MATCH(AX175,Procesos!A:A,0))+7,MATCH(J175,Procesos!$2:$2,0)+6),"")),"Despacho")</f>
        <v/>
      </c>
      <c r="D175" s="57" t="str">
        <f t="shared" si="6"/>
        <v/>
      </c>
      <c r="K175" s="57" t="s">
        <v>281</v>
      </c>
      <c r="AX175" s="490" t="e">
        <f t="shared" si="7"/>
        <v>#REF!</v>
      </c>
      <c r="BF175" s="490" t="str">
        <f t="shared" si="8"/>
        <v/>
      </c>
    </row>
    <row r="176" spans="3:58" ht="15.95" customHeight="1" x14ac:dyDescent="0.25">
      <c r="C176" s="57" t="str">
        <f>IFERROR(IF(L176="","",IF(I176="",INDEX(Procesos!$1:$1048576,IF(AX176=1,5,MATCH(AX176,Procesos!A:A,0))+7,MATCH(J176,Procesos!$2:$2,0)+6),"")),"Despacho")</f>
        <v/>
      </c>
      <c r="D176" s="57" t="str">
        <f t="shared" si="6"/>
        <v/>
      </c>
      <c r="K176" s="57" t="s">
        <v>281</v>
      </c>
      <c r="AX176" s="490" t="e">
        <f t="shared" si="7"/>
        <v>#REF!</v>
      </c>
      <c r="BF176" s="490" t="str">
        <f t="shared" si="8"/>
        <v/>
      </c>
    </row>
    <row r="177" spans="3:58" ht="15.95" customHeight="1" x14ac:dyDescent="0.25">
      <c r="C177" s="57" t="str">
        <f>IFERROR(IF(L177="","",IF(I177="",INDEX(Procesos!$1:$1048576,IF(AX177=1,5,MATCH(AX177,Procesos!A:A,0))+7,MATCH(J177,Procesos!$2:$2,0)+6),"")),"Despacho")</f>
        <v/>
      </c>
      <c r="D177" s="57" t="str">
        <f t="shared" si="6"/>
        <v/>
      </c>
      <c r="K177" s="57" t="s">
        <v>281</v>
      </c>
      <c r="AX177" s="490" t="e">
        <f t="shared" si="7"/>
        <v>#REF!</v>
      </c>
      <c r="BF177" s="490" t="str">
        <f t="shared" si="8"/>
        <v/>
      </c>
    </row>
    <row r="178" spans="3:58" ht="15.95" customHeight="1" x14ac:dyDescent="0.25">
      <c r="C178" s="57" t="str">
        <f>IFERROR(IF(L178="","",IF(I178="",INDEX(Procesos!$1:$1048576,IF(AX178=1,5,MATCH(AX178,Procesos!A:A,0))+7,MATCH(J178,Procesos!$2:$2,0)+6),"")),"Despacho")</f>
        <v/>
      </c>
      <c r="D178" s="57" t="str">
        <f t="shared" si="6"/>
        <v/>
      </c>
      <c r="K178" s="57" t="s">
        <v>281</v>
      </c>
      <c r="AX178" s="490" t="e">
        <f t="shared" si="7"/>
        <v>#REF!</v>
      </c>
      <c r="BF178" s="490" t="str">
        <f t="shared" si="8"/>
        <v/>
      </c>
    </row>
    <row r="179" spans="3:58" ht="15.95" customHeight="1" x14ac:dyDescent="0.25">
      <c r="C179" s="57" t="str">
        <f>IFERROR(IF(L179="","",IF(I179="",INDEX(Procesos!$1:$1048576,IF(AX179=1,5,MATCH(AX179,Procesos!A:A,0))+7,MATCH(J179,Procesos!$2:$2,0)+6),"")),"Despacho")</f>
        <v/>
      </c>
      <c r="D179" s="57" t="str">
        <f t="shared" si="6"/>
        <v/>
      </c>
      <c r="K179" s="57" t="s">
        <v>281</v>
      </c>
      <c r="AX179" s="490" t="e">
        <f t="shared" si="7"/>
        <v>#REF!</v>
      </c>
      <c r="BF179" s="490" t="str">
        <f t="shared" si="8"/>
        <v/>
      </c>
    </row>
    <row r="180" spans="3:58" ht="15.95" customHeight="1" x14ac:dyDescent="0.25">
      <c r="C180" s="57" t="str">
        <f>IFERROR(IF(L180="","",IF(I180="",INDEX(Procesos!$1:$1048576,IF(AX180=1,5,MATCH(AX180,Procesos!A:A,0))+7,MATCH(J180,Procesos!$2:$2,0)+6),"")),"Despacho")</f>
        <v/>
      </c>
      <c r="D180" s="57" t="str">
        <f t="shared" si="6"/>
        <v/>
      </c>
      <c r="K180" s="57" t="s">
        <v>281</v>
      </c>
      <c r="AX180" s="490" t="e">
        <f t="shared" si="7"/>
        <v>#REF!</v>
      </c>
      <c r="BF180" s="490" t="str">
        <f t="shared" si="8"/>
        <v/>
      </c>
    </row>
    <row r="181" spans="3:58" ht="15.95" customHeight="1" x14ac:dyDescent="0.25">
      <c r="C181" s="57" t="str">
        <f>IFERROR(IF(L181="","",IF(I181="",INDEX(Procesos!$1:$1048576,IF(AX181=1,5,MATCH(AX181,Procesos!A:A,0))+7,MATCH(J181,Procesos!$2:$2,0)+6),"")),"Despacho")</f>
        <v/>
      </c>
      <c r="D181" s="57" t="str">
        <f t="shared" si="6"/>
        <v/>
      </c>
      <c r="K181" s="57" t="s">
        <v>281</v>
      </c>
      <c r="AX181" s="490" t="e">
        <f t="shared" si="7"/>
        <v>#REF!</v>
      </c>
      <c r="BF181" s="490" t="str">
        <f t="shared" si="8"/>
        <v/>
      </c>
    </row>
    <row r="182" spans="3:58" ht="15.95" customHeight="1" x14ac:dyDescent="0.25">
      <c r="C182" s="57" t="str">
        <f>IFERROR(IF(L182="","",IF(I182="",INDEX(Procesos!$1:$1048576,IF(AX182=1,5,MATCH(AX182,Procesos!A:A,0))+7,MATCH(J182,Procesos!$2:$2,0)+6),"")),"Despacho")</f>
        <v/>
      </c>
      <c r="D182" s="57" t="str">
        <f t="shared" si="6"/>
        <v/>
      </c>
      <c r="K182" s="57" t="s">
        <v>281</v>
      </c>
      <c r="AX182" s="490" t="e">
        <f t="shared" si="7"/>
        <v>#REF!</v>
      </c>
      <c r="BF182" s="490" t="str">
        <f t="shared" si="8"/>
        <v/>
      </c>
    </row>
    <row r="183" spans="3:58" ht="15.95" customHeight="1" x14ac:dyDescent="0.25">
      <c r="C183" s="57" t="str">
        <f>IFERROR(IF(L183="","",IF(I183="",INDEX(Procesos!$1:$1048576,IF(AX183=1,5,MATCH(AX183,Procesos!A:A,0))+7,MATCH(J183,Procesos!$2:$2,0)+6),"")),"Despacho")</f>
        <v/>
      </c>
      <c r="D183" s="57" t="str">
        <f t="shared" si="6"/>
        <v/>
      </c>
      <c r="K183" s="57" t="s">
        <v>281</v>
      </c>
      <c r="AX183" s="490" t="e">
        <f t="shared" si="7"/>
        <v>#REF!</v>
      </c>
      <c r="BF183" s="490" t="str">
        <f t="shared" si="8"/>
        <v/>
      </c>
    </row>
    <row r="184" spans="3:58" ht="15.95" customHeight="1" x14ac:dyDescent="0.25">
      <c r="C184" s="57" t="str">
        <f>IFERROR(IF(L184="","",IF(I184="",INDEX(Procesos!$1:$1048576,IF(AX184=1,5,MATCH(AX184,Procesos!A:A,0))+7,MATCH(J184,Procesos!$2:$2,0)+6),"")),"Despacho")</f>
        <v/>
      </c>
      <c r="D184" s="57" t="str">
        <f t="shared" si="6"/>
        <v/>
      </c>
      <c r="K184" s="57" t="s">
        <v>281</v>
      </c>
      <c r="AX184" s="490" t="e">
        <f t="shared" si="7"/>
        <v>#REF!</v>
      </c>
      <c r="BF184" s="490" t="str">
        <f t="shared" si="8"/>
        <v/>
      </c>
    </row>
    <row r="185" spans="3:58" ht="15.95" customHeight="1" x14ac:dyDescent="0.25">
      <c r="C185" s="57" t="str">
        <f>IFERROR(IF(L185="","",IF(I185="",INDEX(Procesos!$1:$1048576,IF(AX185=1,5,MATCH(AX185,Procesos!A:A,0))+7,MATCH(J185,Procesos!$2:$2,0)+6),"")),"Despacho")</f>
        <v/>
      </c>
      <c r="D185" s="57" t="str">
        <f t="shared" si="6"/>
        <v/>
      </c>
      <c r="K185" s="57" t="s">
        <v>281</v>
      </c>
      <c r="AX185" s="490" t="e">
        <f t="shared" si="7"/>
        <v>#REF!</v>
      </c>
      <c r="BF185" s="490" t="str">
        <f t="shared" si="8"/>
        <v/>
      </c>
    </row>
    <row r="186" spans="3:58" ht="15.95" customHeight="1" x14ac:dyDescent="0.25">
      <c r="C186" s="57" t="str">
        <f>IFERROR(IF(L186="","",IF(I186="",INDEX(Procesos!$1:$1048576,IF(AX186=1,5,MATCH(AX186,Procesos!A:A,0))+7,MATCH(J186,Procesos!$2:$2,0)+6),"")),"Despacho")</f>
        <v/>
      </c>
      <c r="D186" s="57" t="str">
        <f t="shared" si="6"/>
        <v/>
      </c>
      <c r="K186" s="57" t="s">
        <v>281</v>
      </c>
      <c r="AX186" s="490" t="e">
        <f t="shared" si="7"/>
        <v>#REF!</v>
      </c>
      <c r="BF186" s="490" t="str">
        <f t="shared" si="8"/>
        <v/>
      </c>
    </row>
    <row r="187" spans="3:58" ht="15.95" customHeight="1" x14ac:dyDescent="0.25">
      <c r="C187" s="57" t="str">
        <f>IFERROR(IF(L187="","",IF(I187="",INDEX(Procesos!$1:$1048576,IF(AX187=1,5,MATCH(AX187,Procesos!A:A,0))+7,MATCH(J187,Procesos!$2:$2,0)+6),"")),"Despacho")</f>
        <v/>
      </c>
      <c r="D187" s="57" t="str">
        <f t="shared" si="6"/>
        <v/>
      </c>
      <c r="K187" s="57" t="s">
        <v>281</v>
      </c>
      <c r="AX187" s="490" t="e">
        <f t="shared" si="7"/>
        <v>#REF!</v>
      </c>
      <c r="BF187" s="490" t="str">
        <f t="shared" si="8"/>
        <v/>
      </c>
    </row>
    <row r="188" spans="3:58" ht="15.95" customHeight="1" x14ac:dyDescent="0.25">
      <c r="C188" s="57" t="str">
        <f>IFERROR(IF(L188="","",IF(I188="",INDEX(Procesos!$1:$1048576,IF(AX188=1,5,MATCH(AX188,Procesos!A:A,0))+7,MATCH(J188,Procesos!$2:$2,0)+6),"")),"Despacho")</f>
        <v/>
      </c>
      <c r="D188" s="57" t="str">
        <f t="shared" si="6"/>
        <v/>
      </c>
      <c r="K188" s="57" t="s">
        <v>281</v>
      </c>
      <c r="AX188" s="490" t="e">
        <f t="shared" si="7"/>
        <v>#REF!</v>
      </c>
      <c r="BF188" s="490" t="str">
        <f t="shared" si="8"/>
        <v/>
      </c>
    </row>
    <row r="189" spans="3:58" ht="15.95" customHeight="1" x14ac:dyDescent="0.25">
      <c r="C189" s="57" t="str">
        <f>IFERROR(IF(L189="","",IF(I189="",INDEX(Procesos!$1:$1048576,IF(AX189=1,5,MATCH(AX189,Procesos!A:A,0))+7,MATCH(J189,Procesos!$2:$2,0)+6),"")),"Despacho")</f>
        <v/>
      </c>
      <c r="D189" s="57" t="str">
        <f t="shared" si="6"/>
        <v/>
      </c>
      <c r="K189" s="57" t="s">
        <v>281</v>
      </c>
      <c r="AX189" s="490" t="e">
        <f t="shared" si="7"/>
        <v>#REF!</v>
      </c>
      <c r="BF189" s="490" t="str">
        <f t="shared" si="8"/>
        <v/>
      </c>
    </row>
    <row r="190" spans="3:58" ht="15.95" customHeight="1" x14ac:dyDescent="0.25">
      <c r="C190" s="57" t="str">
        <f>IFERROR(IF(L190="","",IF(I190="",INDEX(Procesos!$1:$1048576,IF(AX190=1,5,MATCH(AX190,Procesos!A:A,0))+7,MATCH(J190,Procesos!$2:$2,0)+6),"")),"Despacho")</f>
        <v/>
      </c>
      <c r="D190" s="57" t="str">
        <f t="shared" si="6"/>
        <v/>
      </c>
      <c r="K190" s="57" t="s">
        <v>281</v>
      </c>
      <c r="AX190" s="490" t="e">
        <f t="shared" si="7"/>
        <v>#REF!</v>
      </c>
      <c r="BF190" s="490" t="str">
        <f t="shared" si="8"/>
        <v/>
      </c>
    </row>
    <row r="191" spans="3:58" ht="15.95" customHeight="1" x14ac:dyDescent="0.25">
      <c r="C191" s="57" t="str">
        <f>IFERROR(IF(L191="","",IF(I191="",INDEX(Procesos!$1:$1048576,IF(AX191=1,5,MATCH(AX191,Procesos!A:A,0))+7,MATCH(J191,Procesos!$2:$2,0)+6),"")),"Despacho")</f>
        <v/>
      </c>
      <c r="D191" s="57" t="str">
        <f t="shared" si="6"/>
        <v/>
      </c>
      <c r="K191" s="57" t="s">
        <v>281</v>
      </c>
      <c r="AX191" s="490" t="e">
        <f t="shared" si="7"/>
        <v>#REF!</v>
      </c>
      <c r="BF191" s="490" t="str">
        <f t="shared" si="8"/>
        <v/>
      </c>
    </row>
    <row r="192" spans="3:58" ht="15.95" customHeight="1" x14ac:dyDescent="0.25">
      <c r="C192" s="57" t="str">
        <f>IFERROR(IF(L192="","",IF(I192="",INDEX(Procesos!$1:$1048576,IF(AX192=1,5,MATCH(AX192,Procesos!A:A,0))+7,MATCH(J192,Procesos!$2:$2,0)+6),"")),"Despacho")</f>
        <v/>
      </c>
      <c r="D192" s="57" t="str">
        <f t="shared" si="6"/>
        <v/>
      </c>
      <c r="K192" s="57" t="s">
        <v>281</v>
      </c>
      <c r="AX192" s="490" t="e">
        <f t="shared" si="7"/>
        <v>#REF!</v>
      </c>
      <c r="BF192" s="490" t="str">
        <f t="shared" si="8"/>
        <v/>
      </c>
    </row>
    <row r="193" spans="3:58" ht="15.95" customHeight="1" x14ac:dyDescent="0.25">
      <c r="C193" s="57" t="str">
        <f>IFERROR(IF(L193="","",IF(I193="",INDEX(Procesos!$1:$1048576,IF(AX193=1,5,MATCH(AX193,Procesos!A:A,0))+7,MATCH(J193,Procesos!$2:$2,0)+6),"")),"Despacho")</f>
        <v/>
      </c>
      <c r="D193" s="57" t="str">
        <f t="shared" si="6"/>
        <v/>
      </c>
      <c r="K193" s="57" t="s">
        <v>281</v>
      </c>
      <c r="AX193" s="490" t="e">
        <f t="shared" si="7"/>
        <v>#REF!</v>
      </c>
      <c r="BF193" s="490" t="str">
        <f t="shared" si="8"/>
        <v/>
      </c>
    </row>
    <row r="194" spans="3:58" ht="15.95" customHeight="1" x14ac:dyDescent="0.25">
      <c r="C194" s="57" t="str">
        <f>IFERROR(IF(L194="","",IF(I194="",INDEX(Procesos!$1:$1048576,IF(AX194=1,5,MATCH(AX194,Procesos!A:A,0))+7,MATCH(J194,Procesos!$2:$2,0)+6),"")),"Despacho")</f>
        <v/>
      </c>
      <c r="D194" s="57" t="str">
        <f t="shared" ref="D194:D257" si="9">IF(J194="","",J194&amp;"     ITEM # "&amp;AX194)</f>
        <v/>
      </c>
      <c r="K194" s="57" t="s">
        <v>281</v>
      </c>
      <c r="AX194" s="490" t="e">
        <f t="shared" si="7"/>
        <v>#REF!</v>
      </c>
      <c r="BF194" s="490" t="str">
        <f t="shared" si="8"/>
        <v/>
      </c>
    </row>
    <row r="195" spans="3:58" ht="15.95" customHeight="1" x14ac:dyDescent="0.25">
      <c r="C195" s="57" t="str">
        <f>IFERROR(IF(L195="","",IF(I195="",INDEX(Procesos!$1:$1048576,IF(AX195=1,5,MATCH(AX195,Procesos!A:A,0))+7,MATCH(J195,Procesos!$2:$2,0)+6),"")),"Despacho")</f>
        <v/>
      </c>
      <c r="D195" s="57" t="str">
        <f t="shared" si="9"/>
        <v/>
      </c>
      <c r="K195" s="57" t="s">
        <v>281</v>
      </c>
      <c r="AX195" s="490" t="e">
        <f t="shared" ref="AX195:AX258" si="10">IF(J195=J194,AX194+1,1)</f>
        <v>#REF!</v>
      </c>
      <c r="BF195" s="490" t="str">
        <f t="shared" si="8"/>
        <v/>
      </c>
    </row>
    <row r="196" spans="3:58" ht="15.95" customHeight="1" x14ac:dyDescent="0.25">
      <c r="C196" s="57" t="str">
        <f>IFERROR(IF(L196="","",IF(I196="",INDEX(Procesos!$1:$1048576,IF(AX196=1,5,MATCH(AX196,Procesos!A:A,0))+7,MATCH(J196,Procesos!$2:$2,0)+6),"")),"Despacho")</f>
        <v/>
      </c>
      <c r="D196" s="57" t="str">
        <f t="shared" si="9"/>
        <v/>
      </c>
      <c r="K196" s="57" t="s">
        <v>281</v>
      </c>
      <c r="AX196" s="490" t="e">
        <f t="shared" si="10"/>
        <v>#REF!</v>
      </c>
      <c r="BF196" s="490" t="str">
        <f t="shared" si="8"/>
        <v/>
      </c>
    </row>
    <row r="197" spans="3:58" ht="15.95" customHeight="1" x14ac:dyDescent="0.25">
      <c r="C197" s="57" t="str">
        <f>IFERROR(IF(L197="","",IF(I197="",INDEX(Procesos!$1:$1048576,IF(AX197=1,5,MATCH(AX197,Procesos!A:A,0))+7,MATCH(J197,Procesos!$2:$2,0)+6),"")),"Despacho")</f>
        <v/>
      </c>
      <c r="D197" s="57" t="str">
        <f t="shared" si="9"/>
        <v/>
      </c>
      <c r="K197" s="57" t="s">
        <v>281</v>
      </c>
      <c r="AX197" s="490" t="e">
        <f t="shared" si="10"/>
        <v>#REF!</v>
      </c>
      <c r="BF197" s="490" t="str">
        <f t="shared" si="8"/>
        <v/>
      </c>
    </row>
    <row r="198" spans="3:58" ht="15.95" customHeight="1" x14ac:dyDescent="0.25">
      <c r="C198" s="57" t="str">
        <f>IFERROR(IF(L198="","",IF(I198="",INDEX(Procesos!$1:$1048576,IF(AX198=1,5,MATCH(AX198,Procesos!A:A,0))+7,MATCH(J198,Procesos!$2:$2,0)+6),"")),"Despacho")</f>
        <v/>
      </c>
      <c r="D198" s="57" t="str">
        <f t="shared" si="9"/>
        <v/>
      </c>
      <c r="K198" s="57" t="s">
        <v>281</v>
      </c>
      <c r="AX198" s="490" t="e">
        <f t="shared" si="10"/>
        <v>#REF!</v>
      </c>
      <c r="BF198" s="490" t="str">
        <f t="shared" ref="BF198:BF261" si="11">IF(BB198="","",$BB198&amp;"     ITEM # "&amp;$BG198)</f>
        <v/>
      </c>
    </row>
    <row r="199" spans="3:58" ht="15.95" customHeight="1" x14ac:dyDescent="0.25">
      <c r="C199" s="57" t="str">
        <f>IFERROR(IF(L199="","",IF(I199="",INDEX(Procesos!$1:$1048576,IF(AX199=1,5,MATCH(AX199,Procesos!A:A,0))+7,MATCH(J199,Procesos!$2:$2,0)+6),"")),"Despacho")</f>
        <v/>
      </c>
      <c r="D199" s="57" t="str">
        <f t="shared" si="9"/>
        <v/>
      </c>
      <c r="K199" s="57" t="s">
        <v>281</v>
      </c>
      <c r="AX199" s="490" t="e">
        <f t="shared" si="10"/>
        <v>#REF!</v>
      </c>
      <c r="BF199" s="490" t="str">
        <f t="shared" si="11"/>
        <v/>
      </c>
    </row>
    <row r="200" spans="3:58" ht="15.95" customHeight="1" x14ac:dyDescent="0.25">
      <c r="C200" s="57" t="str">
        <f>IFERROR(IF(L200="","",IF(I200="",INDEX(Procesos!$1:$1048576,IF(AX200=1,5,MATCH(AX200,Procesos!A:A,0))+7,MATCH(J200,Procesos!$2:$2,0)+6),"")),"Despacho")</f>
        <v/>
      </c>
      <c r="D200" s="57" t="str">
        <f t="shared" si="9"/>
        <v/>
      </c>
      <c r="K200" s="57" t="s">
        <v>281</v>
      </c>
      <c r="AX200" s="490" t="e">
        <f t="shared" si="10"/>
        <v>#REF!</v>
      </c>
      <c r="BF200" s="490" t="str">
        <f t="shared" si="11"/>
        <v/>
      </c>
    </row>
    <row r="201" spans="3:58" ht="15.95" customHeight="1" x14ac:dyDescent="0.25">
      <c r="C201" s="57" t="str">
        <f>IFERROR(IF(L201="","",IF(I201="",INDEX(Procesos!$1:$1048576,IF(AX201=1,5,MATCH(AX201,Procesos!A:A,0))+7,MATCH(J201,Procesos!$2:$2,0)+6),"")),"Despacho")</f>
        <v/>
      </c>
      <c r="D201" s="57" t="str">
        <f t="shared" si="9"/>
        <v/>
      </c>
      <c r="K201" s="57" t="s">
        <v>281</v>
      </c>
      <c r="AX201" s="490" t="e">
        <f t="shared" si="10"/>
        <v>#REF!</v>
      </c>
      <c r="BF201" s="490" t="str">
        <f t="shared" si="11"/>
        <v/>
      </c>
    </row>
    <row r="202" spans="3:58" ht="15.95" customHeight="1" x14ac:dyDescent="0.25">
      <c r="C202" s="57" t="str">
        <f>IFERROR(IF(L202="","",IF(I202="",INDEX(Procesos!$1:$1048576,IF(AX202=1,5,MATCH(AX202,Procesos!A:A,0))+7,MATCH(J202,Procesos!$2:$2,0)+6),"")),"Despacho")</f>
        <v/>
      </c>
      <c r="D202" s="57" t="str">
        <f t="shared" si="9"/>
        <v/>
      </c>
      <c r="K202" s="57" t="s">
        <v>281</v>
      </c>
      <c r="AX202" s="490" t="e">
        <f t="shared" si="10"/>
        <v>#REF!</v>
      </c>
      <c r="BF202" s="490" t="str">
        <f t="shared" si="11"/>
        <v/>
      </c>
    </row>
    <row r="203" spans="3:58" ht="15.95" customHeight="1" x14ac:dyDescent="0.25">
      <c r="C203" s="57" t="str">
        <f>IFERROR(IF(L203="","",IF(I203="",INDEX(Procesos!$1:$1048576,IF(AX203=1,5,MATCH(AX203,Procesos!A:A,0))+7,MATCH(J203,Procesos!$2:$2,0)+6),"")),"Despacho")</f>
        <v/>
      </c>
      <c r="D203" s="57" t="str">
        <f t="shared" si="9"/>
        <v/>
      </c>
      <c r="K203" s="57" t="s">
        <v>281</v>
      </c>
      <c r="AX203" s="490" t="e">
        <f t="shared" si="10"/>
        <v>#REF!</v>
      </c>
      <c r="BF203" s="490" t="str">
        <f t="shared" si="11"/>
        <v/>
      </c>
    </row>
    <row r="204" spans="3:58" ht="15.95" customHeight="1" x14ac:dyDescent="0.25">
      <c r="C204" s="57" t="str">
        <f>IFERROR(IF(L204="","",IF(I204="",INDEX(Procesos!$1:$1048576,IF(AX204=1,5,MATCH(AX204,Procesos!A:A,0))+7,MATCH(J204,Procesos!$2:$2,0)+6),"")),"Despacho")</f>
        <v/>
      </c>
      <c r="D204" s="57" t="str">
        <f t="shared" si="9"/>
        <v/>
      </c>
      <c r="K204" s="57" t="s">
        <v>281</v>
      </c>
      <c r="AX204" s="490" t="e">
        <f t="shared" si="10"/>
        <v>#REF!</v>
      </c>
      <c r="BF204" s="490" t="str">
        <f t="shared" si="11"/>
        <v/>
      </c>
    </row>
    <row r="205" spans="3:58" ht="15.95" customHeight="1" x14ac:dyDescent="0.25">
      <c r="C205" s="57" t="str">
        <f>IFERROR(IF(L205="","",IF(I205="",INDEX(Procesos!$1:$1048576,IF(AX205=1,5,MATCH(AX205,Procesos!A:A,0))+7,MATCH(J205,Procesos!$2:$2,0)+6),"")),"Despacho")</f>
        <v/>
      </c>
      <c r="D205" s="57" t="str">
        <f t="shared" si="9"/>
        <v/>
      </c>
      <c r="K205" s="57" t="s">
        <v>281</v>
      </c>
      <c r="AX205" s="490" t="e">
        <f t="shared" si="10"/>
        <v>#REF!</v>
      </c>
      <c r="BF205" s="490" t="str">
        <f t="shared" si="11"/>
        <v/>
      </c>
    </row>
    <row r="206" spans="3:58" ht="15.95" customHeight="1" x14ac:dyDescent="0.25">
      <c r="C206" s="57" t="str">
        <f>IFERROR(IF(L206="","",IF(I206="",INDEX(Procesos!$1:$1048576,IF(AX206=1,5,MATCH(AX206,Procesos!A:A,0))+7,MATCH(J206,Procesos!$2:$2,0)+6),"")),"Despacho")</f>
        <v/>
      </c>
      <c r="D206" s="57" t="str">
        <f t="shared" si="9"/>
        <v/>
      </c>
      <c r="K206" s="57" t="s">
        <v>281</v>
      </c>
      <c r="AX206" s="490" t="e">
        <f t="shared" si="10"/>
        <v>#REF!</v>
      </c>
      <c r="BF206" s="490" t="str">
        <f t="shared" si="11"/>
        <v/>
      </c>
    </row>
    <row r="207" spans="3:58" ht="15.95" customHeight="1" x14ac:dyDescent="0.25">
      <c r="C207" s="57" t="str">
        <f>IFERROR(IF(L207="","",IF(I207="",INDEX(Procesos!$1:$1048576,IF(AX207=1,5,MATCH(AX207,Procesos!A:A,0))+7,MATCH(J207,Procesos!$2:$2,0)+6),"")),"Despacho")</f>
        <v/>
      </c>
      <c r="D207" s="57" t="str">
        <f t="shared" si="9"/>
        <v/>
      </c>
      <c r="K207" s="57" t="s">
        <v>281</v>
      </c>
      <c r="AX207" s="490" t="e">
        <f t="shared" si="10"/>
        <v>#REF!</v>
      </c>
      <c r="BF207" s="490" t="str">
        <f t="shared" si="11"/>
        <v/>
      </c>
    </row>
    <row r="208" spans="3:58" ht="15.95" customHeight="1" x14ac:dyDescent="0.25">
      <c r="C208" s="57" t="str">
        <f>IFERROR(IF(L208="","",IF(I208="",INDEX(Procesos!$1:$1048576,IF(AX208=1,5,MATCH(AX208,Procesos!A:A,0))+7,MATCH(J208,Procesos!$2:$2,0)+6),"")),"Despacho")</f>
        <v/>
      </c>
      <c r="D208" s="57" t="str">
        <f t="shared" si="9"/>
        <v/>
      </c>
      <c r="K208" s="57" t="s">
        <v>281</v>
      </c>
      <c r="AX208" s="490" t="e">
        <f t="shared" si="10"/>
        <v>#REF!</v>
      </c>
      <c r="BF208" s="490" t="str">
        <f t="shared" si="11"/>
        <v/>
      </c>
    </row>
    <row r="209" spans="3:58" ht="15.95" customHeight="1" x14ac:dyDescent="0.25">
      <c r="C209" s="57" t="str">
        <f>IFERROR(IF(L209="","",IF(I209="",INDEX(Procesos!$1:$1048576,IF(AX209=1,5,MATCH(AX209,Procesos!A:A,0))+7,MATCH(J209,Procesos!$2:$2,0)+6),"")),"Despacho")</f>
        <v/>
      </c>
      <c r="D209" s="57" t="str">
        <f t="shared" si="9"/>
        <v/>
      </c>
      <c r="K209" s="57" t="s">
        <v>281</v>
      </c>
      <c r="AX209" s="490" t="e">
        <f t="shared" si="10"/>
        <v>#REF!</v>
      </c>
      <c r="BF209" s="490" t="str">
        <f t="shared" si="11"/>
        <v/>
      </c>
    </row>
    <row r="210" spans="3:58" ht="15.95" customHeight="1" x14ac:dyDescent="0.25">
      <c r="C210" s="57" t="str">
        <f>IFERROR(IF(L210="","",IF(I210="",INDEX(Procesos!$1:$1048576,IF(AX210=1,5,MATCH(AX210,Procesos!A:A,0))+7,MATCH(J210,Procesos!$2:$2,0)+6),"")),"Despacho")</f>
        <v/>
      </c>
      <c r="D210" s="57" t="str">
        <f t="shared" si="9"/>
        <v/>
      </c>
      <c r="K210" s="57" t="s">
        <v>281</v>
      </c>
      <c r="AX210" s="490" t="e">
        <f t="shared" si="10"/>
        <v>#REF!</v>
      </c>
      <c r="BF210" s="490" t="str">
        <f t="shared" si="11"/>
        <v/>
      </c>
    </row>
    <row r="211" spans="3:58" ht="15.95" customHeight="1" x14ac:dyDescent="0.25">
      <c r="C211" s="57" t="str">
        <f>IFERROR(IF(L211="","",IF(I211="",INDEX(Procesos!$1:$1048576,IF(AX211=1,5,MATCH(AX211,Procesos!A:A,0))+7,MATCH(J211,Procesos!$2:$2,0)+6),"")),"Despacho")</f>
        <v/>
      </c>
      <c r="D211" s="57" t="str">
        <f t="shared" si="9"/>
        <v/>
      </c>
      <c r="K211" s="57" t="s">
        <v>281</v>
      </c>
      <c r="AX211" s="490" t="e">
        <f t="shared" si="10"/>
        <v>#REF!</v>
      </c>
      <c r="BF211" s="490" t="str">
        <f t="shared" si="11"/>
        <v/>
      </c>
    </row>
    <row r="212" spans="3:58" ht="15.95" customHeight="1" x14ac:dyDescent="0.25">
      <c r="C212" s="57" t="str">
        <f>IFERROR(IF(L212="","",IF(I212="",INDEX(Procesos!$1:$1048576,IF(AX212=1,5,MATCH(AX212,Procesos!A:A,0))+7,MATCH(J212,Procesos!$2:$2,0)+6),"")),"Despacho")</f>
        <v/>
      </c>
      <c r="D212" s="57" t="str">
        <f t="shared" si="9"/>
        <v/>
      </c>
      <c r="K212" s="57" t="s">
        <v>281</v>
      </c>
      <c r="AX212" s="490" t="e">
        <f t="shared" si="10"/>
        <v>#REF!</v>
      </c>
      <c r="BF212" s="490" t="str">
        <f t="shared" si="11"/>
        <v/>
      </c>
    </row>
    <row r="213" spans="3:58" ht="15.95" customHeight="1" x14ac:dyDescent="0.25">
      <c r="C213" s="57" t="str">
        <f>IFERROR(IF(L213="","",IF(I213="",INDEX(Procesos!$1:$1048576,IF(AX213=1,5,MATCH(AX213,Procesos!A:A,0))+7,MATCH(J213,Procesos!$2:$2,0)+6),"")),"Despacho")</f>
        <v/>
      </c>
      <c r="D213" s="57" t="str">
        <f t="shared" si="9"/>
        <v/>
      </c>
      <c r="K213" s="57" t="s">
        <v>281</v>
      </c>
      <c r="AX213" s="490" t="e">
        <f t="shared" si="10"/>
        <v>#REF!</v>
      </c>
      <c r="BF213" s="490" t="str">
        <f t="shared" si="11"/>
        <v/>
      </c>
    </row>
    <row r="214" spans="3:58" ht="15.95" customHeight="1" x14ac:dyDescent="0.25">
      <c r="C214" s="57" t="str">
        <f>IFERROR(IF(L214="","",IF(I214="",INDEX(Procesos!$1:$1048576,IF(AX214=1,5,MATCH(AX214,Procesos!A:A,0))+7,MATCH(J214,Procesos!$2:$2,0)+6),"")),"Despacho")</f>
        <v/>
      </c>
      <c r="D214" s="57" t="str">
        <f t="shared" si="9"/>
        <v/>
      </c>
      <c r="K214" s="57" t="s">
        <v>281</v>
      </c>
      <c r="AX214" s="490" t="e">
        <f t="shared" si="10"/>
        <v>#REF!</v>
      </c>
      <c r="BF214" s="490" t="str">
        <f t="shared" si="11"/>
        <v/>
      </c>
    </row>
    <row r="215" spans="3:58" ht="15.95" customHeight="1" x14ac:dyDescent="0.25">
      <c r="C215" s="57" t="str">
        <f>IFERROR(IF(L215="","",IF(I215="",INDEX(Procesos!$1:$1048576,IF(AX215=1,5,MATCH(AX215,Procesos!A:A,0))+7,MATCH(J215,Procesos!$2:$2,0)+6),"")),"Despacho")</f>
        <v/>
      </c>
      <c r="D215" s="57" t="str">
        <f t="shared" si="9"/>
        <v/>
      </c>
      <c r="K215" s="57" t="s">
        <v>281</v>
      </c>
      <c r="AX215" s="490" t="e">
        <f t="shared" si="10"/>
        <v>#REF!</v>
      </c>
      <c r="BF215" s="490" t="str">
        <f t="shared" si="11"/>
        <v/>
      </c>
    </row>
    <row r="216" spans="3:58" ht="15.95" customHeight="1" x14ac:dyDescent="0.25">
      <c r="C216" s="57" t="str">
        <f>IFERROR(IF(L216="","",IF(I216="",INDEX(Procesos!$1:$1048576,IF(AX216=1,5,MATCH(AX216,Procesos!A:A,0))+7,MATCH(J216,Procesos!$2:$2,0)+6),"")),"Despacho")</f>
        <v/>
      </c>
      <c r="D216" s="57" t="str">
        <f t="shared" si="9"/>
        <v/>
      </c>
      <c r="K216" s="57" t="s">
        <v>281</v>
      </c>
      <c r="AX216" s="490" t="e">
        <f t="shared" si="10"/>
        <v>#REF!</v>
      </c>
      <c r="BF216" s="490" t="str">
        <f t="shared" si="11"/>
        <v/>
      </c>
    </row>
    <row r="217" spans="3:58" ht="15.95" customHeight="1" x14ac:dyDescent="0.25">
      <c r="C217" s="57" t="str">
        <f>IFERROR(IF(L217="","",IF(I217="",INDEX(Procesos!$1:$1048576,IF(AX217=1,5,MATCH(AX217,Procesos!A:A,0))+7,MATCH(J217,Procesos!$2:$2,0)+6),"")),"Despacho")</f>
        <v/>
      </c>
      <c r="D217" s="57" t="str">
        <f t="shared" si="9"/>
        <v/>
      </c>
      <c r="K217" s="57" t="s">
        <v>281</v>
      </c>
      <c r="AX217" s="490" t="e">
        <f t="shared" si="10"/>
        <v>#REF!</v>
      </c>
      <c r="BF217" s="490" t="str">
        <f t="shared" si="11"/>
        <v/>
      </c>
    </row>
    <row r="218" spans="3:58" ht="15.95" customHeight="1" x14ac:dyDescent="0.25">
      <c r="C218" s="57" t="str">
        <f>IFERROR(IF(L218="","",IF(I218="",INDEX(Procesos!$1:$1048576,IF(AX218=1,5,MATCH(AX218,Procesos!A:A,0))+7,MATCH(J218,Procesos!$2:$2,0)+6),"")),"Despacho")</f>
        <v/>
      </c>
      <c r="D218" s="57" t="str">
        <f t="shared" si="9"/>
        <v/>
      </c>
      <c r="K218" s="57" t="s">
        <v>281</v>
      </c>
      <c r="AX218" s="490" t="e">
        <f t="shared" si="10"/>
        <v>#REF!</v>
      </c>
      <c r="BF218" s="490" t="str">
        <f t="shared" si="11"/>
        <v/>
      </c>
    </row>
    <row r="219" spans="3:58" ht="15.95" customHeight="1" x14ac:dyDescent="0.25">
      <c r="C219" s="57" t="str">
        <f>IFERROR(IF(L219="","",IF(I219="",INDEX(Procesos!$1:$1048576,IF(AX219=1,5,MATCH(AX219,Procesos!A:A,0))+7,MATCH(J219,Procesos!$2:$2,0)+6),"")),"Despacho")</f>
        <v/>
      </c>
      <c r="D219" s="57" t="str">
        <f t="shared" si="9"/>
        <v/>
      </c>
      <c r="K219" s="57" t="s">
        <v>281</v>
      </c>
      <c r="AX219" s="490" t="e">
        <f t="shared" si="10"/>
        <v>#REF!</v>
      </c>
      <c r="BF219" s="490" t="str">
        <f t="shared" si="11"/>
        <v/>
      </c>
    </row>
    <row r="220" spans="3:58" ht="15.95" customHeight="1" x14ac:dyDescent="0.25">
      <c r="C220" s="57" t="str">
        <f>IFERROR(IF(L220="","",IF(I220="",INDEX(Procesos!$1:$1048576,IF(AX220=1,5,MATCH(AX220,Procesos!A:A,0))+7,MATCH(J220,Procesos!$2:$2,0)+6),"")),"Despacho")</f>
        <v/>
      </c>
      <c r="D220" s="57" t="str">
        <f t="shared" si="9"/>
        <v/>
      </c>
      <c r="K220" s="57" t="s">
        <v>281</v>
      </c>
      <c r="AX220" s="490" t="e">
        <f t="shared" si="10"/>
        <v>#REF!</v>
      </c>
      <c r="BF220" s="490" t="str">
        <f t="shared" si="11"/>
        <v/>
      </c>
    </row>
    <row r="221" spans="3:58" ht="15.95" customHeight="1" x14ac:dyDescent="0.25">
      <c r="C221" s="57" t="str">
        <f>IFERROR(IF(L221="","",IF(I221="",INDEX(Procesos!$1:$1048576,IF(AX221=1,5,MATCH(AX221,Procesos!A:A,0))+7,MATCH(J221,Procesos!$2:$2,0)+6),"")),"Despacho")</f>
        <v/>
      </c>
      <c r="D221" s="57" t="str">
        <f t="shared" si="9"/>
        <v/>
      </c>
      <c r="K221" s="57" t="s">
        <v>281</v>
      </c>
      <c r="AX221" s="490" t="e">
        <f t="shared" si="10"/>
        <v>#REF!</v>
      </c>
      <c r="BF221" s="490" t="str">
        <f t="shared" si="11"/>
        <v/>
      </c>
    </row>
    <row r="222" spans="3:58" ht="15.95" customHeight="1" x14ac:dyDescent="0.25">
      <c r="C222" s="57" t="str">
        <f>IFERROR(IF(L222="","",IF(I222="",INDEX(Procesos!$1:$1048576,IF(AX222=1,5,MATCH(AX222,Procesos!A:A,0))+7,MATCH(J222,Procesos!$2:$2,0)+6),"")),"Despacho")</f>
        <v/>
      </c>
      <c r="D222" s="57" t="str">
        <f t="shared" si="9"/>
        <v/>
      </c>
      <c r="K222" s="57" t="s">
        <v>281</v>
      </c>
      <c r="AX222" s="490" t="e">
        <f t="shared" si="10"/>
        <v>#REF!</v>
      </c>
      <c r="BF222" s="490" t="str">
        <f t="shared" si="11"/>
        <v/>
      </c>
    </row>
    <row r="223" spans="3:58" ht="15.95" customHeight="1" x14ac:dyDescent="0.25">
      <c r="C223" s="57" t="str">
        <f>IFERROR(IF(L223="","",IF(I223="",INDEX(Procesos!$1:$1048576,IF(AX223=1,5,MATCH(AX223,Procesos!A:A,0))+7,MATCH(J223,Procesos!$2:$2,0)+6),"")),"Despacho")</f>
        <v/>
      </c>
      <c r="D223" s="57" t="str">
        <f t="shared" si="9"/>
        <v/>
      </c>
      <c r="K223" s="57" t="s">
        <v>281</v>
      </c>
      <c r="AX223" s="490" t="e">
        <f t="shared" si="10"/>
        <v>#REF!</v>
      </c>
      <c r="BF223" s="490" t="str">
        <f t="shared" si="11"/>
        <v/>
      </c>
    </row>
    <row r="224" spans="3:58" ht="15.95" customHeight="1" x14ac:dyDescent="0.25">
      <c r="C224" s="57" t="str">
        <f>IFERROR(IF(L224="","",IF(I224="",INDEX(Procesos!$1:$1048576,IF(AX224=1,5,MATCH(AX224,Procesos!A:A,0))+7,MATCH(J224,Procesos!$2:$2,0)+6),"")),"Despacho")</f>
        <v/>
      </c>
      <c r="D224" s="57" t="str">
        <f t="shared" si="9"/>
        <v/>
      </c>
      <c r="K224" s="57" t="s">
        <v>281</v>
      </c>
      <c r="AX224" s="490" t="e">
        <f t="shared" si="10"/>
        <v>#REF!</v>
      </c>
      <c r="BF224" s="490" t="str">
        <f t="shared" si="11"/>
        <v/>
      </c>
    </row>
    <row r="225" spans="3:58" ht="15.95" customHeight="1" x14ac:dyDescent="0.25">
      <c r="C225" s="57" t="str">
        <f>IFERROR(IF(L225="","",IF(I225="",INDEX(Procesos!$1:$1048576,IF(AX225=1,5,MATCH(AX225,Procesos!A:A,0))+7,MATCH(J225,Procesos!$2:$2,0)+6),"")),"Despacho")</f>
        <v/>
      </c>
      <c r="D225" s="57" t="str">
        <f t="shared" si="9"/>
        <v/>
      </c>
      <c r="K225" s="57" t="s">
        <v>281</v>
      </c>
      <c r="AX225" s="490" t="e">
        <f t="shared" si="10"/>
        <v>#REF!</v>
      </c>
      <c r="BF225" s="490" t="str">
        <f t="shared" si="11"/>
        <v/>
      </c>
    </row>
    <row r="226" spans="3:58" ht="15.95" customHeight="1" x14ac:dyDescent="0.25">
      <c r="C226" s="57" t="str">
        <f>IFERROR(IF(L226="","",IF(I226="",INDEX(Procesos!$1:$1048576,IF(AX226=1,5,MATCH(AX226,Procesos!A:A,0))+7,MATCH(J226,Procesos!$2:$2,0)+6),"")),"Despacho")</f>
        <v/>
      </c>
      <c r="D226" s="57" t="str">
        <f t="shared" si="9"/>
        <v/>
      </c>
      <c r="K226" s="57" t="s">
        <v>281</v>
      </c>
      <c r="AX226" s="490" t="e">
        <f t="shared" si="10"/>
        <v>#REF!</v>
      </c>
      <c r="BF226" s="490" t="str">
        <f t="shared" si="11"/>
        <v/>
      </c>
    </row>
    <row r="227" spans="3:58" ht="15.95" customHeight="1" x14ac:dyDescent="0.25">
      <c r="C227" s="57" t="str">
        <f>IFERROR(IF(L227="","",IF(I227="",INDEX(Procesos!$1:$1048576,IF(AX227=1,5,MATCH(AX227,Procesos!A:A,0))+7,MATCH(J227,Procesos!$2:$2,0)+6),"")),"Despacho")</f>
        <v/>
      </c>
      <c r="D227" s="57" t="str">
        <f t="shared" si="9"/>
        <v/>
      </c>
      <c r="K227" s="57" t="s">
        <v>281</v>
      </c>
      <c r="AX227" s="490" t="e">
        <f t="shared" si="10"/>
        <v>#REF!</v>
      </c>
      <c r="BF227" s="490" t="str">
        <f t="shared" si="11"/>
        <v/>
      </c>
    </row>
    <row r="228" spans="3:58" ht="15.95" customHeight="1" x14ac:dyDescent="0.25">
      <c r="C228" s="57" t="str">
        <f>IFERROR(IF(L228="","",IF(I228="",INDEX(Procesos!$1:$1048576,IF(AX228=1,5,MATCH(AX228,Procesos!A:A,0))+7,MATCH(J228,Procesos!$2:$2,0)+6),"")),"Despacho")</f>
        <v/>
      </c>
      <c r="D228" s="57" t="str">
        <f t="shared" si="9"/>
        <v/>
      </c>
      <c r="K228" s="57" t="s">
        <v>281</v>
      </c>
      <c r="AX228" s="490" t="e">
        <f t="shared" si="10"/>
        <v>#REF!</v>
      </c>
      <c r="BF228" s="490" t="str">
        <f t="shared" si="11"/>
        <v/>
      </c>
    </row>
    <row r="229" spans="3:58" ht="15.95" customHeight="1" x14ac:dyDescent="0.25">
      <c r="C229" s="57" t="str">
        <f>IFERROR(IF(L229="","",IF(I229="",INDEX(Procesos!$1:$1048576,IF(AX229=1,5,MATCH(AX229,Procesos!A:A,0))+7,MATCH(J229,Procesos!$2:$2,0)+6),"")),"Despacho")</f>
        <v/>
      </c>
      <c r="D229" s="57" t="str">
        <f t="shared" si="9"/>
        <v/>
      </c>
      <c r="K229" s="57" t="s">
        <v>281</v>
      </c>
      <c r="AX229" s="490" t="e">
        <f t="shared" si="10"/>
        <v>#REF!</v>
      </c>
      <c r="BF229" s="490" t="str">
        <f t="shared" si="11"/>
        <v/>
      </c>
    </row>
    <row r="230" spans="3:58" ht="15.95" customHeight="1" x14ac:dyDescent="0.25">
      <c r="C230" s="57" t="str">
        <f>IFERROR(IF(L230="","",IF(I230="",INDEX(Procesos!$1:$1048576,IF(AX230=1,5,MATCH(AX230,Procesos!A:A,0))+7,MATCH(J230,Procesos!$2:$2,0)+6),"")),"Despacho")</f>
        <v/>
      </c>
      <c r="D230" s="57" t="str">
        <f t="shared" si="9"/>
        <v/>
      </c>
      <c r="K230" s="57" t="s">
        <v>281</v>
      </c>
      <c r="AX230" s="490" t="e">
        <f t="shared" si="10"/>
        <v>#REF!</v>
      </c>
      <c r="BF230" s="490" t="str">
        <f t="shared" si="11"/>
        <v/>
      </c>
    </row>
    <row r="231" spans="3:58" ht="15.95" customHeight="1" x14ac:dyDescent="0.25">
      <c r="C231" s="57" t="str">
        <f>IFERROR(IF(L231="","",IF(I231="",INDEX(Procesos!$1:$1048576,IF(AX231=1,5,MATCH(AX231,Procesos!A:A,0))+7,MATCH(J231,Procesos!$2:$2,0)+6),"")),"Despacho")</f>
        <v/>
      </c>
      <c r="D231" s="57" t="str">
        <f t="shared" si="9"/>
        <v/>
      </c>
      <c r="K231" s="57" t="s">
        <v>281</v>
      </c>
      <c r="AX231" s="490" t="e">
        <f t="shared" si="10"/>
        <v>#REF!</v>
      </c>
      <c r="BF231" s="490" t="str">
        <f t="shared" si="11"/>
        <v/>
      </c>
    </row>
    <row r="232" spans="3:58" ht="15.95" customHeight="1" x14ac:dyDescent="0.25">
      <c r="C232" s="57" t="str">
        <f>IFERROR(IF(L232="","",IF(I232="",INDEX(Procesos!$1:$1048576,IF(AX232=1,5,MATCH(AX232,Procesos!A:A,0))+7,MATCH(J232,Procesos!$2:$2,0)+6),"")),"Despacho")</f>
        <v/>
      </c>
      <c r="D232" s="57" t="str">
        <f t="shared" si="9"/>
        <v/>
      </c>
      <c r="K232" s="57" t="s">
        <v>281</v>
      </c>
      <c r="AX232" s="490" t="e">
        <f t="shared" si="10"/>
        <v>#REF!</v>
      </c>
      <c r="BF232" s="490" t="str">
        <f t="shared" si="11"/>
        <v/>
      </c>
    </row>
    <row r="233" spans="3:58" ht="15.95" customHeight="1" x14ac:dyDescent="0.25">
      <c r="C233" s="57" t="str">
        <f>IFERROR(IF(L233="","",IF(I233="",INDEX(Procesos!$1:$1048576,IF(AX233=1,5,MATCH(AX233,Procesos!A:A,0))+7,MATCH(J233,Procesos!$2:$2,0)+6),"")),"Despacho")</f>
        <v/>
      </c>
      <c r="D233" s="57" t="str">
        <f t="shared" si="9"/>
        <v/>
      </c>
      <c r="K233" s="57" t="s">
        <v>281</v>
      </c>
      <c r="AX233" s="490" t="e">
        <f t="shared" si="10"/>
        <v>#REF!</v>
      </c>
      <c r="BF233" s="490" t="str">
        <f t="shared" si="11"/>
        <v/>
      </c>
    </row>
    <row r="234" spans="3:58" ht="15.95" customHeight="1" x14ac:dyDescent="0.25">
      <c r="C234" s="57" t="str">
        <f>IFERROR(IF(L234="","",IF(I234="",INDEX(Procesos!$1:$1048576,IF(AX234=1,5,MATCH(AX234,Procesos!A:A,0))+7,MATCH(J234,Procesos!$2:$2,0)+6),"")),"Despacho")</f>
        <v/>
      </c>
      <c r="D234" s="57" t="str">
        <f t="shared" si="9"/>
        <v/>
      </c>
      <c r="K234" s="57" t="s">
        <v>281</v>
      </c>
      <c r="AX234" s="490" t="e">
        <f t="shared" si="10"/>
        <v>#REF!</v>
      </c>
      <c r="BF234" s="490" t="str">
        <f t="shared" si="11"/>
        <v/>
      </c>
    </row>
    <row r="235" spans="3:58" ht="15.95" customHeight="1" x14ac:dyDescent="0.25">
      <c r="C235" s="57" t="str">
        <f>IFERROR(IF(L235="","",IF(I235="",INDEX(Procesos!$1:$1048576,IF(AX235=1,5,MATCH(AX235,Procesos!A:A,0))+7,MATCH(J235,Procesos!$2:$2,0)+6),"")),"Despacho")</f>
        <v/>
      </c>
      <c r="D235" s="57" t="str">
        <f t="shared" si="9"/>
        <v/>
      </c>
      <c r="K235" s="57" t="s">
        <v>281</v>
      </c>
      <c r="AX235" s="490" t="e">
        <f t="shared" si="10"/>
        <v>#REF!</v>
      </c>
      <c r="BF235" s="490" t="str">
        <f t="shared" si="11"/>
        <v/>
      </c>
    </row>
    <row r="236" spans="3:58" ht="15.95" customHeight="1" x14ac:dyDescent="0.25">
      <c r="C236" s="57" t="str">
        <f>IFERROR(IF(L236="","",IF(I236="",INDEX(Procesos!$1:$1048576,IF(AX236=1,5,MATCH(AX236,Procesos!A:A,0))+7,MATCH(J236,Procesos!$2:$2,0)+6),"")),"Despacho")</f>
        <v/>
      </c>
      <c r="D236" s="57" t="str">
        <f t="shared" si="9"/>
        <v/>
      </c>
      <c r="K236" s="57" t="s">
        <v>281</v>
      </c>
      <c r="AX236" s="490" t="e">
        <f t="shared" si="10"/>
        <v>#REF!</v>
      </c>
      <c r="BF236" s="490" t="str">
        <f t="shared" si="11"/>
        <v/>
      </c>
    </row>
    <row r="237" spans="3:58" ht="15.95" customHeight="1" x14ac:dyDescent="0.25">
      <c r="C237" s="57" t="str">
        <f>IFERROR(IF(L237="","",IF(I237="",INDEX(Procesos!$1:$1048576,IF(AX237=1,5,MATCH(AX237,Procesos!A:A,0))+7,MATCH(J237,Procesos!$2:$2,0)+6),"")),"Despacho")</f>
        <v/>
      </c>
      <c r="D237" s="57" t="str">
        <f t="shared" si="9"/>
        <v/>
      </c>
      <c r="K237" s="57" t="s">
        <v>281</v>
      </c>
      <c r="AX237" s="490" t="e">
        <f t="shared" si="10"/>
        <v>#REF!</v>
      </c>
      <c r="BF237" s="490" t="str">
        <f t="shared" si="11"/>
        <v/>
      </c>
    </row>
    <row r="238" spans="3:58" ht="15.95" customHeight="1" x14ac:dyDescent="0.25">
      <c r="C238" s="57" t="str">
        <f>IFERROR(IF(L238="","",IF(I238="",INDEX(Procesos!$1:$1048576,IF(AX238=1,5,MATCH(AX238,Procesos!A:A,0))+7,MATCH(J238,Procesos!$2:$2,0)+6),"")),"Despacho")</f>
        <v/>
      </c>
      <c r="D238" s="57" t="str">
        <f t="shared" si="9"/>
        <v/>
      </c>
      <c r="K238" s="57" t="s">
        <v>281</v>
      </c>
      <c r="AX238" s="490" t="e">
        <f t="shared" si="10"/>
        <v>#REF!</v>
      </c>
      <c r="BF238" s="490" t="str">
        <f t="shared" si="11"/>
        <v/>
      </c>
    </row>
    <row r="239" spans="3:58" ht="15.95" customHeight="1" x14ac:dyDescent="0.25">
      <c r="C239" s="57" t="str">
        <f>IFERROR(IF(L239="","",IF(I239="",INDEX(Procesos!$1:$1048576,IF(AX239=1,5,MATCH(AX239,Procesos!A:A,0))+7,MATCH(J239,Procesos!$2:$2,0)+6),"")),"Despacho")</f>
        <v/>
      </c>
      <c r="D239" s="57" t="str">
        <f t="shared" si="9"/>
        <v/>
      </c>
      <c r="K239" s="57" t="s">
        <v>281</v>
      </c>
      <c r="AX239" s="490" t="e">
        <f t="shared" si="10"/>
        <v>#REF!</v>
      </c>
      <c r="BF239" s="490" t="str">
        <f t="shared" si="11"/>
        <v/>
      </c>
    </row>
    <row r="240" spans="3:58" ht="15.95" customHeight="1" x14ac:dyDescent="0.25">
      <c r="C240" s="57" t="str">
        <f>IFERROR(IF(L240="","",IF(I240="",INDEX(Procesos!$1:$1048576,IF(AX240=1,5,MATCH(AX240,Procesos!A:A,0))+7,MATCH(J240,Procesos!$2:$2,0)+6),"")),"Despacho")</f>
        <v/>
      </c>
      <c r="D240" s="57" t="str">
        <f t="shared" si="9"/>
        <v/>
      </c>
      <c r="K240" s="57" t="s">
        <v>281</v>
      </c>
      <c r="AX240" s="490" t="e">
        <f t="shared" si="10"/>
        <v>#REF!</v>
      </c>
      <c r="BF240" s="490" t="str">
        <f t="shared" si="11"/>
        <v/>
      </c>
    </row>
    <row r="241" spans="3:58" ht="15.95" customHeight="1" x14ac:dyDescent="0.25">
      <c r="C241" s="57" t="str">
        <f>IFERROR(IF(L241="","",IF(I241="",INDEX(Procesos!$1:$1048576,IF(AX241=1,5,MATCH(AX241,Procesos!A:A,0))+7,MATCH(J241,Procesos!$2:$2,0)+6),"")),"Despacho")</f>
        <v/>
      </c>
      <c r="D241" s="57" t="str">
        <f t="shared" si="9"/>
        <v/>
      </c>
      <c r="K241" s="57" t="s">
        <v>281</v>
      </c>
      <c r="AX241" s="490" t="e">
        <f t="shared" si="10"/>
        <v>#REF!</v>
      </c>
      <c r="BF241" s="490" t="str">
        <f t="shared" si="11"/>
        <v/>
      </c>
    </row>
    <row r="242" spans="3:58" ht="15.95" customHeight="1" x14ac:dyDescent="0.25">
      <c r="C242" s="57" t="str">
        <f>IFERROR(IF(L242="","",IF(I242="",INDEX(Procesos!$1:$1048576,IF(AX242=1,5,MATCH(AX242,Procesos!A:A,0))+7,MATCH(J242,Procesos!$2:$2,0)+6),"")),"Despacho")</f>
        <v/>
      </c>
      <c r="D242" s="57" t="str">
        <f t="shared" si="9"/>
        <v/>
      </c>
      <c r="K242" s="57" t="s">
        <v>281</v>
      </c>
      <c r="AX242" s="490" t="e">
        <f t="shared" si="10"/>
        <v>#REF!</v>
      </c>
      <c r="BF242" s="490" t="str">
        <f t="shared" si="11"/>
        <v/>
      </c>
    </row>
    <row r="243" spans="3:58" ht="15.95" customHeight="1" x14ac:dyDescent="0.25">
      <c r="C243" s="57" t="str">
        <f>IFERROR(IF(L243="","",IF(I243="",INDEX(Procesos!$1:$1048576,IF(AX243=1,5,MATCH(AX243,Procesos!A:A,0))+7,MATCH(J243,Procesos!$2:$2,0)+6),"")),"Despacho")</f>
        <v/>
      </c>
      <c r="D243" s="57" t="str">
        <f t="shared" si="9"/>
        <v/>
      </c>
      <c r="K243" s="57" t="s">
        <v>281</v>
      </c>
      <c r="AX243" s="490" t="e">
        <f t="shared" si="10"/>
        <v>#REF!</v>
      </c>
      <c r="BF243" s="490" t="str">
        <f t="shared" si="11"/>
        <v/>
      </c>
    </row>
    <row r="244" spans="3:58" ht="15.95" customHeight="1" x14ac:dyDescent="0.25">
      <c r="C244" s="57" t="str">
        <f>IFERROR(IF(L244="","",IF(I244="",INDEX(Procesos!$1:$1048576,IF(AX244=1,5,MATCH(AX244,Procesos!A:A,0))+7,MATCH(J244,Procesos!$2:$2,0)+6),"")),"Despacho")</f>
        <v/>
      </c>
      <c r="D244" s="57" t="str">
        <f t="shared" si="9"/>
        <v/>
      </c>
      <c r="K244" s="57" t="s">
        <v>281</v>
      </c>
      <c r="AX244" s="490" t="e">
        <f t="shared" si="10"/>
        <v>#REF!</v>
      </c>
      <c r="BF244" s="490" t="str">
        <f t="shared" si="11"/>
        <v/>
      </c>
    </row>
    <row r="245" spans="3:58" ht="15.95" customHeight="1" x14ac:dyDescent="0.25">
      <c r="C245" s="57" t="str">
        <f>IFERROR(IF(L245="","",IF(I245="",INDEX(Procesos!$1:$1048576,IF(AX245=1,5,MATCH(AX245,Procesos!A:A,0))+7,MATCH(J245,Procesos!$2:$2,0)+6),"")),"Despacho")</f>
        <v/>
      </c>
      <c r="D245" s="57" t="str">
        <f t="shared" si="9"/>
        <v/>
      </c>
      <c r="K245" s="57" t="s">
        <v>281</v>
      </c>
      <c r="AX245" s="490" t="e">
        <f t="shared" si="10"/>
        <v>#REF!</v>
      </c>
      <c r="BF245" s="490" t="str">
        <f t="shared" si="11"/>
        <v/>
      </c>
    </row>
    <row r="246" spans="3:58" ht="15.95" customHeight="1" x14ac:dyDescent="0.25">
      <c r="C246" s="57" t="str">
        <f>IFERROR(IF(L246="","",IF(I246="",INDEX(Procesos!$1:$1048576,IF(AX246=1,5,MATCH(AX246,Procesos!A:A,0))+7,MATCH(J246,Procesos!$2:$2,0)+6),"")),"Despacho")</f>
        <v/>
      </c>
      <c r="D246" s="57" t="str">
        <f t="shared" si="9"/>
        <v/>
      </c>
      <c r="K246" s="57" t="s">
        <v>281</v>
      </c>
      <c r="AX246" s="490" t="e">
        <f t="shared" si="10"/>
        <v>#REF!</v>
      </c>
      <c r="BF246" s="490" t="str">
        <f t="shared" si="11"/>
        <v/>
      </c>
    </row>
    <row r="247" spans="3:58" ht="15.95" customHeight="1" x14ac:dyDescent="0.25">
      <c r="C247" s="57" t="str">
        <f>IFERROR(IF(L247="","",IF(I247="",INDEX(Procesos!$1:$1048576,IF(AX247=1,5,MATCH(AX247,Procesos!A:A,0))+7,MATCH(J247,Procesos!$2:$2,0)+6),"")),"Despacho")</f>
        <v/>
      </c>
      <c r="D247" s="57" t="str">
        <f t="shared" si="9"/>
        <v/>
      </c>
      <c r="K247" s="57" t="s">
        <v>281</v>
      </c>
      <c r="AX247" s="490" t="e">
        <f t="shared" si="10"/>
        <v>#REF!</v>
      </c>
      <c r="BF247" s="490" t="str">
        <f t="shared" si="11"/>
        <v/>
      </c>
    </row>
    <row r="248" spans="3:58" ht="15.95" customHeight="1" x14ac:dyDescent="0.25">
      <c r="C248" s="57" t="str">
        <f>IFERROR(IF(L248="","",IF(I248="",INDEX(Procesos!$1:$1048576,IF(AX248=1,5,MATCH(AX248,Procesos!A:A,0))+7,MATCH(J248,Procesos!$2:$2,0)+6),"")),"Despacho")</f>
        <v/>
      </c>
      <c r="D248" s="57" t="str">
        <f t="shared" si="9"/>
        <v/>
      </c>
      <c r="K248" s="57" t="s">
        <v>281</v>
      </c>
      <c r="AX248" s="490" t="e">
        <f t="shared" si="10"/>
        <v>#REF!</v>
      </c>
      <c r="BF248" s="490" t="str">
        <f t="shared" si="11"/>
        <v/>
      </c>
    </row>
    <row r="249" spans="3:58" ht="15.95" customHeight="1" x14ac:dyDescent="0.25">
      <c r="C249" s="57" t="str">
        <f>IFERROR(IF(L249="","",IF(I249="",INDEX(Procesos!$1:$1048576,IF(AX249=1,5,MATCH(AX249,Procesos!A:A,0))+7,MATCH(J249,Procesos!$2:$2,0)+6),"")),"Despacho")</f>
        <v/>
      </c>
      <c r="D249" s="57" t="str">
        <f t="shared" si="9"/>
        <v/>
      </c>
      <c r="K249" s="57" t="s">
        <v>281</v>
      </c>
      <c r="AX249" s="490" t="e">
        <f t="shared" si="10"/>
        <v>#REF!</v>
      </c>
      <c r="BF249" s="490" t="str">
        <f t="shared" si="11"/>
        <v/>
      </c>
    </row>
    <row r="250" spans="3:58" ht="15.95" customHeight="1" x14ac:dyDescent="0.25">
      <c r="C250" s="57" t="str">
        <f>IFERROR(IF(L250="","",IF(I250="",INDEX(Procesos!$1:$1048576,IF(AX250=1,5,MATCH(AX250,Procesos!A:A,0))+7,MATCH(J250,Procesos!$2:$2,0)+6),"")),"Despacho")</f>
        <v/>
      </c>
      <c r="D250" s="57" t="str">
        <f t="shared" si="9"/>
        <v/>
      </c>
      <c r="K250" s="57" t="s">
        <v>281</v>
      </c>
      <c r="AX250" s="490" t="e">
        <f t="shared" si="10"/>
        <v>#REF!</v>
      </c>
      <c r="BF250" s="490" t="str">
        <f t="shared" si="11"/>
        <v/>
      </c>
    </row>
    <row r="251" spans="3:58" ht="15.95" customHeight="1" x14ac:dyDescent="0.25">
      <c r="C251" s="57" t="str">
        <f>IFERROR(IF(L251="","",IF(I251="",INDEX(Procesos!$1:$1048576,IF(AX251=1,5,MATCH(AX251,Procesos!A:A,0))+7,MATCH(J251,Procesos!$2:$2,0)+6),"")),"Despacho")</f>
        <v/>
      </c>
      <c r="D251" s="57" t="str">
        <f t="shared" si="9"/>
        <v/>
      </c>
      <c r="K251" s="57" t="s">
        <v>281</v>
      </c>
      <c r="AX251" s="490" t="e">
        <f t="shared" si="10"/>
        <v>#REF!</v>
      </c>
      <c r="BF251" s="490" t="str">
        <f t="shared" si="11"/>
        <v/>
      </c>
    </row>
    <row r="252" spans="3:58" ht="15.95" customHeight="1" x14ac:dyDescent="0.25">
      <c r="C252" s="57" t="str">
        <f>IFERROR(IF(L252="","",IF(I252="",INDEX(Procesos!$1:$1048576,IF(AX252=1,5,MATCH(AX252,Procesos!A:A,0))+7,MATCH(J252,Procesos!$2:$2,0)+6),"")),"Despacho")</f>
        <v/>
      </c>
      <c r="D252" s="57" t="str">
        <f t="shared" si="9"/>
        <v/>
      </c>
      <c r="K252" s="57" t="s">
        <v>281</v>
      </c>
      <c r="AX252" s="490" t="e">
        <f t="shared" si="10"/>
        <v>#REF!</v>
      </c>
      <c r="BF252" s="490" t="str">
        <f t="shared" si="11"/>
        <v/>
      </c>
    </row>
    <row r="253" spans="3:58" ht="15.95" customHeight="1" x14ac:dyDescent="0.25">
      <c r="C253" s="57" t="str">
        <f>IFERROR(IF(L253="","",IF(I253="",INDEX(Procesos!$1:$1048576,IF(AX253=1,5,MATCH(AX253,Procesos!A:A,0))+7,MATCH(J253,Procesos!$2:$2,0)+6),"")),"Despacho")</f>
        <v/>
      </c>
      <c r="D253" s="57" t="str">
        <f t="shared" si="9"/>
        <v/>
      </c>
      <c r="K253" s="57" t="s">
        <v>281</v>
      </c>
      <c r="AX253" s="490" t="e">
        <f t="shared" si="10"/>
        <v>#REF!</v>
      </c>
      <c r="BF253" s="490" t="str">
        <f t="shared" si="11"/>
        <v/>
      </c>
    </row>
    <row r="254" spans="3:58" ht="15.95" customHeight="1" x14ac:dyDescent="0.25">
      <c r="C254" s="57" t="str">
        <f>IFERROR(IF(L254="","",IF(I254="",INDEX(Procesos!$1:$1048576,IF(AX254=1,5,MATCH(AX254,Procesos!A:A,0))+7,MATCH(J254,Procesos!$2:$2,0)+6),"")),"Despacho")</f>
        <v/>
      </c>
      <c r="D254" s="57" t="str">
        <f t="shared" si="9"/>
        <v/>
      </c>
      <c r="K254" s="57" t="s">
        <v>281</v>
      </c>
      <c r="AX254" s="490" t="e">
        <f t="shared" si="10"/>
        <v>#REF!</v>
      </c>
      <c r="BF254" s="490" t="str">
        <f t="shared" si="11"/>
        <v/>
      </c>
    </row>
    <row r="255" spans="3:58" ht="15.95" customHeight="1" x14ac:dyDescent="0.25">
      <c r="C255" s="57" t="str">
        <f>IFERROR(IF(L255="","",IF(I255="",INDEX(Procesos!$1:$1048576,IF(AX255=1,5,MATCH(AX255,Procesos!A:A,0))+7,MATCH(J255,Procesos!$2:$2,0)+6),"")),"Despacho")</f>
        <v/>
      </c>
      <c r="D255" s="57" t="str">
        <f t="shared" si="9"/>
        <v/>
      </c>
      <c r="K255" s="57" t="s">
        <v>281</v>
      </c>
      <c r="AX255" s="490" t="e">
        <f t="shared" si="10"/>
        <v>#REF!</v>
      </c>
      <c r="BF255" s="490" t="str">
        <f t="shared" si="11"/>
        <v/>
      </c>
    </row>
    <row r="256" spans="3:58" ht="15.95" customHeight="1" x14ac:dyDescent="0.25">
      <c r="C256" s="57" t="str">
        <f>IFERROR(IF(L256="","",IF(I256="",INDEX(Procesos!$1:$1048576,IF(AX256=1,5,MATCH(AX256,Procesos!A:A,0))+7,MATCH(J256,Procesos!$2:$2,0)+6),"")),"Despacho")</f>
        <v/>
      </c>
      <c r="D256" s="57" t="str">
        <f t="shared" si="9"/>
        <v/>
      </c>
      <c r="K256" s="57" t="s">
        <v>281</v>
      </c>
      <c r="AX256" s="490" t="e">
        <f t="shared" si="10"/>
        <v>#REF!</v>
      </c>
      <c r="BF256" s="490" t="str">
        <f t="shared" si="11"/>
        <v/>
      </c>
    </row>
    <row r="257" spans="3:58" ht="15.95" customHeight="1" x14ac:dyDescent="0.25">
      <c r="C257" s="57" t="str">
        <f>IFERROR(IF(L257="","",IF(I257="",INDEX(Procesos!$1:$1048576,IF(AX257=1,5,MATCH(AX257,Procesos!A:A,0))+7,MATCH(J257,Procesos!$2:$2,0)+6),"")),"Despacho")</f>
        <v/>
      </c>
      <c r="D257" s="57" t="str">
        <f t="shared" si="9"/>
        <v/>
      </c>
      <c r="K257" s="57" t="s">
        <v>281</v>
      </c>
      <c r="AX257" s="490" t="e">
        <f t="shared" si="10"/>
        <v>#REF!</v>
      </c>
      <c r="BF257" s="490" t="str">
        <f t="shared" si="11"/>
        <v/>
      </c>
    </row>
    <row r="258" spans="3:58" ht="15.95" customHeight="1" x14ac:dyDescent="0.25">
      <c r="C258" s="57" t="str">
        <f>IFERROR(IF(L258="","",IF(I258="",INDEX(Procesos!$1:$1048576,IF(AX258=1,5,MATCH(AX258,Procesos!A:A,0))+7,MATCH(J258,Procesos!$2:$2,0)+6),"")),"Despacho")</f>
        <v/>
      </c>
      <c r="D258" s="57" t="str">
        <f t="shared" ref="D258:D299" si="12">IF(J258="","",J258&amp;"     ITEM # "&amp;AX258)</f>
        <v/>
      </c>
      <c r="K258" s="57" t="s">
        <v>281</v>
      </c>
      <c r="AX258" s="490" t="e">
        <f t="shared" si="10"/>
        <v>#REF!</v>
      </c>
      <c r="BF258" s="490" t="str">
        <f t="shared" si="11"/>
        <v/>
      </c>
    </row>
    <row r="259" spans="3:58" ht="15.95" customHeight="1" x14ac:dyDescent="0.25">
      <c r="C259" s="57" t="str">
        <f>IFERROR(IF(L259="","",IF(I259="",INDEX(Procesos!$1:$1048576,IF(AX259=1,5,MATCH(AX259,Procesos!A:A,0))+7,MATCH(J259,Procesos!$2:$2,0)+6),"")),"Despacho")</f>
        <v/>
      </c>
      <c r="D259" s="57" t="str">
        <f t="shared" si="12"/>
        <v/>
      </c>
      <c r="K259" s="57" t="s">
        <v>281</v>
      </c>
      <c r="AX259" s="490" t="e">
        <f t="shared" ref="AX259:AX299" si="13">IF(J259=J258,AX258+1,1)</f>
        <v>#REF!</v>
      </c>
      <c r="BF259" s="490" t="str">
        <f t="shared" si="11"/>
        <v/>
      </c>
    </row>
    <row r="260" spans="3:58" ht="15.95" customHeight="1" x14ac:dyDescent="0.25">
      <c r="C260" s="57" t="str">
        <f>IFERROR(IF(L260="","",IF(I260="",INDEX(Procesos!$1:$1048576,IF(AX260=1,5,MATCH(AX260,Procesos!A:A,0))+7,MATCH(J260,Procesos!$2:$2,0)+6),"")),"Despacho")</f>
        <v/>
      </c>
      <c r="D260" s="57" t="str">
        <f t="shared" si="12"/>
        <v/>
      </c>
      <c r="K260" s="57" t="s">
        <v>281</v>
      </c>
      <c r="AX260" s="490" t="e">
        <f t="shared" si="13"/>
        <v>#REF!</v>
      </c>
      <c r="BF260" s="490" t="str">
        <f t="shared" si="11"/>
        <v/>
      </c>
    </row>
    <row r="261" spans="3:58" ht="15.95" customHeight="1" x14ac:dyDescent="0.25">
      <c r="C261" s="57" t="str">
        <f>IFERROR(IF(L261="","",IF(I261="",INDEX(Procesos!$1:$1048576,IF(AX261=1,5,MATCH(AX261,Procesos!A:A,0))+7,MATCH(J261,Procesos!$2:$2,0)+6),"")),"Despacho")</f>
        <v/>
      </c>
      <c r="D261" s="57" t="str">
        <f t="shared" si="12"/>
        <v/>
      </c>
      <c r="K261" s="57" t="s">
        <v>281</v>
      </c>
      <c r="AX261" s="490" t="e">
        <f t="shared" si="13"/>
        <v>#REF!</v>
      </c>
      <c r="BF261" s="490" t="str">
        <f t="shared" si="11"/>
        <v/>
      </c>
    </row>
    <row r="262" spans="3:58" ht="15.95" customHeight="1" x14ac:dyDescent="0.25">
      <c r="C262" s="57" t="str">
        <f>IFERROR(IF(L262="","",IF(I262="",INDEX(Procesos!$1:$1048576,IF(AX262=1,5,MATCH(AX262,Procesos!A:A,0))+7,MATCH(J262,Procesos!$2:$2,0)+6),"")),"Despacho")</f>
        <v/>
      </c>
      <c r="D262" s="57" t="str">
        <f t="shared" si="12"/>
        <v/>
      </c>
      <c r="K262" s="57" t="s">
        <v>281</v>
      </c>
      <c r="AX262" s="490" t="e">
        <f t="shared" si="13"/>
        <v>#REF!</v>
      </c>
      <c r="BF262" s="490" t="str">
        <f t="shared" ref="BF262:BF299" si="14">IF(BB262="","",$BB262&amp;"     ITEM # "&amp;$BG262)</f>
        <v/>
      </c>
    </row>
    <row r="263" spans="3:58" ht="15.95" customHeight="1" x14ac:dyDescent="0.25">
      <c r="C263" s="57" t="str">
        <f>IFERROR(IF(L263="","",IF(I263="",INDEX(Procesos!$1:$1048576,IF(AX263=1,5,MATCH(AX263,Procesos!A:A,0))+7,MATCH(J263,Procesos!$2:$2,0)+6),"")),"Despacho")</f>
        <v/>
      </c>
      <c r="D263" s="57" t="str">
        <f t="shared" si="12"/>
        <v/>
      </c>
      <c r="K263" s="57" t="s">
        <v>281</v>
      </c>
      <c r="AX263" s="490" t="e">
        <f t="shared" si="13"/>
        <v>#REF!</v>
      </c>
      <c r="BF263" s="490" t="str">
        <f t="shared" si="14"/>
        <v/>
      </c>
    </row>
    <row r="264" spans="3:58" ht="15.95" customHeight="1" x14ac:dyDescent="0.25">
      <c r="C264" s="57" t="str">
        <f>IFERROR(IF(L264="","",IF(I264="",INDEX(Procesos!$1:$1048576,IF(AX264=1,5,MATCH(AX264,Procesos!A:A,0))+7,MATCH(J264,Procesos!$2:$2,0)+6),"")),"Despacho")</f>
        <v/>
      </c>
      <c r="D264" s="57" t="str">
        <f t="shared" si="12"/>
        <v/>
      </c>
      <c r="K264" s="57" t="s">
        <v>281</v>
      </c>
      <c r="AX264" s="490" t="e">
        <f t="shared" si="13"/>
        <v>#REF!</v>
      </c>
      <c r="BF264" s="490" t="str">
        <f t="shared" si="14"/>
        <v/>
      </c>
    </row>
    <row r="265" spans="3:58" ht="15.95" customHeight="1" x14ac:dyDescent="0.25">
      <c r="C265" s="57" t="str">
        <f>IFERROR(IF(L265="","",IF(I265="",INDEX(Procesos!$1:$1048576,IF(AX265=1,5,MATCH(AX265,Procesos!A:A,0))+7,MATCH(J265,Procesos!$2:$2,0)+6),"")),"Despacho")</f>
        <v/>
      </c>
      <c r="D265" s="57" t="str">
        <f t="shared" si="12"/>
        <v/>
      </c>
      <c r="K265" s="57" t="s">
        <v>281</v>
      </c>
      <c r="AX265" s="490" t="e">
        <f t="shared" si="13"/>
        <v>#REF!</v>
      </c>
      <c r="BF265" s="490" t="str">
        <f t="shared" si="14"/>
        <v/>
      </c>
    </row>
    <row r="266" spans="3:58" ht="15.95" customHeight="1" x14ac:dyDescent="0.25">
      <c r="C266" s="57" t="str">
        <f>IFERROR(IF(L266="","",IF(I266="",INDEX(Procesos!$1:$1048576,IF(AX266=1,5,MATCH(AX266,Procesos!A:A,0))+7,MATCH(J266,Procesos!$2:$2,0)+6),"")),"Despacho")</f>
        <v/>
      </c>
      <c r="D266" s="57" t="str">
        <f t="shared" si="12"/>
        <v/>
      </c>
      <c r="K266" s="57" t="s">
        <v>281</v>
      </c>
      <c r="AX266" s="490" t="e">
        <f t="shared" si="13"/>
        <v>#REF!</v>
      </c>
      <c r="BF266" s="490" t="str">
        <f t="shared" si="14"/>
        <v/>
      </c>
    </row>
    <row r="267" spans="3:58" ht="15.95" customHeight="1" x14ac:dyDescent="0.25">
      <c r="C267" s="57" t="str">
        <f>IFERROR(IF(L267="","",IF(I267="",INDEX(Procesos!$1:$1048576,IF(AX267=1,5,MATCH(AX267,Procesos!A:A,0))+7,MATCH(J267,Procesos!$2:$2,0)+6),"")),"Despacho")</f>
        <v/>
      </c>
      <c r="D267" s="57" t="str">
        <f t="shared" si="12"/>
        <v/>
      </c>
      <c r="K267" s="57" t="s">
        <v>281</v>
      </c>
      <c r="AX267" s="490" t="e">
        <f t="shared" si="13"/>
        <v>#REF!</v>
      </c>
      <c r="BF267" s="490" t="str">
        <f t="shared" si="14"/>
        <v/>
      </c>
    </row>
    <row r="268" spans="3:58" ht="15.95" customHeight="1" x14ac:dyDescent="0.25">
      <c r="C268" s="57" t="str">
        <f>IFERROR(IF(L268="","",IF(I268="",INDEX(Procesos!$1:$1048576,IF(AX268=1,5,MATCH(AX268,Procesos!A:A,0))+7,MATCH(J268,Procesos!$2:$2,0)+6),"")),"Despacho")</f>
        <v/>
      </c>
      <c r="D268" s="57" t="str">
        <f t="shared" si="12"/>
        <v/>
      </c>
      <c r="K268" s="57" t="s">
        <v>281</v>
      </c>
      <c r="AX268" s="490" t="e">
        <f t="shared" si="13"/>
        <v>#REF!</v>
      </c>
      <c r="BF268" s="490" t="str">
        <f t="shared" si="14"/>
        <v/>
      </c>
    </row>
    <row r="269" spans="3:58" ht="15.95" customHeight="1" x14ac:dyDescent="0.25">
      <c r="C269" s="57" t="str">
        <f>IFERROR(IF(L269="","",IF(I269="",INDEX(Procesos!$1:$1048576,IF(AX269=1,5,MATCH(AX269,Procesos!A:A,0))+7,MATCH(J269,Procesos!$2:$2,0)+6),"")),"Despacho")</f>
        <v/>
      </c>
      <c r="D269" s="57" t="str">
        <f t="shared" si="12"/>
        <v/>
      </c>
      <c r="K269" s="57" t="s">
        <v>281</v>
      </c>
      <c r="AX269" s="490" t="e">
        <f t="shared" si="13"/>
        <v>#REF!</v>
      </c>
      <c r="BF269" s="490" t="str">
        <f t="shared" si="14"/>
        <v/>
      </c>
    </row>
    <row r="270" spans="3:58" ht="15.95" customHeight="1" x14ac:dyDescent="0.25">
      <c r="C270" s="57" t="str">
        <f>IFERROR(IF(L270="","",IF(I270="",INDEX(Procesos!$1:$1048576,IF(AX270=1,5,MATCH(AX270,Procesos!A:A,0))+7,MATCH(J270,Procesos!$2:$2,0)+6),"")),"Despacho")</f>
        <v/>
      </c>
      <c r="D270" s="57" t="str">
        <f t="shared" si="12"/>
        <v/>
      </c>
      <c r="K270" s="57" t="s">
        <v>281</v>
      </c>
      <c r="AX270" s="490" t="e">
        <f t="shared" si="13"/>
        <v>#REF!</v>
      </c>
      <c r="BF270" s="490" t="str">
        <f t="shared" si="14"/>
        <v/>
      </c>
    </row>
    <row r="271" spans="3:58" ht="15.95" customHeight="1" x14ac:dyDescent="0.25">
      <c r="C271" s="57" t="str">
        <f>IFERROR(IF(L271="","",IF(I271="",INDEX(Procesos!$1:$1048576,IF(AX271=1,5,MATCH(AX271,Procesos!A:A,0))+7,MATCH(J271,Procesos!$2:$2,0)+6),"")),"Despacho")</f>
        <v/>
      </c>
      <c r="D271" s="57" t="str">
        <f t="shared" si="12"/>
        <v/>
      </c>
      <c r="K271" s="57" t="s">
        <v>281</v>
      </c>
      <c r="AX271" s="490" t="e">
        <f t="shared" si="13"/>
        <v>#REF!</v>
      </c>
      <c r="BF271" s="490" t="str">
        <f t="shared" si="14"/>
        <v/>
      </c>
    </row>
    <row r="272" spans="3:58" ht="15.95" customHeight="1" x14ac:dyDescent="0.25">
      <c r="C272" s="57" t="str">
        <f>IFERROR(IF(L272="","",IF(I272="",INDEX(Procesos!$1:$1048576,IF(AX272=1,5,MATCH(AX272,Procesos!A:A,0))+7,MATCH(J272,Procesos!$2:$2,0)+6),"")),"Despacho")</f>
        <v/>
      </c>
      <c r="D272" s="57" t="str">
        <f t="shared" si="12"/>
        <v/>
      </c>
      <c r="K272" s="57" t="s">
        <v>281</v>
      </c>
      <c r="AX272" s="490" t="e">
        <f t="shared" si="13"/>
        <v>#REF!</v>
      </c>
      <c r="BF272" s="490" t="str">
        <f t="shared" si="14"/>
        <v/>
      </c>
    </row>
    <row r="273" spans="3:58" ht="15.95" customHeight="1" x14ac:dyDescent="0.25">
      <c r="C273" s="57" t="str">
        <f>IFERROR(IF(L273="","",IF(I273="",INDEX(Procesos!$1:$1048576,IF(AX273=1,5,MATCH(AX273,Procesos!A:A,0))+7,MATCH(J273,Procesos!$2:$2,0)+6),"")),"Despacho")</f>
        <v/>
      </c>
      <c r="D273" s="57" t="str">
        <f t="shared" si="12"/>
        <v/>
      </c>
      <c r="K273" s="57" t="s">
        <v>281</v>
      </c>
      <c r="AX273" s="490" t="e">
        <f t="shared" si="13"/>
        <v>#REF!</v>
      </c>
      <c r="BF273" s="490" t="str">
        <f t="shared" si="14"/>
        <v/>
      </c>
    </row>
    <row r="274" spans="3:58" ht="15.95" customHeight="1" x14ac:dyDescent="0.25">
      <c r="C274" s="57" t="str">
        <f>IFERROR(IF(L274="","",IF(I274="",INDEX(Procesos!$1:$1048576,IF(AX274=1,5,MATCH(AX274,Procesos!A:A,0))+7,MATCH(J274,Procesos!$2:$2,0)+6),"")),"Despacho")</f>
        <v/>
      </c>
      <c r="D274" s="57" t="str">
        <f t="shared" si="12"/>
        <v/>
      </c>
      <c r="K274" s="57" t="s">
        <v>281</v>
      </c>
      <c r="AX274" s="490" t="e">
        <f t="shared" si="13"/>
        <v>#REF!</v>
      </c>
      <c r="BF274" s="490" t="str">
        <f t="shared" si="14"/>
        <v/>
      </c>
    </row>
    <row r="275" spans="3:58" ht="15.95" customHeight="1" x14ac:dyDescent="0.25">
      <c r="C275" s="57" t="str">
        <f>IFERROR(IF(L275="","",IF(I275="",INDEX(Procesos!$1:$1048576,IF(AX275=1,5,MATCH(AX275,Procesos!A:A,0))+7,MATCH(J275,Procesos!$2:$2,0)+6),"")),"Despacho")</f>
        <v/>
      </c>
      <c r="D275" s="57" t="str">
        <f t="shared" si="12"/>
        <v/>
      </c>
      <c r="K275" s="57" t="s">
        <v>281</v>
      </c>
      <c r="AX275" s="490" t="e">
        <f t="shared" si="13"/>
        <v>#REF!</v>
      </c>
      <c r="BF275" s="490" t="str">
        <f t="shared" si="14"/>
        <v/>
      </c>
    </row>
    <row r="276" spans="3:58" ht="15.95" customHeight="1" x14ac:dyDescent="0.25">
      <c r="C276" s="57" t="str">
        <f>IFERROR(IF(L276="","",IF(I276="",INDEX(Procesos!$1:$1048576,IF(AX276=1,5,MATCH(AX276,Procesos!A:A,0))+7,MATCH(J276,Procesos!$2:$2,0)+6),"")),"Despacho")</f>
        <v/>
      </c>
      <c r="D276" s="57" t="str">
        <f t="shared" si="12"/>
        <v/>
      </c>
      <c r="K276" s="57" t="s">
        <v>281</v>
      </c>
      <c r="AX276" s="490" t="e">
        <f t="shared" si="13"/>
        <v>#REF!</v>
      </c>
      <c r="BF276" s="490" t="str">
        <f t="shared" si="14"/>
        <v/>
      </c>
    </row>
    <row r="277" spans="3:58" ht="15.95" customHeight="1" x14ac:dyDescent="0.25">
      <c r="C277" s="57" t="str">
        <f>IFERROR(IF(L277="","",IF(I277="",INDEX(Procesos!$1:$1048576,IF(AX277=1,5,MATCH(AX277,Procesos!A:A,0))+7,MATCH(J277,Procesos!$2:$2,0)+6),"")),"Despacho")</f>
        <v/>
      </c>
      <c r="D277" s="57" t="str">
        <f t="shared" si="12"/>
        <v/>
      </c>
      <c r="K277" s="57" t="s">
        <v>281</v>
      </c>
      <c r="AX277" s="490" t="e">
        <f t="shared" si="13"/>
        <v>#REF!</v>
      </c>
      <c r="BF277" s="490" t="str">
        <f t="shared" si="14"/>
        <v/>
      </c>
    </row>
    <row r="278" spans="3:58" ht="15.95" customHeight="1" x14ac:dyDescent="0.25">
      <c r="C278" s="57" t="str">
        <f>IFERROR(IF(L278="","",IF(I278="",INDEX(Procesos!$1:$1048576,IF(AX278=1,5,MATCH(AX278,Procesos!A:A,0))+7,MATCH(J278,Procesos!$2:$2,0)+6),"")),"Despacho")</f>
        <v/>
      </c>
      <c r="D278" s="57" t="str">
        <f t="shared" si="12"/>
        <v/>
      </c>
      <c r="K278" s="57" t="s">
        <v>281</v>
      </c>
      <c r="AX278" s="490" t="e">
        <f t="shared" si="13"/>
        <v>#REF!</v>
      </c>
      <c r="BF278" s="490" t="str">
        <f t="shared" si="14"/>
        <v/>
      </c>
    </row>
    <row r="279" spans="3:58" ht="15.95" customHeight="1" x14ac:dyDescent="0.25">
      <c r="C279" s="57" t="str">
        <f>IFERROR(IF(L279="","",IF(I279="",INDEX(Procesos!$1:$1048576,IF(AX279=1,5,MATCH(AX279,Procesos!A:A,0))+7,MATCH(J279,Procesos!$2:$2,0)+6),"")),"Despacho")</f>
        <v/>
      </c>
      <c r="D279" s="57" t="str">
        <f t="shared" si="12"/>
        <v/>
      </c>
      <c r="K279" s="57" t="s">
        <v>281</v>
      </c>
      <c r="AX279" s="490" t="e">
        <f t="shared" si="13"/>
        <v>#REF!</v>
      </c>
      <c r="BF279" s="490" t="str">
        <f t="shared" si="14"/>
        <v/>
      </c>
    </row>
    <row r="280" spans="3:58" ht="15.95" customHeight="1" x14ac:dyDescent="0.25">
      <c r="C280" s="57" t="str">
        <f>IFERROR(IF(L280="","",IF(I280="",INDEX(Procesos!$1:$1048576,IF(AX280=1,5,MATCH(AX280,Procesos!A:A,0))+7,MATCH(J280,Procesos!$2:$2,0)+6),"")),"Despacho")</f>
        <v/>
      </c>
      <c r="D280" s="57" t="str">
        <f t="shared" si="12"/>
        <v/>
      </c>
      <c r="K280" s="57" t="s">
        <v>281</v>
      </c>
      <c r="AX280" s="490" t="e">
        <f t="shared" si="13"/>
        <v>#REF!</v>
      </c>
      <c r="BF280" s="490" t="str">
        <f t="shared" si="14"/>
        <v/>
      </c>
    </row>
    <row r="281" spans="3:58" ht="15.95" customHeight="1" x14ac:dyDescent="0.25">
      <c r="C281" s="57" t="str">
        <f>IFERROR(IF(L281="","",IF(I281="",INDEX(Procesos!$1:$1048576,IF(AX281=1,5,MATCH(AX281,Procesos!A:A,0))+7,MATCH(J281,Procesos!$2:$2,0)+6),"")),"Despacho")</f>
        <v/>
      </c>
      <c r="D281" s="57" t="str">
        <f t="shared" si="12"/>
        <v/>
      </c>
      <c r="K281" s="57" t="s">
        <v>281</v>
      </c>
      <c r="AX281" s="490" t="e">
        <f t="shared" si="13"/>
        <v>#REF!</v>
      </c>
      <c r="BF281" s="490" t="str">
        <f t="shared" si="14"/>
        <v/>
      </c>
    </row>
    <row r="282" spans="3:58" ht="15.95" customHeight="1" x14ac:dyDescent="0.25">
      <c r="C282" s="57" t="str">
        <f>IFERROR(IF(L282="","",IF(I282="",INDEX(Procesos!$1:$1048576,IF(AX282=1,5,MATCH(AX282,Procesos!A:A,0))+7,MATCH(J282,Procesos!$2:$2,0)+6),"")),"Despacho")</f>
        <v/>
      </c>
      <c r="D282" s="57" t="str">
        <f t="shared" si="12"/>
        <v/>
      </c>
      <c r="K282" s="57" t="s">
        <v>281</v>
      </c>
      <c r="AX282" s="490" t="e">
        <f t="shared" si="13"/>
        <v>#REF!</v>
      </c>
      <c r="BF282" s="490" t="str">
        <f t="shared" si="14"/>
        <v/>
      </c>
    </row>
    <row r="283" spans="3:58" ht="15.95" customHeight="1" x14ac:dyDescent="0.25">
      <c r="C283" s="57" t="str">
        <f>IFERROR(IF(L283="","",IF(I283="",INDEX(Procesos!$1:$1048576,IF(AX283=1,5,MATCH(AX283,Procesos!A:A,0))+7,MATCH(J283,Procesos!$2:$2,0)+6),"")),"Despacho")</f>
        <v/>
      </c>
      <c r="D283" s="57" t="str">
        <f t="shared" si="12"/>
        <v/>
      </c>
      <c r="K283" s="57" t="s">
        <v>281</v>
      </c>
      <c r="AX283" s="490" t="e">
        <f t="shared" si="13"/>
        <v>#REF!</v>
      </c>
      <c r="BF283" s="490" t="str">
        <f t="shared" si="14"/>
        <v/>
      </c>
    </row>
    <row r="284" spans="3:58" ht="15.95" customHeight="1" x14ac:dyDescent="0.25">
      <c r="C284" s="57" t="str">
        <f>IFERROR(IF(L284="","",IF(I284="",INDEX(Procesos!$1:$1048576,IF(AX284=1,5,MATCH(AX284,Procesos!A:A,0))+7,MATCH(J284,Procesos!$2:$2,0)+6),"")),"Despacho")</f>
        <v/>
      </c>
      <c r="D284" s="57" t="str">
        <f t="shared" si="12"/>
        <v/>
      </c>
      <c r="K284" s="57" t="s">
        <v>281</v>
      </c>
      <c r="AX284" s="490" t="e">
        <f t="shared" si="13"/>
        <v>#REF!</v>
      </c>
      <c r="BF284" s="490" t="str">
        <f t="shared" si="14"/>
        <v/>
      </c>
    </row>
    <row r="285" spans="3:58" ht="15.95" customHeight="1" x14ac:dyDescent="0.25">
      <c r="C285" s="57" t="str">
        <f>IFERROR(IF(L285="","",IF(I285="",INDEX(Procesos!$1:$1048576,IF(AX285=1,5,MATCH(AX285,Procesos!A:A,0))+7,MATCH(J285,Procesos!$2:$2,0)+6),"")),"Despacho")</f>
        <v/>
      </c>
      <c r="D285" s="57" t="str">
        <f t="shared" si="12"/>
        <v/>
      </c>
      <c r="K285" s="57" t="s">
        <v>281</v>
      </c>
      <c r="AX285" s="490" t="e">
        <f t="shared" si="13"/>
        <v>#REF!</v>
      </c>
      <c r="BF285" s="490" t="str">
        <f t="shared" si="14"/>
        <v/>
      </c>
    </row>
    <row r="286" spans="3:58" ht="15.95" customHeight="1" x14ac:dyDescent="0.25">
      <c r="C286" s="57" t="str">
        <f>IFERROR(IF(L286="","",IF(I286="",INDEX(Procesos!$1:$1048576,IF(AX286=1,5,MATCH(AX286,Procesos!A:A,0))+7,MATCH(J286,Procesos!$2:$2,0)+6),"")),"Despacho")</f>
        <v/>
      </c>
      <c r="D286" s="57" t="str">
        <f t="shared" si="12"/>
        <v/>
      </c>
      <c r="K286" s="57" t="s">
        <v>281</v>
      </c>
      <c r="AX286" s="490" t="e">
        <f t="shared" si="13"/>
        <v>#REF!</v>
      </c>
      <c r="BF286" s="490" t="str">
        <f t="shared" si="14"/>
        <v/>
      </c>
    </row>
    <row r="287" spans="3:58" ht="15.95" customHeight="1" x14ac:dyDescent="0.25">
      <c r="C287" s="57" t="str">
        <f>IFERROR(IF(L287="","",IF(I287="",INDEX(Procesos!$1:$1048576,IF(AX287=1,5,MATCH(AX287,Procesos!A:A,0))+7,MATCH(J287,Procesos!$2:$2,0)+6),"")),"Despacho")</f>
        <v/>
      </c>
      <c r="D287" s="57" t="str">
        <f t="shared" si="12"/>
        <v/>
      </c>
      <c r="K287" s="57" t="s">
        <v>281</v>
      </c>
      <c r="AX287" s="490" t="e">
        <f t="shared" si="13"/>
        <v>#REF!</v>
      </c>
      <c r="BF287" s="490" t="str">
        <f t="shared" si="14"/>
        <v/>
      </c>
    </row>
    <row r="288" spans="3:58" ht="15.95" customHeight="1" x14ac:dyDescent="0.25">
      <c r="C288" s="57" t="str">
        <f>IFERROR(IF(L288="","",IF(I288="",INDEX(Procesos!$1:$1048576,IF(AX288=1,5,MATCH(AX288,Procesos!A:A,0))+7,MATCH(J288,Procesos!$2:$2,0)+6),"")),"Despacho")</f>
        <v/>
      </c>
      <c r="D288" s="57" t="str">
        <f t="shared" si="12"/>
        <v/>
      </c>
      <c r="K288" s="57" t="s">
        <v>281</v>
      </c>
      <c r="AX288" s="490" t="e">
        <f t="shared" si="13"/>
        <v>#REF!</v>
      </c>
      <c r="BF288" s="490" t="str">
        <f t="shared" si="14"/>
        <v/>
      </c>
    </row>
    <row r="289" spans="3:58" ht="15.95" customHeight="1" x14ac:dyDescent="0.25">
      <c r="C289" s="57" t="str">
        <f>IFERROR(IF(L289="","",IF(I289="",INDEX(Procesos!$1:$1048576,IF(AX289=1,5,MATCH(AX289,Procesos!A:A,0))+7,MATCH(J289,Procesos!$2:$2,0)+6),"")),"Despacho")</f>
        <v/>
      </c>
      <c r="D289" s="57" t="str">
        <f t="shared" si="12"/>
        <v/>
      </c>
      <c r="K289" s="57" t="s">
        <v>281</v>
      </c>
      <c r="AX289" s="490" t="e">
        <f t="shared" si="13"/>
        <v>#REF!</v>
      </c>
      <c r="BF289" s="490" t="str">
        <f t="shared" si="14"/>
        <v/>
      </c>
    </row>
    <row r="290" spans="3:58" ht="15.95" customHeight="1" x14ac:dyDescent="0.25">
      <c r="C290" s="57" t="str">
        <f>IFERROR(IF(L290="","",IF(I290="",INDEX(Procesos!$1:$1048576,IF(AX290=1,5,MATCH(AX290,Procesos!A:A,0))+7,MATCH(J290,Procesos!$2:$2,0)+6),"")),"Despacho")</f>
        <v/>
      </c>
      <c r="D290" s="57" t="str">
        <f t="shared" si="12"/>
        <v/>
      </c>
      <c r="K290" s="57" t="s">
        <v>281</v>
      </c>
      <c r="AX290" s="490" t="e">
        <f t="shared" si="13"/>
        <v>#REF!</v>
      </c>
      <c r="BF290" s="490" t="str">
        <f t="shared" si="14"/>
        <v/>
      </c>
    </row>
    <row r="291" spans="3:58" ht="15.95" customHeight="1" x14ac:dyDescent="0.25">
      <c r="C291" s="57" t="str">
        <f>IFERROR(IF(L291="","",IF(I291="",INDEX(Procesos!$1:$1048576,IF(AX291=1,5,MATCH(AX291,Procesos!A:A,0))+7,MATCH(J291,Procesos!$2:$2,0)+6),"")),"Despacho")</f>
        <v/>
      </c>
      <c r="D291" s="57" t="str">
        <f t="shared" si="12"/>
        <v/>
      </c>
      <c r="K291" s="57" t="s">
        <v>281</v>
      </c>
      <c r="AX291" s="490" t="e">
        <f t="shared" si="13"/>
        <v>#REF!</v>
      </c>
      <c r="BF291" s="490" t="str">
        <f t="shared" si="14"/>
        <v/>
      </c>
    </row>
    <row r="292" spans="3:58" ht="15.95" customHeight="1" x14ac:dyDescent="0.25">
      <c r="C292" s="57" t="str">
        <f>IFERROR(IF(L292="","",IF(I292="",INDEX(Procesos!$1:$1048576,IF(AX292=1,5,MATCH(AX292,Procesos!A:A,0))+7,MATCH(J292,Procesos!$2:$2,0)+6),"")),"Despacho")</f>
        <v/>
      </c>
      <c r="D292" s="57" t="str">
        <f t="shared" si="12"/>
        <v/>
      </c>
      <c r="K292" s="57" t="s">
        <v>281</v>
      </c>
      <c r="AX292" s="490" t="e">
        <f t="shared" si="13"/>
        <v>#REF!</v>
      </c>
      <c r="BF292" s="490" t="str">
        <f t="shared" si="14"/>
        <v/>
      </c>
    </row>
    <row r="293" spans="3:58" ht="15.95" customHeight="1" x14ac:dyDescent="0.25">
      <c r="C293" s="57" t="str">
        <f>IFERROR(IF(L293="","",IF(I293="",INDEX(Procesos!$1:$1048576,IF(AX293=1,5,MATCH(AX293,Procesos!A:A,0))+7,MATCH(J293,Procesos!$2:$2,0)+6),"")),"Despacho")</f>
        <v/>
      </c>
      <c r="D293" s="57" t="str">
        <f t="shared" si="12"/>
        <v/>
      </c>
      <c r="K293" s="57" t="s">
        <v>281</v>
      </c>
      <c r="AX293" s="490" t="e">
        <f t="shared" si="13"/>
        <v>#REF!</v>
      </c>
      <c r="BF293" s="490" t="str">
        <f t="shared" si="14"/>
        <v/>
      </c>
    </row>
    <row r="294" spans="3:58" ht="15.95" customHeight="1" x14ac:dyDescent="0.25">
      <c r="C294" s="57" t="str">
        <f>IFERROR(IF(L294="","",IF(I294="",INDEX(Procesos!$1:$1048576,IF(AX294=1,5,MATCH(AX294,Procesos!A:A,0))+7,MATCH(J294,Procesos!$2:$2,0)+6),"")),"Despacho")</f>
        <v/>
      </c>
      <c r="D294" s="57" t="str">
        <f t="shared" si="12"/>
        <v/>
      </c>
      <c r="K294" s="57" t="s">
        <v>281</v>
      </c>
      <c r="AX294" s="490" t="e">
        <f t="shared" si="13"/>
        <v>#REF!</v>
      </c>
      <c r="BF294" s="490" t="str">
        <f t="shared" si="14"/>
        <v/>
      </c>
    </row>
    <row r="295" spans="3:58" ht="15.95" customHeight="1" x14ac:dyDescent="0.25">
      <c r="C295" s="57" t="str">
        <f>IFERROR(IF(L295="","",IF(I295="",INDEX(Procesos!$1:$1048576,IF(AX295=1,5,MATCH(AX295,Procesos!A:A,0))+7,MATCH(J295,Procesos!$2:$2,0)+6),"")),"Despacho")</f>
        <v/>
      </c>
      <c r="D295" s="57" t="str">
        <f t="shared" si="12"/>
        <v/>
      </c>
      <c r="K295" s="57" t="s">
        <v>281</v>
      </c>
      <c r="AX295" s="490" t="e">
        <f t="shared" si="13"/>
        <v>#REF!</v>
      </c>
      <c r="BF295" s="490" t="str">
        <f t="shared" si="14"/>
        <v/>
      </c>
    </row>
    <row r="296" spans="3:58" ht="15.95" customHeight="1" x14ac:dyDescent="0.25">
      <c r="C296" s="57" t="str">
        <f>IFERROR(IF(L296="","",IF(I296="",INDEX(Procesos!$1:$1048576,IF(AX296=1,5,MATCH(AX296,Procesos!A:A,0))+7,MATCH(J296,Procesos!$2:$2,0)+6),"")),"Despacho")</f>
        <v/>
      </c>
      <c r="D296" s="57" t="str">
        <f t="shared" si="12"/>
        <v/>
      </c>
      <c r="K296" s="57" t="s">
        <v>281</v>
      </c>
      <c r="AX296" s="490" t="e">
        <f t="shared" si="13"/>
        <v>#REF!</v>
      </c>
      <c r="BF296" s="490" t="str">
        <f t="shared" si="14"/>
        <v/>
      </c>
    </row>
    <row r="297" spans="3:58" ht="15.95" customHeight="1" x14ac:dyDescent="0.25">
      <c r="C297" s="57" t="str">
        <f>IFERROR(IF(L297="","",IF(I297="",INDEX(Procesos!$1:$1048576,IF(AX297=1,5,MATCH(AX297,Procesos!A:A,0))+7,MATCH(J297,Procesos!$2:$2,0)+6),"")),"Despacho")</f>
        <v/>
      </c>
      <c r="D297" s="57" t="str">
        <f t="shared" si="12"/>
        <v/>
      </c>
      <c r="K297" s="57" t="s">
        <v>281</v>
      </c>
      <c r="AX297" s="490" t="e">
        <f t="shared" si="13"/>
        <v>#REF!</v>
      </c>
      <c r="BF297" s="490" t="str">
        <f t="shared" si="14"/>
        <v/>
      </c>
    </row>
    <row r="298" spans="3:58" ht="15.95" customHeight="1" x14ac:dyDescent="0.25">
      <c r="C298" s="57" t="str">
        <f>IFERROR(IF(L298="","",IF(I298="",INDEX(Procesos!$1:$1048576,IF(AX298=1,5,MATCH(AX298,Procesos!A:A,0))+7,MATCH(J298,Procesos!$2:$2,0)+6),"")),"Despacho")</f>
        <v/>
      </c>
      <c r="D298" s="57" t="str">
        <f t="shared" si="12"/>
        <v/>
      </c>
      <c r="K298" s="57" t="s">
        <v>281</v>
      </c>
      <c r="AX298" s="490" t="e">
        <f t="shared" si="13"/>
        <v>#REF!</v>
      </c>
      <c r="BF298" s="490" t="str">
        <f t="shared" si="14"/>
        <v/>
      </c>
    </row>
    <row r="299" spans="3:58" ht="15.95" customHeight="1" x14ac:dyDescent="0.25">
      <c r="C299" s="57" t="str">
        <f>IFERROR(IF(L299="","",IF(I299="",INDEX(Procesos!$1:$1048576,IF(AX299=1,5,MATCH(AX299,Procesos!A:A,0))+7,MATCH(J299,Procesos!$2:$2,0)+6),"")),"Despacho")</f>
        <v/>
      </c>
      <c r="D299" s="57" t="str">
        <f t="shared" si="12"/>
        <v/>
      </c>
      <c r="K299" s="57" t="s">
        <v>281</v>
      </c>
      <c r="AX299" s="490" t="e">
        <f t="shared" si="13"/>
        <v>#REF!</v>
      </c>
      <c r="BF299" s="490" t="str">
        <f t="shared" si="14"/>
        <v/>
      </c>
    </row>
  </sheetData>
  <pageMargins left="0.25" right="0.25" top="0.75" bottom="0.75" header="0.3" footer="0.3"/>
  <pageSetup orientation="portrait" horizontalDpi="4294967293" verticalDpi="4294967293"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Productos!$K$19:$K$25</xm:f>
          </x14:formula1>
          <xm:sqref>C26 K3:K1048576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IZ457"/>
  <sheetViews>
    <sheetView showGridLines="0" showRuler="0" zoomScale="60" zoomScaleNormal="60" workbookViewId="0">
      <selection activeCell="BW12" sqref="BW12:BZ13"/>
    </sheetView>
  </sheetViews>
  <sheetFormatPr baseColWidth="10" defaultColWidth="4" defaultRowHeight="15" x14ac:dyDescent="0.25"/>
  <cols>
    <col min="1" max="26" width="4" style="518"/>
    <col min="27" max="31" width="4" style="532"/>
    <col min="32" max="32" width="4" style="70"/>
    <col min="33" max="36" width="4" style="532"/>
    <col min="37" max="49" width="4" style="70"/>
    <col min="50" max="16384" width="4" style="518"/>
  </cols>
  <sheetData>
    <row r="1" spans="1:260" ht="15" customHeight="1" x14ac:dyDescent="0.25">
      <c r="A1" s="874" t="str">
        <f>IFERROR(IF(Q$2&lt;&gt;"","NOMBRE DEL CLIENTE : " &amp; VLOOKUP(Q$2,Clientes!$A:$K,3,0),""),"")</f>
        <v>NOMBRE DEL CLIENTE : Felipe</v>
      </c>
      <c r="B1" s="875"/>
      <c r="C1" s="875"/>
      <c r="D1" s="875"/>
      <c r="E1" s="875"/>
      <c r="F1" s="875"/>
      <c r="G1" s="875"/>
      <c r="H1" s="875"/>
      <c r="I1" s="875"/>
      <c r="J1" s="875"/>
      <c r="K1" s="875"/>
      <c r="L1" s="875"/>
      <c r="M1" s="875"/>
      <c r="N1" s="875"/>
      <c r="O1" s="875"/>
      <c r="P1" s="875"/>
      <c r="Q1" s="876" t="str">
        <f>IFERROR(IF(Q$2&lt;&gt;"","Fecha Confirmada : " &amp; VLOOKUP(Q$2,Clientes!$A:$K,8,0),""),"")</f>
        <v>Fecha Confirmada : 25/06/2020</v>
      </c>
      <c r="R1" s="877"/>
      <c r="S1" s="877"/>
      <c r="T1" s="877"/>
      <c r="U1" s="877"/>
      <c r="V1" s="877"/>
      <c r="W1" s="877"/>
      <c r="X1" s="877"/>
      <c r="Y1" s="877"/>
      <c r="Z1" s="878"/>
      <c r="AA1" s="874" t="str">
        <f>IFERROR(IF(AQ$2&lt;&gt;"","NOMBRE DEL CLIENTE : " &amp; VLOOKUP(AQ$2,Clientes!$A:$K,3,0),""),"")</f>
        <v>NOMBRE DEL CLIENTE : aaaa</v>
      </c>
      <c r="AB1" s="875"/>
      <c r="AC1" s="875"/>
      <c r="AD1" s="875"/>
      <c r="AE1" s="875"/>
      <c r="AF1" s="875"/>
      <c r="AG1" s="875"/>
      <c r="AH1" s="875"/>
      <c r="AI1" s="875"/>
      <c r="AJ1" s="875"/>
      <c r="AK1" s="875"/>
      <c r="AL1" s="875"/>
      <c r="AM1" s="875"/>
      <c r="AN1" s="875"/>
      <c r="AO1" s="875"/>
      <c r="AP1" s="875"/>
      <c r="AQ1" s="876" t="str">
        <f>IFERROR(IF(AQ$2&lt;&gt;"","Fecha Confirmada : " &amp; VLOOKUP(AQ$2,Clientes!$A:$K,8,0),""),"")</f>
        <v>Fecha Confirmada : 27/06/2020</v>
      </c>
      <c r="AR1" s="877"/>
      <c r="AS1" s="877"/>
      <c r="AT1" s="877"/>
      <c r="AU1" s="877"/>
      <c r="AV1" s="877"/>
      <c r="AW1" s="877"/>
      <c r="AX1" s="877"/>
      <c r="AY1" s="877"/>
      <c r="AZ1" s="878"/>
      <c r="BA1" s="874" t="str">
        <f>IFERROR(IF(BQ$2&lt;&gt;"","NOMBRE DEL CLIENTE : " &amp; VLOOKUP(BQ$2,Clientes!$A:$K,3,0),""),"")</f>
        <v/>
      </c>
      <c r="BB1" s="875"/>
      <c r="BC1" s="875"/>
      <c r="BD1" s="875"/>
      <c r="BE1" s="875"/>
      <c r="BF1" s="875"/>
      <c r="BG1" s="875"/>
      <c r="BH1" s="875"/>
      <c r="BI1" s="875"/>
      <c r="BJ1" s="875"/>
      <c r="BK1" s="875"/>
      <c r="BL1" s="875"/>
      <c r="BM1" s="875"/>
      <c r="BN1" s="875"/>
      <c r="BO1" s="875"/>
      <c r="BP1" s="875"/>
      <c r="BQ1" s="876" t="str">
        <f>IFERROR(IF(BQ$2&lt;&gt;"","Fecha Confirmada : " &amp; VLOOKUP(BQ$2,Clientes!$A:$K,8,0),""),"")</f>
        <v/>
      </c>
      <c r="BR1" s="877"/>
      <c r="BS1" s="877"/>
      <c r="BT1" s="877"/>
      <c r="BU1" s="877"/>
      <c r="BV1" s="877"/>
      <c r="BW1" s="877"/>
      <c r="BX1" s="877"/>
      <c r="BY1" s="877"/>
      <c r="BZ1" s="878"/>
      <c r="CA1" s="874" t="str">
        <f>IFERROR(IF(CQ$2&lt;&gt;"","NOMBRE DEL CLIENTE : " &amp; VLOOKUP(CQ$2,Clientes!$A:$K,3,0),""),"")</f>
        <v/>
      </c>
      <c r="CB1" s="875"/>
      <c r="CC1" s="875"/>
      <c r="CD1" s="875"/>
      <c r="CE1" s="875"/>
      <c r="CF1" s="875"/>
      <c r="CG1" s="875"/>
      <c r="CH1" s="875"/>
      <c r="CI1" s="875"/>
      <c r="CJ1" s="875"/>
      <c r="CK1" s="875"/>
      <c r="CL1" s="875"/>
      <c r="CM1" s="875"/>
      <c r="CN1" s="875"/>
      <c r="CO1" s="875"/>
      <c r="CP1" s="875"/>
      <c r="CQ1" s="876" t="str">
        <f>IFERROR(IF(CQ$2&lt;&gt;"","Fecha Confirmada : " &amp; VLOOKUP(CQ$2,Clientes!$A:$K,8,0),""),"")</f>
        <v/>
      </c>
      <c r="CR1" s="877"/>
      <c r="CS1" s="877"/>
      <c r="CT1" s="877"/>
      <c r="CU1" s="877"/>
      <c r="CV1" s="877"/>
      <c r="CW1" s="877"/>
      <c r="CX1" s="877"/>
      <c r="CY1" s="877"/>
      <c r="CZ1" s="878"/>
      <c r="DA1" s="874" t="str">
        <f>IFERROR(IF(DQ$2&lt;&gt;"","NOMBRE DEL CLIENTE : " &amp; VLOOKUP(DQ$2,Clientes!$A:$K,3,0),""),"")</f>
        <v/>
      </c>
      <c r="DB1" s="875"/>
      <c r="DC1" s="875"/>
      <c r="DD1" s="875"/>
      <c r="DE1" s="875"/>
      <c r="DF1" s="875"/>
      <c r="DG1" s="875"/>
      <c r="DH1" s="875"/>
      <c r="DI1" s="875"/>
      <c r="DJ1" s="875"/>
      <c r="DK1" s="875"/>
      <c r="DL1" s="875"/>
      <c r="DM1" s="875"/>
      <c r="DN1" s="875"/>
      <c r="DO1" s="875"/>
      <c r="DP1" s="875"/>
      <c r="DQ1" s="876" t="str">
        <f>IFERROR(IF(DQ$2&lt;&gt;"","Fecha Confirmada : " &amp; VLOOKUP(DQ$2,Clientes!$A:$K,8,0),""),"")</f>
        <v/>
      </c>
      <c r="DR1" s="877"/>
      <c r="DS1" s="877"/>
      <c r="DT1" s="877"/>
      <c r="DU1" s="877"/>
      <c r="DV1" s="877"/>
      <c r="DW1" s="877"/>
      <c r="DX1" s="877"/>
      <c r="DY1" s="877"/>
      <c r="DZ1" s="878"/>
      <c r="EA1" s="874" t="str">
        <f>IFERROR(IF(EQ$2&lt;&gt;"","NOMBRE DEL CLIENTE : " &amp; VLOOKUP(EQ$2,Clientes!$A:$K,3,0),""),"")</f>
        <v/>
      </c>
      <c r="EB1" s="875"/>
      <c r="EC1" s="875"/>
      <c r="ED1" s="875"/>
      <c r="EE1" s="875"/>
      <c r="EF1" s="875"/>
      <c r="EG1" s="875"/>
      <c r="EH1" s="875"/>
      <c r="EI1" s="875"/>
      <c r="EJ1" s="875"/>
      <c r="EK1" s="875"/>
      <c r="EL1" s="875"/>
      <c r="EM1" s="875"/>
      <c r="EN1" s="875"/>
      <c r="EO1" s="875"/>
      <c r="EP1" s="875"/>
      <c r="EQ1" s="876" t="str">
        <f>IFERROR(IF(EQ$2&lt;&gt;"","Fecha Confirmada : " &amp; VLOOKUP(EQ$2,Clientes!$A:$K,8,0),""),"")</f>
        <v/>
      </c>
      <c r="ER1" s="877"/>
      <c r="ES1" s="877"/>
      <c r="ET1" s="877"/>
      <c r="EU1" s="877"/>
      <c r="EV1" s="877"/>
      <c r="EW1" s="877"/>
      <c r="EX1" s="877"/>
      <c r="EY1" s="877"/>
      <c r="EZ1" s="878"/>
      <c r="FA1" s="874" t="str">
        <f>IFERROR(IF(FQ$2&lt;&gt;"","NOMBRE DEL CLIENTE : " &amp; VLOOKUP(FQ$2,Clientes!$A:$K,3,0),""),"")</f>
        <v/>
      </c>
      <c r="FB1" s="875"/>
      <c r="FC1" s="875"/>
      <c r="FD1" s="875"/>
      <c r="FE1" s="875"/>
      <c r="FF1" s="875"/>
      <c r="FG1" s="875"/>
      <c r="FH1" s="875"/>
      <c r="FI1" s="875"/>
      <c r="FJ1" s="875"/>
      <c r="FK1" s="875"/>
      <c r="FL1" s="875"/>
      <c r="FM1" s="875"/>
      <c r="FN1" s="875"/>
      <c r="FO1" s="875"/>
      <c r="FP1" s="875"/>
      <c r="FQ1" s="876" t="str">
        <f>IFERROR(IF(FQ$2&lt;&gt;"","Fecha Confirmada : " &amp; VLOOKUP(FQ$2,Clientes!$A:$K,8,0),""),"")</f>
        <v/>
      </c>
      <c r="FR1" s="877"/>
      <c r="FS1" s="877"/>
      <c r="FT1" s="877"/>
      <c r="FU1" s="877"/>
      <c r="FV1" s="877"/>
      <c r="FW1" s="877"/>
      <c r="FX1" s="877"/>
      <c r="FY1" s="877"/>
      <c r="FZ1" s="878"/>
      <c r="GA1" s="874" t="str">
        <f>IFERROR(IF(GQ$2&lt;&gt;"","NOMBRE DEL CLIENTE : " &amp; VLOOKUP(GQ$2,Clientes!$A:$K,3,0),""),"")</f>
        <v/>
      </c>
      <c r="GB1" s="875"/>
      <c r="GC1" s="875"/>
      <c r="GD1" s="875"/>
      <c r="GE1" s="875"/>
      <c r="GF1" s="875"/>
      <c r="GG1" s="875"/>
      <c r="GH1" s="875"/>
      <c r="GI1" s="875"/>
      <c r="GJ1" s="875"/>
      <c r="GK1" s="875"/>
      <c r="GL1" s="875"/>
      <c r="GM1" s="875"/>
      <c r="GN1" s="875"/>
      <c r="GO1" s="875"/>
      <c r="GP1" s="875"/>
      <c r="GQ1" s="876" t="str">
        <f>IFERROR(IF(GQ$2&lt;&gt;"","Fecha Confirmada : " &amp; VLOOKUP(GQ$2,Clientes!$A:$K,8,0),""),"")</f>
        <v/>
      </c>
      <c r="GR1" s="877"/>
      <c r="GS1" s="877"/>
      <c r="GT1" s="877"/>
      <c r="GU1" s="877"/>
      <c r="GV1" s="877"/>
      <c r="GW1" s="877"/>
      <c r="GX1" s="877"/>
      <c r="GY1" s="877"/>
      <c r="GZ1" s="878"/>
      <c r="HA1" s="874" t="str">
        <f>IFERROR(IF(HQ$2&lt;&gt;"","NOMBRE DEL CLIENTE : " &amp; VLOOKUP(HQ$2,Clientes!$A:$K,3,0),""),"")</f>
        <v/>
      </c>
      <c r="HB1" s="875"/>
      <c r="HC1" s="875"/>
      <c r="HD1" s="875"/>
      <c r="HE1" s="875"/>
      <c r="HF1" s="875"/>
      <c r="HG1" s="875"/>
      <c r="HH1" s="875"/>
      <c r="HI1" s="875"/>
      <c r="HJ1" s="875"/>
      <c r="HK1" s="875"/>
      <c r="HL1" s="875"/>
      <c r="HM1" s="875"/>
      <c r="HN1" s="875"/>
      <c r="HO1" s="875"/>
      <c r="HP1" s="875"/>
      <c r="HQ1" s="876" t="str">
        <f>IFERROR(IF(HQ$2&lt;&gt;"","Fecha Confirmada : " &amp; VLOOKUP(HQ$2,Clientes!$A:$K,8,0),""),"")</f>
        <v/>
      </c>
      <c r="HR1" s="877"/>
      <c r="HS1" s="877"/>
      <c r="HT1" s="877"/>
      <c r="HU1" s="877"/>
      <c r="HV1" s="877"/>
      <c r="HW1" s="877"/>
      <c r="HX1" s="877"/>
      <c r="HY1" s="877"/>
      <c r="HZ1" s="878"/>
      <c r="IA1" s="874" t="str">
        <f>IFERROR(IF(IQ$2&lt;&gt;"","NOMBRE DEL CLIENTE : " &amp; VLOOKUP(IQ$2,Clientes!$A:$K,3,0),""),"")</f>
        <v/>
      </c>
      <c r="IB1" s="875"/>
      <c r="IC1" s="875"/>
      <c r="ID1" s="875"/>
      <c r="IE1" s="875"/>
      <c r="IF1" s="875"/>
      <c r="IG1" s="875"/>
      <c r="IH1" s="875"/>
      <c r="II1" s="875"/>
      <c r="IJ1" s="875"/>
      <c r="IK1" s="875"/>
      <c r="IL1" s="875"/>
      <c r="IM1" s="875"/>
      <c r="IN1" s="875"/>
      <c r="IO1" s="875"/>
      <c r="IP1" s="875"/>
      <c r="IQ1" s="876" t="str">
        <f>IFERROR(IF(IQ$2&lt;&gt;"","Fecha Confirmada : " &amp; VLOOKUP(IQ$2,Clientes!$A:$K,8,0),""),"")</f>
        <v/>
      </c>
      <c r="IR1" s="877"/>
      <c r="IS1" s="877"/>
      <c r="IT1" s="877"/>
      <c r="IU1" s="877"/>
      <c r="IV1" s="877"/>
      <c r="IW1" s="877"/>
      <c r="IX1" s="877"/>
      <c r="IY1" s="877"/>
      <c r="IZ1" s="878"/>
    </row>
    <row r="2" spans="1:260" ht="15" customHeight="1" x14ac:dyDescent="0.25">
      <c r="A2" s="800" t="str">
        <f>IFERROR(IF(Q$2&lt;&gt;"","CLIENTE # : " &amp; VLOOKUP(Q$2,Clientes!$A:$K,4,0),""),"")</f>
        <v>CLIENTE # : 12</v>
      </c>
      <c r="B2" s="801"/>
      <c r="C2" s="801"/>
      <c r="D2" s="801"/>
      <c r="E2" s="801"/>
      <c r="F2" s="801"/>
      <c r="G2" s="801"/>
      <c r="H2" s="801"/>
      <c r="I2" s="801"/>
      <c r="J2" s="801"/>
      <c r="K2" s="801"/>
      <c r="L2" s="801"/>
      <c r="M2" s="801"/>
      <c r="N2" s="801"/>
      <c r="O2" s="801"/>
      <c r="P2" s="801"/>
      <c r="Q2" s="879" t="str">
        <f>Pedidos!BI5</f>
        <v>PO# 16</v>
      </c>
      <c r="R2" s="880"/>
      <c r="S2" s="880"/>
      <c r="T2" s="880"/>
      <c r="U2" s="880"/>
      <c r="V2" s="880"/>
      <c r="W2" s="826" t="str">
        <f>IFERROR(COUNTIF(Pedidos!$J:$J,Q$2)&amp;"   ITEMS","")</f>
        <v>1   ITEMS</v>
      </c>
      <c r="X2" s="826"/>
      <c r="Y2" s="826"/>
      <c r="Z2" s="827"/>
      <c r="AA2" s="800" t="str">
        <f>IFERROR(IF(AQ$2&lt;&gt;"","CLIENTE # : " &amp; VLOOKUP(AQ$2,Clientes!$A:$K,4,0),""),"")</f>
        <v xml:space="preserve">CLIENTE # : </v>
      </c>
      <c r="AB2" s="801"/>
      <c r="AC2" s="801"/>
      <c r="AD2" s="801"/>
      <c r="AE2" s="801"/>
      <c r="AF2" s="801"/>
      <c r="AG2" s="801"/>
      <c r="AH2" s="801"/>
      <c r="AI2" s="801"/>
      <c r="AJ2" s="801"/>
      <c r="AK2" s="801"/>
      <c r="AL2" s="801"/>
      <c r="AM2" s="801"/>
      <c r="AN2" s="801"/>
      <c r="AO2" s="801"/>
      <c r="AP2" s="801"/>
      <c r="AQ2" s="879" t="str">
        <f>IF(Pedidos!$BI6="","",Pedidos!$BI6)</f>
        <v>PO# 20</v>
      </c>
      <c r="AR2" s="880"/>
      <c r="AS2" s="880"/>
      <c r="AT2" s="880"/>
      <c r="AU2" s="880"/>
      <c r="AV2" s="880"/>
      <c r="AW2" s="826" t="str">
        <f>IFERROR(IF(AQ2="","",COUNTIF(Pedidos!$J:$J,AQ$2)&amp;"   ITEMS"),"")</f>
        <v>4   ITEMS</v>
      </c>
      <c r="AX2" s="826"/>
      <c r="AY2" s="826"/>
      <c r="AZ2" s="827"/>
      <c r="BA2" s="800" t="str">
        <f>IFERROR(IF(BQ$2&lt;&gt;"","CLIENTE # : " &amp; VLOOKUP(BQ$2,Clientes!$A:$K,4,0),""),"")</f>
        <v/>
      </c>
      <c r="BB2" s="801"/>
      <c r="BC2" s="801"/>
      <c r="BD2" s="801"/>
      <c r="BE2" s="801"/>
      <c r="BF2" s="801"/>
      <c r="BG2" s="801"/>
      <c r="BH2" s="801"/>
      <c r="BI2" s="801"/>
      <c r="BJ2" s="801"/>
      <c r="BK2" s="801"/>
      <c r="BL2" s="801"/>
      <c r="BM2" s="801"/>
      <c r="BN2" s="801"/>
      <c r="BO2" s="801"/>
      <c r="BP2" s="801"/>
      <c r="BQ2" s="879" t="str">
        <f>IF(Pedidos!$BI7="","",Pedidos!$BI7)</f>
        <v/>
      </c>
      <c r="BR2" s="880"/>
      <c r="BS2" s="880"/>
      <c r="BT2" s="880"/>
      <c r="BU2" s="880"/>
      <c r="BV2" s="880"/>
      <c r="BW2" s="826" t="str">
        <f>IFERROR(IF(BQ2="","",COUNTIF(Pedidos!$J:$J,BQ$2)&amp;"   ITEMS"),"")</f>
        <v/>
      </c>
      <c r="BX2" s="826"/>
      <c r="BY2" s="826"/>
      <c r="BZ2" s="827"/>
      <c r="CA2" s="800" t="str">
        <f>IFERROR(IF(CQ$2&lt;&gt;"","CLIENTE # : " &amp; VLOOKUP(CQ$2,Clientes!$A:$K,4,0),""),"")</f>
        <v/>
      </c>
      <c r="CB2" s="801"/>
      <c r="CC2" s="801"/>
      <c r="CD2" s="801"/>
      <c r="CE2" s="801"/>
      <c r="CF2" s="801"/>
      <c r="CG2" s="801"/>
      <c r="CH2" s="801"/>
      <c r="CI2" s="801"/>
      <c r="CJ2" s="801"/>
      <c r="CK2" s="801"/>
      <c r="CL2" s="801"/>
      <c r="CM2" s="801"/>
      <c r="CN2" s="801"/>
      <c r="CO2" s="801"/>
      <c r="CP2" s="801"/>
      <c r="CQ2" s="879" t="str">
        <f>IF(Pedidos!$BI8="","",Pedidos!$BI8)</f>
        <v/>
      </c>
      <c r="CR2" s="880"/>
      <c r="CS2" s="880"/>
      <c r="CT2" s="880"/>
      <c r="CU2" s="880"/>
      <c r="CV2" s="880"/>
      <c r="CW2" s="826" t="str">
        <f>IFERROR(IF(CQ2="","",COUNTIF(Pedidos!$J:$J,CQ$2)&amp;"   ITEMS"),"")</f>
        <v/>
      </c>
      <c r="CX2" s="826"/>
      <c r="CY2" s="826"/>
      <c r="CZ2" s="827"/>
      <c r="DA2" s="800" t="str">
        <f>IFERROR(IF(DQ$2&lt;&gt;"","CLIENTE # : " &amp; VLOOKUP(DQ$2,Clientes!$A:$K,4,0),""),"")</f>
        <v/>
      </c>
      <c r="DB2" s="801"/>
      <c r="DC2" s="801"/>
      <c r="DD2" s="801"/>
      <c r="DE2" s="801"/>
      <c r="DF2" s="801"/>
      <c r="DG2" s="801"/>
      <c r="DH2" s="801"/>
      <c r="DI2" s="801"/>
      <c r="DJ2" s="801"/>
      <c r="DK2" s="801"/>
      <c r="DL2" s="801"/>
      <c r="DM2" s="801"/>
      <c r="DN2" s="801"/>
      <c r="DO2" s="801"/>
      <c r="DP2" s="801"/>
      <c r="DQ2" s="879" t="str">
        <f>IF(Pedidos!$BI9="","",Pedidos!$BI9)</f>
        <v/>
      </c>
      <c r="DR2" s="880"/>
      <c r="DS2" s="880"/>
      <c r="DT2" s="880"/>
      <c r="DU2" s="880"/>
      <c r="DV2" s="880"/>
      <c r="DW2" s="826" t="str">
        <f>IFERROR(IF(DQ2="","",COUNTIF(Pedidos!$J:$J,DQ$2)&amp;"   ITEMS"),"")</f>
        <v/>
      </c>
      <c r="DX2" s="826"/>
      <c r="DY2" s="826"/>
      <c r="DZ2" s="827"/>
      <c r="EA2" s="800" t="str">
        <f>IFERROR(IF(EQ$2&lt;&gt;"","CLIENTE # : " &amp; VLOOKUP(EQ$2,Clientes!$A:$K,4,0),""),"")</f>
        <v/>
      </c>
      <c r="EB2" s="801"/>
      <c r="EC2" s="801"/>
      <c r="ED2" s="801"/>
      <c r="EE2" s="801"/>
      <c r="EF2" s="801"/>
      <c r="EG2" s="801"/>
      <c r="EH2" s="801"/>
      <c r="EI2" s="801"/>
      <c r="EJ2" s="801"/>
      <c r="EK2" s="801"/>
      <c r="EL2" s="801"/>
      <c r="EM2" s="801"/>
      <c r="EN2" s="801"/>
      <c r="EO2" s="801"/>
      <c r="EP2" s="801"/>
      <c r="EQ2" s="879" t="str">
        <f>IF(Pedidos!$BI10="","",Pedidos!$BI10)</f>
        <v/>
      </c>
      <c r="ER2" s="880"/>
      <c r="ES2" s="880"/>
      <c r="ET2" s="880"/>
      <c r="EU2" s="880"/>
      <c r="EV2" s="880"/>
      <c r="EW2" s="826" t="str">
        <f>IFERROR(IF(EQ2="","",COUNTIF(Pedidos!$J:$J,EQ$2)&amp;"   ITEMS"),"")</f>
        <v/>
      </c>
      <c r="EX2" s="826"/>
      <c r="EY2" s="826"/>
      <c r="EZ2" s="827"/>
      <c r="FA2" s="800" t="str">
        <f>IFERROR(IF(FQ$2&lt;&gt;"","CLIENTE # : " &amp; VLOOKUP(FQ$2,Clientes!$A:$K,4,0),""),"")</f>
        <v/>
      </c>
      <c r="FB2" s="801"/>
      <c r="FC2" s="801"/>
      <c r="FD2" s="801"/>
      <c r="FE2" s="801"/>
      <c r="FF2" s="801"/>
      <c r="FG2" s="801"/>
      <c r="FH2" s="801"/>
      <c r="FI2" s="801"/>
      <c r="FJ2" s="801"/>
      <c r="FK2" s="801"/>
      <c r="FL2" s="801"/>
      <c r="FM2" s="801"/>
      <c r="FN2" s="801"/>
      <c r="FO2" s="801"/>
      <c r="FP2" s="801"/>
      <c r="FQ2" s="879" t="str">
        <f>IF(Pedidos!$BI11="","",Pedidos!$BI11)</f>
        <v/>
      </c>
      <c r="FR2" s="880"/>
      <c r="FS2" s="880"/>
      <c r="FT2" s="880"/>
      <c r="FU2" s="880"/>
      <c r="FV2" s="880"/>
      <c r="FW2" s="826" t="str">
        <f>IFERROR(IF(FQ2="","",COUNTIF(Pedidos!$J:$J,FQ$2)&amp;"   ITEMS"),"")</f>
        <v/>
      </c>
      <c r="FX2" s="826"/>
      <c r="FY2" s="826"/>
      <c r="FZ2" s="827"/>
      <c r="GA2" s="800" t="str">
        <f>IFERROR(IF(GQ$2&lt;&gt;"","CLIENTE # : " &amp; VLOOKUP(GQ$2,Clientes!$A:$K,4,0),""),"")</f>
        <v/>
      </c>
      <c r="GB2" s="801"/>
      <c r="GC2" s="801"/>
      <c r="GD2" s="801"/>
      <c r="GE2" s="801"/>
      <c r="GF2" s="801"/>
      <c r="GG2" s="801"/>
      <c r="GH2" s="801"/>
      <c r="GI2" s="801"/>
      <c r="GJ2" s="801"/>
      <c r="GK2" s="801"/>
      <c r="GL2" s="801"/>
      <c r="GM2" s="801"/>
      <c r="GN2" s="801"/>
      <c r="GO2" s="801"/>
      <c r="GP2" s="801"/>
      <c r="GQ2" s="879" t="str">
        <f>IF(Pedidos!$BI12="","",Pedidos!$BI12)</f>
        <v/>
      </c>
      <c r="GR2" s="880"/>
      <c r="GS2" s="880"/>
      <c r="GT2" s="880"/>
      <c r="GU2" s="880"/>
      <c r="GV2" s="880"/>
      <c r="GW2" s="826" t="str">
        <f>IFERROR(IF(GQ2="","",COUNTIF(Pedidos!$J:$J,GQ$2)&amp;"   ITEMS"),"")</f>
        <v/>
      </c>
      <c r="GX2" s="826"/>
      <c r="GY2" s="826"/>
      <c r="GZ2" s="827"/>
      <c r="HA2" s="800" t="str">
        <f>IFERROR(IF(HQ$2&lt;&gt;"","CLIENTE # : " &amp; VLOOKUP(HQ$2,Clientes!$A:$K,4,0),""),"")</f>
        <v/>
      </c>
      <c r="HB2" s="801"/>
      <c r="HC2" s="801"/>
      <c r="HD2" s="801"/>
      <c r="HE2" s="801"/>
      <c r="HF2" s="801"/>
      <c r="HG2" s="801"/>
      <c r="HH2" s="801"/>
      <c r="HI2" s="801"/>
      <c r="HJ2" s="801"/>
      <c r="HK2" s="801"/>
      <c r="HL2" s="801"/>
      <c r="HM2" s="801"/>
      <c r="HN2" s="801"/>
      <c r="HO2" s="801"/>
      <c r="HP2" s="801"/>
      <c r="HQ2" s="879" t="str">
        <f>IF(Pedidos!$BI13="","",Pedidos!$BI13)</f>
        <v/>
      </c>
      <c r="HR2" s="880"/>
      <c r="HS2" s="880"/>
      <c r="HT2" s="880"/>
      <c r="HU2" s="880"/>
      <c r="HV2" s="880"/>
      <c r="HW2" s="826" t="str">
        <f>IFERROR(IF(HQ2="","",COUNTIF(Pedidos!$J:$J,HQ$2)&amp;"   ITEMS"),"")</f>
        <v/>
      </c>
      <c r="HX2" s="826"/>
      <c r="HY2" s="826"/>
      <c r="HZ2" s="827"/>
      <c r="IA2" s="800" t="str">
        <f>IFERROR(IF(IQ$2&lt;&gt;"","CLIENTE # : " &amp; VLOOKUP(IQ$2,Clientes!$A:$K,4,0),""),"")</f>
        <v/>
      </c>
      <c r="IB2" s="801"/>
      <c r="IC2" s="801"/>
      <c r="ID2" s="801"/>
      <c r="IE2" s="801"/>
      <c r="IF2" s="801"/>
      <c r="IG2" s="801"/>
      <c r="IH2" s="801"/>
      <c r="II2" s="801"/>
      <c r="IJ2" s="801"/>
      <c r="IK2" s="801"/>
      <c r="IL2" s="801"/>
      <c r="IM2" s="801"/>
      <c r="IN2" s="801"/>
      <c r="IO2" s="801"/>
      <c r="IP2" s="801"/>
      <c r="IQ2" s="879" t="str">
        <f>IF(Pedidos!$BI13="","",Pedidos!$BI13)</f>
        <v/>
      </c>
      <c r="IR2" s="880"/>
      <c r="IS2" s="880"/>
      <c r="IT2" s="880"/>
      <c r="IU2" s="880"/>
      <c r="IV2" s="880"/>
      <c r="IW2" s="826" t="str">
        <f>IFERROR(IF(IQ2="","",COUNTIF(Pedidos!$J:$J,IQ$2)&amp;"   ITEMS"),"")</f>
        <v/>
      </c>
      <c r="IX2" s="826"/>
      <c r="IY2" s="826"/>
      <c r="IZ2" s="827"/>
    </row>
    <row r="3" spans="1:260" ht="15" customHeight="1" x14ac:dyDescent="0.25">
      <c r="A3" s="861" t="str">
        <f>IFERROR(IF(Q$2&lt;&gt;"","Fecha de Pedido :    " &amp; VLOOKUP(Q$2,Clientes!$A:$K,5,0),""),"")</f>
        <v>Fecha de Pedido :    25/06/2020</v>
      </c>
      <c r="B3" s="862"/>
      <c r="C3" s="862"/>
      <c r="D3" s="862"/>
      <c r="E3" s="862"/>
      <c r="F3" s="862"/>
      <c r="G3" s="862"/>
      <c r="H3" s="862"/>
      <c r="I3" s="862"/>
      <c r="J3" s="862"/>
      <c r="K3" s="862"/>
      <c r="L3" s="862"/>
      <c r="M3" s="862"/>
      <c r="N3" s="862"/>
      <c r="O3" s="862"/>
      <c r="P3" s="862"/>
      <c r="Q3" s="881" t="str">
        <f>IFERROR(IF(Q$2&lt;&gt;"","RM # : " &amp; VLOOKUP(Q$2,Clientes!$A:$K,9,0),""),"")</f>
        <v xml:space="preserve">RM # : </v>
      </c>
      <c r="R3" s="862"/>
      <c r="S3" s="862"/>
      <c r="T3" s="862"/>
      <c r="U3" s="862"/>
      <c r="V3" s="862"/>
      <c r="W3" s="862"/>
      <c r="X3" s="862"/>
      <c r="Y3" s="862"/>
      <c r="Z3" s="863"/>
      <c r="AA3" s="861" t="str">
        <f>IFERROR(IF(AQ$2&lt;&gt;"","Fecha de Pedido :    " &amp; VLOOKUP(AQ$2,Clientes!$A:$K,5,0),""),"")</f>
        <v>Fecha de Pedido :    27/06/2020</v>
      </c>
      <c r="AB3" s="862"/>
      <c r="AC3" s="862"/>
      <c r="AD3" s="862"/>
      <c r="AE3" s="862"/>
      <c r="AF3" s="862"/>
      <c r="AG3" s="862"/>
      <c r="AH3" s="862"/>
      <c r="AI3" s="862"/>
      <c r="AJ3" s="862"/>
      <c r="AK3" s="862"/>
      <c r="AL3" s="862"/>
      <c r="AM3" s="862"/>
      <c r="AN3" s="862"/>
      <c r="AO3" s="862"/>
      <c r="AP3" s="862"/>
      <c r="AQ3" s="881" t="str">
        <f>IFERROR(IF(AQ$2&lt;&gt;"","RM # : " &amp; VLOOKUP(AQ$2,Clientes!$A:$K,9,0),""),"")</f>
        <v xml:space="preserve">RM # : </v>
      </c>
      <c r="AR3" s="862"/>
      <c r="AS3" s="862"/>
      <c r="AT3" s="862"/>
      <c r="AU3" s="862"/>
      <c r="AV3" s="862"/>
      <c r="AW3" s="862"/>
      <c r="AX3" s="862"/>
      <c r="AY3" s="862"/>
      <c r="AZ3" s="863"/>
      <c r="BA3" s="861" t="str">
        <f>IFERROR(IF(BQ$2&lt;&gt;"","Fecha de Pedido :    " &amp; VLOOKUP(BQ$2,Clientes!$A:$K,5,0),""),"")</f>
        <v/>
      </c>
      <c r="BB3" s="862"/>
      <c r="BC3" s="862"/>
      <c r="BD3" s="862"/>
      <c r="BE3" s="862"/>
      <c r="BF3" s="862"/>
      <c r="BG3" s="862"/>
      <c r="BH3" s="862"/>
      <c r="BI3" s="862"/>
      <c r="BJ3" s="862"/>
      <c r="BK3" s="862"/>
      <c r="BL3" s="862"/>
      <c r="BM3" s="862"/>
      <c r="BN3" s="862"/>
      <c r="BO3" s="862"/>
      <c r="BP3" s="862"/>
      <c r="BQ3" s="881" t="str">
        <f>IFERROR(IF(BQ$2&lt;&gt;"","RM # : " &amp; VLOOKUP(BQ$2,Clientes!$A:$K,9,0),""),"")</f>
        <v/>
      </c>
      <c r="BR3" s="862"/>
      <c r="BS3" s="862"/>
      <c r="BT3" s="862"/>
      <c r="BU3" s="862"/>
      <c r="BV3" s="862"/>
      <c r="BW3" s="862"/>
      <c r="BX3" s="862"/>
      <c r="BY3" s="862"/>
      <c r="BZ3" s="863"/>
      <c r="CA3" s="861" t="str">
        <f>IFERROR(IF(CQ$2&lt;&gt;"","Fecha de Pedido :    " &amp; VLOOKUP(CQ$2,Clientes!$A:$K,5,0),""),"")</f>
        <v/>
      </c>
      <c r="CB3" s="862"/>
      <c r="CC3" s="862"/>
      <c r="CD3" s="862"/>
      <c r="CE3" s="862"/>
      <c r="CF3" s="862"/>
      <c r="CG3" s="862"/>
      <c r="CH3" s="862"/>
      <c r="CI3" s="862"/>
      <c r="CJ3" s="862"/>
      <c r="CK3" s="862"/>
      <c r="CL3" s="862"/>
      <c r="CM3" s="862"/>
      <c r="CN3" s="862"/>
      <c r="CO3" s="862"/>
      <c r="CP3" s="862"/>
      <c r="CQ3" s="881" t="str">
        <f>IFERROR(IF(CQ$2&lt;&gt;"","RM # : " &amp; VLOOKUP(CQ$2,Clientes!$A:$K,9,0),""),"")</f>
        <v/>
      </c>
      <c r="CR3" s="862"/>
      <c r="CS3" s="862"/>
      <c r="CT3" s="862"/>
      <c r="CU3" s="862"/>
      <c r="CV3" s="862"/>
      <c r="CW3" s="862"/>
      <c r="CX3" s="862"/>
      <c r="CY3" s="862"/>
      <c r="CZ3" s="863"/>
      <c r="DA3" s="861" t="str">
        <f>IFERROR(IF(DQ$2&lt;&gt;"","Fecha de Pedido :    " &amp; VLOOKUP(DQ$2,Clientes!$A:$K,5,0),""),"")</f>
        <v/>
      </c>
      <c r="DB3" s="862"/>
      <c r="DC3" s="862"/>
      <c r="DD3" s="862"/>
      <c r="DE3" s="862"/>
      <c r="DF3" s="862"/>
      <c r="DG3" s="862"/>
      <c r="DH3" s="862"/>
      <c r="DI3" s="862"/>
      <c r="DJ3" s="862"/>
      <c r="DK3" s="862"/>
      <c r="DL3" s="862"/>
      <c r="DM3" s="862"/>
      <c r="DN3" s="862"/>
      <c r="DO3" s="862"/>
      <c r="DP3" s="862"/>
      <c r="DQ3" s="881" t="str">
        <f>IFERROR(IF(DQ$2&lt;&gt;"","RM # : " &amp; VLOOKUP(DQ$2,Clientes!$A:$K,9,0),""),"")</f>
        <v/>
      </c>
      <c r="DR3" s="862"/>
      <c r="DS3" s="862"/>
      <c r="DT3" s="862"/>
      <c r="DU3" s="862"/>
      <c r="DV3" s="862"/>
      <c r="DW3" s="862"/>
      <c r="DX3" s="862"/>
      <c r="DY3" s="862"/>
      <c r="DZ3" s="863"/>
      <c r="EA3" s="861" t="str">
        <f>IFERROR(IF(EQ$2&lt;&gt;"","Fecha de Pedido :    " &amp; VLOOKUP(EQ$2,Clientes!$A:$K,5,0),""),"")</f>
        <v/>
      </c>
      <c r="EB3" s="862"/>
      <c r="EC3" s="862"/>
      <c r="ED3" s="862"/>
      <c r="EE3" s="862"/>
      <c r="EF3" s="862"/>
      <c r="EG3" s="862"/>
      <c r="EH3" s="862"/>
      <c r="EI3" s="862"/>
      <c r="EJ3" s="862"/>
      <c r="EK3" s="862"/>
      <c r="EL3" s="862"/>
      <c r="EM3" s="862"/>
      <c r="EN3" s="862"/>
      <c r="EO3" s="862"/>
      <c r="EP3" s="862"/>
      <c r="EQ3" s="881" t="str">
        <f>IFERROR(IF(EQ$2&lt;&gt;"","RM # : " &amp; VLOOKUP(EQ$2,Clientes!$A:$K,9,0),""),"")</f>
        <v/>
      </c>
      <c r="ER3" s="862"/>
      <c r="ES3" s="862"/>
      <c r="ET3" s="862"/>
      <c r="EU3" s="862"/>
      <c r="EV3" s="862"/>
      <c r="EW3" s="862"/>
      <c r="EX3" s="862"/>
      <c r="EY3" s="862"/>
      <c r="EZ3" s="863"/>
      <c r="FA3" s="861" t="str">
        <f>IFERROR(IF(FQ$2&lt;&gt;"","Fecha de Pedido :    " &amp; VLOOKUP(FQ$2,Clientes!$A:$K,5,0),""),"")</f>
        <v/>
      </c>
      <c r="FB3" s="862"/>
      <c r="FC3" s="862"/>
      <c r="FD3" s="862"/>
      <c r="FE3" s="862"/>
      <c r="FF3" s="862"/>
      <c r="FG3" s="862"/>
      <c r="FH3" s="862"/>
      <c r="FI3" s="862"/>
      <c r="FJ3" s="862"/>
      <c r="FK3" s="862"/>
      <c r="FL3" s="862"/>
      <c r="FM3" s="862"/>
      <c r="FN3" s="862"/>
      <c r="FO3" s="862"/>
      <c r="FP3" s="862"/>
      <c r="FQ3" s="881" t="str">
        <f>IFERROR(IF(FQ$2&lt;&gt;"","RM # : " &amp; VLOOKUP(FQ$2,Clientes!$A:$K,9,0),""),"")</f>
        <v/>
      </c>
      <c r="FR3" s="862"/>
      <c r="FS3" s="862"/>
      <c r="FT3" s="862"/>
      <c r="FU3" s="862"/>
      <c r="FV3" s="862"/>
      <c r="FW3" s="862"/>
      <c r="FX3" s="862"/>
      <c r="FY3" s="862"/>
      <c r="FZ3" s="863"/>
      <c r="GA3" s="861" t="str">
        <f>IFERROR(IF(GQ$2&lt;&gt;"","Fecha de Pedido :    " &amp; VLOOKUP(GQ$2,Clientes!$A:$K,5,0),""),"")</f>
        <v/>
      </c>
      <c r="GB3" s="862"/>
      <c r="GC3" s="862"/>
      <c r="GD3" s="862"/>
      <c r="GE3" s="862"/>
      <c r="GF3" s="862"/>
      <c r="GG3" s="862"/>
      <c r="GH3" s="862"/>
      <c r="GI3" s="862"/>
      <c r="GJ3" s="862"/>
      <c r="GK3" s="862"/>
      <c r="GL3" s="862"/>
      <c r="GM3" s="862"/>
      <c r="GN3" s="862"/>
      <c r="GO3" s="862"/>
      <c r="GP3" s="862"/>
      <c r="GQ3" s="881" t="str">
        <f>IFERROR(IF(GQ$2&lt;&gt;"","RM # : " &amp; VLOOKUP(GQ$2,Clientes!$A:$K,9,0),""),"")</f>
        <v/>
      </c>
      <c r="GR3" s="862"/>
      <c r="GS3" s="862"/>
      <c r="GT3" s="862"/>
      <c r="GU3" s="862"/>
      <c r="GV3" s="862"/>
      <c r="GW3" s="862"/>
      <c r="GX3" s="862"/>
      <c r="GY3" s="862"/>
      <c r="GZ3" s="863"/>
      <c r="HA3" s="861" t="str">
        <f>IFERROR(IF(HQ$2&lt;&gt;"","Fecha de Pedido :    " &amp; VLOOKUP(HQ$2,Clientes!$A:$K,5,0),""),"")</f>
        <v/>
      </c>
      <c r="HB3" s="862"/>
      <c r="HC3" s="862"/>
      <c r="HD3" s="862"/>
      <c r="HE3" s="862"/>
      <c r="HF3" s="862"/>
      <c r="HG3" s="862"/>
      <c r="HH3" s="862"/>
      <c r="HI3" s="862"/>
      <c r="HJ3" s="862"/>
      <c r="HK3" s="862"/>
      <c r="HL3" s="862"/>
      <c r="HM3" s="862"/>
      <c r="HN3" s="862"/>
      <c r="HO3" s="862"/>
      <c r="HP3" s="862"/>
      <c r="HQ3" s="881" t="str">
        <f>IFERROR(IF(HQ$2&lt;&gt;"","RM # : " &amp; VLOOKUP(HQ$2,Clientes!$A:$K,9,0),""),"")</f>
        <v/>
      </c>
      <c r="HR3" s="862"/>
      <c r="HS3" s="862"/>
      <c r="HT3" s="862"/>
      <c r="HU3" s="862"/>
      <c r="HV3" s="862"/>
      <c r="HW3" s="862"/>
      <c r="HX3" s="862"/>
      <c r="HY3" s="862"/>
      <c r="HZ3" s="863"/>
      <c r="IA3" s="861" t="str">
        <f>IFERROR(IF(IQ$2&lt;&gt;"","Fecha de Pedido :    " &amp; VLOOKUP(IQ$2,Clientes!$A:$K,5,0),""),"")</f>
        <v/>
      </c>
      <c r="IB3" s="862"/>
      <c r="IC3" s="862"/>
      <c r="ID3" s="862"/>
      <c r="IE3" s="862"/>
      <c r="IF3" s="862"/>
      <c r="IG3" s="862"/>
      <c r="IH3" s="862"/>
      <c r="II3" s="862"/>
      <c r="IJ3" s="862"/>
      <c r="IK3" s="862"/>
      <c r="IL3" s="862"/>
      <c r="IM3" s="862"/>
      <c r="IN3" s="862"/>
      <c r="IO3" s="862"/>
      <c r="IP3" s="862"/>
      <c r="IQ3" s="881" t="str">
        <f>IFERROR(IF(IQ$2&lt;&gt;"","RM # : " &amp; VLOOKUP(IQ$2,Clientes!$A:$K,9,0),""),"")</f>
        <v/>
      </c>
      <c r="IR3" s="862"/>
      <c r="IS3" s="862"/>
      <c r="IT3" s="862"/>
      <c r="IU3" s="862"/>
      <c r="IV3" s="862"/>
      <c r="IW3" s="862"/>
      <c r="IX3" s="862"/>
      <c r="IY3" s="862"/>
      <c r="IZ3" s="863"/>
    </row>
    <row r="4" spans="1:260" ht="15" customHeight="1" x14ac:dyDescent="0.25">
      <c r="A4" s="861" t="str">
        <f>IFERROR(IF(Q$2&lt;&gt;"","Fecha de Despacho :    " &amp; VLOOKUP(Q$2,Clientes!$A:$K,6,0),""),"")</f>
        <v>Fecha de Despacho :    10/07/2020</v>
      </c>
      <c r="B4" s="862"/>
      <c r="C4" s="862"/>
      <c r="D4" s="862"/>
      <c r="E4" s="862"/>
      <c r="F4" s="862"/>
      <c r="G4" s="862"/>
      <c r="H4" s="862"/>
      <c r="I4" s="862"/>
      <c r="J4" s="862"/>
      <c r="K4" s="862"/>
      <c r="L4" s="862"/>
      <c r="M4" s="862"/>
      <c r="N4" s="862"/>
      <c r="O4" s="862"/>
      <c r="P4" s="862"/>
      <c r="Q4" s="881" t="str">
        <f>IFERROR(IF(Q$2&lt;&gt;"","Destino Despacho : " &amp; VLOOKUP(Q$2,Clientes!$A:$K,10,0),""),"")</f>
        <v>Destino Despacho : Canada</v>
      </c>
      <c r="R4" s="862"/>
      <c r="S4" s="862"/>
      <c r="T4" s="862"/>
      <c r="U4" s="862"/>
      <c r="V4" s="862"/>
      <c r="W4" s="862"/>
      <c r="X4" s="862"/>
      <c r="Y4" s="862"/>
      <c r="Z4" s="863"/>
      <c r="AA4" s="861" t="str">
        <f>IFERROR(IF(AQ$2&lt;&gt;"","Fecha de Despacho :    " &amp; VLOOKUP(AQ$2,Clientes!$A:$K,6,0),""),"")</f>
        <v>Fecha de Despacho :    12/07/2020</v>
      </c>
      <c r="AB4" s="862"/>
      <c r="AC4" s="862"/>
      <c r="AD4" s="862"/>
      <c r="AE4" s="862"/>
      <c r="AF4" s="862"/>
      <c r="AG4" s="862"/>
      <c r="AH4" s="862"/>
      <c r="AI4" s="862"/>
      <c r="AJ4" s="862"/>
      <c r="AK4" s="862"/>
      <c r="AL4" s="862"/>
      <c r="AM4" s="862"/>
      <c r="AN4" s="862"/>
      <c r="AO4" s="862"/>
      <c r="AP4" s="862"/>
      <c r="AQ4" s="881" t="str">
        <f>IFERROR(IF(AQ$2&lt;&gt;"","Destino Despacho : " &amp; VLOOKUP(AQ$2,Clientes!$A:$K,10,0),""),"")</f>
        <v xml:space="preserve">Destino Despacho : </v>
      </c>
      <c r="AR4" s="862"/>
      <c r="AS4" s="862"/>
      <c r="AT4" s="862"/>
      <c r="AU4" s="862"/>
      <c r="AV4" s="862"/>
      <c r="AW4" s="862"/>
      <c r="AX4" s="862"/>
      <c r="AY4" s="862"/>
      <c r="AZ4" s="863"/>
      <c r="BA4" s="861" t="str">
        <f>IFERROR(IF(BQ$2&lt;&gt;"","Fecha de Despacho :    " &amp; VLOOKUP(BQ$2,Clientes!$A:$K,6,0),""),"")</f>
        <v/>
      </c>
      <c r="BB4" s="862"/>
      <c r="BC4" s="862"/>
      <c r="BD4" s="862"/>
      <c r="BE4" s="862"/>
      <c r="BF4" s="862"/>
      <c r="BG4" s="862"/>
      <c r="BH4" s="862"/>
      <c r="BI4" s="862"/>
      <c r="BJ4" s="862"/>
      <c r="BK4" s="862"/>
      <c r="BL4" s="862"/>
      <c r="BM4" s="862"/>
      <c r="BN4" s="862"/>
      <c r="BO4" s="862"/>
      <c r="BP4" s="862"/>
      <c r="BQ4" s="881" t="str">
        <f>IFERROR(IF(BQ$2&lt;&gt;"","Destino Despacho : " &amp; VLOOKUP(BQ$2,Clientes!$A:$K,10,0),""),"")</f>
        <v/>
      </c>
      <c r="BR4" s="862"/>
      <c r="BS4" s="862"/>
      <c r="BT4" s="862"/>
      <c r="BU4" s="862"/>
      <c r="BV4" s="862"/>
      <c r="BW4" s="862"/>
      <c r="BX4" s="862"/>
      <c r="BY4" s="862"/>
      <c r="BZ4" s="863"/>
      <c r="CA4" s="861" t="str">
        <f>IFERROR(IF(CQ$2&lt;&gt;"","Fecha de Despacho :    " &amp; VLOOKUP(CQ$2,Clientes!$A:$K,6,0),""),"")</f>
        <v/>
      </c>
      <c r="CB4" s="862"/>
      <c r="CC4" s="862"/>
      <c r="CD4" s="862"/>
      <c r="CE4" s="862"/>
      <c r="CF4" s="862"/>
      <c r="CG4" s="862"/>
      <c r="CH4" s="862"/>
      <c r="CI4" s="862"/>
      <c r="CJ4" s="862"/>
      <c r="CK4" s="862"/>
      <c r="CL4" s="862"/>
      <c r="CM4" s="862"/>
      <c r="CN4" s="862"/>
      <c r="CO4" s="862"/>
      <c r="CP4" s="862"/>
      <c r="CQ4" s="881" t="str">
        <f>IFERROR(IF(CQ$2&lt;&gt;"","Destino Despacho : " &amp; VLOOKUP(CQ$2,Clientes!$A:$K,10,0),""),"")</f>
        <v/>
      </c>
      <c r="CR4" s="862"/>
      <c r="CS4" s="862"/>
      <c r="CT4" s="862"/>
      <c r="CU4" s="862"/>
      <c r="CV4" s="862"/>
      <c r="CW4" s="862"/>
      <c r="CX4" s="862"/>
      <c r="CY4" s="862"/>
      <c r="CZ4" s="863"/>
      <c r="DA4" s="861" t="str">
        <f>IFERROR(IF(DQ$2&lt;&gt;"","Fecha de Despacho :    " &amp; VLOOKUP(DQ$2,Clientes!$A:$K,6,0),""),"")</f>
        <v/>
      </c>
      <c r="DB4" s="862"/>
      <c r="DC4" s="862"/>
      <c r="DD4" s="862"/>
      <c r="DE4" s="862"/>
      <c r="DF4" s="862"/>
      <c r="DG4" s="862"/>
      <c r="DH4" s="862"/>
      <c r="DI4" s="862"/>
      <c r="DJ4" s="862"/>
      <c r="DK4" s="862"/>
      <c r="DL4" s="862"/>
      <c r="DM4" s="862"/>
      <c r="DN4" s="862"/>
      <c r="DO4" s="862"/>
      <c r="DP4" s="862"/>
      <c r="DQ4" s="881" t="str">
        <f>IFERROR(IF(DQ$2&lt;&gt;"","Destino Despacho : " &amp; VLOOKUP(DQ$2,Clientes!$A:$K,10,0),""),"")</f>
        <v/>
      </c>
      <c r="DR4" s="862"/>
      <c r="DS4" s="862"/>
      <c r="DT4" s="862"/>
      <c r="DU4" s="862"/>
      <c r="DV4" s="862"/>
      <c r="DW4" s="862"/>
      <c r="DX4" s="862"/>
      <c r="DY4" s="862"/>
      <c r="DZ4" s="863"/>
      <c r="EA4" s="861" t="str">
        <f>IFERROR(IF(EQ$2&lt;&gt;"","Fecha de Despacho :    " &amp; VLOOKUP(EQ$2,Clientes!$A:$K,6,0),""),"")</f>
        <v/>
      </c>
      <c r="EB4" s="862"/>
      <c r="EC4" s="862"/>
      <c r="ED4" s="862"/>
      <c r="EE4" s="862"/>
      <c r="EF4" s="862"/>
      <c r="EG4" s="862"/>
      <c r="EH4" s="862"/>
      <c r="EI4" s="862"/>
      <c r="EJ4" s="862"/>
      <c r="EK4" s="862"/>
      <c r="EL4" s="862"/>
      <c r="EM4" s="862"/>
      <c r="EN4" s="862"/>
      <c r="EO4" s="862"/>
      <c r="EP4" s="862"/>
      <c r="EQ4" s="881" t="str">
        <f>IFERROR(IF(EQ$2&lt;&gt;"","Destino Despacho : " &amp; VLOOKUP(EQ$2,Clientes!$A:$K,10,0),""),"")</f>
        <v/>
      </c>
      <c r="ER4" s="862"/>
      <c r="ES4" s="862"/>
      <c r="ET4" s="862"/>
      <c r="EU4" s="862"/>
      <c r="EV4" s="862"/>
      <c r="EW4" s="862"/>
      <c r="EX4" s="862"/>
      <c r="EY4" s="862"/>
      <c r="EZ4" s="863"/>
      <c r="FA4" s="861" t="str">
        <f>IFERROR(IF(FQ$2&lt;&gt;"","Fecha de Despacho :    " &amp; VLOOKUP(FQ$2,Clientes!$A:$K,6,0),""),"")</f>
        <v/>
      </c>
      <c r="FB4" s="862"/>
      <c r="FC4" s="862"/>
      <c r="FD4" s="862"/>
      <c r="FE4" s="862"/>
      <c r="FF4" s="862"/>
      <c r="FG4" s="862"/>
      <c r="FH4" s="862"/>
      <c r="FI4" s="862"/>
      <c r="FJ4" s="862"/>
      <c r="FK4" s="862"/>
      <c r="FL4" s="862"/>
      <c r="FM4" s="862"/>
      <c r="FN4" s="862"/>
      <c r="FO4" s="862"/>
      <c r="FP4" s="862"/>
      <c r="FQ4" s="881" t="str">
        <f>IFERROR(IF(FQ$2&lt;&gt;"","Destino Despacho : " &amp; VLOOKUP(FQ$2,Clientes!$A:$K,10,0),""),"")</f>
        <v/>
      </c>
      <c r="FR4" s="862"/>
      <c r="FS4" s="862"/>
      <c r="FT4" s="862"/>
      <c r="FU4" s="862"/>
      <c r="FV4" s="862"/>
      <c r="FW4" s="862"/>
      <c r="FX4" s="862"/>
      <c r="FY4" s="862"/>
      <c r="FZ4" s="863"/>
      <c r="GA4" s="861" t="str">
        <f>IFERROR(IF(GQ$2&lt;&gt;"","Fecha de Despacho :    " &amp; VLOOKUP(GQ$2,Clientes!$A:$K,6,0),""),"")</f>
        <v/>
      </c>
      <c r="GB4" s="862"/>
      <c r="GC4" s="862"/>
      <c r="GD4" s="862"/>
      <c r="GE4" s="862"/>
      <c r="GF4" s="862"/>
      <c r="GG4" s="862"/>
      <c r="GH4" s="862"/>
      <c r="GI4" s="862"/>
      <c r="GJ4" s="862"/>
      <c r="GK4" s="862"/>
      <c r="GL4" s="862"/>
      <c r="GM4" s="862"/>
      <c r="GN4" s="862"/>
      <c r="GO4" s="862"/>
      <c r="GP4" s="862"/>
      <c r="GQ4" s="881" t="str">
        <f>IFERROR(IF(GQ$2&lt;&gt;"","Destino Despacho : " &amp; VLOOKUP(GQ$2,Clientes!$A:$K,10,0),""),"")</f>
        <v/>
      </c>
      <c r="GR4" s="862"/>
      <c r="GS4" s="862"/>
      <c r="GT4" s="862"/>
      <c r="GU4" s="862"/>
      <c r="GV4" s="862"/>
      <c r="GW4" s="862"/>
      <c r="GX4" s="862"/>
      <c r="GY4" s="862"/>
      <c r="GZ4" s="863"/>
      <c r="HA4" s="861" t="str">
        <f>IFERROR(IF(HQ$2&lt;&gt;"","Fecha de Despacho :    " &amp; VLOOKUP(HQ$2,Clientes!$A:$K,6,0),""),"")</f>
        <v/>
      </c>
      <c r="HB4" s="862"/>
      <c r="HC4" s="862"/>
      <c r="HD4" s="862"/>
      <c r="HE4" s="862"/>
      <c r="HF4" s="862"/>
      <c r="HG4" s="862"/>
      <c r="HH4" s="862"/>
      <c r="HI4" s="862"/>
      <c r="HJ4" s="862"/>
      <c r="HK4" s="862"/>
      <c r="HL4" s="862"/>
      <c r="HM4" s="862"/>
      <c r="HN4" s="862"/>
      <c r="HO4" s="862"/>
      <c r="HP4" s="862"/>
      <c r="HQ4" s="881" t="str">
        <f>IFERROR(IF(HQ$2&lt;&gt;"","Destino Despacho : " &amp; VLOOKUP(HQ$2,Clientes!$A:$K,10,0),""),"")</f>
        <v/>
      </c>
      <c r="HR4" s="862"/>
      <c r="HS4" s="862"/>
      <c r="HT4" s="862"/>
      <c r="HU4" s="862"/>
      <c r="HV4" s="862"/>
      <c r="HW4" s="862"/>
      <c r="HX4" s="862"/>
      <c r="HY4" s="862"/>
      <c r="HZ4" s="863"/>
      <c r="IA4" s="861" t="str">
        <f>IFERROR(IF(IQ$2&lt;&gt;"","Fecha de Despacho :    " &amp; VLOOKUP(IQ$2,Clientes!$A:$K,6,0),""),"")</f>
        <v/>
      </c>
      <c r="IB4" s="862"/>
      <c r="IC4" s="862"/>
      <c r="ID4" s="862"/>
      <c r="IE4" s="862"/>
      <c r="IF4" s="862"/>
      <c r="IG4" s="862"/>
      <c r="IH4" s="862"/>
      <c r="II4" s="862"/>
      <c r="IJ4" s="862"/>
      <c r="IK4" s="862"/>
      <c r="IL4" s="862"/>
      <c r="IM4" s="862"/>
      <c r="IN4" s="862"/>
      <c r="IO4" s="862"/>
      <c r="IP4" s="862"/>
      <c r="IQ4" s="881" t="str">
        <f>IFERROR(IF(IQ$2&lt;&gt;"","Destino Despacho : " &amp; VLOOKUP(IQ$2,Clientes!$A:$K,10,0),""),"")</f>
        <v/>
      </c>
      <c r="IR4" s="862"/>
      <c r="IS4" s="862"/>
      <c r="IT4" s="862"/>
      <c r="IU4" s="862"/>
      <c r="IV4" s="862"/>
      <c r="IW4" s="862"/>
      <c r="IX4" s="862"/>
      <c r="IY4" s="862"/>
      <c r="IZ4" s="863"/>
    </row>
    <row r="5" spans="1:260" ht="15" customHeight="1" thickBot="1" x14ac:dyDescent="0.3">
      <c r="A5" s="839" t="str">
        <f>IFERROR(IF(Q$2&lt;&gt;"","Cliente Especial : " &amp; VLOOKUP(Q$2,Clientes!$A:$K,7,0),""),"")</f>
        <v>Cliente Especial : NEON</v>
      </c>
      <c r="B5" s="840"/>
      <c r="C5" s="840"/>
      <c r="D5" s="840"/>
      <c r="E5" s="840"/>
      <c r="F5" s="840"/>
      <c r="G5" s="840"/>
      <c r="H5" s="840"/>
      <c r="I5" s="840"/>
      <c r="J5" s="840"/>
      <c r="K5" s="840"/>
      <c r="L5" s="840"/>
      <c r="M5" s="840"/>
      <c r="N5" s="840"/>
      <c r="O5" s="840"/>
      <c r="P5" s="840"/>
      <c r="Q5" s="882" t="str">
        <f>IFERROR(IF(Q$2&lt;&gt;"","Arte existente AP : " &amp; VLOOKUP(Q$2,Clientes!$A:$K,11,0),""),"")</f>
        <v>Arte existente AP : No Existe</v>
      </c>
      <c r="R5" s="840"/>
      <c r="S5" s="840"/>
      <c r="T5" s="840"/>
      <c r="U5" s="840"/>
      <c r="V5" s="840"/>
      <c r="W5" s="840"/>
      <c r="X5" s="840"/>
      <c r="Y5" s="840"/>
      <c r="Z5" s="841"/>
      <c r="AA5" s="839" t="str">
        <f>IFERROR(IF(AQ$2&lt;&gt;"","Cliente Especial : " &amp; VLOOKUP(AQ$2,Clientes!$A:$K,7,0),""),"")</f>
        <v xml:space="preserve">Cliente Especial : </v>
      </c>
      <c r="AB5" s="840"/>
      <c r="AC5" s="840"/>
      <c r="AD5" s="840"/>
      <c r="AE5" s="840"/>
      <c r="AF5" s="840"/>
      <c r="AG5" s="840"/>
      <c r="AH5" s="840"/>
      <c r="AI5" s="840"/>
      <c r="AJ5" s="840"/>
      <c r="AK5" s="840"/>
      <c r="AL5" s="840"/>
      <c r="AM5" s="840"/>
      <c r="AN5" s="840"/>
      <c r="AO5" s="840"/>
      <c r="AP5" s="840"/>
      <c r="AQ5" s="882" t="str">
        <f>IFERROR(IF(AQ$2&lt;&gt;"","Arte existente AP : " &amp; VLOOKUP(AQ$2,Clientes!$A:$K,11,0),""),"")</f>
        <v>Arte existente AP : Si Existe</v>
      </c>
      <c r="AR5" s="840"/>
      <c r="AS5" s="840"/>
      <c r="AT5" s="840"/>
      <c r="AU5" s="840"/>
      <c r="AV5" s="840"/>
      <c r="AW5" s="840"/>
      <c r="AX5" s="840"/>
      <c r="AY5" s="840"/>
      <c r="AZ5" s="841"/>
      <c r="BA5" s="839" t="str">
        <f>IFERROR(IF(BQ$2&lt;&gt;"","Cliente Especial : " &amp; VLOOKUP(BQ$2,Clientes!$A:$K,7,0),""),"")</f>
        <v/>
      </c>
      <c r="BB5" s="840"/>
      <c r="BC5" s="840"/>
      <c r="BD5" s="840"/>
      <c r="BE5" s="840"/>
      <c r="BF5" s="840"/>
      <c r="BG5" s="840"/>
      <c r="BH5" s="840"/>
      <c r="BI5" s="840"/>
      <c r="BJ5" s="840"/>
      <c r="BK5" s="840"/>
      <c r="BL5" s="840"/>
      <c r="BM5" s="840"/>
      <c r="BN5" s="840"/>
      <c r="BO5" s="840"/>
      <c r="BP5" s="840"/>
      <c r="BQ5" s="882" t="str">
        <f>IFERROR(IF(BQ$2&lt;&gt;"","Arte existente AP : " &amp; VLOOKUP(BQ$2,Clientes!$A:$K,11,0),""),"")</f>
        <v/>
      </c>
      <c r="BR5" s="840"/>
      <c r="BS5" s="840"/>
      <c r="BT5" s="840"/>
      <c r="BU5" s="840"/>
      <c r="BV5" s="840"/>
      <c r="BW5" s="840"/>
      <c r="BX5" s="840"/>
      <c r="BY5" s="840"/>
      <c r="BZ5" s="841"/>
      <c r="CA5" s="839" t="str">
        <f>IFERROR(IF(CQ$2&lt;&gt;"","Cliente Especial : " &amp; VLOOKUP(CQ$2,Clientes!$A:$K,7,0),""),"")</f>
        <v/>
      </c>
      <c r="CB5" s="840"/>
      <c r="CC5" s="840"/>
      <c r="CD5" s="840"/>
      <c r="CE5" s="840"/>
      <c r="CF5" s="840"/>
      <c r="CG5" s="840"/>
      <c r="CH5" s="840"/>
      <c r="CI5" s="840"/>
      <c r="CJ5" s="840"/>
      <c r="CK5" s="840"/>
      <c r="CL5" s="840"/>
      <c r="CM5" s="840"/>
      <c r="CN5" s="840"/>
      <c r="CO5" s="840"/>
      <c r="CP5" s="840"/>
      <c r="CQ5" s="882" t="str">
        <f>IFERROR(IF(CQ$2&lt;&gt;"","Arte existente AP : " &amp; VLOOKUP(CQ$2,Clientes!$A:$K,11,0),""),"")</f>
        <v/>
      </c>
      <c r="CR5" s="840"/>
      <c r="CS5" s="840"/>
      <c r="CT5" s="840"/>
      <c r="CU5" s="840"/>
      <c r="CV5" s="840"/>
      <c r="CW5" s="840"/>
      <c r="CX5" s="840"/>
      <c r="CY5" s="840"/>
      <c r="CZ5" s="841"/>
      <c r="DA5" s="839" t="str">
        <f>IFERROR(IF(DQ$2&lt;&gt;"","Cliente Especial : " &amp; VLOOKUP(DQ$2,Clientes!$A:$K,7,0),""),"")</f>
        <v/>
      </c>
      <c r="DB5" s="840"/>
      <c r="DC5" s="840"/>
      <c r="DD5" s="840"/>
      <c r="DE5" s="840"/>
      <c r="DF5" s="840"/>
      <c r="DG5" s="840"/>
      <c r="DH5" s="840"/>
      <c r="DI5" s="840"/>
      <c r="DJ5" s="840"/>
      <c r="DK5" s="840"/>
      <c r="DL5" s="840"/>
      <c r="DM5" s="840"/>
      <c r="DN5" s="840"/>
      <c r="DO5" s="840"/>
      <c r="DP5" s="840"/>
      <c r="DQ5" s="882" t="str">
        <f>IFERROR(IF(DQ$2&lt;&gt;"","Arte existente AP : " &amp; VLOOKUP(DQ$2,Clientes!$A:$K,11,0),""),"")</f>
        <v/>
      </c>
      <c r="DR5" s="840"/>
      <c r="DS5" s="840"/>
      <c r="DT5" s="840"/>
      <c r="DU5" s="840"/>
      <c r="DV5" s="840"/>
      <c r="DW5" s="840"/>
      <c r="DX5" s="840"/>
      <c r="DY5" s="840"/>
      <c r="DZ5" s="841"/>
      <c r="EA5" s="839" t="str">
        <f>IFERROR(IF(EQ$2&lt;&gt;"","Cliente Especial : " &amp; VLOOKUP(EQ$2,Clientes!$A:$K,7,0),""),"")</f>
        <v/>
      </c>
      <c r="EB5" s="840"/>
      <c r="EC5" s="840"/>
      <c r="ED5" s="840"/>
      <c r="EE5" s="840"/>
      <c r="EF5" s="840"/>
      <c r="EG5" s="840"/>
      <c r="EH5" s="840"/>
      <c r="EI5" s="840"/>
      <c r="EJ5" s="840"/>
      <c r="EK5" s="840"/>
      <c r="EL5" s="840"/>
      <c r="EM5" s="840"/>
      <c r="EN5" s="840"/>
      <c r="EO5" s="840"/>
      <c r="EP5" s="840"/>
      <c r="EQ5" s="882" t="str">
        <f>IFERROR(IF(EQ$2&lt;&gt;"","Arte existente AP : " &amp; VLOOKUP(EQ$2,Clientes!$A:$K,11,0),""),"")</f>
        <v/>
      </c>
      <c r="ER5" s="840"/>
      <c r="ES5" s="840"/>
      <c r="ET5" s="840"/>
      <c r="EU5" s="840"/>
      <c r="EV5" s="840"/>
      <c r="EW5" s="840"/>
      <c r="EX5" s="840"/>
      <c r="EY5" s="840"/>
      <c r="EZ5" s="841"/>
      <c r="FA5" s="839" t="str">
        <f>IFERROR(IF(FQ$2&lt;&gt;"","Cliente Especial : " &amp; VLOOKUP(FQ$2,Clientes!$A:$K,7,0),""),"")</f>
        <v/>
      </c>
      <c r="FB5" s="840"/>
      <c r="FC5" s="840"/>
      <c r="FD5" s="840"/>
      <c r="FE5" s="840"/>
      <c r="FF5" s="840"/>
      <c r="FG5" s="840"/>
      <c r="FH5" s="840"/>
      <c r="FI5" s="840"/>
      <c r="FJ5" s="840"/>
      <c r="FK5" s="840"/>
      <c r="FL5" s="840"/>
      <c r="FM5" s="840"/>
      <c r="FN5" s="840"/>
      <c r="FO5" s="840"/>
      <c r="FP5" s="840"/>
      <c r="FQ5" s="882" t="str">
        <f>IFERROR(IF(FQ$2&lt;&gt;"","Arte existente AP : " &amp; VLOOKUP(FQ$2,Clientes!$A:$K,11,0),""),"")</f>
        <v/>
      </c>
      <c r="FR5" s="840"/>
      <c r="FS5" s="840"/>
      <c r="FT5" s="840"/>
      <c r="FU5" s="840"/>
      <c r="FV5" s="840"/>
      <c r="FW5" s="840"/>
      <c r="FX5" s="840"/>
      <c r="FY5" s="840"/>
      <c r="FZ5" s="841"/>
      <c r="GA5" s="839" t="str">
        <f>IFERROR(IF(GQ$2&lt;&gt;"","Cliente Especial : " &amp; VLOOKUP(GQ$2,Clientes!$A:$K,7,0),""),"")</f>
        <v/>
      </c>
      <c r="GB5" s="840"/>
      <c r="GC5" s="840"/>
      <c r="GD5" s="840"/>
      <c r="GE5" s="840"/>
      <c r="GF5" s="840"/>
      <c r="GG5" s="840"/>
      <c r="GH5" s="840"/>
      <c r="GI5" s="840"/>
      <c r="GJ5" s="840"/>
      <c r="GK5" s="840"/>
      <c r="GL5" s="840"/>
      <c r="GM5" s="840"/>
      <c r="GN5" s="840"/>
      <c r="GO5" s="840"/>
      <c r="GP5" s="840"/>
      <c r="GQ5" s="882" t="str">
        <f>IFERROR(IF(GQ$2&lt;&gt;"","Arte existente AP : " &amp; VLOOKUP(GQ$2,Clientes!$A:$K,11,0),""),"")</f>
        <v/>
      </c>
      <c r="GR5" s="840"/>
      <c r="GS5" s="840"/>
      <c r="GT5" s="840"/>
      <c r="GU5" s="840"/>
      <c r="GV5" s="840"/>
      <c r="GW5" s="840"/>
      <c r="GX5" s="840"/>
      <c r="GY5" s="840"/>
      <c r="GZ5" s="841"/>
      <c r="HA5" s="839" t="str">
        <f>IFERROR(IF(HQ$2&lt;&gt;"","Cliente Especial : " &amp; VLOOKUP(HQ$2,Clientes!$A:$K,7,0),""),"")</f>
        <v/>
      </c>
      <c r="HB5" s="840"/>
      <c r="HC5" s="840"/>
      <c r="HD5" s="840"/>
      <c r="HE5" s="840"/>
      <c r="HF5" s="840"/>
      <c r="HG5" s="840"/>
      <c r="HH5" s="840"/>
      <c r="HI5" s="840"/>
      <c r="HJ5" s="840"/>
      <c r="HK5" s="840"/>
      <c r="HL5" s="840"/>
      <c r="HM5" s="840"/>
      <c r="HN5" s="840"/>
      <c r="HO5" s="840"/>
      <c r="HP5" s="840"/>
      <c r="HQ5" s="882" t="str">
        <f>IFERROR(IF(HQ$2&lt;&gt;"","Arte existente AP : " &amp; VLOOKUP(HQ$2,Clientes!$A:$K,11,0),""),"")</f>
        <v/>
      </c>
      <c r="HR5" s="840"/>
      <c r="HS5" s="840"/>
      <c r="HT5" s="840"/>
      <c r="HU5" s="840"/>
      <c r="HV5" s="840"/>
      <c r="HW5" s="840"/>
      <c r="HX5" s="840"/>
      <c r="HY5" s="840"/>
      <c r="HZ5" s="841"/>
      <c r="IA5" s="839" t="str">
        <f>IFERROR(IF(IQ$2&lt;&gt;"","Cliente Especial : " &amp; VLOOKUP(IQ$2,Clientes!$A:$K,7,0),""),"")</f>
        <v/>
      </c>
      <c r="IB5" s="840"/>
      <c r="IC5" s="840"/>
      <c r="ID5" s="840"/>
      <c r="IE5" s="840"/>
      <c r="IF5" s="840"/>
      <c r="IG5" s="840"/>
      <c r="IH5" s="840"/>
      <c r="II5" s="840"/>
      <c r="IJ5" s="840"/>
      <c r="IK5" s="840"/>
      <c r="IL5" s="840"/>
      <c r="IM5" s="840"/>
      <c r="IN5" s="840"/>
      <c r="IO5" s="840"/>
      <c r="IP5" s="840"/>
      <c r="IQ5" s="882" t="str">
        <f>IFERROR(IF(IQ$2&lt;&gt;"","Arte existente AP : " &amp; VLOOKUP(IQ$2,Clientes!$A:$K,11,0),""),"")</f>
        <v/>
      </c>
      <c r="IR5" s="840"/>
      <c r="IS5" s="840"/>
      <c r="IT5" s="840"/>
      <c r="IU5" s="840"/>
      <c r="IV5" s="840"/>
      <c r="IW5" s="840"/>
      <c r="IX5" s="840"/>
      <c r="IY5" s="840"/>
      <c r="IZ5" s="841"/>
    </row>
    <row r="6" spans="1:260" s="528" customFormat="1" x14ac:dyDescent="0.25">
      <c r="A6" s="868" t="str">
        <f>Q2&amp;"     ITEM # 1"</f>
        <v>PO# 16     ITEM # 1</v>
      </c>
      <c r="B6" s="869"/>
      <c r="C6" s="869"/>
      <c r="D6" s="869"/>
      <c r="E6" s="869"/>
      <c r="F6" s="869"/>
      <c r="G6" s="869"/>
      <c r="H6" s="869"/>
      <c r="I6" s="869"/>
      <c r="J6" s="869" t="s">
        <v>495</v>
      </c>
      <c r="K6" s="869"/>
      <c r="L6" s="869"/>
      <c r="M6" s="869"/>
      <c r="N6" s="869"/>
      <c r="O6" s="869"/>
      <c r="P6" s="869"/>
      <c r="Q6" s="869"/>
      <c r="R6" s="869"/>
      <c r="S6" s="869"/>
      <c r="T6" s="869"/>
      <c r="U6" s="869"/>
      <c r="V6" s="869"/>
      <c r="W6" s="869"/>
      <c r="X6" s="869"/>
      <c r="Y6" s="869"/>
      <c r="Z6" s="870"/>
      <c r="AA6" s="868" t="str">
        <f>IF(AQ2="","",AQ2&amp;"     ITEM # 1")</f>
        <v>PO# 20     ITEM # 1</v>
      </c>
      <c r="AB6" s="869"/>
      <c r="AC6" s="869"/>
      <c r="AD6" s="869"/>
      <c r="AE6" s="869"/>
      <c r="AF6" s="869"/>
      <c r="AG6" s="869"/>
      <c r="AH6" s="869"/>
      <c r="AI6" s="869"/>
      <c r="AJ6" s="869" t="str">
        <f>IF(AQ2="","",$J$6)</f>
        <v>Tallas</v>
      </c>
      <c r="AK6" s="869"/>
      <c r="AL6" s="869"/>
      <c r="AM6" s="869"/>
      <c r="AN6" s="869"/>
      <c r="AO6" s="869"/>
      <c r="AP6" s="869"/>
      <c r="AQ6" s="869"/>
      <c r="AR6" s="869"/>
      <c r="AS6" s="869"/>
      <c r="AT6" s="869"/>
      <c r="AU6" s="869"/>
      <c r="AV6" s="869"/>
      <c r="AW6" s="869"/>
      <c r="AX6" s="869"/>
      <c r="AY6" s="869"/>
      <c r="AZ6" s="870"/>
      <c r="BA6" s="868" t="str">
        <f>IF(BQ2="","",BQ2&amp;"     ITEM # 1")</f>
        <v/>
      </c>
      <c r="BB6" s="869"/>
      <c r="BC6" s="869"/>
      <c r="BD6" s="869"/>
      <c r="BE6" s="869"/>
      <c r="BF6" s="869"/>
      <c r="BG6" s="869"/>
      <c r="BH6" s="869"/>
      <c r="BI6" s="869"/>
      <c r="BJ6" s="869" t="str">
        <f>IF(BQ2="","",$J$6)</f>
        <v/>
      </c>
      <c r="BK6" s="869"/>
      <c r="BL6" s="869"/>
      <c r="BM6" s="869"/>
      <c r="BN6" s="869"/>
      <c r="BO6" s="869"/>
      <c r="BP6" s="869"/>
      <c r="BQ6" s="869"/>
      <c r="BR6" s="869"/>
      <c r="BS6" s="869"/>
      <c r="BT6" s="869"/>
      <c r="BU6" s="869"/>
      <c r="BV6" s="869"/>
      <c r="BW6" s="869"/>
      <c r="BX6" s="869"/>
      <c r="BY6" s="869"/>
      <c r="BZ6" s="870"/>
      <c r="CA6" s="868" t="str">
        <f>IF(CQ2="","",CQ2&amp;"     ITEM # 1")</f>
        <v/>
      </c>
      <c r="CB6" s="869"/>
      <c r="CC6" s="869"/>
      <c r="CD6" s="869"/>
      <c r="CE6" s="869"/>
      <c r="CF6" s="869"/>
      <c r="CG6" s="869"/>
      <c r="CH6" s="869"/>
      <c r="CI6" s="869"/>
      <c r="CJ6" s="869" t="str">
        <f>IF(CQ2="","",$J$6)</f>
        <v/>
      </c>
      <c r="CK6" s="869"/>
      <c r="CL6" s="869"/>
      <c r="CM6" s="869"/>
      <c r="CN6" s="869"/>
      <c r="CO6" s="869"/>
      <c r="CP6" s="869"/>
      <c r="CQ6" s="869"/>
      <c r="CR6" s="869"/>
      <c r="CS6" s="869"/>
      <c r="CT6" s="869"/>
      <c r="CU6" s="869"/>
      <c r="CV6" s="869"/>
      <c r="CW6" s="869"/>
      <c r="CX6" s="869"/>
      <c r="CY6" s="869"/>
      <c r="CZ6" s="870"/>
      <c r="DA6" s="868" t="str">
        <f>IF(DQ2="","",DQ2&amp;"     ITEM # 1")</f>
        <v/>
      </c>
      <c r="DB6" s="869"/>
      <c r="DC6" s="869"/>
      <c r="DD6" s="869"/>
      <c r="DE6" s="869"/>
      <c r="DF6" s="869"/>
      <c r="DG6" s="869"/>
      <c r="DH6" s="869"/>
      <c r="DI6" s="869"/>
      <c r="DJ6" s="869" t="str">
        <f>IF(DQ2="","",$J$6)</f>
        <v/>
      </c>
      <c r="DK6" s="869"/>
      <c r="DL6" s="869"/>
      <c r="DM6" s="869"/>
      <c r="DN6" s="869"/>
      <c r="DO6" s="869"/>
      <c r="DP6" s="869"/>
      <c r="DQ6" s="869"/>
      <c r="DR6" s="869"/>
      <c r="DS6" s="869"/>
      <c r="DT6" s="869"/>
      <c r="DU6" s="869"/>
      <c r="DV6" s="869"/>
      <c r="DW6" s="869"/>
      <c r="DX6" s="869"/>
      <c r="DY6" s="869"/>
      <c r="DZ6" s="870"/>
      <c r="EA6" s="868" t="str">
        <f>IF(EQ2="","",EQ2&amp;"     ITEM # 1")</f>
        <v/>
      </c>
      <c r="EB6" s="869"/>
      <c r="EC6" s="869"/>
      <c r="ED6" s="869"/>
      <c r="EE6" s="869"/>
      <c r="EF6" s="869"/>
      <c r="EG6" s="869"/>
      <c r="EH6" s="869"/>
      <c r="EI6" s="869"/>
      <c r="EJ6" s="869" t="str">
        <f>IF(EQ2="","",$J$6)</f>
        <v/>
      </c>
      <c r="EK6" s="869"/>
      <c r="EL6" s="869"/>
      <c r="EM6" s="869"/>
      <c r="EN6" s="869"/>
      <c r="EO6" s="869"/>
      <c r="EP6" s="869"/>
      <c r="EQ6" s="869"/>
      <c r="ER6" s="869"/>
      <c r="ES6" s="869"/>
      <c r="ET6" s="869"/>
      <c r="EU6" s="869"/>
      <c r="EV6" s="869"/>
      <c r="EW6" s="869"/>
      <c r="EX6" s="869"/>
      <c r="EY6" s="869"/>
      <c r="EZ6" s="870"/>
      <c r="FA6" s="868" t="str">
        <f>IF(FQ2="","",FQ2&amp;"     ITEM # 1")</f>
        <v/>
      </c>
      <c r="FB6" s="869"/>
      <c r="FC6" s="869"/>
      <c r="FD6" s="869"/>
      <c r="FE6" s="869"/>
      <c r="FF6" s="869"/>
      <c r="FG6" s="869"/>
      <c r="FH6" s="869"/>
      <c r="FI6" s="869"/>
      <c r="FJ6" s="869" t="str">
        <f>IF(FQ2="","",$J$6)</f>
        <v/>
      </c>
      <c r="FK6" s="869"/>
      <c r="FL6" s="869"/>
      <c r="FM6" s="869"/>
      <c r="FN6" s="869"/>
      <c r="FO6" s="869"/>
      <c r="FP6" s="869"/>
      <c r="FQ6" s="869"/>
      <c r="FR6" s="869"/>
      <c r="FS6" s="869"/>
      <c r="FT6" s="869"/>
      <c r="FU6" s="869"/>
      <c r="FV6" s="869"/>
      <c r="FW6" s="869"/>
      <c r="FX6" s="869"/>
      <c r="FY6" s="869"/>
      <c r="FZ6" s="870"/>
      <c r="GA6" s="868" t="str">
        <f>IF(GQ2="","",GQ2&amp;"     ITEM # 1")</f>
        <v/>
      </c>
      <c r="GB6" s="869"/>
      <c r="GC6" s="869"/>
      <c r="GD6" s="869"/>
      <c r="GE6" s="869"/>
      <c r="GF6" s="869"/>
      <c r="GG6" s="869"/>
      <c r="GH6" s="869"/>
      <c r="GI6" s="869"/>
      <c r="GJ6" s="869" t="str">
        <f>IF(GQ2="","",$J$6)</f>
        <v/>
      </c>
      <c r="GK6" s="869"/>
      <c r="GL6" s="869"/>
      <c r="GM6" s="869"/>
      <c r="GN6" s="869"/>
      <c r="GO6" s="869"/>
      <c r="GP6" s="869"/>
      <c r="GQ6" s="869"/>
      <c r="GR6" s="869"/>
      <c r="GS6" s="869"/>
      <c r="GT6" s="869"/>
      <c r="GU6" s="869"/>
      <c r="GV6" s="869"/>
      <c r="GW6" s="869"/>
      <c r="GX6" s="869"/>
      <c r="GY6" s="869"/>
      <c r="GZ6" s="870"/>
      <c r="HA6" s="868" t="str">
        <f>IF(HQ2="","",HQ2&amp;"     ITEM # 1")</f>
        <v/>
      </c>
      <c r="HB6" s="869"/>
      <c r="HC6" s="869"/>
      <c r="HD6" s="869"/>
      <c r="HE6" s="869"/>
      <c r="HF6" s="869"/>
      <c r="HG6" s="869"/>
      <c r="HH6" s="869"/>
      <c r="HI6" s="869"/>
      <c r="HJ6" s="869" t="str">
        <f>IF(HQ2="","",$J$6)</f>
        <v/>
      </c>
      <c r="HK6" s="869"/>
      <c r="HL6" s="869"/>
      <c r="HM6" s="869"/>
      <c r="HN6" s="869"/>
      <c r="HO6" s="869"/>
      <c r="HP6" s="869"/>
      <c r="HQ6" s="869"/>
      <c r="HR6" s="869"/>
      <c r="HS6" s="869"/>
      <c r="HT6" s="869"/>
      <c r="HU6" s="869"/>
      <c r="HV6" s="869"/>
      <c r="HW6" s="869"/>
      <c r="HX6" s="869"/>
      <c r="HY6" s="869"/>
      <c r="HZ6" s="870"/>
      <c r="IA6" s="868" t="str">
        <f>IF(IQ2="","",IQ2&amp;"     ITEM # 1")</f>
        <v/>
      </c>
      <c r="IB6" s="869"/>
      <c r="IC6" s="869"/>
      <c r="ID6" s="869"/>
      <c r="IE6" s="869"/>
      <c r="IF6" s="869"/>
      <c r="IG6" s="869"/>
      <c r="IH6" s="869"/>
      <c r="II6" s="869"/>
      <c r="IJ6" s="869" t="str">
        <f>IF(IQ2="","",$J$6)</f>
        <v/>
      </c>
      <c r="IK6" s="869"/>
      <c r="IL6" s="869"/>
      <c r="IM6" s="869"/>
      <c r="IN6" s="869"/>
      <c r="IO6" s="869"/>
      <c r="IP6" s="869"/>
      <c r="IQ6" s="869"/>
      <c r="IR6" s="869"/>
      <c r="IS6" s="869"/>
      <c r="IT6" s="869"/>
      <c r="IU6" s="869"/>
      <c r="IV6" s="869"/>
      <c r="IW6" s="869"/>
      <c r="IX6" s="869"/>
      <c r="IY6" s="869"/>
      <c r="IZ6" s="870"/>
    </row>
    <row r="7" spans="1:260" s="528" customFormat="1" x14ac:dyDescent="0.25">
      <c r="A7" s="871" t="str">
        <f>IFERROR(VLOOKUP(Q2,Lista_Pedidos,5,0),"")</f>
        <v>Custom Team Back Pack</v>
      </c>
      <c r="B7" s="872"/>
      <c r="C7" s="872"/>
      <c r="D7" s="872"/>
      <c r="E7" s="872"/>
      <c r="F7" s="872"/>
      <c r="G7" s="872"/>
      <c r="H7" s="872"/>
      <c r="I7" s="872"/>
      <c r="J7" s="872" t="s">
        <v>457</v>
      </c>
      <c r="K7" s="872"/>
      <c r="L7" s="872"/>
      <c r="M7" s="872" t="s">
        <v>458</v>
      </c>
      <c r="N7" s="872"/>
      <c r="O7" s="872"/>
      <c r="P7" s="872" t="s">
        <v>459</v>
      </c>
      <c r="Q7" s="872"/>
      <c r="R7" s="872"/>
      <c r="S7" s="872"/>
      <c r="T7" s="872"/>
      <c r="U7" s="872"/>
      <c r="V7" s="872" t="s">
        <v>371</v>
      </c>
      <c r="W7" s="872" t="s">
        <v>388</v>
      </c>
      <c r="X7" s="872"/>
      <c r="Y7" s="872"/>
      <c r="Z7" s="873"/>
      <c r="AA7" s="871" t="str">
        <f>IFERROR(VLOOKUP(AQ2,Lista_Pedidos,5,0),"")</f>
        <v>Leggings Full Sublimated</v>
      </c>
      <c r="AB7" s="872"/>
      <c r="AC7" s="872"/>
      <c r="AD7" s="872"/>
      <c r="AE7" s="872"/>
      <c r="AF7" s="872"/>
      <c r="AG7" s="872"/>
      <c r="AH7" s="872"/>
      <c r="AI7" s="872"/>
      <c r="AJ7" s="872" t="str">
        <f>IF(AQ2="","",$J$7)</f>
        <v>Niña</v>
      </c>
      <c r="AK7" s="872"/>
      <c r="AL7" s="872"/>
      <c r="AM7" s="872" t="str">
        <f>IF(AQ2="","",$M$7)</f>
        <v>Joven</v>
      </c>
      <c r="AN7" s="872"/>
      <c r="AO7" s="872"/>
      <c r="AP7" s="872" t="str">
        <f>IF(AQ2="","",$P$7)</f>
        <v>Adulto</v>
      </c>
      <c r="AQ7" s="872"/>
      <c r="AR7" s="872"/>
      <c r="AS7" s="872"/>
      <c r="AT7" s="872"/>
      <c r="AU7" s="872"/>
      <c r="AV7" s="872" t="str">
        <f>IF(AQ2="","",$V$7)</f>
        <v>Acc</v>
      </c>
      <c r="AW7" s="872" t="str">
        <f>IF(AQ2="","",$W$7)</f>
        <v>Total</v>
      </c>
      <c r="AX7" s="872"/>
      <c r="AY7" s="872"/>
      <c r="AZ7" s="873"/>
      <c r="BA7" s="871" t="str">
        <f>IFERROR(VLOOKUP(BQ2,Lista_Pedidos,5,0),"")</f>
        <v/>
      </c>
      <c r="BB7" s="872"/>
      <c r="BC7" s="872"/>
      <c r="BD7" s="872"/>
      <c r="BE7" s="872"/>
      <c r="BF7" s="872"/>
      <c r="BG7" s="872"/>
      <c r="BH7" s="872"/>
      <c r="BI7" s="872"/>
      <c r="BJ7" s="872" t="str">
        <f>IF(BQ2="","",$J$7)</f>
        <v/>
      </c>
      <c r="BK7" s="872"/>
      <c r="BL7" s="872"/>
      <c r="BM7" s="872" t="str">
        <f>IF(BQ2="","",$M$7)</f>
        <v/>
      </c>
      <c r="BN7" s="872"/>
      <c r="BO7" s="872"/>
      <c r="BP7" s="872" t="str">
        <f>IF(BQ2="","",$P$7)</f>
        <v/>
      </c>
      <c r="BQ7" s="872"/>
      <c r="BR7" s="872"/>
      <c r="BS7" s="872"/>
      <c r="BT7" s="872"/>
      <c r="BU7" s="872"/>
      <c r="BV7" s="872" t="str">
        <f>IF(BQ2="","",$V$7)</f>
        <v/>
      </c>
      <c r="BW7" s="872" t="str">
        <f>IF(BQ2="","",$W$7)</f>
        <v/>
      </c>
      <c r="BX7" s="872"/>
      <c r="BY7" s="872"/>
      <c r="BZ7" s="873"/>
      <c r="CA7" s="871" t="str">
        <f>IFERROR(VLOOKUP(CQ2,Lista_Pedidos,5,0),"")</f>
        <v/>
      </c>
      <c r="CB7" s="872"/>
      <c r="CC7" s="872"/>
      <c r="CD7" s="872"/>
      <c r="CE7" s="872"/>
      <c r="CF7" s="872"/>
      <c r="CG7" s="872"/>
      <c r="CH7" s="872"/>
      <c r="CI7" s="872"/>
      <c r="CJ7" s="872" t="str">
        <f>IF(CQ2="","",$J$7)</f>
        <v/>
      </c>
      <c r="CK7" s="872"/>
      <c r="CL7" s="872"/>
      <c r="CM7" s="872" t="str">
        <f>IF(CQ2="","",$M$7)</f>
        <v/>
      </c>
      <c r="CN7" s="872"/>
      <c r="CO7" s="872"/>
      <c r="CP7" s="872" t="str">
        <f>IF(CQ2="","",$P$7)</f>
        <v/>
      </c>
      <c r="CQ7" s="872"/>
      <c r="CR7" s="872"/>
      <c r="CS7" s="872"/>
      <c r="CT7" s="872"/>
      <c r="CU7" s="872"/>
      <c r="CV7" s="872" t="str">
        <f>IF(CQ2="","",$V$7)</f>
        <v/>
      </c>
      <c r="CW7" s="872" t="str">
        <f>IF(CQ2="","",$W$7)</f>
        <v/>
      </c>
      <c r="CX7" s="872"/>
      <c r="CY7" s="872"/>
      <c r="CZ7" s="873"/>
      <c r="DA7" s="871" t="str">
        <f>IFERROR(VLOOKUP(DQ2,Lista_Pedidos,5,0),"")</f>
        <v/>
      </c>
      <c r="DB7" s="872"/>
      <c r="DC7" s="872"/>
      <c r="DD7" s="872"/>
      <c r="DE7" s="872"/>
      <c r="DF7" s="872"/>
      <c r="DG7" s="872"/>
      <c r="DH7" s="872"/>
      <c r="DI7" s="872"/>
      <c r="DJ7" s="872" t="str">
        <f>IF(DQ2="","",$J$7)</f>
        <v/>
      </c>
      <c r="DK7" s="872"/>
      <c r="DL7" s="872"/>
      <c r="DM7" s="872" t="str">
        <f>IF(DQ2="","",$M$7)</f>
        <v/>
      </c>
      <c r="DN7" s="872"/>
      <c r="DO7" s="872"/>
      <c r="DP7" s="872" t="str">
        <f>IF(DQ2="","",$P$7)</f>
        <v/>
      </c>
      <c r="DQ7" s="872"/>
      <c r="DR7" s="872"/>
      <c r="DS7" s="872"/>
      <c r="DT7" s="872"/>
      <c r="DU7" s="872"/>
      <c r="DV7" s="872" t="str">
        <f>IF(DQ2="","",$V$7)</f>
        <v/>
      </c>
      <c r="DW7" s="872" t="str">
        <f>IF(DQ2="","",$W$7)</f>
        <v/>
      </c>
      <c r="DX7" s="872"/>
      <c r="DY7" s="872"/>
      <c r="DZ7" s="873"/>
      <c r="EA7" s="871" t="str">
        <f>IFERROR(VLOOKUP(EQ2,Lista_Pedidos,5,0),"")</f>
        <v/>
      </c>
      <c r="EB7" s="872"/>
      <c r="EC7" s="872"/>
      <c r="ED7" s="872"/>
      <c r="EE7" s="872"/>
      <c r="EF7" s="872"/>
      <c r="EG7" s="872"/>
      <c r="EH7" s="872"/>
      <c r="EI7" s="872"/>
      <c r="EJ7" s="872" t="str">
        <f>IF(EQ2="","",$J$7)</f>
        <v/>
      </c>
      <c r="EK7" s="872"/>
      <c r="EL7" s="872"/>
      <c r="EM7" s="872" t="str">
        <f>IF(EQ2="","",$M$7)</f>
        <v/>
      </c>
      <c r="EN7" s="872"/>
      <c r="EO7" s="872"/>
      <c r="EP7" s="872" t="str">
        <f>IF(EQ2="","",$P$7)</f>
        <v/>
      </c>
      <c r="EQ7" s="872"/>
      <c r="ER7" s="872"/>
      <c r="ES7" s="872"/>
      <c r="ET7" s="872"/>
      <c r="EU7" s="872"/>
      <c r="EV7" s="872" t="str">
        <f>IF(EQ2="","",$V$7)</f>
        <v/>
      </c>
      <c r="EW7" s="872" t="str">
        <f>IF(EQ2="","",$W$7)</f>
        <v/>
      </c>
      <c r="EX7" s="872"/>
      <c r="EY7" s="872"/>
      <c r="EZ7" s="873"/>
      <c r="FA7" s="871" t="str">
        <f>IFERROR(VLOOKUP(FQ2,Lista_Pedidos,5,0),"")</f>
        <v/>
      </c>
      <c r="FB7" s="872"/>
      <c r="FC7" s="872"/>
      <c r="FD7" s="872"/>
      <c r="FE7" s="872"/>
      <c r="FF7" s="872"/>
      <c r="FG7" s="872"/>
      <c r="FH7" s="872"/>
      <c r="FI7" s="872"/>
      <c r="FJ7" s="872" t="str">
        <f>IF(FQ2="","",$J$7)</f>
        <v/>
      </c>
      <c r="FK7" s="872"/>
      <c r="FL7" s="872"/>
      <c r="FM7" s="872" t="str">
        <f>IF(FQ2="","",$M$7)</f>
        <v/>
      </c>
      <c r="FN7" s="872"/>
      <c r="FO7" s="872"/>
      <c r="FP7" s="872" t="str">
        <f>IF(FQ2="","",$P$7)</f>
        <v/>
      </c>
      <c r="FQ7" s="872"/>
      <c r="FR7" s="872"/>
      <c r="FS7" s="872"/>
      <c r="FT7" s="872"/>
      <c r="FU7" s="872"/>
      <c r="FV7" s="872" t="str">
        <f>IF(FQ2="","",$V$7)</f>
        <v/>
      </c>
      <c r="FW7" s="872" t="str">
        <f>IF(FQ2="","",$W$7)</f>
        <v/>
      </c>
      <c r="FX7" s="872"/>
      <c r="FY7" s="872"/>
      <c r="FZ7" s="873"/>
      <c r="GA7" s="871" t="str">
        <f>IFERROR(VLOOKUP(GQ2,Lista_Pedidos,5,0),"")</f>
        <v/>
      </c>
      <c r="GB7" s="872"/>
      <c r="GC7" s="872"/>
      <c r="GD7" s="872"/>
      <c r="GE7" s="872"/>
      <c r="GF7" s="872"/>
      <c r="GG7" s="872"/>
      <c r="GH7" s="872"/>
      <c r="GI7" s="872"/>
      <c r="GJ7" s="872" t="str">
        <f>IF(GQ2="","",$J$7)</f>
        <v/>
      </c>
      <c r="GK7" s="872"/>
      <c r="GL7" s="872"/>
      <c r="GM7" s="872" t="str">
        <f>IF(GQ2="","",$M$7)</f>
        <v/>
      </c>
      <c r="GN7" s="872"/>
      <c r="GO7" s="872"/>
      <c r="GP7" s="872" t="str">
        <f>IF(GQ2="","",$P$7)</f>
        <v/>
      </c>
      <c r="GQ7" s="872"/>
      <c r="GR7" s="872"/>
      <c r="GS7" s="872"/>
      <c r="GT7" s="872"/>
      <c r="GU7" s="872"/>
      <c r="GV7" s="872" t="str">
        <f>IF(GQ2="","",$V$7)</f>
        <v/>
      </c>
      <c r="GW7" s="872" t="str">
        <f>IF(GQ2="","",$W$7)</f>
        <v/>
      </c>
      <c r="GX7" s="872"/>
      <c r="GY7" s="872"/>
      <c r="GZ7" s="873"/>
      <c r="HA7" s="871" t="str">
        <f>IFERROR(VLOOKUP(HQ2,Lista_Pedidos,5,0),"")</f>
        <v/>
      </c>
      <c r="HB7" s="872"/>
      <c r="HC7" s="872"/>
      <c r="HD7" s="872"/>
      <c r="HE7" s="872"/>
      <c r="HF7" s="872"/>
      <c r="HG7" s="872"/>
      <c r="HH7" s="872"/>
      <c r="HI7" s="872"/>
      <c r="HJ7" s="872" t="str">
        <f>IF(HQ2="","",$J$7)</f>
        <v/>
      </c>
      <c r="HK7" s="872"/>
      <c r="HL7" s="872"/>
      <c r="HM7" s="872" t="str">
        <f>IF(HQ2="","",$M$7)</f>
        <v/>
      </c>
      <c r="HN7" s="872"/>
      <c r="HO7" s="872"/>
      <c r="HP7" s="872" t="str">
        <f>IF(HQ2="","",$P$7)</f>
        <v/>
      </c>
      <c r="HQ7" s="872"/>
      <c r="HR7" s="872"/>
      <c r="HS7" s="872"/>
      <c r="HT7" s="872"/>
      <c r="HU7" s="872"/>
      <c r="HV7" s="872" t="str">
        <f>IF(HQ2="","",$V$7)</f>
        <v/>
      </c>
      <c r="HW7" s="872" t="str">
        <f>IF(HQ2="","",$W$7)</f>
        <v/>
      </c>
      <c r="HX7" s="872"/>
      <c r="HY7" s="872"/>
      <c r="HZ7" s="873"/>
      <c r="IA7" s="871" t="str">
        <f>IFERROR(VLOOKUP(IQ2,Lista_Pedidos,5,0),"")</f>
        <v/>
      </c>
      <c r="IB7" s="872"/>
      <c r="IC7" s="872"/>
      <c r="ID7" s="872"/>
      <c r="IE7" s="872"/>
      <c r="IF7" s="872"/>
      <c r="IG7" s="872"/>
      <c r="IH7" s="872"/>
      <c r="II7" s="872"/>
      <c r="IJ7" s="872" t="str">
        <f>IF(IQ2="","",$J$7)</f>
        <v/>
      </c>
      <c r="IK7" s="872"/>
      <c r="IL7" s="872"/>
      <c r="IM7" s="872" t="str">
        <f>IF(IQ2="","",$M$7)</f>
        <v/>
      </c>
      <c r="IN7" s="872"/>
      <c r="IO7" s="872"/>
      <c r="IP7" s="872" t="str">
        <f>IF(IQ2="","",$P$7)</f>
        <v/>
      </c>
      <c r="IQ7" s="872"/>
      <c r="IR7" s="872"/>
      <c r="IS7" s="872"/>
      <c r="IT7" s="872"/>
      <c r="IU7" s="872"/>
      <c r="IV7" s="872" t="str">
        <f>IF(IQ2="","",$V$7)</f>
        <v/>
      </c>
      <c r="IW7" s="872" t="str">
        <f>IF(IQ2="","",$W$7)</f>
        <v/>
      </c>
      <c r="IX7" s="872"/>
      <c r="IY7" s="872"/>
      <c r="IZ7" s="873"/>
    </row>
    <row r="8" spans="1:260" s="528" customFormat="1" x14ac:dyDescent="0.25">
      <c r="A8" s="871"/>
      <c r="B8" s="872"/>
      <c r="C8" s="872"/>
      <c r="D8" s="872"/>
      <c r="E8" s="872"/>
      <c r="F8" s="872"/>
      <c r="G8" s="872"/>
      <c r="H8" s="872"/>
      <c r="I8" s="872"/>
      <c r="J8" s="872"/>
      <c r="K8" s="872"/>
      <c r="L8" s="872"/>
      <c r="M8" s="872"/>
      <c r="N8" s="872"/>
      <c r="O8" s="872"/>
      <c r="P8" s="872"/>
      <c r="Q8" s="872"/>
      <c r="R8" s="872"/>
      <c r="S8" s="872"/>
      <c r="T8" s="872"/>
      <c r="U8" s="872"/>
      <c r="V8" s="872"/>
      <c r="W8" s="872"/>
      <c r="X8" s="872"/>
      <c r="Y8" s="872"/>
      <c r="Z8" s="873"/>
      <c r="AA8" s="871"/>
      <c r="AB8" s="872"/>
      <c r="AC8" s="872"/>
      <c r="AD8" s="872"/>
      <c r="AE8" s="872"/>
      <c r="AF8" s="872"/>
      <c r="AG8" s="872"/>
      <c r="AH8" s="872"/>
      <c r="AI8" s="872"/>
      <c r="AJ8" s="872"/>
      <c r="AK8" s="872"/>
      <c r="AL8" s="872"/>
      <c r="AM8" s="872"/>
      <c r="AN8" s="872"/>
      <c r="AO8" s="872"/>
      <c r="AP8" s="872"/>
      <c r="AQ8" s="872"/>
      <c r="AR8" s="872"/>
      <c r="AS8" s="872"/>
      <c r="AT8" s="872"/>
      <c r="AU8" s="872"/>
      <c r="AV8" s="872"/>
      <c r="AW8" s="872"/>
      <c r="AX8" s="872"/>
      <c r="AY8" s="872"/>
      <c r="AZ8" s="873"/>
      <c r="BA8" s="871"/>
      <c r="BB8" s="872"/>
      <c r="BC8" s="872"/>
      <c r="BD8" s="872"/>
      <c r="BE8" s="872"/>
      <c r="BF8" s="872"/>
      <c r="BG8" s="872"/>
      <c r="BH8" s="872"/>
      <c r="BI8" s="872"/>
      <c r="BJ8" s="872"/>
      <c r="BK8" s="872"/>
      <c r="BL8" s="872"/>
      <c r="BM8" s="872"/>
      <c r="BN8" s="872"/>
      <c r="BO8" s="872"/>
      <c r="BP8" s="872"/>
      <c r="BQ8" s="872"/>
      <c r="BR8" s="872"/>
      <c r="BS8" s="872"/>
      <c r="BT8" s="872"/>
      <c r="BU8" s="872"/>
      <c r="BV8" s="872"/>
      <c r="BW8" s="872"/>
      <c r="BX8" s="872"/>
      <c r="BY8" s="872"/>
      <c r="BZ8" s="873"/>
      <c r="CA8" s="871"/>
      <c r="CB8" s="872"/>
      <c r="CC8" s="872"/>
      <c r="CD8" s="872"/>
      <c r="CE8" s="872"/>
      <c r="CF8" s="872"/>
      <c r="CG8" s="872"/>
      <c r="CH8" s="872"/>
      <c r="CI8" s="872"/>
      <c r="CJ8" s="872"/>
      <c r="CK8" s="872"/>
      <c r="CL8" s="872"/>
      <c r="CM8" s="872"/>
      <c r="CN8" s="872"/>
      <c r="CO8" s="872"/>
      <c r="CP8" s="872"/>
      <c r="CQ8" s="872"/>
      <c r="CR8" s="872"/>
      <c r="CS8" s="872"/>
      <c r="CT8" s="872"/>
      <c r="CU8" s="872"/>
      <c r="CV8" s="872"/>
      <c r="CW8" s="872"/>
      <c r="CX8" s="872"/>
      <c r="CY8" s="872"/>
      <c r="CZ8" s="873"/>
      <c r="DA8" s="871"/>
      <c r="DB8" s="872"/>
      <c r="DC8" s="872"/>
      <c r="DD8" s="872"/>
      <c r="DE8" s="872"/>
      <c r="DF8" s="872"/>
      <c r="DG8" s="872"/>
      <c r="DH8" s="872"/>
      <c r="DI8" s="872"/>
      <c r="DJ8" s="872"/>
      <c r="DK8" s="872"/>
      <c r="DL8" s="872"/>
      <c r="DM8" s="872"/>
      <c r="DN8" s="872"/>
      <c r="DO8" s="872"/>
      <c r="DP8" s="872"/>
      <c r="DQ8" s="872"/>
      <c r="DR8" s="872"/>
      <c r="DS8" s="872"/>
      <c r="DT8" s="872"/>
      <c r="DU8" s="872"/>
      <c r="DV8" s="872"/>
      <c r="DW8" s="872"/>
      <c r="DX8" s="872"/>
      <c r="DY8" s="872"/>
      <c r="DZ8" s="873"/>
      <c r="EA8" s="871"/>
      <c r="EB8" s="872"/>
      <c r="EC8" s="872"/>
      <c r="ED8" s="872"/>
      <c r="EE8" s="872"/>
      <c r="EF8" s="872"/>
      <c r="EG8" s="872"/>
      <c r="EH8" s="872"/>
      <c r="EI8" s="872"/>
      <c r="EJ8" s="872"/>
      <c r="EK8" s="872"/>
      <c r="EL8" s="872"/>
      <c r="EM8" s="872"/>
      <c r="EN8" s="872"/>
      <c r="EO8" s="872"/>
      <c r="EP8" s="872"/>
      <c r="EQ8" s="872"/>
      <c r="ER8" s="872"/>
      <c r="ES8" s="872"/>
      <c r="ET8" s="872"/>
      <c r="EU8" s="872"/>
      <c r="EV8" s="872"/>
      <c r="EW8" s="872"/>
      <c r="EX8" s="872"/>
      <c r="EY8" s="872"/>
      <c r="EZ8" s="873"/>
      <c r="FA8" s="871"/>
      <c r="FB8" s="872"/>
      <c r="FC8" s="872"/>
      <c r="FD8" s="872"/>
      <c r="FE8" s="872"/>
      <c r="FF8" s="872"/>
      <c r="FG8" s="872"/>
      <c r="FH8" s="872"/>
      <c r="FI8" s="872"/>
      <c r="FJ8" s="872"/>
      <c r="FK8" s="872"/>
      <c r="FL8" s="872"/>
      <c r="FM8" s="872"/>
      <c r="FN8" s="872"/>
      <c r="FO8" s="872"/>
      <c r="FP8" s="872"/>
      <c r="FQ8" s="872"/>
      <c r="FR8" s="872"/>
      <c r="FS8" s="872"/>
      <c r="FT8" s="872"/>
      <c r="FU8" s="872"/>
      <c r="FV8" s="872"/>
      <c r="FW8" s="872"/>
      <c r="FX8" s="872"/>
      <c r="FY8" s="872"/>
      <c r="FZ8" s="873"/>
      <c r="GA8" s="871"/>
      <c r="GB8" s="872"/>
      <c r="GC8" s="872"/>
      <c r="GD8" s="872"/>
      <c r="GE8" s="872"/>
      <c r="GF8" s="872"/>
      <c r="GG8" s="872"/>
      <c r="GH8" s="872"/>
      <c r="GI8" s="872"/>
      <c r="GJ8" s="872"/>
      <c r="GK8" s="872"/>
      <c r="GL8" s="872"/>
      <c r="GM8" s="872"/>
      <c r="GN8" s="872"/>
      <c r="GO8" s="872"/>
      <c r="GP8" s="872"/>
      <c r="GQ8" s="872"/>
      <c r="GR8" s="872"/>
      <c r="GS8" s="872"/>
      <c r="GT8" s="872"/>
      <c r="GU8" s="872"/>
      <c r="GV8" s="872"/>
      <c r="GW8" s="872"/>
      <c r="GX8" s="872"/>
      <c r="GY8" s="872"/>
      <c r="GZ8" s="873"/>
      <c r="HA8" s="871"/>
      <c r="HB8" s="872"/>
      <c r="HC8" s="872"/>
      <c r="HD8" s="872"/>
      <c r="HE8" s="872"/>
      <c r="HF8" s="872"/>
      <c r="HG8" s="872"/>
      <c r="HH8" s="872"/>
      <c r="HI8" s="872"/>
      <c r="HJ8" s="872"/>
      <c r="HK8" s="872"/>
      <c r="HL8" s="872"/>
      <c r="HM8" s="872"/>
      <c r="HN8" s="872"/>
      <c r="HO8" s="872"/>
      <c r="HP8" s="872"/>
      <c r="HQ8" s="872"/>
      <c r="HR8" s="872"/>
      <c r="HS8" s="872"/>
      <c r="HT8" s="872"/>
      <c r="HU8" s="872"/>
      <c r="HV8" s="872"/>
      <c r="HW8" s="872"/>
      <c r="HX8" s="872"/>
      <c r="HY8" s="872"/>
      <c r="HZ8" s="873"/>
      <c r="IA8" s="871"/>
      <c r="IB8" s="872"/>
      <c r="IC8" s="872"/>
      <c r="ID8" s="872"/>
      <c r="IE8" s="872"/>
      <c r="IF8" s="872"/>
      <c r="IG8" s="872"/>
      <c r="IH8" s="872"/>
      <c r="II8" s="872"/>
      <c r="IJ8" s="872"/>
      <c r="IK8" s="872"/>
      <c r="IL8" s="872"/>
      <c r="IM8" s="872"/>
      <c r="IN8" s="872"/>
      <c r="IO8" s="872"/>
      <c r="IP8" s="872"/>
      <c r="IQ8" s="872"/>
      <c r="IR8" s="872"/>
      <c r="IS8" s="872"/>
      <c r="IT8" s="872"/>
      <c r="IU8" s="872"/>
      <c r="IV8" s="872"/>
      <c r="IW8" s="872"/>
      <c r="IX8" s="872"/>
      <c r="IY8" s="872"/>
      <c r="IZ8" s="873"/>
    </row>
    <row r="9" spans="1:260" s="528" customFormat="1" ht="15" customHeight="1" x14ac:dyDescent="0.25">
      <c r="A9" s="858" t="s">
        <v>494</v>
      </c>
      <c r="B9" s="806"/>
      <c r="C9" s="806"/>
      <c r="D9" s="806"/>
      <c r="E9" s="806"/>
      <c r="F9" s="866" t="s">
        <v>236</v>
      </c>
      <c r="G9" s="866"/>
      <c r="H9" s="866"/>
      <c r="I9" s="866"/>
      <c r="J9" s="884" t="s">
        <v>456</v>
      </c>
      <c r="K9" s="883" t="s">
        <v>460</v>
      </c>
      <c r="L9" s="883" t="s">
        <v>461</v>
      </c>
      <c r="M9" s="883" t="s">
        <v>462</v>
      </c>
      <c r="N9" s="883" t="s">
        <v>463</v>
      </c>
      <c r="O9" s="883" t="s">
        <v>464</v>
      </c>
      <c r="P9" s="883" t="s">
        <v>465</v>
      </c>
      <c r="Q9" s="883" t="s">
        <v>466</v>
      </c>
      <c r="R9" s="883" t="s">
        <v>467</v>
      </c>
      <c r="S9" s="883" t="s">
        <v>468</v>
      </c>
      <c r="T9" s="883" t="s">
        <v>469</v>
      </c>
      <c r="U9" s="883" t="s">
        <v>470</v>
      </c>
      <c r="V9" s="883" t="s">
        <v>471</v>
      </c>
      <c r="W9" s="866" t="s">
        <v>388</v>
      </c>
      <c r="X9" s="866"/>
      <c r="Y9" s="866"/>
      <c r="Z9" s="885"/>
      <c r="AA9" s="858" t="str">
        <f>IF(AQ2="","",$A$9)</f>
        <v>Estilo</v>
      </c>
      <c r="AB9" s="806"/>
      <c r="AC9" s="806"/>
      <c r="AD9" s="806"/>
      <c r="AE9" s="806"/>
      <c r="AF9" s="866" t="str">
        <f>IF(AQ2="","",$F$9)</f>
        <v>Vendedor</v>
      </c>
      <c r="AG9" s="866"/>
      <c r="AH9" s="866"/>
      <c r="AI9" s="866"/>
      <c r="AJ9" s="811" t="str">
        <f>IF(AQ2="","",$J$9)</f>
        <v>C4</v>
      </c>
      <c r="AK9" s="803" t="str">
        <f>IF(AQ2="","",$K$9)</f>
        <v>C6 C13</v>
      </c>
      <c r="AL9" s="803" t="str">
        <f>IF(AQ2="","",$L$9)</f>
        <v>YXS C1</v>
      </c>
      <c r="AM9" s="803" t="str">
        <f>IF(AQ2="","",$M$9)</f>
        <v>YS C2</v>
      </c>
      <c r="AN9" s="803" t="str">
        <f>IF(AQ2="","",$N$9)</f>
        <v>YM C3</v>
      </c>
      <c r="AO9" s="803" t="str">
        <f>IF(AQ2="","",$O$9)</f>
        <v>YL C4</v>
      </c>
      <c r="AP9" s="803" t="str">
        <f>IF(AQ2="","",$P$9)</f>
        <v>XS A5</v>
      </c>
      <c r="AQ9" s="803" t="str">
        <f>IF(AQ2="","",$Q$9)</f>
        <v>S A6</v>
      </c>
      <c r="AR9" s="803" t="str">
        <f>IF(AQ2="","",$R$9)</f>
        <v>M A7</v>
      </c>
      <c r="AS9" s="803" t="str">
        <f>IF(AQ2="","",$S$9)</f>
        <v>L A8</v>
      </c>
      <c r="AT9" s="803" t="str">
        <f>IF(AQ2="","",T9)</f>
        <v>XL A9</v>
      </c>
      <c r="AU9" s="803" t="str">
        <f>IF(AQ2="","",$U$9)</f>
        <v>XXL A10</v>
      </c>
      <c r="AV9" s="803" t="str">
        <f>IF(AQ2="","",$V$9)</f>
        <v>1 Size</v>
      </c>
      <c r="AW9" s="805" t="str">
        <f>IF(AQ2="","",$W$9)</f>
        <v>Total</v>
      </c>
      <c r="AX9" s="806"/>
      <c r="AY9" s="806"/>
      <c r="AZ9" s="807"/>
      <c r="BA9" s="858" t="str">
        <f>IF(BQ2="","",$A$9)</f>
        <v/>
      </c>
      <c r="BB9" s="806"/>
      <c r="BC9" s="806"/>
      <c r="BD9" s="806"/>
      <c r="BE9" s="806"/>
      <c r="BF9" s="866" t="str">
        <f>IF(BQ2="","",$F$9)</f>
        <v/>
      </c>
      <c r="BG9" s="866"/>
      <c r="BH9" s="866"/>
      <c r="BI9" s="866"/>
      <c r="BJ9" s="811" t="str">
        <f>IF(BQ2="","",$J$9)</f>
        <v/>
      </c>
      <c r="BK9" s="803" t="str">
        <f>IF(BQ2="","",$K$9)</f>
        <v/>
      </c>
      <c r="BL9" s="803" t="str">
        <f>IF(BQ2="","",$L$9)</f>
        <v/>
      </c>
      <c r="BM9" s="803" t="str">
        <f>IF(BQ2="","",$M$9)</f>
        <v/>
      </c>
      <c r="BN9" s="803" t="str">
        <f>IF(BQ2="","",$N$9)</f>
        <v/>
      </c>
      <c r="BO9" s="803" t="str">
        <f>IF(BQ2="","",$O$9)</f>
        <v/>
      </c>
      <c r="BP9" s="803" t="str">
        <f>IF(BQ2="","",$P$9)</f>
        <v/>
      </c>
      <c r="BQ9" s="803" t="str">
        <f>IF(BQ2="","",$Q$9)</f>
        <v/>
      </c>
      <c r="BR9" s="803" t="str">
        <f>IF(BQ2="","",$R$9)</f>
        <v/>
      </c>
      <c r="BS9" s="803" t="str">
        <f>IF(BQ2="","",$S$9)</f>
        <v/>
      </c>
      <c r="BT9" s="803" t="str">
        <f>IF(BQ2="","",AT9)</f>
        <v/>
      </c>
      <c r="BU9" s="803" t="str">
        <f>IF(BQ2="","",$U$9)</f>
        <v/>
      </c>
      <c r="BV9" s="803" t="str">
        <f>IF(BQ2="","",$V$9)</f>
        <v/>
      </c>
      <c r="BW9" s="805" t="str">
        <f>IF(BQ2="","",$W$9)</f>
        <v/>
      </c>
      <c r="BX9" s="806"/>
      <c r="BY9" s="806"/>
      <c r="BZ9" s="807"/>
      <c r="CA9" s="858" t="str">
        <f>IF(CQ2="","",$A$9)</f>
        <v/>
      </c>
      <c r="CB9" s="806"/>
      <c r="CC9" s="806"/>
      <c r="CD9" s="806"/>
      <c r="CE9" s="806"/>
      <c r="CF9" s="866" t="str">
        <f>IF(CQ2="","",$F$9)</f>
        <v/>
      </c>
      <c r="CG9" s="866"/>
      <c r="CH9" s="866"/>
      <c r="CI9" s="866"/>
      <c r="CJ9" s="811" t="str">
        <f>IF(CQ2="","",$J$9)</f>
        <v/>
      </c>
      <c r="CK9" s="803" t="str">
        <f>IF(CQ2="","",$K$9)</f>
        <v/>
      </c>
      <c r="CL9" s="803" t="str">
        <f>IF(CQ2="","",$L$9)</f>
        <v/>
      </c>
      <c r="CM9" s="803" t="str">
        <f>IF(CQ2="","",$M$9)</f>
        <v/>
      </c>
      <c r="CN9" s="803" t="str">
        <f>IF(CQ2="","",$N$9)</f>
        <v/>
      </c>
      <c r="CO9" s="803" t="str">
        <f>IF(CQ2="","",$O$9)</f>
        <v/>
      </c>
      <c r="CP9" s="803" t="str">
        <f>IF(CQ2="","",$P$9)</f>
        <v/>
      </c>
      <c r="CQ9" s="803" t="str">
        <f>IF(CQ2="","",$Q$9)</f>
        <v/>
      </c>
      <c r="CR9" s="803" t="str">
        <f>IF(CQ2="","",$R$9)</f>
        <v/>
      </c>
      <c r="CS9" s="803" t="str">
        <f>IF(CQ2="","",$S$9)</f>
        <v/>
      </c>
      <c r="CT9" s="803" t="str">
        <f>IF(CQ2="","",BT9)</f>
        <v/>
      </c>
      <c r="CU9" s="803" t="str">
        <f>IF(CQ2="","",$U$9)</f>
        <v/>
      </c>
      <c r="CV9" s="803" t="str">
        <f>IF(CQ2="","",$V$9)</f>
        <v/>
      </c>
      <c r="CW9" s="805" t="str">
        <f>IF(CQ2="","",$W$9)</f>
        <v/>
      </c>
      <c r="CX9" s="806"/>
      <c r="CY9" s="806"/>
      <c r="CZ9" s="807"/>
      <c r="DA9" s="858" t="str">
        <f>IF(DQ2="","",$A$9)</f>
        <v/>
      </c>
      <c r="DB9" s="806"/>
      <c r="DC9" s="806"/>
      <c r="DD9" s="806"/>
      <c r="DE9" s="806"/>
      <c r="DF9" s="866" t="str">
        <f>IF(DQ2="","",$F$9)</f>
        <v/>
      </c>
      <c r="DG9" s="866"/>
      <c r="DH9" s="866"/>
      <c r="DI9" s="866"/>
      <c r="DJ9" s="811" t="str">
        <f>IF(DQ2="","",$J$9)</f>
        <v/>
      </c>
      <c r="DK9" s="803" t="str">
        <f>IF(DQ2="","",$K$9)</f>
        <v/>
      </c>
      <c r="DL9" s="803" t="str">
        <f>IF(DQ2="","",$L$9)</f>
        <v/>
      </c>
      <c r="DM9" s="803" t="str">
        <f>IF(DQ2="","",$M$9)</f>
        <v/>
      </c>
      <c r="DN9" s="803" t="str">
        <f>IF(DQ2="","",$N$9)</f>
        <v/>
      </c>
      <c r="DO9" s="803" t="str">
        <f>IF(DQ2="","",$O$9)</f>
        <v/>
      </c>
      <c r="DP9" s="803" t="str">
        <f>IF(DQ2="","",$P$9)</f>
        <v/>
      </c>
      <c r="DQ9" s="803" t="str">
        <f>IF(DQ2="","",$Q$9)</f>
        <v/>
      </c>
      <c r="DR9" s="803" t="str">
        <f>IF(DQ2="","",$R$9)</f>
        <v/>
      </c>
      <c r="DS9" s="803" t="str">
        <f>IF(DQ2="","",$S$9)</f>
        <v/>
      </c>
      <c r="DT9" s="803" t="str">
        <f>IF(DQ2="","",CT9)</f>
        <v/>
      </c>
      <c r="DU9" s="803" t="str">
        <f>IF(DQ2="","",$U$9)</f>
        <v/>
      </c>
      <c r="DV9" s="803" t="str">
        <f>IF(DQ2="","",$V$9)</f>
        <v/>
      </c>
      <c r="DW9" s="805" t="str">
        <f>IF(DQ2="","",$W$9)</f>
        <v/>
      </c>
      <c r="DX9" s="806"/>
      <c r="DY9" s="806"/>
      <c r="DZ9" s="807"/>
      <c r="EA9" s="858" t="str">
        <f>IF(EQ2="","",$A$9)</f>
        <v/>
      </c>
      <c r="EB9" s="806"/>
      <c r="EC9" s="806"/>
      <c r="ED9" s="806"/>
      <c r="EE9" s="806"/>
      <c r="EF9" s="866" t="str">
        <f>IF(EQ2="","",$F$9)</f>
        <v/>
      </c>
      <c r="EG9" s="866"/>
      <c r="EH9" s="866"/>
      <c r="EI9" s="866"/>
      <c r="EJ9" s="811" t="str">
        <f>IF(EQ2="","",$J$9)</f>
        <v/>
      </c>
      <c r="EK9" s="803" t="str">
        <f>IF(EQ2="","",$K$9)</f>
        <v/>
      </c>
      <c r="EL9" s="803" t="str">
        <f>IF(EQ2="","",$L$9)</f>
        <v/>
      </c>
      <c r="EM9" s="803" t="str">
        <f>IF(EQ2="","",$M$9)</f>
        <v/>
      </c>
      <c r="EN9" s="803" t="str">
        <f>IF(EQ2="","",$N$9)</f>
        <v/>
      </c>
      <c r="EO9" s="803" t="str">
        <f>IF(EQ2="","",$O$9)</f>
        <v/>
      </c>
      <c r="EP9" s="803" t="str">
        <f>IF(EQ2="","",$P$9)</f>
        <v/>
      </c>
      <c r="EQ9" s="803" t="str">
        <f>IF(EQ2="","",$Q$9)</f>
        <v/>
      </c>
      <c r="ER9" s="803" t="str">
        <f>IF(EQ2="","",$R$9)</f>
        <v/>
      </c>
      <c r="ES9" s="803" t="str">
        <f>IF(EQ2="","",$S$9)</f>
        <v/>
      </c>
      <c r="ET9" s="803" t="str">
        <f>IF(EQ2="","",DT9)</f>
        <v/>
      </c>
      <c r="EU9" s="803" t="str">
        <f>IF(EQ2="","",$U$9)</f>
        <v/>
      </c>
      <c r="EV9" s="803" t="str">
        <f>IF(EQ2="","",$V$9)</f>
        <v/>
      </c>
      <c r="EW9" s="805" t="str">
        <f>IF(EQ2="","",$W$9)</f>
        <v/>
      </c>
      <c r="EX9" s="806"/>
      <c r="EY9" s="806"/>
      <c r="EZ9" s="807"/>
      <c r="FA9" s="858" t="str">
        <f>IF(FQ2="","",$A$9)</f>
        <v/>
      </c>
      <c r="FB9" s="806"/>
      <c r="FC9" s="806"/>
      <c r="FD9" s="806"/>
      <c r="FE9" s="806"/>
      <c r="FF9" s="866" t="str">
        <f>IF(FQ2="","",$F$9)</f>
        <v/>
      </c>
      <c r="FG9" s="866"/>
      <c r="FH9" s="866"/>
      <c r="FI9" s="866"/>
      <c r="FJ9" s="811" t="str">
        <f>IF(FQ2="","",$J$9)</f>
        <v/>
      </c>
      <c r="FK9" s="803" t="str">
        <f>IF(FQ2="","",$K$9)</f>
        <v/>
      </c>
      <c r="FL9" s="803" t="str">
        <f>IF(FQ2="","",$L$9)</f>
        <v/>
      </c>
      <c r="FM9" s="803" t="str">
        <f>IF(FQ2="","",$M$9)</f>
        <v/>
      </c>
      <c r="FN9" s="803" t="str">
        <f>IF(FQ2="","",$N$9)</f>
        <v/>
      </c>
      <c r="FO9" s="803" t="str">
        <f>IF(FQ2="","",$O$9)</f>
        <v/>
      </c>
      <c r="FP9" s="803" t="str">
        <f>IF(FQ2="","",$P$9)</f>
        <v/>
      </c>
      <c r="FQ9" s="803" t="str">
        <f>IF(FQ2="","",$Q$9)</f>
        <v/>
      </c>
      <c r="FR9" s="803" t="str">
        <f>IF(FQ2="","",$R$9)</f>
        <v/>
      </c>
      <c r="FS9" s="803" t="str">
        <f>IF(FQ2="","",$S$9)</f>
        <v/>
      </c>
      <c r="FT9" s="803" t="str">
        <f>IF(FQ2="","",ET9)</f>
        <v/>
      </c>
      <c r="FU9" s="803" t="str">
        <f>IF(FQ2="","",$U$9)</f>
        <v/>
      </c>
      <c r="FV9" s="803" t="str">
        <f>IF(FQ2="","",$V$9)</f>
        <v/>
      </c>
      <c r="FW9" s="805" t="str">
        <f>IF(FQ2="","",$W$9)</f>
        <v/>
      </c>
      <c r="FX9" s="806"/>
      <c r="FY9" s="806"/>
      <c r="FZ9" s="807"/>
      <c r="GA9" s="858" t="str">
        <f>IF(GQ2="","",$A$9)</f>
        <v/>
      </c>
      <c r="GB9" s="806"/>
      <c r="GC9" s="806"/>
      <c r="GD9" s="806"/>
      <c r="GE9" s="806"/>
      <c r="GF9" s="866" t="str">
        <f>IF(GQ2="","",$F$9)</f>
        <v/>
      </c>
      <c r="GG9" s="866"/>
      <c r="GH9" s="866"/>
      <c r="GI9" s="866"/>
      <c r="GJ9" s="811" t="str">
        <f>IF(GQ2="","",$J$9)</f>
        <v/>
      </c>
      <c r="GK9" s="803" t="str">
        <f>IF(GQ2="","",$K$9)</f>
        <v/>
      </c>
      <c r="GL9" s="803" t="str">
        <f>IF(GQ2="","",$L$9)</f>
        <v/>
      </c>
      <c r="GM9" s="803" t="str">
        <f>IF(GQ2="","",$M$9)</f>
        <v/>
      </c>
      <c r="GN9" s="803" t="str">
        <f>IF(GQ2="","",$N$9)</f>
        <v/>
      </c>
      <c r="GO9" s="803" t="str">
        <f>IF(GQ2="","",$O$9)</f>
        <v/>
      </c>
      <c r="GP9" s="803" t="str">
        <f>IF(GQ2="","",$P$9)</f>
        <v/>
      </c>
      <c r="GQ9" s="803" t="str">
        <f>IF(GQ2="","",$Q$9)</f>
        <v/>
      </c>
      <c r="GR9" s="803" t="str">
        <f>IF(GQ2="","",$R$9)</f>
        <v/>
      </c>
      <c r="GS9" s="803" t="str">
        <f>IF(GQ2="","",$S$9)</f>
        <v/>
      </c>
      <c r="GT9" s="803" t="str">
        <f>IF(GQ2="","",FT9)</f>
        <v/>
      </c>
      <c r="GU9" s="803" t="str">
        <f>IF(GQ2="","",$U$9)</f>
        <v/>
      </c>
      <c r="GV9" s="803" t="str">
        <f>IF(GQ2="","",$V$9)</f>
        <v/>
      </c>
      <c r="GW9" s="805" t="str">
        <f>IF(GQ2="","",$W$9)</f>
        <v/>
      </c>
      <c r="GX9" s="806"/>
      <c r="GY9" s="806"/>
      <c r="GZ9" s="807"/>
      <c r="HA9" s="858" t="str">
        <f>IF(HQ2="","",$A$9)</f>
        <v/>
      </c>
      <c r="HB9" s="806"/>
      <c r="HC9" s="806"/>
      <c r="HD9" s="806"/>
      <c r="HE9" s="806"/>
      <c r="HF9" s="866" t="str">
        <f>IF(HQ2="","",$F$9)</f>
        <v/>
      </c>
      <c r="HG9" s="866"/>
      <c r="HH9" s="866"/>
      <c r="HI9" s="866"/>
      <c r="HJ9" s="811" t="str">
        <f>IF(HQ2="","",$J$9)</f>
        <v/>
      </c>
      <c r="HK9" s="803" t="str">
        <f>IF(HQ2="","",$K$9)</f>
        <v/>
      </c>
      <c r="HL9" s="803" t="str">
        <f>IF(HQ2="","",$L$9)</f>
        <v/>
      </c>
      <c r="HM9" s="803" t="str">
        <f>IF(HQ2="","",$M$9)</f>
        <v/>
      </c>
      <c r="HN9" s="803" t="str">
        <f>IF(HQ2="","",$N$9)</f>
        <v/>
      </c>
      <c r="HO9" s="803" t="str">
        <f>IF(HQ2="","",$O$9)</f>
        <v/>
      </c>
      <c r="HP9" s="803" t="str">
        <f>IF(HQ2="","",$P$9)</f>
        <v/>
      </c>
      <c r="HQ9" s="803" t="str">
        <f>IF(HQ2="","",$Q$9)</f>
        <v/>
      </c>
      <c r="HR9" s="803" t="str">
        <f>IF(HQ2="","",$R$9)</f>
        <v/>
      </c>
      <c r="HS9" s="803" t="str">
        <f>IF(HQ2="","",$S$9)</f>
        <v/>
      </c>
      <c r="HT9" s="803" t="str">
        <f>IF(HQ2="","",GT9)</f>
        <v/>
      </c>
      <c r="HU9" s="803" t="str">
        <f>IF(HQ2="","",$U$9)</f>
        <v/>
      </c>
      <c r="HV9" s="803" t="str">
        <f>IF(HQ2="","",$V$9)</f>
        <v/>
      </c>
      <c r="HW9" s="805" t="str">
        <f>IF(HQ2="","",$W$9)</f>
        <v/>
      </c>
      <c r="HX9" s="806"/>
      <c r="HY9" s="806"/>
      <c r="HZ9" s="807"/>
      <c r="IA9" s="858" t="str">
        <f>IF(IQ2="","",$A$9)</f>
        <v/>
      </c>
      <c r="IB9" s="806"/>
      <c r="IC9" s="806"/>
      <c r="ID9" s="806"/>
      <c r="IE9" s="806"/>
      <c r="IF9" s="866" t="str">
        <f>IF(IQ2="","",$F$9)</f>
        <v/>
      </c>
      <c r="IG9" s="866"/>
      <c r="IH9" s="866"/>
      <c r="II9" s="866"/>
      <c r="IJ9" s="811" t="str">
        <f>IF(IQ2="","",$J$9)</f>
        <v/>
      </c>
      <c r="IK9" s="803" t="str">
        <f>IF(IQ2="","",$K$9)</f>
        <v/>
      </c>
      <c r="IL9" s="803" t="str">
        <f>IF(IQ2="","",$L$9)</f>
        <v/>
      </c>
      <c r="IM9" s="803" t="str">
        <f>IF(IQ2="","",$M$9)</f>
        <v/>
      </c>
      <c r="IN9" s="803" t="str">
        <f>IF(IQ2="","",$N$9)</f>
        <v/>
      </c>
      <c r="IO9" s="803" t="str">
        <f>IF(IQ2="","",$O$9)</f>
        <v/>
      </c>
      <c r="IP9" s="803" t="str">
        <f>IF(IQ2="","",$P$9)</f>
        <v/>
      </c>
      <c r="IQ9" s="803" t="str">
        <f>IF(IQ2="","",$Q$9)</f>
        <v/>
      </c>
      <c r="IR9" s="803" t="str">
        <f>IF(IQ2="","",$R$9)</f>
        <v/>
      </c>
      <c r="IS9" s="803" t="str">
        <f>IF(IQ2="","",$S$9)</f>
        <v/>
      </c>
      <c r="IT9" s="803" t="str">
        <f>IF(IQ2="","",HT9)</f>
        <v/>
      </c>
      <c r="IU9" s="803" t="str">
        <f>IF(IQ2="","",$U$9)</f>
        <v/>
      </c>
      <c r="IV9" s="803" t="str">
        <f>IF(IQ2="","",$V$9)</f>
        <v/>
      </c>
      <c r="IW9" s="805" t="str">
        <f>IF(IQ2="","",$W$9)</f>
        <v/>
      </c>
      <c r="IX9" s="806"/>
      <c r="IY9" s="806"/>
      <c r="IZ9" s="807"/>
    </row>
    <row r="10" spans="1:260" s="528" customFormat="1" x14ac:dyDescent="0.25">
      <c r="A10" s="859"/>
      <c r="B10" s="809"/>
      <c r="C10" s="809"/>
      <c r="D10" s="809"/>
      <c r="E10" s="809"/>
      <c r="F10" s="866"/>
      <c r="G10" s="866"/>
      <c r="H10" s="866"/>
      <c r="I10" s="866"/>
      <c r="J10" s="884"/>
      <c r="K10" s="883"/>
      <c r="L10" s="883"/>
      <c r="M10" s="883"/>
      <c r="N10" s="883"/>
      <c r="O10" s="883"/>
      <c r="P10" s="883"/>
      <c r="Q10" s="883"/>
      <c r="R10" s="883"/>
      <c r="S10" s="883"/>
      <c r="T10" s="883"/>
      <c r="U10" s="883"/>
      <c r="V10" s="883"/>
      <c r="W10" s="866"/>
      <c r="X10" s="866"/>
      <c r="Y10" s="866"/>
      <c r="Z10" s="885"/>
      <c r="AA10" s="859"/>
      <c r="AB10" s="809"/>
      <c r="AC10" s="809"/>
      <c r="AD10" s="809"/>
      <c r="AE10" s="809"/>
      <c r="AF10" s="866"/>
      <c r="AG10" s="866"/>
      <c r="AH10" s="866"/>
      <c r="AI10" s="866"/>
      <c r="AJ10" s="812"/>
      <c r="AK10" s="804"/>
      <c r="AL10" s="804"/>
      <c r="AM10" s="804"/>
      <c r="AN10" s="804"/>
      <c r="AO10" s="804"/>
      <c r="AP10" s="804"/>
      <c r="AQ10" s="804"/>
      <c r="AR10" s="804"/>
      <c r="AS10" s="804"/>
      <c r="AT10" s="804"/>
      <c r="AU10" s="804"/>
      <c r="AV10" s="804"/>
      <c r="AW10" s="808"/>
      <c r="AX10" s="809"/>
      <c r="AY10" s="809"/>
      <c r="AZ10" s="810"/>
      <c r="BA10" s="859"/>
      <c r="BB10" s="809"/>
      <c r="BC10" s="809"/>
      <c r="BD10" s="809"/>
      <c r="BE10" s="809"/>
      <c r="BF10" s="866"/>
      <c r="BG10" s="866"/>
      <c r="BH10" s="866"/>
      <c r="BI10" s="866"/>
      <c r="BJ10" s="812"/>
      <c r="BK10" s="804"/>
      <c r="BL10" s="804"/>
      <c r="BM10" s="804"/>
      <c r="BN10" s="804"/>
      <c r="BO10" s="804"/>
      <c r="BP10" s="804"/>
      <c r="BQ10" s="804"/>
      <c r="BR10" s="804"/>
      <c r="BS10" s="804"/>
      <c r="BT10" s="804"/>
      <c r="BU10" s="804"/>
      <c r="BV10" s="804"/>
      <c r="BW10" s="808"/>
      <c r="BX10" s="809"/>
      <c r="BY10" s="809"/>
      <c r="BZ10" s="810"/>
      <c r="CA10" s="859"/>
      <c r="CB10" s="809"/>
      <c r="CC10" s="809"/>
      <c r="CD10" s="809"/>
      <c r="CE10" s="809"/>
      <c r="CF10" s="866"/>
      <c r="CG10" s="866"/>
      <c r="CH10" s="866"/>
      <c r="CI10" s="866"/>
      <c r="CJ10" s="812"/>
      <c r="CK10" s="804"/>
      <c r="CL10" s="804"/>
      <c r="CM10" s="804"/>
      <c r="CN10" s="804"/>
      <c r="CO10" s="804"/>
      <c r="CP10" s="804"/>
      <c r="CQ10" s="804"/>
      <c r="CR10" s="804"/>
      <c r="CS10" s="804"/>
      <c r="CT10" s="804"/>
      <c r="CU10" s="804"/>
      <c r="CV10" s="804"/>
      <c r="CW10" s="808"/>
      <c r="CX10" s="809"/>
      <c r="CY10" s="809"/>
      <c r="CZ10" s="810"/>
      <c r="DA10" s="859"/>
      <c r="DB10" s="809"/>
      <c r="DC10" s="809"/>
      <c r="DD10" s="809"/>
      <c r="DE10" s="809"/>
      <c r="DF10" s="866"/>
      <c r="DG10" s="866"/>
      <c r="DH10" s="866"/>
      <c r="DI10" s="866"/>
      <c r="DJ10" s="812"/>
      <c r="DK10" s="804"/>
      <c r="DL10" s="804"/>
      <c r="DM10" s="804"/>
      <c r="DN10" s="804"/>
      <c r="DO10" s="804"/>
      <c r="DP10" s="804"/>
      <c r="DQ10" s="804"/>
      <c r="DR10" s="804"/>
      <c r="DS10" s="804"/>
      <c r="DT10" s="804"/>
      <c r="DU10" s="804"/>
      <c r="DV10" s="804"/>
      <c r="DW10" s="808"/>
      <c r="DX10" s="809"/>
      <c r="DY10" s="809"/>
      <c r="DZ10" s="810"/>
      <c r="EA10" s="859"/>
      <c r="EB10" s="809"/>
      <c r="EC10" s="809"/>
      <c r="ED10" s="809"/>
      <c r="EE10" s="809"/>
      <c r="EF10" s="866"/>
      <c r="EG10" s="866"/>
      <c r="EH10" s="866"/>
      <c r="EI10" s="866"/>
      <c r="EJ10" s="812"/>
      <c r="EK10" s="804"/>
      <c r="EL10" s="804"/>
      <c r="EM10" s="804"/>
      <c r="EN10" s="804"/>
      <c r="EO10" s="804"/>
      <c r="EP10" s="804"/>
      <c r="EQ10" s="804"/>
      <c r="ER10" s="804"/>
      <c r="ES10" s="804"/>
      <c r="ET10" s="804"/>
      <c r="EU10" s="804"/>
      <c r="EV10" s="804"/>
      <c r="EW10" s="808"/>
      <c r="EX10" s="809"/>
      <c r="EY10" s="809"/>
      <c r="EZ10" s="810"/>
      <c r="FA10" s="859"/>
      <c r="FB10" s="809"/>
      <c r="FC10" s="809"/>
      <c r="FD10" s="809"/>
      <c r="FE10" s="809"/>
      <c r="FF10" s="866"/>
      <c r="FG10" s="866"/>
      <c r="FH10" s="866"/>
      <c r="FI10" s="866"/>
      <c r="FJ10" s="812"/>
      <c r="FK10" s="804"/>
      <c r="FL10" s="804"/>
      <c r="FM10" s="804"/>
      <c r="FN10" s="804"/>
      <c r="FO10" s="804"/>
      <c r="FP10" s="804"/>
      <c r="FQ10" s="804"/>
      <c r="FR10" s="804"/>
      <c r="FS10" s="804"/>
      <c r="FT10" s="804"/>
      <c r="FU10" s="804"/>
      <c r="FV10" s="804"/>
      <c r="FW10" s="808"/>
      <c r="FX10" s="809"/>
      <c r="FY10" s="809"/>
      <c r="FZ10" s="810"/>
      <c r="GA10" s="859"/>
      <c r="GB10" s="809"/>
      <c r="GC10" s="809"/>
      <c r="GD10" s="809"/>
      <c r="GE10" s="809"/>
      <c r="GF10" s="866"/>
      <c r="GG10" s="866"/>
      <c r="GH10" s="866"/>
      <c r="GI10" s="866"/>
      <c r="GJ10" s="812"/>
      <c r="GK10" s="804"/>
      <c r="GL10" s="804"/>
      <c r="GM10" s="804"/>
      <c r="GN10" s="804"/>
      <c r="GO10" s="804"/>
      <c r="GP10" s="804"/>
      <c r="GQ10" s="804"/>
      <c r="GR10" s="804"/>
      <c r="GS10" s="804"/>
      <c r="GT10" s="804"/>
      <c r="GU10" s="804"/>
      <c r="GV10" s="804"/>
      <c r="GW10" s="808"/>
      <c r="GX10" s="809"/>
      <c r="GY10" s="809"/>
      <c r="GZ10" s="810"/>
      <c r="HA10" s="859"/>
      <c r="HB10" s="809"/>
      <c r="HC10" s="809"/>
      <c r="HD10" s="809"/>
      <c r="HE10" s="809"/>
      <c r="HF10" s="866"/>
      <c r="HG10" s="866"/>
      <c r="HH10" s="866"/>
      <c r="HI10" s="866"/>
      <c r="HJ10" s="812"/>
      <c r="HK10" s="804"/>
      <c r="HL10" s="804"/>
      <c r="HM10" s="804"/>
      <c r="HN10" s="804"/>
      <c r="HO10" s="804"/>
      <c r="HP10" s="804"/>
      <c r="HQ10" s="804"/>
      <c r="HR10" s="804"/>
      <c r="HS10" s="804"/>
      <c r="HT10" s="804"/>
      <c r="HU10" s="804"/>
      <c r="HV10" s="804"/>
      <c r="HW10" s="808"/>
      <c r="HX10" s="809"/>
      <c r="HY10" s="809"/>
      <c r="HZ10" s="810"/>
      <c r="IA10" s="859"/>
      <c r="IB10" s="809"/>
      <c r="IC10" s="809"/>
      <c r="ID10" s="809"/>
      <c r="IE10" s="809"/>
      <c r="IF10" s="866"/>
      <c r="IG10" s="866"/>
      <c r="IH10" s="866"/>
      <c r="II10" s="866"/>
      <c r="IJ10" s="812"/>
      <c r="IK10" s="804"/>
      <c r="IL10" s="804"/>
      <c r="IM10" s="804"/>
      <c r="IN10" s="804"/>
      <c r="IO10" s="804"/>
      <c r="IP10" s="804"/>
      <c r="IQ10" s="804"/>
      <c r="IR10" s="804"/>
      <c r="IS10" s="804"/>
      <c r="IT10" s="804"/>
      <c r="IU10" s="804"/>
      <c r="IV10" s="804"/>
      <c r="IW10" s="808"/>
      <c r="IX10" s="809"/>
      <c r="IY10" s="809"/>
      <c r="IZ10" s="810"/>
    </row>
    <row r="11" spans="1:260" x14ac:dyDescent="0.25">
      <c r="A11" s="854" t="str">
        <f>IFERROR(VLOOKUP(Q2,Lista_Pedidos,3,0),"")</f>
        <v>BCK SUB 01</v>
      </c>
      <c r="B11" s="855"/>
      <c r="C11" s="855"/>
      <c r="D11" s="855"/>
      <c r="E11" s="856"/>
      <c r="F11" s="857" t="str">
        <f>IFERROR(VLOOKUP(Q2,Clientes!$A:$K,2,0),"")</f>
        <v>Marcela</v>
      </c>
      <c r="G11" s="855"/>
      <c r="H11" s="855"/>
      <c r="I11" s="856"/>
      <c r="J11" s="526" t="str">
        <f>IFERROR(IF(VLOOKUP(Q$2,Lista_Pedidos,J26,0)&gt;0,VLOOKUP(Q$2,Lista_Pedidos,J26,0),""),"")</f>
        <v/>
      </c>
      <c r="K11" s="526" t="str">
        <f>IFERROR(IF(VLOOKUP(Q$2,Lista_Pedidos,K26,0)&gt;0,VLOOKUP(Q$2,Lista_Pedidos,K26,0),""),"")</f>
        <v/>
      </c>
      <c r="L11" s="526" t="str">
        <f>IFERROR(IF(VLOOKUP(Q$2,Lista_Pedidos,L26,0)&gt;0,VLOOKUP(Q$2,Lista_Pedidos,L26,0),""),"")</f>
        <v/>
      </c>
      <c r="M11" s="526" t="str">
        <f>IFERROR(IF(VLOOKUP(Q$2,Lista_Pedidos,M26,0)&gt;0,VLOOKUP(Q$2,Lista_Pedidos,M26,0),""),"")</f>
        <v/>
      </c>
      <c r="N11" s="526" t="str">
        <f>IFERROR(IF(VLOOKUP(Q$2,Lista_Pedidos,N26,0)&gt;0,VLOOKUP(Q$2,Lista_Pedidos,N26,0),""),"")</f>
        <v/>
      </c>
      <c r="O11" s="526" t="str">
        <f>IFERROR(IF(VLOOKUP(Q$2,Lista_Pedidos,O26,0)&gt;0,VLOOKUP(Q$2,Lista_Pedidos,O26,0),""),"")</f>
        <v/>
      </c>
      <c r="P11" s="526" t="str">
        <f>IFERROR(IF(VLOOKUP(Q$2,Lista_Pedidos,P26,0)&gt;0,VLOOKUP(Q$2,Lista_Pedidos,P26,0),""),"")</f>
        <v/>
      </c>
      <c r="Q11" s="526" t="str">
        <f>IFERROR(IF(VLOOKUP(Q$2,Lista_Pedidos,Q26,0)&gt;0,VLOOKUP(Q$2,Lista_Pedidos,Q26,0),""),"")</f>
        <v/>
      </c>
      <c r="R11" s="526" t="str">
        <f>IFERROR(IF(VLOOKUP(Q$2,Lista_Pedidos,R26,0)&gt;0,VLOOKUP(Q$2,Lista_Pedidos,R26,0),""),"")</f>
        <v/>
      </c>
      <c r="S11" s="526" t="str">
        <f>IFERROR(IF(VLOOKUP(Q$2,Lista_Pedidos,S26,0)&gt;0,VLOOKUP(Q$2,Lista_Pedidos,S26,0),""),"")</f>
        <v/>
      </c>
      <c r="T11" s="526" t="str">
        <f>IFERROR(IF(VLOOKUP(Q$2,Lista_Pedidos,T26,0)&gt;0,VLOOKUP(Q$2,Lista_Pedidos,T26,0),""),"")</f>
        <v/>
      </c>
      <c r="U11" s="526" t="str">
        <f>IFERROR(IF(VLOOKUP(Q$2,Lista_Pedidos,U26,0)&gt;0,VLOOKUP(Q$2,Lista_Pedidos,U26,0),""),"")</f>
        <v/>
      </c>
      <c r="V11" s="526">
        <f>IFERROR(IF(VLOOKUP(Q$2,Lista_Pedidos,V26,0)&gt;0,VLOOKUP(Q$2,Lista_Pedidos,V26,0),""),"")</f>
        <v>2</v>
      </c>
      <c r="W11" s="886">
        <f>SUM(J11:V11)</f>
        <v>2</v>
      </c>
      <c r="X11" s="887"/>
      <c r="Y11" s="887"/>
      <c r="Z11" s="888"/>
      <c r="AA11" s="854" t="str">
        <f>IFERROR(VLOOKUP(AQ2,Lista_Pedidos,3,0),"")</f>
        <v>LEG SUB 01</v>
      </c>
      <c r="AB11" s="855"/>
      <c r="AC11" s="855"/>
      <c r="AD11" s="855"/>
      <c r="AE11" s="855"/>
      <c r="AF11" s="867" t="str">
        <f>IFERROR(IF(VLOOKUP(AQ2,Clientes!$A:$K,2,0)=0,"",VLOOKUP(AQ2,Clientes!$A:$K,2,0)),"")</f>
        <v/>
      </c>
      <c r="AG11" s="867"/>
      <c r="AH11" s="867"/>
      <c r="AI11" s="867"/>
      <c r="AJ11" s="527" t="str">
        <f>IFERROR(IF(VLOOKUP(AQ$2,Lista_Pedidos,AJ26,0)&gt;0,VLOOKUP(AQ$2,Lista_Pedidos,AJ26,0),""),"")</f>
        <v/>
      </c>
      <c r="AK11" s="527" t="str">
        <f>IFERROR(IF(VLOOKUP(AQ$2,Lista_Pedidos,AK26,0)&gt;0,VLOOKUP(AQ$2,Lista_Pedidos,AK26,0),""),"")</f>
        <v/>
      </c>
      <c r="AL11" s="527" t="str">
        <f>IFERROR(IF(VLOOKUP(AQ$2,Lista_Pedidos,AL26,0)&gt;0,VLOOKUP(AQ$2,Lista_Pedidos,AL26,0),""),"")</f>
        <v/>
      </c>
      <c r="AM11" s="527" t="str">
        <f>IFERROR(IF(VLOOKUP(AQ$2,Lista_Pedidos,AM26,0)&gt;0,VLOOKUP(AQ$2,Lista_Pedidos,AM26,0),""),"")</f>
        <v/>
      </c>
      <c r="AN11" s="527" t="str">
        <f>IFERROR(IF(VLOOKUP(AQ$2,Lista_Pedidos,AN26,0)&gt;0,VLOOKUP(AQ$2,Lista_Pedidos,AN26,0),""),"")</f>
        <v/>
      </c>
      <c r="AO11" s="527" t="str">
        <f>IFERROR(IF(VLOOKUP(AQ$2,Lista_Pedidos,AO26,0)&gt;0,VLOOKUP(AQ$2,Lista_Pedidos,AO26,0),""),"")</f>
        <v/>
      </c>
      <c r="AP11" s="527">
        <f>IFERROR(IF(VLOOKUP(AQ$2,Lista_Pedidos,AP26,0)&gt;0,VLOOKUP(AQ$2,Lista_Pedidos,AP26,0),""),"")</f>
        <v>8</v>
      </c>
      <c r="AQ11" s="527" t="str">
        <f>IFERROR(IF(VLOOKUP(AQ$2,Lista_Pedidos,AQ26,0)&gt;0,VLOOKUP(AQ$2,Lista_Pedidos,AQ26,0),""),"")</f>
        <v/>
      </c>
      <c r="AR11" s="527" t="str">
        <f>IFERROR(IF(VLOOKUP(AQ$2,Lista_Pedidos,AR26,0)&gt;0,VLOOKUP(AQ$2,Lista_Pedidos,AR26,0),""),"")</f>
        <v/>
      </c>
      <c r="AS11" s="527" t="str">
        <f>IFERROR(IF(VLOOKUP(AQ$2,Lista_Pedidos,AS26,0)&gt;0,VLOOKUP(AQ$2,Lista_Pedidos,AS26,0),""),"")</f>
        <v/>
      </c>
      <c r="AT11" s="527" t="str">
        <f>IFERROR(IF(VLOOKUP(AQ$2,Lista_Pedidos,AT26,0)&gt;0,VLOOKUP(AQ$2,Lista_Pedidos,AT26,0),""),"")</f>
        <v/>
      </c>
      <c r="AU11" s="527" t="str">
        <f>IFERROR(IF(VLOOKUP(AQ$2,Lista_Pedidos,AU26,0)&gt;0,VLOOKUP(AQ$2,Lista_Pedidos,AU26,0),""),"")</f>
        <v/>
      </c>
      <c r="AV11" s="526" t="str">
        <f>IFERROR(IF(VLOOKUP(AQ$2,Lista_Pedidos,AV26,0)&gt;0,VLOOKUP(AQ$2,Lista_Pedidos,AV26,0),""),"")</f>
        <v/>
      </c>
      <c r="AW11" s="864">
        <f>IF(SUM(AJ11:AV11)=0,"",SUM(AJ11:AV11))</f>
        <v>8</v>
      </c>
      <c r="AX11" s="864"/>
      <c r="AY11" s="864"/>
      <c r="AZ11" s="865"/>
      <c r="BA11" s="854" t="str">
        <f>IFERROR(VLOOKUP(BQ2,Lista_Pedidos,3,0),"")</f>
        <v/>
      </c>
      <c r="BB11" s="855"/>
      <c r="BC11" s="855"/>
      <c r="BD11" s="855"/>
      <c r="BE11" s="856"/>
      <c r="BF11" s="867" t="str">
        <f>IFERROR(IF(VLOOKUP(BQ2,Clientes!$A:$K,2,0)=0,"",VLOOKUP(BQ2,Clientes!$A:$K,2,0)),"")</f>
        <v/>
      </c>
      <c r="BG11" s="867"/>
      <c r="BH11" s="867"/>
      <c r="BI11" s="867"/>
      <c r="BJ11" s="526" t="str">
        <f>IFERROR(IF(VLOOKUP(BQ$2,Lista_Pedidos,BJ26,0)&gt;0,VLOOKUP(BQ$2,Lista_Pedidos,BJ26,0),""),"")</f>
        <v/>
      </c>
      <c r="BK11" s="526" t="str">
        <f>IFERROR(IF(VLOOKUP(BQ$2,Lista_Pedidos,BK26,0)&gt;0,VLOOKUP(BQ$2,Lista_Pedidos,BK26,0),""),"")</f>
        <v/>
      </c>
      <c r="BL11" s="526" t="str">
        <f>IFERROR(IF(VLOOKUP(BQ$2,Lista_Pedidos,BL26,0)&gt;0,VLOOKUP(BQ$2,Lista_Pedidos,BL26,0),""),"")</f>
        <v/>
      </c>
      <c r="BM11" s="526" t="str">
        <f>IFERROR(IF(VLOOKUP(BQ$2,Lista_Pedidos,BM26,0)&gt;0,VLOOKUP(BQ$2,Lista_Pedidos,BM26,0),""),"")</f>
        <v/>
      </c>
      <c r="BN11" s="526" t="str">
        <f>IFERROR(IF(VLOOKUP(BQ$2,Lista_Pedidos,BN26,0)&gt;0,VLOOKUP(BQ$2,Lista_Pedidos,BN26,0),""),"")</f>
        <v/>
      </c>
      <c r="BO11" s="526" t="str">
        <f>IFERROR(IF(VLOOKUP(BQ$2,Lista_Pedidos,BO26,0)&gt;0,VLOOKUP(BQ$2,Lista_Pedidos,BO26,0),""),"")</f>
        <v/>
      </c>
      <c r="BP11" s="526" t="str">
        <f>IFERROR(IF(VLOOKUP(BQ$2,Lista_Pedidos,BP26,0)&gt;0,VLOOKUP(BQ$2,Lista_Pedidos,BP26,0),""),"")</f>
        <v/>
      </c>
      <c r="BQ11" s="526" t="str">
        <f>IFERROR(IF(VLOOKUP(BQ$2,Lista_Pedidos,BQ26,0)&gt;0,VLOOKUP(BQ$2,Lista_Pedidos,BQ26,0),""),"")</f>
        <v/>
      </c>
      <c r="BR11" s="526" t="str">
        <f>IFERROR(IF(VLOOKUP(BQ$2,Lista_Pedidos,BR26,0)&gt;0,VLOOKUP(BQ$2,Lista_Pedidos,BR26,0),""),"")</f>
        <v/>
      </c>
      <c r="BS11" s="526" t="str">
        <f>IFERROR(IF(VLOOKUP(BQ$2,Lista_Pedidos,BS26,0)&gt;0,VLOOKUP(BQ$2,Lista_Pedidos,BS26,0),""),"")</f>
        <v/>
      </c>
      <c r="BT11" s="526" t="str">
        <f>IFERROR(IF(VLOOKUP(BQ$2,Lista_Pedidos,BT26,0)&gt;0,VLOOKUP(BQ$2,Lista_Pedidos,BT26,0),""),"")</f>
        <v/>
      </c>
      <c r="BU11" s="526" t="str">
        <f>IFERROR(IF(VLOOKUP(BQ$2,Lista_Pedidos,BU26,0)&gt;0,VLOOKUP(BQ$2,Lista_Pedidos,BU26,0),""),"")</f>
        <v/>
      </c>
      <c r="BV11" s="526" t="str">
        <f>IFERROR(IF(VLOOKUP(BQ$2,Lista_Pedidos,BV26,0)&gt;0,VLOOKUP(BQ$2,Lista_Pedidos,BV26,0),""),"")</f>
        <v/>
      </c>
      <c r="BW11" s="864" t="str">
        <f>IF(SUM(BJ11:BV11)=0,"",SUM(BJ11:BV11))</f>
        <v/>
      </c>
      <c r="BX11" s="864"/>
      <c r="BY11" s="864"/>
      <c r="BZ11" s="865"/>
      <c r="CA11" s="854" t="str">
        <f>IFERROR(VLOOKUP(CQ2,Lista_Pedidos,3,0),"")</f>
        <v/>
      </c>
      <c r="CB11" s="855"/>
      <c r="CC11" s="855"/>
      <c r="CD11" s="855"/>
      <c r="CE11" s="855"/>
      <c r="CF11" s="867" t="str">
        <f>IFERROR(IF(VLOOKUP(CQ2,Clientes!$A:$K,2,0)=0,"",VLOOKUP(CQ2,Clientes!$A:$K,2,0)),"")</f>
        <v/>
      </c>
      <c r="CG11" s="867"/>
      <c r="CH11" s="867"/>
      <c r="CI11" s="867"/>
      <c r="CJ11" s="526" t="str">
        <f>IFERROR(IF(VLOOKUP(CQ$2,Lista_Pedidos,CJ26,0)&gt;0,VLOOKUP(CQ$2,Lista_Pedidos,CJ26,0),""),"")</f>
        <v/>
      </c>
      <c r="CK11" s="526" t="str">
        <f>IFERROR(IF(VLOOKUP(CQ$2,Lista_Pedidos,CK26,0)&gt;0,VLOOKUP(CQ$2,Lista_Pedidos,CK26,0),""),"")</f>
        <v/>
      </c>
      <c r="CL11" s="526" t="str">
        <f>IFERROR(IF(VLOOKUP(CQ$2,Lista_Pedidos,CL26,0)&gt;0,VLOOKUP(CQ$2,Lista_Pedidos,CL26,0),""),"")</f>
        <v/>
      </c>
      <c r="CM11" s="526" t="str">
        <f>IFERROR(IF(VLOOKUP(CQ$2,Lista_Pedidos,CM26,0)&gt;0,VLOOKUP(CQ$2,Lista_Pedidos,CM26,0),""),"")</f>
        <v/>
      </c>
      <c r="CN11" s="526" t="str">
        <f>IFERROR(IF(VLOOKUP(CQ$2,Lista_Pedidos,CN26,0)&gt;0,VLOOKUP(CQ$2,Lista_Pedidos,CN26,0),""),"")</f>
        <v/>
      </c>
      <c r="CO11" s="526" t="str">
        <f>IFERROR(IF(VLOOKUP(CQ$2,Lista_Pedidos,CO26,0)&gt;0,VLOOKUP(CQ$2,Lista_Pedidos,CO26,0),""),"")</f>
        <v/>
      </c>
      <c r="CP11" s="526" t="str">
        <f>IFERROR(IF(VLOOKUP(CQ$2,Lista_Pedidos,CP26,0)&gt;0,VLOOKUP(CQ$2,Lista_Pedidos,CP26,0),""),"")</f>
        <v/>
      </c>
      <c r="CQ11" s="526" t="str">
        <f>IFERROR(IF(VLOOKUP(CQ$2,Lista_Pedidos,CQ26,0)&gt;0,VLOOKUP(CQ$2,Lista_Pedidos,CQ26,0),""),"")</f>
        <v/>
      </c>
      <c r="CR11" s="526" t="str">
        <f>IFERROR(IF(VLOOKUP(CQ$2,Lista_Pedidos,CR26,0)&gt;0,VLOOKUP(CQ$2,Lista_Pedidos,CR26,0),""),"")</f>
        <v/>
      </c>
      <c r="CS11" s="526" t="str">
        <f>IFERROR(IF(VLOOKUP(CQ$2,Lista_Pedidos,CS26,0)&gt;0,VLOOKUP(CQ$2,Lista_Pedidos,CS26,0),""),"")</f>
        <v/>
      </c>
      <c r="CT11" s="526" t="str">
        <f>IFERROR(IF(VLOOKUP(CQ$2,Lista_Pedidos,CT26,0)&gt;0,VLOOKUP(CQ$2,Lista_Pedidos,CT26,0),""),"")</f>
        <v/>
      </c>
      <c r="CU11" s="526" t="str">
        <f>IFERROR(IF(VLOOKUP(CQ$2,Lista_Pedidos,CU26,0)&gt;0,VLOOKUP(CQ$2,Lista_Pedidos,CU26,0),""),"")</f>
        <v/>
      </c>
      <c r="CV11" s="526" t="str">
        <f>IFERROR(IF(VLOOKUP(CQ$2,Lista_Pedidos,CV26,0)&gt;0,VLOOKUP(CQ$2,Lista_Pedidos,CV26,0),""),"")</f>
        <v/>
      </c>
      <c r="CW11" s="864" t="str">
        <f>IF(SUM(CJ11:CV11)=0,"",SUM(CJ11:CV11))</f>
        <v/>
      </c>
      <c r="CX11" s="864"/>
      <c r="CY11" s="864"/>
      <c r="CZ11" s="865"/>
      <c r="DA11" s="854" t="str">
        <f>IFERROR(VLOOKUP(DQ2,Lista_Pedidos,3,0),"")</f>
        <v/>
      </c>
      <c r="DB11" s="855"/>
      <c r="DC11" s="855"/>
      <c r="DD11" s="855"/>
      <c r="DE11" s="855"/>
      <c r="DF11" s="867" t="str">
        <f>IFERROR(IF(VLOOKUP(DQ2,Clientes!$A:$K,2,0)=0,"",VLOOKUP(DQ2,Clientes!$A:$K,2,0)),"")</f>
        <v/>
      </c>
      <c r="DG11" s="867"/>
      <c r="DH11" s="867"/>
      <c r="DI11" s="867"/>
      <c r="DJ11" s="526" t="str">
        <f>IFERROR(IF(VLOOKUP(DQ$2,Lista_Pedidos,DJ26,0)&gt;0,VLOOKUP(DQ$2,Lista_Pedidos,DJ26,0),""),"")</f>
        <v/>
      </c>
      <c r="DK11" s="526" t="str">
        <f>IFERROR(IF(VLOOKUP(DQ$2,Lista_Pedidos,DK26,0)&gt;0,VLOOKUP(DQ$2,Lista_Pedidos,DK26,0),""),"")</f>
        <v/>
      </c>
      <c r="DL11" s="526" t="str">
        <f>IFERROR(IF(VLOOKUP(DQ$2,Lista_Pedidos,DL26,0)&gt;0,VLOOKUP(DQ$2,Lista_Pedidos,DL26,0),""),"")</f>
        <v/>
      </c>
      <c r="DM11" s="526" t="str">
        <f>IFERROR(IF(VLOOKUP(DQ$2,Lista_Pedidos,DM26,0)&gt;0,VLOOKUP(DQ$2,Lista_Pedidos,DM26,0),""),"")</f>
        <v/>
      </c>
      <c r="DN11" s="526" t="str">
        <f>IFERROR(IF(VLOOKUP(DQ$2,Lista_Pedidos,DN26,0)&gt;0,VLOOKUP(DQ$2,Lista_Pedidos,DN26,0),""),"")</f>
        <v/>
      </c>
      <c r="DO11" s="526" t="str">
        <f>IFERROR(IF(VLOOKUP(DQ$2,Lista_Pedidos,DO26,0)&gt;0,VLOOKUP(DQ$2,Lista_Pedidos,DO26,0),""),"")</f>
        <v/>
      </c>
      <c r="DP11" s="526" t="str">
        <f>IFERROR(IF(VLOOKUP(DQ$2,Lista_Pedidos,DP26,0)&gt;0,VLOOKUP(DQ$2,Lista_Pedidos,DP26,0),""),"")</f>
        <v/>
      </c>
      <c r="DQ11" s="526" t="str">
        <f>IFERROR(IF(VLOOKUP(DQ$2,Lista_Pedidos,DQ26,0)&gt;0,VLOOKUP(DQ$2,Lista_Pedidos,DQ26,0),""),"")</f>
        <v/>
      </c>
      <c r="DR11" s="526" t="str">
        <f>IFERROR(IF(VLOOKUP(DQ$2,Lista_Pedidos,DR26,0)&gt;0,VLOOKUP(DQ$2,Lista_Pedidos,DR26,0),""),"")</f>
        <v/>
      </c>
      <c r="DS11" s="526" t="str">
        <f>IFERROR(IF(VLOOKUP(DQ$2,Lista_Pedidos,DS26,0)&gt;0,VLOOKUP(DQ$2,Lista_Pedidos,DS26,0),""),"")</f>
        <v/>
      </c>
      <c r="DT11" s="526" t="str">
        <f>IFERROR(IF(VLOOKUP(DQ$2,Lista_Pedidos,DT26,0)&gt;0,VLOOKUP(DQ$2,Lista_Pedidos,DT26,0),""),"")</f>
        <v/>
      </c>
      <c r="DU11" s="526" t="str">
        <f>IFERROR(IF(VLOOKUP(DQ$2,Lista_Pedidos,DU26,0)&gt;0,VLOOKUP(DQ$2,Lista_Pedidos,DU26,0),""),"")</f>
        <v/>
      </c>
      <c r="DV11" s="526" t="str">
        <f>IFERROR(IF(VLOOKUP(DQ$2,Lista_Pedidos,DV26,0)&gt;0,VLOOKUP(DQ$2,Lista_Pedidos,DV26,0),""),"")</f>
        <v/>
      </c>
      <c r="DW11" s="864" t="str">
        <f>IF(SUM(DJ11:DV11)=0,"",SUM(DJ11:DV11))</f>
        <v/>
      </c>
      <c r="DX11" s="864"/>
      <c r="DY11" s="864"/>
      <c r="DZ11" s="865"/>
      <c r="EA11" s="854" t="str">
        <f>IFERROR(VLOOKUP(EQ2,Lista_Pedidos,3,0),"")</f>
        <v/>
      </c>
      <c r="EB11" s="855"/>
      <c r="EC11" s="855"/>
      <c r="ED11" s="855"/>
      <c r="EE11" s="855"/>
      <c r="EF11" s="867" t="str">
        <f>IFERROR(IF(VLOOKUP(EQ2,Clientes!$A:$K,2,0)=0,"",VLOOKUP(EQ2,Clientes!$A:$K,2,0)),"")</f>
        <v/>
      </c>
      <c r="EG11" s="867"/>
      <c r="EH11" s="867"/>
      <c r="EI11" s="867"/>
      <c r="EJ11" s="526" t="str">
        <f>IFERROR(IF(VLOOKUP(EQ$2,Lista_Pedidos,EJ26,0)&gt;0,VLOOKUP(EQ$2,Lista_Pedidos,EJ26,0),""),"")</f>
        <v/>
      </c>
      <c r="EK11" s="526" t="str">
        <f>IFERROR(IF(VLOOKUP(EQ$2,Lista_Pedidos,EK26,0)&gt;0,VLOOKUP(EQ$2,Lista_Pedidos,EK26,0),""),"")</f>
        <v/>
      </c>
      <c r="EL11" s="526" t="str">
        <f>IFERROR(IF(VLOOKUP(EQ$2,Lista_Pedidos,EL26,0)&gt;0,VLOOKUP(EQ$2,Lista_Pedidos,EL26,0),""),"")</f>
        <v/>
      </c>
      <c r="EM11" s="526" t="str">
        <f>IFERROR(IF(VLOOKUP(EQ$2,Lista_Pedidos,EM26,0)&gt;0,VLOOKUP(EQ$2,Lista_Pedidos,EM26,0),""),"")</f>
        <v/>
      </c>
      <c r="EN11" s="526" t="str">
        <f>IFERROR(IF(VLOOKUP(EQ$2,Lista_Pedidos,EN26,0)&gt;0,VLOOKUP(EQ$2,Lista_Pedidos,EN26,0),""),"")</f>
        <v/>
      </c>
      <c r="EO11" s="526" t="str">
        <f>IFERROR(IF(VLOOKUP(EQ$2,Lista_Pedidos,EO26,0)&gt;0,VLOOKUP(EQ$2,Lista_Pedidos,EO26,0),""),"")</f>
        <v/>
      </c>
      <c r="EP11" s="526" t="str">
        <f>IFERROR(IF(VLOOKUP(EQ$2,Lista_Pedidos,EP26,0)&gt;0,VLOOKUP(EQ$2,Lista_Pedidos,EP26,0),""),"")</f>
        <v/>
      </c>
      <c r="EQ11" s="526" t="str">
        <f>IFERROR(IF(VLOOKUP(EQ$2,Lista_Pedidos,EQ26,0)&gt;0,VLOOKUP(EQ$2,Lista_Pedidos,EQ26,0),""),"")</f>
        <v/>
      </c>
      <c r="ER11" s="526" t="str">
        <f>IFERROR(IF(VLOOKUP(EQ$2,Lista_Pedidos,ER26,0)&gt;0,VLOOKUP(EQ$2,Lista_Pedidos,ER26,0),""),"")</f>
        <v/>
      </c>
      <c r="ES11" s="526" t="str">
        <f>IFERROR(IF(VLOOKUP(EQ$2,Lista_Pedidos,ES26,0)&gt;0,VLOOKUP(EQ$2,Lista_Pedidos,ES26,0),""),"")</f>
        <v/>
      </c>
      <c r="ET11" s="526" t="str">
        <f>IFERROR(IF(VLOOKUP(EQ$2,Lista_Pedidos,ET26,0)&gt;0,VLOOKUP(EQ$2,Lista_Pedidos,ET26,0),""),"")</f>
        <v/>
      </c>
      <c r="EU11" s="526" t="str">
        <f>IFERROR(IF(VLOOKUP(EQ$2,Lista_Pedidos,EU26,0)&gt;0,VLOOKUP(EQ$2,Lista_Pedidos,EU26,0),""),"")</f>
        <v/>
      </c>
      <c r="EV11" s="526" t="str">
        <f>IFERROR(IF(VLOOKUP(EQ$2,Lista_Pedidos,EV26,0)&gt;0,VLOOKUP(EQ$2,Lista_Pedidos,EV26,0),""),"")</f>
        <v/>
      </c>
      <c r="EW11" s="864" t="str">
        <f>IF(SUM(EJ11:EV11)=0,"",SUM(EJ11:EV11))</f>
        <v/>
      </c>
      <c r="EX11" s="864"/>
      <c r="EY11" s="864"/>
      <c r="EZ11" s="865"/>
      <c r="FA11" s="854" t="str">
        <f>IFERROR(VLOOKUP(FQ2,Lista_Pedidos,3,0),"")</f>
        <v/>
      </c>
      <c r="FB11" s="855"/>
      <c r="FC11" s="855"/>
      <c r="FD11" s="855"/>
      <c r="FE11" s="855"/>
      <c r="FF11" s="867" t="str">
        <f>IFERROR(IF(VLOOKUP(FQ2,Clientes!$A:$K,2,0)=0,"",VLOOKUP(FQ2,Clientes!$A:$K,2,0)),"")</f>
        <v/>
      </c>
      <c r="FG11" s="867"/>
      <c r="FH11" s="867"/>
      <c r="FI11" s="867"/>
      <c r="FJ11" s="526" t="str">
        <f>IFERROR(IF(VLOOKUP(FQ$2,Lista_Pedidos,FJ26,0)&gt;0,VLOOKUP(FQ$2,Lista_Pedidos,FJ26,0),""),"")</f>
        <v/>
      </c>
      <c r="FK11" s="526" t="str">
        <f>IFERROR(IF(VLOOKUP(FQ$2,Lista_Pedidos,FK26,0)&gt;0,VLOOKUP(FQ$2,Lista_Pedidos,FK26,0),""),"")</f>
        <v/>
      </c>
      <c r="FL11" s="526" t="str">
        <f>IFERROR(IF(VLOOKUP(FQ$2,Lista_Pedidos,FL26,0)&gt;0,VLOOKUP(FQ$2,Lista_Pedidos,FL26,0),""),"")</f>
        <v/>
      </c>
      <c r="FM11" s="526" t="str">
        <f>IFERROR(IF(VLOOKUP(FQ$2,Lista_Pedidos,FM26,0)&gt;0,VLOOKUP(FQ$2,Lista_Pedidos,FM26,0),""),"")</f>
        <v/>
      </c>
      <c r="FN11" s="526" t="str">
        <f>IFERROR(IF(VLOOKUP(FQ$2,Lista_Pedidos,FN26,0)&gt;0,VLOOKUP(FQ$2,Lista_Pedidos,FN26,0),""),"")</f>
        <v/>
      </c>
      <c r="FO11" s="526" t="str">
        <f>IFERROR(IF(VLOOKUP(FQ$2,Lista_Pedidos,FO26,0)&gt;0,VLOOKUP(FQ$2,Lista_Pedidos,FO26,0),""),"")</f>
        <v/>
      </c>
      <c r="FP11" s="526" t="str">
        <f>IFERROR(IF(VLOOKUP(FQ$2,Lista_Pedidos,FP26,0)&gt;0,VLOOKUP(FQ$2,Lista_Pedidos,FP26,0),""),"")</f>
        <v/>
      </c>
      <c r="FQ11" s="526" t="str">
        <f>IFERROR(IF(VLOOKUP(FQ$2,Lista_Pedidos,FQ26,0)&gt;0,VLOOKUP(FQ$2,Lista_Pedidos,FQ26,0),""),"")</f>
        <v/>
      </c>
      <c r="FR11" s="526" t="str">
        <f>IFERROR(IF(VLOOKUP(FQ$2,Lista_Pedidos,FR26,0)&gt;0,VLOOKUP(FQ$2,Lista_Pedidos,FR26,0),""),"")</f>
        <v/>
      </c>
      <c r="FS11" s="526" t="str">
        <f>IFERROR(IF(VLOOKUP(FQ$2,Lista_Pedidos,FS26,0)&gt;0,VLOOKUP(FQ$2,Lista_Pedidos,FS26,0),""),"")</f>
        <v/>
      </c>
      <c r="FT11" s="526" t="str">
        <f>IFERROR(IF(VLOOKUP(FQ$2,Lista_Pedidos,FT26,0)&gt;0,VLOOKUP(FQ$2,Lista_Pedidos,FT26,0),""),"")</f>
        <v/>
      </c>
      <c r="FU11" s="526" t="str">
        <f>IFERROR(IF(VLOOKUP(FQ$2,Lista_Pedidos,FU26,0)&gt;0,VLOOKUP(FQ$2,Lista_Pedidos,FU26,0),""),"")</f>
        <v/>
      </c>
      <c r="FV11" s="526" t="str">
        <f>IFERROR(IF(VLOOKUP(FQ$2,Lista_Pedidos,FV26,0)&gt;0,VLOOKUP(FQ$2,Lista_Pedidos,FV26,0),""),"")</f>
        <v/>
      </c>
      <c r="FW11" s="864" t="str">
        <f>IF(SUM(FJ11:FV11)=0,"",SUM(FJ11:FV11))</f>
        <v/>
      </c>
      <c r="FX11" s="864"/>
      <c r="FY11" s="864"/>
      <c r="FZ11" s="865"/>
      <c r="GA11" s="854" t="str">
        <f>IFERROR(VLOOKUP(GQ2,Lista_Pedidos,3,0),"")</f>
        <v/>
      </c>
      <c r="GB11" s="855"/>
      <c r="GC11" s="855"/>
      <c r="GD11" s="855"/>
      <c r="GE11" s="855"/>
      <c r="GF11" s="867" t="str">
        <f>IFERROR(IF(VLOOKUP(GQ2,Clientes!$A:$K,2,0)=0,"",VLOOKUP(GQ2,Clientes!$A:$K,2,0)),"")</f>
        <v/>
      </c>
      <c r="GG11" s="867"/>
      <c r="GH11" s="867"/>
      <c r="GI11" s="867"/>
      <c r="GJ11" s="526" t="str">
        <f>IFERROR(IF(VLOOKUP(GQ$2,Lista_Pedidos,GJ26,0)&gt;0,VLOOKUP(GQ$2,Lista_Pedidos,GJ26,0),""),"")</f>
        <v/>
      </c>
      <c r="GK11" s="526" t="str">
        <f>IFERROR(IF(VLOOKUP(GQ$2,Lista_Pedidos,GK26,0)&gt;0,VLOOKUP(GQ$2,Lista_Pedidos,GK26,0),""),"")</f>
        <v/>
      </c>
      <c r="GL11" s="526" t="str">
        <f>IFERROR(IF(VLOOKUP(GQ$2,Lista_Pedidos,GL26,0)&gt;0,VLOOKUP(GQ$2,Lista_Pedidos,GL26,0),""),"")</f>
        <v/>
      </c>
      <c r="GM11" s="526" t="str">
        <f>IFERROR(IF(VLOOKUP(GQ$2,Lista_Pedidos,GM26,0)&gt;0,VLOOKUP(GQ$2,Lista_Pedidos,GM26,0),""),"")</f>
        <v/>
      </c>
      <c r="GN11" s="526" t="str">
        <f>IFERROR(IF(VLOOKUP(GQ$2,Lista_Pedidos,GN26,0)&gt;0,VLOOKUP(GQ$2,Lista_Pedidos,GN26,0),""),"")</f>
        <v/>
      </c>
      <c r="GO11" s="526" t="str">
        <f>IFERROR(IF(VLOOKUP(GQ$2,Lista_Pedidos,GO26,0)&gt;0,VLOOKUP(GQ$2,Lista_Pedidos,GO26,0),""),"")</f>
        <v/>
      </c>
      <c r="GP11" s="526" t="str">
        <f>IFERROR(IF(VLOOKUP(GQ$2,Lista_Pedidos,GP26,0)&gt;0,VLOOKUP(GQ$2,Lista_Pedidos,GP26,0),""),"")</f>
        <v/>
      </c>
      <c r="GQ11" s="526" t="str">
        <f>IFERROR(IF(VLOOKUP(GQ$2,Lista_Pedidos,GQ26,0)&gt;0,VLOOKUP(GQ$2,Lista_Pedidos,GQ26,0),""),"")</f>
        <v/>
      </c>
      <c r="GR11" s="526" t="str">
        <f>IFERROR(IF(VLOOKUP(GQ$2,Lista_Pedidos,GR26,0)&gt;0,VLOOKUP(GQ$2,Lista_Pedidos,GR26,0),""),"")</f>
        <v/>
      </c>
      <c r="GS11" s="526" t="str">
        <f>IFERROR(IF(VLOOKUP(GQ$2,Lista_Pedidos,GS26,0)&gt;0,VLOOKUP(GQ$2,Lista_Pedidos,GS26,0),""),"")</f>
        <v/>
      </c>
      <c r="GT11" s="526" t="str">
        <f>IFERROR(IF(VLOOKUP(GQ$2,Lista_Pedidos,GT26,0)&gt;0,VLOOKUP(GQ$2,Lista_Pedidos,GT26,0),""),"")</f>
        <v/>
      </c>
      <c r="GU11" s="526" t="str">
        <f>IFERROR(IF(VLOOKUP(GQ$2,Lista_Pedidos,GU26,0)&gt;0,VLOOKUP(GQ$2,Lista_Pedidos,GU26,0),""),"")</f>
        <v/>
      </c>
      <c r="GV11" s="526" t="str">
        <f>IFERROR(IF(VLOOKUP(GQ$2,Lista_Pedidos,GV26,0)&gt;0,VLOOKUP(GQ$2,Lista_Pedidos,GV26,0),""),"")</f>
        <v/>
      </c>
      <c r="GW11" s="864" t="str">
        <f>IF(SUM(GJ11:GV11)=0,"",SUM(GJ11:GV11))</f>
        <v/>
      </c>
      <c r="GX11" s="864"/>
      <c r="GY11" s="864"/>
      <c r="GZ11" s="865"/>
      <c r="HA11" s="854" t="str">
        <f>IFERROR(VLOOKUP(HQ2,Lista_Pedidos,3,0),"")</f>
        <v/>
      </c>
      <c r="HB11" s="855"/>
      <c r="HC11" s="855"/>
      <c r="HD11" s="855"/>
      <c r="HE11" s="855"/>
      <c r="HF11" s="867" t="str">
        <f>IFERROR(IF(VLOOKUP(HQ2,Clientes!$A:$K,2,0)=0,"",VLOOKUP(HQ2,Clientes!$A:$K,2,0)),"")</f>
        <v/>
      </c>
      <c r="HG11" s="867"/>
      <c r="HH11" s="867"/>
      <c r="HI11" s="867"/>
      <c r="HJ11" s="526" t="str">
        <f>IFERROR(IF(VLOOKUP(HQ$2,Lista_Pedidos,HJ26,0)&gt;0,VLOOKUP(HQ$2,Lista_Pedidos,HJ26,0),""),"")</f>
        <v/>
      </c>
      <c r="HK11" s="526" t="str">
        <f>IFERROR(IF(VLOOKUP(HQ$2,Lista_Pedidos,HK26,0)&gt;0,VLOOKUP(HQ$2,Lista_Pedidos,HK26,0),""),"")</f>
        <v/>
      </c>
      <c r="HL11" s="526" t="str">
        <f>IFERROR(IF(VLOOKUP(HQ$2,Lista_Pedidos,HL26,0)&gt;0,VLOOKUP(HQ$2,Lista_Pedidos,HL26,0),""),"")</f>
        <v/>
      </c>
      <c r="HM11" s="526" t="str">
        <f>IFERROR(IF(VLOOKUP(HQ$2,Lista_Pedidos,HM26,0)&gt;0,VLOOKUP(HQ$2,Lista_Pedidos,HM26,0),""),"")</f>
        <v/>
      </c>
      <c r="HN11" s="526" t="str">
        <f>IFERROR(IF(VLOOKUP(HQ$2,Lista_Pedidos,HN26,0)&gt;0,VLOOKUP(HQ$2,Lista_Pedidos,HN26,0),""),"")</f>
        <v/>
      </c>
      <c r="HO11" s="526" t="str">
        <f>IFERROR(IF(VLOOKUP(HQ$2,Lista_Pedidos,HO26,0)&gt;0,VLOOKUP(HQ$2,Lista_Pedidos,HO26,0),""),"")</f>
        <v/>
      </c>
      <c r="HP11" s="526" t="str">
        <f>IFERROR(IF(VLOOKUP(HQ$2,Lista_Pedidos,HP26,0)&gt;0,VLOOKUP(HQ$2,Lista_Pedidos,HP26,0),""),"")</f>
        <v/>
      </c>
      <c r="HQ11" s="526" t="str">
        <f>IFERROR(IF(VLOOKUP(HQ$2,Lista_Pedidos,HQ26,0)&gt;0,VLOOKUP(HQ$2,Lista_Pedidos,HQ26,0),""),"")</f>
        <v/>
      </c>
      <c r="HR11" s="526" t="str">
        <f>IFERROR(IF(VLOOKUP(HQ$2,Lista_Pedidos,HR26,0)&gt;0,VLOOKUP(HQ$2,Lista_Pedidos,HR26,0),""),"")</f>
        <v/>
      </c>
      <c r="HS11" s="526" t="str">
        <f>IFERROR(IF(VLOOKUP(HQ$2,Lista_Pedidos,HS26,0)&gt;0,VLOOKUP(HQ$2,Lista_Pedidos,HS26,0),""),"")</f>
        <v/>
      </c>
      <c r="HT11" s="526" t="str">
        <f>IFERROR(IF(VLOOKUP(HQ$2,Lista_Pedidos,HT26,0)&gt;0,VLOOKUP(HQ$2,Lista_Pedidos,HT26,0),""),"")</f>
        <v/>
      </c>
      <c r="HU11" s="526" t="str">
        <f>IFERROR(IF(VLOOKUP(HQ$2,Lista_Pedidos,HU26,0)&gt;0,VLOOKUP(HQ$2,Lista_Pedidos,HU26,0),""),"")</f>
        <v/>
      </c>
      <c r="HV11" s="526" t="str">
        <f>IFERROR(IF(VLOOKUP(HQ$2,Lista_Pedidos,HV26,0)&gt;0,VLOOKUP(HQ$2,Lista_Pedidos,HV26,0),""),"")</f>
        <v/>
      </c>
      <c r="HW11" s="864" t="str">
        <f>IF(SUM(HJ11:HV11)=0,"",SUM(HJ11:HV11))</f>
        <v/>
      </c>
      <c r="HX11" s="864"/>
      <c r="HY11" s="864"/>
      <c r="HZ11" s="865"/>
      <c r="IA11" s="854" t="str">
        <f>IFERROR(VLOOKUP(IQ2,Lista_Pedidos,3,0),"")</f>
        <v/>
      </c>
      <c r="IB11" s="855"/>
      <c r="IC11" s="855"/>
      <c r="ID11" s="855"/>
      <c r="IE11" s="855"/>
      <c r="IF11" s="867" t="str">
        <f>IFERROR(IF(VLOOKUP(IQ2,Clientes!$A:$K,2,0)=0,"",VLOOKUP(IQ2,Clientes!$A:$K,2,0)),"")</f>
        <v/>
      </c>
      <c r="IG11" s="867"/>
      <c r="IH11" s="867"/>
      <c r="II11" s="867"/>
      <c r="IJ11" s="526" t="str">
        <f>IFERROR(IF(VLOOKUP(IQ$2,Lista_Pedidos,IJ26,0)&gt;0,VLOOKUP(IQ$2,Lista_Pedidos,IJ26,0),""),"")</f>
        <v/>
      </c>
      <c r="IK11" s="526" t="str">
        <f>IFERROR(IF(VLOOKUP(IQ$2,Lista_Pedidos,IK26,0)&gt;0,VLOOKUP(IQ$2,Lista_Pedidos,IK26,0),""),"")</f>
        <v/>
      </c>
      <c r="IL11" s="526" t="str">
        <f>IFERROR(IF(VLOOKUP(IQ$2,Lista_Pedidos,IL26,0)&gt;0,VLOOKUP(IQ$2,Lista_Pedidos,IL26,0),""),"")</f>
        <v/>
      </c>
      <c r="IM11" s="526" t="str">
        <f>IFERROR(IF(VLOOKUP(IQ$2,Lista_Pedidos,IM26,0)&gt;0,VLOOKUP(IQ$2,Lista_Pedidos,IM26,0),""),"")</f>
        <v/>
      </c>
      <c r="IN11" s="526" t="str">
        <f>IFERROR(IF(VLOOKUP(IQ$2,Lista_Pedidos,IN26,0)&gt;0,VLOOKUP(IQ$2,Lista_Pedidos,IN26,0),""),"")</f>
        <v/>
      </c>
      <c r="IO11" s="526" t="str">
        <f>IFERROR(IF(VLOOKUP(IQ$2,Lista_Pedidos,IO26,0)&gt;0,VLOOKUP(IQ$2,Lista_Pedidos,IO26,0),""),"")</f>
        <v/>
      </c>
      <c r="IP11" s="526" t="str">
        <f>IFERROR(IF(VLOOKUP(IQ$2,Lista_Pedidos,IP26,0)&gt;0,VLOOKUP(IQ$2,Lista_Pedidos,IP26,0),""),"")</f>
        <v/>
      </c>
      <c r="IQ11" s="526" t="str">
        <f>IFERROR(IF(VLOOKUP(IQ$2,Lista_Pedidos,IQ26,0)&gt;0,VLOOKUP(IQ$2,Lista_Pedidos,IQ26,0),""),"")</f>
        <v/>
      </c>
      <c r="IR11" s="526" t="str">
        <f>IFERROR(IF(VLOOKUP(IQ$2,Lista_Pedidos,IR26,0)&gt;0,VLOOKUP(IQ$2,Lista_Pedidos,IR26,0),""),"")</f>
        <v/>
      </c>
      <c r="IS11" s="526" t="str">
        <f>IFERROR(IF(VLOOKUP(IQ$2,Lista_Pedidos,IS26,0)&gt;0,VLOOKUP(IQ$2,Lista_Pedidos,IS26,0),""),"")</f>
        <v/>
      </c>
      <c r="IT11" s="526" t="str">
        <f>IFERROR(IF(VLOOKUP(IQ$2,Lista_Pedidos,IT26,0)&gt;0,VLOOKUP(IQ$2,Lista_Pedidos,IT26,0),""),"")</f>
        <v/>
      </c>
      <c r="IU11" s="526" t="str">
        <f>IFERROR(IF(VLOOKUP(IQ$2,Lista_Pedidos,IU26,0)&gt;0,VLOOKUP(IQ$2,Lista_Pedidos,IU26,0),""),"")</f>
        <v/>
      </c>
      <c r="IV11" s="526" t="str">
        <f>IFERROR(IF(VLOOKUP(IQ$2,Lista_Pedidos,IV26,0)&gt;0,VLOOKUP(IQ$2,Lista_Pedidos,IV26,0),""),"")</f>
        <v/>
      </c>
      <c r="IW11" s="864" t="str">
        <f>IF(SUM(IJ11:IV11)=0,"",SUM(IJ11:IV11))</f>
        <v/>
      </c>
      <c r="IX11" s="864"/>
      <c r="IY11" s="864"/>
      <c r="IZ11" s="865"/>
    </row>
    <row r="12" spans="1:260" x14ac:dyDescent="0.25">
      <c r="A12" s="823"/>
      <c r="B12" s="824"/>
      <c r="C12" s="824"/>
      <c r="D12" s="824"/>
      <c r="E12" s="824"/>
      <c r="F12" s="824"/>
      <c r="G12" s="824"/>
      <c r="H12" s="824"/>
      <c r="I12" s="824"/>
      <c r="J12" s="824"/>
      <c r="K12" s="824"/>
      <c r="L12" s="824"/>
      <c r="M12" s="824"/>
      <c r="N12" s="824"/>
      <c r="O12" s="824"/>
      <c r="P12" s="824"/>
      <c r="Q12" s="824"/>
      <c r="R12" s="824"/>
      <c r="S12" s="824"/>
      <c r="T12" s="824"/>
      <c r="U12" s="824"/>
      <c r="V12" s="824"/>
      <c r="W12" s="824" t="str">
        <f>IFERROR(VLOOKUP(Q$2,Lista_Pedidos,2,0),"")</f>
        <v>Corte</v>
      </c>
      <c r="X12" s="824"/>
      <c r="Y12" s="824"/>
      <c r="Z12" s="825"/>
      <c r="AA12" s="823"/>
      <c r="AB12" s="824"/>
      <c r="AC12" s="824"/>
      <c r="AD12" s="824"/>
      <c r="AE12" s="824"/>
      <c r="AF12" s="824"/>
      <c r="AG12" s="824"/>
      <c r="AH12" s="824"/>
      <c r="AI12" s="824"/>
      <c r="AJ12" s="824"/>
      <c r="AK12" s="824"/>
      <c r="AL12" s="824"/>
      <c r="AM12" s="824"/>
      <c r="AN12" s="824"/>
      <c r="AO12" s="824"/>
      <c r="AP12" s="824"/>
      <c r="AQ12" s="824"/>
      <c r="AR12" s="824"/>
      <c r="AS12" s="824"/>
      <c r="AT12" s="824"/>
      <c r="AU12" s="824"/>
      <c r="AV12" s="824"/>
      <c r="AW12" s="824" t="str">
        <f>IFERROR(VLOOKUP(AQ$2,Lista_Pedidos,2,0),"")</f>
        <v>Diseño</v>
      </c>
      <c r="AX12" s="824"/>
      <c r="AY12" s="824"/>
      <c r="AZ12" s="825"/>
      <c r="BA12" s="823"/>
      <c r="BB12" s="824"/>
      <c r="BC12" s="824"/>
      <c r="BD12" s="824"/>
      <c r="BE12" s="824"/>
      <c r="BF12" s="824"/>
      <c r="BG12" s="824"/>
      <c r="BH12" s="824"/>
      <c r="BI12" s="824"/>
      <c r="BJ12" s="824"/>
      <c r="BK12" s="824"/>
      <c r="BL12" s="824"/>
      <c r="BM12" s="824"/>
      <c r="BN12" s="824"/>
      <c r="BO12" s="824"/>
      <c r="BP12" s="824"/>
      <c r="BQ12" s="824"/>
      <c r="BR12" s="824"/>
      <c r="BS12" s="824"/>
      <c r="BT12" s="824"/>
      <c r="BU12" s="824"/>
      <c r="BV12" s="824"/>
      <c r="BW12" s="824" t="str">
        <f>IFERROR(VLOOKUP(BQ$2,Lista_Pedidos,2,0),"")</f>
        <v/>
      </c>
      <c r="BX12" s="824"/>
      <c r="BY12" s="824"/>
      <c r="BZ12" s="825"/>
      <c r="CA12" s="823"/>
      <c r="CB12" s="824"/>
      <c r="CC12" s="824"/>
      <c r="CD12" s="824"/>
      <c r="CE12" s="824"/>
      <c r="CF12" s="824"/>
      <c r="CG12" s="824"/>
      <c r="CH12" s="824"/>
      <c r="CI12" s="824"/>
      <c r="CJ12" s="824"/>
      <c r="CK12" s="824"/>
      <c r="CL12" s="824"/>
      <c r="CM12" s="824"/>
      <c r="CN12" s="824"/>
      <c r="CO12" s="824"/>
      <c r="CP12" s="824"/>
      <c r="CQ12" s="824"/>
      <c r="CR12" s="824"/>
      <c r="CS12" s="824"/>
      <c r="CT12" s="824"/>
      <c r="CU12" s="824"/>
      <c r="CV12" s="824"/>
      <c r="CW12" s="824" t="str">
        <f>IFERROR(VLOOKUP(CQ$2,Lista_Pedidos,2,0),"")</f>
        <v/>
      </c>
      <c r="CX12" s="824"/>
      <c r="CY12" s="824"/>
      <c r="CZ12" s="825"/>
      <c r="DA12" s="823"/>
      <c r="DB12" s="824"/>
      <c r="DC12" s="824"/>
      <c r="DD12" s="824"/>
      <c r="DE12" s="824"/>
      <c r="DF12" s="824"/>
      <c r="DG12" s="824"/>
      <c r="DH12" s="824"/>
      <c r="DI12" s="824"/>
      <c r="DJ12" s="824"/>
      <c r="DK12" s="824"/>
      <c r="DL12" s="824"/>
      <c r="DM12" s="824"/>
      <c r="DN12" s="824"/>
      <c r="DO12" s="824"/>
      <c r="DP12" s="824"/>
      <c r="DQ12" s="824"/>
      <c r="DR12" s="824"/>
      <c r="DS12" s="824"/>
      <c r="DT12" s="824"/>
      <c r="DU12" s="824"/>
      <c r="DV12" s="824"/>
      <c r="DW12" s="824" t="str">
        <f>IFERROR(VLOOKUP(DQ$2,Lista_Pedidos,2,0),"")</f>
        <v/>
      </c>
      <c r="DX12" s="824"/>
      <c r="DY12" s="824"/>
      <c r="DZ12" s="825"/>
      <c r="EA12" s="823"/>
      <c r="EB12" s="824"/>
      <c r="EC12" s="824"/>
      <c r="ED12" s="824"/>
      <c r="EE12" s="824"/>
      <c r="EF12" s="824"/>
      <c r="EG12" s="824"/>
      <c r="EH12" s="824"/>
      <c r="EI12" s="824"/>
      <c r="EJ12" s="824"/>
      <c r="EK12" s="824"/>
      <c r="EL12" s="824"/>
      <c r="EM12" s="824"/>
      <c r="EN12" s="824"/>
      <c r="EO12" s="824"/>
      <c r="EP12" s="824"/>
      <c r="EQ12" s="824"/>
      <c r="ER12" s="824"/>
      <c r="ES12" s="824"/>
      <c r="ET12" s="824"/>
      <c r="EU12" s="824"/>
      <c r="EV12" s="824"/>
      <c r="EW12" s="824" t="str">
        <f>IFERROR(VLOOKUP(EQ$2,Lista_Pedidos,2,0),"")</f>
        <v/>
      </c>
      <c r="EX12" s="824"/>
      <c r="EY12" s="824"/>
      <c r="EZ12" s="825"/>
      <c r="FA12" s="823"/>
      <c r="FB12" s="824"/>
      <c r="FC12" s="824"/>
      <c r="FD12" s="824"/>
      <c r="FE12" s="824"/>
      <c r="FF12" s="824"/>
      <c r="FG12" s="824"/>
      <c r="FH12" s="824"/>
      <c r="FI12" s="824"/>
      <c r="FJ12" s="824"/>
      <c r="FK12" s="824"/>
      <c r="FL12" s="824"/>
      <c r="FM12" s="824"/>
      <c r="FN12" s="824"/>
      <c r="FO12" s="824"/>
      <c r="FP12" s="824"/>
      <c r="FQ12" s="824"/>
      <c r="FR12" s="824"/>
      <c r="FS12" s="824"/>
      <c r="FT12" s="824"/>
      <c r="FU12" s="824"/>
      <c r="FV12" s="824"/>
      <c r="FW12" s="824" t="str">
        <f>IFERROR(VLOOKUP(FQ$2,Lista_Pedidos,2,0),"")</f>
        <v/>
      </c>
      <c r="FX12" s="824"/>
      <c r="FY12" s="824"/>
      <c r="FZ12" s="825"/>
      <c r="GA12" s="823"/>
      <c r="GB12" s="824"/>
      <c r="GC12" s="824"/>
      <c r="GD12" s="824"/>
      <c r="GE12" s="824"/>
      <c r="GF12" s="824"/>
      <c r="GG12" s="824"/>
      <c r="GH12" s="824"/>
      <c r="GI12" s="824"/>
      <c r="GJ12" s="824"/>
      <c r="GK12" s="824"/>
      <c r="GL12" s="824"/>
      <c r="GM12" s="824"/>
      <c r="GN12" s="824"/>
      <c r="GO12" s="824"/>
      <c r="GP12" s="824"/>
      <c r="GQ12" s="824"/>
      <c r="GR12" s="824"/>
      <c r="GS12" s="824"/>
      <c r="GT12" s="824"/>
      <c r="GU12" s="824"/>
      <c r="GV12" s="824"/>
      <c r="GW12" s="824" t="str">
        <f>IFERROR(VLOOKUP(GQ$2,Lista_Pedidos,2,0),"")</f>
        <v/>
      </c>
      <c r="GX12" s="824"/>
      <c r="GY12" s="824"/>
      <c r="GZ12" s="825"/>
      <c r="HA12" s="823"/>
      <c r="HB12" s="824"/>
      <c r="HC12" s="824"/>
      <c r="HD12" s="824"/>
      <c r="HE12" s="824"/>
      <c r="HF12" s="824"/>
      <c r="HG12" s="824"/>
      <c r="HH12" s="824"/>
      <c r="HI12" s="824"/>
      <c r="HJ12" s="824"/>
      <c r="HK12" s="824"/>
      <c r="HL12" s="824"/>
      <c r="HM12" s="824"/>
      <c r="HN12" s="824"/>
      <c r="HO12" s="824"/>
      <c r="HP12" s="824"/>
      <c r="HQ12" s="824"/>
      <c r="HR12" s="824"/>
      <c r="HS12" s="824"/>
      <c r="HT12" s="824"/>
      <c r="HU12" s="824"/>
      <c r="HV12" s="824"/>
      <c r="HW12" s="824" t="str">
        <f>IFERROR(VLOOKUP(HQ$2,Lista_Pedidos,2,0),"")</f>
        <v/>
      </c>
      <c r="HX12" s="824"/>
      <c r="HY12" s="824"/>
      <c r="HZ12" s="825"/>
      <c r="IA12" s="823"/>
      <c r="IB12" s="824"/>
      <c r="IC12" s="824"/>
      <c r="ID12" s="824"/>
      <c r="IE12" s="824"/>
      <c r="IF12" s="824"/>
      <c r="IG12" s="824"/>
      <c r="IH12" s="824"/>
      <c r="II12" s="824"/>
      <c r="IJ12" s="824"/>
      <c r="IK12" s="824"/>
      <c r="IL12" s="824"/>
      <c r="IM12" s="824"/>
      <c r="IN12" s="824"/>
      <c r="IO12" s="824"/>
      <c r="IP12" s="824"/>
      <c r="IQ12" s="824"/>
      <c r="IR12" s="824"/>
      <c r="IS12" s="824"/>
      <c r="IT12" s="824"/>
      <c r="IU12" s="824"/>
      <c r="IV12" s="824"/>
      <c r="IW12" s="824" t="str">
        <f>IFERROR(VLOOKUP(IQ$2,Lista_Pedidos,2,0),"")</f>
        <v/>
      </c>
      <c r="IX12" s="824"/>
      <c r="IY12" s="824"/>
      <c r="IZ12" s="825"/>
    </row>
    <row r="13" spans="1:260" x14ac:dyDescent="0.25">
      <c r="A13" s="800" t="str">
        <f>IFERROR("Nombre de Tela :      " &amp; VLOOKUP(Q$2,Lista_Pedidos,6,0),"")</f>
        <v>Nombre de Tela :      30150 (WHTE)/30150 (BLACK)</v>
      </c>
      <c r="B13" s="801"/>
      <c r="C13" s="801"/>
      <c r="D13" s="801"/>
      <c r="E13" s="801"/>
      <c r="F13" s="801"/>
      <c r="G13" s="801"/>
      <c r="H13" s="801"/>
      <c r="I13" s="801"/>
      <c r="J13" s="801"/>
      <c r="K13" s="801"/>
      <c r="L13" s="801"/>
      <c r="M13" s="801"/>
      <c r="N13" s="801"/>
      <c r="O13" s="801"/>
      <c r="P13" s="801"/>
      <c r="Q13" s="801"/>
      <c r="R13" s="801"/>
      <c r="S13" s="801"/>
      <c r="T13" s="801"/>
      <c r="U13" s="801"/>
      <c r="V13" s="801"/>
      <c r="W13" s="826"/>
      <c r="X13" s="826"/>
      <c r="Y13" s="826"/>
      <c r="Z13" s="827"/>
      <c r="AA13" s="800" t="str">
        <f>IFERROR("Nombre de Tela :      " &amp; VLOOKUP(AQ$2,Lista_Pedidos,6,0),"")</f>
        <v>Nombre de Tela :      4206 (WHITE)</v>
      </c>
      <c r="AB13" s="801"/>
      <c r="AC13" s="801"/>
      <c r="AD13" s="801"/>
      <c r="AE13" s="801"/>
      <c r="AF13" s="801"/>
      <c r="AG13" s="801"/>
      <c r="AH13" s="801"/>
      <c r="AI13" s="801"/>
      <c r="AJ13" s="801"/>
      <c r="AK13" s="801"/>
      <c r="AL13" s="801"/>
      <c r="AM13" s="801"/>
      <c r="AN13" s="801"/>
      <c r="AO13" s="801"/>
      <c r="AP13" s="801"/>
      <c r="AQ13" s="801"/>
      <c r="AR13" s="801"/>
      <c r="AS13" s="801"/>
      <c r="AT13" s="801"/>
      <c r="AU13" s="801"/>
      <c r="AV13" s="801"/>
      <c r="AW13" s="826"/>
      <c r="AX13" s="826"/>
      <c r="AY13" s="826"/>
      <c r="AZ13" s="827"/>
      <c r="BA13" s="800" t="str">
        <f>IFERROR("Nombre de Tela :      " &amp; VLOOKUP(BQ$2,Lista_Pedidos,6,0),"")</f>
        <v/>
      </c>
      <c r="BB13" s="801"/>
      <c r="BC13" s="801"/>
      <c r="BD13" s="801"/>
      <c r="BE13" s="801"/>
      <c r="BF13" s="801"/>
      <c r="BG13" s="801"/>
      <c r="BH13" s="801"/>
      <c r="BI13" s="801"/>
      <c r="BJ13" s="801"/>
      <c r="BK13" s="801"/>
      <c r="BL13" s="801"/>
      <c r="BM13" s="801"/>
      <c r="BN13" s="801"/>
      <c r="BO13" s="801"/>
      <c r="BP13" s="801"/>
      <c r="BQ13" s="801"/>
      <c r="BR13" s="801"/>
      <c r="BS13" s="801"/>
      <c r="BT13" s="801"/>
      <c r="BU13" s="801"/>
      <c r="BV13" s="801"/>
      <c r="BW13" s="826"/>
      <c r="BX13" s="826"/>
      <c r="BY13" s="826"/>
      <c r="BZ13" s="827"/>
      <c r="CA13" s="800" t="str">
        <f>IFERROR("Nombre de Tela :      " &amp; VLOOKUP(CQ$2,Lista_Pedidos,6,0),"")</f>
        <v/>
      </c>
      <c r="CB13" s="801"/>
      <c r="CC13" s="801"/>
      <c r="CD13" s="801"/>
      <c r="CE13" s="801"/>
      <c r="CF13" s="801"/>
      <c r="CG13" s="801"/>
      <c r="CH13" s="801"/>
      <c r="CI13" s="801"/>
      <c r="CJ13" s="801"/>
      <c r="CK13" s="801"/>
      <c r="CL13" s="801"/>
      <c r="CM13" s="801"/>
      <c r="CN13" s="801"/>
      <c r="CO13" s="801"/>
      <c r="CP13" s="801"/>
      <c r="CQ13" s="801"/>
      <c r="CR13" s="801"/>
      <c r="CS13" s="801"/>
      <c r="CT13" s="801"/>
      <c r="CU13" s="801"/>
      <c r="CV13" s="801"/>
      <c r="CW13" s="826"/>
      <c r="CX13" s="826"/>
      <c r="CY13" s="826"/>
      <c r="CZ13" s="827"/>
      <c r="DA13" s="800" t="str">
        <f>IFERROR("Nombre de Tela :      " &amp; VLOOKUP(DQ$2,Lista_Pedidos,6,0),"")</f>
        <v/>
      </c>
      <c r="DB13" s="801"/>
      <c r="DC13" s="801"/>
      <c r="DD13" s="801"/>
      <c r="DE13" s="801"/>
      <c r="DF13" s="801"/>
      <c r="DG13" s="801"/>
      <c r="DH13" s="801"/>
      <c r="DI13" s="801"/>
      <c r="DJ13" s="801"/>
      <c r="DK13" s="801"/>
      <c r="DL13" s="801"/>
      <c r="DM13" s="801"/>
      <c r="DN13" s="801"/>
      <c r="DO13" s="801"/>
      <c r="DP13" s="801"/>
      <c r="DQ13" s="801"/>
      <c r="DR13" s="801"/>
      <c r="DS13" s="801"/>
      <c r="DT13" s="801"/>
      <c r="DU13" s="801"/>
      <c r="DV13" s="801"/>
      <c r="DW13" s="826"/>
      <c r="DX13" s="826"/>
      <c r="DY13" s="826"/>
      <c r="DZ13" s="827"/>
      <c r="EA13" s="800" t="str">
        <f>IFERROR("Nombre de Tela :      " &amp; VLOOKUP(EQ$2,Lista_Pedidos,6,0),"")</f>
        <v/>
      </c>
      <c r="EB13" s="801"/>
      <c r="EC13" s="801"/>
      <c r="ED13" s="801"/>
      <c r="EE13" s="801"/>
      <c r="EF13" s="801"/>
      <c r="EG13" s="801"/>
      <c r="EH13" s="801"/>
      <c r="EI13" s="801"/>
      <c r="EJ13" s="801"/>
      <c r="EK13" s="801"/>
      <c r="EL13" s="801"/>
      <c r="EM13" s="801"/>
      <c r="EN13" s="801"/>
      <c r="EO13" s="801"/>
      <c r="EP13" s="801"/>
      <c r="EQ13" s="801"/>
      <c r="ER13" s="801"/>
      <c r="ES13" s="801"/>
      <c r="ET13" s="801"/>
      <c r="EU13" s="801"/>
      <c r="EV13" s="801"/>
      <c r="EW13" s="826"/>
      <c r="EX13" s="826"/>
      <c r="EY13" s="826"/>
      <c r="EZ13" s="827"/>
      <c r="FA13" s="800" t="str">
        <f>IFERROR("Nombre de Tela :      " &amp; VLOOKUP(FQ$2,Lista_Pedidos,6,0),"")</f>
        <v/>
      </c>
      <c r="FB13" s="801"/>
      <c r="FC13" s="801"/>
      <c r="FD13" s="801"/>
      <c r="FE13" s="801"/>
      <c r="FF13" s="801"/>
      <c r="FG13" s="801"/>
      <c r="FH13" s="801"/>
      <c r="FI13" s="801"/>
      <c r="FJ13" s="801"/>
      <c r="FK13" s="801"/>
      <c r="FL13" s="801"/>
      <c r="FM13" s="801"/>
      <c r="FN13" s="801"/>
      <c r="FO13" s="801"/>
      <c r="FP13" s="801"/>
      <c r="FQ13" s="801"/>
      <c r="FR13" s="801"/>
      <c r="FS13" s="801"/>
      <c r="FT13" s="801"/>
      <c r="FU13" s="801"/>
      <c r="FV13" s="801"/>
      <c r="FW13" s="826"/>
      <c r="FX13" s="826"/>
      <c r="FY13" s="826"/>
      <c r="FZ13" s="827"/>
      <c r="GA13" s="800" t="str">
        <f>IFERROR("Nombre de Tela :      " &amp; VLOOKUP(GQ$2,Lista_Pedidos,6,0),"")</f>
        <v/>
      </c>
      <c r="GB13" s="801"/>
      <c r="GC13" s="801"/>
      <c r="GD13" s="801"/>
      <c r="GE13" s="801"/>
      <c r="GF13" s="801"/>
      <c r="GG13" s="801"/>
      <c r="GH13" s="801"/>
      <c r="GI13" s="801"/>
      <c r="GJ13" s="801"/>
      <c r="GK13" s="801"/>
      <c r="GL13" s="801"/>
      <c r="GM13" s="801"/>
      <c r="GN13" s="801"/>
      <c r="GO13" s="801"/>
      <c r="GP13" s="801"/>
      <c r="GQ13" s="801"/>
      <c r="GR13" s="801"/>
      <c r="GS13" s="801"/>
      <c r="GT13" s="801"/>
      <c r="GU13" s="801"/>
      <c r="GV13" s="801"/>
      <c r="GW13" s="826"/>
      <c r="GX13" s="826"/>
      <c r="GY13" s="826"/>
      <c r="GZ13" s="827"/>
      <c r="HA13" s="800" t="str">
        <f>IFERROR("Nombre de Tela :      " &amp; VLOOKUP(HQ$2,Lista_Pedidos,6,0),"")</f>
        <v/>
      </c>
      <c r="HB13" s="801"/>
      <c r="HC13" s="801"/>
      <c r="HD13" s="801"/>
      <c r="HE13" s="801"/>
      <c r="HF13" s="801"/>
      <c r="HG13" s="801"/>
      <c r="HH13" s="801"/>
      <c r="HI13" s="801"/>
      <c r="HJ13" s="801"/>
      <c r="HK13" s="801"/>
      <c r="HL13" s="801"/>
      <c r="HM13" s="801"/>
      <c r="HN13" s="801"/>
      <c r="HO13" s="801"/>
      <c r="HP13" s="801"/>
      <c r="HQ13" s="801"/>
      <c r="HR13" s="801"/>
      <c r="HS13" s="801"/>
      <c r="HT13" s="801"/>
      <c r="HU13" s="801"/>
      <c r="HV13" s="801"/>
      <c r="HW13" s="826"/>
      <c r="HX13" s="826"/>
      <c r="HY13" s="826"/>
      <c r="HZ13" s="827"/>
      <c r="IA13" s="800" t="str">
        <f>IFERROR("Nombre de Tela :      " &amp; VLOOKUP(IQ$2,Lista_Pedidos,6,0),"")</f>
        <v/>
      </c>
      <c r="IB13" s="801"/>
      <c r="IC13" s="801"/>
      <c r="ID13" s="801"/>
      <c r="IE13" s="801"/>
      <c r="IF13" s="801"/>
      <c r="IG13" s="801"/>
      <c r="IH13" s="801"/>
      <c r="II13" s="801"/>
      <c r="IJ13" s="801"/>
      <c r="IK13" s="801"/>
      <c r="IL13" s="801"/>
      <c r="IM13" s="801"/>
      <c r="IN13" s="801"/>
      <c r="IO13" s="801"/>
      <c r="IP13" s="801"/>
      <c r="IQ13" s="801"/>
      <c r="IR13" s="801"/>
      <c r="IS13" s="801"/>
      <c r="IT13" s="801"/>
      <c r="IU13" s="801"/>
      <c r="IV13" s="801"/>
      <c r="IW13" s="826"/>
      <c r="IX13" s="826"/>
      <c r="IY13" s="826"/>
      <c r="IZ13" s="827"/>
    </row>
    <row r="14" spans="1:260" x14ac:dyDescent="0.25">
      <c r="A14" s="800" t="str">
        <f>IFERROR("Hilo :      " &amp; VLOOKUP(Q$2,Lista_Pedidos,7,0),"")</f>
        <v>Hilo :      Verde</v>
      </c>
      <c r="B14" s="801"/>
      <c r="C14" s="801"/>
      <c r="D14" s="801"/>
      <c r="E14" s="801"/>
      <c r="F14" s="801"/>
      <c r="G14" s="801"/>
      <c r="H14" s="801"/>
      <c r="I14" s="801"/>
      <c r="J14" s="801"/>
      <c r="K14" s="801"/>
      <c r="L14" s="801"/>
      <c r="M14" s="801"/>
      <c r="N14" s="801"/>
      <c r="O14" s="801"/>
      <c r="P14" s="801"/>
      <c r="Q14" s="801"/>
      <c r="R14" s="801"/>
      <c r="S14" s="801"/>
      <c r="T14" s="801"/>
      <c r="U14" s="801"/>
      <c r="V14" s="801"/>
      <c r="W14" s="801"/>
      <c r="X14" s="801"/>
      <c r="Y14" s="801"/>
      <c r="Z14" s="802"/>
      <c r="AA14" s="800" t="str">
        <f>IFERROR("Hilo :      " &amp; VLOOKUP(AQ$2,Lista_Pedidos,7,0),"")</f>
        <v>Hilo :      Rojo</v>
      </c>
      <c r="AB14" s="801"/>
      <c r="AC14" s="801"/>
      <c r="AD14" s="801"/>
      <c r="AE14" s="801"/>
      <c r="AF14" s="801"/>
      <c r="AG14" s="801"/>
      <c r="AH14" s="801"/>
      <c r="AI14" s="801"/>
      <c r="AJ14" s="801"/>
      <c r="AK14" s="801"/>
      <c r="AL14" s="801"/>
      <c r="AM14" s="801"/>
      <c r="AN14" s="801"/>
      <c r="AO14" s="801"/>
      <c r="AP14" s="801"/>
      <c r="AQ14" s="801"/>
      <c r="AR14" s="801"/>
      <c r="AS14" s="801"/>
      <c r="AT14" s="801"/>
      <c r="AU14" s="801"/>
      <c r="AV14" s="801"/>
      <c r="AW14" s="801"/>
      <c r="AX14" s="801"/>
      <c r="AY14" s="801"/>
      <c r="AZ14" s="802"/>
      <c r="BA14" s="800" t="str">
        <f>IFERROR("Hilo :      " &amp; VLOOKUP(BQ$2,Lista_Pedidos,7,0),"")</f>
        <v/>
      </c>
      <c r="BB14" s="801"/>
      <c r="BC14" s="801"/>
      <c r="BD14" s="801"/>
      <c r="BE14" s="801"/>
      <c r="BF14" s="801"/>
      <c r="BG14" s="801"/>
      <c r="BH14" s="801"/>
      <c r="BI14" s="801"/>
      <c r="BJ14" s="801"/>
      <c r="BK14" s="801"/>
      <c r="BL14" s="801"/>
      <c r="BM14" s="801"/>
      <c r="BN14" s="801"/>
      <c r="BO14" s="801"/>
      <c r="BP14" s="801"/>
      <c r="BQ14" s="801"/>
      <c r="BR14" s="801"/>
      <c r="BS14" s="801"/>
      <c r="BT14" s="801"/>
      <c r="BU14" s="801"/>
      <c r="BV14" s="801"/>
      <c r="BW14" s="801"/>
      <c r="BX14" s="801"/>
      <c r="BY14" s="801"/>
      <c r="BZ14" s="802"/>
      <c r="CA14" s="800" t="str">
        <f>IFERROR("Hilo :      " &amp; VLOOKUP(CQ$2,Lista_Pedidos,7,0),"")</f>
        <v/>
      </c>
      <c r="CB14" s="801"/>
      <c r="CC14" s="801"/>
      <c r="CD14" s="801"/>
      <c r="CE14" s="801"/>
      <c r="CF14" s="801"/>
      <c r="CG14" s="801"/>
      <c r="CH14" s="801"/>
      <c r="CI14" s="801"/>
      <c r="CJ14" s="801"/>
      <c r="CK14" s="801"/>
      <c r="CL14" s="801"/>
      <c r="CM14" s="801"/>
      <c r="CN14" s="801"/>
      <c r="CO14" s="801"/>
      <c r="CP14" s="801"/>
      <c r="CQ14" s="801"/>
      <c r="CR14" s="801"/>
      <c r="CS14" s="801"/>
      <c r="CT14" s="801"/>
      <c r="CU14" s="801"/>
      <c r="CV14" s="801"/>
      <c r="CW14" s="801"/>
      <c r="CX14" s="801"/>
      <c r="CY14" s="801"/>
      <c r="CZ14" s="802"/>
      <c r="DA14" s="800" t="str">
        <f>IFERROR("Hilo :      " &amp; VLOOKUP(DQ$2,Lista_Pedidos,7,0),"")</f>
        <v/>
      </c>
      <c r="DB14" s="801"/>
      <c r="DC14" s="801"/>
      <c r="DD14" s="801"/>
      <c r="DE14" s="801"/>
      <c r="DF14" s="801"/>
      <c r="DG14" s="801"/>
      <c r="DH14" s="801"/>
      <c r="DI14" s="801"/>
      <c r="DJ14" s="801"/>
      <c r="DK14" s="801"/>
      <c r="DL14" s="801"/>
      <c r="DM14" s="801"/>
      <c r="DN14" s="801"/>
      <c r="DO14" s="801"/>
      <c r="DP14" s="801"/>
      <c r="DQ14" s="801"/>
      <c r="DR14" s="801"/>
      <c r="DS14" s="801"/>
      <c r="DT14" s="801"/>
      <c r="DU14" s="801"/>
      <c r="DV14" s="801"/>
      <c r="DW14" s="801"/>
      <c r="DX14" s="801"/>
      <c r="DY14" s="801"/>
      <c r="DZ14" s="802"/>
      <c r="EA14" s="800" t="str">
        <f>IFERROR("Hilo :      " &amp; VLOOKUP(EQ$2,Lista_Pedidos,7,0),"")</f>
        <v/>
      </c>
      <c r="EB14" s="801"/>
      <c r="EC14" s="801"/>
      <c r="ED14" s="801"/>
      <c r="EE14" s="801"/>
      <c r="EF14" s="801"/>
      <c r="EG14" s="801"/>
      <c r="EH14" s="801"/>
      <c r="EI14" s="801"/>
      <c r="EJ14" s="801"/>
      <c r="EK14" s="801"/>
      <c r="EL14" s="801"/>
      <c r="EM14" s="801"/>
      <c r="EN14" s="801"/>
      <c r="EO14" s="801"/>
      <c r="EP14" s="801"/>
      <c r="EQ14" s="801"/>
      <c r="ER14" s="801"/>
      <c r="ES14" s="801"/>
      <c r="ET14" s="801"/>
      <c r="EU14" s="801"/>
      <c r="EV14" s="801"/>
      <c r="EW14" s="801"/>
      <c r="EX14" s="801"/>
      <c r="EY14" s="801"/>
      <c r="EZ14" s="802"/>
      <c r="FA14" s="800" t="str">
        <f>IFERROR("Hilo :      " &amp; VLOOKUP(FQ$2,Lista_Pedidos,7,0),"")</f>
        <v/>
      </c>
      <c r="FB14" s="801"/>
      <c r="FC14" s="801"/>
      <c r="FD14" s="801"/>
      <c r="FE14" s="801"/>
      <c r="FF14" s="801"/>
      <c r="FG14" s="801"/>
      <c r="FH14" s="801"/>
      <c r="FI14" s="801"/>
      <c r="FJ14" s="801"/>
      <c r="FK14" s="801"/>
      <c r="FL14" s="801"/>
      <c r="FM14" s="801"/>
      <c r="FN14" s="801"/>
      <c r="FO14" s="801"/>
      <c r="FP14" s="801"/>
      <c r="FQ14" s="801"/>
      <c r="FR14" s="801"/>
      <c r="FS14" s="801"/>
      <c r="FT14" s="801"/>
      <c r="FU14" s="801"/>
      <c r="FV14" s="801"/>
      <c r="FW14" s="801"/>
      <c r="FX14" s="801"/>
      <c r="FY14" s="801"/>
      <c r="FZ14" s="802"/>
      <c r="GA14" s="800" t="str">
        <f>IFERROR("Hilo :      " &amp; VLOOKUP(GQ$2,Lista_Pedidos,7,0),"")</f>
        <v/>
      </c>
      <c r="GB14" s="801"/>
      <c r="GC14" s="801"/>
      <c r="GD14" s="801"/>
      <c r="GE14" s="801"/>
      <c r="GF14" s="801"/>
      <c r="GG14" s="801"/>
      <c r="GH14" s="801"/>
      <c r="GI14" s="801"/>
      <c r="GJ14" s="801"/>
      <c r="GK14" s="801"/>
      <c r="GL14" s="801"/>
      <c r="GM14" s="801"/>
      <c r="GN14" s="801"/>
      <c r="GO14" s="801"/>
      <c r="GP14" s="801"/>
      <c r="GQ14" s="801"/>
      <c r="GR14" s="801"/>
      <c r="GS14" s="801"/>
      <c r="GT14" s="801"/>
      <c r="GU14" s="801"/>
      <c r="GV14" s="801"/>
      <c r="GW14" s="801"/>
      <c r="GX14" s="801"/>
      <c r="GY14" s="801"/>
      <c r="GZ14" s="802"/>
      <c r="HA14" s="800" t="str">
        <f>IFERROR("Hilo :      " &amp; VLOOKUP(HQ$2,Lista_Pedidos,7,0),"")</f>
        <v/>
      </c>
      <c r="HB14" s="801"/>
      <c r="HC14" s="801"/>
      <c r="HD14" s="801"/>
      <c r="HE14" s="801"/>
      <c r="HF14" s="801"/>
      <c r="HG14" s="801"/>
      <c r="HH14" s="801"/>
      <c r="HI14" s="801"/>
      <c r="HJ14" s="801"/>
      <c r="HK14" s="801"/>
      <c r="HL14" s="801"/>
      <c r="HM14" s="801"/>
      <c r="HN14" s="801"/>
      <c r="HO14" s="801"/>
      <c r="HP14" s="801"/>
      <c r="HQ14" s="801"/>
      <c r="HR14" s="801"/>
      <c r="HS14" s="801"/>
      <c r="HT14" s="801"/>
      <c r="HU14" s="801"/>
      <c r="HV14" s="801"/>
      <c r="HW14" s="801"/>
      <c r="HX14" s="801"/>
      <c r="HY14" s="801"/>
      <c r="HZ14" s="802"/>
      <c r="IA14" s="800" t="str">
        <f>IFERROR("Hilo :      " &amp; VLOOKUP(IQ$2,Lista_Pedidos,7,0),"")</f>
        <v/>
      </c>
      <c r="IB14" s="801"/>
      <c r="IC14" s="801"/>
      <c r="ID14" s="801"/>
      <c r="IE14" s="801"/>
      <c r="IF14" s="801"/>
      <c r="IG14" s="801"/>
      <c r="IH14" s="801"/>
      <c r="II14" s="801"/>
      <c r="IJ14" s="801"/>
      <c r="IK14" s="801"/>
      <c r="IL14" s="801"/>
      <c r="IM14" s="801"/>
      <c r="IN14" s="801"/>
      <c r="IO14" s="801"/>
      <c r="IP14" s="801"/>
      <c r="IQ14" s="801"/>
      <c r="IR14" s="801"/>
      <c r="IS14" s="801"/>
      <c r="IT14" s="801"/>
      <c r="IU14" s="801"/>
      <c r="IV14" s="801"/>
      <c r="IW14" s="801"/>
      <c r="IX14" s="801"/>
      <c r="IY14" s="801"/>
      <c r="IZ14" s="802"/>
    </row>
    <row r="15" spans="1:260" x14ac:dyDescent="0.25">
      <c r="A15" s="800" t="str">
        <f>IFERROR(IF(VLOOKUP(Q$2,Lista_Pedidos,8,0)&lt;&gt;"","Forro :      " &amp; VLOOKUP(Q$2,Lista_Pedidos,8,0),""),"")</f>
        <v>Forro :      Blanco</v>
      </c>
      <c r="B15" s="801"/>
      <c r="C15" s="801"/>
      <c r="D15" s="801"/>
      <c r="E15" s="801"/>
      <c r="F15" s="801"/>
      <c r="G15" s="801"/>
      <c r="H15" s="801"/>
      <c r="I15" s="801"/>
      <c r="J15" s="801"/>
      <c r="K15" s="801"/>
      <c r="L15" s="801"/>
      <c r="M15" s="801"/>
      <c r="N15" s="801"/>
      <c r="O15" s="801"/>
      <c r="P15" s="801"/>
      <c r="Q15" s="801"/>
      <c r="R15" s="801"/>
      <c r="S15" s="801"/>
      <c r="T15" s="801"/>
      <c r="U15" s="801"/>
      <c r="V15" s="801"/>
      <c r="W15" s="801"/>
      <c r="X15" s="801"/>
      <c r="Y15" s="801"/>
      <c r="Z15" s="802"/>
      <c r="AA15" s="800" t="str">
        <f>IFERROR(IF(VLOOKUP(AQ$2,Lista_Pedidos,8,0)&lt;&gt;"","Forro :      " &amp; VLOOKUP(AQ$2,Lista_Pedidos,8,0),""),"")</f>
        <v/>
      </c>
      <c r="AB15" s="801"/>
      <c r="AC15" s="801"/>
      <c r="AD15" s="801"/>
      <c r="AE15" s="801"/>
      <c r="AF15" s="801"/>
      <c r="AG15" s="801"/>
      <c r="AH15" s="801"/>
      <c r="AI15" s="801"/>
      <c r="AJ15" s="801"/>
      <c r="AK15" s="801"/>
      <c r="AL15" s="801"/>
      <c r="AM15" s="801"/>
      <c r="AN15" s="801"/>
      <c r="AO15" s="801"/>
      <c r="AP15" s="801"/>
      <c r="AQ15" s="801"/>
      <c r="AR15" s="801"/>
      <c r="AS15" s="801"/>
      <c r="AT15" s="801"/>
      <c r="AU15" s="801"/>
      <c r="AV15" s="801"/>
      <c r="AW15" s="801"/>
      <c r="AX15" s="801"/>
      <c r="AY15" s="801"/>
      <c r="AZ15" s="802"/>
      <c r="BA15" s="800" t="str">
        <f>IFERROR(IF(VLOOKUP(BQ$2,Lista_Pedidos,8,0)&lt;&gt;"","Forro :      " &amp; VLOOKUP(BQ$2,Lista_Pedidos,8,0),""),"")</f>
        <v/>
      </c>
      <c r="BB15" s="801"/>
      <c r="BC15" s="801"/>
      <c r="BD15" s="801"/>
      <c r="BE15" s="801"/>
      <c r="BF15" s="801"/>
      <c r="BG15" s="801"/>
      <c r="BH15" s="801"/>
      <c r="BI15" s="801"/>
      <c r="BJ15" s="801"/>
      <c r="BK15" s="801"/>
      <c r="BL15" s="801"/>
      <c r="BM15" s="801"/>
      <c r="BN15" s="801"/>
      <c r="BO15" s="801"/>
      <c r="BP15" s="801"/>
      <c r="BQ15" s="801"/>
      <c r="BR15" s="801"/>
      <c r="BS15" s="801"/>
      <c r="BT15" s="801"/>
      <c r="BU15" s="801"/>
      <c r="BV15" s="801"/>
      <c r="BW15" s="801"/>
      <c r="BX15" s="801"/>
      <c r="BY15" s="801"/>
      <c r="BZ15" s="802"/>
      <c r="CA15" s="800" t="str">
        <f>IFERROR(IF(VLOOKUP(CQ$2,Lista_Pedidos,8,0)&lt;&gt;"","Forro :      " &amp; VLOOKUP(CQ$2,Lista_Pedidos,8,0),""),"")</f>
        <v/>
      </c>
      <c r="CB15" s="801"/>
      <c r="CC15" s="801"/>
      <c r="CD15" s="801"/>
      <c r="CE15" s="801"/>
      <c r="CF15" s="801"/>
      <c r="CG15" s="801"/>
      <c r="CH15" s="801"/>
      <c r="CI15" s="801"/>
      <c r="CJ15" s="801"/>
      <c r="CK15" s="801"/>
      <c r="CL15" s="801"/>
      <c r="CM15" s="801"/>
      <c r="CN15" s="801"/>
      <c r="CO15" s="801"/>
      <c r="CP15" s="801"/>
      <c r="CQ15" s="801"/>
      <c r="CR15" s="801"/>
      <c r="CS15" s="801"/>
      <c r="CT15" s="801"/>
      <c r="CU15" s="801"/>
      <c r="CV15" s="801"/>
      <c r="CW15" s="801"/>
      <c r="CX15" s="801"/>
      <c r="CY15" s="801"/>
      <c r="CZ15" s="802"/>
      <c r="DA15" s="800" t="str">
        <f>IFERROR(IF(VLOOKUP(DQ$2,Lista_Pedidos,8,0)&lt;&gt;"","Forro :      " &amp; VLOOKUP(DQ$2,Lista_Pedidos,8,0),""),"")</f>
        <v/>
      </c>
      <c r="DB15" s="801"/>
      <c r="DC15" s="801"/>
      <c r="DD15" s="801"/>
      <c r="DE15" s="801"/>
      <c r="DF15" s="801"/>
      <c r="DG15" s="801"/>
      <c r="DH15" s="801"/>
      <c r="DI15" s="801"/>
      <c r="DJ15" s="801"/>
      <c r="DK15" s="801"/>
      <c r="DL15" s="801"/>
      <c r="DM15" s="801"/>
      <c r="DN15" s="801"/>
      <c r="DO15" s="801"/>
      <c r="DP15" s="801"/>
      <c r="DQ15" s="801"/>
      <c r="DR15" s="801"/>
      <c r="DS15" s="801"/>
      <c r="DT15" s="801"/>
      <c r="DU15" s="801"/>
      <c r="DV15" s="801"/>
      <c r="DW15" s="801"/>
      <c r="DX15" s="801"/>
      <c r="DY15" s="801"/>
      <c r="DZ15" s="802"/>
      <c r="EA15" s="800" t="str">
        <f>IFERROR(IF(VLOOKUP(EQ$2,Lista_Pedidos,8,0)&lt;&gt;"","Forro :      " &amp; VLOOKUP(EQ$2,Lista_Pedidos,8,0),""),"")</f>
        <v/>
      </c>
      <c r="EB15" s="801"/>
      <c r="EC15" s="801"/>
      <c r="ED15" s="801"/>
      <c r="EE15" s="801"/>
      <c r="EF15" s="801"/>
      <c r="EG15" s="801"/>
      <c r="EH15" s="801"/>
      <c r="EI15" s="801"/>
      <c r="EJ15" s="801"/>
      <c r="EK15" s="801"/>
      <c r="EL15" s="801"/>
      <c r="EM15" s="801"/>
      <c r="EN15" s="801"/>
      <c r="EO15" s="801"/>
      <c r="EP15" s="801"/>
      <c r="EQ15" s="801"/>
      <c r="ER15" s="801"/>
      <c r="ES15" s="801"/>
      <c r="ET15" s="801"/>
      <c r="EU15" s="801"/>
      <c r="EV15" s="801"/>
      <c r="EW15" s="801"/>
      <c r="EX15" s="801"/>
      <c r="EY15" s="801"/>
      <c r="EZ15" s="802"/>
      <c r="FA15" s="800" t="str">
        <f>IFERROR(IF(VLOOKUP(FQ$2,Lista_Pedidos,8,0)&lt;&gt;"","Forro :      " &amp; VLOOKUP(FQ$2,Lista_Pedidos,8,0),""),"")</f>
        <v/>
      </c>
      <c r="FB15" s="801"/>
      <c r="FC15" s="801"/>
      <c r="FD15" s="801"/>
      <c r="FE15" s="801"/>
      <c r="FF15" s="801"/>
      <c r="FG15" s="801"/>
      <c r="FH15" s="801"/>
      <c r="FI15" s="801"/>
      <c r="FJ15" s="801"/>
      <c r="FK15" s="801"/>
      <c r="FL15" s="801"/>
      <c r="FM15" s="801"/>
      <c r="FN15" s="801"/>
      <c r="FO15" s="801"/>
      <c r="FP15" s="801"/>
      <c r="FQ15" s="801"/>
      <c r="FR15" s="801"/>
      <c r="FS15" s="801"/>
      <c r="FT15" s="801"/>
      <c r="FU15" s="801"/>
      <c r="FV15" s="801"/>
      <c r="FW15" s="801"/>
      <c r="FX15" s="801"/>
      <c r="FY15" s="801"/>
      <c r="FZ15" s="802"/>
      <c r="GA15" s="800" t="str">
        <f>IFERROR(IF(VLOOKUP(GQ$2,Lista_Pedidos,8,0)&lt;&gt;"","Forro :      " &amp; VLOOKUP(GQ$2,Lista_Pedidos,8,0),""),"")</f>
        <v/>
      </c>
      <c r="GB15" s="801"/>
      <c r="GC15" s="801"/>
      <c r="GD15" s="801"/>
      <c r="GE15" s="801"/>
      <c r="GF15" s="801"/>
      <c r="GG15" s="801"/>
      <c r="GH15" s="801"/>
      <c r="GI15" s="801"/>
      <c r="GJ15" s="801"/>
      <c r="GK15" s="801"/>
      <c r="GL15" s="801"/>
      <c r="GM15" s="801"/>
      <c r="GN15" s="801"/>
      <c r="GO15" s="801"/>
      <c r="GP15" s="801"/>
      <c r="GQ15" s="801"/>
      <c r="GR15" s="801"/>
      <c r="GS15" s="801"/>
      <c r="GT15" s="801"/>
      <c r="GU15" s="801"/>
      <c r="GV15" s="801"/>
      <c r="GW15" s="801"/>
      <c r="GX15" s="801"/>
      <c r="GY15" s="801"/>
      <c r="GZ15" s="802"/>
      <c r="HA15" s="800" t="str">
        <f>IFERROR(IF(VLOOKUP(HQ$2,Lista_Pedidos,8,0)&lt;&gt;"","Forro :      " &amp; VLOOKUP(HQ$2,Lista_Pedidos,8,0),""),"")</f>
        <v/>
      </c>
      <c r="HB15" s="801"/>
      <c r="HC15" s="801"/>
      <c r="HD15" s="801"/>
      <c r="HE15" s="801"/>
      <c r="HF15" s="801"/>
      <c r="HG15" s="801"/>
      <c r="HH15" s="801"/>
      <c r="HI15" s="801"/>
      <c r="HJ15" s="801"/>
      <c r="HK15" s="801"/>
      <c r="HL15" s="801"/>
      <c r="HM15" s="801"/>
      <c r="HN15" s="801"/>
      <c r="HO15" s="801"/>
      <c r="HP15" s="801"/>
      <c r="HQ15" s="801"/>
      <c r="HR15" s="801"/>
      <c r="HS15" s="801"/>
      <c r="HT15" s="801"/>
      <c r="HU15" s="801"/>
      <c r="HV15" s="801"/>
      <c r="HW15" s="801"/>
      <c r="HX15" s="801"/>
      <c r="HY15" s="801"/>
      <c r="HZ15" s="802"/>
      <c r="IA15" s="800" t="str">
        <f>IFERROR(IF(VLOOKUP(IQ$2,Lista_Pedidos,8,0)&lt;&gt;"","Forro :      " &amp; VLOOKUP(IQ$2,Lista_Pedidos,8,0),""),"")</f>
        <v/>
      </c>
      <c r="IB15" s="801"/>
      <c r="IC15" s="801"/>
      <c r="ID15" s="801"/>
      <c r="IE15" s="801"/>
      <c r="IF15" s="801"/>
      <c r="IG15" s="801"/>
      <c r="IH15" s="801"/>
      <c r="II15" s="801"/>
      <c r="IJ15" s="801"/>
      <c r="IK15" s="801"/>
      <c r="IL15" s="801"/>
      <c r="IM15" s="801"/>
      <c r="IN15" s="801"/>
      <c r="IO15" s="801"/>
      <c r="IP15" s="801"/>
      <c r="IQ15" s="801"/>
      <c r="IR15" s="801"/>
      <c r="IS15" s="801"/>
      <c r="IT15" s="801"/>
      <c r="IU15" s="801"/>
      <c r="IV15" s="801"/>
      <c r="IW15" s="801"/>
      <c r="IX15" s="801"/>
      <c r="IY15" s="801"/>
      <c r="IZ15" s="802"/>
    </row>
    <row r="16" spans="1:260" x14ac:dyDescent="0.25">
      <c r="A16" s="800" t="str">
        <f>IF(A5="Cliente Especial : NEON","Neon :      Si","")</f>
        <v>Neon :      Si</v>
      </c>
      <c r="B16" s="801"/>
      <c r="C16" s="801"/>
      <c r="D16" s="801"/>
      <c r="E16" s="801"/>
      <c r="F16" s="801"/>
      <c r="G16" s="801"/>
      <c r="H16" s="801"/>
      <c r="I16" s="801"/>
      <c r="J16" s="801"/>
      <c r="K16" s="801"/>
      <c r="L16" s="801"/>
      <c r="M16" s="801"/>
      <c r="N16" s="801"/>
      <c r="O16" s="801"/>
      <c r="P16" s="801"/>
      <c r="Q16" s="801"/>
      <c r="R16" s="801"/>
      <c r="S16" s="801"/>
      <c r="T16" s="801"/>
      <c r="U16" s="801"/>
      <c r="V16" s="801"/>
      <c r="W16" s="801"/>
      <c r="X16" s="801"/>
      <c r="Y16" s="801"/>
      <c r="Z16" s="802"/>
      <c r="AA16" s="800" t="str">
        <f>IF(AA5="Cliente Especial : NEON","Neon :      Si","")</f>
        <v/>
      </c>
      <c r="AB16" s="801"/>
      <c r="AC16" s="801"/>
      <c r="AD16" s="801"/>
      <c r="AE16" s="801"/>
      <c r="AF16" s="801"/>
      <c r="AG16" s="801"/>
      <c r="AH16" s="801"/>
      <c r="AI16" s="801"/>
      <c r="AJ16" s="801"/>
      <c r="AK16" s="801"/>
      <c r="AL16" s="801"/>
      <c r="AM16" s="801"/>
      <c r="AN16" s="801"/>
      <c r="AO16" s="801"/>
      <c r="AP16" s="801"/>
      <c r="AQ16" s="801"/>
      <c r="AR16" s="801"/>
      <c r="AS16" s="801"/>
      <c r="AT16" s="801"/>
      <c r="AU16" s="801"/>
      <c r="AV16" s="801"/>
      <c r="AW16" s="801"/>
      <c r="AX16" s="801"/>
      <c r="AY16" s="801"/>
      <c r="AZ16" s="802"/>
      <c r="BA16" s="800" t="str">
        <f>IF(BA5="Cliente Especial : NEON","Neon :      Si","")</f>
        <v/>
      </c>
      <c r="BB16" s="801"/>
      <c r="BC16" s="801"/>
      <c r="BD16" s="801"/>
      <c r="BE16" s="801"/>
      <c r="BF16" s="801"/>
      <c r="BG16" s="801"/>
      <c r="BH16" s="801"/>
      <c r="BI16" s="801"/>
      <c r="BJ16" s="801"/>
      <c r="BK16" s="801"/>
      <c r="BL16" s="801"/>
      <c r="BM16" s="801"/>
      <c r="BN16" s="801"/>
      <c r="BO16" s="801"/>
      <c r="BP16" s="801"/>
      <c r="BQ16" s="801"/>
      <c r="BR16" s="801"/>
      <c r="BS16" s="801"/>
      <c r="BT16" s="801"/>
      <c r="BU16" s="801"/>
      <c r="BV16" s="801"/>
      <c r="BW16" s="801"/>
      <c r="BX16" s="801"/>
      <c r="BY16" s="801"/>
      <c r="BZ16" s="802"/>
      <c r="CA16" s="800" t="str">
        <f>IF(CA5="Cliente Especial : NEON","Neon :      Si","")</f>
        <v/>
      </c>
      <c r="CB16" s="801"/>
      <c r="CC16" s="801"/>
      <c r="CD16" s="801"/>
      <c r="CE16" s="801"/>
      <c r="CF16" s="801"/>
      <c r="CG16" s="801"/>
      <c r="CH16" s="801"/>
      <c r="CI16" s="801"/>
      <c r="CJ16" s="801"/>
      <c r="CK16" s="801"/>
      <c r="CL16" s="801"/>
      <c r="CM16" s="801"/>
      <c r="CN16" s="801"/>
      <c r="CO16" s="801"/>
      <c r="CP16" s="801"/>
      <c r="CQ16" s="801"/>
      <c r="CR16" s="801"/>
      <c r="CS16" s="801"/>
      <c r="CT16" s="801"/>
      <c r="CU16" s="801"/>
      <c r="CV16" s="801"/>
      <c r="CW16" s="801"/>
      <c r="CX16" s="801"/>
      <c r="CY16" s="801"/>
      <c r="CZ16" s="802"/>
      <c r="DA16" s="800" t="str">
        <f>IF(DA5="Cliente Especial : NEON","Neon :      Si","")</f>
        <v/>
      </c>
      <c r="DB16" s="801"/>
      <c r="DC16" s="801"/>
      <c r="DD16" s="801"/>
      <c r="DE16" s="801"/>
      <c r="DF16" s="801"/>
      <c r="DG16" s="801"/>
      <c r="DH16" s="801"/>
      <c r="DI16" s="801"/>
      <c r="DJ16" s="801"/>
      <c r="DK16" s="801"/>
      <c r="DL16" s="801"/>
      <c r="DM16" s="801"/>
      <c r="DN16" s="801"/>
      <c r="DO16" s="801"/>
      <c r="DP16" s="801"/>
      <c r="DQ16" s="801"/>
      <c r="DR16" s="801"/>
      <c r="DS16" s="801"/>
      <c r="DT16" s="801"/>
      <c r="DU16" s="801"/>
      <c r="DV16" s="801"/>
      <c r="DW16" s="801"/>
      <c r="DX16" s="801"/>
      <c r="DY16" s="801"/>
      <c r="DZ16" s="802"/>
      <c r="EA16" s="800" t="str">
        <f>IF(EA5="Cliente Especial : NEON","Neon :      Si","")</f>
        <v/>
      </c>
      <c r="EB16" s="801"/>
      <c r="EC16" s="801"/>
      <c r="ED16" s="801"/>
      <c r="EE16" s="801"/>
      <c r="EF16" s="801"/>
      <c r="EG16" s="801"/>
      <c r="EH16" s="801"/>
      <c r="EI16" s="801"/>
      <c r="EJ16" s="801"/>
      <c r="EK16" s="801"/>
      <c r="EL16" s="801"/>
      <c r="EM16" s="801"/>
      <c r="EN16" s="801"/>
      <c r="EO16" s="801"/>
      <c r="EP16" s="801"/>
      <c r="EQ16" s="801"/>
      <c r="ER16" s="801"/>
      <c r="ES16" s="801"/>
      <c r="ET16" s="801"/>
      <c r="EU16" s="801"/>
      <c r="EV16" s="801"/>
      <c r="EW16" s="801"/>
      <c r="EX16" s="801"/>
      <c r="EY16" s="801"/>
      <c r="EZ16" s="802"/>
      <c r="FA16" s="800" t="str">
        <f>IF(FA5="Cliente Especial : NEON","Neon :      Si","")</f>
        <v/>
      </c>
      <c r="FB16" s="801"/>
      <c r="FC16" s="801"/>
      <c r="FD16" s="801"/>
      <c r="FE16" s="801"/>
      <c r="FF16" s="801"/>
      <c r="FG16" s="801"/>
      <c r="FH16" s="801"/>
      <c r="FI16" s="801"/>
      <c r="FJ16" s="801"/>
      <c r="FK16" s="801"/>
      <c r="FL16" s="801"/>
      <c r="FM16" s="801"/>
      <c r="FN16" s="801"/>
      <c r="FO16" s="801"/>
      <c r="FP16" s="801"/>
      <c r="FQ16" s="801"/>
      <c r="FR16" s="801"/>
      <c r="FS16" s="801"/>
      <c r="FT16" s="801"/>
      <c r="FU16" s="801"/>
      <c r="FV16" s="801"/>
      <c r="FW16" s="801"/>
      <c r="FX16" s="801"/>
      <c r="FY16" s="801"/>
      <c r="FZ16" s="802"/>
      <c r="GA16" s="800" t="str">
        <f>IF(GA5="Cliente Especial : NEON","Neon :      Si","")</f>
        <v/>
      </c>
      <c r="GB16" s="801"/>
      <c r="GC16" s="801"/>
      <c r="GD16" s="801"/>
      <c r="GE16" s="801"/>
      <c r="GF16" s="801"/>
      <c r="GG16" s="801"/>
      <c r="GH16" s="801"/>
      <c r="GI16" s="801"/>
      <c r="GJ16" s="801"/>
      <c r="GK16" s="801"/>
      <c r="GL16" s="801"/>
      <c r="GM16" s="801"/>
      <c r="GN16" s="801"/>
      <c r="GO16" s="801"/>
      <c r="GP16" s="801"/>
      <c r="GQ16" s="801"/>
      <c r="GR16" s="801"/>
      <c r="GS16" s="801"/>
      <c r="GT16" s="801"/>
      <c r="GU16" s="801"/>
      <c r="GV16" s="801"/>
      <c r="GW16" s="801"/>
      <c r="GX16" s="801"/>
      <c r="GY16" s="801"/>
      <c r="GZ16" s="802"/>
      <c r="HA16" s="800" t="str">
        <f>IF(HA5="Cliente Especial : NEON","Neon :      Si","")</f>
        <v/>
      </c>
      <c r="HB16" s="801"/>
      <c r="HC16" s="801"/>
      <c r="HD16" s="801"/>
      <c r="HE16" s="801"/>
      <c r="HF16" s="801"/>
      <c r="HG16" s="801"/>
      <c r="HH16" s="801"/>
      <c r="HI16" s="801"/>
      <c r="HJ16" s="801"/>
      <c r="HK16" s="801"/>
      <c r="HL16" s="801"/>
      <c r="HM16" s="801"/>
      <c r="HN16" s="801"/>
      <c r="HO16" s="801"/>
      <c r="HP16" s="801"/>
      <c r="HQ16" s="801"/>
      <c r="HR16" s="801"/>
      <c r="HS16" s="801"/>
      <c r="HT16" s="801"/>
      <c r="HU16" s="801"/>
      <c r="HV16" s="801"/>
      <c r="HW16" s="801"/>
      <c r="HX16" s="801"/>
      <c r="HY16" s="801"/>
      <c r="HZ16" s="802"/>
      <c r="IA16" s="800" t="str">
        <f>IF(IA5="Cliente Especial : NEON","Neon :      Si","")</f>
        <v/>
      </c>
      <c r="IB16" s="801"/>
      <c r="IC16" s="801"/>
      <c r="ID16" s="801"/>
      <c r="IE16" s="801"/>
      <c r="IF16" s="801"/>
      <c r="IG16" s="801"/>
      <c r="IH16" s="801"/>
      <c r="II16" s="801"/>
      <c r="IJ16" s="801"/>
      <c r="IK16" s="801"/>
      <c r="IL16" s="801"/>
      <c r="IM16" s="801"/>
      <c r="IN16" s="801"/>
      <c r="IO16" s="801"/>
      <c r="IP16" s="801"/>
      <c r="IQ16" s="801"/>
      <c r="IR16" s="801"/>
      <c r="IS16" s="801"/>
      <c r="IT16" s="801"/>
      <c r="IU16" s="801"/>
      <c r="IV16" s="801"/>
      <c r="IW16" s="801"/>
      <c r="IX16" s="801"/>
      <c r="IY16" s="801"/>
      <c r="IZ16" s="802"/>
    </row>
    <row r="17" spans="1:260" x14ac:dyDescent="0.25">
      <c r="A17" s="800" t="str">
        <f>IFERROR(IF(VLOOKUP(Q$2,Lista_Pedidos,9,0)&lt;&gt;"","Cierre :     " &amp; VLOOKUP(Q$2,Lista_Pedidos,9,0),""),"")</f>
        <v/>
      </c>
      <c r="B17" s="801"/>
      <c r="C17" s="801"/>
      <c r="D17" s="801"/>
      <c r="E17" s="801"/>
      <c r="F17" s="801"/>
      <c r="G17" s="801"/>
      <c r="H17" s="801"/>
      <c r="I17" s="801"/>
      <c r="J17" s="801"/>
      <c r="K17" s="801"/>
      <c r="L17" s="801"/>
      <c r="M17" s="801"/>
      <c r="N17" s="801"/>
      <c r="O17" s="801"/>
      <c r="P17" s="801"/>
      <c r="Q17" s="801"/>
      <c r="R17" s="801"/>
      <c r="S17" s="801"/>
      <c r="T17" s="801"/>
      <c r="U17" s="801"/>
      <c r="V17" s="801"/>
      <c r="W17" s="801"/>
      <c r="X17" s="801"/>
      <c r="Y17" s="801"/>
      <c r="Z17" s="802"/>
      <c r="AA17" s="800" t="str">
        <f>IFERROR(IF(VLOOKUP(AQ$2,Lista_Pedidos,9,0)&lt;&gt;"","Cierre :     " &amp; VLOOKUP(AQ$2,Lista_Pedidos,9,0),""),"")</f>
        <v/>
      </c>
      <c r="AB17" s="801"/>
      <c r="AC17" s="801"/>
      <c r="AD17" s="801"/>
      <c r="AE17" s="801"/>
      <c r="AF17" s="801"/>
      <c r="AG17" s="801"/>
      <c r="AH17" s="801"/>
      <c r="AI17" s="801"/>
      <c r="AJ17" s="801"/>
      <c r="AK17" s="801"/>
      <c r="AL17" s="801"/>
      <c r="AM17" s="801"/>
      <c r="AN17" s="801"/>
      <c r="AO17" s="801"/>
      <c r="AP17" s="801"/>
      <c r="AQ17" s="801"/>
      <c r="AR17" s="801"/>
      <c r="AS17" s="801"/>
      <c r="AT17" s="801"/>
      <c r="AU17" s="801"/>
      <c r="AV17" s="801"/>
      <c r="AW17" s="801"/>
      <c r="AX17" s="801"/>
      <c r="AY17" s="801"/>
      <c r="AZ17" s="802"/>
      <c r="BA17" s="800" t="str">
        <f>IFERROR(IF(VLOOKUP(BQ$2,Lista_Pedidos,9,0)&lt;&gt;"","Cierre :     " &amp; VLOOKUP(BQ$2,Lista_Pedidos,9,0),""),"")</f>
        <v/>
      </c>
      <c r="BB17" s="801"/>
      <c r="BC17" s="801"/>
      <c r="BD17" s="801"/>
      <c r="BE17" s="801"/>
      <c r="BF17" s="801"/>
      <c r="BG17" s="801"/>
      <c r="BH17" s="801"/>
      <c r="BI17" s="801"/>
      <c r="BJ17" s="801"/>
      <c r="BK17" s="801"/>
      <c r="BL17" s="801"/>
      <c r="BM17" s="801"/>
      <c r="BN17" s="801"/>
      <c r="BO17" s="801"/>
      <c r="BP17" s="801"/>
      <c r="BQ17" s="801"/>
      <c r="BR17" s="801"/>
      <c r="BS17" s="801"/>
      <c r="BT17" s="801"/>
      <c r="BU17" s="801"/>
      <c r="BV17" s="801"/>
      <c r="BW17" s="801"/>
      <c r="BX17" s="801"/>
      <c r="BY17" s="801"/>
      <c r="BZ17" s="802"/>
      <c r="CA17" s="800" t="str">
        <f>IFERROR(IF(VLOOKUP(CQ$2,Lista_Pedidos,9,0)&lt;&gt;"","Cierre :     " &amp; VLOOKUP(CQ$2,Lista_Pedidos,9,0),""),"")</f>
        <v/>
      </c>
      <c r="CB17" s="801"/>
      <c r="CC17" s="801"/>
      <c r="CD17" s="801"/>
      <c r="CE17" s="801"/>
      <c r="CF17" s="801"/>
      <c r="CG17" s="801"/>
      <c r="CH17" s="801"/>
      <c r="CI17" s="801"/>
      <c r="CJ17" s="801"/>
      <c r="CK17" s="801"/>
      <c r="CL17" s="801"/>
      <c r="CM17" s="801"/>
      <c r="CN17" s="801"/>
      <c r="CO17" s="801"/>
      <c r="CP17" s="801"/>
      <c r="CQ17" s="801"/>
      <c r="CR17" s="801"/>
      <c r="CS17" s="801"/>
      <c r="CT17" s="801"/>
      <c r="CU17" s="801"/>
      <c r="CV17" s="801"/>
      <c r="CW17" s="801"/>
      <c r="CX17" s="801"/>
      <c r="CY17" s="801"/>
      <c r="CZ17" s="802"/>
      <c r="DA17" s="800" t="str">
        <f>IFERROR(IF(VLOOKUP(DQ$2,Lista_Pedidos,9,0)&lt;&gt;"","Cierre :     " &amp; VLOOKUP(DQ$2,Lista_Pedidos,9,0),""),"")</f>
        <v/>
      </c>
      <c r="DB17" s="801"/>
      <c r="DC17" s="801"/>
      <c r="DD17" s="801"/>
      <c r="DE17" s="801"/>
      <c r="DF17" s="801"/>
      <c r="DG17" s="801"/>
      <c r="DH17" s="801"/>
      <c r="DI17" s="801"/>
      <c r="DJ17" s="801"/>
      <c r="DK17" s="801"/>
      <c r="DL17" s="801"/>
      <c r="DM17" s="801"/>
      <c r="DN17" s="801"/>
      <c r="DO17" s="801"/>
      <c r="DP17" s="801"/>
      <c r="DQ17" s="801"/>
      <c r="DR17" s="801"/>
      <c r="DS17" s="801"/>
      <c r="DT17" s="801"/>
      <c r="DU17" s="801"/>
      <c r="DV17" s="801"/>
      <c r="DW17" s="801"/>
      <c r="DX17" s="801"/>
      <c r="DY17" s="801"/>
      <c r="DZ17" s="802"/>
      <c r="EA17" s="800" t="str">
        <f>IFERROR(IF(VLOOKUP(EQ$2,Lista_Pedidos,9,0)&lt;&gt;"","Cierre :     " &amp; VLOOKUP(EQ$2,Lista_Pedidos,9,0),""),"")</f>
        <v/>
      </c>
      <c r="EB17" s="801"/>
      <c r="EC17" s="801"/>
      <c r="ED17" s="801"/>
      <c r="EE17" s="801"/>
      <c r="EF17" s="801"/>
      <c r="EG17" s="801"/>
      <c r="EH17" s="801"/>
      <c r="EI17" s="801"/>
      <c r="EJ17" s="801"/>
      <c r="EK17" s="801"/>
      <c r="EL17" s="801"/>
      <c r="EM17" s="801"/>
      <c r="EN17" s="801"/>
      <c r="EO17" s="801"/>
      <c r="EP17" s="801"/>
      <c r="EQ17" s="801"/>
      <c r="ER17" s="801"/>
      <c r="ES17" s="801"/>
      <c r="ET17" s="801"/>
      <c r="EU17" s="801"/>
      <c r="EV17" s="801"/>
      <c r="EW17" s="801"/>
      <c r="EX17" s="801"/>
      <c r="EY17" s="801"/>
      <c r="EZ17" s="802"/>
      <c r="FA17" s="800" t="str">
        <f>IFERROR(IF(VLOOKUP(FQ$2,Lista_Pedidos,9,0)&lt;&gt;"","Cierre :     " &amp; VLOOKUP(FQ$2,Lista_Pedidos,9,0),""),"")</f>
        <v/>
      </c>
      <c r="FB17" s="801"/>
      <c r="FC17" s="801"/>
      <c r="FD17" s="801"/>
      <c r="FE17" s="801"/>
      <c r="FF17" s="801"/>
      <c r="FG17" s="801"/>
      <c r="FH17" s="801"/>
      <c r="FI17" s="801"/>
      <c r="FJ17" s="801"/>
      <c r="FK17" s="801"/>
      <c r="FL17" s="801"/>
      <c r="FM17" s="801"/>
      <c r="FN17" s="801"/>
      <c r="FO17" s="801"/>
      <c r="FP17" s="801"/>
      <c r="FQ17" s="801"/>
      <c r="FR17" s="801"/>
      <c r="FS17" s="801"/>
      <c r="FT17" s="801"/>
      <c r="FU17" s="801"/>
      <c r="FV17" s="801"/>
      <c r="FW17" s="801"/>
      <c r="FX17" s="801"/>
      <c r="FY17" s="801"/>
      <c r="FZ17" s="802"/>
      <c r="GA17" s="800" t="str">
        <f>IFERROR(IF(VLOOKUP(GQ$2,Lista_Pedidos,9,0)&lt;&gt;"","Cierre :     " &amp; VLOOKUP(GQ$2,Lista_Pedidos,9,0),""),"")</f>
        <v/>
      </c>
      <c r="GB17" s="801"/>
      <c r="GC17" s="801"/>
      <c r="GD17" s="801"/>
      <c r="GE17" s="801"/>
      <c r="GF17" s="801"/>
      <c r="GG17" s="801"/>
      <c r="GH17" s="801"/>
      <c r="GI17" s="801"/>
      <c r="GJ17" s="801"/>
      <c r="GK17" s="801"/>
      <c r="GL17" s="801"/>
      <c r="GM17" s="801"/>
      <c r="GN17" s="801"/>
      <c r="GO17" s="801"/>
      <c r="GP17" s="801"/>
      <c r="GQ17" s="801"/>
      <c r="GR17" s="801"/>
      <c r="GS17" s="801"/>
      <c r="GT17" s="801"/>
      <c r="GU17" s="801"/>
      <c r="GV17" s="801"/>
      <c r="GW17" s="801"/>
      <c r="GX17" s="801"/>
      <c r="GY17" s="801"/>
      <c r="GZ17" s="802"/>
      <c r="HA17" s="800" t="str">
        <f>IFERROR(IF(VLOOKUP(HQ$2,Lista_Pedidos,9,0)&lt;&gt;"","Cierre :     " &amp; VLOOKUP(HQ$2,Lista_Pedidos,9,0),""),"")</f>
        <v/>
      </c>
      <c r="HB17" s="801"/>
      <c r="HC17" s="801"/>
      <c r="HD17" s="801"/>
      <c r="HE17" s="801"/>
      <c r="HF17" s="801"/>
      <c r="HG17" s="801"/>
      <c r="HH17" s="801"/>
      <c r="HI17" s="801"/>
      <c r="HJ17" s="801"/>
      <c r="HK17" s="801"/>
      <c r="HL17" s="801"/>
      <c r="HM17" s="801"/>
      <c r="HN17" s="801"/>
      <c r="HO17" s="801"/>
      <c r="HP17" s="801"/>
      <c r="HQ17" s="801"/>
      <c r="HR17" s="801"/>
      <c r="HS17" s="801"/>
      <c r="HT17" s="801"/>
      <c r="HU17" s="801"/>
      <c r="HV17" s="801"/>
      <c r="HW17" s="801"/>
      <c r="HX17" s="801"/>
      <c r="HY17" s="801"/>
      <c r="HZ17" s="802"/>
      <c r="IA17" s="800" t="str">
        <f>IFERROR(IF(VLOOKUP(IQ$2,Lista_Pedidos,9,0)&lt;&gt;"","Cierre :     " &amp; VLOOKUP(IQ$2,Lista_Pedidos,9,0),""),"")</f>
        <v/>
      </c>
      <c r="IB17" s="801"/>
      <c r="IC17" s="801"/>
      <c r="ID17" s="801"/>
      <c r="IE17" s="801"/>
      <c r="IF17" s="801"/>
      <c r="IG17" s="801"/>
      <c r="IH17" s="801"/>
      <c r="II17" s="801"/>
      <c r="IJ17" s="801"/>
      <c r="IK17" s="801"/>
      <c r="IL17" s="801"/>
      <c r="IM17" s="801"/>
      <c r="IN17" s="801"/>
      <c r="IO17" s="801"/>
      <c r="IP17" s="801"/>
      <c r="IQ17" s="801"/>
      <c r="IR17" s="801"/>
      <c r="IS17" s="801"/>
      <c r="IT17" s="801"/>
      <c r="IU17" s="801"/>
      <c r="IV17" s="801"/>
      <c r="IW17" s="801"/>
      <c r="IX17" s="801"/>
      <c r="IY17" s="801"/>
      <c r="IZ17" s="802"/>
    </row>
    <row r="18" spans="1:260" x14ac:dyDescent="0.25">
      <c r="A18" s="800" t="str">
        <f>IFERROR(IF(VLOOKUP(Q$2,Lista_Pedidos,11,0)&lt;&gt;"","Cordon :      " &amp; VLOOKUP(Q$2,Lista_Pedidos,11,0),""),"")</f>
        <v/>
      </c>
      <c r="B18" s="801"/>
      <c r="C18" s="801"/>
      <c r="D18" s="801"/>
      <c r="E18" s="801"/>
      <c r="F18" s="801"/>
      <c r="G18" s="801"/>
      <c r="H18" s="801"/>
      <c r="I18" s="801"/>
      <c r="J18" s="801"/>
      <c r="K18" s="801"/>
      <c r="L18" s="801"/>
      <c r="M18" s="801"/>
      <c r="N18" s="801"/>
      <c r="O18" s="801"/>
      <c r="P18" s="801"/>
      <c r="Q18" s="801"/>
      <c r="R18" s="801"/>
      <c r="S18" s="801"/>
      <c r="T18" s="801"/>
      <c r="U18" s="801"/>
      <c r="V18" s="801"/>
      <c r="W18" s="801"/>
      <c r="X18" s="801"/>
      <c r="Y18" s="801"/>
      <c r="Z18" s="802"/>
      <c r="AA18" s="800" t="str">
        <f>IFERROR(IF(VLOOKUP(AQ$2,Lista_Pedidos,11,0)&lt;&gt;"","Cordon :      " &amp; VLOOKUP(AQ$2,Lista_Pedidos,11,0),""),"")</f>
        <v/>
      </c>
      <c r="AB18" s="801"/>
      <c r="AC18" s="801"/>
      <c r="AD18" s="801"/>
      <c r="AE18" s="801"/>
      <c r="AF18" s="801"/>
      <c r="AG18" s="801"/>
      <c r="AH18" s="801"/>
      <c r="AI18" s="801"/>
      <c r="AJ18" s="801"/>
      <c r="AK18" s="801"/>
      <c r="AL18" s="801"/>
      <c r="AM18" s="801"/>
      <c r="AN18" s="801"/>
      <c r="AO18" s="801"/>
      <c r="AP18" s="801"/>
      <c r="AQ18" s="801"/>
      <c r="AR18" s="801"/>
      <c r="AS18" s="801"/>
      <c r="AT18" s="801"/>
      <c r="AU18" s="801"/>
      <c r="AV18" s="801"/>
      <c r="AW18" s="801"/>
      <c r="AX18" s="801"/>
      <c r="AY18" s="801"/>
      <c r="AZ18" s="802"/>
      <c r="BA18" s="800" t="str">
        <f>IFERROR(IF(VLOOKUP(BQ$2,Lista_Pedidos,11,0)&lt;&gt;"","Cordon :      " &amp; VLOOKUP(BQ$2,Lista_Pedidos,11,0),""),"")</f>
        <v/>
      </c>
      <c r="BB18" s="801"/>
      <c r="BC18" s="801"/>
      <c r="BD18" s="801"/>
      <c r="BE18" s="801"/>
      <c r="BF18" s="801"/>
      <c r="BG18" s="801"/>
      <c r="BH18" s="801"/>
      <c r="BI18" s="801"/>
      <c r="BJ18" s="801"/>
      <c r="BK18" s="801"/>
      <c r="BL18" s="801"/>
      <c r="BM18" s="801"/>
      <c r="BN18" s="801"/>
      <c r="BO18" s="801"/>
      <c r="BP18" s="801"/>
      <c r="BQ18" s="801"/>
      <c r="BR18" s="801"/>
      <c r="BS18" s="801"/>
      <c r="BT18" s="801"/>
      <c r="BU18" s="801"/>
      <c r="BV18" s="801"/>
      <c r="BW18" s="801"/>
      <c r="BX18" s="801"/>
      <c r="BY18" s="801"/>
      <c r="BZ18" s="802"/>
      <c r="CA18" s="800" t="str">
        <f>IFERROR(IF(VLOOKUP(CQ$2,Lista_Pedidos,11,0)&lt;&gt;"","Cordon :      " &amp; VLOOKUP(CQ$2,Lista_Pedidos,11,0),""),"")</f>
        <v/>
      </c>
      <c r="CB18" s="801"/>
      <c r="CC18" s="801"/>
      <c r="CD18" s="801"/>
      <c r="CE18" s="801"/>
      <c r="CF18" s="801"/>
      <c r="CG18" s="801"/>
      <c r="CH18" s="801"/>
      <c r="CI18" s="801"/>
      <c r="CJ18" s="801"/>
      <c r="CK18" s="801"/>
      <c r="CL18" s="801"/>
      <c r="CM18" s="801"/>
      <c r="CN18" s="801"/>
      <c r="CO18" s="801"/>
      <c r="CP18" s="801"/>
      <c r="CQ18" s="801"/>
      <c r="CR18" s="801"/>
      <c r="CS18" s="801"/>
      <c r="CT18" s="801"/>
      <c r="CU18" s="801"/>
      <c r="CV18" s="801"/>
      <c r="CW18" s="801"/>
      <c r="CX18" s="801"/>
      <c r="CY18" s="801"/>
      <c r="CZ18" s="802"/>
      <c r="DA18" s="800" t="str">
        <f>IFERROR(IF(VLOOKUP(DQ$2,Lista_Pedidos,11,0)&lt;&gt;"","Cordon :      " &amp; VLOOKUP(DQ$2,Lista_Pedidos,11,0),""),"")</f>
        <v/>
      </c>
      <c r="DB18" s="801"/>
      <c r="DC18" s="801"/>
      <c r="DD18" s="801"/>
      <c r="DE18" s="801"/>
      <c r="DF18" s="801"/>
      <c r="DG18" s="801"/>
      <c r="DH18" s="801"/>
      <c r="DI18" s="801"/>
      <c r="DJ18" s="801"/>
      <c r="DK18" s="801"/>
      <c r="DL18" s="801"/>
      <c r="DM18" s="801"/>
      <c r="DN18" s="801"/>
      <c r="DO18" s="801"/>
      <c r="DP18" s="801"/>
      <c r="DQ18" s="801"/>
      <c r="DR18" s="801"/>
      <c r="DS18" s="801"/>
      <c r="DT18" s="801"/>
      <c r="DU18" s="801"/>
      <c r="DV18" s="801"/>
      <c r="DW18" s="801"/>
      <c r="DX18" s="801"/>
      <c r="DY18" s="801"/>
      <c r="DZ18" s="802"/>
      <c r="EA18" s="800" t="str">
        <f>IFERROR(IF(VLOOKUP(EQ$2,Lista_Pedidos,11,0)&lt;&gt;"","Cordon :      " &amp; VLOOKUP(EQ$2,Lista_Pedidos,11,0),""),"")</f>
        <v/>
      </c>
      <c r="EB18" s="801"/>
      <c r="EC18" s="801"/>
      <c r="ED18" s="801"/>
      <c r="EE18" s="801"/>
      <c r="EF18" s="801"/>
      <c r="EG18" s="801"/>
      <c r="EH18" s="801"/>
      <c r="EI18" s="801"/>
      <c r="EJ18" s="801"/>
      <c r="EK18" s="801"/>
      <c r="EL18" s="801"/>
      <c r="EM18" s="801"/>
      <c r="EN18" s="801"/>
      <c r="EO18" s="801"/>
      <c r="EP18" s="801"/>
      <c r="EQ18" s="801"/>
      <c r="ER18" s="801"/>
      <c r="ES18" s="801"/>
      <c r="ET18" s="801"/>
      <c r="EU18" s="801"/>
      <c r="EV18" s="801"/>
      <c r="EW18" s="801"/>
      <c r="EX18" s="801"/>
      <c r="EY18" s="801"/>
      <c r="EZ18" s="802"/>
      <c r="FA18" s="800" t="str">
        <f>IFERROR(IF(VLOOKUP(FQ$2,Lista_Pedidos,11,0)&lt;&gt;"","Cordon :      " &amp; VLOOKUP(FQ$2,Lista_Pedidos,11,0),""),"")</f>
        <v/>
      </c>
      <c r="FB18" s="801"/>
      <c r="FC18" s="801"/>
      <c r="FD18" s="801"/>
      <c r="FE18" s="801"/>
      <c r="FF18" s="801"/>
      <c r="FG18" s="801"/>
      <c r="FH18" s="801"/>
      <c r="FI18" s="801"/>
      <c r="FJ18" s="801"/>
      <c r="FK18" s="801"/>
      <c r="FL18" s="801"/>
      <c r="FM18" s="801"/>
      <c r="FN18" s="801"/>
      <c r="FO18" s="801"/>
      <c r="FP18" s="801"/>
      <c r="FQ18" s="801"/>
      <c r="FR18" s="801"/>
      <c r="FS18" s="801"/>
      <c r="FT18" s="801"/>
      <c r="FU18" s="801"/>
      <c r="FV18" s="801"/>
      <c r="FW18" s="801"/>
      <c r="FX18" s="801"/>
      <c r="FY18" s="801"/>
      <c r="FZ18" s="802"/>
      <c r="GA18" s="800" t="str">
        <f>IFERROR(IF(VLOOKUP(GQ$2,Lista_Pedidos,11,0)&lt;&gt;"","Cordon :      " &amp; VLOOKUP(GQ$2,Lista_Pedidos,11,0),""),"")</f>
        <v/>
      </c>
      <c r="GB18" s="801"/>
      <c r="GC18" s="801"/>
      <c r="GD18" s="801"/>
      <c r="GE18" s="801"/>
      <c r="GF18" s="801"/>
      <c r="GG18" s="801"/>
      <c r="GH18" s="801"/>
      <c r="GI18" s="801"/>
      <c r="GJ18" s="801"/>
      <c r="GK18" s="801"/>
      <c r="GL18" s="801"/>
      <c r="GM18" s="801"/>
      <c r="GN18" s="801"/>
      <c r="GO18" s="801"/>
      <c r="GP18" s="801"/>
      <c r="GQ18" s="801"/>
      <c r="GR18" s="801"/>
      <c r="GS18" s="801"/>
      <c r="GT18" s="801"/>
      <c r="GU18" s="801"/>
      <c r="GV18" s="801"/>
      <c r="GW18" s="801"/>
      <c r="GX18" s="801"/>
      <c r="GY18" s="801"/>
      <c r="GZ18" s="802"/>
      <c r="HA18" s="800" t="str">
        <f>IFERROR(IF(VLOOKUP(HQ$2,Lista_Pedidos,11,0)&lt;&gt;"","Cordon :      " &amp; VLOOKUP(HQ$2,Lista_Pedidos,11,0),""),"")</f>
        <v/>
      </c>
      <c r="HB18" s="801"/>
      <c r="HC18" s="801"/>
      <c r="HD18" s="801"/>
      <c r="HE18" s="801"/>
      <c r="HF18" s="801"/>
      <c r="HG18" s="801"/>
      <c r="HH18" s="801"/>
      <c r="HI18" s="801"/>
      <c r="HJ18" s="801"/>
      <c r="HK18" s="801"/>
      <c r="HL18" s="801"/>
      <c r="HM18" s="801"/>
      <c r="HN18" s="801"/>
      <c r="HO18" s="801"/>
      <c r="HP18" s="801"/>
      <c r="HQ18" s="801"/>
      <c r="HR18" s="801"/>
      <c r="HS18" s="801"/>
      <c r="HT18" s="801"/>
      <c r="HU18" s="801"/>
      <c r="HV18" s="801"/>
      <c r="HW18" s="801"/>
      <c r="HX18" s="801"/>
      <c r="HY18" s="801"/>
      <c r="HZ18" s="802"/>
      <c r="IA18" s="800" t="str">
        <f>IFERROR(IF(VLOOKUP(IQ$2,Lista_Pedidos,11,0)&lt;&gt;"","Cordon :      " &amp; VLOOKUP(IQ$2,Lista_Pedidos,11,0),""),"")</f>
        <v/>
      </c>
      <c r="IB18" s="801"/>
      <c r="IC18" s="801"/>
      <c r="ID18" s="801"/>
      <c r="IE18" s="801"/>
      <c r="IF18" s="801"/>
      <c r="IG18" s="801"/>
      <c r="IH18" s="801"/>
      <c r="II18" s="801"/>
      <c r="IJ18" s="801"/>
      <c r="IK18" s="801"/>
      <c r="IL18" s="801"/>
      <c r="IM18" s="801"/>
      <c r="IN18" s="801"/>
      <c r="IO18" s="801"/>
      <c r="IP18" s="801"/>
      <c r="IQ18" s="801"/>
      <c r="IR18" s="801"/>
      <c r="IS18" s="801"/>
      <c r="IT18" s="801"/>
      <c r="IU18" s="801"/>
      <c r="IV18" s="801"/>
      <c r="IW18" s="801"/>
      <c r="IX18" s="801"/>
      <c r="IY18" s="801"/>
      <c r="IZ18" s="802"/>
    </row>
    <row r="19" spans="1:260" x14ac:dyDescent="0.25">
      <c r="A19" s="800" t="str">
        <f>IFERROR(IF(VLOOKUP(Q$2,Lista_Pedidos,12,0)&lt;&gt;"","Cordon Color : " &amp; VLOOKUP(Q$2,Lista_Pedidos,12,0),""),"")</f>
        <v/>
      </c>
      <c r="B19" s="801"/>
      <c r="C19" s="801"/>
      <c r="D19" s="801"/>
      <c r="E19" s="801"/>
      <c r="F19" s="801"/>
      <c r="G19" s="801"/>
      <c r="H19" s="801"/>
      <c r="I19" s="801"/>
      <c r="J19" s="801"/>
      <c r="K19" s="801"/>
      <c r="L19" s="801"/>
      <c r="M19" s="801"/>
      <c r="N19" s="801"/>
      <c r="O19" s="801"/>
      <c r="P19" s="801"/>
      <c r="Q19" s="801"/>
      <c r="R19" s="801"/>
      <c r="S19" s="801"/>
      <c r="T19" s="801"/>
      <c r="U19" s="801"/>
      <c r="V19" s="801"/>
      <c r="W19" s="801"/>
      <c r="X19" s="801"/>
      <c r="Y19" s="801"/>
      <c r="Z19" s="802"/>
      <c r="AA19" s="800" t="str">
        <f>IFERROR(IF(VLOOKUP(AQ$2,Lista_Pedidos,12,0)&lt;&gt;"","Cordon Color : " &amp; VLOOKUP(AQ$2,Lista_Pedidos,12,0),""),"")</f>
        <v/>
      </c>
      <c r="AB19" s="801"/>
      <c r="AC19" s="801"/>
      <c r="AD19" s="801"/>
      <c r="AE19" s="801"/>
      <c r="AF19" s="801"/>
      <c r="AG19" s="801"/>
      <c r="AH19" s="801"/>
      <c r="AI19" s="801"/>
      <c r="AJ19" s="801"/>
      <c r="AK19" s="801"/>
      <c r="AL19" s="801"/>
      <c r="AM19" s="801"/>
      <c r="AN19" s="801"/>
      <c r="AO19" s="801"/>
      <c r="AP19" s="801"/>
      <c r="AQ19" s="801"/>
      <c r="AR19" s="801"/>
      <c r="AS19" s="801"/>
      <c r="AT19" s="801"/>
      <c r="AU19" s="801"/>
      <c r="AV19" s="801"/>
      <c r="AW19" s="801"/>
      <c r="AX19" s="801"/>
      <c r="AY19" s="801"/>
      <c r="AZ19" s="802"/>
      <c r="BA19" s="800" t="str">
        <f>IFERROR(IF(VLOOKUP(BQ$2,Lista_Pedidos,12,0)&lt;&gt;"","Cordon Color : " &amp; VLOOKUP(BQ$2,Lista_Pedidos,12,0),""),"")</f>
        <v/>
      </c>
      <c r="BB19" s="801"/>
      <c r="BC19" s="801"/>
      <c r="BD19" s="801"/>
      <c r="BE19" s="801"/>
      <c r="BF19" s="801"/>
      <c r="BG19" s="801"/>
      <c r="BH19" s="801"/>
      <c r="BI19" s="801"/>
      <c r="BJ19" s="801"/>
      <c r="BK19" s="801"/>
      <c r="BL19" s="801"/>
      <c r="BM19" s="801"/>
      <c r="BN19" s="801"/>
      <c r="BO19" s="801"/>
      <c r="BP19" s="801"/>
      <c r="BQ19" s="801"/>
      <c r="BR19" s="801"/>
      <c r="BS19" s="801"/>
      <c r="BT19" s="801"/>
      <c r="BU19" s="801"/>
      <c r="BV19" s="801"/>
      <c r="BW19" s="801"/>
      <c r="BX19" s="801"/>
      <c r="BY19" s="801"/>
      <c r="BZ19" s="802"/>
      <c r="CA19" s="800" t="str">
        <f>IFERROR(IF(VLOOKUP(CQ$2,Lista_Pedidos,12,0)&lt;&gt;"","Cordon Color : " &amp; VLOOKUP(CQ$2,Lista_Pedidos,12,0),""),"")</f>
        <v/>
      </c>
      <c r="CB19" s="801"/>
      <c r="CC19" s="801"/>
      <c r="CD19" s="801"/>
      <c r="CE19" s="801"/>
      <c r="CF19" s="801"/>
      <c r="CG19" s="801"/>
      <c r="CH19" s="801"/>
      <c r="CI19" s="801"/>
      <c r="CJ19" s="801"/>
      <c r="CK19" s="801"/>
      <c r="CL19" s="801"/>
      <c r="CM19" s="801"/>
      <c r="CN19" s="801"/>
      <c r="CO19" s="801"/>
      <c r="CP19" s="801"/>
      <c r="CQ19" s="801"/>
      <c r="CR19" s="801"/>
      <c r="CS19" s="801"/>
      <c r="CT19" s="801"/>
      <c r="CU19" s="801"/>
      <c r="CV19" s="801"/>
      <c r="CW19" s="801"/>
      <c r="CX19" s="801"/>
      <c r="CY19" s="801"/>
      <c r="CZ19" s="802"/>
      <c r="DA19" s="800" t="str">
        <f>IFERROR(IF(VLOOKUP(DQ$2,Lista_Pedidos,12,0)&lt;&gt;"","Cordon Color : " &amp; VLOOKUP(DQ$2,Lista_Pedidos,12,0),""),"")</f>
        <v/>
      </c>
      <c r="DB19" s="801"/>
      <c r="DC19" s="801"/>
      <c r="DD19" s="801"/>
      <c r="DE19" s="801"/>
      <c r="DF19" s="801"/>
      <c r="DG19" s="801"/>
      <c r="DH19" s="801"/>
      <c r="DI19" s="801"/>
      <c r="DJ19" s="801"/>
      <c r="DK19" s="801"/>
      <c r="DL19" s="801"/>
      <c r="DM19" s="801"/>
      <c r="DN19" s="801"/>
      <c r="DO19" s="801"/>
      <c r="DP19" s="801"/>
      <c r="DQ19" s="801"/>
      <c r="DR19" s="801"/>
      <c r="DS19" s="801"/>
      <c r="DT19" s="801"/>
      <c r="DU19" s="801"/>
      <c r="DV19" s="801"/>
      <c r="DW19" s="801"/>
      <c r="DX19" s="801"/>
      <c r="DY19" s="801"/>
      <c r="DZ19" s="802"/>
      <c r="EA19" s="800" t="str">
        <f>IFERROR(IF(VLOOKUP(EQ$2,Lista_Pedidos,12,0)&lt;&gt;"","Cordon Color : " &amp; VLOOKUP(EQ$2,Lista_Pedidos,12,0),""),"")</f>
        <v/>
      </c>
      <c r="EB19" s="801"/>
      <c r="EC19" s="801"/>
      <c r="ED19" s="801"/>
      <c r="EE19" s="801"/>
      <c r="EF19" s="801"/>
      <c r="EG19" s="801"/>
      <c r="EH19" s="801"/>
      <c r="EI19" s="801"/>
      <c r="EJ19" s="801"/>
      <c r="EK19" s="801"/>
      <c r="EL19" s="801"/>
      <c r="EM19" s="801"/>
      <c r="EN19" s="801"/>
      <c r="EO19" s="801"/>
      <c r="EP19" s="801"/>
      <c r="EQ19" s="801"/>
      <c r="ER19" s="801"/>
      <c r="ES19" s="801"/>
      <c r="ET19" s="801"/>
      <c r="EU19" s="801"/>
      <c r="EV19" s="801"/>
      <c r="EW19" s="801"/>
      <c r="EX19" s="801"/>
      <c r="EY19" s="801"/>
      <c r="EZ19" s="802"/>
      <c r="FA19" s="800" t="str">
        <f>IFERROR(IF(VLOOKUP(FQ$2,Lista_Pedidos,12,0)&lt;&gt;"","Cordon Color : " &amp; VLOOKUP(FQ$2,Lista_Pedidos,12,0),""),"")</f>
        <v/>
      </c>
      <c r="FB19" s="801"/>
      <c r="FC19" s="801"/>
      <c r="FD19" s="801"/>
      <c r="FE19" s="801"/>
      <c r="FF19" s="801"/>
      <c r="FG19" s="801"/>
      <c r="FH19" s="801"/>
      <c r="FI19" s="801"/>
      <c r="FJ19" s="801"/>
      <c r="FK19" s="801"/>
      <c r="FL19" s="801"/>
      <c r="FM19" s="801"/>
      <c r="FN19" s="801"/>
      <c r="FO19" s="801"/>
      <c r="FP19" s="801"/>
      <c r="FQ19" s="801"/>
      <c r="FR19" s="801"/>
      <c r="FS19" s="801"/>
      <c r="FT19" s="801"/>
      <c r="FU19" s="801"/>
      <c r="FV19" s="801"/>
      <c r="FW19" s="801"/>
      <c r="FX19" s="801"/>
      <c r="FY19" s="801"/>
      <c r="FZ19" s="802"/>
      <c r="GA19" s="800" t="str">
        <f>IFERROR(IF(VLOOKUP(GQ$2,Lista_Pedidos,12,0)&lt;&gt;"","Cordon Color : " &amp; VLOOKUP(GQ$2,Lista_Pedidos,12,0),""),"")</f>
        <v/>
      </c>
      <c r="GB19" s="801"/>
      <c r="GC19" s="801"/>
      <c r="GD19" s="801"/>
      <c r="GE19" s="801"/>
      <c r="GF19" s="801"/>
      <c r="GG19" s="801"/>
      <c r="GH19" s="801"/>
      <c r="GI19" s="801"/>
      <c r="GJ19" s="801"/>
      <c r="GK19" s="801"/>
      <c r="GL19" s="801"/>
      <c r="GM19" s="801"/>
      <c r="GN19" s="801"/>
      <c r="GO19" s="801"/>
      <c r="GP19" s="801"/>
      <c r="GQ19" s="801"/>
      <c r="GR19" s="801"/>
      <c r="GS19" s="801"/>
      <c r="GT19" s="801"/>
      <c r="GU19" s="801"/>
      <c r="GV19" s="801"/>
      <c r="GW19" s="801"/>
      <c r="GX19" s="801"/>
      <c r="GY19" s="801"/>
      <c r="GZ19" s="802"/>
      <c r="HA19" s="800" t="str">
        <f>IFERROR(IF(VLOOKUP(HQ$2,Lista_Pedidos,12,0)&lt;&gt;"","Cordon Color : " &amp; VLOOKUP(HQ$2,Lista_Pedidos,12,0),""),"")</f>
        <v/>
      </c>
      <c r="HB19" s="801"/>
      <c r="HC19" s="801"/>
      <c r="HD19" s="801"/>
      <c r="HE19" s="801"/>
      <c r="HF19" s="801"/>
      <c r="HG19" s="801"/>
      <c r="HH19" s="801"/>
      <c r="HI19" s="801"/>
      <c r="HJ19" s="801"/>
      <c r="HK19" s="801"/>
      <c r="HL19" s="801"/>
      <c r="HM19" s="801"/>
      <c r="HN19" s="801"/>
      <c r="HO19" s="801"/>
      <c r="HP19" s="801"/>
      <c r="HQ19" s="801"/>
      <c r="HR19" s="801"/>
      <c r="HS19" s="801"/>
      <c r="HT19" s="801"/>
      <c r="HU19" s="801"/>
      <c r="HV19" s="801"/>
      <c r="HW19" s="801"/>
      <c r="HX19" s="801"/>
      <c r="HY19" s="801"/>
      <c r="HZ19" s="802"/>
      <c r="IA19" s="800" t="str">
        <f>IFERROR(IF(VLOOKUP(IQ$2,Lista_Pedidos,12,0)&lt;&gt;"","Cordon Color : " &amp; VLOOKUP(IQ$2,Lista_Pedidos,12,0),""),"")</f>
        <v/>
      </c>
      <c r="IB19" s="801"/>
      <c r="IC19" s="801"/>
      <c r="ID19" s="801"/>
      <c r="IE19" s="801"/>
      <c r="IF19" s="801"/>
      <c r="IG19" s="801"/>
      <c r="IH19" s="801"/>
      <c r="II19" s="801"/>
      <c r="IJ19" s="801"/>
      <c r="IK19" s="801"/>
      <c r="IL19" s="801"/>
      <c r="IM19" s="801"/>
      <c r="IN19" s="801"/>
      <c r="IO19" s="801"/>
      <c r="IP19" s="801"/>
      <c r="IQ19" s="801"/>
      <c r="IR19" s="801"/>
      <c r="IS19" s="801"/>
      <c r="IT19" s="801"/>
      <c r="IU19" s="801"/>
      <c r="IV19" s="801"/>
      <c r="IW19" s="801"/>
      <c r="IX19" s="801"/>
      <c r="IY19" s="801"/>
      <c r="IZ19" s="802"/>
    </row>
    <row r="20" spans="1:260" x14ac:dyDescent="0.25">
      <c r="A20" s="800"/>
      <c r="B20" s="801"/>
      <c r="C20" s="801"/>
      <c r="D20" s="801"/>
      <c r="E20" s="801"/>
      <c r="F20" s="801"/>
      <c r="G20" s="801"/>
      <c r="H20" s="801"/>
      <c r="I20" s="801"/>
      <c r="J20" s="801"/>
      <c r="K20" s="801"/>
      <c r="L20" s="801"/>
      <c r="M20" s="801"/>
      <c r="N20" s="801"/>
      <c r="O20" s="801"/>
      <c r="P20" s="801"/>
      <c r="Q20" s="801"/>
      <c r="R20" s="801"/>
      <c r="S20" s="801"/>
      <c r="T20" s="801"/>
      <c r="U20" s="801"/>
      <c r="V20" s="801"/>
      <c r="W20" s="801"/>
      <c r="X20" s="801"/>
      <c r="Y20" s="801"/>
      <c r="Z20" s="802"/>
      <c r="AA20" s="800"/>
      <c r="AB20" s="801"/>
      <c r="AC20" s="801"/>
      <c r="AD20" s="801"/>
      <c r="AE20" s="801"/>
      <c r="AF20" s="801"/>
      <c r="AG20" s="801"/>
      <c r="AH20" s="801"/>
      <c r="AI20" s="801"/>
      <c r="AJ20" s="801"/>
      <c r="AK20" s="801"/>
      <c r="AL20" s="801"/>
      <c r="AM20" s="801"/>
      <c r="AN20" s="801"/>
      <c r="AO20" s="801"/>
      <c r="AP20" s="801"/>
      <c r="AQ20" s="801"/>
      <c r="AR20" s="801"/>
      <c r="AS20" s="801"/>
      <c r="AT20" s="801"/>
      <c r="AU20" s="801"/>
      <c r="AV20" s="801"/>
      <c r="AW20" s="801"/>
      <c r="AX20" s="801"/>
      <c r="AY20" s="801"/>
      <c r="AZ20" s="802"/>
      <c r="BA20" s="800"/>
      <c r="BB20" s="801"/>
      <c r="BC20" s="801"/>
      <c r="BD20" s="801"/>
      <c r="BE20" s="801"/>
      <c r="BF20" s="801"/>
      <c r="BG20" s="801"/>
      <c r="BH20" s="801"/>
      <c r="BI20" s="801"/>
      <c r="BJ20" s="801"/>
      <c r="BK20" s="801"/>
      <c r="BL20" s="801"/>
      <c r="BM20" s="801"/>
      <c r="BN20" s="801"/>
      <c r="BO20" s="801"/>
      <c r="BP20" s="801"/>
      <c r="BQ20" s="801"/>
      <c r="BR20" s="801"/>
      <c r="BS20" s="801"/>
      <c r="BT20" s="801"/>
      <c r="BU20" s="801"/>
      <c r="BV20" s="801"/>
      <c r="BW20" s="801"/>
      <c r="BX20" s="801"/>
      <c r="BY20" s="801"/>
      <c r="BZ20" s="802"/>
      <c r="CA20" s="800"/>
      <c r="CB20" s="801"/>
      <c r="CC20" s="801"/>
      <c r="CD20" s="801"/>
      <c r="CE20" s="801"/>
      <c r="CF20" s="801"/>
      <c r="CG20" s="801"/>
      <c r="CH20" s="801"/>
      <c r="CI20" s="801"/>
      <c r="CJ20" s="801"/>
      <c r="CK20" s="801"/>
      <c r="CL20" s="801"/>
      <c r="CM20" s="801"/>
      <c r="CN20" s="801"/>
      <c r="CO20" s="801"/>
      <c r="CP20" s="801"/>
      <c r="CQ20" s="801"/>
      <c r="CR20" s="801"/>
      <c r="CS20" s="801"/>
      <c r="CT20" s="801"/>
      <c r="CU20" s="801"/>
      <c r="CV20" s="801"/>
      <c r="CW20" s="801"/>
      <c r="CX20" s="801"/>
      <c r="CY20" s="801"/>
      <c r="CZ20" s="802"/>
      <c r="DA20" s="800"/>
      <c r="DB20" s="801"/>
      <c r="DC20" s="801"/>
      <c r="DD20" s="801"/>
      <c r="DE20" s="801"/>
      <c r="DF20" s="801"/>
      <c r="DG20" s="801"/>
      <c r="DH20" s="801"/>
      <c r="DI20" s="801"/>
      <c r="DJ20" s="801"/>
      <c r="DK20" s="801"/>
      <c r="DL20" s="801"/>
      <c r="DM20" s="801"/>
      <c r="DN20" s="801"/>
      <c r="DO20" s="801"/>
      <c r="DP20" s="801"/>
      <c r="DQ20" s="801"/>
      <c r="DR20" s="801"/>
      <c r="DS20" s="801"/>
      <c r="DT20" s="801"/>
      <c r="DU20" s="801"/>
      <c r="DV20" s="801"/>
      <c r="DW20" s="801"/>
      <c r="DX20" s="801"/>
      <c r="DY20" s="801"/>
      <c r="DZ20" s="802"/>
      <c r="EA20" s="800"/>
      <c r="EB20" s="801"/>
      <c r="EC20" s="801"/>
      <c r="ED20" s="801"/>
      <c r="EE20" s="801"/>
      <c r="EF20" s="801"/>
      <c r="EG20" s="801"/>
      <c r="EH20" s="801"/>
      <c r="EI20" s="801"/>
      <c r="EJ20" s="801"/>
      <c r="EK20" s="801"/>
      <c r="EL20" s="801"/>
      <c r="EM20" s="801"/>
      <c r="EN20" s="801"/>
      <c r="EO20" s="801"/>
      <c r="EP20" s="801"/>
      <c r="EQ20" s="801"/>
      <c r="ER20" s="801"/>
      <c r="ES20" s="801"/>
      <c r="ET20" s="801"/>
      <c r="EU20" s="801"/>
      <c r="EV20" s="801"/>
      <c r="EW20" s="801"/>
      <c r="EX20" s="801"/>
      <c r="EY20" s="801"/>
      <c r="EZ20" s="802"/>
      <c r="FA20" s="800"/>
      <c r="FB20" s="801"/>
      <c r="FC20" s="801"/>
      <c r="FD20" s="801"/>
      <c r="FE20" s="801"/>
      <c r="FF20" s="801"/>
      <c r="FG20" s="801"/>
      <c r="FH20" s="801"/>
      <c r="FI20" s="801"/>
      <c r="FJ20" s="801"/>
      <c r="FK20" s="801"/>
      <c r="FL20" s="801"/>
      <c r="FM20" s="801"/>
      <c r="FN20" s="801"/>
      <c r="FO20" s="801"/>
      <c r="FP20" s="801"/>
      <c r="FQ20" s="801"/>
      <c r="FR20" s="801"/>
      <c r="FS20" s="801"/>
      <c r="FT20" s="801"/>
      <c r="FU20" s="801"/>
      <c r="FV20" s="801"/>
      <c r="FW20" s="801"/>
      <c r="FX20" s="801"/>
      <c r="FY20" s="801"/>
      <c r="FZ20" s="802"/>
      <c r="GA20" s="800"/>
      <c r="GB20" s="801"/>
      <c r="GC20" s="801"/>
      <c r="GD20" s="801"/>
      <c r="GE20" s="801"/>
      <c r="GF20" s="801"/>
      <c r="GG20" s="801"/>
      <c r="GH20" s="801"/>
      <c r="GI20" s="801"/>
      <c r="GJ20" s="801"/>
      <c r="GK20" s="801"/>
      <c r="GL20" s="801"/>
      <c r="GM20" s="801"/>
      <c r="GN20" s="801"/>
      <c r="GO20" s="801"/>
      <c r="GP20" s="801"/>
      <c r="GQ20" s="801"/>
      <c r="GR20" s="801"/>
      <c r="GS20" s="801"/>
      <c r="GT20" s="801"/>
      <c r="GU20" s="801"/>
      <c r="GV20" s="801"/>
      <c r="GW20" s="801"/>
      <c r="GX20" s="801"/>
      <c r="GY20" s="801"/>
      <c r="GZ20" s="802"/>
      <c r="HA20" s="800"/>
      <c r="HB20" s="801"/>
      <c r="HC20" s="801"/>
      <c r="HD20" s="801"/>
      <c r="HE20" s="801"/>
      <c r="HF20" s="801"/>
      <c r="HG20" s="801"/>
      <c r="HH20" s="801"/>
      <c r="HI20" s="801"/>
      <c r="HJ20" s="801"/>
      <c r="HK20" s="801"/>
      <c r="HL20" s="801"/>
      <c r="HM20" s="801"/>
      <c r="HN20" s="801"/>
      <c r="HO20" s="801"/>
      <c r="HP20" s="801"/>
      <c r="HQ20" s="801"/>
      <c r="HR20" s="801"/>
      <c r="HS20" s="801"/>
      <c r="HT20" s="801"/>
      <c r="HU20" s="801"/>
      <c r="HV20" s="801"/>
      <c r="HW20" s="801"/>
      <c r="HX20" s="801"/>
      <c r="HY20" s="801"/>
      <c r="HZ20" s="802"/>
      <c r="IA20" s="800"/>
      <c r="IB20" s="801"/>
      <c r="IC20" s="801"/>
      <c r="ID20" s="801"/>
      <c r="IE20" s="801"/>
      <c r="IF20" s="801"/>
      <c r="IG20" s="801"/>
      <c r="IH20" s="801"/>
      <c r="II20" s="801"/>
      <c r="IJ20" s="801"/>
      <c r="IK20" s="801"/>
      <c r="IL20" s="801"/>
      <c r="IM20" s="801"/>
      <c r="IN20" s="801"/>
      <c r="IO20" s="801"/>
      <c r="IP20" s="801"/>
      <c r="IQ20" s="801"/>
      <c r="IR20" s="801"/>
      <c r="IS20" s="801"/>
      <c r="IT20" s="801"/>
      <c r="IU20" s="801"/>
      <c r="IV20" s="801"/>
      <c r="IW20" s="801"/>
      <c r="IX20" s="801"/>
      <c r="IY20" s="801"/>
      <c r="IZ20" s="802"/>
    </row>
    <row r="21" spans="1:260" x14ac:dyDescent="0.25">
      <c r="A21" s="800"/>
      <c r="B21" s="801"/>
      <c r="C21" s="801"/>
      <c r="D21" s="801"/>
      <c r="E21" s="801"/>
      <c r="F21" s="801"/>
      <c r="G21" s="801"/>
      <c r="H21" s="801"/>
      <c r="I21" s="801"/>
      <c r="J21" s="801"/>
      <c r="K21" s="801"/>
      <c r="L21" s="801"/>
      <c r="M21" s="801"/>
      <c r="N21" s="801"/>
      <c r="O21" s="801"/>
      <c r="P21" s="801"/>
      <c r="Q21" s="801"/>
      <c r="R21" s="801"/>
      <c r="S21" s="801"/>
      <c r="T21" s="801"/>
      <c r="U21" s="801"/>
      <c r="V21" s="801"/>
      <c r="W21" s="801"/>
      <c r="X21" s="801"/>
      <c r="Y21" s="801"/>
      <c r="Z21" s="802"/>
      <c r="AA21" s="800"/>
      <c r="AB21" s="801"/>
      <c r="AC21" s="801"/>
      <c r="AD21" s="801"/>
      <c r="AE21" s="801"/>
      <c r="AF21" s="801"/>
      <c r="AG21" s="801"/>
      <c r="AH21" s="801"/>
      <c r="AI21" s="801"/>
      <c r="AJ21" s="801"/>
      <c r="AK21" s="801"/>
      <c r="AL21" s="801"/>
      <c r="AM21" s="801"/>
      <c r="AN21" s="801"/>
      <c r="AO21" s="801"/>
      <c r="AP21" s="801"/>
      <c r="AQ21" s="801"/>
      <c r="AR21" s="801"/>
      <c r="AS21" s="801"/>
      <c r="AT21" s="801"/>
      <c r="AU21" s="801"/>
      <c r="AV21" s="801"/>
      <c r="AW21" s="801"/>
      <c r="AX21" s="801"/>
      <c r="AY21" s="801"/>
      <c r="AZ21" s="802"/>
      <c r="BA21" s="800"/>
      <c r="BB21" s="801"/>
      <c r="BC21" s="801"/>
      <c r="BD21" s="801"/>
      <c r="BE21" s="801"/>
      <c r="BF21" s="801"/>
      <c r="BG21" s="801"/>
      <c r="BH21" s="801"/>
      <c r="BI21" s="801"/>
      <c r="BJ21" s="801"/>
      <c r="BK21" s="801"/>
      <c r="BL21" s="801"/>
      <c r="BM21" s="801"/>
      <c r="BN21" s="801"/>
      <c r="BO21" s="801"/>
      <c r="BP21" s="801"/>
      <c r="BQ21" s="801"/>
      <c r="BR21" s="801"/>
      <c r="BS21" s="801"/>
      <c r="BT21" s="801"/>
      <c r="BU21" s="801"/>
      <c r="BV21" s="801"/>
      <c r="BW21" s="801"/>
      <c r="BX21" s="801"/>
      <c r="BY21" s="801"/>
      <c r="BZ21" s="802"/>
      <c r="CA21" s="800"/>
      <c r="CB21" s="801"/>
      <c r="CC21" s="801"/>
      <c r="CD21" s="801"/>
      <c r="CE21" s="801"/>
      <c r="CF21" s="801"/>
      <c r="CG21" s="801"/>
      <c r="CH21" s="801"/>
      <c r="CI21" s="801"/>
      <c r="CJ21" s="801"/>
      <c r="CK21" s="801"/>
      <c r="CL21" s="801"/>
      <c r="CM21" s="801"/>
      <c r="CN21" s="801"/>
      <c r="CO21" s="801"/>
      <c r="CP21" s="801"/>
      <c r="CQ21" s="801"/>
      <c r="CR21" s="801"/>
      <c r="CS21" s="801"/>
      <c r="CT21" s="801"/>
      <c r="CU21" s="801"/>
      <c r="CV21" s="801"/>
      <c r="CW21" s="801"/>
      <c r="CX21" s="801"/>
      <c r="CY21" s="801"/>
      <c r="CZ21" s="802"/>
      <c r="DA21" s="800"/>
      <c r="DB21" s="801"/>
      <c r="DC21" s="801"/>
      <c r="DD21" s="801"/>
      <c r="DE21" s="801"/>
      <c r="DF21" s="801"/>
      <c r="DG21" s="801"/>
      <c r="DH21" s="801"/>
      <c r="DI21" s="801"/>
      <c r="DJ21" s="801"/>
      <c r="DK21" s="801"/>
      <c r="DL21" s="801"/>
      <c r="DM21" s="801"/>
      <c r="DN21" s="801"/>
      <c r="DO21" s="801"/>
      <c r="DP21" s="801"/>
      <c r="DQ21" s="801"/>
      <c r="DR21" s="801"/>
      <c r="DS21" s="801"/>
      <c r="DT21" s="801"/>
      <c r="DU21" s="801"/>
      <c r="DV21" s="801"/>
      <c r="DW21" s="801"/>
      <c r="DX21" s="801"/>
      <c r="DY21" s="801"/>
      <c r="DZ21" s="802"/>
      <c r="EA21" s="800"/>
      <c r="EB21" s="801"/>
      <c r="EC21" s="801"/>
      <c r="ED21" s="801"/>
      <c r="EE21" s="801"/>
      <c r="EF21" s="801"/>
      <c r="EG21" s="801"/>
      <c r="EH21" s="801"/>
      <c r="EI21" s="801"/>
      <c r="EJ21" s="801"/>
      <c r="EK21" s="801"/>
      <c r="EL21" s="801"/>
      <c r="EM21" s="801"/>
      <c r="EN21" s="801"/>
      <c r="EO21" s="801"/>
      <c r="EP21" s="801"/>
      <c r="EQ21" s="801"/>
      <c r="ER21" s="801"/>
      <c r="ES21" s="801"/>
      <c r="ET21" s="801"/>
      <c r="EU21" s="801"/>
      <c r="EV21" s="801"/>
      <c r="EW21" s="801"/>
      <c r="EX21" s="801"/>
      <c r="EY21" s="801"/>
      <c r="EZ21" s="802"/>
      <c r="FA21" s="800"/>
      <c r="FB21" s="801"/>
      <c r="FC21" s="801"/>
      <c r="FD21" s="801"/>
      <c r="FE21" s="801"/>
      <c r="FF21" s="801"/>
      <c r="FG21" s="801"/>
      <c r="FH21" s="801"/>
      <c r="FI21" s="801"/>
      <c r="FJ21" s="801"/>
      <c r="FK21" s="801"/>
      <c r="FL21" s="801"/>
      <c r="FM21" s="801"/>
      <c r="FN21" s="801"/>
      <c r="FO21" s="801"/>
      <c r="FP21" s="801"/>
      <c r="FQ21" s="801"/>
      <c r="FR21" s="801"/>
      <c r="FS21" s="801"/>
      <c r="FT21" s="801"/>
      <c r="FU21" s="801"/>
      <c r="FV21" s="801"/>
      <c r="FW21" s="801"/>
      <c r="FX21" s="801"/>
      <c r="FY21" s="801"/>
      <c r="FZ21" s="802"/>
      <c r="GA21" s="800"/>
      <c r="GB21" s="801"/>
      <c r="GC21" s="801"/>
      <c r="GD21" s="801"/>
      <c r="GE21" s="801"/>
      <c r="GF21" s="801"/>
      <c r="GG21" s="801"/>
      <c r="GH21" s="801"/>
      <c r="GI21" s="801"/>
      <c r="GJ21" s="801"/>
      <c r="GK21" s="801"/>
      <c r="GL21" s="801"/>
      <c r="GM21" s="801"/>
      <c r="GN21" s="801"/>
      <c r="GO21" s="801"/>
      <c r="GP21" s="801"/>
      <c r="GQ21" s="801"/>
      <c r="GR21" s="801"/>
      <c r="GS21" s="801"/>
      <c r="GT21" s="801"/>
      <c r="GU21" s="801"/>
      <c r="GV21" s="801"/>
      <c r="GW21" s="801"/>
      <c r="GX21" s="801"/>
      <c r="GY21" s="801"/>
      <c r="GZ21" s="802"/>
      <c r="HA21" s="800"/>
      <c r="HB21" s="801"/>
      <c r="HC21" s="801"/>
      <c r="HD21" s="801"/>
      <c r="HE21" s="801"/>
      <c r="HF21" s="801"/>
      <c r="HG21" s="801"/>
      <c r="HH21" s="801"/>
      <c r="HI21" s="801"/>
      <c r="HJ21" s="801"/>
      <c r="HK21" s="801"/>
      <c r="HL21" s="801"/>
      <c r="HM21" s="801"/>
      <c r="HN21" s="801"/>
      <c r="HO21" s="801"/>
      <c r="HP21" s="801"/>
      <c r="HQ21" s="801"/>
      <c r="HR21" s="801"/>
      <c r="HS21" s="801"/>
      <c r="HT21" s="801"/>
      <c r="HU21" s="801"/>
      <c r="HV21" s="801"/>
      <c r="HW21" s="801"/>
      <c r="HX21" s="801"/>
      <c r="HY21" s="801"/>
      <c r="HZ21" s="802"/>
      <c r="IA21" s="800"/>
      <c r="IB21" s="801"/>
      <c r="IC21" s="801"/>
      <c r="ID21" s="801"/>
      <c r="IE21" s="801"/>
      <c r="IF21" s="801"/>
      <c r="IG21" s="801"/>
      <c r="IH21" s="801"/>
      <c r="II21" s="801"/>
      <c r="IJ21" s="801"/>
      <c r="IK21" s="801"/>
      <c r="IL21" s="801"/>
      <c r="IM21" s="801"/>
      <c r="IN21" s="801"/>
      <c r="IO21" s="801"/>
      <c r="IP21" s="801"/>
      <c r="IQ21" s="801"/>
      <c r="IR21" s="801"/>
      <c r="IS21" s="801"/>
      <c r="IT21" s="801"/>
      <c r="IU21" s="801"/>
      <c r="IV21" s="801"/>
      <c r="IW21" s="801"/>
      <c r="IX21" s="801"/>
      <c r="IY21" s="801"/>
      <c r="IZ21" s="802"/>
    </row>
    <row r="22" spans="1:260" x14ac:dyDescent="0.25">
      <c r="A22" s="800" t="str">
        <f>IFERROR(IF(VLOOKUP(Q$2,Lista_Pedidos,31,0)&lt;&gt;"","Nombres : " &amp; VLOOKUP(Q$2,Lista_Pedidos,31,0),""),"")</f>
        <v/>
      </c>
      <c r="B22" s="801"/>
      <c r="C22" s="801"/>
      <c r="D22" s="801"/>
      <c r="E22" s="801"/>
      <c r="F22" s="801"/>
      <c r="G22" s="801"/>
      <c r="H22" s="801"/>
      <c r="I22" s="801"/>
      <c r="J22" s="801"/>
      <c r="K22" s="801"/>
      <c r="L22" s="801"/>
      <c r="M22" s="801"/>
      <c r="N22" s="801"/>
      <c r="O22" s="801"/>
      <c r="P22" s="801"/>
      <c r="Q22" s="801"/>
      <c r="R22" s="801"/>
      <c r="S22" s="801"/>
      <c r="T22" s="801"/>
      <c r="U22" s="801"/>
      <c r="V22" s="801"/>
      <c r="W22" s="801"/>
      <c r="X22" s="801"/>
      <c r="Y22" s="801"/>
      <c r="Z22" s="802"/>
      <c r="AA22" s="800" t="str">
        <f>IFERROR(IF(VLOOKUP(AQ$2,Lista_Pedidos,31,0)&lt;&gt;"","Nombres : " &amp; VLOOKUP(AQ$2,Lista_Pedidos,31,0),""),"")</f>
        <v/>
      </c>
      <c r="AB22" s="801"/>
      <c r="AC22" s="801"/>
      <c r="AD22" s="801"/>
      <c r="AE22" s="801"/>
      <c r="AF22" s="801"/>
      <c r="AG22" s="801"/>
      <c r="AH22" s="801"/>
      <c r="AI22" s="801"/>
      <c r="AJ22" s="801"/>
      <c r="AK22" s="801"/>
      <c r="AL22" s="801"/>
      <c r="AM22" s="801"/>
      <c r="AN22" s="801"/>
      <c r="AO22" s="801"/>
      <c r="AP22" s="801"/>
      <c r="AQ22" s="801"/>
      <c r="AR22" s="801"/>
      <c r="AS22" s="801"/>
      <c r="AT22" s="801"/>
      <c r="AU22" s="801"/>
      <c r="AV22" s="801"/>
      <c r="AW22" s="801"/>
      <c r="AX22" s="801"/>
      <c r="AY22" s="801"/>
      <c r="AZ22" s="802"/>
      <c r="BA22" s="800" t="str">
        <f>IFERROR(IF(VLOOKUP(BQ$2,Lista_Pedidos,31,0)&lt;&gt;"","Nombres : " &amp; VLOOKUP(BQ$2,Lista_Pedidos,31,0),""),"")</f>
        <v/>
      </c>
      <c r="BB22" s="801"/>
      <c r="BC22" s="801"/>
      <c r="BD22" s="801"/>
      <c r="BE22" s="801"/>
      <c r="BF22" s="801"/>
      <c r="BG22" s="801"/>
      <c r="BH22" s="801"/>
      <c r="BI22" s="801"/>
      <c r="BJ22" s="801"/>
      <c r="BK22" s="801"/>
      <c r="BL22" s="801"/>
      <c r="BM22" s="801"/>
      <c r="BN22" s="801"/>
      <c r="BO22" s="801"/>
      <c r="BP22" s="801"/>
      <c r="BQ22" s="801"/>
      <c r="BR22" s="801"/>
      <c r="BS22" s="801"/>
      <c r="BT22" s="801"/>
      <c r="BU22" s="801"/>
      <c r="BV22" s="801"/>
      <c r="BW22" s="801"/>
      <c r="BX22" s="801"/>
      <c r="BY22" s="801"/>
      <c r="BZ22" s="802"/>
      <c r="CA22" s="800" t="str">
        <f>IFERROR(IF(VLOOKUP(CQ$2,Lista_Pedidos,31,0)&lt;&gt;"","Nombres : " &amp; VLOOKUP(CQ$2,Lista_Pedidos,31,0),""),"")</f>
        <v/>
      </c>
      <c r="CB22" s="801"/>
      <c r="CC22" s="801"/>
      <c r="CD22" s="801"/>
      <c r="CE22" s="801"/>
      <c r="CF22" s="801"/>
      <c r="CG22" s="801"/>
      <c r="CH22" s="801"/>
      <c r="CI22" s="801"/>
      <c r="CJ22" s="801"/>
      <c r="CK22" s="801"/>
      <c r="CL22" s="801"/>
      <c r="CM22" s="801"/>
      <c r="CN22" s="801"/>
      <c r="CO22" s="801"/>
      <c r="CP22" s="801"/>
      <c r="CQ22" s="801"/>
      <c r="CR22" s="801"/>
      <c r="CS22" s="801"/>
      <c r="CT22" s="801"/>
      <c r="CU22" s="801"/>
      <c r="CV22" s="801"/>
      <c r="CW22" s="801"/>
      <c r="CX22" s="801"/>
      <c r="CY22" s="801"/>
      <c r="CZ22" s="802"/>
      <c r="DA22" s="800" t="str">
        <f>IFERROR(IF(VLOOKUP(DQ$2,Lista_Pedidos,31,0)&lt;&gt;"","Nombres : " &amp; VLOOKUP(DQ$2,Lista_Pedidos,31,0),""),"")</f>
        <v/>
      </c>
      <c r="DB22" s="801"/>
      <c r="DC22" s="801"/>
      <c r="DD22" s="801"/>
      <c r="DE22" s="801"/>
      <c r="DF22" s="801"/>
      <c r="DG22" s="801"/>
      <c r="DH22" s="801"/>
      <c r="DI22" s="801"/>
      <c r="DJ22" s="801"/>
      <c r="DK22" s="801"/>
      <c r="DL22" s="801"/>
      <c r="DM22" s="801"/>
      <c r="DN22" s="801"/>
      <c r="DO22" s="801"/>
      <c r="DP22" s="801"/>
      <c r="DQ22" s="801"/>
      <c r="DR22" s="801"/>
      <c r="DS22" s="801"/>
      <c r="DT22" s="801"/>
      <c r="DU22" s="801"/>
      <c r="DV22" s="801"/>
      <c r="DW22" s="801"/>
      <c r="DX22" s="801"/>
      <c r="DY22" s="801"/>
      <c r="DZ22" s="802"/>
      <c r="EA22" s="800" t="str">
        <f>IFERROR(IF(VLOOKUP(EQ$2,Lista_Pedidos,31,0)&lt;&gt;"","Nombres : " &amp; VLOOKUP(EQ$2,Lista_Pedidos,31,0),""),"")</f>
        <v/>
      </c>
      <c r="EB22" s="801"/>
      <c r="EC22" s="801"/>
      <c r="ED22" s="801"/>
      <c r="EE22" s="801"/>
      <c r="EF22" s="801"/>
      <c r="EG22" s="801"/>
      <c r="EH22" s="801"/>
      <c r="EI22" s="801"/>
      <c r="EJ22" s="801"/>
      <c r="EK22" s="801"/>
      <c r="EL22" s="801"/>
      <c r="EM22" s="801"/>
      <c r="EN22" s="801"/>
      <c r="EO22" s="801"/>
      <c r="EP22" s="801"/>
      <c r="EQ22" s="801"/>
      <c r="ER22" s="801"/>
      <c r="ES22" s="801"/>
      <c r="ET22" s="801"/>
      <c r="EU22" s="801"/>
      <c r="EV22" s="801"/>
      <c r="EW22" s="801"/>
      <c r="EX22" s="801"/>
      <c r="EY22" s="801"/>
      <c r="EZ22" s="802"/>
      <c r="FA22" s="800" t="str">
        <f>IFERROR(IF(VLOOKUP(FQ$2,Lista_Pedidos,31,0)&lt;&gt;"","Nombres : " &amp; VLOOKUP(FQ$2,Lista_Pedidos,31,0),""),"")</f>
        <v/>
      </c>
      <c r="FB22" s="801"/>
      <c r="FC22" s="801"/>
      <c r="FD22" s="801"/>
      <c r="FE22" s="801"/>
      <c r="FF22" s="801"/>
      <c r="FG22" s="801"/>
      <c r="FH22" s="801"/>
      <c r="FI22" s="801"/>
      <c r="FJ22" s="801"/>
      <c r="FK22" s="801"/>
      <c r="FL22" s="801"/>
      <c r="FM22" s="801"/>
      <c r="FN22" s="801"/>
      <c r="FO22" s="801"/>
      <c r="FP22" s="801"/>
      <c r="FQ22" s="801"/>
      <c r="FR22" s="801"/>
      <c r="FS22" s="801"/>
      <c r="FT22" s="801"/>
      <c r="FU22" s="801"/>
      <c r="FV22" s="801"/>
      <c r="FW22" s="801"/>
      <c r="FX22" s="801"/>
      <c r="FY22" s="801"/>
      <c r="FZ22" s="802"/>
      <c r="GA22" s="800" t="str">
        <f>IFERROR(IF(VLOOKUP(GQ$2,Lista_Pedidos,31,0)&lt;&gt;"","Nombres : " &amp; VLOOKUP(GQ$2,Lista_Pedidos,31,0),""),"")</f>
        <v/>
      </c>
      <c r="GB22" s="801"/>
      <c r="GC22" s="801"/>
      <c r="GD22" s="801"/>
      <c r="GE22" s="801"/>
      <c r="GF22" s="801"/>
      <c r="GG22" s="801"/>
      <c r="GH22" s="801"/>
      <c r="GI22" s="801"/>
      <c r="GJ22" s="801"/>
      <c r="GK22" s="801"/>
      <c r="GL22" s="801"/>
      <c r="GM22" s="801"/>
      <c r="GN22" s="801"/>
      <c r="GO22" s="801"/>
      <c r="GP22" s="801"/>
      <c r="GQ22" s="801"/>
      <c r="GR22" s="801"/>
      <c r="GS22" s="801"/>
      <c r="GT22" s="801"/>
      <c r="GU22" s="801"/>
      <c r="GV22" s="801"/>
      <c r="GW22" s="801"/>
      <c r="GX22" s="801"/>
      <c r="GY22" s="801"/>
      <c r="GZ22" s="802"/>
      <c r="HA22" s="800" t="str">
        <f>IFERROR(IF(VLOOKUP(HQ$2,Lista_Pedidos,31,0)&lt;&gt;"","Nombres : " &amp; VLOOKUP(HQ$2,Lista_Pedidos,31,0),""),"")</f>
        <v/>
      </c>
      <c r="HB22" s="801"/>
      <c r="HC22" s="801"/>
      <c r="HD22" s="801"/>
      <c r="HE22" s="801"/>
      <c r="HF22" s="801"/>
      <c r="HG22" s="801"/>
      <c r="HH22" s="801"/>
      <c r="HI22" s="801"/>
      <c r="HJ22" s="801"/>
      <c r="HK22" s="801"/>
      <c r="HL22" s="801"/>
      <c r="HM22" s="801"/>
      <c r="HN22" s="801"/>
      <c r="HO22" s="801"/>
      <c r="HP22" s="801"/>
      <c r="HQ22" s="801"/>
      <c r="HR22" s="801"/>
      <c r="HS22" s="801"/>
      <c r="HT22" s="801"/>
      <c r="HU22" s="801"/>
      <c r="HV22" s="801"/>
      <c r="HW22" s="801"/>
      <c r="HX22" s="801"/>
      <c r="HY22" s="801"/>
      <c r="HZ22" s="802"/>
      <c r="IA22" s="800" t="str">
        <f>IFERROR(IF(VLOOKUP(IQ$2,Lista_Pedidos,31,0)&lt;&gt;"","Nombres : " &amp; VLOOKUP(IQ$2,Lista_Pedidos,31,0),""),"")</f>
        <v/>
      </c>
      <c r="IB22" s="801"/>
      <c r="IC22" s="801"/>
      <c r="ID22" s="801"/>
      <c r="IE22" s="801"/>
      <c r="IF22" s="801"/>
      <c r="IG22" s="801"/>
      <c r="IH22" s="801"/>
      <c r="II22" s="801"/>
      <c r="IJ22" s="801"/>
      <c r="IK22" s="801"/>
      <c r="IL22" s="801"/>
      <c r="IM22" s="801"/>
      <c r="IN22" s="801"/>
      <c r="IO22" s="801"/>
      <c r="IP22" s="801"/>
      <c r="IQ22" s="801"/>
      <c r="IR22" s="801"/>
      <c r="IS22" s="801"/>
      <c r="IT22" s="801"/>
      <c r="IU22" s="801"/>
      <c r="IV22" s="801"/>
      <c r="IW22" s="801"/>
      <c r="IX22" s="801"/>
      <c r="IY22" s="801"/>
      <c r="IZ22" s="802"/>
    </row>
    <row r="23" spans="1:260" x14ac:dyDescent="0.25">
      <c r="A23" s="820" t="str">
        <f>IFERROR(IF(VLOOKUP(Q$2,Lista_Pedidos,32,0)&lt;&gt;"","Localización del Nombres : " &amp; VLOOKUP(Q$2,Lista_Pedidos,32,0),""),"")</f>
        <v/>
      </c>
      <c r="B23" s="821"/>
      <c r="C23" s="821"/>
      <c r="D23" s="821"/>
      <c r="E23" s="821"/>
      <c r="F23" s="821"/>
      <c r="G23" s="821"/>
      <c r="H23" s="821"/>
      <c r="I23" s="821"/>
      <c r="J23" s="821"/>
      <c r="K23" s="821"/>
      <c r="L23" s="821"/>
      <c r="M23" s="821"/>
      <c r="N23" s="821"/>
      <c r="O23" s="821"/>
      <c r="P23" s="821"/>
      <c r="Q23" s="821"/>
      <c r="R23" s="821"/>
      <c r="S23" s="821"/>
      <c r="T23" s="821"/>
      <c r="U23" s="821"/>
      <c r="V23" s="821"/>
      <c r="W23" s="821"/>
      <c r="X23" s="821"/>
      <c r="Y23" s="821"/>
      <c r="Z23" s="822"/>
      <c r="AA23" s="820" t="str">
        <f>IFERROR(IF(VLOOKUP(AQ$2,Lista_Pedidos,32,0)&lt;&gt;"","Localización del Nombres : " &amp; VLOOKUP(AQ$2,Lista_Pedidos,32,0),""),"")</f>
        <v/>
      </c>
      <c r="AB23" s="821"/>
      <c r="AC23" s="821"/>
      <c r="AD23" s="821"/>
      <c r="AE23" s="821"/>
      <c r="AF23" s="821"/>
      <c r="AG23" s="821"/>
      <c r="AH23" s="821"/>
      <c r="AI23" s="821"/>
      <c r="AJ23" s="821"/>
      <c r="AK23" s="821"/>
      <c r="AL23" s="821"/>
      <c r="AM23" s="821"/>
      <c r="AN23" s="821"/>
      <c r="AO23" s="821"/>
      <c r="AP23" s="821"/>
      <c r="AQ23" s="821"/>
      <c r="AR23" s="821"/>
      <c r="AS23" s="821"/>
      <c r="AT23" s="821"/>
      <c r="AU23" s="821"/>
      <c r="AV23" s="821"/>
      <c r="AW23" s="821"/>
      <c r="AX23" s="821"/>
      <c r="AY23" s="821"/>
      <c r="AZ23" s="822"/>
      <c r="BA23" s="820" t="str">
        <f>IFERROR(IF(VLOOKUP(BQ$2,Lista_Pedidos,32,0)&lt;&gt;"","Localización del Nombres : " &amp; VLOOKUP(BQ$2,Lista_Pedidos,32,0),""),"")</f>
        <v/>
      </c>
      <c r="BB23" s="821"/>
      <c r="BC23" s="821"/>
      <c r="BD23" s="821"/>
      <c r="BE23" s="821"/>
      <c r="BF23" s="821"/>
      <c r="BG23" s="821"/>
      <c r="BH23" s="821"/>
      <c r="BI23" s="821"/>
      <c r="BJ23" s="821"/>
      <c r="BK23" s="821"/>
      <c r="BL23" s="821"/>
      <c r="BM23" s="821"/>
      <c r="BN23" s="821"/>
      <c r="BO23" s="821"/>
      <c r="BP23" s="821"/>
      <c r="BQ23" s="821"/>
      <c r="BR23" s="821"/>
      <c r="BS23" s="821"/>
      <c r="BT23" s="821"/>
      <c r="BU23" s="821"/>
      <c r="BV23" s="821"/>
      <c r="BW23" s="821"/>
      <c r="BX23" s="821"/>
      <c r="BY23" s="821"/>
      <c r="BZ23" s="822"/>
      <c r="CA23" s="820" t="str">
        <f>IFERROR(IF(VLOOKUP(CQ$2,Lista_Pedidos,32,0)&lt;&gt;"","Localización del Nombres : " &amp; VLOOKUP(CQ$2,Lista_Pedidos,32,0),""),"")</f>
        <v/>
      </c>
      <c r="CB23" s="821"/>
      <c r="CC23" s="821"/>
      <c r="CD23" s="821"/>
      <c r="CE23" s="821"/>
      <c r="CF23" s="821"/>
      <c r="CG23" s="821"/>
      <c r="CH23" s="821"/>
      <c r="CI23" s="821"/>
      <c r="CJ23" s="821"/>
      <c r="CK23" s="821"/>
      <c r="CL23" s="821"/>
      <c r="CM23" s="821"/>
      <c r="CN23" s="821"/>
      <c r="CO23" s="821"/>
      <c r="CP23" s="821"/>
      <c r="CQ23" s="821"/>
      <c r="CR23" s="821"/>
      <c r="CS23" s="821"/>
      <c r="CT23" s="821"/>
      <c r="CU23" s="821"/>
      <c r="CV23" s="821"/>
      <c r="CW23" s="821"/>
      <c r="CX23" s="821"/>
      <c r="CY23" s="821"/>
      <c r="CZ23" s="822"/>
      <c r="DA23" s="820" t="str">
        <f>IFERROR(IF(VLOOKUP(DQ$2,Lista_Pedidos,32,0)&lt;&gt;"","Localización del Nombres : " &amp; VLOOKUP(DQ$2,Lista_Pedidos,32,0),""),"")</f>
        <v/>
      </c>
      <c r="DB23" s="821"/>
      <c r="DC23" s="821"/>
      <c r="DD23" s="821"/>
      <c r="DE23" s="821"/>
      <c r="DF23" s="821"/>
      <c r="DG23" s="821"/>
      <c r="DH23" s="821"/>
      <c r="DI23" s="821"/>
      <c r="DJ23" s="821"/>
      <c r="DK23" s="821"/>
      <c r="DL23" s="821"/>
      <c r="DM23" s="821"/>
      <c r="DN23" s="821"/>
      <c r="DO23" s="821"/>
      <c r="DP23" s="821"/>
      <c r="DQ23" s="821"/>
      <c r="DR23" s="821"/>
      <c r="DS23" s="821"/>
      <c r="DT23" s="821"/>
      <c r="DU23" s="821"/>
      <c r="DV23" s="821"/>
      <c r="DW23" s="821"/>
      <c r="DX23" s="821"/>
      <c r="DY23" s="821"/>
      <c r="DZ23" s="822"/>
      <c r="EA23" s="820" t="str">
        <f>IFERROR(IF(VLOOKUP(EQ$2,Lista_Pedidos,32,0)&lt;&gt;"","Localización del Nombres : " &amp; VLOOKUP(EQ$2,Lista_Pedidos,32,0),""),"")</f>
        <v/>
      </c>
      <c r="EB23" s="821"/>
      <c r="EC23" s="821"/>
      <c r="ED23" s="821"/>
      <c r="EE23" s="821"/>
      <c r="EF23" s="821"/>
      <c r="EG23" s="821"/>
      <c r="EH23" s="821"/>
      <c r="EI23" s="821"/>
      <c r="EJ23" s="821"/>
      <c r="EK23" s="821"/>
      <c r="EL23" s="821"/>
      <c r="EM23" s="821"/>
      <c r="EN23" s="821"/>
      <c r="EO23" s="821"/>
      <c r="EP23" s="821"/>
      <c r="EQ23" s="821"/>
      <c r="ER23" s="821"/>
      <c r="ES23" s="821"/>
      <c r="ET23" s="821"/>
      <c r="EU23" s="821"/>
      <c r="EV23" s="821"/>
      <c r="EW23" s="821"/>
      <c r="EX23" s="821"/>
      <c r="EY23" s="821"/>
      <c r="EZ23" s="822"/>
      <c r="FA23" s="820" t="str">
        <f>IFERROR(IF(VLOOKUP(FQ$2,Lista_Pedidos,32,0)&lt;&gt;"","Localización del Nombres : " &amp; VLOOKUP(FQ$2,Lista_Pedidos,32,0),""),"")</f>
        <v/>
      </c>
      <c r="FB23" s="821"/>
      <c r="FC23" s="821"/>
      <c r="FD23" s="821"/>
      <c r="FE23" s="821"/>
      <c r="FF23" s="821"/>
      <c r="FG23" s="821"/>
      <c r="FH23" s="821"/>
      <c r="FI23" s="821"/>
      <c r="FJ23" s="821"/>
      <c r="FK23" s="821"/>
      <c r="FL23" s="821"/>
      <c r="FM23" s="821"/>
      <c r="FN23" s="821"/>
      <c r="FO23" s="821"/>
      <c r="FP23" s="821"/>
      <c r="FQ23" s="821"/>
      <c r="FR23" s="821"/>
      <c r="FS23" s="821"/>
      <c r="FT23" s="821"/>
      <c r="FU23" s="821"/>
      <c r="FV23" s="821"/>
      <c r="FW23" s="821"/>
      <c r="FX23" s="821"/>
      <c r="FY23" s="821"/>
      <c r="FZ23" s="822"/>
      <c r="GA23" s="820" t="str">
        <f>IFERROR(IF(VLOOKUP(GQ$2,Lista_Pedidos,32,0)&lt;&gt;"","Localización del Nombres : " &amp; VLOOKUP(GQ$2,Lista_Pedidos,32,0),""),"")</f>
        <v/>
      </c>
      <c r="GB23" s="821"/>
      <c r="GC23" s="821"/>
      <c r="GD23" s="821"/>
      <c r="GE23" s="821"/>
      <c r="GF23" s="821"/>
      <c r="GG23" s="821"/>
      <c r="GH23" s="821"/>
      <c r="GI23" s="821"/>
      <c r="GJ23" s="821"/>
      <c r="GK23" s="821"/>
      <c r="GL23" s="821"/>
      <c r="GM23" s="821"/>
      <c r="GN23" s="821"/>
      <c r="GO23" s="821"/>
      <c r="GP23" s="821"/>
      <c r="GQ23" s="821"/>
      <c r="GR23" s="821"/>
      <c r="GS23" s="821"/>
      <c r="GT23" s="821"/>
      <c r="GU23" s="821"/>
      <c r="GV23" s="821"/>
      <c r="GW23" s="821"/>
      <c r="GX23" s="821"/>
      <c r="GY23" s="821"/>
      <c r="GZ23" s="822"/>
      <c r="HA23" s="820" t="str">
        <f>IFERROR(IF(VLOOKUP(HQ$2,Lista_Pedidos,32,0)&lt;&gt;"","Localización del Nombres : " &amp; VLOOKUP(HQ$2,Lista_Pedidos,32,0),""),"")</f>
        <v/>
      </c>
      <c r="HB23" s="821"/>
      <c r="HC23" s="821"/>
      <c r="HD23" s="821"/>
      <c r="HE23" s="821"/>
      <c r="HF23" s="821"/>
      <c r="HG23" s="821"/>
      <c r="HH23" s="821"/>
      <c r="HI23" s="821"/>
      <c r="HJ23" s="821"/>
      <c r="HK23" s="821"/>
      <c r="HL23" s="821"/>
      <c r="HM23" s="821"/>
      <c r="HN23" s="821"/>
      <c r="HO23" s="821"/>
      <c r="HP23" s="821"/>
      <c r="HQ23" s="821"/>
      <c r="HR23" s="821"/>
      <c r="HS23" s="821"/>
      <c r="HT23" s="821"/>
      <c r="HU23" s="821"/>
      <c r="HV23" s="821"/>
      <c r="HW23" s="821"/>
      <c r="HX23" s="821"/>
      <c r="HY23" s="821"/>
      <c r="HZ23" s="822"/>
      <c r="IA23" s="820" t="str">
        <f>IFERROR(IF(VLOOKUP(IQ$2,Lista_Pedidos,32,0)&lt;&gt;"","Localización del Nombres : " &amp; VLOOKUP(IQ$2,Lista_Pedidos,32,0),""),"")</f>
        <v/>
      </c>
      <c r="IB23" s="821"/>
      <c r="IC23" s="821"/>
      <c r="ID23" s="821"/>
      <c r="IE23" s="821"/>
      <c r="IF23" s="821"/>
      <c r="IG23" s="821"/>
      <c r="IH23" s="821"/>
      <c r="II23" s="821"/>
      <c r="IJ23" s="821"/>
      <c r="IK23" s="821"/>
      <c r="IL23" s="821"/>
      <c r="IM23" s="821"/>
      <c r="IN23" s="821"/>
      <c r="IO23" s="821"/>
      <c r="IP23" s="821"/>
      <c r="IQ23" s="821"/>
      <c r="IR23" s="821"/>
      <c r="IS23" s="821"/>
      <c r="IT23" s="821"/>
      <c r="IU23" s="821"/>
      <c r="IV23" s="821"/>
      <c r="IW23" s="821"/>
      <c r="IX23" s="821"/>
      <c r="IY23" s="821"/>
      <c r="IZ23" s="822"/>
    </row>
    <row r="24" spans="1:260" x14ac:dyDescent="0.25">
      <c r="A24" s="861" t="str">
        <f>IFERROR(IF(VLOOKUP(Q$2,Lista_Pedidos,37,0)&lt;&gt;"","Otras Instruciones Especiales : " &amp; VLOOKUP(Q$2,Lista_Pedidos,37,0),""),"")</f>
        <v/>
      </c>
      <c r="B24" s="862"/>
      <c r="C24" s="862"/>
      <c r="D24" s="862"/>
      <c r="E24" s="862"/>
      <c r="F24" s="862"/>
      <c r="G24" s="862"/>
      <c r="H24" s="862"/>
      <c r="I24" s="862"/>
      <c r="J24" s="862"/>
      <c r="K24" s="862"/>
      <c r="L24" s="862"/>
      <c r="M24" s="862"/>
      <c r="N24" s="862"/>
      <c r="O24" s="862"/>
      <c r="P24" s="862"/>
      <c r="Q24" s="862"/>
      <c r="R24" s="862"/>
      <c r="S24" s="862"/>
      <c r="T24" s="862"/>
      <c r="U24" s="862"/>
      <c r="V24" s="862"/>
      <c r="W24" s="862"/>
      <c r="X24" s="862"/>
      <c r="Y24" s="862"/>
      <c r="Z24" s="863"/>
      <c r="AA24" s="861" t="str">
        <f>IFERROR(IF(VLOOKUP(AQ$2,Lista_Pedidos,37,0)&lt;&gt;"","Otras Instruciones Especiales : " &amp; VLOOKUP(AQ$2,Lista_Pedidos,37,0),""),"")</f>
        <v/>
      </c>
      <c r="AB24" s="862"/>
      <c r="AC24" s="862"/>
      <c r="AD24" s="862"/>
      <c r="AE24" s="862"/>
      <c r="AF24" s="862"/>
      <c r="AG24" s="862"/>
      <c r="AH24" s="862"/>
      <c r="AI24" s="862"/>
      <c r="AJ24" s="862"/>
      <c r="AK24" s="862"/>
      <c r="AL24" s="862"/>
      <c r="AM24" s="862"/>
      <c r="AN24" s="862"/>
      <c r="AO24" s="862"/>
      <c r="AP24" s="862"/>
      <c r="AQ24" s="862"/>
      <c r="AR24" s="862"/>
      <c r="AS24" s="862"/>
      <c r="AT24" s="862"/>
      <c r="AU24" s="862"/>
      <c r="AV24" s="862"/>
      <c r="AW24" s="862"/>
      <c r="AX24" s="862"/>
      <c r="AY24" s="862"/>
      <c r="AZ24" s="863"/>
      <c r="BA24" s="861" t="str">
        <f>IFERROR(IF(VLOOKUP(BQ$2,Lista_Pedidos,37,0)&lt;&gt;"","Otras Instruciones Especiales : " &amp; VLOOKUP(BQ$2,Lista_Pedidos,37,0),""),"")</f>
        <v/>
      </c>
      <c r="BB24" s="862"/>
      <c r="BC24" s="862"/>
      <c r="BD24" s="862"/>
      <c r="BE24" s="862"/>
      <c r="BF24" s="862"/>
      <c r="BG24" s="862"/>
      <c r="BH24" s="862"/>
      <c r="BI24" s="862"/>
      <c r="BJ24" s="862"/>
      <c r="BK24" s="862"/>
      <c r="BL24" s="862"/>
      <c r="BM24" s="862"/>
      <c r="BN24" s="862"/>
      <c r="BO24" s="862"/>
      <c r="BP24" s="862"/>
      <c r="BQ24" s="862"/>
      <c r="BR24" s="862"/>
      <c r="BS24" s="862"/>
      <c r="BT24" s="862"/>
      <c r="BU24" s="862"/>
      <c r="BV24" s="862"/>
      <c r="BW24" s="862"/>
      <c r="BX24" s="862"/>
      <c r="BY24" s="862"/>
      <c r="BZ24" s="863"/>
      <c r="CA24" s="861" t="str">
        <f>IFERROR(IF(VLOOKUP(CQ$2,Lista_Pedidos,37,0)&lt;&gt;"","Otras Instruciones Especiales : " &amp; VLOOKUP(CQ$2,Lista_Pedidos,37,0),""),"")</f>
        <v/>
      </c>
      <c r="CB24" s="862"/>
      <c r="CC24" s="862"/>
      <c r="CD24" s="862"/>
      <c r="CE24" s="862"/>
      <c r="CF24" s="862"/>
      <c r="CG24" s="862"/>
      <c r="CH24" s="862"/>
      <c r="CI24" s="862"/>
      <c r="CJ24" s="862"/>
      <c r="CK24" s="862"/>
      <c r="CL24" s="862"/>
      <c r="CM24" s="862"/>
      <c r="CN24" s="862"/>
      <c r="CO24" s="862"/>
      <c r="CP24" s="862"/>
      <c r="CQ24" s="862"/>
      <c r="CR24" s="862"/>
      <c r="CS24" s="862"/>
      <c r="CT24" s="862"/>
      <c r="CU24" s="862"/>
      <c r="CV24" s="862"/>
      <c r="CW24" s="862"/>
      <c r="CX24" s="862"/>
      <c r="CY24" s="862"/>
      <c r="CZ24" s="863"/>
      <c r="DA24" s="861" t="str">
        <f>IFERROR(IF(VLOOKUP(DQ$2,Lista_Pedidos,37,0)&lt;&gt;"","Otras Instruciones Especiales : " &amp; VLOOKUP(DQ$2,Lista_Pedidos,37,0),""),"")</f>
        <v/>
      </c>
      <c r="DB24" s="862"/>
      <c r="DC24" s="862"/>
      <c r="DD24" s="862"/>
      <c r="DE24" s="862"/>
      <c r="DF24" s="862"/>
      <c r="DG24" s="862"/>
      <c r="DH24" s="862"/>
      <c r="DI24" s="862"/>
      <c r="DJ24" s="862"/>
      <c r="DK24" s="862"/>
      <c r="DL24" s="862"/>
      <c r="DM24" s="862"/>
      <c r="DN24" s="862"/>
      <c r="DO24" s="862"/>
      <c r="DP24" s="862"/>
      <c r="DQ24" s="862"/>
      <c r="DR24" s="862"/>
      <c r="DS24" s="862"/>
      <c r="DT24" s="862"/>
      <c r="DU24" s="862"/>
      <c r="DV24" s="862"/>
      <c r="DW24" s="862"/>
      <c r="DX24" s="862"/>
      <c r="DY24" s="862"/>
      <c r="DZ24" s="863"/>
      <c r="EA24" s="861" t="str">
        <f>IFERROR(IF(VLOOKUP(EQ$2,Lista_Pedidos,37,0)&lt;&gt;"","Otras Instruciones Especiales : " &amp; VLOOKUP(EQ$2,Lista_Pedidos,37,0),""),"")</f>
        <v/>
      </c>
      <c r="EB24" s="862"/>
      <c r="EC24" s="862"/>
      <c r="ED24" s="862"/>
      <c r="EE24" s="862"/>
      <c r="EF24" s="862"/>
      <c r="EG24" s="862"/>
      <c r="EH24" s="862"/>
      <c r="EI24" s="862"/>
      <c r="EJ24" s="862"/>
      <c r="EK24" s="862"/>
      <c r="EL24" s="862"/>
      <c r="EM24" s="862"/>
      <c r="EN24" s="862"/>
      <c r="EO24" s="862"/>
      <c r="EP24" s="862"/>
      <c r="EQ24" s="862"/>
      <c r="ER24" s="862"/>
      <c r="ES24" s="862"/>
      <c r="ET24" s="862"/>
      <c r="EU24" s="862"/>
      <c r="EV24" s="862"/>
      <c r="EW24" s="862"/>
      <c r="EX24" s="862"/>
      <c r="EY24" s="862"/>
      <c r="EZ24" s="863"/>
      <c r="FA24" s="861" t="str">
        <f>IFERROR(IF(VLOOKUP(FQ$2,Lista_Pedidos,37,0)&lt;&gt;"","Otras Instruciones Especiales : " &amp; VLOOKUP(FQ$2,Lista_Pedidos,37,0),""),"")</f>
        <v/>
      </c>
      <c r="FB24" s="862"/>
      <c r="FC24" s="862"/>
      <c r="FD24" s="862"/>
      <c r="FE24" s="862"/>
      <c r="FF24" s="862"/>
      <c r="FG24" s="862"/>
      <c r="FH24" s="862"/>
      <c r="FI24" s="862"/>
      <c r="FJ24" s="862"/>
      <c r="FK24" s="862"/>
      <c r="FL24" s="862"/>
      <c r="FM24" s="862"/>
      <c r="FN24" s="862"/>
      <c r="FO24" s="862"/>
      <c r="FP24" s="862"/>
      <c r="FQ24" s="862"/>
      <c r="FR24" s="862"/>
      <c r="FS24" s="862"/>
      <c r="FT24" s="862"/>
      <c r="FU24" s="862"/>
      <c r="FV24" s="862"/>
      <c r="FW24" s="862"/>
      <c r="FX24" s="862"/>
      <c r="FY24" s="862"/>
      <c r="FZ24" s="863"/>
      <c r="GA24" s="861" t="str">
        <f>IFERROR(IF(VLOOKUP(GQ$2,Lista_Pedidos,37,0)&lt;&gt;"","Otras Instruciones Especiales : " &amp; VLOOKUP(GQ$2,Lista_Pedidos,37,0),""),"")</f>
        <v/>
      </c>
      <c r="GB24" s="862"/>
      <c r="GC24" s="862"/>
      <c r="GD24" s="862"/>
      <c r="GE24" s="862"/>
      <c r="GF24" s="862"/>
      <c r="GG24" s="862"/>
      <c r="GH24" s="862"/>
      <c r="GI24" s="862"/>
      <c r="GJ24" s="862"/>
      <c r="GK24" s="862"/>
      <c r="GL24" s="862"/>
      <c r="GM24" s="862"/>
      <c r="GN24" s="862"/>
      <c r="GO24" s="862"/>
      <c r="GP24" s="862"/>
      <c r="GQ24" s="862"/>
      <c r="GR24" s="862"/>
      <c r="GS24" s="862"/>
      <c r="GT24" s="862"/>
      <c r="GU24" s="862"/>
      <c r="GV24" s="862"/>
      <c r="GW24" s="862"/>
      <c r="GX24" s="862"/>
      <c r="GY24" s="862"/>
      <c r="GZ24" s="863"/>
      <c r="HA24" s="861" t="str">
        <f>IFERROR(IF(VLOOKUP(HQ$2,Lista_Pedidos,37,0)&lt;&gt;"","Otras Instruciones Especiales : " &amp; VLOOKUP(HQ$2,Lista_Pedidos,37,0),""),"")</f>
        <v/>
      </c>
      <c r="HB24" s="862"/>
      <c r="HC24" s="862"/>
      <c r="HD24" s="862"/>
      <c r="HE24" s="862"/>
      <c r="HF24" s="862"/>
      <c r="HG24" s="862"/>
      <c r="HH24" s="862"/>
      <c r="HI24" s="862"/>
      <c r="HJ24" s="862"/>
      <c r="HK24" s="862"/>
      <c r="HL24" s="862"/>
      <c r="HM24" s="862"/>
      <c r="HN24" s="862"/>
      <c r="HO24" s="862"/>
      <c r="HP24" s="862"/>
      <c r="HQ24" s="862"/>
      <c r="HR24" s="862"/>
      <c r="HS24" s="862"/>
      <c r="HT24" s="862"/>
      <c r="HU24" s="862"/>
      <c r="HV24" s="862"/>
      <c r="HW24" s="862"/>
      <c r="HX24" s="862"/>
      <c r="HY24" s="862"/>
      <c r="HZ24" s="863"/>
      <c r="IA24" s="861" t="str">
        <f>IFERROR(IF(VLOOKUP(IQ$2,Lista_Pedidos,37,0)&lt;&gt;"","Otras Instruciones Especiales : " &amp; VLOOKUP(IQ$2,Lista_Pedidos,37,0),""),"")</f>
        <v/>
      </c>
      <c r="IB24" s="862"/>
      <c r="IC24" s="862"/>
      <c r="ID24" s="862"/>
      <c r="IE24" s="862"/>
      <c r="IF24" s="862"/>
      <c r="IG24" s="862"/>
      <c r="IH24" s="862"/>
      <c r="II24" s="862"/>
      <c r="IJ24" s="862"/>
      <c r="IK24" s="862"/>
      <c r="IL24" s="862"/>
      <c r="IM24" s="862"/>
      <c r="IN24" s="862"/>
      <c r="IO24" s="862"/>
      <c r="IP24" s="862"/>
      <c r="IQ24" s="862"/>
      <c r="IR24" s="862"/>
      <c r="IS24" s="862"/>
      <c r="IT24" s="862"/>
      <c r="IU24" s="862"/>
      <c r="IV24" s="862"/>
      <c r="IW24" s="862"/>
      <c r="IX24" s="862"/>
      <c r="IY24" s="862"/>
      <c r="IZ24" s="863"/>
    </row>
    <row r="25" spans="1:260" ht="15.75" thickBot="1" x14ac:dyDescent="0.3">
      <c r="A25" s="839"/>
      <c r="B25" s="840"/>
      <c r="C25" s="840"/>
      <c r="D25" s="840"/>
      <c r="E25" s="840"/>
      <c r="F25" s="840"/>
      <c r="G25" s="840"/>
      <c r="H25" s="840"/>
      <c r="I25" s="840"/>
      <c r="J25" s="840"/>
      <c r="K25" s="840"/>
      <c r="L25" s="840"/>
      <c r="M25" s="840"/>
      <c r="N25" s="840"/>
      <c r="O25" s="840"/>
      <c r="P25" s="840"/>
      <c r="Q25" s="840"/>
      <c r="R25" s="840"/>
      <c r="S25" s="840"/>
      <c r="T25" s="840"/>
      <c r="U25" s="840"/>
      <c r="V25" s="840"/>
      <c r="W25" s="840"/>
      <c r="X25" s="840"/>
      <c r="Y25" s="840"/>
      <c r="Z25" s="841"/>
      <c r="AA25" s="839"/>
      <c r="AB25" s="840"/>
      <c r="AC25" s="840"/>
      <c r="AD25" s="840"/>
      <c r="AE25" s="840"/>
      <c r="AF25" s="840"/>
      <c r="AG25" s="840"/>
      <c r="AH25" s="840"/>
      <c r="AI25" s="840"/>
      <c r="AJ25" s="840"/>
      <c r="AK25" s="840"/>
      <c r="AL25" s="840"/>
      <c r="AM25" s="840"/>
      <c r="AN25" s="840"/>
      <c r="AO25" s="840"/>
      <c r="AP25" s="840"/>
      <c r="AQ25" s="840"/>
      <c r="AR25" s="840"/>
      <c r="AS25" s="840"/>
      <c r="AT25" s="840"/>
      <c r="AU25" s="840"/>
      <c r="AV25" s="840"/>
      <c r="AW25" s="840"/>
      <c r="AX25" s="840"/>
      <c r="AY25" s="840"/>
      <c r="AZ25" s="841"/>
      <c r="BA25" s="839"/>
      <c r="BB25" s="840"/>
      <c r="BC25" s="840"/>
      <c r="BD25" s="840"/>
      <c r="BE25" s="840"/>
      <c r="BF25" s="840"/>
      <c r="BG25" s="840"/>
      <c r="BH25" s="840"/>
      <c r="BI25" s="840"/>
      <c r="BJ25" s="840"/>
      <c r="BK25" s="840"/>
      <c r="BL25" s="840"/>
      <c r="BM25" s="840"/>
      <c r="BN25" s="840"/>
      <c r="BO25" s="840"/>
      <c r="BP25" s="840"/>
      <c r="BQ25" s="840"/>
      <c r="BR25" s="840"/>
      <c r="BS25" s="840"/>
      <c r="BT25" s="840"/>
      <c r="BU25" s="840"/>
      <c r="BV25" s="840"/>
      <c r="BW25" s="840"/>
      <c r="BX25" s="840"/>
      <c r="BY25" s="840"/>
      <c r="BZ25" s="841"/>
      <c r="CA25" s="839"/>
      <c r="CB25" s="840"/>
      <c r="CC25" s="840"/>
      <c r="CD25" s="840"/>
      <c r="CE25" s="840"/>
      <c r="CF25" s="840"/>
      <c r="CG25" s="840"/>
      <c r="CH25" s="840"/>
      <c r="CI25" s="840"/>
      <c r="CJ25" s="840"/>
      <c r="CK25" s="840"/>
      <c r="CL25" s="840"/>
      <c r="CM25" s="840"/>
      <c r="CN25" s="840"/>
      <c r="CO25" s="840"/>
      <c r="CP25" s="840"/>
      <c r="CQ25" s="840"/>
      <c r="CR25" s="840"/>
      <c r="CS25" s="840"/>
      <c r="CT25" s="840"/>
      <c r="CU25" s="840"/>
      <c r="CV25" s="840"/>
      <c r="CW25" s="840"/>
      <c r="CX25" s="840"/>
      <c r="CY25" s="840"/>
      <c r="CZ25" s="841"/>
      <c r="DA25" s="839"/>
      <c r="DB25" s="840"/>
      <c r="DC25" s="840"/>
      <c r="DD25" s="840"/>
      <c r="DE25" s="840"/>
      <c r="DF25" s="840"/>
      <c r="DG25" s="840"/>
      <c r="DH25" s="840"/>
      <c r="DI25" s="840"/>
      <c r="DJ25" s="840"/>
      <c r="DK25" s="840"/>
      <c r="DL25" s="840"/>
      <c r="DM25" s="840"/>
      <c r="DN25" s="840"/>
      <c r="DO25" s="840"/>
      <c r="DP25" s="840"/>
      <c r="DQ25" s="840"/>
      <c r="DR25" s="840"/>
      <c r="DS25" s="840"/>
      <c r="DT25" s="840"/>
      <c r="DU25" s="840"/>
      <c r="DV25" s="840"/>
      <c r="DW25" s="840"/>
      <c r="DX25" s="840"/>
      <c r="DY25" s="840"/>
      <c r="DZ25" s="841"/>
      <c r="EA25" s="839"/>
      <c r="EB25" s="840"/>
      <c r="EC25" s="840"/>
      <c r="ED25" s="840"/>
      <c r="EE25" s="840"/>
      <c r="EF25" s="840"/>
      <c r="EG25" s="840"/>
      <c r="EH25" s="840"/>
      <c r="EI25" s="840"/>
      <c r="EJ25" s="840"/>
      <c r="EK25" s="840"/>
      <c r="EL25" s="840"/>
      <c r="EM25" s="840"/>
      <c r="EN25" s="840"/>
      <c r="EO25" s="840"/>
      <c r="EP25" s="840"/>
      <c r="EQ25" s="840"/>
      <c r="ER25" s="840"/>
      <c r="ES25" s="840"/>
      <c r="ET25" s="840"/>
      <c r="EU25" s="840"/>
      <c r="EV25" s="840"/>
      <c r="EW25" s="840"/>
      <c r="EX25" s="840"/>
      <c r="EY25" s="840"/>
      <c r="EZ25" s="841"/>
      <c r="FA25" s="839"/>
      <c r="FB25" s="840"/>
      <c r="FC25" s="840"/>
      <c r="FD25" s="840"/>
      <c r="FE25" s="840"/>
      <c r="FF25" s="840"/>
      <c r="FG25" s="840"/>
      <c r="FH25" s="840"/>
      <c r="FI25" s="840"/>
      <c r="FJ25" s="840"/>
      <c r="FK25" s="840"/>
      <c r="FL25" s="840"/>
      <c r="FM25" s="840"/>
      <c r="FN25" s="840"/>
      <c r="FO25" s="840"/>
      <c r="FP25" s="840"/>
      <c r="FQ25" s="840"/>
      <c r="FR25" s="840"/>
      <c r="FS25" s="840"/>
      <c r="FT25" s="840"/>
      <c r="FU25" s="840"/>
      <c r="FV25" s="840"/>
      <c r="FW25" s="840"/>
      <c r="FX25" s="840"/>
      <c r="FY25" s="840"/>
      <c r="FZ25" s="841"/>
      <c r="GA25" s="839"/>
      <c r="GB25" s="840"/>
      <c r="GC25" s="840"/>
      <c r="GD25" s="840"/>
      <c r="GE25" s="840"/>
      <c r="GF25" s="840"/>
      <c r="GG25" s="840"/>
      <c r="GH25" s="840"/>
      <c r="GI25" s="840"/>
      <c r="GJ25" s="840"/>
      <c r="GK25" s="840"/>
      <c r="GL25" s="840"/>
      <c r="GM25" s="840"/>
      <c r="GN25" s="840"/>
      <c r="GO25" s="840"/>
      <c r="GP25" s="840"/>
      <c r="GQ25" s="840"/>
      <c r="GR25" s="840"/>
      <c r="GS25" s="840"/>
      <c r="GT25" s="840"/>
      <c r="GU25" s="840"/>
      <c r="GV25" s="840"/>
      <c r="GW25" s="840"/>
      <c r="GX25" s="840"/>
      <c r="GY25" s="840"/>
      <c r="GZ25" s="841"/>
      <c r="HA25" s="839"/>
      <c r="HB25" s="840"/>
      <c r="HC25" s="840"/>
      <c r="HD25" s="840"/>
      <c r="HE25" s="840"/>
      <c r="HF25" s="840"/>
      <c r="HG25" s="840"/>
      <c r="HH25" s="840"/>
      <c r="HI25" s="840"/>
      <c r="HJ25" s="840"/>
      <c r="HK25" s="840"/>
      <c r="HL25" s="840"/>
      <c r="HM25" s="840"/>
      <c r="HN25" s="840"/>
      <c r="HO25" s="840"/>
      <c r="HP25" s="840"/>
      <c r="HQ25" s="840"/>
      <c r="HR25" s="840"/>
      <c r="HS25" s="840"/>
      <c r="HT25" s="840"/>
      <c r="HU25" s="840"/>
      <c r="HV25" s="840"/>
      <c r="HW25" s="840"/>
      <c r="HX25" s="840"/>
      <c r="HY25" s="840"/>
      <c r="HZ25" s="841"/>
      <c r="IA25" s="839"/>
      <c r="IB25" s="840"/>
      <c r="IC25" s="840"/>
      <c r="ID25" s="840"/>
      <c r="IE25" s="840"/>
      <c r="IF25" s="840"/>
      <c r="IG25" s="840"/>
      <c r="IH25" s="840"/>
      <c r="II25" s="840"/>
      <c r="IJ25" s="840"/>
      <c r="IK25" s="840"/>
      <c r="IL25" s="840"/>
      <c r="IM25" s="840"/>
      <c r="IN25" s="840"/>
      <c r="IO25" s="840"/>
      <c r="IP25" s="840"/>
      <c r="IQ25" s="840"/>
      <c r="IR25" s="840"/>
      <c r="IS25" s="840"/>
      <c r="IT25" s="840"/>
      <c r="IU25" s="840"/>
      <c r="IV25" s="840"/>
      <c r="IW25" s="840"/>
      <c r="IX25" s="840"/>
      <c r="IY25" s="840"/>
      <c r="IZ25" s="841"/>
    </row>
    <row r="26" spans="1:260" s="529" customFormat="1" ht="15.75" thickBot="1" x14ac:dyDescent="0.3">
      <c r="A26" s="529">
        <v>2</v>
      </c>
      <c r="J26" s="529">
        <v>18</v>
      </c>
      <c r="K26" s="529">
        <v>19</v>
      </c>
      <c r="L26" s="529">
        <v>20</v>
      </c>
      <c r="M26" s="529">
        <v>21</v>
      </c>
      <c r="N26" s="529">
        <v>22</v>
      </c>
      <c r="O26" s="529">
        <v>23</v>
      </c>
      <c r="P26" s="529">
        <v>24</v>
      </c>
      <c r="Q26" s="529">
        <v>25</v>
      </c>
      <c r="R26" s="529">
        <v>26</v>
      </c>
      <c r="S26" s="529">
        <v>27</v>
      </c>
      <c r="T26" s="529">
        <v>28</v>
      </c>
      <c r="U26" s="529">
        <v>29</v>
      </c>
      <c r="V26" s="529">
        <v>30</v>
      </c>
      <c r="Y26" s="529" t="str">
        <f>IFERROR(IF(COUNTIF(Pedidos!$J:$J,Q$2)&gt;A26-1,MATCH(Q$2,Pedidos!$J:$J,0),""),"")</f>
        <v/>
      </c>
      <c r="Z26" s="529">
        <f>IFERROR(IF(Y47="",0,COUNTIF(Pedidos!$J:$J,Procesos!Q$2)),"")</f>
        <v>0</v>
      </c>
      <c r="AA26" s="529">
        <v>2</v>
      </c>
      <c r="AJ26" s="529">
        <v>18</v>
      </c>
      <c r="AK26" s="529">
        <v>19</v>
      </c>
      <c r="AL26" s="529">
        <v>20</v>
      </c>
      <c r="AM26" s="529">
        <v>21</v>
      </c>
      <c r="AN26" s="529">
        <v>22</v>
      </c>
      <c r="AO26" s="529">
        <v>23</v>
      </c>
      <c r="AP26" s="529">
        <v>24</v>
      </c>
      <c r="AQ26" s="529">
        <v>25</v>
      </c>
      <c r="AR26" s="529">
        <v>26</v>
      </c>
      <c r="AS26" s="529">
        <v>27</v>
      </c>
      <c r="AT26" s="529">
        <v>28</v>
      </c>
      <c r="AU26" s="529">
        <v>29</v>
      </c>
      <c r="AV26" s="529">
        <v>30</v>
      </c>
      <c r="AY26" s="529">
        <f>IFERROR(IF(COUNTIF(Pedidos!$J:$J,AQ$2)&gt;AA26-1,MATCH(AQ$2,Pedidos!$J:$J,0),""),"")</f>
        <v>30</v>
      </c>
      <c r="AZ26" s="529">
        <f>IFERROR(IF(AY47="",0,COUNTIF(Pedidos!$J:$J,Procesos!AQ$2)),"")</f>
        <v>4</v>
      </c>
      <c r="BA26" s="529">
        <v>2</v>
      </c>
      <c r="BJ26" s="529">
        <v>18</v>
      </c>
      <c r="BK26" s="529">
        <v>19</v>
      </c>
      <c r="BL26" s="529">
        <v>20</v>
      </c>
      <c r="BM26" s="529">
        <v>21</v>
      </c>
      <c r="BN26" s="529">
        <v>22</v>
      </c>
      <c r="BO26" s="529">
        <v>23</v>
      </c>
      <c r="BP26" s="529">
        <v>24</v>
      </c>
      <c r="BQ26" s="529">
        <v>25</v>
      </c>
      <c r="BR26" s="529">
        <v>26</v>
      </c>
      <c r="BS26" s="529">
        <v>27</v>
      </c>
      <c r="BT26" s="529">
        <v>28</v>
      </c>
      <c r="BU26" s="529">
        <v>29</v>
      </c>
      <c r="BV26" s="529">
        <v>30</v>
      </c>
      <c r="BY26" s="529" t="str">
        <f>IFERROR(IF(COUNTIF(Pedidos!$J:$J,BQ$2)&gt;BA26-1,MATCH(BQ$2,Pedidos!$J:$J,0),""),"")</f>
        <v/>
      </c>
      <c r="BZ26" s="529">
        <f>IFERROR(IF(BY47="",0,COUNTIF(Pedidos!$J:$J,Procesos!BQ$2)),"")</f>
        <v>0</v>
      </c>
      <c r="CA26" s="529">
        <v>2</v>
      </c>
      <c r="CJ26" s="529">
        <v>18</v>
      </c>
      <c r="CK26" s="529">
        <v>19</v>
      </c>
      <c r="CL26" s="529">
        <v>20</v>
      </c>
      <c r="CM26" s="529">
        <v>21</v>
      </c>
      <c r="CN26" s="529">
        <v>22</v>
      </c>
      <c r="CO26" s="529">
        <v>23</v>
      </c>
      <c r="CP26" s="529">
        <v>24</v>
      </c>
      <c r="CQ26" s="529">
        <v>25</v>
      </c>
      <c r="CR26" s="529">
        <v>26</v>
      </c>
      <c r="CS26" s="529">
        <v>27</v>
      </c>
      <c r="CT26" s="529">
        <v>28</v>
      </c>
      <c r="CU26" s="529">
        <v>29</v>
      </c>
      <c r="CV26" s="529">
        <v>30</v>
      </c>
      <c r="CY26" s="529" t="str">
        <f>IFERROR(IF(COUNTIF(Pedidos!$J:$J,CQ$2)&gt;CA26-1,MATCH(CQ$2,Pedidos!$J:$J,0),""),"")</f>
        <v/>
      </c>
      <c r="CZ26" s="529">
        <f>IFERROR(IF(CY47="",0,COUNTIF(Pedidos!$J:$J,Procesos!CQ$2)),"")</f>
        <v>0</v>
      </c>
      <c r="DA26" s="529">
        <v>2</v>
      </c>
      <c r="DJ26" s="529">
        <v>18</v>
      </c>
      <c r="DK26" s="529">
        <v>19</v>
      </c>
      <c r="DL26" s="529">
        <v>20</v>
      </c>
      <c r="DM26" s="529">
        <v>21</v>
      </c>
      <c r="DN26" s="529">
        <v>22</v>
      </c>
      <c r="DO26" s="529">
        <v>23</v>
      </c>
      <c r="DP26" s="529">
        <v>24</v>
      </c>
      <c r="DQ26" s="529">
        <v>25</v>
      </c>
      <c r="DR26" s="529">
        <v>26</v>
      </c>
      <c r="DS26" s="529">
        <v>27</v>
      </c>
      <c r="DT26" s="529">
        <v>28</v>
      </c>
      <c r="DU26" s="529">
        <v>29</v>
      </c>
      <c r="DV26" s="529">
        <v>30</v>
      </c>
      <c r="DY26" s="529" t="str">
        <f>IFERROR(IF(COUNTIF(Pedidos!$J:$J,DQ$2)&gt;DA26-1,MATCH(DQ$2,Pedidos!$J:$J,0),""),"")</f>
        <v/>
      </c>
      <c r="DZ26" s="529">
        <f>IFERROR(IF(DY47="",0,COUNTIF(Pedidos!$J:$J,Procesos!DQ$2)),"")</f>
        <v>0</v>
      </c>
      <c r="EA26" s="529">
        <v>2</v>
      </c>
      <c r="EJ26" s="529">
        <v>18</v>
      </c>
      <c r="EK26" s="529">
        <v>19</v>
      </c>
      <c r="EL26" s="529">
        <v>20</v>
      </c>
      <c r="EM26" s="529">
        <v>21</v>
      </c>
      <c r="EN26" s="529">
        <v>22</v>
      </c>
      <c r="EO26" s="529">
        <v>23</v>
      </c>
      <c r="EP26" s="529">
        <v>24</v>
      </c>
      <c r="EQ26" s="529">
        <v>25</v>
      </c>
      <c r="ER26" s="529">
        <v>26</v>
      </c>
      <c r="ES26" s="529">
        <v>27</v>
      </c>
      <c r="ET26" s="529">
        <v>28</v>
      </c>
      <c r="EU26" s="529">
        <v>29</v>
      </c>
      <c r="EV26" s="529">
        <v>30</v>
      </c>
      <c r="EY26" s="529" t="str">
        <f>IFERROR(IF(COUNTIF(Pedidos!$J:$J,EQ$2)&gt;EA26-1,MATCH(EQ$2,Pedidos!$J:$J,0),""),"")</f>
        <v/>
      </c>
      <c r="EZ26" s="529">
        <f>IFERROR(IF(EY47="",0,COUNTIF(Pedidos!$J:$J,Procesos!EQ$2)),"")</f>
        <v>0</v>
      </c>
      <c r="FA26" s="529">
        <v>2</v>
      </c>
      <c r="FJ26" s="529">
        <v>18</v>
      </c>
      <c r="FK26" s="529">
        <v>19</v>
      </c>
      <c r="FL26" s="529">
        <v>20</v>
      </c>
      <c r="FM26" s="529">
        <v>21</v>
      </c>
      <c r="FN26" s="529">
        <v>22</v>
      </c>
      <c r="FO26" s="529">
        <v>23</v>
      </c>
      <c r="FP26" s="529">
        <v>24</v>
      </c>
      <c r="FQ26" s="529">
        <v>25</v>
      </c>
      <c r="FR26" s="529">
        <v>26</v>
      </c>
      <c r="FS26" s="529">
        <v>27</v>
      </c>
      <c r="FT26" s="529">
        <v>28</v>
      </c>
      <c r="FU26" s="529">
        <v>29</v>
      </c>
      <c r="FV26" s="529">
        <v>30</v>
      </c>
      <c r="FY26" s="529" t="str">
        <f>IFERROR(IF(COUNTIF(Pedidos!$J:$J,FQ$2)&gt;FA26-1,MATCH(FQ$2,Pedidos!$J:$J,0),""),"")</f>
        <v/>
      </c>
      <c r="FZ26" s="529">
        <f>IFERROR(IF(FY47="",0,COUNTIF(Pedidos!$J:$J,Procesos!FQ$2)),"")</f>
        <v>0</v>
      </c>
      <c r="GA26" s="529">
        <v>2</v>
      </c>
      <c r="GJ26" s="529">
        <v>18</v>
      </c>
      <c r="GK26" s="529">
        <v>19</v>
      </c>
      <c r="GL26" s="529">
        <v>20</v>
      </c>
      <c r="GM26" s="529">
        <v>21</v>
      </c>
      <c r="GN26" s="529">
        <v>22</v>
      </c>
      <c r="GO26" s="529">
        <v>23</v>
      </c>
      <c r="GP26" s="529">
        <v>24</v>
      </c>
      <c r="GQ26" s="529">
        <v>25</v>
      </c>
      <c r="GR26" s="529">
        <v>26</v>
      </c>
      <c r="GS26" s="529">
        <v>27</v>
      </c>
      <c r="GT26" s="529">
        <v>28</v>
      </c>
      <c r="GU26" s="529">
        <v>29</v>
      </c>
      <c r="GV26" s="529">
        <v>30</v>
      </c>
      <c r="GY26" s="529" t="str">
        <f>IFERROR(IF(COUNTIF(Pedidos!$J:$J,GQ$2)&gt;GA26-1,MATCH(GQ$2,Pedidos!$J:$J,0),""),"")</f>
        <v/>
      </c>
      <c r="GZ26" s="529">
        <f>IFERROR(IF(GY47="",0,COUNTIF(Pedidos!$J:$J,Procesos!GQ$2)),"")</f>
        <v>0</v>
      </c>
      <c r="HA26" s="529">
        <v>2</v>
      </c>
      <c r="HJ26" s="529">
        <v>18</v>
      </c>
      <c r="HK26" s="529">
        <v>19</v>
      </c>
      <c r="HL26" s="529">
        <v>20</v>
      </c>
      <c r="HM26" s="529">
        <v>21</v>
      </c>
      <c r="HN26" s="529">
        <v>22</v>
      </c>
      <c r="HO26" s="529">
        <v>23</v>
      </c>
      <c r="HP26" s="529">
        <v>24</v>
      </c>
      <c r="HQ26" s="529">
        <v>25</v>
      </c>
      <c r="HR26" s="529">
        <v>26</v>
      </c>
      <c r="HS26" s="529">
        <v>27</v>
      </c>
      <c r="HT26" s="529">
        <v>28</v>
      </c>
      <c r="HU26" s="529">
        <v>29</v>
      </c>
      <c r="HV26" s="529">
        <v>30</v>
      </c>
      <c r="HY26" s="529" t="str">
        <f>IFERROR(IF(COUNTIF(Pedidos!$J:$J,HQ$2)&gt;HA26-1,MATCH(HQ$2,Pedidos!$J:$J,0),""),"")</f>
        <v/>
      </c>
      <c r="HZ26" s="529">
        <f>IFERROR(IF(HY47="",0,COUNTIF(Pedidos!$J:$J,Procesos!HQ$2)),"")</f>
        <v>0</v>
      </c>
      <c r="IA26" s="529">
        <v>2</v>
      </c>
      <c r="IJ26" s="529">
        <v>18</v>
      </c>
      <c r="IK26" s="529">
        <v>19</v>
      </c>
      <c r="IL26" s="529">
        <v>20</v>
      </c>
      <c r="IM26" s="529">
        <v>21</v>
      </c>
      <c r="IN26" s="529">
        <v>22</v>
      </c>
      <c r="IO26" s="529">
        <v>23</v>
      </c>
      <c r="IP26" s="529">
        <v>24</v>
      </c>
      <c r="IQ26" s="529">
        <v>25</v>
      </c>
      <c r="IR26" s="529">
        <v>26</v>
      </c>
      <c r="IS26" s="529">
        <v>27</v>
      </c>
      <c r="IT26" s="529">
        <v>28</v>
      </c>
      <c r="IU26" s="529">
        <v>29</v>
      </c>
      <c r="IV26" s="529">
        <v>30</v>
      </c>
      <c r="IY26" s="529" t="str">
        <f>IFERROR(IF(COUNTIF(Pedidos!$J:$J,IQ$2)&gt;IA26-1,MATCH(IQ$2,Pedidos!$J:$J,0),""),"")</f>
        <v/>
      </c>
      <c r="IZ26" s="529">
        <f>IFERROR(IF(IY47="",0,COUNTIF(Pedidos!$J:$J,Procesos!IQ$2)),"")</f>
        <v>0</v>
      </c>
    </row>
    <row r="27" spans="1:260" x14ac:dyDescent="0.25">
      <c r="A27" s="815" t="str">
        <f>IF(Z26&gt;=A26,Q$2 &amp;"     ITEM # "&amp;A26,"")</f>
        <v/>
      </c>
      <c r="B27" s="816"/>
      <c r="C27" s="816"/>
      <c r="D27" s="816"/>
      <c r="E27" s="816"/>
      <c r="F27" s="816"/>
      <c r="G27" s="816"/>
      <c r="H27" s="816"/>
      <c r="I27" s="817"/>
      <c r="J27" s="818" t="str">
        <f>IF(Z26&gt;=A26,$J$6,"")</f>
        <v/>
      </c>
      <c r="K27" s="816"/>
      <c r="L27" s="816"/>
      <c r="M27" s="816"/>
      <c r="N27" s="816"/>
      <c r="O27" s="816"/>
      <c r="P27" s="816"/>
      <c r="Q27" s="816"/>
      <c r="R27" s="816"/>
      <c r="S27" s="816"/>
      <c r="T27" s="816"/>
      <c r="U27" s="816"/>
      <c r="V27" s="816"/>
      <c r="W27" s="816"/>
      <c r="X27" s="816"/>
      <c r="Y27" s="816"/>
      <c r="Z27" s="819"/>
      <c r="AA27" s="815" t="str">
        <f>IF(AZ26&gt;=AA26,AQ$2 &amp;"     ITEM # "&amp;AA26,"")</f>
        <v>PO# 20     ITEM # 2</v>
      </c>
      <c r="AB27" s="816"/>
      <c r="AC27" s="816"/>
      <c r="AD27" s="816"/>
      <c r="AE27" s="816"/>
      <c r="AF27" s="816"/>
      <c r="AG27" s="816"/>
      <c r="AH27" s="816"/>
      <c r="AI27" s="817"/>
      <c r="AJ27" s="818" t="str">
        <f>IF(AZ26&gt;=AA26,$J$6,"")</f>
        <v>Tallas</v>
      </c>
      <c r="AK27" s="816"/>
      <c r="AL27" s="816"/>
      <c r="AM27" s="816"/>
      <c r="AN27" s="816"/>
      <c r="AO27" s="816"/>
      <c r="AP27" s="816"/>
      <c r="AQ27" s="816"/>
      <c r="AR27" s="816"/>
      <c r="AS27" s="816"/>
      <c r="AT27" s="816"/>
      <c r="AU27" s="816"/>
      <c r="AV27" s="816"/>
      <c r="AW27" s="816"/>
      <c r="AX27" s="816"/>
      <c r="AY27" s="816"/>
      <c r="AZ27" s="819"/>
      <c r="BA27" s="815" t="str">
        <f>IF(BZ26&gt;=BA26,BQ$2 &amp;"     ITEM # "&amp;BA26,"")</f>
        <v/>
      </c>
      <c r="BB27" s="816"/>
      <c r="BC27" s="816"/>
      <c r="BD27" s="816"/>
      <c r="BE27" s="816"/>
      <c r="BF27" s="816"/>
      <c r="BG27" s="816"/>
      <c r="BH27" s="816"/>
      <c r="BI27" s="817"/>
      <c r="BJ27" s="818" t="str">
        <f>IF(BZ26&gt;=BA26,$J$6,"")</f>
        <v/>
      </c>
      <c r="BK27" s="816"/>
      <c r="BL27" s="816"/>
      <c r="BM27" s="816"/>
      <c r="BN27" s="816"/>
      <c r="BO27" s="816"/>
      <c r="BP27" s="816"/>
      <c r="BQ27" s="816"/>
      <c r="BR27" s="816"/>
      <c r="BS27" s="816"/>
      <c r="BT27" s="816"/>
      <c r="BU27" s="816"/>
      <c r="BV27" s="816"/>
      <c r="BW27" s="816"/>
      <c r="BX27" s="816"/>
      <c r="BY27" s="816"/>
      <c r="BZ27" s="819"/>
      <c r="CA27" s="815" t="str">
        <f>IF(CZ26&gt;=CA26,CQ$2 &amp;"     ITEM # "&amp;CA26,"")</f>
        <v/>
      </c>
      <c r="CB27" s="816"/>
      <c r="CC27" s="816"/>
      <c r="CD27" s="816"/>
      <c r="CE27" s="816"/>
      <c r="CF27" s="816"/>
      <c r="CG27" s="816"/>
      <c r="CH27" s="816"/>
      <c r="CI27" s="817"/>
      <c r="CJ27" s="818" t="str">
        <f>IF(CZ26&gt;=CA26,$J$6,"")</f>
        <v/>
      </c>
      <c r="CK27" s="816"/>
      <c r="CL27" s="816"/>
      <c r="CM27" s="816"/>
      <c r="CN27" s="816"/>
      <c r="CO27" s="816"/>
      <c r="CP27" s="816"/>
      <c r="CQ27" s="816"/>
      <c r="CR27" s="816"/>
      <c r="CS27" s="816"/>
      <c r="CT27" s="816"/>
      <c r="CU27" s="816"/>
      <c r="CV27" s="816"/>
      <c r="CW27" s="816"/>
      <c r="CX27" s="816"/>
      <c r="CY27" s="816"/>
      <c r="CZ27" s="819"/>
      <c r="DA27" s="815" t="str">
        <f>IF(DZ26&gt;=DA26,DQ$2 &amp;"     ITEM # "&amp;DA26,"")</f>
        <v/>
      </c>
      <c r="DB27" s="816"/>
      <c r="DC27" s="816"/>
      <c r="DD27" s="816"/>
      <c r="DE27" s="816"/>
      <c r="DF27" s="816"/>
      <c r="DG27" s="816"/>
      <c r="DH27" s="816"/>
      <c r="DI27" s="817"/>
      <c r="DJ27" s="818" t="str">
        <f>IF(DZ26&gt;=DA26,$J$6,"")</f>
        <v/>
      </c>
      <c r="DK27" s="816"/>
      <c r="DL27" s="816"/>
      <c r="DM27" s="816"/>
      <c r="DN27" s="816"/>
      <c r="DO27" s="816"/>
      <c r="DP27" s="816"/>
      <c r="DQ27" s="816"/>
      <c r="DR27" s="816"/>
      <c r="DS27" s="816"/>
      <c r="DT27" s="816"/>
      <c r="DU27" s="816"/>
      <c r="DV27" s="816"/>
      <c r="DW27" s="816"/>
      <c r="DX27" s="816"/>
      <c r="DY27" s="816"/>
      <c r="DZ27" s="819"/>
      <c r="EA27" s="815" t="str">
        <f>IF(EZ26&gt;=EA26,EQ$2 &amp;"     ITEM # "&amp;EA26,"")</f>
        <v/>
      </c>
      <c r="EB27" s="816"/>
      <c r="EC27" s="816"/>
      <c r="ED27" s="816"/>
      <c r="EE27" s="816"/>
      <c r="EF27" s="816"/>
      <c r="EG27" s="816"/>
      <c r="EH27" s="816"/>
      <c r="EI27" s="817"/>
      <c r="EJ27" s="818" t="str">
        <f>IF(EZ26&gt;=EA26,$J$6,"")</f>
        <v/>
      </c>
      <c r="EK27" s="816"/>
      <c r="EL27" s="816"/>
      <c r="EM27" s="816"/>
      <c r="EN27" s="816"/>
      <c r="EO27" s="816"/>
      <c r="EP27" s="816"/>
      <c r="EQ27" s="816"/>
      <c r="ER27" s="816"/>
      <c r="ES27" s="816"/>
      <c r="ET27" s="816"/>
      <c r="EU27" s="816"/>
      <c r="EV27" s="816"/>
      <c r="EW27" s="816"/>
      <c r="EX27" s="816"/>
      <c r="EY27" s="816"/>
      <c r="EZ27" s="819"/>
      <c r="FA27" s="815" t="str">
        <f>IF(FZ26&gt;=FA26,FQ$2 &amp;"     ITEM # "&amp;FA26,"")</f>
        <v/>
      </c>
      <c r="FB27" s="816"/>
      <c r="FC27" s="816"/>
      <c r="FD27" s="816"/>
      <c r="FE27" s="816"/>
      <c r="FF27" s="816"/>
      <c r="FG27" s="816"/>
      <c r="FH27" s="816"/>
      <c r="FI27" s="817"/>
      <c r="FJ27" s="818" t="str">
        <f>IF(FZ26&gt;=FA26,$J$6,"")</f>
        <v/>
      </c>
      <c r="FK27" s="816"/>
      <c r="FL27" s="816"/>
      <c r="FM27" s="816"/>
      <c r="FN27" s="816"/>
      <c r="FO27" s="816"/>
      <c r="FP27" s="816"/>
      <c r="FQ27" s="816"/>
      <c r="FR27" s="816"/>
      <c r="FS27" s="816"/>
      <c r="FT27" s="816"/>
      <c r="FU27" s="816"/>
      <c r="FV27" s="816"/>
      <c r="FW27" s="816"/>
      <c r="FX27" s="816"/>
      <c r="FY27" s="816"/>
      <c r="FZ27" s="819"/>
      <c r="GA27" s="815" t="str">
        <f>IF(GZ26&gt;=GA26,GQ$2 &amp;"     ITEM # "&amp;GA26,"")</f>
        <v/>
      </c>
      <c r="GB27" s="816"/>
      <c r="GC27" s="816"/>
      <c r="GD27" s="816"/>
      <c r="GE27" s="816"/>
      <c r="GF27" s="816"/>
      <c r="GG27" s="816"/>
      <c r="GH27" s="816"/>
      <c r="GI27" s="817"/>
      <c r="GJ27" s="818" t="str">
        <f>IF(GZ26&gt;=GA26,$J$6,"")</f>
        <v/>
      </c>
      <c r="GK27" s="816"/>
      <c r="GL27" s="816"/>
      <c r="GM27" s="816"/>
      <c r="GN27" s="816"/>
      <c r="GO27" s="816"/>
      <c r="GP27" s="816"/>
      <c r="GQ27" s="816"/>
      <c r="GR27" s="816"/>
      <c r="GS27" s="816"/>
      <c r="GT27" s="816"/>
      <c r="GU27" s="816"/>
      <c r="GV27" s="816"/>
      <c r="GW27" s="816"/>
      <c r="GX27" s="816"/>
      <c r="GY27" s="816"/>
      <c r="GZ27" s="819"/>
      <c r="HA27" s="815" t="str">
        <f>IF(HZ26&gt;=HA26,HQ$2 &amp;"     ITEM # "&amp;HA26,"")</f>
        <v/>
      </c>
      <c r="HB27" s="816"/>
      <c r="HC27" s="816"/>
      <c r="HD27" s="816"/>
      <c r="HE27" s="816"/>
      <c r="HF27" s="816"/>
      <c r="HG27" s="816"/>
      <c r="HH27" s="816"/>
      <c r="HI27" s="817"/>
      <c r="HJ27" s="818" t="str">
        <f>IF(HZ26&gt;=HA26,$J$6,"")</f>
        <v/>
      </c>
      <c r="HK27" s="816"/>
      <c r="HL27" s="816"/>
      <c r="HM27" s="816"/>
      <c r="HN27" s="816"/>
      <c r="HO27" s="816"/>
      <c r="HP27" s="816"/>
      <c r="HQ27" s="816"/>
      <c r="HR27" s="816"/>
      <c r="HS27" s="816"/>
      <c r="HT27" s="816"/>
      <c r="HU27" s="816"/>
      <c r="HV27" s="816"/>
      <c r="HW27" s="816"/>
      <c r="HX27" s="816"/>
      <c r="HY27" s="816"/>
      <c r="HZ27" s="819"/>
      <c r="IA27" s="815" t="str">
        <f>IF(IZ26&gt;=IA26,IQ$2 &amp;"     ITEM # "&amp;IA26,"")</f>
        <v/>
      </c>
      <c r="IB27" s="816"/>
      <c r="IC27" s="816"/>
      <c r="ID27" s="816"/>
      <c r="IE27" s="816"/>
      <c r="IF27" s="816"/>
      <c r="IG27" s="816"/>
      <c r="IH27" s="816"/>
      <c r="II27" s="817"/>
      <c r="IJ27" s="818" t="str">
        <f>IF(IZ26&gt;=IA26,$J$6,"")</f>
        <v/>
      </c>
      <c r="IK27" s="816"/>
      <c r="IL27" s="816"/>
      <c r="IM27" s="816"/>
      <c r="IN27" s="816"/>
      <c r="IO27" s="816"/>
      <c r="IP27" s="816"/>
      <c r="IQ27" s="816"/>
      <c r="IR27" s="816"/>
      <c r="IS27" s="816"/>
      <c r="IT27" s="816"/>
      <c r="IU27" s="816"/>
      <c r="IV27" s="816"/>
      <c r="IW27" s="816"/>
      <c r="IX27" s="816"/>
      <c r="IY27" s="816"/>
      <c r="IZ27" s="819"/>
    </row>
    <row r="28" spans="1:260" x14ac:dyDescent="0.25">
      <c r="A28" s="848" t="str">
        <f>IFERROR(INDEX(Lista_Pedidos,Procesos!Y26+A26-1,5),"")</f>
        <v/>
      </c>
      <c r="B28" s="843"/>
      <c r="C28" s="843"/>
      <c r="D28" s="843"/>
      <c r="E28" s="843"/>
      <c r="F28" s="843"/>
      <c r="G28" s="843"/>
      <c r="H28" s="843"/>
      <c r="I28" s="844"/>
      <c r="J28" s="842" t="str">
        <f>IF(Z26&gt;=A26,$J$7,"")</f>
        <v/>
      </c>
      <c r="K28" s="843"/>
      <c r="L28" s="844"/>
      <c r="M28" s="842" t="str">
        <f>IF(Z26&gt;=A26,$M$7,"")</f>
        <v/>
      </c>
      <c r="N28" s="843"/>
      <c r="O28" s="844"/>
      <c r="P28" s="842" t="str">
        <f>IF(Z26&gt;=A26,$P$7,"")</f>
        <v/>
      </c>
      <c r="Q28" s="843"/>
      <c r="R28" s="843"/>
      <c r="S28" s="843"/>
      <c r="T28" s="843"/>
      <c r="U28" s="844"/>
      <c r="V28" s="834" t="str">
        <f>IF(Z26&gt;=A26,$V$7,"")</f>
        <v/>
      </c>
      <c r="W28" s="842" t="str">
        <f>IF(Z26&gt;=A26,$W$7,"")</f>
        <v/>
      </c>
      <c r="X28" s="843"/>
      <c r="Y28" s="843"/>
      <c r="Z28" s="850"/>
      <c r="AA28" s="848" t="str">
        <f>IFERROR(INDEX(Lista_Pedidos,Procesos!AY26+AA26-1,5),"")</f>
        <v>Custom Team  Slides</v>
      </c>
      <c r="AB28" s="843"/>
      <c r="AC28" s="843"/>
      <c r="AD28" s="843"/>
      <c r="AE28" s="843"/>
      <c r="AF28" s="843"/>
      <c r="AG28" s="843"/>
      <c r="AH28" s="843"/>
      <c r="AI28" s="844"/>
      <c r="AJ28" s="842" t="str">
        <f>IF(AZ26&gt;=AA26,$J$7,"")</f>
        <v>Niña</v>
      </c>
      <c r="AK28" s="843"/>
      <c r="AL28" s="844"/>
      <c r="AM28" s="842" t="str">
        <f>IF(AZ26&gt;=AA26,$M$7,"")</f>
        <v>Joven</v>
      </c>
      <c r="AN28" s="843"/>
      <c r="AO28" s="844"/>
      <c r="AP28" s="842" t="str">
        <f>IF(AZ26&gt;=AA26,$P$7,"")</f>
        <v>Adulto</v>
      </c>
      <c r="AQ28" s="843"/>
      <c r="AR28" s="843"/>
      <c r="AS28" s="843"/>
      <c r="AT28" s="843"/>
      <c r="AU28" s="844"/>
      <c r="AV28" s="834" t="str">
        <f>IF(AZ26&gt;=AA26,$V$7,"")</f>
        <v>Acc</v>
      </c>
      <c r="AW28" s="842" t="str">
        <f>IF(AZ26&gt;=AA26,$W$7,"")</f>
        <v>Total</v>
      </c>
      <c r="AX28" s="843"/>
      <c r="AY28" s="843"/>
      <c r="AZ28" s="850"/>
      <c r="BA28" s="848" t="str">
        <f>IFERROR(INDEX(Lista_Pedidos,Procesos!BY26+BA26-1,5),"")</f>
        <v/>
      </c>
      <c r="BB28" s="843"/>
      <c r="BC28" s="843"/>
      <c r="BD28" s="843"/>
      <c r="BE28" s="843"/>
      <c r="BF28" s="843"/>
      <c r="BG28" s="843"/>
      <c r="BH28" s="843"/>
      <c r="BI28" s="844"/>
      <c r="BJ28" s="842" t="str">
        <f>IF(BZ26&gt;=BA26,$J$7,"")</f>
        <v/>
      </c>
      <c r="BK28" s="843"/>
      <c r="BL28" s="844"/>
      <c r="BM28" s="842" t="str">
        <f>IF(BZ26&gt;=BA26,$M$7,"")</f>
        <v/>
      </c>
      <c r="BN28" s="843"/>
      <c r="BO28" s="844"/>
      <c r="BP28" s="842" t="str">
        <f>IF(BZ26&gt;=BA26,$P$7,"")</f>
        <v/>
      </c>
      <c r="BQ28" s="843"/>
      <c r="BR28" s="843"/>
      <c r="BS28" s="843"/>
      <c r="BT28" s="843"/>
      <c r="BU28" s="844"/>
      <c r="BV28" s="834" t="str">
        <f>IF(BZ26&gt;=BA26,$V$7,"")</f>
        <v/>
      </c>
      <c r="BW28" s="842" t="str">
        <f>IF(BZ26&gt;=BA26,$W$7,"")</f>
        <v/>
      </c>
      <c r="BX28" s="843"/>
      <c r="BY28" s="843"/>
      <c r="BZ28" s="850"/>
      <c r="CA28" s="848" t="str">
        <f>IFERROR(INDEX(Lista_Pedidos,Procesos!CY26+CA26-1,5),"")</f>
        <v/>
      </c>
      <c r="CB28" s="843"/>
      <c r="CC28" s="843"/>
      <c r="CD28" s="843"/>
      <c r="CE28" s="843"/>
      <c r="CF28" s="843"/>
      <c r="CG28" s="843"/>
      <c r="CH28" s="843"/>
      <c r="CI28" s="844"/>
      <c r="CJ28" s="842" t="str">
        <f>IF(CZ26&gt;=CA26,$J$7,"")</f>
        <v/>
      </c>
      <c r="CK28" s="843"/>
      <c r="CL28" s="844"/>
      <c r="CM28" s="842" t="str">
        <f>IF(CZ26&gt;=CA26,$M$7,"")</f>
        <v/>
      </c>
      <c r="CN28" s="843"/>
      <c r="CO28" s="844"/>
      <c r="CP28" s="842" t="str">
        <f>IF(CZ26&gt;=CA26,$P$7,"")</f>
        <v/>
      </c>
      <c r="CQ28" s="843"/>
      <c r="CR28" s="843"/>
      <c r="CS28" s="843"/>
      <c r="CT28" s="843"/>
      <c r="CU28" s="844"/>
      <c r="CV28" s="834" t="str">
        <f>IF(CZ26&gt;=CA26,$V$7,"")</f>
        <v/>
      </c>
      <c r="CW28" s="842" t="str">
        <f>IF(CZ26&gt;=CA26,$W$7,"")</f>
        <v/>
      </c>
      <c r="CX28" s="843"/>
      <c r="CY28" s="843"/>
      <c r="CZ28" s="850"/>
      <c r="DA28" s="848" t="str">
        <f>IFERROR(INDEX(Lista_Pedidos,Procesos!DY26+DA26-1,5),"")</f>
        <v/>
      </c>
      <c r="DB28" s="843"/>
      <c r="DC28" s="843"/>
      <c r="DD28" s="843"/>
      <c r="DE28" s="843"/>
      <c r="DF28" s="843"/>
      <c r="DG28" s="843"/>
      <c r="DH28" s="843"/>
      <c r="DI28" s="844"/>
      <c r="DJ28" s="842" t="str">
        <f>IF(DZ26&gt;=DA26,$J$7,"")</f>
        <v/>
      </c>
      <c r="DK28" s="843"/>
      <c r="DL28" s="844"/>
      <c r="DM28" s="842" t="str">
        <f>IF(DZ26&gt;=DA26,$M$7,"")</f>
        <v/>
      </c>
      <c r="DN28" s="843"/>
      <c r="DO28" s="844"/>
      <c r="DP28" s="842" t="str">
        <f>IF(DZ26&gt;=DA26,$P$7,"")</f>
        <v/>
      </c>
      <c r="DQ28" s="843"/>
      <c r="DR28" s="843"/>
      <c r="DS28" s="843"/>
      <c r="DT28" s="843"/>
      <c r="DU28" s="844"/>
      <c r="DV28" s="834" t="str">
        <f>IF(DZ26&gt;=DA26,$V$7,"")</f>
        <v/>
      </c>
      <c r="DW28" s="842" t="str">
        <f>IF(DZ26&gt;=DA26,$W$7,"")</f>
        <v/>
      </c>
      <c r="DX28" s="843"/>
      <c r="DY28" s="843"/>
      <c r="DZ28" s="850"/>
      <c r="EA28" s="848" t="str">
        <f>IFERROR(INDEX(Lista_Pedidos,Procesos!EY26+EA26-1,5),"")</f>
        <v/>
      </c>
      <c r="EB28" s="843"/>
      <c r="EC28" s="843"/>
      <c r="ED28" s="843"/>
      <c r="EE28" s="843"/>
      <c r="EF28" s="843"/>
      <c r="EG28" s="843"/>
      <c r="EH28" s="843"/>
      <c r="EI28" s="844"/>
      <c r="EJ28" s="842" t="str">
        <f>IF(EZ26&gt;=EA26,$J$7,"")</f>
        <v/>
      </c>
      <c r="EK28" s="843"/>
      <c r="EL28" s="844"/>
      <c r="EM28" s="842" t="str">
        <f>IF(EZ26&gt;=EA26,$M$7,"")</f>
        <v/>
      </c>
      <c r="EN28" s="843"/>
      <c r="EO28" s="844"/>
      <c r="EP28" s="842" t="str">
        <f>IF(EZ26&gt;=EA26,$P$7,"")</f>
        <v/>
      </c>
      <c r="EQ28" s="843"/>
      <c r="ER28" s="843"/>
      <c r="ES28" s="843"/>
      <c r="ET28" s="843"/>
      <c r="EU28" s="844"/>
      <c r="EV28" s="834" t="str">
        <f>IF(EZ26&gt;=EA26,$V$7,"")</f>
        <v/>
      </c>
      <c r="EW28" s="842" t="str">
        <f>IF(EZ26&gt;=EA26,$W$7,"")</f>
        <v/>
      </c>
      <c r="EX28" s="843"/>
      <c r="EY28" s="843"/>
      <c r="EZ28" s="850"/>
      <c r="FA28" s="848" t="str">
        <f>IFERROR(INDEX(Lista_Pedidos,Procesos!FY26+FA26-1,5),"")</f>
        <v/>
      </c>
      <c r="FB28" s="843"/>
      <c r="FC28" s="843"/>
      <c r="FD28" s="843"/>
      <c r="FE28" s="843"/>
      <c r="FF28" s="843"/>
      <c r="FG28" s="843"/>
      <c r="FH28" s="843"/>
      <c r="FI28" s="844"/>
      <c r="FJ28" s="842" t="str">
        <f>IF(FZ26&gt;=FA26,$J$7,"")</f>
        <v/>
      </c>
      <c r="FK28" s="843"/>
      <c r="FL28" s="844"/>
      <c r="FM28" s="842" t="str">
        <f>IF(FZ26&gt;=FA26,$M$7,"")</f>
        <v/>
      </c>
      <c r="FN28" s="843"/>
      <c r="FO28" s="844"/>
      <c r="FP28" s="842" t="str">
        <f>IF(FZ26&gt;=FA26,$P$7,"")</f>
        <v/>
      </c>
      <c r="FQ28" s="843"/>
      <c r="FR28" s="843"/>
      <c r="FS28" s="843"/>
      <c r="FT28" s="843"/>
      <c r="FU28" s="844"/>
      <c r="FV28" s="834" t="str">
        <f>IF(FZ26&gt;=FA26,$V$7,"")</f>
        <v/>
      </c>
      <c r="FW28" s="842" t="str">
        <f>IF(FZ26&gt;=FA26,$W$7,"")</f>
        <v/>
      </c>
      <c r="FX28" s="843"/>
      <c r="FY28" s="843"/>
      <c r="FZ28" s="850"/>
      <c r="GA28" s="848" t="str">
        <f>IFERROR(INDEX(Lista_Pedidos,Procesos!GY26+GA26-1,5),"")</f>
        <v/>
      </c>
      <c r="GB28" s="843"/>
      <c r="GC28" s="843"/>
      <c r="GD28" s="843"/>
      <c r="GE28" s="843"/>
      <c r="GF28" s="843"/>
      <c r="GG28" s="843"/>
      <c r="GH28" s="843"/>
      <c r="GI28" s="844"/>
      <c r="GJ28" s="842" t="str">
        <f>IF(GZ26&gt;=GA26,$J$7,"")</f>
        <v/>
      </c>
      <c r="GK28" s="843"/>
      <c r="GL28" s="844"/>
      <c r="GM28" s="842" t="str">
        <f>IF(GZ26&gt;=GA26,$M$7,"")</f>
        <v/>
      </c>
      <c r="GN28" s="843"/>
      <c r="GO28" s="844"/>
      <c r="GP28" s="842" t="str">
        <f>IF(GZ26&gt;=GA26,$P$7,"")</f>
        <v/>
      </c>
      <c r="GQ28" s="843"/>
      <c r="GR28" s="843"/>
      <c r="GS28" s="843"/>
      <c r="GT28" s="843"/>
      <c r="GU28" s="844"/>
      <c r="GV28" s="834" t="str">
        <f>IF(GZ26&gt;=GA26,$V$7,"")</f>
        <v/>
      </c>
      <c r="GW28" s="842" t="str">
        <f>IF(GZ26&gt;=GA26,$W$7,"")</f>
        <v/>
      </c>
      <c r="GX28" s="843"/>
      <c r="GY28" s="843"/>
      <c r="GZ28" s="850"/>
      <c r="HA28" s="848" t="str">
        <f>IFERROR(INDEX(Lista_Pedidos,Procesos!HY26+HA26-1,5),"")</f>
        <v/>
      </c>
      <c r="HB28" s="843"/>
      <c r="HC28" s="843"/>
      <c r="HD28" s="843"/>
      <c r="HE28" s="843"/>
      <c r="HF28" s="843"/>
      <c r="HG28" s="843"/>
      <c r="HH28" s="843"/>
      <c r="HI28" s="844"/>
      <c r="HJ28" s="842" t="str">
        <f>IF(HZ26&gt;=HA26,$J$7,"")</f>
        <v/>
      </c>
      <c r="HK28" s="843"/>
      <c r="HL28" s="844"/>
      <c r="HM28" s="842" t="str">
        <f>IF(HZ26&gt;=HA26,$M$7,"")</f>
        <v/>
      </c>
      <c r="HN28" s="843"/>
      <c r="HO28" s="844"/>
      <c r="HP28" s="842" t="str">
        <f>IF(HZ26&gt;=HA26,$P$7,"")</f>
        <v/>
      </c>
      <c r="HQ28" s="843"/>
      <c r="HR28" s="843"/>
      <c r="HS28" s="843"/>
      <c r="HT28" s="843"/>
      <c r="HU28" s="844"/>
      <c r="HV28" s="834" t="str">
        <f>IF(HZ26&gt;=HA26,$V$7,"")</f>
        <v/>
      </c>
      <c r="HW28" s="842" t="str">
        <f>IF(HZ26&gt;=HA26,$W$7,"")</f>
        <v/>
      </c>
      <c r="HX28" s="843"/>
      <c r="HY28" s="843"/>
      <c r="HZ28" s="850"/>
      <c r="IA28" s="848" t="str">
        <f>IFERROR(INDEX(Lista_Pedidos,Procesos!IY26+IA26-1,5),"")</f>
        <v/>
      </c>
      <c r="IB28" s="843"/>
      <c r="IC28" s="843"/>
      <c r="ID28" s="843"/>
      <c r="IE28" s="843"/>
      <c r="IF28" s="843"/>
      <c r="IG28" s="843"/>
      <c r="IH28" s="843"/>
      <c r="II28" s="844"/>
      <c r="IJ28" s="842" t="str">
        <f>IF(IZ26&gt;=IA26,$J$7,"")</f>
        <v/>
      </c>
      <c r="IK28" s="843"/>
      <c r="IL28" s="844"/>
      <c r="IM28" s="842" t="str">
        <f>IF(IZ26&gt;=IA26,$M$7,"")</f>
        <v/>
      </c>
      <c r="IN28" s="843"/>
      <c r="IO28" s="844"/>
      <c r="IP28" s="842" t="str">
        <f>IF(IZ26&gt;=IA26,$P$7,"")</f>
        <v/>
      </c>
      <c r="IQ28" s="843"/>
      <c r="IR28" s="843"/>
      <c r="IS28" s="843"/>
      <c r="IT28" s="843"/>
      <c r="IU28" s="844"/>
      <c r="IV28" s="834" t="str">
        <f>IF(IZ26&gt;=IA26,$V$7,"")</f>
        <v/>
      </c>
      <c r="IW28" s="842" t="str">
        <f>IF(IZ26&gt;=IA26,$W$7,"")</f>
        <v/>
      </c>
      <c r="IX28" s="843"/>
      <c r="IY28" s="843"/>
      <c r="IZ28" s="850"/>
    </row>
    <row r="29" spans="1:260" x14ac:dyDescent="0.25">
      <c r="A29" s="849"/>
      <c r="B29" s="846"/>
      <c r="C29" s="846"/>
      <c r="D29" s="846"/>
      <c r="E29" s="846"/>
      <c r="F29" s="846"/>
      <c r="G29" s="846"/>
      <c r="H29" s="846"/>
      <c r="I29" s="847"/>
      <c r="J29" s="845"/>
      <c r="K29" s="846"/>
      <c r="L29" s="847"/>
      <c r="M29" s="845"/>
      <c r="N29" s="846"/>
      <c r="O29" s="847"/>
      <c r="P29" s="845"/>
      <c r="Q29" s="846"/>
      <c r="R29" s="846"/>
      <c r="S29" s="846"/>
      <c r="T29" s="846"/>
      <c r="U29" s="847"/>
      <c r="V29" s="835"/>
      <c r="W29" s="845"/>
      <c r="X29" s="846"/>
      <c r="Y29" s="846"/>
      <c r="Z29" s="851"/>
      <c r="AA29" s="849"/>
      <c r="AB29" s="846"/>
      <c r="AC29" s="846"/>
      <c r="AD29" s="846"/>
      <c r="AE29" s="846"/>
      <c r="AF29" s="846"/>
      <c r="AG29" s="846"/>
      <c r="AH29" s="846"/>
      <c r="AI29" s="847"/>
      <c r="AJ29" s="845"/>
      <c r="AK29" s="846"/>
      <c r="AL29" s="847"/>
      <c r="AM29" s="845"/>
      <c r="AN29" s="846"/>
      <c r="AO29" s="847"/>
      <c r="AP29" s="845"/>
      <c r="AQ29" s="846"/>
      <c r="AR29" s="846"/>
      <c r="AS29" s="846"/>
      <c r="AT29" s="846"/>
      <c r="AU29" s="847"/>
      <c r="AV29" s="835"/>
      <c r="AW29" s="845"/>
      <c r="AX29" s="846"/>
      <c r="AY29" s="846"/>
      <c r="AZ29" s="851"/>
      <c r="BA29" s="849"/>
      <c r="BB29" s="846"/>
      <c r="BC29" s="846"/>
      <c r="BD29" s="846"/>
      <c r="BE29" s="846"/>
      <c r="BF29" s="846"/>
      <c r="BG29" s="846"/>
      <c r="BH29" s="846"/>
      <c r="BI29" s="847"/>
      <c r="BJ29" s="845"/>
      <c r="BK29" s="846"/>
      <c r="BL29" s="847"/>
      <c r="BM29" s="845"/>
      <c r="BN29" s="846"/>
      <c r="BO29" s="847"/>
      <c r="BP29" s="845"/>
      <c r="BQ29" s="846"/>
      <c r="BR29" s="846"/>
      <c r="BS29" s="846"/>
      <c r="BT29" s="846"/>
      <c r="BU29" s="847"/>
      <c r="BV29" s="835"/>
      <c r="BW29" s="845"/>
      <c r="BX29" s="846"/>
      <c r="BY29" s="846"/>
      <c r="BZ29" s="851"/>
      <c r="CA29" s="849"/>
      <c r="CB29" s="846"/>
      <c r="CC29" s="846"/>
      <c r="CD29" s="846"/>
      <c r="CE29" s="846"/>
      <c r="CF29" s="846"/>
      <c r="CG29" s="846"/>
      <c r="CH29" s="846"/>
      <c r="CI29" s="847"/>
      <c r="CJ29" s="845"/>
      <c r="CK29" s="846"/>
      <c r="CL29" s="847"/>
      <c r="CM29" s="845"/>
      <c r="CN29" s="846"/>
      <c r="CO29" s="847"/>
      <c r="CP29" s="845"/>
      <c r="CQ29" s="846"/>
      <c r="CR29" s="846"/>
      <c r="CS29" s="846"/>
      <c r="CT29" s="846"/>
      <c r="CU29" s="847"/>
      <c r="CV29" s="835"/>
      <c r="CW29" s="845"/>
      <c r="CX29" s="846"/>
      <c r="CY29" s="846"/>
      <c r="CZ29" s="851"/>
      <c r="DA29" s="849"/>
      <c r="DB29" s="846"/>
      <c r="DC29" s="846"/>
      <c r="DD29" s="846"/>
      <c r="DE29" s="846"/>
      <c r="DF29" s="846"/>
      <c r="DG29" s="846"/>
      <c r="DH29" s="846"/>
      <c r="DI29" s="847"/>
      <c r="DJ29" s="845"/>
      <c r="DK29" s="846"/>
      <c r="DL29" s="847"/>
      <c r="DM29" s="845"/>
      <c r="DN29" s="846"/>
      <c r="DO29" s="847"/>
      <c r="DP29" s="845"/>
      <c r="DQ29" s="846"/>
      <c r="DR29" s="846"/>
      <c r="DS29" s="846"/>
      <c r="DT29" s="846"/>
      <c r="DU29" s="847"/>
      <c r="DV29" s="835"/>
      <c r="DW29" s="845"/>
      <c r="DX29" s="846"/>
      <c r="DY29" s="846"/>
      <c r="DZ29" s="851"/>
      <c r="EA29" s="849"/>
      <c r="EB29" s="846"/>
      <c r="EC29" s="846"/>
      <c r="ED29" s="846"/>
      <c r="EE29" s="846"/>
      <c r="EF29" s="846"/>
      <c r="EG29" s="846"/>
      <c r="EH29" s="846"/>
      <c r="EI29" s="847"/>
      <c r="EJ29" s="845"/>
      <c r="EK29" s="846"/>
      <c r="EL29" s="847"/>
      <c r="EM29" s="845"/>
      <c r="EN29" s="846"/>
      <c r="EO29" s="847"/>
      <c r="EP29" s="845"/>
      <c r="EQ29" s="846"/>
      <c r="ER29" s="846"/>
      <c r="ES29" s="846"/>
      <c r="ET29" s="846"/>
      <c r="EU29" s="847"/>
      <c r="EV29" s="835"/>
      <c r="EW29" s="845"/>
      <c r="EX29" s="846"/>
      <c r="EY29" s="846"/>
      <c r="EZ29" s="851"/>
      <c r="FA29" s="849"/>
      <c r="FB29" s="846"/>
      <c r="FC29" s="846"/>
      <c r="FD29" s="846"/>
      <c r="FE29" s="846"/>
      <c r="FF29" s="846"/>
      <c r="FG29" s="846"/>
      <c r="FH29" s="846"/>
      <c r="FI29" s="847"/>
      <c r="FJ29" s="845"/>
      <c r="FK29" s="846"/>
      <c r="FL29" s="847"/>
      <c r="FM29" s="845"/>
      <c r="FN29" s="846"/>
      <c r="FO29" s="847"/>
      <c r="FP29" s="845"/>
      <c r="FQ29" s="846"/>
      <c r="FR29" s="846"/>
      <c r="FS29" s="846"/>
      <c r="FT29" s="846"/>
      <c r="FU29" s="847"/>
      <c r="FV29" s="835"/>
      <c r="FW29" s="845"/>
      <c r="FX29" s="846"/>
      <c r="FY29" s="846"/>
      <c r="FZ29" s="851"/>
      <c r="GA29" s="849"/>
      <c r="GB29" s="846"/>
      <c r="GC29" s="846"/>
      <c r="GD29" s="846"/>
      <c r="GE29" s="846"/>
      <c r="GF29" s="846"/>
      <c r="GG29" s="846"/>
      <c r="GH29" s="846"/>
      <c r="GI29" s="847"/>
      <c r="GJ29" s="845"/>
      <c r="GK29" s="846"/>
      <c r="GL29" s="847"/>
      <c r="GM29" s="845"/>
      <c r="GN29" s="846"/>
      <c r="GO29" s="847"/>
      <c r="GP29" s="845"/>
      <c r="GQ29" s="846"/>
      <c r="GR29" s="846"/>
      <c r="GS29" s="846"/>
      <c r="GT29" s="846"/>
      <c r="GU29" s="847"/>
      <c r="GV29" s="835"/>
      <c r="GW29" s="845"/>
      <c r="GX29" s="846"/>
      <c r="GY29" s="846"/>
      <c r="GZ29" s="851"/>
      <c r="HA29" s="849"/>
      <c r="HB29" s="846"/>
      <c r="HC29" s="846"/>
      <c r="HD29" s="846"/>
      <c r="HE29" s="846"/>
      <c r="HF29" s="846"/>
      <c r="HG29" s="846"/>
      <c r="HH29" s="846"/>
      <c r="HI29" s="847"/>
      <c r="HJ29" s="845"/>
      <c r="HK29" s="846"/>
      <c r="HL29" s="847"/>
      <c r="HM29" s="845"/>
      <c r="HN29" s="846"/>
      <c r="HO29" s="847"/>
      <c r="HP29" s="845"/>
      <c r="HQ29" s="846"/>
      <c r="HR29" s="846"/>
      <c r="HS29" s="846"/>
      <c r="HT29" s="846"/>
      <c r="HU29" s="847"/>
      <c r="HV29" s="835"/>
      <c r="HW29" s="845"/>
      <c r="HX29" s="846"/>
      <c r="HY29" s="846"/>
      <c r="HZ29" s="851"/>
      <c r="IA29" s="849"/>
      <c r="IB29" s="846"/>
      <c r="IC29" s="846"/>
      <c r="ID29" s="846"/>
      <c r="IE29" s="846"/>
      <c r="IF29" s="846"/>
      <c r="IG29" s="846"/>
      <c r="IH29" s="846"/>
      <c r="II29" s="847"/>
      <c r="IJ29" s="845"/>
      <c r="IK29" s="846"/>
      <c r="IL29" s="847"/>
      <c r="IM29" s="845"/>
      <c r="IN29" s="846"/>
      <c r="IO29" s="847"/>
      <c r="IP29" s="845"/>
      <c r="IQ29" s="846"/>
      <c r="IR29" s="846"/>
      <c r="IS29" s="846"/>
      <c r="IT29" s="846"/>
      <c r="IU29" s="847"/>
      <c r="IV29" s="835"/>
      <c r="IW29" s="845"/>
      <c r="IX29" s="846"/>
      <c r="IY29" s="846"/>
      <c r="IZ29" s="851"/>
    </row>
    <row r="30" spans="1:260" ht="15" customHeight="1" x14ac:dyDescent="0.25">
      <c r="A30" s="858" t="str">
        <f>IF(Z26&gt;=A26,$A$9,"")</f>
        <v/>
      </c>
      <c r="B30" s="806"/>
      <c r="C30" s="806"/>
      <c r="D30" s="806"/>
      <c r="E30" s="852"/>
      <c r="F30" s="805" t="str">
        <f>IF(Z26&gt;=A26,$F$9,"")</f>
        <v/>
      </c>
      <c r="G30" s="806"/>
      <c r="H30" s="806"/>
      <c r="I30" s="852"/>
      <c r="J30" s="811" t="str">
        <f>IF(Z26&gt;=A26,$J$9,"")</f>
        <v/>
      </c>
      <c r="K30" s="803" t="str">
        <f>IF(Z26&gt;=A26,$K$9,"")</f>
        <v/>
      </c>
      <c r="L30" s="803" t="str">
        <f>IF(Z26&gt;=A26,$L$9,"")</f>
        <v/>
      </c>
      <c r="M30" s="803" t="str">
        <f>IF(Z26&gt;=A26,$M$9,"")</f>
        <v/>
      </c>
      <c r="N30" s="803" t="str">
        <f>IF(Z26&gt;=A26,$N$9,"")</f>
        <v/>
      </c>
      <c r="O30" s="803" t="str">
        <f>IF(Z26&gt;=A26,$O$9,"")</f>
        <v/>
      </c>
      <c r="P30" s="803" t="str">
        <f>IF(Z26&gt;=A26,$P$9,"")</f>
        <v/>
      </c>
      <c r="Q30" s="803" t="str">
        <f>IF(Z26&gt;=A26,$Q$9,"")</f>
        <v/>
      </c>
      <c r="R30" s="803" t="str">
        <f>IF(Z26&gt;=A26,$R$9,"")</f>
        <v/>
      </c>
      <c r="S30" s="803" t="str">
        <f>IF(Z26&gt;=A26,$S$9,"")</f>
        <v/>
      </c>
      <c r="T30" s="803" t="str">
        <f>IF(Z26&gt;=A26,$T$9,"")</f>
        <v/>
      </c>
      <c r="U30" s="803" t="str">
        <f>IF(Z26&gt;=A26,$U$9,"")</f>
        <v/>
      </c>
      <c r="V30" s="803" t="str">
        <f>IF(Z26&gt;=A26,$V$9,"")</f>
        <v/>
      </c>
      <c r="W30" s="805" t="str">
        <f>IF(Z26&gt;=A26,$W$9,"")</f>
        <v/>
      </c>
      <c r="X30" s="806"/>
      <c r="Y30" s="806"/>
      <c r="Z30" s="807"/>
      <c r="AA30" s="858" t="str">
        <f>IF(AZ26&gt;=AA26,$A$9,"")</f>
        <v>Estilo</v>
      </c>
      <c r="AB30" s="806"/>
      <c r="AC30" s="806"/>
      <c r="AD30" s="806"/>
      <c r="AE30" s="852"/>
      <c r="AF30" s="805" t="str">
        <f>IF(AZ26&gt;=AA26,$F$9,"")</f>
        <v>Vendedor</v>
      </c>
      <c r="AG30" s="806"/>
      <c r="AH30" s="806"/>
      <c r="AI30" s="852"/>
      <c r="AJ30" s="811" t="str">
        <f>IF(AZ26&gt;=AA26,$J$9,"")</f>
        <v>C4</v>
      </c>
      <c r="AK30" s="803" t="str">
        <f>IF(AZ26&gt;=AA26,$K$9,"")</f>
        <v>C6 C13</v>
      </c>
      <c r="AL30" s="803" t="str">
        <f>IF(AZ26&gt;=AA26,$L$9,"")</f>
        <v>YXS C1</v>
      </c>
      <c r="AM30" s="803" t="str">
        <f>IF(AZ26&gt;=AA26,$M$9,"")</f>
        <v>YS C2</v>
      </c>
      <c r="AN30" s="803" t="str">
        <f>IF(AZ26&gt;=AA26,$N$9,"")</f>
        <v>YM C3</v>
      </c>
      <c r="AO30" s="803" t="str">
        <f>IF(AZ26&gt;=AA26,$O$9,"")</f>
        <v>YL C4</v>
      </c>
      <c r="AP30" s="803" t="str">
        <f>IF(AZ26&gt;=AA26,$P$9,"")</f>
        <v>XS A5</v>
      </c>
      <c r="AQ30" s="803" t="str">
        <f>IF(AZ26&gt;=AA26,$Q$9,"")</f>
        <v>S A6</v>
      </c>
      <c r="AR30" s="803" t="str">
        <f>IF(AZ26&gt;=AA26,$R$9,"")</f>
        <v>M A7</v>
      </c>
      <c r="AS30" s="803" t="str">
        <f>IF(AZ26&gt;=AA26,$S$9,"")</f>
        <v>L A8</v>
      </c>
      <c r="AT30" s="803" t="str">
        <f>IF(AZ26&gt;=AA26,$T$9,"")</f>
        <v>XL A9</v>
      </c>
      <c r="AU30" s="803" t="str">
        <f>IF(AZ26&gt;=AA26,$U$9,"")</f>
        <v>XXL A10</v>
      </c>
      <c r="AV30" s="803" t="str">
        <f>IF(AZ26&gt;=AA26,$V$9,"")</f>
        <v>1 Size</v>
      </c>
      <c r="AW30" s="805" t="str">
        <f>IF(AZ26&gt;=AA26,$W$9,"")</f>
        <v>Total</v>
      </c>
      <c r="AX30" s="806"/>
      <c r="AY30" s="806"/>
      <c r="AZ30" s="807"/>
      <c r="BA30" s="858" t="str">
        <f>IF(BZ26&gt;=BA26,$A$9,"")</f>
        <v/>
      </c>
      <c r="BB30" s="806"/>
      <c r="BC30" s="806"/>
      <c r="BD30" s="806"/>
      <c r="BE30" s="852"/>
      <c r="BF30" s="805" t="str">
        <f>IF(BZ26&gt;=BA26,$F$9,"")</f>
        <v/>
      </c>
      <c r="BG30" s="806"/>
      <c r="BH30" s="806"/>
      <c r="BI30" s="852"/>
      <c r="BJ30" s="811" t="str">
        <f>IF(BZ26&gt;=BA26,$J$9,"")</f>
        <v/>
      </c>
      <c r="BK30" s="803" t="str">
        <f>IF(BZ26&gt;=BA26,$K$9,"")</f>
        <v/>
      </c>
      <c r="BL30" s="803" t="str">
        <f>IF(BZ26&gt;=BA26,$L$9,"")</f>
        <v/>
      </c>
      <c r="BM30" s="803" t="str">
        <f>IF(BZ26&gt;=BA26,$M$9,"")</f>
        <v/>
      </c>
      <c r="BN30" s="803" t="str">
        <f>IF(BZ26&gt;=BA26,$N$9,"")</f>
        <v/>
      </c>
      <c r="BO30" s="803" t="str">
        <f>IF(BZ26&gt;=BA26,$O$9,"")</f>
        <v/>
      </c>
      <c r="BP30" s="803" t="str">
        <f>IF(BZ26&gt;=BA26,$P$9,"")</f>
        <v/>
      </c>
      <c r="BQ30" s="803" t="str">
        <f>IF(BZ26&gt;=BA26,$Q$9,"")</f>
        <v/>
      </c>
      <c r="BR30" s="803" t="str">
        <f>IF(BZ26&gt;=BA26,$R$9,"")</f>
        <v/>
      </c>
      <c r="BS30" s="803" t="str">
        <f>IF(BZ26&gt;=BA26,$S$9,"")</f>
        <v/>
      </c>
      <c r="BT30" s="803" t="str">
        <f>IF(BZ26&gt;=BA26,$T$9,"")</f>
        <v/>
      </c>
      <c r="BU30" s="803" t="str">
        <f>IF(BZ26&gt;=BA26,$U$9,"")</f>
        <v/>
      </c>
      <c r="BV30" s="803" t="str">
        <f>IF(BZ26&gt;=BA26,$V$9,"")</f>
        <v/>
      </c>
      <c r="BW30" s="805" t="str">
        <f>IF(BZ26&gt;=BA26,$W$9,"")</f>
        <v/>
      </c>
      <c r="BX30" s="806"/>
      <c r="BY30" s="806"/>
      <c r="BZ30" s="807"/>
      <c r="CA30" s="858" t="str">
        <f>IF(CZ26&gt;=CA26,$A$9,"")</f>
        <v/>
      </c>
      <c r="CB30" s="806"/>
      <c r="CC30" s="806"/>
      <c r="CD30" s="806"/>
      <c r="CE30" s="852"/>
      <c r="CF30" s="805" t="str">
        <f>IF(CZ26&gt;=CA26,$F$9,"")</f>
        <v/>
      </c>
      <c r="CG30" s="806"/>
      <c r="CH30" s="806"/>
      <c r="CI30" s="852"/>
      <c r="CJ30" s="811" t="str">
        <f>IF(CZ26&gt;=CA26,$J$9,"")</f>
        <v/>
      </c>
      <c r="CK30" s="803" t="str">
        <f>IF(CZ26&gt;=CA26,$K$9,"")</f>
        <v/>
      </c>
      <c r="CL30" s="803" t="str">
        <f>IF(CZ26&gt;=CA26,$L$9,"")</f>
        <v/>
      </c>
      <c r="CM30" s="803" t="str">
        <f>IF(CZ26&gt;=CA26,$M$9,"")</f>
        <v/>
      </c>
      <c r="CN30" s="803" t="str">
        <f>IF(CZ26&gt;=CA26,$N$9,"")</f>
        <v/>
      </c>
      <c r="CO30" s="803" t="str">
        <f>IF(CZ26&gt;=CA26,$O$9,"")</f>
        <v/>
      </c>
      <c r="CP30" s="803" t="str">
        <f>IF(CZ26&gt;=CA26,$P$9,"")</f>
        <v/>
      </c>
      <c r="CQ30" s="803" t="str">
        <f>IF(CZ26&gt;=CA26,$Q$9,"")</f>
        <v/>
      </c>
      <c r="CR30" s="803" t="str">
        <f>IF(CZ26&gt;=CA26,$R$9,"")</f>
        <v/>
      </c>
      <c r="CS30" s="803" t="str">
        <f>IF(CZ26&gt;=CA26,$S$9,"")</f>
        <v/>
      </c>
      <c r="CT30" s="803" t="str">
        <f>IF(CZ26&gt;=CA26,$T$9,"")</f>
        <v/>
      </c>
      <c r="CU30" s="803" t="str">
        <f>IF(CZ26&gt;=CA26,$U$9,"")</f>
        <v/>
      </c>
      <c r="CV30" s="803" t="str">
        <f>IF(CZ26&gt;=CA26,$V$9,"")</f>
        <v/>
      </c>
      <c r="CW30" s="805" t="str">
        <f>IF(CZ26&gt;=CA26,$W$9,"")</f>
        <v/>
      </c>
      <c r="CX30" s="806"/>
      <c r="CY30" s="806"/>
      <c r="CZ30" s="807"/>
      <c r="DA30" s="858" t="str">
        <f>IF(DZ26&gt;=DA26,$A$9,"")</f>
        <v/>
      </c>
      <c r="DB30" s="806"/>
      <c r="DC30" s="806"/>
      <c r="DD30" s="806"/>
      <c r="DE30" s="852"/>
      <c r="DF30" s="805" t="str">
        <f>IF(DZ26&gt;=DA26,$F$9,"")</f>
        <v/>
      </c>
      <c r="DG30" s="806"/>
      <c r="DH30" s="806"/>
      <c r="DI30" s="852"/>
      <c r="DJ30" s="811" t="str">
        <f>IF(DZ26&gt;=DA26,$J$9,"")</f>
        <v/>
      </c>
      <c r="DK30" s="803" t="str">
        <f>IF(DZ26&gt;=DA26,$K$9,"")</f>
        <v/>
      </c>
      <c r="DL30" s="803" t="str">
        <f>IF(DZ26&gt;=DA26,$L$9,"")</f>
        <v/>
      </c>
      <c r="DM30" s="803" t="str">
        <f>IF(DZ26&gt;=DA26,$M$9,"")</f>
        <v/>
      </c>
      <c r="DN30" s="803" t="str">
        <f>IF(DZ26&gt;=DA26,$N$9,"")</f>
        <v/>
      </c>
      <c r="DO30" s="803" t="str">
        <f>IF(DZ26&gt;=DA26,$O$9,"")</f>
        <v/>
      </c>
      <c r="DP30" s="803" t="str">
        <f>IF(DZ26&gt;=DA26,$P$9,"")</f>
        <v/>
      </c>
      <c r="DQ30" s="803" t="str">
        <f>IF(DZ26&gt;=DA26,$Q$9,"")</f>
        <v/>
      </c>
      <c r="DR30" s="803" t="str">
        <f>IF(DZ26&gt;=DA26,$R$9,"")</f>
        <v/>
      </c>
      <c r="DS30" s="803" t="str">
        <f>IF(DZ26&gt;=DA26,$S$9,"")</f>
        <v/>
      </c>
      <c r="DT30" s="803" t="str">
        <f>IF(DZ26&gt;=DA26,$T$9,"")</f>
        <v/>
      </c>
      <c r="DU30" s="803" t="str">
        <f>IF(DZ26&gt;=DA26,$U$9,"")</f>
        <v/>
      </c>
      <c r="DV30" s="803" t="str">
        <f>IF(DZ26&gt;=DA26,$V$9,"")</f>
        <v/>
      </c>
      <c r="DW30" s="805" t="str">
        <f>IF(DZ26&gt;=DA26,$W$9,"")</f>
        <v/>
      </c>
      <c r="DX30" s="806"/>
      <c r="DY30" s="806"/>
      <c r="DZ30" s="807"/>
      <c r="EA30" s="858" t="str">
        <f>IF(EZ26&gt;=EA26,$A$9,"")</f>
        <v/>
      </c>
      <c r="EB30" s="806"/>
      <c r="EC30" s="806"/>
      <c r="ED30" s="806"/>
      <c r="EE30" s="852"/>
      <c r="EF30" s="805" t="str">
        <f>IF(EZ26&gt;=EA26,$F$9,"")</f>
        <v/>
      </c>
      <c r="EG30" s="806"/>
      <c r="EH30" s="806"/>
      <c r="EI30" s="852"/>
      <c r="EJ30" s="811" t="str">
        <f>IF(EZ26&gt;=EA26,$J$9,"")</f>
        <v/>
      </c>
      <c r="EK30" s="803" t="str">
        <f>IF(EZ26&gt;=EA26,$K$9,"")</f>
        <v/>
      </c>
      <c r="EL30" s="803" t="str">
        <f>IF(EZ26&gt;=EA26,$L$9,"")</f>
        <v/>
      </c>
      <c r="EM30" s="803" t="str">
        <f>IF(EZ26&gt;=EA26,$M$9,"")</f>
        <v/>
      </c>
      <c r="EN30" s="803" t="str">
        <f>IF(EZ26&gt;=EA26,$N$9,"")</f>
        <v/>
      </c>
      <c r="EO30" s="803" t="str">
        <f>IF(EZ26&gt;=EA26,$O$9,"")</f>
        <v/>
      </c>
      <c r="EP30" s="803" t="str">
        <f>IF(EZ26&gt;=EA26,$P$9,"")</f>
        <v/>
      </c>
      <c r="EQ30" s="803" t="str">
        <f>IF(EZ26&gt;=EA26,$Q$9,"")</f>
        <v/>
      </c>
      <c r="ER30" s="803" t="str">
        <f>IF(EZ26&gt;=EA26,$R$9,"")</f>
        <v/>
      </c>
      <c r="ES30" s="803" t="str">
        <f>IF(EZ26&gt;=EA26,$S$9,"")</f>
        <v/>
      </c>
      <c r="ET30" s="803" t="str">
        <f>IF(EZ26&gt;=EA26,$T$9,"")</f>
        <v/>
      </c>
      <c r="EU30" s="803" t="str">
        <f>IF(EZ26&gt;=EA26,$U$9,"")</f>
        <v/>
      </c>
      <c r="EV30" s="803" t="str">
        <f>IF(EZ26&gt;=EA26,$V$9,"")</f>
        <v/>
      </c>
      <c r="EW30" s="805" t="str">
        <f>IF(EZ26&gt;=EA26,$W$9,"")</f>
        <v/>
      </c>
      <c r="EX30" s="806"/>
      <c r="EY30" s="806"/>
      <c r="EZ30" s="807"/>
      <c r="FA30" s="858" t="str">
        <f>IF(FZ26&gt;=FA26,$A$9,"")</f>
        <v/>
      </c>
      <c r="FB30" s="806"/>
      <c r="FC30" s="806"/>
      <c r="FD30" s="806"/>
      <c r="FE30" s="852"/>
      <c r="FF30" s="805" t="str">
        <f>IF(FZ26&gt;=FA26,$F$9,"")</f>
        <v/>
      </c>
      <c r="FG30" s="806"/>
      <c r="FH30" s="806"/>
      <c r="FI30" s="852"/>
      <c r="FJ30" s="811" t="str">
        <f>IF(FZ26&gt;=FA26,$J$9,"")</f>
        <v/>
      </c>
      <c r="FK30" s="803" t="str">
        <f>IF(FZ26&gt;=FA26,$K$9,"")</f>
        <v/>
      </c>
      <c r="FL30" s="803" t="str">
        <f>IF(FZ26&gt;=FA26,$L$9,"")</f>
        <v/>
      </c>
      <c r="FM30" s="803" t="str">
        <f>IF(FZ26&gt;=FA26,$M$9,"")</f>
        <v/>
      </c>
      <c r="FN30" s="803" t="str">
        <f>IF(FZ26&gt;=FA26,$N$9,"")</f>
        <v/>
      </c>
      <c r="FO30" s="803" t="str">
        <f>IF(FZ26&gt;=FA26,$O$9,"")</f>
        <v/>
      </c>
      <c r="FP30" s="803" t="str">
        <f>IF(FZ26&gt;=FA26,$P$9,"")</f>
        <v/>
      </c>
      <c r="FQ30" s="803" t="str">
        <f>IF(FZ26&gt;=FA26,$Q$9,"")</f>
        <v/>
      </c>
      <c r="FR30" s="803" t="str">
        <f>IF(FZ26&gt;=FA26,$R$9,"")</f>
        <v/>
      </c>
      <c r="FS30" s="803" t="str">
        <f>IF(FZ26&gt;=FA26,$S$9,"")</f>
        <v/>
      </c>
      <c r="FT30" s="803" t="str">
        <f>IF(FZ26&gt;=FA26,$T$9,"")</f>
        <v/>
      </c>
      <c r="FU30" s="803" t="str">
        <f>IF(FZ26&gt;=FA26,$U$9,"")</f>
        <v/>
      </c>
      <c r="FV30" s="803" t="str">
        <f>IF(FZ26&gt;=FA26,$V$9,"")</f>
        <v/>
      </c>
      <c r="FW30" s="805" t="str">
        <f>IF(FZ26&gt;=FA26,$W$9,"")</f>
        <v/>
      </c>
      <c r="FX30" s="806"/>
      <c r="FY30" s="806"/>
      <c r="FZ30" s="807"/>
      <c r="GA30" s="858" t="str">
        <f>IF(GZ26&gt;=GA26,$A$9,"")</f>
        <v/>
      </c>
      <c r="GB30" s="806"/>
      <c r="GC30" s="806"/>
      <c r="GD30" s="806"/>
      <c r="GE30" s="852"/>
      <c r="GF30" s="805" t="str">
        <f>IF(GZ26&gt;=GA26,$F$9,"")</f>
        <v/>
      </c>
      <c r="GG30" s="806"/>
      <c r="GH30" s="806"/>
      <c r="GI30" s="852"/>
      <c r="GJ30" s="811" t="str">
        <f>IF(GZ26&gt;=GA26,$J$9,"")</f>
        <v/>
      </c>
      <c r="GK30" s="803" t="str">
        <f>IF(GZ26&gt;=GA26,$K$9,"")</f>
        <v/>
      </c>
      <c r="GL30" s="803" t="str">
        <f>IF(GZ26&gt;=GA26,$L$9,"")</f>
        <v/>
      </c>
      <c r="GM30" s="803" t="str">
        <f>IF(GZ26&gt;=GA26,$M$9,"")</f>
        <v/>
      </c>
      <c r="GN30" s="803" t="str">
        <f>IF(GZ26&gt;=GA26,$N$9,"")</f>
        <v/>
      </c>
      <c r="GO30" s="803" t="str">
        <f>IF(GZ26&gt;=GA26,$O$9,"")</f>
        <v/>
      </c>
      <c r="GP30" s="803" t="str">
        <f>IF(GZ26&gt;=GA26,$P$9,"")</f>
        <v/>
      </c>
      <c r="GQ30" s="803" t="str">
        <f>IF(GZ26&gt;=GA26,$Q$9,"")</f>
        <v/>
      </c>
      <c r="GR30" s="803" t="str">
        <f>IF(GZ26&gt;=GA26,$R$9,"")</f>
        <v/>
      </c>
      <c r="GS30" s="803" t="str">
        <f>IF(GZ26&gt;=GA26,$S$9,"")</f>
        <v/>
      </c>
      <c r="GT30" s="803" t="str">
        <f>IF(GZ26&gt;=GA26,$T$9,"")</f>
        <v/>
      </c>
      <c r="GU30" s="803" t="str">
        <f>IF(GZ26&gt;=GA26,$U$9,"")</f>
        <v/>
      </c>
      <c r="GV30" s="803" t="str">
        <f>IF(GZ26&gt;=GA26,$V$9,"")</f>
        <v/>
      </c>
      <c r="GW30" s="805" t="str">
        <f>IF(GZ26&gt;=GA26,$W$9,"")</f>
        <v/>
      </c>
      <c r="GX30" s="806"/>
      <c r="GY30" s="806"/>
      <c r="GZ30" s="807"/>
      <c r="HA30" s="858" t="str">
        <f>IF(HZ26&gt;=HA26,$A$9,"")</f>
        <v/>
      </c>
      <c r="HB30" s="806"/>
      <c r="HC30" s="806"/>
      <c r="HD30" s="806"/>
      <c r="HE30" s="852"/>
      <c r="HF30" s="805" t="str">
        <f>IF(HZ26&gt;=HA26,$F$9,"")</f>
        <v/>
      </c>
      <c r="HG30" s="806"/>
      <c r="HH30" s="806"/>
      <c r="HI30" s="852"/>
      <c r="HJ30" s="811" t="str">
        <f>IF(HZ26&gt;=HA26,$J$9,"")</f>
        <v/>
      </c>
      <c r="HK30" s="803" t="str">
        <f>IF(HZ26&gt;=HA26,$K$9,"")</f>
        <v/>
      </c>
      <c r="HL30" s="803" t="str">
        <f>IF(HZ26&gt;=HA26,$L$9,"")</f>
        <v/>
      </c>
      <c r="HM30" s="803" t="str">
        <f>IF(HZ26&gt;=HA26,$M$9,"")</f>
        <v/>
      </c>
      <c r="HN30" s="803" t="str">
        <f>IF(HZ26&gt;=HA26,$N$9,"")</f>
        <v/>
      </c>
      <c r="HO30" s="803" t="str">
        <f>IF(HZ26&gt;=HA26,$O$9,"")</f>
        <v/>
      </c>
      <c r="HP30" s="803" t="str">
        <f>IF(HZ26&gt;=HA26,$P$9,"")</f>
        <v/>
      </c>
      <c r="HQ30" s="803" t="str">
        <f>IF(HZ26&gt;=HA26,$Q$9,"")</f>
        <v/>
      </c>
      <c r="HR30" s="803" t="str">
        <f>IF(HZ26&gt;=HA26,$R$9,"")</f>
        <v/>
      </c>
      <c r="HS30" s="803" t="str">
        <f>IF(HZ26&gt;=HA26,$S$9,"")</f>
        <v/>
      </c>
      <c r="HT30" s="803" t="str">
        <f>IF(HZ26&gt;=HA26,$T$9,"")</f>
        <v/>
      </c>
      <c r="HU30" s="803" t="str">
        <f>IF(HZ26&gt;=HA26,$U$9,"")</f>
        <v/>
      </c>
      <c r="HV30" s="803" t="str">
        <f>IF(HZ26&gt;=HA26,$V$9,"")</f>
        <v/>
      </c>
      <c r="HW30" s="805" t="str">
        <f>IF(HZ26&gt;=HA26,$W$9,"")</f>
        <v/>
      </c>
      <c r="HX30" s="806"/>
      <c r="HY30" s="806"/>
      <c r="HZ30" s="807"/>
      <c r="IA30" s="858" t="str">
        <f>IF(IZ26&gt;=IA26,$A$9,"")</f>
        <v/>
      </c>
      <c r="IB30" s="806"/>
      <c r="IC30" s="806"/>
      <c r="ID30" s="806"/>
      <c r="IE30" s="852"/>
      <c r="IF30" s="805" t="str">
        <f>IF(IZ26&gt;=IA26,$F$9,"")</f>
        <v/>
      </c>
      <c r="IG30" s="806"/>
      <c r="IH30" s="806"/>
      <c r="II30" s="852"/>
      <c r="IJ30" s="811" t="str">
        <f>IF(IZ26&gt;=IA26,$J$9,"")</f>
        <v/>
      </c>
      <c r="IK30" s="803" t="str">
        <f>IF(IZ26&gt;=IA26,$K$9,"")</f>
        <v/>
      </c>
      <c r="IL30" s="803" t="str">
        <f>IF(IZ26&gt;=IA26,$L$9,"")</f>
        <v/>
      </c>
      <c r="IM30" s="803" t="str">
        <f>IF(IZ26&gt;=IA26,$M$9,"")</f>
        <v/>
      </c>
      <c r="IN30" s="803" t="str">
        <f>IF(IZ26&gt;=IA26,$N$9,"")</f>
        <v/>
      </c>
      <c r="IO30" s="803" t="str">
        <f>IF(IZ26&gt;=IA26,$O$9,"")</f>
        <v/>
      </c>
      <c r="IP30" s="803" t="str">
        <f>IF(IZ26&gt;=IA26,$P$9,"")</f>
        <v/>
      </c>
      <c r="IQ30" s="803" t="str">
        <f>IF(IZ26&gt;=IA26,$Q$9,"")</f>
        <v/>
      </c>
      <c r="IR30" s="803" t="str">
        <f>IF(IZ26&gt;=IA26,$R$9,"")</f>
        <v/>
      </c>
      <c r="IS30" s="803" t="str">
        <f>IF(IZ26&gt;=IA26,$S$9,"")</f>
        <v/>
      </c>
      <c r="IT30" s="803" t="str">
        <f>IF(IZ26&gt;=IA26,$T$9,"")</f>
        <v/>
      </c>
      <c r="IU30" s="803" t="str">
        <f>IF(IZ26&gt;=IA26,$U$9,"")</f>
        <v/>
      </c>
      <c r="IV30" s="803" t="str">
        <f>IF(IZ26&gt;=IA26,$V$9,"")</f>
        <v/>
      </c>
      <c r="IW30" s="805" t="str">
        <f>IF(IZ26&gt;=IA26,$W$9,"")</f>
        <v/>
      </c>
      <c r="IX30" s="806"/>
      <c r="IY30" s="806"/>
      <c r="IZ30" s="807"/>
    </row>
    <row r="31" spans="1:260" x14ac:dyDescent="0.25">
      <c r="A31" s="859"/>
      <c r="B31" s="809"/>
      <c r="C31" s="809"/>
      <c r="D31" s="809"/>
      <c r="E31" s="853"/>
      <c r="F31" s="808"/>
      <c r="G31" s="809"/>
      <c r="H31" s="809"/>
      <c r="I31" s="853"/>
      <c r="J31" s="812"/>
      <c r="K31" s="804"/>
      <c r="L31" s="804"/>
      <c r="M31" s="804"/>
      <c r="N31" s="804"/>
      <c r="O31" s="804"/>
      <c r="P31" s="804"/>
      <c r="Q31" s="804"/>
      <c r="R31" s="804"/>
      <c r="S31" s="804"/>
      <c r="T31" s="804"/>
      <c r="U31" s="804"/>
      <c r="V31" s="804"/>
      <c r="W31" s="808"/>
      <c r="X31" s="809"/>
      <c r="Y31" s="809"/>
      <c r="Z31" s="810"/>
      <c r="AA31" s="859"/>
      <c r="AB31" s="809"/>
      <c r="AC31" s="809"/>
      <c r="AD31" s="809"/>
      <c r="AE31" s="853"/>
      <c r="AF31" s="808"/>
      <c r="AG31" s="809"/>
      <c r="AH31" s="809"/>
      <c r="AI31" s="853"/>
      <c r="AJ31" s="812"/>
      <c r="AK31" s="804"/>
      <c r="AL31" s="804"/>
      <c r="AM31" s="804"/>
      <c r="AN31" s="804"/>
      <c r="AO31" s="804"/>
      <c r="AP31" s="804"/>
      <c r="AQ31" s="804"/>
      <c r="AR31" s="804"/>
      <c r="AS31" s="804"/>
      <c r="AT31" s="804"/>
      <c r="AU31" s="804"/>
      <c r="AV31" s="804"/>
      <c r="AW31" s="808"/>
      <c r="AX31" s="809"/>
      <c r="AY31" s="809"/>
      <c r="AZ31" s="810"/>
      <c r="BA31" s="859"/>
      <c r="BB31" s="809"/>
      <c r="BC31" s="809"/>
      <c r="BD31" s="809"/>
      <c r="BE31" s="853"/>
      <c r="BF31" s="808"/>
      <c r="BG31" s="809"/>
      <c r="BH31" s="809"/>
      <c r="BI31" s="853"/>
      <c r="BJ31" s="812"/>
      <c r="BK31" s="804"/>
      <c r="BL31" s="804"/>
      <c r="BM31" s="804"/>
      <c r="BN31" s="804"/>
      <c r="BO31" s="804"/>
      <c r="BP31" s="804"/>
      <c r="BQ31" s="804"/>
      <c r="BR31" s="804"/>
      <c r="BS31" s="804"/>
      <c r="BT31" s="804"/>
      <c r="BU31" s="804"/>
      <c r="BV31" s="804"/>
      <c r="BW31" s="808"/>
      <c r="BX31" s="809"/>
      <c r="BY31" s="809"/>
      <c r="BZ31" s="810"/>
      <c r="CA31" s="859"/>
      <c r="CB31" s="809"/>
      <c r="CC31" s="809"/>
      <c r="CD31" s="809"/>
      <c r="CE31" s="853"/>
      <c r="CF31" s="808"/>
      <c r="CG31" s="809"/>
      <c r="CH31" s="809"/>
      <c r="CI31" s="853"/>
      <c r="CJ31" s="812"/>
      <c r="CK31" s="804"/>
      <c r="CL31" s="804"/>
      <c r="CM31" s="804"/>
      <c r="CN31" s="804"/>
      <c r="CO31" s="804"/>
      <c r="CP31" s="804"/>
      <c r="CQ31" s="804"/>
      <c r="CR31" s="804"/>
      <c r="CS31" s="804"/>
      <c r="CT31" s="804"/>
      <c r="CU31" s="804"/>
      <c r="CV31" s="804"/>
      <c r="CW31" s="808"/>
      <c r="CX31" s="809"/>
      <c r="CY31" s="809"/>
      <c r="CZ31" s="810"/>
      <c r="DA31" s="859"/>
      <c r="DB31" s="809"/>
      <c r="DC31" s="809"/>
      <c r="DD31" s="809"/>
      <c r="DE31" s="853"/>
      <c r="DF31" s="808"/>
      <c r="DG31" s="809"/>
      <c r="DH31" s="809"/>
      <c r="DI31" s="853"/>
      <c r="DJ31" s="812"/>
      <c r="DK31" s="804"/>
      <c r="DL31" s="804"/>
      <c r="DM31" s="804"/>
      <c r="DN31" s="804"/>
      <c r="DO31" s="804"/>
      <c r="DP31" s="804"/>
      <c r="DQ31" s="804"/>
      <c r="DR31" s="804"/>
      <c r="DS31" s="804"/>
      <c r="DT31" s="804"/>
      <c r="DU31" s="804"/>
      <c r="DV31" s="804"/>
      <c r="DW31" s="808"/>
      <c r="DX31" s="809"/>
      <c r="DY31" s="809"/>
      <c r="DZ31" s="810"/>
      <c r="EA31" s="859"/>
      <c r="EB31" s="809"/>
      <c r="EC31" s="809"/>
      <c r="ED31" s="809"/>
      <c r="EE31" s="853"/>
      <c r="EF31" s="808"/>
      <c r="EG31" s="809"/>
      <c r="EH31" s="809"/>
      <c r="EI31" s="853"/>
      <c r="EJ31" s="812"/>
      <c r="EK31" s="804"/>
      <c r="EL31" s="804"/>
      <c r="EM31" s="804"/>
      <c r="EN31" s="804"/>
      <c r="EO31" s="804"/>
      <c r="EP31" s="804"/>
      <c r="EQ31" s="804"/>
      <c r="ER31" s="804"/>
      <c r="ES31" s="804"/>
      <c r="ET31" s="804"/>
      <c r="EU31" s="804"/>
      <c r="EV31" s="804"/>
      <c r="EW31" s="808"/>
      <c r="EX31" s="809"/>
      <c r="EY31" s="809"/>
      <c r="EZ31" s="810"/>
      <c r="FA31" s="859"/>
      <c r="FB31" s="809"/>
      <c r="FC31" s="809"/>
      <c r="FD31" s="809"/>
      <c r="FE31" s="853"/>
      <c r="FF31" s="808"/>
      <c r="FG31" s="809"/>
      <c r="FH31" s="809"/>
      <c r="FI31" s="853"/>
      <c r="FJ31" s="812"/>
      <c r="FK31" s="804"/>
      <c r="FL31" s="804"/>
      <c r="FM31" s="804"/>
      <c r="FN31" s="804"/>
      <c r="FO31" s="804"/>
      <c r="FP31" s="804"/>
      <c r="FQ31" s="804"/>
      <c r="FR31" s="804"/>
      <c r="FS31" s="804"/>
      <c r="FT31" s="804"/>
      <c r="FU31" s="804"/>
      <c r="FV31" s="804"/>
      <c r="FW31" s="808"/>
      <c r="FX31" s="809"/>
      <c r="FY31" s="809"/>
      <c r="FZ31" s="810"/>
      <c r="GA31" s="859"/>
      <c r="GB31" s="809"/>
      <c r="GC31" s="809"/>
      <c r="GD31" s="809"/>
      <c r="GE31" s="853"/>
      <c r="GF31" s="808"/>
      <c r="GG31" s="809"/>
      <c r="GH31" s="809"/>
      <c r="GI31" s="853"/>
      <c r="GJ31" s="812"/>
      <c r="GK31" s="804"/>
      <c r="GL31" s="804"/>
      <c r="GM31" s="804"/>
      <c r="GN31" s="804"/>
      <c r="GO31" s="804"/>
      <c r="GP31" s="804"/>
      <c r="GQ31" s="804"/>
      <c r="GR31" s="804"/>
      <c r="GS31" s="804"/>
      <c r="GT31" s="804"/>
      <c r="GU31" s="804"/>
      <c r="GV31" s="804"/>
      <c r="GW31" s="808"/>
      <c r="GX31" s="809"/>
      <c r="GY31" s="809"/>
      <c r="GZ31" s="810"/>
      <c r="HA31" s="859"/>
      <c r="HB31" s="809"/>
      <c r="HC31" s="809"/>
      <c r="HD31" s="809"/>
      <c r="HE31" s="853"/>
      <c r="HF31" s="808"/>
      <c r="HG31" s="809"/>
      <c r="HH31" s="809"/>
      <c r="HI31" s="853"/>
      <c r="HJ31" s="812"/>
      <c r="HK31" s="804"/>
      <c r="HL31" s="804"/>
      <c r="HM31" s="804"/>
      <c r="HN31" s="804"/>
      <c r="HO31" s="804"/>
      <c r="HP31" s="804"/>
      <c r="HQ31" s="804"/>
      <c r="HR31" s="804"/>
      <c r="HS31" s="804"/>
      <c r="HT31" s="804"/>
      <c r="HU31" s="804"/>
      <c r="HV31" s="804"/>
      <c r="HW31" s="808"/>
      <c r="HX31" s="809"/>
      <c r="HY31" s="809"/>
      <c r="HZ31" s="810"/>
      <c r="IA31" s="859"/>
      <c r="IB31" s="809"/>
      <c r="IC31" s="809"/>
      <c r="ID31" s="809"/>
      <c r="IE31" s="853"/>
      <c r="IF31" s="808"/>
      <c r="IG31" s="809"/>
      <c r="IH31" s="809"/>
      <c r="II31" s="853"/>
      <c r="IJ31" s="812"/>
      <c r="IK31" s="804"/>
      <c r="IL31" s="804"/>
      <c r="IM31" s="804"/>
      <c r="IN31" s="804"/>
      <c r="IO31" s="804"/>
      <c r="IP31" s="804"/>
      <c r="IQ31" s="804"/>
      <c r="IR31" s="804"/>
      <c r="IS31" s="804"/>
      <c r="IT31" s="804"/>
      <c r="IU31" s="804"/>
      <c r="IV31" s="804"/>
      <c r="IW31" s="808"/>
      <c r="IX31" s="809"/>
      <c r="IY31" s="809"/>
      <c r="IZ31" s="810"/>
    </row>
    <row r="32" spans="1:260" x14ac:dyDescent="0.25">
      <c r="A32" s="854" t="str">
        <f>IFERROR(INDEX(Lista_Pedidos,Procesos!Y26+A26-1,3),"")</f>
        <v/>
      </c>
      <c r="B32" s="855"/>
      <c r="C32" s="855"/>
      <c r="D32" s="855"/>
      <c r="E32" s="856"/>
      <c r="F32" s="857" t="str">
        <f>IF(Z26&gt;A26-1,E$11,"")</f>
        <v/>
      </c>
      <c r="G32" s="855"/>
      <c r="H32" s="855"/>
      <c r="I32" s="856"/>
      <c r="J32" s="526" t="str">
        <f>IFERROR(IF(IF(Z26&gt;A26-1,INDEX(Lista_Pedidos,Y26+A26-1,J26),"")=0,"",IF(Z26&gt;A26-1,INDEX(Lista_Pedidos,Y26+A26-1,J26),"")),"")</f>
        <v/>
      </c>
      <c r="K32" s="526" t="str">
        <f>IFERROR(IF(IF(Z26&gt;A26-1,INDEX(Lista_Pedidos,Y26+A26-1,K26),"")=0,"",IF(Z26&gt;A26-1,INDEX(Lista_Pedidos,Y26+A26-1,K26),"")),"")</f>
        <v/>
      </c>
      <c r="L32" s="526" t="str">
        <f>IFERROR(IF(IF(Z26&gt;A26-1,INDEX(Lista_Pedidos,Y26+A26-1,L26),"")=0,"",IF(Z26&gt;A26-1,INDEX(Lista_Pedidos,Y26+A26-1,L26),"")),"")</f>
        <v/>
      </c>
      <c r="M32" s="526" t="str">
        <f>IFERROR(IF(IF(Z26&gt;A26-1,INDEX(Lista_Pedidos,Y26+A26-1,M26),"")=0,"",IF(Z26&gt;A26-1,INDEX(Lista_Pedidos,Y26+A26-1,M26),"")),"")</f>
        <v/>
      </c>
      <c r="N32" s="526" t="str">
        <f>IFERROR(IF(IF(Z26&gt;A26-1,INDEX(Lista_Pedidos,Y26+A26-1,N26),"")=0,"",IF(Z26&gt;A26-1,INDEX(Lista_Pedidos,Y26+A26-1,N26),"")),"")</f>
        <v/>
      </c>
      <c r="O32" s="526" t="str">
        <f>IFERROR(IF(IF(Z26&gt;A26-1,INDEX(Lista_Pedidos,Y26+A26-1,O26),"")=0,"",IF(Z26&gt;A26-1,INDEX(Lista_Pedidos,Y26+A26-1,O26),"")),"")</f>
        <v/>
      </c>
      <c r="P32" s="526" t="str">
        <f>IFERROR(IF(IF(Z26&gt;A26-1,INDEX(Lista_Pedidos,Y26+A26-1,P26),"")=0,"",IF(Z26&gt;A26-1,INDEX(Lista_Pedidos,Y26+A26-1,P26),"")),"")</f>
        <v/>
      </c>
      <c r="Q32" s="526" t="str">
        <f>IFERROR(IF(IF(Z26&gt;A26-1,INDEX(Lista_Pedidos,Y26+A26-1,Q26),"")=0,"",IF(Z26&gt;A26-1,INDEX(Lista_Pedidos,Y26+A26-1,Q26),"")),"")</f>
        <v/>
      </c>
      <c r="R32" s="526" t="str">
        <f>IFERROR(IF(IF(Z26&gt;A26-1,INDEX(Lista_Pedidos,Y26+A26-1,R26),"")=0,"",IF(Z26&gt;A26-1,INDEX(Lista_Pedidos,Y26+A26-1,R26),"")),"")</f>
        <v/>
      </c>
      <c r="S32" s="526" t="str">
        <f>IFERROR(IF(IF(Z26&gt;A26-1,INDEX(Lista_Pedidos,Y26+A26-1,S26),"")=0,"",IF(Z26&gt;A26-1,INDEX(Lista_Pedidos,Y26+A26-1,S26),"")),"")</f>
        <v/>
      </c>
      <c r="T32" s="526" t="str">
        <f>IFERROR(IF(IF(Z26&gt;A26-1,INDEX(Lista_Pedidos,Y26+A26-1,T26),"")=0,"",IF(Z26&gt;A26-1,INDEX(Lista_Pedidos,Y26+A26-1,T26),"")),"")</f>
        <v/>
      </c>
      <c r="U32" s="526" t="str">
        <f>IFERROR(IF(IF(Z26&gt;A26-1,INDEX(Lista_Pedidos,Y26+A26-1,U26),"")=0,"",IF(Z26&gt;A26-1,INDEX(Lista_Pedidos,Y26+A26-1,U26),"")),"")</f>
        <v/>
      </c>
      <c r="V32" s="526" t="str">
        <f>IFERROR(IF(IF(Z26&gt;A26-1,INDEX(Lista_Pedidos,Y26+A26-1,V26),"")=0,"",IF(Z26&gt;A26-1,INDEX(Lista_Pedidos,Y26+A26-1,V26),"")),"")</f>
        <v/>
      </c>
      <c r="W32" s="857" t="str">
        <f>IF(SUM(J32:V32)&gt;1,SUM(J32:V32),"")</f>
        <v/>
      </c>
      <c r="X32" s="855"/>
      <c r="Y32" s="855"/>
      <c r="Z32" s="860"/>
      <c r="AA32" s="854" t="str">
        <f>IFERROR(INDEX(Lista_Pedidos,Procesos!AY26+AA26-1,3),"")</f>
        <v>SLD SUB</v>
      </c>
      <c r="AB32" s="855"/>
      <c r="AC32" s="855"/>
      <c r="AD32" s="855"/>
      <c r="AE32" s="856"/>
      <c r="AF32" s="857">
        <f>IF(AZ26&gt;AA26-1,AE$11,"")</f>
        <v>0</v>
      </c>
      <c r="AG32" s="855"/>
      <c r="AH32" s="855"/>
      <c r="AI32" s="856"/>
      <c r="AJ32" s="526" t="str">
        <f>IFERROR(IF(IF(AZ26&gt;AA26-1,INDEX(Lista_Pedidos,AY26+AA26-1,AJ26),"")=0,"",IF(AZ26&gt;AA26-1,INDEX(Lista_Pedidos,AY26+AA26-1,AJ26),"")),"")</f>
        <v/>
      </c>
      <c r="AK32" s="526" t="str">
        <f>IFERROR(IF(IF(AZ26&gt;AA26-1,INDEX(Lista_Pedidos,AY26+AA26-1,AK26),"")=0,"",IF(AZ26&gt;AA26-1,INDEX(Lista_Pedidos,AY26+AA26-1,AK26),"")),"")</f>
        <v/>
      </c>
      <c r="AL32" s="526" t="str">
        <f>IFERROR(IF(IF(AZ26&gt;AA26-1,INDEX(Lista_Pedidos,AY26+AA26-1,AL26),"")=0,"",IF(AZ26&gt;AA26-1,INDEX(Lista_Pedidos,AY26+AA26-1,AL26),"")),"")</f>
        <v/>
      </c>
      <c r="AM32" s="526" t="str">
        <f>IFERROR(IF(IF(AZ26&gt;AA26-1,INDEX(Lista_Pedidos,AY26+AA26-1,AM26),"")=0,"",IF(AZ26&gt;AA26-1,INDEX(Lista_Pedidos,AY26+AA26-1,AM26),"")),"")</f>
        <v/>
      </c>
      <c r="AN32" s="526" t="str">
        <f>IFERROR(IF(IF(AZ26&gt;AA26-1,INDEX(Lista_Pedidos,AY26+AA26-1,AN26),"")=0,"",IF(AZ26&gt;AA26-1,INDEX(Lista_Pedidos,AY26+AA26-1,AN26),"")),"")</f>
        <v/>
      </c>
      <c r="AO32" s="526" t="str">
        <f>IFERROR(IF(IF(AZ26&gt;AA26-1,INDEX(Lista_Pedidos,AY26+AA26-1,AO26),"")=0,"",IF(AZ26&gt;AA26-1,INDEX(Lista_Pedidos,AY26+AA26-1,AO26),"")),"")</f>
        <v/>
      </c>
      <c r="AP32" s="526" t="str">
        <f>IFERROR(IF(IF(AZ26&gt;AA26-1,INDEX(Lista_Pedidos,AY26+AA26-1,AP26),"")=0,"",IF(AZ26&gt;AA26-1,INDEX(Lista_Pedidos,AY26+AA26-1,AP26),"")),"")</f>
        <v/>
      </c>
      <c r="AQ32" s="526" t="str">
        <f>IFERROR(IF(IF(AZ26&gt;AA26-1,INDEX(Lista_Pedidos,AY26+AA26-1,AQ26),"")=0,"",IF(AZ26&gt;AA26-1,INDEX(Lista_Pedidos,AY26+AA26-1,AQ26),"")),"")</f>
        <v/>
      </c>
      <c r="AR32" s="526" t="str">
        <f>IFERROR(IF(IF(AZ26&gt;AA26-1,INDEX(Lista_Pedidos,AY26+AA26-1,AR26),"")=0,"",IF(AZ26&gt;AA26-1,INDEX(Lista_Pedidos,AY26+AA26-1,AR26),"")),"")</f>
        <v/>
      </c>
      <c r="AS32" s="526" t="str">
        <f>IFERROR(IF(IF(AZ26&gt;AA26-1,INDEX(Lista_Pedidos,AY26+AA26-1,AS26),"")=0,"",IF(AZ26&gt;AA26-1,INDEX(Lista_Pedidos,AY26+AA26-1,AS26),"")),"")</f>
        <v/>
      </c>
      <c r="AT32" s="526" t="str">
        <f>IFERROR(IF(IF(AZ26&gt;AA26-1,INDEX(Lista_Pedidos,AY26+AA26-1,AT26),"")=0,"",IF(AZ26&gt;AA26-1,INDEX(Lista_Pedidos,AY26+AA26-1,AT26),"")),"")</f>
        <v/>
      </c>
      <c r="AU32" s="526" t="str">
        <f>IFERROR(IF(IF(AZ26&gt;AA26-1,INDEX(Lista_Pedidos,AY26+AA26-1,AU26),"")=0,"",IF(AZ26&gt;AA26-1,INDEX(Lista_Pedidos,AY26+AA26-1,AU26),"")),"")</f>
        <v/>
      </c>
      <c r="AV32" s="526">
        <f>IFERROR(IF(IF(AZ26&gt;AA26-1,INDEX(Lista_Pedidos,AY26+AA26-1,AV26),"")=0,"",IF(AZ26&gt;AA26-1,INDEX(Lista_Pedidos,AY26+AA26-1,AV26),"")),"")</f>
        <v>7</v>
      </c>
      <c r="AW32" s="857">
        <f>IF(SUM(AJ32:AV32)&gt;1,SUM(AJ32:AV32),"")</f>
        <v>7</v>
      </c>
      <c r="AX32" s="855"/>
      <c r="AY32" s="855"/>
      <c r="AZ32" s="860"/>
      <c r="BA32" s="854" t="str">
        <f>IFERROR(INDEX(Lista_Pedidos,Procesos!BY26+BA26-1,3),"")</f>
        <v/>
      </c>
      <c r="BB32" s="855"/>
      <c r="BC32" s="855"/>
      <c r="BD32" s="855"/>
      <c r="BE32" s="856"/>
      <c r="BF32" s="857" t="str">
        <f>IF(BZ26&gt;BA26-1,BE$11,"")</f>
        <v/>
      </c>
      <c r="BG32" s="855"/>
      <c r="BH32" s="855"/>
      <c r="BI32" s="856"/>
      <c r="BJ32" s="526" t="str">
        <f>IFERROR(IF(IF(BZ26&gt;BA26-1,INDEX(Lista_Pedidos,BY26+BA26-1,BJ26),"")=0,"",IF(BZ26&gt;BA26-1,INDEX(Lista_Pedidos,BY26+BA26-1,BJ26),"")),"")</f>
        <v/>
      </c>
      <c r="BK32" s="526" t="str">
        <f>IFERROR(IF(IF(BZ26&gt;BA26-1,INDEX(Lista_Pedidos,BY26+BA26-1,BK26),"")=0,"",IF(BZ26&gt;BA26-1,INDEX(Lista_Pedidos,BY26+BA26-1,BK26),"")),"")</f>
        <v/>
      </c>
      <c r="BL32" s="526" t="str">
        <f>IFERROR(IF(IF(BZ26&gt;BA26-1,INDEX(Lista_Pedidos,BY26+BA26-1,BL26),"")=0,"",IF(BZ26&gt;BA26-1,INDEX(Lista_Pedidos,BY26+BA26-1,BL26),"")),"")</f>
        <v/>
      </c>
      <c r="BM32" s="526" t="str">
        <f>IFERROR(IF(IF(BZ26&gt;BA26-1,INDEX(Lista_Pedidos,BY26+BA26-1,BM26),"")=0,"",IF(BZ26&gt;BA26-1,INDEX(Lista_Pedidos,BY26+BA26-1,BM26),"")),"")</f>
        <v/>
      </c>
      <c r="BN32" s="526" t="str">
        <f>IFERROR(IF(IF(BZ26&gt;BA26-1,INDEX(Lista_Pedidos,BY26+BA26-1,BN26),"")=0,"",IF(BZ26&gt;BA26-1,INDEX(Lista_Pedidos,BY26+BA26-1,BN26),"")),"")</f>
        <v/>
      </c>
      <c r="BO32" s="526" t="str">
        <f>IFERROR(IF(IF(BZ26&gt;BA26-1,INDEX(Lista_Pedidos,BY26+BA26-1,BO26),"")=0,"",IF(BZ26&gt;BA26-1,INDEX(Lista_Pedidos,BY26+BA26-1,BO26),"")),"")</f>
        <v/>
      </c>
      <c r="BP32" s="526" t="str">
        <f>IFERROR(IF(IF(BZ26&gt;BA26-1,INDEX(Lista_Pedidos,BY26+BA26-1,BP26),"")=0,"",IF(BZ26&gt;BA26-1,INDEX(Lista_Pedidos,BY26+BA26-1,BP26),"")),"")</f>
        <v/>
      </c>
      <c r="BQ32" s="526" t="str">
        <f>IFERROR(IF(IF(BZ26&gt;BA26-1,INDEX(Lista_Pedidos,BY26+BA26-1,BQ26),"")=0,"",IF(BZ26&gt;BA26-1,INDEX(Lista_Pedidos,BY26+BA26-1,BQ26),"")),"")</f>
        <v/>
      </c>
      <c r="BR32" s="526" t="str">
        <f>IFERROR(IF(IF(BZ26&gt;BA26-1,INDEX(Lista_Pedidos,BY26+BA26-1,BR26),"")=0,"",IF(BZ26&gt;BA26-1,INDEX(Lista_Pedidos,BY26+BA26-1,BR26),"")),"")</f>
        <v/>
      </c>
      <c r="BS32" s="526" t="str">
        <f>IFERROR(IF(IF(BZ26&gt;BA26-1,INDEX(Lista_Pedidos,BY26+BA26-1,BS26),"")=0,"",IF(BZ26&gt;BA26-1,INDEX(Lista_Pedidos,BY26+BA26-1,BS26),"")),"")</f>
        <v/>
      </c>
      <c r="BT32" s="526" t="str">
        <f>IFERROR(IF(IF(BZ26&gt;BA26-1,INDEX(Lista_Pedidos,BY26+BA26-1,BT26),"")=0,"",IF(BZ26&gt;BA26-1,INDEX(Lista_Pedidos,BY26+BA26-1,BT26),"")),"")</f>
        <v/>
      </c>
      <c r="BU32" s="526" t="str">
        <f>IFERROR(IF(IF(BZ26&gt;BA26-1,INDEX(Lista_Pedidos,BY26+BA26-1,BU26),"")=0,"",IF(BZ26&gt;BA26-1,INDEX(Lista_Pedidos,BY26+BA26-1,BU26),"")),"")</f>
        <v/>
      </c>
      <c r="BV32" s="526" t="str">
        <f>IFERROR(IF(IF(BZ26&gt;BA26-1,INDEX(Lista_Pedidos,BY26+BA26-1,BV26),"")=0,"",IF(BZ26&gt;BA26-1,INDEX(Lista_Pedidos,BY26+BA26-1,BV26),"")),"")</f>
        <v/>
      </c>
      <c r="BW32" s="857" t="str">
        <f>IF(SUM(BJ32:BV32)&gt;1,SUM(BJ32:BV32),"")</f>
        <v/>
      </c>
      <c r="BX32" s="855"/>
      <c r="BY32" s="855"/>
      <c r="BZ32" s="860"/>
      <c r="CA32" s="854" t="str">
        <f>IFERROR(INDEX(Lista_Pedidos,Procesos!CY26+CA26-1,3),"")</f>
        <v/>
      </c>
      <c r="CB32" s="855"/>
      <c r="CC32" s="855"/>
      <c r="CD32" s="855"/>
      <c r="CE32" s="856"/>
      <c r="CF32" s="857" t="str">
        <f>IF(CZ26&gt;CA26-1,CE$11,"")</f>
        <v/>
      </c>
      <c r="CG32" s="855"/>
      <c r="CH32" s="855"/>
      <c r="CI32" s="856"/>
      <c r="CJ32" s="526" t="str">
        <f>IFERROR(IF(IF(CZ26&gt;CA26-1,INDEX(Lista_Pedidos,CY26+CA26-1,CJ26),"")=0,"",IF(CZ26&gt;CA26-1,INDEX(Lista_Pedidos,CY26+CA26-1,CJ26),"")),"")</f>
        <v/>
      </c>
      <c r="CK32" s="526" t="str">
        <f>IFERROR(IF(IF(CZ26&gt;CA26-1,INDEX(Lista_Pedidos,CY26+CA26-1,CK26),"")=0,"",IF(CZ26&gt;CA26-1,INDEX(Lista_Pedidos,CY26+CA26-1,CK26),"")),"")</f>
        <v/>
      </c>
      <c r="CL32" s="526" t="str">
        <f>IFERROR(IF(IF(CZ26&gt;CA26-1,INDEX(Lista_Pedidos,CY26+CA26-1,CL26),"")=0,"",IF(CZ26&gt;CA26-1,INDEX(Lista_Pedidos,CY26+CA26-1,CL26),"")),"")</f>
        <v/>
      </c>
      <c r="CM32" s="526" t="str">
        <f>IFERROR(IF(IF(CZ26&gt;CA26-1,INDEX(Lista_Pedidos,CY26+CA26-1,CM26),"")=0,"",IF(CZ26&gt;CA26-1,INDEX(Lista_Pedidos,CY26+CA26-1,CM26),"")),"")</f>
        <v/>
      </c>
      <c r="CN32" s="526" t="str">
        <f>IFERROR(IF(IF(CZ26&gt;CA26-1,INDEX(Lista_Pedidos,CY26+CA26-1,CN26),"")=0,"",IF(CZ26&gt;CA26-1,INDEX(Lista_Pedidos,CY26+CA26-1,CN26),"")),"")</f>
        <v/>
      </c>
      <c r="CO32" s="526" t="str">
        <f>IFERROR(IF(IF(CZ26&gt;CA26-1,INDEX(Lista_Pedidos,CY26+CA26-1,CO26),"")=0,"",IF(CZ26&gt;CA26-1,INDEX(Lista_Pedidos,CY26+CA26-1,CO26),"")),"")</f>
        <v/>
      </c>
      <c r="CP32" s="526" t="str">
        <f>IFERROR(IF(IF(CZ26&gt;CA26-1,INDEX(Lista_Pedidos,CY26+CA26-1,CP26),"")=0,"",IF(CZ26&gt;CA26-1,INDEX(Lista_Pedidos,CY26+CA26-1,CP26),"")),"")</f>
        <v/>
      </c>
      <c r="CQ32" s="526" t="str">
        <f>IFERROR(IF(IF(CZ26&gt;CA26-1,INDEX(Lista_Pedidos,CY26+CA26-1,CQ26),"")=0,"",IF(CZ26&gt;CA26-1,INDEX(Lista_Pedidos,CY26+CA26-1,CQ26),"")),"")</f>
        <v/>
      </c>
      <c r="CR32" s="526" t="str">
        <f>IFERROR(IF(IF(CZ26&gt;CA26-1,INDEX(Lista_Pedidos,CY26+CA26-1,CR26),"")=0,"",IF(CZ26&gt;CA26-1,INDEX(Lista_Pedidos,CY26+CA26-1,CR26),"")),"")</f>
        <v/>
      </c>
      <c r="CS32" s="526" t="str">
        <f>IFERROR(IF(IF(CZ26&gt;CA26-1,INDEX(Lista_Pedidos,CY26+CA26-1,CS26),"")=0,"",IF(CZ26&gt;CA26-1,INDEX(Lista_Pedidos,CY26+CA26-1,CS26),"")),"")</f>
        <v/>
      </c>
      <c r="CT32" s="526" t="str">
        <f>IFERROR(IF(IF(CZ26&gt;CA26-1,INDEX(Lista_Pedidos,CY26+CA26-1,CT26),"")=0,"",IF(CZ26&gt;CA26-1,INDEX(Lista_Pedidos,CY26+CA26-1,CT26),"")),"")</f>
        <v/>
      </c>
      <c r="CU32" s="526" t="str">
        <f>IFERROR(IF(IF(CZ26&gt;CA26-1,INDEX(Lista_Pedidos,CY26+CA26-1,CU26),"")=0,"",IF(CZ26&gt;CA26-1,INDEX(Lista_Pedidos,CY26+CA26-1,CU26),"")),"")</f>
        <v/>
      </c>
      <c r="CV32" s="526" t="str">
        <f>IFERROR(IF(IF(CZ26&gt;CA26-1,INDEX(Lista_Pedidos,CY26+CA26-1,CV26),"")=0,"",IF(CZ26&gt;CA26-1,INDEX(Lista_Pedidos,CY26+CA26-1,CV26),"")),"")</f>
        <v/>
      </c>
      <c r="CW32" s="857" t="str">
        <f>IF(SUM(CJ32:CV32)&gt;1,SUM(CJ32:CV32),"")</f>
        <v/>
      </c>
      <c r="CX32" s="855"/>
      <c r="CY32" s="855"/>
      <c r="CZ32" s="860"/>
      <c r="DA32" s="854" t="str">
        <f>IFERROR(INDEX(Lista_Pedidos,Procesos!DY26+DA26-1,3),"")</f>
        <v/>
      </c>
      <c r="DB32" s="855"/>
      <c r="DC32" s="855"/>
      <c r="DD32" s="855"/>
      <c r="DE32" s="856"/>
      <c r="DF32" s="857" t="str">
        <f>IF(DZ26&gt;DA26-1,DE$11,"")</f>
        <v/>
      </c>
      <c r="DG32" s="855"/>
      <c r="DH32" s="855"/>
      <c r="DI32" s="856"/>
      <c r="DJ32" s="526" t="str">
        <f>IFERROR(IF(IF(DZ26&gt;DA26-1,INDEX(Lista_Pedidos,DY26+DA26-1,DJ26),"")=0,"",IF(DZ26&gt;DA26-1,INDEX(Lista_Pedidos,DY26+DA26-1,DJ26),"")),"")</f>
        <v/>
      </c>
      <c r="DK32" s="526" t="str">
        <f>IFERROR(IF(IF(DZ26&gt;DA26-1,INDEX(Lista_Pedidos,DY26+DA26-1,DK26),"")=0,"",IF(DZ26&gt;DA26-1,INDEX(Lista_Pedidos,DY26+DA26-1,DK26),"")),"")</f>
        <v/>
      </c>
      <c r="DL32" s="526" t="str">
        <f>IFERROR(IF(IF(DZ26&gt;DA26-1,INDEX(Lista_Pedidos,DY26+DA26-1,DL26),"")=0,"",IF(DZ26&gt;DA26-1,INDEX(Lista_Pedidos,DY26+DA26-1,DL26),"")),"")</f>
        <v/>
      </c>
      <c r="DM32" s="526" t="str">
        <f>IFERROR(IF(IF(DZ26&gt;DA26-1,INDEX(Lista_Pedidos,DY26+DA26-1,DM26),"")=0,"",IF(DZ26&gt;DA26-1,INDEX(Lista_Pedidos,DY26+DA26-1,DM26),"")),"")</f>
        <v/>
      </c>
      <c r="DN32" s="526" t="str">
        <f>IFERROR(IF(IF(DZ26&gt;DA26-1,INDEX(Lista_Pedidos,DY26+DA26-1,DN26),"")=0,"",IF(DZ26&gt;DA26-1,INDEX(Lista_Pedidos,DY26+DA26-1,DN26),"")),"")</f>
        <v/>
      </c>
      <c r="DO32" s="526" t="str">
        <f>IFERROR(IF(IF(DZ26&gt;DA26-1,INDEX(Lista_Pedidos,DY26+DA26-1,DO26),"")=0,"",IF(DZ26&gt;DA26-1,INDEX(Lista_Pedidos,DY26+DA26-1,DO26),"")),"")</f>
        <v/>
      </c>
      <c r="DP32" s="526" t="str">
        <f>IFERROR(IF(IF(DZ26&gt;DA26-1,INDEX(Lista_Pedidos,DY26+DA26-1,DP26),"")=0,"",IF(DZ26&gt;DA26-1,INDEX(Lista_Pedidos,DY26+DA26-1,DP26),"")),"")</f>
        <v/>
      </c>
      <c r="DQ32" s="526" t="str">
        <f>IFERROR(IF(IF(DZ26&gt;DA26-1,INDEX(Lista_Pedidos,DY26+DA26-1,DQ26),"")=0,"",IF(DZ26&gt;DA26-1,INDEX(Lista_Pedidos,DY26+DA26-1,DQ26),"")),"")</f>
        <v/>
      </c>
      <c r="DR32" s="526" t="str">
        <f>IFERROR(IF(IF(DZ26&gt;DA26-1,INDEX(Lista_Pedidos,DY26+DA26-1,DR26),"")=0,"",IF(DZ26&gt;DA26-1,INDEX(Lista_Pedidos,DY26+DA26-1,DR26),"")),"")</f>
        <v/>
      </c>
      <c r="DS32" s="526" t="str">
        <f>IFERROR(IF(IF(DZ26&gt;DA26-1,INDEX(Lista_Pedidos,DY26+DA26-1,DS26),"")=0,"",IF(DZ26&gt;DA26-1,INDEX(Lista_Pedidos,DY26+DA26-1,DS26),"")),"")</f>
        <v/>
      </c>
      <c r="DT32" s="526" t="str">
        <f>IFERROR(IF(IF(DZ26&gt;DA26-1,INDEX(Lista_Pedidos,DY26+DA26-1,DT26),"")=0,"",IF(DZ26&gt;DA26-1,INDEX(Lista_Pedidos,DY26+DA26-1,DT26),"")),"")</f>
        <v/>
      </c>
      <c r="DU32" s="526" t="str">
        <f>IFERROR(IF(IF(DZ26&gt;DA26-1,INDEX(Lista_Pedidos,DY26+DA26-1,DU26),"")=0,"",IF(DZ26&gt;DA26-1,INDEX(Lista_Pedidos,DY26+DA26-1,DU26),"")),"")</f>
        <v/>
      </c>
      <c r="DV32" s="526" t="str">
        <f>IFERROR(IF(IF(DZ26&gt;DA26-1,INDEX(Lista_Pedidos,DY26+DA26-1,DV26),"")=0,"",IF(DZ26&gt;DA26-1,INDEX(Lista_Pedidos,DY26+DA26-1,DV26),"")),"")</f>
        <v/>
      </c>
      <c r="DW32" s="857" t="str">
        <f>IF(SUM(DJ32:DV32)&gt;1,SUM(DJ32:DV32),"")</f>
        <v/>
      </c>
      <c r="DX32" s="855"/>
      <c r="DY32" s="855"/>
      <c r="DZ32" s="860"/>
      <c r="EA32" s="854" t="str">
        <f>IFERROR(INDEX(Lista_Pedidos,Procesos!EY26+EA26-1,3),"")</f>
        <v/>
      </c>
      <c r="EB32" s="855"/>
      <c r="EC32" s="855"/>
      <c r="ED32" s="855"/>
      <c r="EE32" s="856"/>
      <c r="EF32" s="857" t="str">
        <f>IF(EZ26&gt;EA26-1,EE$11,"")</f>
        <v/>
      </c>
      <c r="EG32" s="855"/>
      <c r="EH32" s="855"/>
      <c r="EI32" s="856"/>
      <c r="EJ32" s="526" t="str">
        <f>IFERROR(IF(IF(EZ26&gt;EA26-1,INDEX(Lista_Pedidos,EY26+EA26-1,EJ26),"")=0,"",IF(EZ26&gt;EA26-1,INDEX(Lista_Pedidos,EY26+EA26-1,EJ26),"")),"")</f>
        <v/>
      </c>
      <c r="EK32" s="526" t="str">
        <f>IFERROR(IF(IF(EZ26&gt;EA26-1,INDEX(Lista_Pedidos,EY26+EA26-1,EK26),"")=0,"",IF(EZ26&gt;EA26-1,INDEX(Lista_Pedidos,EY26+EA26-1,EK26),"")),"")</f>
        <v/>
      </c>
      <c r="EL32" s="526" t="str">
        <f>IFERROR(IF(IF(EZ26&gt;EA26-1,INDEX(Lista_Pedidos,EY26+EA26-1,EL26),"")=0,"",IF(EZ26&gt;EA26-1,INDEX(Lista_Pedidos,EY26+EA26-1,EL26),"")),"")</f>
        <v/>
      </c>
      <c r="EM32" s="526" t="str">
        <f>IFERROR(IF(IF(EZ26&gt;EA26-1,INDEX(Lista_Pedidos,EY26+EA26-1,EM26),"")=0,"",IF(EZ26&gt;EA26-1,INDEX(Lista_Pedidos,EY26+EA26-1,EM26),"")),"")</f>
        <v/>
      </c>
      <c r="EN32" s="526" t="str">
        <f>IFERROR(IF(IF(EZ26&gt;EA26-1,INDEX(Lista_Pedidos,EY26+EA26-1,EN26),"")=0,"",IF(EZ26&gt;EA26-1,INDEX(Lista_Pedidos,EY26+EA26-1,EN26),"")),"")</f>
        <v/>
      </c>
      <c r="EO32" s="526" t="str">
        <f>IFERROR(IF(IF(EZ26&gt;EA26-1,INDEX(Lista_Pedidos,EY26+EA26-1,EO26),"")=0,"",IF(EZ26&gt;EA26-1,INDEX(Lista_Pedidos,EY26+EA26-1,EO26),"")),"")</f>
        <v/>
      </c>
      <c r="EP32" s="526" t="str">
        <f>IFERROR(IF(IF(EZ26&gt;EA26-1,INDEX(Lista_Pedidos,EY26+EA26-1,EP26),"")=0,"",IF(EZ26&gt;EA26-1,INDEX(Lista_Pedidos,EY26+EA26-1,EP26),"")),"")</f>
        <v/>
      </c>
      <c r="EQ32" s="526" t="str">
        <f>IFERROR(IF(IF(EZ26&gt;EA26-1,INDEX(Lista_Pedidos,EY26+EA26-1,EQ26),"")=0,"",IF(EZ26&gt;EA26-1,INDEX(Lista_Pedidos,EY26+EA26-1,EQ26),"")),"")</f>
        <v/>
      </c>
      <c r="ER32" s="526" t="str">
        <f>IFERROR(IF(IF(EZ26&gt;EA26-1,INDEX(Lista_Pedidos,EY26+EA26-1,ER26),"")=0,"",IF(EZ26&gt;EA26-1,INDEX(Lista_Pedidos,EY26+EA26-1,ER26),"")),"")</f>
        <v/>
      </c>
      <c r="ES32" s="526" t="str">
        <f>IFERROR(IF(IF(EZ26&gt;EA26-1,INDEX(Lista_Pedidos,EY26+EA26-1,ES26),"")=0,"",IF(EZ26&gt;EA26-1,INDEX(Lista_Pedidos,EY26+EA26-1,ES26),"")),"")</f>
        <v/>
      </c>
      <c r="ET32" s="526" t="str">
        <f>IFERROR(IF(IF(EZ26&gt;EA26-1,INDEX(Lista_Pedidos,EY26+EA26-1,ET26),"")=0,"",IF(EZ26&gt;EA26-1,INDEX(Lista_Pedidos,EY26+EA26-1,ET26),"")),"")</f>
        <v/>
      </c>
      <c r="EU32" s="526" t="str">
        <f>IFERROR(IF(IF(EZ26&gt;EA26-1,INDEX(Lista_Pedidos,EY26+EA26-1,EU26),"")=0,"",IF(EZ26&gt;EA26-1,INDEX(Lista_Pedidos,EY26+EA26-1,EU26),"")),"")</f>
        <v/>
      </c>
      <c r="EV32" s="526" t="str">
        <f>IFERROR(IF(IF(EZ26&gt;EA26-1,INDEX(Lista_Pedidos,EY26+EA26-1,EV26),"")=0,"",IF(EZ26&gt;EA26-1,INDEX(Lista_Pedidos,EY26+EA26-1,EV26),"")),"")</f>
        <v/>
      </c>
      <c r="EW32" s="857" t="str">
        <f>IF(SUM(EJ32:EV32)&gt;1,SUM(EJ32:EV32),"")</f>
        <v/>
      </c>
      <c r="EX32" s="855"/>
      <c r="EY32" s="855"/>
      <c r="EZ32" s="860"/>
      <c r="FA32" s="854" t="str">
        <f>IFERROR(INDEX(Lista_Pedidos,Procesos!FY26+FA26-1,3),"")</f>
        <v/>
      </c>
      <c r="FB32" s="855"/>
      <c r="FC32" s="855"/>
      <c r="FD32" s="855"/>
      <c r="FE32" s="856"/>
      <c r="FF32" s="857" t="str">
        <f>IF(FZ26&gt;FA26-1,FE$11,"")</f>
        <v/>
      </c>
      <c r="FG32" s="855"/>
      <c r="FH32" s="855"/>
      <c r="FI32" s="856"/>
      <c r="FJ32" s="526" t="str">
        <f>IFERROR(IF(IF(FZ26&gt;FA26-1,INDEX(Lista_Pedidos,FY26+FA26-1,FJ26),"")=0,"",IF(FZ26&gt;FA26-1,INDEX(Lista_Pedidos,FY26+FA26-1,FJ26),"")),"")</f>
        <v/>
      </c>
      <c r="FK32" s="526" t="str">
        <f>IFERROR(IF(IF(FZ26&gt;FA26-1,INDEX(Lista_Pedidos,FY26+FA26-1,FK26),"")=0,"",IF(FZ26&gt;FA26-1,INDEX(Lista_Pedidos,FY26+FA26-1,FK26),"")),"")</f>
        <v/>
      </c>
      <c r="FL32" s="526" t="str">
        <f>IFERROR(IF(IF(FZ26&gt;FA26-1,INDEX(Lista_Pedidos,FY26+FA26-1,FL26),"")=0,"",IF(FZ26&gt;FA26-1,INDEX(Lista_Pedidos,FY26+FA26-1,FL26),"")),"")</f>
        <v/>
      </c>
      <c r="FM32" s="526" t="str">
        <f>IFERROR(IF(IF(FZ26&gt;FA26-1,INDEX(Lista_Pedidos,FY26+FA26-1,FM26),"")=0,"",IF(FZ26&gt;FA26-1,INDEX(Lista_Pedidos,FY26+FA26-1,FM26),"")),"")</f>
        <v/>
      </c>
      <c r="FN32" s="526" t="str">
        <f>IFERROR(IF(IF(FZ26&gt;FA26-1,INDEX(Lista_Pedidos,FY26+FA26-1,FN26),"")=0,"",IF(FZ26&gt;FA26-1,INDEX(Lista_Pedidos,FY26+FA26-1,FN26),"")),"")</f>
        <v/>
      </c>
      <c r="FO32" s="526" t="str">
        <f>IFERROR(IF(IF(FZ26&gt;FA26-1,INDEX(Lista_Pedidos,FY26+FA26-1,FO26),"")=0,"",IF(FZ26&gt;FA26-1,INDEX(Lista_Pedidos,FY26+FA26-1,FO26),"")),"")</f>
        <v/>
      </c>
      <c r="FP32" s="526" t="str">
        <f>IFERROR(IF(IF(FZ26&gt;FA26-1,INDEX(Lista_Pedidos,FY26+FA26-1,FP26),"")=0,"",IF(FZ26&gt;FA26-1,INDEX(Lista_Pedidos,FY26+FA26-1,FP26),"")),"")</f>
        <v/>
      </c>
      <c r="FQ32" s="526" t="str">
        <f>IFERROR(IF(IF(FZ26&gt;FA26-1,INDEX(Lista_Pedidos,FY26+FA26-1,FQ26),"")=0,"",IF(FZ26&gt;FA26-1,INDEX(Lista_Pedidos,FY26+FA26-1,FQ26),"")),"")</f>
        <v/>
      </c>
      <c r="FR32" s="526" t="str">
        <f>IFERROR(IF(IF(FZ26&gt;FA26-1,INDEX(Lista_Pedidos,FY26+FA26-1,FR26),"")=0,"",IF(FZ26&gt;FA26-1,INDEX(Lista_Pedidos,FY26+FA26-1,FR26),"")),"")</f>
        <v/>
      </c>
      <c r="FS32" s="526" t="str">
        <f>IFERROR(IF(IF(FZ26&gt;FA26-1,INDEX(Lista_Pedidos,FY26+FA26-1,FS26),"")=0,"",IF(FZ26&gt;FA26-1,INDEX(Lista_Pedidos,FY26+FA26-1,FS26),"")),"")</f>
        <v/>
      </c>
      <c r="FT32" s="526" t="str">
        <f>IFERROR(IF(IF(FZ26&gt;FA26-1,INDEX(Lista_Pedidos,FY26+FA26-1,FT26),"")=0,"",IF(FZ26&gt;FA26-1,INDEX(Lista_Pedidos,FY26+FA26-1,FT26),"")),"")</f>
        <v/>
      </c>
      <c r="FU32" s="526" t="str">
        <f>IFERROR(IF(IF(FZ26&gt;FA26-1,INDEX(Lista_Pedidos,FY26+FA26-1,FU26),"")=0,"",IF(FZ26&gt;FA26-1,INDEX(Lista_Pedidos,FY26+FA26-1,FU26),"")),"")</f>
        <v/>
      </c>
      <c r="FV32" s="526" t="str">
        <f>IFERROR(IF(IF(FZ26&gt;FA26-1,INDEX(Lista_Pedidos,FY26+FA26-1,FV26),"")=0,"",IF(FZ26&gt;FA26-1,INDEX(Lista_Pedidos,FY26+FA26-1,FV26),"")),"")</f>
        <v/>
      </c>
      <c r="FW32" s="857" t="str">
        <f>IF(SUM(FJ32:FV32)&gt;1,SUM(FJ32:FV32),"")</f>
        <v/>
      </c>
      <c r="FX32" s="855"/>
      <c r="FY32" s="855"/>
      <c r="FZ32" s="860"/>
      <c r="GA32" s="854" t="str">
        <f>IFERROR(INDEX(Lista_Pedidos,Procesos!GY26+GA26-1,3),"")</f>
        <v/>
      </c>
      <c r="GB32" s="855"/>
      <c r="GC32" s="855"/>
      <c r="GD32" s="855"/>
      <c r="GE32" s="856"/>
      <c r="GF32" s="857" t="str">
        <f>IF(GZ26&gt;GA26-1,GE$11,"")</f>
        <v/>
      </c>
      <c r="GG32" s="855"/>
      <c r="GH32" s="855"/>
      <c r="GI32" s="856"/>
      <c r="GJ32" s="526" t="str">
        <f>IFERROR(IF(IF(GZ26&gt;GA26-1,INDEX(Lista_Pedidos,GY26+GA26-1,GJ26),"")=0,"",IF(GZ26&gt;GA26-1,INDEX(Lista_Pedidos,GY26+GA26-1,GJ26),"")),"")</f>
        <v/>
      </c>
      <c r="GK32" s="526" t="str">
        <f>IFERROR(IF(IF(GZ26&gt;GA26-1,INDEX(Lista_Pedidos,GY26+GA26-1,GK26),"")=0,"",IF(GZ26&gt;GA26-1,INDEX(Lista_Pedidos,GY26+GA26-1,GK26),"")),"")</f>
        <v/>
      </c>
      <c r="GL32" s="526" t="str">
        <f>IFERROR(IF(IF(GZ26&gt;GA26-1,INDEX(Lista_Pedidos,GY26+GA26-1,GL26),"")=0,"",IF(GZ26&gt;GA26-1,INDEX(Lista_Pedidos,GY26+GA26-1,GL26),"")),"")</f>
        <v/>
      </c>
      <c r="GM32" s="526" t="str">
        <f>IFERROR(IF(IF(GZ26&gt;GA26-1,INDEX(Lista_Pedidos,GY26+GA26-1,GM26),"")=0,"",IF(GZ26&gt;GA26-1,INDEX(Lista_Pedidos,GY26+GA26-1,GM26),"")),"")</f>
        <v/>
      </c>
      <c r="GN32" s="526" t="str">
        <f>IFERROR(IF(IF(GZ26&gt;GA26-1,INDEX(Lista_Pedidos,GY26+GA26-1,GN26),"")=0,"",IF(GZ26&gt;GA26-1,INDEX(Lista_Pedidos,GY26+GA26-1,GN26),"")),"")</f>
        <v/>
      </c>
      <c r="GO32" s="526" t="str">
        <f>IFERROR(IF(IF(GZ26&gt;GA26-1,INDEX(Lista_Pedidos,GY26+GA26-1,GO26),"")=0,"",IF(GZ26&gt;GA26-1,INDEX(Lista_Pedidos,GY26+GA26-1,GO26),"")),"")</f>
        <v/>
      </c>
      <c r="GP32" s="526" t="str">
        <f>IFERROR(IF(IF(GZ26&gt;GA26-1,INDEX(Lista_Pedidos,GY26+GA26-1,GP26),"")=0,"",IF(GZ26&gt;GA26-1,INDEX(Lista_Pedidos,GY26+GA26-1,GP26),"")),"")</f>
        <v/>
      </c>
      <c r="GQ32" s="526" t="str">
        <f>IFERROR(IF(IF(GZ26&gt;GA26-1,INDEX(Lista_Pedidos,GY26+GA26-1,GQ26),"")=0,"",IF(GZ26&gt;GA26-1,INDEX(Lista_Pedidos,GY26+GA26-1,GQ26),"")),"")</f>
        <v/>
      </c>
      <c r="GR32" s="526" t="str">
        <f>IFERROR(IF(IF(GZ26&gt;GA26-1,INDEX(Lista_Pedidos,GY26+GA26-1,GR26),"")=0,"",IF(GZ26&gt;GA26-1,INDEX(Lista_Pedidos,GY26+GA26-1,GR26),"")),"")</f>
        <v/>
      </c>
      <c r="GS32" s="526" t="str">
        <f>IFERROR(IF(IF(GZ26&gt;GA26-1,INDEX(Lista_Pedidos,GY26+GA26-1,GS26),"")=0,"",IF(GZ26&gt;GA26-1,INDEX(Lista_Pedidos,GY26+GA26-1,GS26),"")),"")</f>
        <v/>
      </c>
      <c r="GT32" s="526" t="str">
        <f>IFERROR(IF(IF(GZ26&gt;GA26-1,INDEX(Lista_Pedidos,GY26+GA26-1,GT26),"")=0,"",IF(GZ26&gt;GA26-1,INDEX(Lista_Pedidos,GY26+GA26-1,GT26),"")),"")</f>
        <v/>
      </c>
      <c r="GU32" s="526" t="str">
        <f>IFERROR(IF(IF(GZ26&gt;GA26-1,INDEX(Lista_Pedidos,GY26+GA26-1,GU26),"")=0,"",IF(GZ26&gt;GA26-1,INDEX(Lista_Pedidos,GY26+GA26-1,GU26),"")),"")</f>
        <v/>
      </c>
      <c r="GV32" s="526" t="str">
        <f>IFERROR(IF(IF(GZ26&gt;GA26-1,INDEX(Lista_Pedidos,GY26+GA26-1,GV26),"")=0,"",IF(GZ26&gt;GA26-1,INDEX(Lista_Pedidos,GY26+GA26-1,GV26),"")),"")</f>
        <v/>
      </c>
      <c r="GW32" s="857" t="str">
        <f>IF(SUM(GJ32:GV32)&gt;1,SUM(GJ32:GV32),"")</f>
        <v/>
      </c>
      <c r="GX32" s="855"/>
      <c r="GY32" s="855"/>
      <c r="GZ32" s="860"/>
      <c r="HA32" s="854" t="str">
        <f>IFERROR(INDEX(Lista_Pedidos,Procesos!HY26+HA26-1,3),"")</f>
        <v/>
      </c>
      <c r="HB32" s="855"/>
      <c r="HC32" s="855"/>
      <c r="HD32" s="855"/>
      <c r="HE32" s="856"/>
      <c r="HF32" s="857" t="str">
        <f>IF(HZ26&gt;HA26-1,HE$11,"")</f>
        <v/>
      </c>
      <c r="HG32" s="855"/>
      <c r="HH32" s="855"/>
      <c r="HI32" s="856"/>
      <c r="HJ32" s="526" t="str">
        <f>IFERROR(IF(IF(HZ26&gt;HA26-1,INDEX(Lista_Pedidos,HY26+HA26-1,HJ26),"")=0,"",IF(HZ26&gt;HA26-1,INDEX(Lista_Pedidos,HY26+HA26-1,HJ26),"")),"")</f>
        <v/>
      </c>
      <c r="HK32" s="526" t="str">
        <f>IFERROR(IF(IF(HZ26&gt;HA26-1,INDEX(Lista_Pedidos,HY26+HA26-1,HK26),"")=0,"",IF(HZ26&gt;HA26-1,INDEX(Lista_Pedidos,HY26+HA26-1,HK26),"")),"")</f>
        <v/>
      </c>
      <c r="HL32" s="526" t="str">
        <f>IFERROR(IF(IF(HZ26&gt;HA26-1,INDEX(Lista_Pedidos,HY26+HA26-1,HL26),"")=0,"",IF(HZ26&gt;HA26-1,INDEX(Lista_Pedidos,HY26+HA26-1,HL26),"")),"")</f>
        <v/>
      </c>
      <c r="HM32" s="526" t="str">
        <f>IFERROR(IF(IF(HZ26&gt;HA26-1,INDEX(Lista_Pedidos,HY26+HA26-1,HM26),"")=0,"",IF(HZ26&gt;HA26-1,INDEX(Lista_Pedidos,HY26+HA26-1,HM26),"")),"")</f>
        <v/>
      </c>
      <c r="HN32" s="526" t="str">
        <f>IFERROR(IF(IF(HZ26&gt;HA26-1,INDEX(Lista_Pedidos,HY26+HA26-1,HN26),"")=0,"",IF(HZ26&gt;HA26-1,INDEX(Lista_Pedidos,HY26+HA26-1,HN26),"")),"")</f>
        <v/>
      </c>
      <c r="HO32" s="526" t="str">
        <f>IFERROR(IF(IF(HZ26&gt;HA26-1,INDEX(Lista_Pedidos,HY26+HA26-1,HO26),"")=0,"",IF(HZ26&gt;HA26-1,INDEX(Lista_Pedidos,HY26+HA26-1,HO26),"")),"")</f>
        <v/>
      </c>
      <c r="HP32" s="526" t="str">
        <f>IFERROR(IF(IF(HZ26&gt;HA26-1,INDEX(Lista_Pedidos,HY26+HA26-1,HP26),"")=0,"",IF(HZ26&gt;HA26-1,INDEX(Lista_Pedidos,HY26+HA26-1,HP26),"")),"")</f>
        <v/>
      </c>
      <c r="HQ32" s="526" t="str">
        <f>IFERROR(IF(IF(HZ26&gt;HA26-1,INDEX(Lista_Pedidos,HY26+HA26-1,HQ26),"")=0,"",IF(HZ26&gt;HA26-1,INDEX(Lista_Pedidos,HY26+HA26-1,HQ26),"")),"")</f>
        <v/>
      </c>
      <c r="HR32" s="526" t="str">
        <f>IFERROR(IF(IF(HZ26&gt;HA26-1,INDEX(Lista_Pedidos,HY26+HA26-1,HR26),"")=0,"",IF(HZ26&gt;HA26-1,INDEX(Lista_Pedidos,HY26+HA26-1,HR26),"")),"")</f>
        <v/>
      </c>
      <c r="HS32" s="526" t="str">
        <f>IFERROR(IF(IF(HZ26&gt;HA26-1,INDEX(Lista_Pedidos,HY26+HA26-1,HS26),"")=0,"",IF(HZ26&gt;HA26-1,INDEX(Lista_Pedidos,HY26+HA26-1,HS26),"")),"")</f>
        <v/>
      </c>
      <c r="HT32" s="526" t="str">
        <f>IFERROR(IF(IF(HZ26&gt;HA26-1,INDEX(Lista_Pedidos,HY26+HA26-1,HT26),"")=0,"",IF(HZ26&gt;HA26-1,INDEX(Lista_Pedidos,HY26+HA26-1,HT26),"")),"")</f>
        <v/>
      </c>
      <c r="HU32" s="526" t="str">
        <f>IFERROR(IF(IF(HZ26&gt;HA26-1,INDEX(Lista_Pedidos,HY26+HA26-1,HU26),"")=0,"",IF(HZ26&gt;HA26-1,INDEX(Lista_Pedidos,HY26+HA26-1,HU26),"")),"")</f>
        <v/>
      </c>
      <c r="HV32" s="526" t="str">
        <f>IFERROR(IF(IF(HZ26&gt;HA26-1,INDEX(Lista_Pedidos,HY26+HA26-1,HV26),"")=0,"",IF(HZ26&gt;HA26-1,INDEX(Lista_Pedidos,HY26+HA26-1,HV26),"")),"")</f>
        <v/>
      </c>
      <c r="HW32" s="857" t="str">
        <f>IF(SUM(HJ32:HV32)&gt;1,SUM(HJ32:HV32),"")</f>
        <v/>
      </c>
      <c r="HX32" s="855"/>
      <c r="HY32" s="855"/>
      <c r="HZ32" s="860"/>
      <c r="IA32" s="854" t="str">
        <f>IFERROR(INDEX(Lista_Pedidos,Procesos!IY26+IA26-1,3),"")</f>
        <v/>
      </c>
      <c r="IB32" s="855"/>
      <c r="IC32" s="855"/>
      <c r="ID32" s="855"/>
      <c r="IE32" s="856"/>
      <c r="IF32" s="857" t="str">
        <f>IF(IZ26&gt;IA26-1,IE$11,"")</f>
        <v/>
      </c>
      <c r="IG32" s="855"/>
      <c r="IH32" s="855"/>
      <c r="II32" s="856"/>
      <c r="IJ32" s="526" t="str">
        <f>IFERROR(IF(IF(IZ26&gt;IA26-1,INDEX(Lista_Pedidos,IY26+IA26-1,IJ26),"")=0,"",IF(IZ26&gt;IA26-1,INDEX(Lista_Pedidos,IY26+IA26-1,IJ26),"")),"")</f>
        <v/>
      </c>
      <c r="IK32" s="526" t="str">
        <f>IFERROR(IF(IF(IZ26&gt;IA26-1,INDEX(Lista_Pedidos,IY26+IA26-1,IK26),"")=0,"",IF(IZ26&gt;IA26-1,INDEX(Lista_Pedidos,IY26+IA26-1,IK26),"")),"")</f>
        <v/>
      </c>
      <c r="IL32" s="526" t="str">
        <f>IFERROR(IF(IF(IZ26&gt;IA26-1,INDEX(Lista_Pedidos,IY26+IA26-1,IL26),"")=0,"",IF(IZ26&gt;IA26-1,INDEX(Lista_Pedidos,IY26+IA26-1,IL26),"")),"")</f>
        <v/>
      </c>
      <c r="IM32" s="526" t="str">
        <f>IFERROR(IF(IF(IZ26&gt;IA26-1,INDEX(Lista_Pedidos,IY26+IA26-1,IM26),"")=0,"",IF(IZ26&gt;IA26-1,INDEX(Lista_Pedidos,IY26+IA26-1,IM26),"")),"")</f>
        <v/>
      </c>
      <c r="IN32" s="526" t="str">
        <f>IFERROR(IF(IF(IZ26&gt;IA26-1,INDEX(Lista_Pedidos,IY26+IA26-1,IN26),"")=0,"",IF(IZ26&gt;IA26-1,INDEX(Lista_Pedidos,IY26+IA26-1,IN26),"")),"")</f>
        <v/>
      </c>
      <c r="IO32" s="526" t="str">
        <f>IFERROR(IF(IF(IZ26&gt;IA26-1,INDEX(Lista_Pedidos,IY26+IA26-1,IO26),"")=0,"",IF(IZ26&gt;IA26-1,INDEX(Lista_Pedidos,IY26+IA26-1,IO26),"")),"")</f>
        <v/>
      </c>
      <c r="IP32" s="526" t="str">
        <f>IFERROR(IF(IF(IZ26&gt;IA26-1,INDEX(Lista_Pedidos,IY26+IA26-1,IP26),"")=0,"",IF(IZ26&gt;IA26-1,INDEX(Lista_Pedidos,IY26+IA26-1,IP26),"")),"")</f>
        <v/>
      </c>
      <c r="IQ32" s="526" t="str">
        <f>IFERROR(IF(IF(IZ26&gt;IA26-1,INDEX(Lista_Pedidos,IY26+IA26-1,IQ26),"")=0,"",IF(IZ26&gt;IA26-1,INDEX(Lista_Pedidos,IY26+IA26-1,IQ26),"")),"")</f>
        <v/>
      </c>
      <c r="IR32" s="526" t="str">
        <f>IFERROR(IF(IF(IZ26&gt;IA26-1,INDEX(Lista_Pedidos,IY26+IA26-1,IR26),"")=0,"",IF(IZ26&gt;IA26-1,INDEX(Lista_Pedidos,IY26+IA26-1,IR26),"")),"")</f>
        <v/>
      </c>
      <c r="IS32" s="526" t="str">
        <f>IFERROR(IF(IF(IZ26&gt;IA26-1,INDEX(Lista_Pedidos,IY26+IA26-1,IS26),"")=0,"",IF(IZ26&gt;IA26-1,INDEX(Lista_Pedidos,IY26+IA26-1,IS26),"")),"")</f>
        <v/>
      </c>
      <c r="IT32" s="526" t="str">
        <f>IFERROR(IF(IF(IZ26&gt;IA26-1,INDEX(Lista_Pedidos,IY26+IA26-1,IT26),"")=0,"",IF(IZ26&gt;IA26-1,INDEX(Lista_Pedidos,IY26+IA26-1,IT26),"")),"")</f>
        <v/>
      </c>
      <c r="IU32" s="526" t="str">
        <f>IFERROR(IF(IF(IZ26&gt;IA26-1,INDEX(Lista_Pedidos,IY26+IA26-1,IU26),"")=0,"",IF(IZ26&gt;IA26-1,INDEX(Lista_Pedidos,IY26+IA26-1,IU26),"")),"")</f>
        <v/>
      </c>
      <c r="IV32" s="526" t="str">
        <f>IFERROR(IF(IF(IZ26&gt;IA26-1,INDEX(Lista_Pedidos,IY26+IA26-1,IV26),"")=0,"",IF(IZ26&gt;IA26-1,INDEX(Lista_Pedidos,IY26+IA26-1,IV26),"")),"")</f>
        <v/>
      </c>
      <c r="IW32" s="857" t="str">
        <f>IF(SUM(IJ32:IV32)&gt;1,SUM(IJ32:IV32),"")</f>
        <v/>
      </c>
      <c r="IX32" s="855"/>
      <c r="IY32" s="855"/>
      <c r="IZ32" s="860"/>
    </row>
    <row r="33" spans="1:260" x14ac:dyDescent="0.25">
      <c r="A33" s="823"/>
      <c r="B33" s="824"/>
      <c r="C33" s="824"/>
      <c r="D33" s="824"/>
      <c r="E33" s="824"/>
      <c r="F33" s="824"/>
      <c r="G33" s="824"/>
      <c r="H33" s="824"/>
      <c r="I33" s="824"/>
      <c r="J33" s="824"/>
      <c r="K33" s="824"/>
      <c r="L33" s="824"/>
      <c r="M33" s="824"/>
      <c r="N33" s="824"/>
      <c r="O33" s="824"/>
      <c r="P33" s="824"/>
      <c r="Q33" s="824"/>
      <c r="R33" s="824"/>
      <c r="S33" s="824"/>
      <c r="T33" s="824"/>
      <c r="U33" s="824"/>
      <c r="V33" s="824"/>
      <c r="W33" s="824" t="str">
        <f>IFERROR(IF(Z26&gt;A26-1,IF(INDEX(Lista_Pedidos,Y26+A26-1,2)&lt;&gt;"",INDEX(Lista_Pedidos,Y26+A26-1,2),""),""),"")</f>
        <v/>
      </c>
      <c r="X33" s="824"/>
      <c r="Y33" s="824"/>
      <c r="Z33" s="825"/>
      <c r="AA33" s="823"/>
      <c r="AB33" s="824"/>
      <c r="AC33" s="824"/>
      <c r="AD33" s="824"/>
      <c r="AE33" s="824"/>
      <c r="AF33" s="824"/>
      <c r="AG33" s="824"/>
      <c r="AH33" s="824"/>
      <c r="AI33" s="824"/>
      <c r="AJ33" s="824"/>
      <c r="AK33" s="824"/>
      <c r="AL33" s="824"/>
      <c r="AM33" s="824"/>
      <c r="AN33" s="824"/>
      <c r="AO33" s="824"/>
      <c r="AP33" s="824"/>
      <c r="AQ33" s="824"/>
      <c r="AR33" s="824"/>
      <c r="AS33" s="824"/>
      <c r="AT33" s="824"/>
      <c r="AU33" s="824"/>
      <c r="AV33" s="824"/>
      <c r="AW33" s="824" t="str">
        <f>IFERROR(IF(AZ26&gt;AA26-1,IF(INDEX(Lista_Pedidos,AY26+AA26-1,2)&lt;&gt;"",INDEX(Lista_Pedidos,AY26+AA26-1,2),""),""),"")</f>
        <v>Despacho</v>
      </c>
      <c r="AX33" s="824"/>
      <c r="AY33" s="824"/>
      <c r="AZ33" s="825"/>
      <c r="BA33" s="823"/>
      <c r="BB33" s="824"/>
      <c r="BC33" s="824"/>
      <c r="BD33" s="824"/>
      <c r="BE33" s="824"/>
      <c r="BF33" s="824"/>
      <c r="BG33" s="824"/>
      <c r="BH33" s="824"/>
      <c r="BI33" s="824"/>
      <c r="BJ33" s="824"/>
      <c r="BK33" s="824"/>
      <c r="BL33" s="824"/>
      <c r="BM33" s="824"/>
      <c r="BN33" s="824"/>
      <c r="BO33" s="824"/>
      <c r="BP33" s="824"/>
      <c r="BQ33" s="824"/>
      <c r="BR33" s="824"/>
      <c r="BS33" s="824"/>
      <c r="BT33" s="824"/>
      <c r="BU33" s="824"/>
      <c r="BV33" s="824"/>
      <c r="BW33" s="824" t="str">
        <f>IFERROR(IF(BZ26&gt;BA26-1,IF(INDEX(Lista_Pedidos,BY26+BA26-1,2)&lt;&gt;"",INDEX(Lista_Pedidos,BY26+BA26-1,2),""),""),"")</f>
        <v/>
      </c>
      <c r="BX33" s="824"/>
      <c r="BY33" s="824"/>
      <c r="BZ33" s="825"/>
      <c r="CA33" s="823"/>
      <c r="CB33" s="824"/>
      <c r="CC33" s="824"/>
      <c r="CD33" s="824"/>
      <c r="CE33" s="824"/>
      <c r="CF33" s="824"/>
      <c r="CG33" s="824"/>
      <c r="CH33" s="824"/>
      <c r="CI33" s="824"/>
      <c r="CJ33" s="824"/>
      <c r="CK33" s="824"/>
      <c r="CL33" s="824"/>
      <c r="CM33" s="824"/>
      <c r="CN33" s="824"/>
      <c r="CO33" s="824"/>
      <c r="CP33" s="824"/>
      <c r="CQ33" s="824"/>
      <c r="CR33" s="824"/>
      <c r="CS33" s="824"/>
      <c r="CT33" s="824"/>
      <c r="CU33" s="824"/>
      <c r="CV33" s="824"/>
      <c r="CW33" s="824" t="str">
        <f>IFERROR(IF(CZ26&gt;CA26-1,IF(INDEX(Lista_Pedidos,CY26+CA26-1,2)&lt;&gt;"",INDEX(Lista_Pedidos,CY26+CA26-1,2),""),""),"")</f>
        <v/>
      </c>
      <c r="CX33" s="824"/>
      <c r="CY33" s="824"/>
      <c r="CZ33" s="825"/>
      <c r="DA33" s="823"/>
      <c r="DB33" s="824"/>
      <c r="DC33" s="824"/>
      <c r="DD33" s="824"/>
      <c r="DE33" s="824"/>
      <c r="DF33" s="824"/>
      <c r="DG33" s="824"/>
      <c r="DH33" s="824"/>
      <c r="DI33" s="824"/>
      <c r="DJ33" s="824"/>
      <c r="DK33" s="824"/>
      <c r="DL33" s="824"/>
      <c r="DM33" s="824"/>
      <c r="DN33" s="824"/>
      <c r="DO33" s="824"/>
      <c r="DP33" s="824"/>
      <c r="DQ33" s="824"/>
      <c r="DR33" s="824"/>
      <c r="DS33" s="824"/>
      <c r="DT33" s="824"/>
      <c r="DU33" s="824"/>
      <c r="DV33" s="824"/>
      <c r="DW33" s="824" t="str">
        <f>IFERROR(IF(DZ26&gt;DA26-1,IF(INDEX(Lista_Pedidos,DY26+DA26-1,2)&lt;&gt;"",INDEX(Lista_Pedidos,DY26+DA26-1,2),""),""),"")</f>
        <v/>
      </c>
      <c r="DX33" s="824"/>
      <c r="DY33" s="824"/>
      <c r="DZ33" s="825"/>
      <c r="EA33" s="823"/>
      <c r="EB33" s="824"/>
      <c r="EC33" s="824"/>
      <c r="ED33" s="824"/>
      <c r="EE33" s="824"/>
      <c r="EF33" s="824"/>
      <c r="EG33" s="824"/>
      <c r="EH33" s="824"/>
      <c r="EI33" s="824"/>
      <c r="EJ33" s="824"/>
      <c r="EK33" s="824"/>
      <c r="EL33" s="824"/>
      <c r="EM33" s="824"/>
      <c r="EN33" s="824"/>
      <c r="EO33" s="824"/>
      <c r="EP33" s="824"/>
      <c r="EQ33" s="824"/>
      <c r="ER33" s="824"/>
      <c r="ES33" s="824"/>
      <c r="ET33" s="824"/>
      <c r="EU33" s="824"/>
      <c r="EV33" s="824"/>
      <c r="EW33" s="824" t="str">
        <f>IFERROR(IF(EZ26&gt;EA26-1,IF(INDEX(Lista_Pedidos,EY26+EA26-1,2)&lt;&gt;"",INDEX(Lista_Pedidos,EY26+EA26-1,2),""),""),"")</f>
        <v/>
      </c>
      <c r="EX33" s="824"/>
      <c r="EY33" s="824"/>
      <c r="EZ33" s="825"/>
      <c r="FA33" s="823"/>
      <c r="FB33" s="824"/>
      <c r="FC33" s="824"/>
      <c r="FD33" s="824"/>
      <c r="FE33" s="824"/>
      <c r="FF33" s="824"/>
      <c r="FG33" s="824"/>
      <c r="FH33" s="824"/>
      <c r="FI33" s="824"/>
      <c r="FJ33" s="824"/>
      <c r="FK33" s="824"/>
      <c r="FL33" s="824"/>
      <c r="FM33" s="824"/>
      <c r="FN33" s="824"/>
      <c r="FO33" s="824"/>
      <c r="FP33" s="824"/>
      <c r="FQ33" s="824"/>
      <c r="FR33" s="824"/>
      <c r="FS33" s="824"/>
      <c r="FT33" s="824"/>
      <c r="FU33" s="824"/>
      <c r="FV33" s="824"/>
      <c r="FW33" s="824" t="str">
        <f>IFERROR(IF(FZ26&gt;FA26-1,IF(INDEX(Lista_Pedidos,FY26+FA26-1,2)&lt;&gt;"",INDEX(Lista_Pedidos,FY26+FA26-1,2),""),""),"")</f>
        <v/>
      </c>
      <c r="FX33" s="824"/>
      <c r="FY33" s="824"/>
      <c r="FZ33" s="825"/>
      <c r="GA33" s="823"/>
      <c r="GB33" s="824"/>
      <c r="GC33" s="824"/>
      <c r="GD33" s="824"/>
      <c r="GE33" s="824"/>
      <c r="GF33" s="824"/>
      <c r="GG33" s="824"/>
      <c r="GH33" s="824"/>
      <c r="GI33" s="824"/>
      <c r="GJ33" s="824"/>
      <c r="GK33" s="824"/>
      <c r="GL33" s="824"/>
      <c r="GM33" s="824"/>
      <c r="GN33" s="824"/>
      <c r="GO33" s="824"/>
      <c r="GP33" s="824"/>
      <c r="GQ33" s="824"/>
      <c r="GR33" s="824"/>
      <c r="GS33" s="824"/>
      <c r="GT33" s="824"/>
      <c r="GU33" s="824"/>
      <c r="GV33" s="824"/>
      <c r="GW33" s="824" t="str">
        <f>IFERROR(IF(GZ26&gt;GA26-1,IF(INDEX(Lista_Pedidos,GY26+GA26-1,2)&lt;&gt;"",INDEX(Lista_Pedidos,GY26+GA26-1,2),""),""),"")</f>
        <v/>
      </c>
      <c r="GX33" s="824"/>
      <c r="GY33" s="824"/>
      <c r="GZ33" s="825"/>
      <c r="HA33" s="823"/>
      <c r="HB33" s="824"/>
      <c r="HC33" s="824"/>
      <c r="HD33" s="824"/>
      <c r="HE33" s="824"/>
      <c r="HF33" s="824"/>
      <c r="HG33" s="824"/>
      <c r="HH33" s="824"/>
      <c r="HI33" s="824"/>
      <c r="HJ33" s="824"/>
      <c r="HK33" s="824"/>
      <c r="HL33" s="824"/>
      <c r="HM33" s="824"/>
      <c r="HN33" s="824"/>
      <c r="HO33" s="824"/>
      <c r="HP33" s="824"/>
      <c r="HQ33" s="824"/>
      <c r="HR33" s="824"/>
      <c r="HS33" s="824"/>
      <c r="HT33" s="824"/>
      <c r="HU33" s="824"/>
      <c r="HV33" s="824"/>
      <c r="HW33" s="824" t="str">
        <f>IFERROR(IF(HZ26&gt;HA26-1,IF(INDEX(Lista_Pedidos,HY26+HA26-1,2)&lt;&gt;"",INDEX(Lista_Pedidos,HY26+HA26-1,2),""),""),"")</f>
        <v/>
      </c>
      <c r="HX33" s="824"/>
      <c r="HY33" s="824"/>
      <c r="HZ33" s="825"/>
      <c r="IA33" s="823"/>
      <c r="IB33" s="824"/>
      <c r="IC33" s="824"/>
      <c r="ID33" s="824"/>
      <c r="IE33" s="824"/>
      <c r="IF33" s="824"/>
      <c r="IG33" s="824"/>
      <c r="IH33" s="824"/>
      <c r="II33" s="824"/>
      <c r="IJ33" s="824"/>
      <c r="IK33" s="824"/>
      <c r="IL33" s="824"/>
      <c r="IM33" s="824"/>
      <c r="IN33" s="824"/>
      <c r="IO33" s="824"/>
      <c r="IP33" s="824"/>
      <c r="IQ33" s="824"/>
      <c r="IR33" s="824"/>
      <c r="IS33" s="824"/>
      <c r="IT33" s="824"/>
      <c r="IU33" s="824"/>
      <c r="IV33" s="824"/>
      <c r="IW33" s="824" t="str">
        <f>IFERROR(IF(IZ26&gt;IA26-1,IF(INDEX(Lista_Pedidos,IY26+IA26-1,2)&lt;&gt;"",INDEX(Lista_Pedidos,IY26+IA26-1,2),""),""),"")</f>
        <v/>
      </c>
      <c r="IX33" s="824"/>
      <c r="IY33" s="824"/>
      <c r="IZ33" s="825"/>
    </row>
    <row r="34" spans="1:260" x14ac:dyDescent="0.25">
      <c r="A34" s="800" t="str">
        <f>IFERROR(IF(Z26&gt;A26-1,IF(INDEX(Lista_Pedidos,Y26+A26-1,6)&lt;&gt;"","Nombre de la Tela :     "&amp; INDEX(Lista_Pedidos,Y26+A26-1,6),""),""),"")</f>
        <v/>
      </c>
      <c r="B34" s="801"/>
      <c r="C34" s="801"/>
      <c r="D34" s="801"/>
      <c r="E34" s="801"/>
      <c r="F34" s="801"/>
      <c r="G34" s="801"/>
      <c r="H34" s="801"/>
      <c r="I34" s="801"/>
      <c r="J34" s="801"/>
      <c r="K34" s="801"/>
      <c r="L34" s="801"/>
      <c r="M34" s="801"/>
      <c r="N34" s="801"/>
      <c r="O34" s="801"/>
      <c r="P34" s="801"/>
      <c r="Q34" s="801"/>
      <c r="R34" s="801"/>
      <c r="S34" s="801"/>
      <c r="T34" s="801"/>
      <c r="U34" s="801"/>
      <c r="V34" s="801"/>
      <c r="W34" s="826"/>
      <c r="X34" s="826"/>
      <c r="Y34" s="826"/>
      <c r="Z34" s="827"/>
      <c r="AA34" s="800" t="str">
        <f>IFERROR(IF(AZ26&gt;AA26-1,IF(INDEX(Lista_Pedidos,AY26+AA26-1,6)&lt;&gt;"","Nombre de la Tela :     "&amp; INDEX(Lista_Pedidos,AY26+AA26-1,6),""),""),"")</f>
        <v>Nombre de la Tela :     LONA CAMPERO (WHITE)</v>
      </c>
      <c r="AB34" s="801"/>
      <c r="AC34" s="801"/>
      <c r="AD34" s="801"/>
      <c r="AE34" s="801"/>
      <c r="AF34" s="801"/>
      <c r="AG34" s="801"/>
      <c r="AH34" s="801"/>
      <c r="AI34" s="801"/>
      <c r="AJ34" s="801"/>
      <c r="AK34" s="801"/>
      <c r="AL34" s="801"/>
      <c r="AM34" s="801"/>
      <c r="AN34" s="801"/>
      <c r="AO34" s="801"/>
      <c r="AP34" s="801"/>
      <c r="AQ34" s="801"/>
      <c r="AR34" s="801"/>
      <c r="AS34" s="801"/>
      <c r="AT34" s="801"/>
      <c r="AU34" s="801"/>
      <c r="AV34" s="801"/>
      <c r="AW34" s="826"/>
      <c r="AX34" s="826"/>
      <c r="AY34" s="826"/>
      <c r="AZ34" s="827"/>
      <c r="BA34" s="800" t="str">
        <f>IFERROR(IF(BZ26&gt;BA26-1,IF(INDEX(Lista_Pedidos,BY26+BA26-1,6)&lt;&gt;"","Nombre de la Tela :     "&amp; INDEX(Lista_Pedidos,BY26+BA26-1,6),""),""),"")</f>
        <v/>
      </c>
      <c r="BB34" s="801"/>
      <c r="BC34" s="801"/>
      <c r="BD34" s="801"/>
      <c r="BE34" s="801"/>
      <c r="BF34" s="801"/>
      <c r="BG34" s="801"/>
      <c r="BH34" s="801"/>
      <c r="BI34" s="801"/>
      <c r="BJ34" s="801"/>
      <c r="BK34" s="801"/>
      <c r="BL34" s="801"/>
      <c r="BM34" s="801"/>
      <c r="BN34" s="801"/>
      <c r="BO34" s="801"/>
      <c r="BP34" s="801"/>
      <c r="BQ34" s="801"/>
      <c r="BR34" s="801"/>
      <c r="BS34" s="801"/>
      <c r="BT34" s="801"/>
      <c r="BU34" s="801"/>
      <c r="BV34" s="801"/>
      <c r="BW34" s="826"/>
      <c r="BX34" s="826"/>
      <c r="BY34" s="826"/>
      <c r="BZ34" s="827"/>
      <c r="CA34" s="800" t="str">
        <f>IFERROR(IF(CZ26&gt;CA26-1,IF(INDEX(Lista_Pedidos,CY26+CA26-1,6)&lt;&gt;"","Nombre de la Tela :     "&amp; INDEX(Lista_Pedidos,CY26+CA26-1,6),""),""),"")</f>
        <v/>
      </c>
      <c r="CB34" s="801"/>
      <c r="CC34" s="801"/>
      <c r="CD34" s="801"/>
      <c r="CE34" s="801"/>
      <c r="CF34" s="801"/>
      <c r="CG34" s="801"/>
      <c r="CH34" s="801"/>
      <c r="CI34" s="801"/>
      <c r="CJ34" s="801"/>
      <c r="CK34" s="801"/>
      <c r="CL34" s="801"/>
      <c r="CM34" s="801"/>
      <c r="CN34" s="801"/>
      <c r="CO34" s="801"/>
      <c r="CP34" s="801"/>
      <c r="CQ34" s="801"/>
      <c r="CR34" s="801"/>
      <c r="CS34" s="801"/>
      <c r="CT34" s="801"/>
      <c r="CU34" s="801"/>
      <c r="CV34" s="801"/>
      <c r="CW34" s="826"/>
      <c r="CX34" s="826"/>
      <c r="CY34" s="826"/>
      <c r="CZ34" s="827"/>
      <c r="DA34" s="800" t="str">
        <f>IFERROR(IF(DZ26&gt;DA26-1,IF(INDEX(Lista_Pedidos,DY26+DA26-1,6)&lt;&gt;"","Nombre de la Tela :     "&amp; INDEX(Lista_Pedidos,DY26+DA26-1,6),""),""),"")</f>
        <v/>
      </c>
      <c r="DB34" s="801"/>
      <c r="DC34" s="801"/>
      <c r="DD34" s="801"/>
      <c r="DE34" s="801"/>
      <c r="DF34" s="801"/>
      <c r="DG34" s="801"/>
      <c r="DH34" s="801"/>
      <c r="DI34" s="801"/>
      <c r="DJ34" s="801"/>
      <c r="DK34" s="801"/>
      <c r="DL34" s="801"/>
      <c r="DM34" s="801"/>
      <c r="DN34" s="801"/>
      <c r="DO34" s="801"/>
      <c r="DP34" s="801"/>
      <c r="DQ34" s="801"/>
      <c r="DR34" s="801"/>
      <c r="DS34" s="801"/>
      <c r="DT34" s="801"/>
      <c r="DU34" s="801"/>
      <c r="DV34" s="801"/>
      <c r="DW34" s="826"/>
      <c r="DX34" s="826"/>
      <c r="DY34" s="826"/>
      <c r="DZ34" s="827"/>
      <c r="EA34" s="800" t="str">
        <f>IFERROR(IF(EZ26&gt;EA26-1,IF(INDEX(Lista_Pedidos,EY26+EA26-1,6)&lt;&gt;"","Nombre de la Tela :     "&amp; INDEX(Lista_Pedidos,EY26+EA26-1,6),""),""),"")</f>
        <v/>
      </c>
      <c r="EB34" s="801"/>
      <c r="EC34" s="801"/>
      <c r="ED34" s="801"/>
      <c r="EE34" s="801"/>
      <c r="EF34" s="801"/>
      <c r="EG34" s="801"/>
      <c r="EH34" s="801"/>
      <c r="EI34" s="801"/>
      <c r="EJ34" s="801"/>
      <c r="EK34" s="801"/>
      <c r="EL34" s="801"/>
      <c r="EM34" s="801"/>
      <c r="EN34" s="801"/>
      <c r="EO34" s="801"/>
      <c r="EP34" s="801"/>
      <c r="EQ34" s="801"/>
      <c r="ER34" s="801"/>
      <c r="ES34" s="801"/>
      <c r="ET34" s="801"/>
      <c r="EU34" s="801"/>
      <c r="EV34" s="801"/>
      <c r="EW34" s="826"/>
      <c r="EX34" s="826"/>
      <c r="EY34" s="826"/>
      <c r="EZ34" s="827"/>
      <c r="FA34" s="800" t="str">
        <f>IFERROR(IF(FZ26&gt;FA26-1,IF(INDEX(Lista_Pedidos,FY26+FA26-1,6)&lt;&gt;"","Nombre de la Tela :     "&amp; INDEX(Lista_Pedidos,FY26+FA26-1,6),""),""),"")</f>
        <v/>
      </c>
      <c r="FB34" s="801"/>
      <c r="FC34" s="801"/>
      <c r="FD34" s="801"/>
      <c r="FE34" s="801"/>
      <c r="FF34" s="801"/>
      <c r="FG34" s="801"/>
      <c r="FH34" s="801"/>
      <c r="FI34" s="801"/>
      <c r="FJ34" s="801"/>
      <c r="FK34" s="801"/>
      <c r="FL34" s="801"/>
      <c r="FM34" s="801"/>
      <c r="FN34" s="801"/>
      <c r="FO34" s="801"/>
      <c r="FP34" s="801"/>
      <c r="FQ34" s="801"/>
      <c r="FR34" s="801"/>
      <c r="FS34" s="801"/>
      <c r="FT34" s="801"/>
      <c r="FU34" s="801"/>
      <c r="FV34" s="801"/>
      <c r="FW34" s="826"/>
      <c r="FX34" s="826"/>
      <c r="FY34" s="826"/>
      <c r="FZ34" s="827"/>
      <c r="GA34" s="800" t="str">
        <f>IFERROR(IF(GZ26&gt;GA26-1,IF(INDEX(Lista_Pedidos,GY26+GA26-1,6)&lt;&gt;"","Nombre de la Tela :     "&amp; INDEX(Lista_Pedidos,GY26+GA26-1,6),""),""),"")</f>
        <v/>
      </c>
      <c r="GB34" s="801"/>
      <c r="GC34" s="801"/>
      <c r="GD34" s="801"/>
      <c r="GE34" s="801"/>
      <c r="GF34" s="801"/>
      <c r="GG34" s="801"/>
      <c r="GH34" s="801"/>
      <c r="GI34" s="801"/>
      <c r="GJ34" s="801"/>
      <c r="GK34" s="801"/>
      <c r="GL34" s="801"/>
      <c r="GM34" s="801"/>
      <c r="GN34" s="801"/>
      <c r="GO34" s="801"/>
      <c r="GP34" s="801"/>
      <c r="GQ34" s="801"/>
      <c r="GR34" s="801"/>
      <c r="GS34" s="801"/>
      <c r="GT34" s="801"/>
      <c r="GU34" s="801"/>
      <c r="GV34" s="801"/>
      <c r="GW34" s="826"/>
      <c r="GX34" s="826"/>
      <c r="GY34" s="826"/>
      <c r="GZ34" s="827"/>
      <c r="HA34" s="800" t="str">
        <f>IFERROR(IF(HZ26&gt;HA26-1,IF(INDEX(Lista_Pedidos,HY26+HA26-1,6)&lt;&gt;"","Nombre de la Tela :     "&amp; INDEX(Lista_Pedidos,HY26+HA26-1,6),""),""),"")</f>
        <v/>
      </c>
      <c r="HB34" s="801"/>
      <c r="HC34" s="801"/>
      <c r="HD34" s="801"/>
      <c r="HE34" s="801"/>
      <c r="HF34" s="801"/>
      <c r="HG34" s="801"/>
      <c r="HH34" s="801"/>
      <c r="HI34" s="801"/>
      <c r="HJ34" s="801"/>
      <c r="HK34" s="801"/>
      <c r="HL34" s="801"/>
      <c r="HM34" s="801"/>
      <c r="HN34" s="801"/>
      <c r="HO34" s="801"/>
      <c r="HP34" s="801"/>
      <c r="HQ34" s="801"/>
      <c r="HR34" s="801"/>
      <c r="HS34" s="801"/>
      <c r="HT34" s="801"/>
      <c r="HU34" s="801"/>
      <c r="HV34" s="801"/>
      <c r="HW34" s="826"/>
      <c r="HX34" s="826"/>
      <c r="HY34" s="826"/>
      <c r="HZ34" s="827"/>
      <c r="IA34" s="800" t="str">
        <f>IFERROR(IF(IZ26&gt;IA26-1,IF(INDEX(Lista_Pedidos,IY26+IA26-1,6)&lt;&gt;"","Nombre de la Tela :     "&amp; INDEX(Lista_Pedidos,IY26+IA26-1,6),""),""),"")</f>
        <v/>
      </c>
      <c r="IB34" s="801"/>
      <c r="IC34" s="801"/>
      <c r="ID34" s="801"/>
      <c r="IE34" s="801"/>
      <c r="IF34" s="801"/>
      <c r="IG34" s="801"/>
      <c r="IH34" s="801"/>
      <c r="II34" s="801"/>
      <c r="IJ34" s="801"/>
      <c r="IK34" s="801"/>
      <c r="IL34" s="801"/>
      <c r="IM34" s="801"/>
      <c r="IN34" s="801"/>
      <c r="IO34" s="801"/>
      <c r="IP34" s="801"/>
      <c r="IQ34" s="801"/>
      <c r="IR34" s="801"/>
      <c r="IS34" s="801"/>
      <c r="IT34" s="801"/>
      <c r="IU34" s="801"/>
      <c r="IV34" s="801"/>
      <c r="IW34" s="826"/>
      <c r="IX34" s="826"/>
      <c r="IY34" s="826"/>
      <c r="IZ34" s="827"/>
    </row>
    <row r="35" spans="1:260" x14ac:dyDescent="0.25">
      <c r="A35" s="800" t="str">
        <f>IFERROR(IF(Z26&gt;A26-1,IF(INDEX(Lista_Pedidos,Y26+A26-1,7)&lt;&gt;"","Hilo :     "&amp; INDEX(Lista_Pedidos,Y26+A26-1,7),""),""),"")</f>
        <v/>
      </c>
      <c r="B35" s="801"/>
      <c r="C35" s="801"/>
      <c r="D35" s="801"/>
      <c r="E35" s="801"/>
      <c r="F35" s="801"/>
      <c r="G35" s="801"/>
      <c r="H35" s="801"/>
      <c r="I35" s="801"/>
      <c r="J35" s="801"/>
      <c r="K35" s="801"/>
      <c r="L35" s="801"/>
      <c r="M35" s="801"/>
      <c r="N35" s="801"/>
      <c r="O35" s="801"/>
      <c r="P35" s="801"/>
      <c r="Q35" s="801"/>
      <c r="R35" s="801"/>
      <c r="S35" s="801"/>
      <c r="T35" s="801"/>
      <c r="U35" s="801"/>
      <c r="V35" s="801"/>
      <c r="W35" s="801"/>
      <c r="X35" s="801"/>
      <c r="Y35" s="801"/>
      <c r="Z35" s="802"/>
      <c r="AA35" s="800" t="str">
        <f>IFERROR(IF(AZ26&gt;AA26-1,IF(INDEX(Lista_Pedidos,AY26+AA26-1,7)&lt;&gt;"","Hilo :     "&amp; INDEX(Lista_Pedidos,AY26+AA26-1,7),""),""),"")</f>
        <v>Hilo :     Amarillo</v>
      </c>
      <c r="AB35" s="801"/>
      <c r="AC35" s="801"/>
      <c r="AD35" s="801"/>
      <c r="AE35" s="801"/>
      <c r="AF35" s="801"/>
      <c r="AG35" s="801"/>
      <c r="AH35" s="801"/>
      <c r="AI35" s="801"/>
      <c r="AJ35" s="801"/>
      <c r="AK35" s="801"/>
      <c r="AL35" s="801"/>
      <c r="AM35" s="801"/>
      <c r="AN35" s="801"/>
      <c r="AO35" s="801"/>
      <c r="AP35" s="801"/>
      <c r="AQ35" s="801"/>
      <c r="AR35" s="801"/>
      <c r="AS35" s="801"/>
      <c r="AT35" s="801"/>
      <c r="AU35" s="801"/>
      <c r="AV35" s="801"/>
      <c r="AW35" s="801"/>
      <c r="AX35" s="801"/>
      <c r="AY35" s="801"/>
      <c r="AZ35" s="802"/>
      <c r="BA35" s="800" t="str">
        <f>IFERROR(IF(BZ26&gt;BA26-1,IF(INDEX(Lista_Pedidos,BY26+BA26-1,7)&lt;&gt;"","Hilo :     "&amp; INDEX(Lista_Pedidos,BY26+BA26-1,7),""),""),"")</f>
        <v/>
      </c>
      <c r="BB35" s="801"/>
      <c r="BC35" s="801"/>
      <c r="BD35" s="801"/>
      <c r="BE35" s="801"/>
      <c r="BF35" s="801"/>
      <c r="BG35" s="801"/>
      <c r="BH35" s="801"/>
      <c r="BI35" s="801"/>
      <c r="BJ35" s="801"/>
      <c r="BK35" s="801"/>
      <c r="BL35" s="801"/>
      <c r="BM35" s="801"/>
      <c r="BN35" s="801"/>
      <c r="BO35" s="801"/>
      <c r="BP35" s="801"/>
      <c r="BQ35" s="801"/>
      <c r="BR35" s="801"/>
      <c r="BS35" s="801"/>
      <c r="BT35" s="801"/>
      <c r="BU35" s="801"/>
      <c r="BV35" s="801"/>
      <c r="BW35" s="801"/>
      <c r="BX35" s="801"/>
      <c r="BY35" s="801"/>
      <c r="BZ35" s="802"/>
      <c r="CA35" s="800" t="str">
        <f>IFERROR(IF(CZ26&gt;CA26-1,IF(INDEX(Lista_Pedidos,CY26+CA26-1,7)&lt;&gt;"","Hilo :     "&amp; INDEX(Lista_Pedidos,CY26+CA26-1,7),""),""),"")</f>
        <v/>
      </c>
      <c r="CB35" s="801"/>
      <c r="CC35" s="801"/>
      <c r="CD35" s="801"/>
      <c r="CE35" s="801"/>
      <c r="CF35" s="801"/>
      <c r="CG35" s="801"/>
      <c r="CH35" s="801"/>
      <c r="CI35" s="801"/>
      <c r="CJ35" s="801"/>
      <c r="CK35" s="801"/>
      <c r="CL35" s="801"/>
      <c r="CM35" s="801"/>
      <c r="CN35" s="801"/>
      <c r="CO35" s="801"/>
      <c r="CP35" s="801"/>
      <c r="CQ35" s="801"/>
      <c r="CR35" s="801"/>
      <c r="CS35" s="801"/>
      <c r="CT35" s="801"/>
      <c r="CU35" s="801"/>
      <c r="CV35" s="801"/>
      <c r="CW35" s="801"/>
      <c r="CX35" s="801"/>
      <c r="CY35" s="801"/>
      <c r="CZ35" s="802"/>
      <c r="DA35" s="800" t="str">
        <f>IFERROR(IF(DZ26&gt;DA26-1,IF(INDEX(Lista_Pedidos,DY26+DA26-1,7)&lt;&gt;"","Hilo :     "&amp; INDEX(Lista_Pedidos,DY26+DA26-1,7),""),""),"")</f>
        <v/>
      </c>
      <c r="DB35" s="801"/>
      <c r="DC35" s="801"/>
      <c r="DD35" s="801"/>
      <c r="DE35" s="801"/>
      <c r="DF35" s="801"/>
      <c r="DG35" s="801"/>
      <c r="DH35" s="801"/>
      <c r="DI35" s="801"/>
      <c r="DJ35" s="801"/>
      <c r="DK35" s="801"/>
      <c r="DL35" s="801"/>
      <c r="DM35" s="801"/>
      <c r="DN35" s="801"/>
      <c r="DO35" s="801"/>
      <c r="DP35" s="801"/>
      <c r="DQ35" s="801"/>
      <c r="DR35" s="801"/>
      <c r="DS35" s="801"/>
      <c r="DT35" s="801"/>
      <c r="DU35" s="801"/>
      <c r="DV35" s="801"/>
      <c r="DW35" s="801"/>
      <c r="DX35" s="801"/>
      <c r="DY35" s="801"/>
      <c r="DZ35" s="802"/>
      <c r="EA35" s="800" t="str">
        <f>IFERROR(IF(EZ26&gt;EA26-1,IF(INDEX(Lista_Pedidos,EY26+EA26-1,7)&lt;&gt;"","Hilo :     "&amp; INDEX(Lista_Pedidos,EY26+EA26-1,7),""),""),"")</f>
        <v/>
      </c>
      <c r="EB35" s="801"/>
      <c r="EC35" s="801"/>
      <c r="ED35" s="801"/>
      <c r="EE35" s="801"/>
      <c r="EF35" s="801"/>
      <c r="EG35" s="801"/>
      <c r="EH35" s="801"/>
      <c r="EI35" s="801"/>
      <c r="EJ35" s="801"/>
      <c r="EK35" s="801"/>
      <c r="EL35" s="801"/>
      <c r="EM35" s="801"/>
      <c r="EN35" s="801"/>
      <c r="EO35" s="801"/>
      <c r="EP35" s="801"/>
      <c r="EQ35" s="801"/>
      <c r="ER35" s="801"/>
      <c r="ES35" s="801"/>
      <c r="ET35" s="801"/>
      <c r="EU35" s="801"/>
      <c r="EV35" s="801"/>
      <c r="EW35" s="801"/>
      <c r="EX35" s="801"/>
      <c r="EY35" s="801"/>
      <c r="EZ35" s="802"/>
      <c r="FA35" s="800" t="str">
        <f>IFERROR(IF(FZ26&gt;FA26-1,IF(INDEX(Lista_Pedidos,FY26+FA26-1,7)&lt;&gt;"","Hilo :     "&amp; INDEX(Lista_Pedidos,FY26+FA26-1,7),""),""),"")</f>
        <v/>
      </c>
      <c r="FB35" s="801"/>
      <c r="FC35" s="801"/>
      <c r="FD35" s="801"/>
      <c r="FE35" s="801"/>
      <c r="FF35" s="801"/>
      <c r="FG35" s="801"/>
      <c r="FH35" s="801"/>
      <c r="FI35" s="801"/>
      <c r="FJ35" s="801"/>
      <c r="FK35" s="801"/>
      <c r="FL35" s="801"/>
      <c r="FM35" s="801"/>
      <c r="FN35" s="801"/>
      <c r="FO35" s="801"/>
      <c r="FP35" s="801"/>
      <c r="FQ35" s="801"/>
      <c r="FR35" s="801"/>
      <c r="FS35" s="801"/>
      <c r="FT35" s="801"/>
      <c r="FU35" s="801"/>
      <c r="FV35" s="801"/>
      <c r="FW35" s="801"/>
      <c r="FX35" s="801"/>
      <c r="FY35" s="801"/>
      <c r="FZ35" s="802"/>
      <c r="GA35" s="800" t="str">
        <f>IFERROR(IF(GZ26&gt;GA26-1,IF(INDEX(Lista_Pedidos,GY26+GA26-1,7)&lt;&gt;"","Hilo :     "&amp; INDEX(Lista_Pedidos,GY26+GA26-1,7),""),""),"")</f>
        <v/>
      </c>
      <c r="GB35" s="801"/>
      <c r="GC35" s="801"/>
      <c r="GD35" s="801"/>
      <c r="GE35" s="801"/>
      <c r="GF35" s="801"/>
      <c r="GG35" s="801"/>
      <c r="GH35" s="801"/>
      <c r="GI35" s="801"/>
      <c r="GJ35" s="801"/>
      <c r="GK35" s="801"/>
      <c r="GL35" s="801"/>
      <c r="GM35" s="801"/>
      <c r="GN35" s="801"/>
      <c r="GO35" s="801"/>
      <c r="GP35" s="801"/>
      <c r="GQ35" s="801"/>
      <c r="GR35" s="801"/>
      <c r="GS35" s="801"/>
      <c r="GT35" s="801"/>
      <c r="GU35" s="801"/>
      <c r="GV35" s="801"/>
      <c r="GW35" s="801"/>
      <c r="GX35" s="801"/>
      <c r="GY35" s="801"/>
      <c r="GZ35" s="802"/>
      <c r="HA35" s="800" t="str">
        <f>IFERROR(IF(HZ26&gt;HA26-1,IF(INDEX(Lista_Pedidos,HY26+HA26-1,7)&lt;&gt;"","Hilo :     "&amp; INDEX(Lista_Pedidos,HY26+HA26-1,7),""),""),"")</f>
        <v/>
      </c>
      <c r="HB35" s="801"/>
      <c r="HC35" s="801"/>
      <c r="HD35" s="801"/>
      <c r="HE35" s="801"/>
      <c r="HF35" s="801"/>
      <c r="HG35" s="801"/>
      <c r="HH35" s="801"/>
      <c r="HI35" s="801"/>
      <c r="HJ35" s="801"/>
      <c r="HK35" s="801"/>
      <c r="HL35" s="801"/>
      <c r="HM35" s="801"/>
      <c r="HN35" s="801"/>
      <c r="HO35" s="801"/>
      <c r="HP35" s="801"/>
      <c r="HQ35" s="801"/>
      <c r="HR35" s="801"/>
      <c r="HS35" s="801"/>
      <c r="HT35" s="801"/>
      <c r="HU35" s="801"/>
      <c r="HV35" s="801"/>
      <c r="HW35" s="801"/>
      <c r="HX35" s="801"/>
      <c r="HY35" s="801"/>
      <c r="HZ35" s="802"/>
      <c r="IA35" s="800" t="str">
        <f>IFERROR(IF(IZ26&gt;IA26-1,IF(INDEX(Lista_Pedidos,IY26+IA26-1,7)&lt;&gt;"","Hilo :     "&amp; INDEX(Lista_Pedidos,IY26+IA26-1,7),""),""),"")</f>
        <v/>
      </c>
      <c r="IB35" s="801"/>
      <c r="IC35" s="801"/>
      <c r="ID35" s="801"/>
      <c r="IE35" s="801"/>
      <c r="IF35" s="801"/>
      <c r="IG35" s="801"/>
      <c r="IH35" s="801"/>
      <c r="II35" s="801"/>
      <c r="IJ35" s="801"/>
      <c r="IK35" s="801"/>
      <c r="IL35" s="801"/>
      <c r="IM35" s="801"/>
      <c r="IN35" s="801"/>
      <c r="IO35" s="801"/>
      <c r="IP35" s="801"/>
      <c r="IQ35" s="801"/>
      <c r="IR35" s="801"/>
      <c r="IS35" s="801"/>
      <c r="IT35" s="801"/>
      <c r="IU35" s="801"/>
      <c r="IV35" s="801"/>
      <c r="IW35" s="801"/>
      <c r="IX35" s="801"/>
      <c r="IY35" s="801"/>
      <c r="IZ35" s="802"/>
    </row>
    <row r="36" spans="1:260" x14ac:dyDescent="0.25">
      <c r="A36" s="800" t="str">
        <f>IFERROR(IF(Z26&gt;A26-1,IF(INDEX(Lista_Pedidos,Y26+A26-1,8)&lt;&gt;"","Forro :     "&amp; INDEX(Lista_Pedidos,Y26+A26-1,8),""),""),"")</f>
        <v/>
      </c>
      <c r="B36" s="801"/>
      <c r="C36" s="801"/>
      <c r="D36" s="801"/>
      <c r="E36" s="801"/>
      <c r="F36" s="801"/>
      <c r="G36" s="801"/>
      <c r="H36" s="801"/>
      <c r="I36" s="801"/>
      <c r="J36" s="801"/>
      <c r="K36" s="801"/>
      <c r="L36" s="801"/>
      <c r="M36" s="801"/>
      <c r="N36" s="801"/>
      <c r="O36" s="801"/>
      <c r="P36" s="801"/>
      <c r="Q36" s="801"/>
      <c r="R36" s="801"/>
      <c r="S36" s="801"/>
      <c r="T36" s="801"/>
      <c r="U36" s="801"/>
      <c r="V36" s="801"/>
      <c r="W36" s="801"/>
      <c r="X36" s="801"/>
      <c r="Y36" s="801"/>
      <c r="Z36" s="802"/>
      <c r="AA36" s="800" t="str">
        <f>IFERROR(IF(AZ26&gt;AA26-1,IF(INDEX(Lista_Pedidos,AY26+AA26-1,8)&lt;&gt;"","Forro :     "&amp; INDEX(Lista_Pedidos,AY26+AA26-1,8),""),""),"")</f>
        <v/>
      </c>
      <c r="AB36" s="801"/>
      <c r="AC36" s="801"/>
      <c r="AD36" s="801"/>
      <c r="AE36" s="801"/>
      <c r="AF36" s="801"/>
      <c r="AG36" s="801"/>
      <c r="AH36" s="801"/>
      <c r="AI36" s="801"/>
      <c r="AJ36" s="801"/>
      <c r="AK36" s="801"/>
      <c r="AL36" s="801"/>
      <c r="AM36" s="801"/>
      <c r="AN36" s="801"/>
      <c r="AO36" s="801"/>
      <c r="AP36" s="801"/>
      <c r="AQ36" s="801"/>
      <c r="AR36" s="801"/>
      <c r="AS36" s="801"/>
      <c r="AT36" s="801"/>
      <c r="AU36" s="801"/>
      <c r="AV36" s="801"/>
      <c r="AW36" s="801"/>
      <c r="AX36" s="801"/>
      <c r="AY36" s="801"/>
      <c r="AZ36" s="802"/>
      <c r="BA36" s="800" t="str">
        <f>IFERROR(IF(BZ26&gt;BA26-1,IF(INDEX(Lista_Pedidos,BY26+BA26-1,8)&lt;&gt;"","Forro :     "&amp; INDEX(Lista_Pedidos,BY26+BA26-1,8),""),""),"")</f>
        <v/>
      </c>
      <c r="BB36" s="801"/>
      <c r="BC36" s="801"/>
      <c r="BD36" s="801"/>
      <c r="BE36" s="801"/>
      <c r="BF36" s="801"/>
      <c r="BG36" s="801"/>
      <c r="BH36" s="801"/>
      <c r="BI36" s="801"/>
      <c r="BJ36" s="801"/>
      <c r="BK36" s="801"/>
      <c r="BL36" s="801"/>
      <c r="BM36" s="801"/>
      <c r="BN36" s="801"/>
      <c r="BO36" s="801"/>
      <c r="BP36" s="801"/>
      <c r="BQ36" s="801"/>
      <c r="BR36" s="801"/>
      <c r="BS36" s="801"/>
      <c r="BT36" s="801"/>
      <c r="BU36" s="801"/>
      <c r="BV36" s="801"/>
      <c r="BW36" s="801"/>
      <c r="BX36" s="801"/>
      <c r="BY36" s="801"/>
      <c r="BZ36" s="802"/>
      <c r="CA36" s="800" t="str">
        <f>IFERROR(IF(CZ26&gt;CA26-1,IF(INDEX(Lista_Pedidos,CY26+CA26-1,8)&lt;&gt;"","Forro :     "&amp; INDEX(Lista_Pedidos,CY26+CA26-1,8),""),""),"")</f>
        <v/>
      </c>
      <c r="CB36" s="801"/>
      <c r="CC36" s="801"/>
      <c r="CD36" s="801"/>
      <c r="CE36" s="801"/>
      <c r="CF36" s="801"/>
      <c r="CG36" s="801"/>
      <c r="CH36" s="801"/>
      <c r="CI36" s="801"/>
      <c r="CJ36" s="801"/>
      <c r="CK36" s="801"/>
      <c r="CL36" s="801"/>
      <c r="CM36" s="801"/>
      <c r="CN36" s="801"/>
      <c r="CO36" s="801"/>
      <c r="CP36" s="801"/>
      <c r="CQ36" s="801"/>
      <c r="CR36" s="801"/>
      <c r="CS36" s="801"/>
      <c r="CT36" s="801"/>
      <c r="CU36" s="801"/>
      <c r="CV36" s="801"/>
      <c r="CW36" s="801"/>
      <c r="CX36" s="801"/>
      <c r="CY36" s="801"/>
      <c r="CZ36" s="802"/>
      <c r="DA36" s="800" t="str">
        <f>IFERROR(IF(DZ26&gt;DA26-1,IF(INDEX(Lista_Pedidos,DY26+DA26-1,8)&lt;&gt;"","Forro :     "&amp; INDEX(Lista_Pedidos,DY26+DA26-1,8),""),""),"")</f>
        <v/>
      </c>
      <c r="DB36" s="801"/>
      <c r="DC36" s="801"/>
      <c r="DD36" s="801"/>
      <c r="DE36" s="801"/>
      <c r="DF36" s="801"/>
      <c r="DG36" s="801"/>
      <c r="DH36" s="801"/>
      <c r="DI36" s="801"/>
      <c r="DJ36" s="801"/>
      <c r="DK36" s="801"/>
      <c r="DL36" s="801"/>
      <c r="DM36" s="801"/>
      <c r="DN36" s="801"/>
      <c r="DO36" s="801"/>
      <c r="DP36" s="801"/>
      <c r="DQ36" s="801"/>
      <c r="DR36" s="801"/>
      <c r="DS36" s="801"/>
      <c r="DT36" s="801"/>
      <c r="DU36" s="801"/>
      <c r="DV36" s="801"/>
      <c r="DW36" s="801"/>
      <c r="DX36" s="801"/>
      <c r="DY36" s="801"/>
      <c r="DZ36" s="802"/>
      <c r="EA36" s="800" t="str">
        <f>IFERROR(IF(EZ26&gt;EA26-1,IF(INDEX(Lista_Pedidos,EY26+EA26-1,8)&lt;&gt;"","Forro :     "&amp; INDEX(Lista_Pedidos,EY26+EA26-1,8),""),""),"")</f>
        <v/>
      </c>
      <c r="EB36" s="801"/>
      <c r="EC36" s="801"/>
      <c r="ED36" s="801"/>
      <c r="EE36" s="801"/>
      <c r="EF36" s="801"/>
      <c r="EG36" s="801"/>
      <c r="EH36" s="801"/>
      <c r="EI36" s="801"/>
      <c r="EJ36" s="801"/>
      <c r="EK36" s="801"/>
      <c r="EL36" s="801"/>
      <c r="EM36" s="801"/>
      <c r="EN36" s="801"/>
      <c r="EO36" s="801"/>
      <c r="EP36" s="801"/>
      <c r="EQ36" s="801"/>
      <c r="ER36" s="801"/>
      <c r="ES36" s="801"/>
      <c r="ET36" s="801"/>
      <c r="EU36" s="801"/>
      <c r="EV36" s="801"/>
      <c r="EW36" s="801"/>
      <c r="EX36" s="801"/>
      <c r="EY36" s="801"/>
      <c r="EZ36" s="802"/>
      <c r="FA36" s="800" t="str">
        <f>IFERROR(IF(FZ26&gt;FA26-1,IF(INDEX(Lista_Pedidos,FY26+FA26-1,8)&lt;&gt;"","Forro :     "&amp; INDEX(Lista_Pedidos,FY26+FA26-1,8),""),""),"")</f>
        <v/>
      </c>
      <c r="FB36" s="801"/>
      <c r="FC36" s="801"/>
      <c r="FD36" s="801"/>
      <c r="FE36" s="801"/>
      <c r="FF36" s="801"/>
      <c r="FG36" s="801"/>
      <c r="FH36" s="801"/>
      <c r="FI36" s="801"/>
      <c r="FJ36" s="801"/>
      <c r="FK36" s="801"/>
      <c r="FL36" s="801"/>
      <c r="FM36" s="801"/>
      <c r="FN36" s="801"/>
      <c r="FO36" s="801"/>
      <c r="FP36" s="801"/>
      <c r="FQ36" s="801"/>
      <c r="FR36" s="801"/>
      <c r="FS36" s="801"/>
      <c r="FT36" s="801"/>
      <c r="FU36" s="801"/>
      <c r="FV36" s="801"/>
      <c r="FW36" s="801"/>
      <c r="FX36" s="801"/>
      <c r="FY36" s="801"/>
      <c r="FZ36" s="802"/>
      <c r="GA36" s="800" t="str">
        <f>IFERROR(IF(GZ26&gt;GA26-1,IF(INDEX(Lista_Pedidos,GY26+GA26-1,8)&lt;&gt;"","Forro :     "&amp; INDEX(Lista_Pedidos,GY26+GA26-1,8),""),""),"")</f>
        <v/>
      </c>
      <c r="GB36" s="801"/>
      <c r="GC36" s="801"/>
      <c r="GD36" s="801"/>
      <c r="GE36" s="801"/>
      <c r="GF36" s="801"/>
      <c r="GG36" s="801"/>
      <c r="GH36" s="801"/>
      <c r="GI36" s="801"/>
      <c r="GJ36" s="801"/>
      <c r="GK36" s="801"/>
      <c r="GL36" s="801"/>
      <c r="GM36" s="801"/>
      <c r="GN36" s="801"/>
      <c r="GO36" s="801"/>
      <c r="GP36" s="801"/>
      <c r="GQ36" s="801"/>
      <c r="GR36" s="801"/>
      <c r="GS36" s="801"/>
      <c r="GT36" s="801"/>
      <c r="GU36" s="801"/>
      <c r="GV36" s="801"/>
      <c r="GW36" s="801"/>
      <c r="GX36" s="801"/>
      <c r="GY36" s="801"/>
      <c r="GZ36" s="802"/>
      <c r="HA36" s="800" t="str">
        <f>IFERROR(IF(HZ26&gt;HA26-1,IF(INDEX(Lista_Pedidos,HY26+HA26-1,8)&lt;&gt;"","Forro :     "&amp; INDEX(Lista_Pedidos,HY26+HA26-1,8),""),""),"")</f>
        <v/>
      </c>
      <c r="HB36" s="801"/>
      <c r="HC36" s="801"/>
      <c r="HD36" s="801"/>
      <c r="HE36" s="801"/>
      <c r="HF36" s="801"/>
      <c r="HG36" s="801"/>
      <c r="HH36" s="801"/>
      <c r="HI36" s="801"/>
      <c r="HJ36" s="801"/>
      <c r="HK36" s="801"/>
      <c r="HL36" s="801"/>
      <c r="HM36" s="801"/>
      <c r="HN36" s="801"/>
      <c r="HO36" s="801"/>
      <c r="HP36" s="801"/>
      <c r="HQ36" s="801"/>
      <c r="HR36" s="801"/>
      <c r="HS36" s="801"/>
      <c r="HT36" s="801"/>
      <c r="HU36" s="801"/>
      <c r="HV36" s="801"/>
      <c r="HW36" s="801"/>
      <c r="HX36" s="801"/>
      <c r="HY36" s="801"/>
      <c r="HZ36" s="802"/>
      <c r="IA36" s="800" t="str">
        <f>IFERROR(IF(IZ26&gt;IA26-1,IF(INDEX(Lista_Pedidos,IY26+IA26-1,8)&lt;&gt;"","Forro :     "&amp; INDEX(Lista_Pedidos,IY26+IA26-1,8),""),""),"")</f>
        <v/>
      </c>
      <c r="IB36" s="801"/>
      <c r="IC36" s="801"/>
      <c r="ID36" s="801"/>
      <c r="IE36" s="801"/>
      <c r="IF36" s="801"/>
      <c r="IG36" s="801"/>
      <c r="IH36" s="801"/>
      <c r="II36" s="801"/>
      <c r="IJ36" s="801"/>
      <c r="IK36" s="801"/>
      <c r="IL36" s="801"/>
      <c r="IM36" s="801"/>
      <c r="IN36" s="801"/>
      <c r="IO36" s="801"/>
      <c r="IP36" s="801"/>
      <c r="IQ36" s="801"/>
      <c r="IR36" s="801"/>
      <c r="IS36" s="801"/>
      <c r="IT36" s="801"/>
      <c r="IU36" s="801"/>
      <c r="IV36" s="801"/>
      <c r="IW36" s="801"/>
      <c r="IX36" s="801"/>
      <c r="IY36" s="801"/>
      <c r="IZ36" s="802"/>
    </row>
    <row r="37" spans="1:260" x14ac:dyDescent="0.25">
      <c r="A37" s="800" t="str">
        <f>IF(A$5="Cliente Especial : NEON",IF(Z26&gt;A26-1,"Neon :      Si",""),"")</f>
        <v/>
      </c>
      <c r="B37" s="801"/>
      <c r="C37" s="801"/>
      <c r="D37" s="801"/>
      <c r="E37" s="801"/>
      <c r="F37" s="801"/>
      <c r="G37" s="801"/>
      <c r="H37" s="801"/>
      <c r="I37" s="801"/>
      <c r="J37" s="801"/>
      <c r="K37" s="801"/>
      <c r="L37" s="801"/>
      <c r="M37" s="801"/>
      <c r="N37" s="801"/>
      <c r="O37" s="801"/>
      <c r="P37" s="801"/>
      <c r="Q37" s="801"/>
      <c r="R37" s="801"/>
      <c r="S37" s="801"/>
      <c r="T37" s="801"/>
      <c r="U37" s="801"/>
      <c r="V37" s="801"/>
      <c r="W37" s="801"/>
      <c r="X37" s="801"/>
      <c r="Y37" s="801"/>
      <c r="Z37" s="802"/>
      <c r="AA37" s="800" t="str">
        <f>IF(AA$5="Cliente Especial : NEON",IF(AZ26&gt;AA26-1,"Neon :      Si",""),"")</f>
        <v/>
      </c>
      <c r="AB37" s="801"/>
      <c r="AC37" s="801"/>
      <c r="AD37" s="801"/>
      <c r="AE37" s="801"/>
      <c r="AF37" s="801"/>
      <c r="AG37" s="801"/>
      <c r="AH37" s="801"/>
      <c r="AI37" s="801"/>
      <c r="AJ37" s="801"/>
      <c r="AK37" s="801"/>
      <c r="AL37" s="801"/>
      <c r="AM37" s="801"/>
      <c r="AN37" s="801"/>
      <c r="AO37" s="801"/>
      <c r="AP37" s="801"/>
      <c r="AQ37" s="801"/>
      <c r="AR37" s="801"/>
      <c r="AS37" s="801"/>
      <c r="AT37" s="801"/>
      <c r="AU37" s="801"/>
      <c r="AV37" s="801"/>
      <c r="AW37" s="801"/>
      <c r="AX37" s="801"/>
      <c r="AY37" s="801"/>
      <c r="AZ37" s="802"/>
      <c r="BA37" s="800" t="str">
        <f>IF(BA$5="Cliente Especial : NEON",IF(BZ26&gt;BA26-1,"Neon :      Si",""),"")</f>
        <v/>
      </c>
      <c r="BB37" s="801"/>
      <c r="BC37" s="801"/>
      <c r="BD37" s="801"/>
      <c r="BE37" s="801"/>
      <c r="BF37" s="801"/>
      <c r="BG37" s="801"/>
      <c r="BH37" s="801"/>
      <c r="BI37" s="801"/>
      <c r="BJ37" s="801"/>
      <c r="BK37" s="801"/>
      <c r="BL37" s="801"/>
      <c r="BM37" s="801"/>
      <c r="BN37" s="801"/>
      <c r="BO37" s="801"/>
      <c r="BP37" s="801"/>
      <c r="BQ37" s="801"/>
      <c r="BR37" s="801"/>
      <c r="BS37" s="801"/>
      <c r="BT37" s="801"/>
      <c r="BU37" s="801"/>
      <c r="BV37" s="801"/>
      <c r="BW37" s="801"/>
      <c r="BX37" s="801"/>
      <c r="BY37" s="801"/>
      <c r="BZ37" s="802"/>
      <c r="CA37" s="800" t="str">
        <f>IF(CA$5="Cliente Especial : NEON",IF(CZ26&gt;CA26-1,"Neon :      Si",""),"")</f>
        <v/>
      </c>
      <c r="CB37" s="801"/>
      <c r="CC37" s="801"/>
      <c r="CD37" s="801"/>
      <c r="CE37" s="801"/>
      <c r="CF37" s="801"/>
      <c r="CG37" s="801"/>
      <c r="CH37" s="801"/>
      <c r="CI37" s="801"/>
      <c r="CJ37" s="801"/>
      <c r="CK37" s="801"/>
      <c r="CL37" s="801"/>
      <c r="CM37" s="801"/>
      <c r="CN37" s="801"/>
      <c r="CO37" s="801"/>
      <c r="CP37" s="801"/>
      <c r="CQ37" s="801"/>
      <c r="CR37" s="801"/>
      <c r="CS37" s="801"/>
      <c r="CT37" s="801"/>
      <c r="CU37" s="801"/>
      <c r="CV37" s="801"/>
      <c r="CW37" s="801"/>
      <c r="CX37" s="801"/>
      <c r="CY37" s="801"/>
      <c r="CZ37" s="802"/>
      <c r="DA37" s="800" t="str">
        <f>IF(DA$5="Cliente Especial : NEON",IF(DZ26&gt;DA26-1,"Neon :      Si",""),"")</f>
        <v/>
      </c>
      <c r="DB37" s="801"/>
      <c r="DC37" s="801"/>
      <c r="DD37" s="801"/>
      <c r="DE37" s="801"/>
      <c r="DF37" s="801"/>
      <c r="DG37" s="801"/>
      <c r="DH37" s="801"/>
      <c r="DI37" s="801"/>
      <c r="DJ37" s="801"/>
      <c r="DK37" s="801"/>
      <c r="DL37" s="801"/>
      <c r="DM37" s="801"/>
      <c r="DN37" s="801"/>
      <c r="DO37" s="801"/>
      <c r="DP37" s="801"/>
      <c r="DQ37" s="801"/>
      <c r="DR37" s="801"/>
      <c r="DS37" s="801"/>
      <c r="DT37" s="801"/>
      <c r="DU37" s="801"/>
      <c r="DV37" s="801"/>
      <c r="DW37" s="801"/>
      <c r="DX37" s="801"/>
      <c r="DY37" s="801"/>
      <c r="DZ37" s="802"/>
      <c r="EA37" s="800" t="str">
        <f>IF(EA$5="Cliente Especial : NEON",IF(EZ26&gt;EA26-1,"Neon :      Si",""),"")</f>
        <v/>
      </c>
      <c r="EB37" s="801"/>
      <c r="EC37" s="801"/>
      <c r="ED37" s="801"/>
      <c r="EE37" s="801"/>
      <c r="EF37" s="801"/>
      <c r="EG37" s="801"/>
      <c r="EH37" s="801"/>
      <c r="EI37" s="801"/>
      <c r="EJ37" s="801"/>
      <c r="EK37" s="801"/>
      <c r="EL37" s="801"/>
      <c r="EM37" s="801"/>
      <c r="EN37" s="801"/>
      <c r="EO37" s="801"/>
      <c r="EP37" s="801"/>
      <c r="EQ37" s="801"/>
      <c r="ER37" s="801"/>
      <c r="ES37" s="801"/>
      <c r="ET37" s="801"/>
      <c r="EU37" s="801"/>
      <c r="EV37" s="801"/>
      <c r="EW37" s="801"/>
      <c r="EX37" s="801"/>
      <c r="EY37" s="801"/>
      <c r="EZ37" s="802"/>
      <c r="FA37" s="800" t="str">
        <f>IF(FA$5="Cliente Especial : NEON",IF(FZ26&gt;FA26-1,"Neon :      Si",""),"")</f>
        <v/>
      </c>
      <c r="FB37" s="801"/>
      <c r="FC37" s="801"/>
      <c r="FD37" s="801"/>
      <c r="FE37" s="801"/>
      <c r="FF37" s="801"/>
      <c r="FG37" s="801"/>
      <c r="FH37" s="801"/>
      <c r="FI37" s="801"/>
      <c r="FJ37" s="801"/>
      <c r="FK37" s="801"/>
      <c r="FL37" s="801"/>
      <c r="FM37" s="801"/>
      <c r="FN37" s="801"/>
      <c r="FO37" s="801"/>
      <c r="FP37" s="801"/>
      <c r="FQ37" s="801"/>
      <c r="FR37" s="801"/>
      <c r="FS37" s="801"/>
      <c r="FT37" s="801"/>
      <c r="FU37" s="801"/>
      <c r="FV37" s="801"/>
      <c r="FW37" s="801"/>
      <c r="FX37" s="801"/>
      <c r="FY37" s="801"/>
      <c r="FZ37" s="802"/>
      <c r="GA37" s="800" t="str">
        <f>IF(GA$5="Cliente Especial : NEON",IF(GZ26&gt;GA26-1,"Neon :      Si",""),"")</f>
        <v/>
      </c>
      <c r="GB37" s="801"/>
      <c r="GC37" s="801"/>
      <c r="GD37" s="801"/>
      <c r="GE37" s="801"/>
      <c r="GF37" s="801"/>
      <c r="GG37" s="801"/>
      <c r="GH37" s="801"/>
      <c r="GI37" s="801"/>
      <c r="GJ37" s="801"/>
      <c r="GK37" s="801"/>
      <c r="GL37" s="801"/>
      <c r="GM37" s="801"/>
      <c r="GN37" s="801"/>
      <c r="GO37" s="801"/>
      <c r="GP37" s="801"/>
      <c r="GQ37" s="801"/>
      <c r="GR37" s="801"/>
      <c r="GS37" s="801"/>
      <c r="GT37" s="801"/>
      <c r="GU37" s="801"/>
      <c r="GV37" s="801"/>
      <c r="GW37" s="801"/>
      <c r="GX37" s="801"/>
      <c r="GY37" s="801"/>
      <c r="GZ37" s="802"/>
      <c r="HA37" s="800" t="str">
        <f>IF(HA$5="Cliente Especial : NEON",IF(HZ26&gt;HA26-1,"Neon :      Si",""),"")</f>
        <v/>
      </c>
      <c r="HB37" s="801"/>
      <c r="HC37" s="801"/>
      <c r="HD37" s="801"/>
      <c r="HE37" s="801"/>
      <c r="HF37" s="801"/>
      <c r="HG37" s="801"/>
      <c r="HH37" s="801"/>
      <c r="HI37" s="801"/>
      <c r="HJ37" s="801"/>
      <c r="HK37" s="801"/>
      <c r="HL37" s="801"/>
      <c r="HM37" s="801"/>
      <c r="HN37" s="801"/>
      <c r="HO37" s="801"/>
      <c r="HP37" s="801"/>
      <c r="HQ37" s="801"/>
      <c r="HR37" s="801"/>
      <c r="HS37" s="801"/>
      <c r="HT37" s="801"/>
      <c r="HU37" s="801"/>
      <c r="HV37" s="801"/>
      <c r="HW37" s="801"/>
      <c r="HX37" s="801"/>
      <c r="HY37" s="801"/>
      <c r="HZ37" s="802"/>
      <c r="IA37" s="800" t="str">
        <f>IF(IA$5="Cliente Especial : NEON",IF(IZ26&gt;IA26-1,"Neon :      Si",""),"")</f>
        <v/>
      </c>
      <c r="IB37" s="801"/>
      <c r="IC37" s="801"/>
      <c r="ID37" s="801"/>
      <c r="IE37" s="801"/>
      <c r="IF37" s="801"/>
      <c r="IG37" s="801"/>
      <c r="IH37" s="801"/>
      <c r="II37" s="801"/>
      <c r="IJ37" s="801"/>
      <c r="IK37" s="801"/>
      <c r="IL37" s="801"/>
      <c r="IM37" s="801"/>
      <c r="IN37" s="801"/>
      <c r="IO37" s="801"/>
      <c r="IP37" s="801"/>
      <c r="IQ37" s="801"/>
      <c r="IR37" s="801"/>
      <c r="IS37" s="801"/>
      <c r="IT37" s="801"/>
      <c r="IU37" s="801"/>
      <c r="IV37" s="801"/>
      <c r="IW37" s="801"/>
      <c r="IX37" s="801"/>
      <c r="IY37" s="801"/>
      <c r="IZ37" s="802"/>
    </row>
    <row r="38" spans="1:260" x14ac:dyDescent="0.25">
      <c r="A38" s="800" t="str">
        <f>IFERROR(IF(Z26&gt;A26-1,IF(INDEX(Pedidos!J:AZ,Y26+A26-1,9)&lt;&gt;"","Cierre :     "&amp; INDEX(Pedidos!J:AZ,Y26+A26-1,9),""),""),"")</f>
        <v/>
      </c>
      <c r="B38" s="801"/>
      <c r="C38" s="801"/>
      <c r="D38" s="801"/>
      <c r="E38" s="801"/>
      <c r="F38" s="801"/>
      <c r="G38" s="801"/>
      <c r="H38" s="801"/>
      <c r="I38" s="801"/>
      <c r="J38" s="801"/>
      <c r="K38" s="801"/>
      <c r="L38" s="801"/>
      <c r="M38" s="801"/>
      <c r="N38" s="801"/>
      <c r="O38" s="801"/>
      <c r="P38" s="801"/>
      <c r="Q38" s="801"/>
      <c r="R38" s="801"/>
      <c r="S38" s="801"/>
      <c r="T38" s="801"/>
      <c r="U38" s="801"/>
      <c r="V38" s="801"/>
      <c r="W38" s="801"/>
      <c r="X38" s="801"/>
      <c r="Y38" s="801"/>
      <c r="Z38" s="802"/>
      <c r="AA38" s="800" t="str">
        <f>IFERROR(IF(AZ26&gt;AA26-1,IF(INDEX(Pedidos!AJ:BZ,AY26+AA26-1,9)&lt;&gt;"","Cierre :     "&amp; INDEX(Pedidos!AJ:BZ,AY26+AA26-1,9),""),""),"")</f>
        <v/>
      </c>
      <c r="AB38" s="801"/>
      <c r="AC38" s="801"/>
      <c r="AD38" s="801"/>
      <c r="AE38" s="801"/>
      <c r="AF38" s="801"/>
      <c r="AG38" s="801"/>
      <c r="AH38" s="801"/>
      <c r="AI38" s="801"/>
      <c r="AJ38" s="801"/>
      <c r="AK38" s="801"/>
      <c r="AL38" s="801"/>
      <c r="AM38" s="801"/>
      <c r="AN38" s="801"/>
      <c r="AO38" s="801"/>
      <c r="AP38" s="801"/>
      <c r="AQ38" s="801"/>
      <c r="AR38" s="801"/>
      <c r="AS38" s="801"/>
      <c r="AT38" s="801"/>
      <c r="AU38" s="801"/>
      <c r="AV38" s="801"/>
      <c r="AW38" s="801"/>
      <c r="AX38" s="801"/>
      <c r="AY38" s="801"/>
      <c r="AZ38" s="802"/>
      <c r="BA38" s="800" t="str">
        <f>IFERROR(IF(BZ26&gt;BA26-1,IF(INDEX(Pedidos!BJ:CZ,BY26+BA26-1,9)&lt;&gt;"","Cierre :     "&amp; INDEX(Pedidos!BJ:CZ,BY26+BA26-1,9),""),""),"")</f>
        <v/>
      </c>
      <c r="BB38" s="801"/>
      <c r="BC38" s="801"/>
      <c r="BD38" s="801"/>
      <c r="BE38" s="801"/>
      <c r="BF38" s="801"/>
      <c r="BG38" s="801"/>
      <c r="BH38" s="801"/>
      <c r="BI38" s="801"/>
      <c r="BJ38" s="801"/>
      <c r="BK38" s="801"/>
      <c r="BL38" s="801"/>
      <c r="BM38" s="801"/>
      <c r="BN38" s="801"/>
      <c r="BO38" s="801"/>
      <c r="BP38" s="801"/>
      <c r="BQ38" s="801"/>
      <c r="BR38" s="801"/>
      <c r="BS38" s="801"/>
      <c r="BT38" s="801"/>
      <c r="BU38" s="801"/>
      <c r="BV38" s="801"/>
      <c r="BW38" s="801"/>
      <c r="BX38" s="801"/>
      <c r="BY38" s="801"/>
      <c r="BZ38" s="802"/>
      <c r="CA38" s="800" t="str">
        <f>IFERROR(IF(CZ26&gt;CA26-1,IF(INDEX(Pedidos!CJ:DZ,CY26+CA26-1,9)&lt;&gt;"","Cierre :     "&amp; INDEX(Pedidos!CJ:DZ,CY26+CA26-1,9),""),""),"")</f>
        <v/>
      </c>
      <c r="CB38" s="801"/>
      <c r="CC38" s="801"/>
      <c r="CD38" s="801"/>
      <c r="CE38" s="801"/>
      <c r="CF38" s="801"/>
      <c r="CG38" s="801"/>
      <c r="CH38" s="801"/>
      <c r="CI38" s="801"/>
      <c r="CJ38" s="801"/>
      <c r="CK38" s="801"/>
      <c r="CL38" s="801"/>
      <c r="CM38" s="801"/>
      <c r="CN38" s="801"/>
      <c r="CO38" s="801"/>
      <c r="CP38" s="801"/>
      <c r="CQ38" s="801"/>
      <c r="CR38" s="801"/>
      <c r="CS38" s="801"/>
      <c r="CT38" s="801"/>
      <c r="CU38" s="801"/>
      <c r="CV38" s="801"/>
      <c r="CW38" s="801"/>
      <c r="CX38" s="801"/>
      <c r="CY38" s="801"/>
      <c r="CZ38" s="802"/>
      <c r="DA38" s="800" t="str">
        <f>IFERROR(IF(DZ26&gt;DA26-1,IF(INDEX(Pedidos!DJ:EZ,DY26+DA26-1,9)&lt;&gt;"","Cierre :     "&amp; INDEX(Pedidos!DJ:EZ,DY26+DA26-1,9),""),""),"")</f>
        <v/>
      </c>
      <c r="DB38" s="801"/>
      <c r="DC38" s="801"/>
      <c r="DD38" s="801"/>
      <c r="DE38" s="801"/>
      <c r="DF38" s="801"/>
      <c r="DG38" s="801"/>
      <c r="DH38" s="801"/>
      <c r="DI38" s="801"/>
      <c r="DJ38" s="801"/>
      <c r="DK38" s="801"/>
      <c r="DL38" s="801"/>
      <c r="DM38" s="801"/>
      <c r="DN38" s="801"/>
      <c r="DO38" s="801"/>
      <c r="DP38" s="801"/>
      <c r="DQ38" s="801"/>
      <c r="DR38" s="801"/>
      <c r="DS38" s="801"/>
      <c r="DT38" s="801"/>
      <c r="DU38" s="801"/>
      <c r="DV38" s="801"/>
      <c r="DW38" s="801"/>
      <c r="DX38" s="801"/>
      <c r="DY38" s="801"/>
      <c r="DZ38" s="802"/>
      <c r="EA38" s="800" t="str">
        <f>IFERROR(IF(EZ26&gt;EA26-1,IF(INDEX(Pedidos!EJ:FZ,EY26+EA26-1,9)&lt;&gt;"","Cierre :     "&amp; INDEX(Pedidos!EJ:FZ,EY26+EA26-1,9),""),""),"")</f>
        <v/>
      </c>
      <c r="EB38" s="801"/>
      <c r="EC38" s="801"/>
      <c r="ED38" s="801"/>
      <c r="EE38" s="801"/>
      <c r="EF38" s="801"/>
      <c r="EG38" s="801"/>
      <c r="EH38" s="801"/>
      <c r="EI38" s="801"/>
      <c r="EJ38" s="801"/>
      <c r="EK38" s="801"/>
      <c r="EL38" s="801"/>
      <c r="EM38" s="801"/>
      <c r="EN38" s="801"/>
      <c r="EO38" s="801"/>
      <c r="EP38" s="801"/>
      <c r="EQ38" s="801"/>
      <c r="ER38" s="801"/>
      <c r="ES38" s="801"/>
      <c r="ET38" s="801"/>
      <c r="EU38" s="801"/>
      <c r="EV38" s="801"/>
      <c r="EW38" s="801"/>
      <c r="EX38" s="801"/>
      <c r="EY38" s="801"/>
      <c r="EZ38" s="802"/>
      <c r="FA38" s="800" t="str">
        <f>IFERROR(IF(FZ26&gt;FA26-1,IF(INDEX(Pedidos!FJ:GZ,FY26+FA26-1,9)&lt;&gt;"","Cierre :     "&amp; INDEX(Pedidos!FJ:GZ,FY26+FA26-1,9),""),""),"")</f>
        <v/>
      </c>
      <c r="FB38" s="801"/>
      <c r="FC38" s="801"/>
      <c r="FD38" s="801"/>
      <c r="FE38" s="801"/>
      <c r="FF38" s="801"/>
      <c r="FG38" s="801"/>
      <c r="FH38" s="801"/>
      <c r="FI38" s="801"/>
      <c r="FJ38" s="801"/>
      <c r="FK38" s="801"/>
      <c r="FL38" s="801"/>
      <c r="FM38" s="801"/>
      <c r="FN38" s="801"/>
      <c r="FO38" s="801"/>
      <c r="FP38" s="801"/>
      <c r="FQ38" s="801"/>
      <c r="FR38" s="801"/>
      <c r="FS38" s="801"/>
      <c r="FT38" s="801"/>
      <c r="FU38" s="801"/>
      <c r="FV38" s="801"/>
      <c r="FW38" s="801"/>
      <c r="FX38" s="801"/>
      <c r="FY38" s="801"/>
      <c r="FZ38" s="802"/>
      <c r="GA38" s="800" t="str">
        <f>IFERROR(IF(GZ26&gt;GA26-1,IF(INDEX(Pedidos!GJ:HZ,GY26+GA26-1,9)&lt;&gt;"","Cierre :     "&amp; INDEX(Pedidos!GJ:HZ,GY26+GA26-1,9),""),""),"")</f>
        <v/>
      </c>
      <c r="GB38" s="801"/>
      <c r="GC38" s="801"/>
      <c r="GD38" s="801"/>
      <c r="GE38" s="801"/>
      <c r="GF38" s="801"/>
      <c r="GG38" s="801"/>
      <c r="GH38" s="801"/>
      <c r="GI38" s="801"/>
      <c r="GJ38" s="801"/>
      <c r="GK38" s="801"/>
      <c r="GL38" s="801"/>
      <c r="GM38" s="801"/>
      <c r="GN38" s="801"/>
      <c r="GO38" s="801"/>
      <c r="GP38" s="801"/>
      <c r="GQ38" s="801"/>
      <c r="GR38" s="801"/>
      <c r="GS38" s="801"/>
      <c r="GT38" s="801"/>
      <c r="GU38" s="801"/>
      <c r="GV38" s="801"/>
      <c r="GW38" s="801"/>
      <c r="GX38" s="801"/>
      <c r="GY38" s="801"/>
      <c r="GZ38" s="802"/>
      <c r="HA38" s="800" t="str">
        <f>IFERROR(IF(HZ26&gt;HA26-1,IF(INDEX(Pedidos!HJ:IZ,HY26+HA26-1,9)&lt;&gt;"","Cierre :     "&amp; INDEX(Pedidos!HJ:IZ,HY26+HA26-1,9),""),""),"")</f>
        <v/>
      </c>
      <c r="HB38" s="801"/>
      <c r="HC38" s="801"/>
      <c r="HD38" s="801"/>
      <c r="HE38" s="801"/>
      <c r="HF38" s="801"/>
      <c r="HG38" s="801"/>
      <c r="HH38" s="801"/>
      <c r="HI38" s="801"/>
      <c r="HJ38" s="801"/>
      <c r="HK38" s="801"/>
      <c r="HL38" s="801"/>
      <c r="HM38" s="801"/>
      <c r="HN38" s="801"/>
      <c r="HO38" s="801"/>
      <c r="HP38" s="801"/>
      <c r="HQ38" s="801"/>
      <c r="HR38" s="801"/>
      <c r="HS38" s="801"/>
      <c r="HT38" s="801"/>
      <c r="HU38" s="801"/>
      <c r="HV38" s="801"/>
      <c r="HW38" s="801"/>
      <c r="HX38" s="801"/>
      <c r="HY38" s="801"/>
      <c r="HZ38" s="802"/>
      <c r="IA38" s="800" t="str">
        <f>IFERROR(IF(IZ26&gt;IA26-1,IF(INDEX(Pedidos!IJ:JZ,IY26+IA26-1,9)&lt;&gt;"","Cierre :     "&amp; INDEX(Pedidos!IJ:JZ,IY26+IA26-1,9),""),""),"")</f>
        <v/>
      </c>
      <c r="IB38" s="801"/>
      <c r="IC38" s="801"/>
      <c r="ID38" s="801"/>
      <c r="IE38" s="801"/>
      <c r="IF38" s="801"/>
      <c r="IG38" s="801"/>
      <c r="IH38" s="801"/>
      <c r="II38" s="801"/>
      <c r="IJ38" s="801"/>
      <c r="IK38" s="801"/>
      <c r="IL38" s="801"/>
      <c r="IM38" s="801"/>
      <c r="IN38" s="801"/>
      <c r="IO38" s="801"/>
      <c r="IP38" s="801"/>
      <c r="IQ38" s="801"/>
      <c r="IR38" s="801"/>
      <c r="IS38" s="801"/>
      <c r="IT38" s="801"/>
      <c r="IU38" s="801"/>
      <c r="IV38" s="801"/>
      <c r="IW38" s="801"/>
      <c r="IX38" s="801"/>
      <c r="IY38" s="801"/>
      <c r="IZ38" s="802"/>
    </row>
    <row r="39" spans="1:260" x14ac:dyDescent="0.25">
      <c r="A39" s="800" t="str">
        <f>IFERROR(IF(Z26&gt;A26-1,IF(INDEX(Pedidos!J:AZ,Y26+A26-1,11)&lt;&gt;"","Cordon :     "&amp; INDEX(Pedidos!J:AZ,Y26+A26-1,11),""),""),"")</f>
        <v/>
      </c>
      <c r="B39" s="801"/>
      <c r="C39" s="801"/>
      <c r="D39" s="801"/>
      <c r="E39" s="801"/>
      <c r="F39" s="801"/>
      <c r="G39" s="801"/>
      <c r="H39" s="801"/>
      <c r="I39" s="801"/>
      <c r="J39" s="801"/>
      <c r="K39" s="801"/>
      <c r="L39" s="801"/>
      <c r="M39" s="801"/>
      <c r="N39" s="801"/>
      <c r="O39" s="801"/>
      <c r="P39" s="801"/>
      <c r="Q39" s="801"/>
      <c r="R39" s="801"/>
      <c r="S39" s="801"/>
      <c r="T39" s="801"/>
      <c r="U39" s="801"/>
      <c r="V39" s="801"/>
      <c r="W39" s="801"/>
      <c r="X39" s="801"/>
      <c r="Y39" s="801"/>
      <c r="Z39" s="802"/>
      <c r="AA39" s="800" t="str">
        <f>IFERROR(IF(AZ26&gt;AA26-1,IF(INDEX(Pedidos!AJ:BZ,AY26+AA26-1,11)&lt;&gt;"","Cordon :     "&amp; INDEX(Pedidos!AJ:BZ,AY26+AA26-1,11),""),""),"")</f>
        <v/>
      </c>
      <c r="AB39" s="801"/>
      <c r="AC39" s="801"/>
      <c r="AD39" s="801"/>
      <c r="AE39" s="801"/>
      <c r="AF39" s="801"/>
      <c r="AG39" s="801"/>
      <c r="AH39" s="801"/>
      <c r="AI39" s="801"/>
      <c r="AJ39" s="801"/>
      <c r="AK39" s="801"/>
      <c r="AL39" s="801"/>
      <c r="AM39" s="801"/>
      <c r="AN39" s="801"/>
      <c r="AO39" s="801"/>
      <c r="AP39" s="801"/>
      <c r="AQ39" s="801"/>
      <c r="AR39" s="801"/>
      <c r="AS39" s="801"/>
      <c r="AT39" s="801"/>
      <c r="AU39" s="801"/>
      <c r="AV39" s="801"/>
      <c r="AW39" s="801"/>
      <c r="AX39" s="801"/>
      <c r="AY39" s="801"/>
      <c r="AZ39" s="802"/>
      <c r="BA39" s="800" t="str">
        <f>IFERROR(IF(BZ26&gt;BA26-1,IF(INDEX(Pedidos!BJ:CZ,BY26+BA26-1,11)&lt;&gt;"","Cordon :     "&amp; INDEX(Pedidos!BJ:CZ,BY26+BA26-1,11),""),""),"")</f>
        <v/>
      </c>
      <c r="BB39" s="801"/>
      <c r="BC39" s="801"/>
      <c r="BD39" s="801"/>
      <c r="BE39" s="801"/>
      <c r="BF39" s="801"/>
      <c r="BG39" s="801"/>
      <c r="BH39" s="801"/>
      <c r="BI39" s="801"/>
      <c r="BJ39" s="801"/>
      <c r="BK39" s="801"/>
      <c r="BL39" s="801"/>
      <c r="BM39" s="801"/>
      <c r="BN39" s="801"/>
      <c r="BO39" s="801"/>
      <c r="BP39" s="801"/>
      <c r="BQ39" s="801"/>
      <c r="BR39" s="801"/>
      <c r="BS39" s="801"/>
      <c r="BT39" s="801"/>
      <c r="BU39" s="801"/>
      <c r="BV39" s="801"/>
      <c r="BW39" s="801"/>
      <c r="BX39" s="801"/>
      <c r="BY39" s="801"/>
      <c r="BZ39" s="802"/>
      <c r="CA39" s="800" t="str">
        <f>IFERROR(IF(CZ26&gt;CA26-1,IF(INDEX(Pedidos!CJ:DZ,CY26+CA26-1,11)&lt;&gt;"","Cordon :     "&amp; INDEX(Pedidos!CJ:DZ,CY26+CA26-1,11),""),""),"")</f>
        <v/>
      </c>
      <c r="CB39" s="801"/>
      <c r="CC39" s="801"/>
      <c r="CD39" s="801"/>
      <c r="CE39" s="801"/>
      <c r="CF39" s="801"/>
      <c r="CG39" s="801"/>
      <c r="CH39" s="801"/>
      <c r="CI39" s="801"/>
      <c r="CJ39" s="801"/>
      <c r="CK39" s="801"/>
      <c r="CL39" s="801"/>
      <c r="CM39" s="801"/>
      <c r="CN39" s="801"/>
      <c r="CO39" s="801"/>
      <c r="CP39" s="801"/>
      <c r="CQ39" s="801"/>
      <c r="CR39" s="801"/>
      <c r="CS39" s="801"/>
      <c r="CT39" s="801"/>
      <c r="CU39" s="801"/>
      <c r="CV39" s="801"/>
      <c r="CW39" s="801"/>
      <c r="CX39" s="801"/>
      <c r="CY39" s="801"/>
      <c r="CZ39" s="802"/>
      <c r="DA39" s="800" t="str">
        <f>IFERROR(IF(DZ26&gt;DA26-1,IF(INDEX(Pedidos!DJ:EZ,DY26+DA26-1,11)&lt;&gt;"","Cordon :     "&amp; INDEX(Pedidos!DJ:EZ,DY26+DA26-1,11),""),""),"")</f>
        <v/>
      </c>
      <c r="DB39" s="801"/>
      <c r="DC39" s="801"/>
      <c r="DD39" s="801"/>
      <c r="DE39" s="801"/>
      <c r="DF39" s="801"/>
      <c r="DG39" s="801"/>
      <c r="DH39" s="801"/>
      <c r="DI39" s="801"/>
      <c r="DJ39" s="801"/>
      <c r="DK39" s="801"/>
      <c r="DL39" s="801"/>
      <c r="DM39" s="801"/>
      <c r="DN39" s="801"/>
      <c r="DO39" s="801"/>
      <c r="DP39" s="801"/>
      <c r="DQ39" s="801"/>
      <c r="DR39" s="801"/>
      <c r="DS39" s="801"/>
      <c r="DT39" s="801"/>
      <c r="DU39" s="801"/>
      <c r="DV39" s="801"/>
      <c r="DW39" s="801"/>
      <c r="DX39" s="801"/>
      <c r="DY39" s="801"/>
      <c r="DZ39" s="802"/>
      <c r="EA39" s="800" t="str">
        <f>IFERROR(IF(EZ26&gt;EA26-1,IF(INDEX(Pedidos!EJ:FZ,EY26+EA26-1,11)&lt;&gt;"","Cordon :     "&amp; INDEX(Pedidos!EJ:FZ,EY26+EA26-1,11),""),""),"")</f>
        <v/>
      </c>
      <c r="EB39" s="801"/>
      <c r="EC39" s="801"/>
      <c r="ED39" s="801"/>
      <c r="EE39" s="801"/>
      <c r="EF39" s="801"/>
      <c r="EG39" s="801"/>
      <c r="EH39" s="801"/>
      <c r="EI39" s="801"/>
      <c r="EJ39" s="801"/>
      <c r="EK39" s="801"/>
      <c r="EL39" s="801"/>
      <c r="EM39" s="801"/>
      <c r="EN39" s="801"/>
      <c r="EO39" s="801"/>
      <c r="EP39" s="801"/>
      <c r="EQ39" s="801"/>
      <c r="ER39" s="801"/>
      <c r="ES39" s="801"/>
      <c r="ET39" s="801"/>
      <c r="EU39" s="801"/>
      <c r="EV39" s="801"/>
      <c r="EW39" s="801"/>
      <c r="EX39" s="801"/>
      <c r="EY39" s="801"/>
      <c r="EZ39" s="802"/>
      <c r="FA39" s="800" t="str">
        <f>IFERROR(IF(FZ26&gt;FA26-1,IF(INDEX(Pedidos!FJ:GZ,FY26+FA26-1,11)&lt;&gt;"","Cordon :     "&amp; INDEX(Pedidos!FJ:GZ,FY26+FA26-1,11),""),""),"")</f>
        <v/>
      </c>
      <c r="FB39" s="801"/>
      <c r="FC39" s="801"/>
      <c r="FD39" s="801"/>
      <c r="FE39" s="801"/>
      <c r="FF39" s="801"/>
      <c r="FG39" s="801"/>
      <c r="FH39" s="801"/>
      <c r="FI39" s="801"/>
      <c r="FJ39" s="801"/>
      <c r="FK39" s="801"/>
      <c r="FL39" s="801"/>
      <c r="FM39" s="801"/>
      <c r="FN39" s="801"/>
      <c r="FO39" s="801"/>
      <c r="FP39" s="801"/>
      <c r="FQ39" s="801"/>
      <c r="FR39" s="801"/>
      <c r="FS39" s="801"/>
      <c r="FT39" s="801"/>
      <c r="FU39" s="801"/>
      <c r="FV39" s="801"/>
      <c r="FW39" s="801"/>
      <c r="FX39" s="801"/>
      <c r="FY39" s="801"/>
      <c r="FZ39" s="802"/>
      <c r="GA39" s="800" t="str">
        <f>IFERROR(IF(GZ26&gt;GA26-1,IF(INDEX(Pedidos!GJ:HZ,GY26+GA26-1,11)&lt;&gt;"","Cordon :     "&amp; INDEX(Pedidos!GJ:HZ,GY26+GA26-1,11),""),""),"")</f>
        <v/>
      </c>
      <c r="GB39" s="801"/>
      <c r="GC39" s="801"/>
      <c r="GD39" s="801"/>
      <c r="GE39" s="801"/>
      <c r="GF39" s="801"/>
      <c r="GG39" s="801"/>
      <c r="GH39" s="801"/>
      <c r="GI39" s="801"/>
      <c r="GJ39" s="801"/>
      <c r="GK39" s="801"/>
      <c r="GL39" s="801"/>
      <c r="GM39" s="801"/>
      <c r="GN39" s="801"/>
      <c r="GO39" s="801"/>
      <c r="GP39" s="801"/>
      <c r="GQ39" s="801"/>
      <c r="GR39" s="801"/>
      <c r="GS39" s="801"/>
      <c r="GT39" s="801"/>
      <c r="GU39" s="801"/>
      <c r="GV39" s="801"/>
      <c r="GW39" s="801"/>
      <c r="GX39" s="801"/>
      <c r="GY39" s="801"/>
      <c r="GZ39" s="802"/>
      <c r="HA39" s="800" t="str">
        <f>IFERROR(IF(HZ26&gt;HA26-1,IF(INDEX(Pedidos!HJ:IZ,HY26+HA26-1,11)&lt;&gt;"","Cordon :     "&amp; INDEX(Pedidos!HJ:IZ,HY26+HA26-1,11),""),""),"")</f>
        <v/>
      </c>
      <c r="HB39" s="801"/>
      <c r="HC39" s="801"/>
      <c r="HD39" s="801"/>
      <c r="HE39" s="801"/>
      <c r="HF39" s="801"/>
      <c r="HG39" s="801"/>
      <c r="HH39" s="801"/>
      <c r="HI39" s="801"/>
      <c r="HJ39" s="801"/>
      <c r="HK39" s="801"/>
      <c r="HL39" s="801"/>
      <c r="HM39" s="801"/>
      <c r="HN39" s="801"/>
      <c r="HO39" s="801"/>
      <c r="HP39" s="801"/>
      <c r="HQ39" s="801"/>
      <c r="HR39" s="801"/>
      <c r="HS39" s="801"/>
      <c r="HT39" s="801"/>
      <c r="HU39" s="801"/>
      <c r="HV39" s="801"/>
      <c r="HW39" s="801"/>
      <c r="HX39" s="801"/>
      <c r="HY39" s="801"/>
      <c r="HZ39" s="802"/>
      <c r="IA39" s="800" t="str">
        <f>IFERROR(IF(IZ26&gt;IA26-1,IF(INDEX(Pedidos!IJ:JZ,IY26+IA26-1,11)&lt;&gt;"","Cordon :     "&amp; INDEX(Pedidos!IJ:JZ,IY26+IA26-1,11),""),""),"")</f>
        <v/>
      </c>
      <c r="IB39" s="801"/>
      <c r="IC39" s="801"/>
      <c r="ID39" s="801"/>
      <c r="IE39" s="801"/>
      <c r="IF39" s="801"/>
      <c r="IG39" s="801"/>
      <c r="IH39" s="801"/>
      <c r="II39" s="801"/>
      <c r="IJ39" s="801"/>
      <c r="IK39" s="801"/>
      <c r="IL39" s="801"/>
      <c r="IM39" s="801"/>
      <c r="IN39" s="801"/>
      <c r="IO39" s="801"/>
      <c r="IP39" s="801"/>
      <c r="IQ39" s="801"/>
      <c r="IR39" s="801"/>
      <c r="IS39" s="801"/>
      <c r="IT39" s="801"/>
      <c r="IU39" s="801"/>
      <c r="IV39" s="801"/>
      <c r="IW39" s="801"/>
      <c r="IX39" s="801"/>
      <c r="IY39" s="801"/>
      <c r="IZ39" s="802"/>
    </row>
    <row r="40" spans="1:260" x14ac:dyDescent="0.25">
      <c r="A40" s="800" t="str">
        <f>IFERROR(IF(Z26&gt;A26-1,IF(INDEX(Pedidos!J:AZ,Y26+A26-1,12)&lt;&gt;"","Color Cordon :     "&amp; INDEX(Pedidos!J:AZ,Y26+A26-1,12),""),""),"")</f>
        <v/>
      </c>
      <c r="B40" s="801"/>
      <c r="C40" s="801"/>
      <c r="D40" s="801"/>
      <c r="E40" s="801"/>
      <c r="F40" s="801"/>
      <c r="G40" s="801"/>
      <c r="H40" s="801"/>
      <c r="I40" s="801"/>
      <c r="J40" s="801"/>
      <c r="K40" s="801"/>
      <c r="L40" s="801"/>
      <c r="M40" s="801"/>
      <c r="N40" s="801"/>
      <c r="O40" s="801"/>
      <c r="P40" s="801"/>
      <c r="Q40" s="801"/>
      <c r="R40" s="801"/>
      <c r="S40" s="801"/>
      <c r="T40" s="801"/>
      <c r="U40" s="801"/>
      <c r="V40" s="801"/>
      <c r="W40" s="801"/>
      <c r="X40" s="801"/>
      <c r="Y40" s="801"/>
      <c r="Z40" s="802"/>
      <c r="AA40" s="800" t="str">
        <f>IFERROR(IF(AZ26&gt;AA26-1,IF(INDEX(Pedidos!AJ:BZ,AY26+AA26-1,12)&lt;&gt;"","Color Cordon :     "&amp; INDEX(Pedidos!AJ:BZ,AY26+AA26-1,12),""),""),"")</f>
        <v/>
      </c>
      <c r="AB40" s="801"/>
      <c r="AC40" s="801"/>
      <c r="AD40" s="801"/>
      <c r="AE40" s="801"/>
      <c r="AF40" s="801"/>
      <c r="AG40" s="801"/>
      <c r="AH40" s="801"/>
      <c r="AI40" s="801"/>
      <c r="AJ40" s="801"/>
      <c r="AK40" s="801"/>
      <c r="AL40" s="801"/>
      <c r="AM40" s="801"/>
      <c r="AN40" s="801"/>
      <c r="AO40" s="801"/>
      <c r="AP40" s="801"/>
      <c r="AQ40" s="801"/>
      <c r="AR40" s="801"/>
      <c r="AS40" s="801"/>
      <c r="AT40" s="801"/>
      <c r="AU40" s="801"/>
      <c r="AV40" s="801"/>
      <c r="AW40" s="801"/>
      <c r="AX40" s="801"/>
      <c r="AY40" s="801"/>
      <c r="AZ40" s="802"/>
      <c r="BA40" s="800" t="str">
        <f>IFERROR(IF(BZ26&gt;BA26-1,IF(INDEX(Pedidos!BJ:CZ,BY26+BA26-1,12)&lt;&gt;"","Color Cordon :     "&amp; INDEX(Pedidos!BJ:CZ,BY26+BA26-1,12),""),""),"")</f>
        <v/>
      </c>
      <c r="BB40" s="801"/>
      <c r="BC40" s="801"/>
      <c r="BD40" s="801"/>
      <c r="BE40" s="801"/>
      <c r="BF40" s="801"/>
      <c r="BG40" s="801"/>
      <c r="BH40" s="801"/>
      <c r="BI40" s="801"/>
      <c r="BJ40" s="801"/>
      <c r="BK40" s="801"/>
      <c r="BL40" s="801"/>
      <c r="BM40" s="801"/>
      <c r="BN40" s="801"/>
      <c r="BO40" s="801"/>
      <c r="BP40" s="801"/>
      <c r="BQ40" s="801"/>
      <c r="BR40" s="801"/>
      <c r="BS40" s="801"/>
      <c r="BT40" s="801"/>
      <c r="BU40" s="801"/>
      <c r="BV40" s="801"/>
      <c r="BW40" s="801"/>
      <c r="BX40" s="801"/>
      <c r="BY40" s="801"/>
      <c r="BZ40" s="802"/>
      <c r="CA40" s="800" t="str">
        <f>IFERROR(IF(CZ26&gt;CA26-1,IF(INDEX(Pedidos!CJ:DZ,CY26+CA26-1,12)&lt;&gt;"","Color Cordon :     "&amp; INDEX(Pedidos!CJ:DZ,CY26+CA26-1,12),""),""),"")</f>
        <v/>
      </c>
      <c r="CB40" s="801"/>
      <c r="CC40" s="801"/>
      <c r="CD40" s="801"/>
      <c r="CE40" s="801"/>
      <c r="CF40" s="801"/>
      <c r="CG40" s="801"/>
      <c r="CH40" s="801"/>
      <c r="CI40" s="801"/>
      <c r="CJ40" s="801"/>
      <c r="CK40" s="801"/>
      <c r="CL40" s="801"/>
      <c r="CM40" s="801"/>
      <c r="CN40" s="801"/>
      <c r="CO40" s="801"/>
      <c r="CP40" s="801"/>
      <c r="CQ40" s="801"/>
      <c r="CR40" s="801"/>
      <c r="CS40" s="801"/>
      <c r="CT40" s="801"/>
      <c r="CU40" s="801"/>
      <c r="CV40" s="801"/>
      <c r="CW40" s="801"/>
      <c r="CX40" s="801"/>
      <c r="CY40" s="801"/>
      <c r="CZ40" s="802"/>
      <c r="DA40" s="800" t="str">
        <f>IFERROR(IF(DZ26&gt;DA26-1,IF(INDEX(Pedidos!DJ:EZ,DY26+DA26-1,12)&lt;&gt;"","Color Cordon :     "&amp; INDEX(Pedidos!DJ:EZ,DY26+DA26-1,12),""),""),"")</f>
        <v/>
      </c>
      <c r="DB40" s="801"/>
      <c r="DC40" s="801"/>
      <c r="DD40" s="801"/>
      <c r="DE40" s="801"/>
      <c r="DF40" s="801"/>
      <c r="DG40" s="801"/>
      <c r="DH40" s="801"/>
      <c r="DI40" s="801"/>
      <c r="DJ40" s="801"/>
      <c r="DK40" s="801"/>
      <c r="DL40" s="801"/>
      <c r="DM40" s="801"/>
      <c r="DN40" s="801"/>
      <c r="DO40" s="801"/>
      <c r="DP40" s="801"/>
      <c r="DQ40" s="801"/>
      <c r="DR40" s="801"/>
      <c r="DS40" s="801"/>
      <c r="DT40" s="801"/>
      <c r="DU40" s="801"/>
      <c r="DV40" s="801"/>
      <c r="DW40" s="801"/>
      <c r="DX40" s="801"/>
      <c r="DY40" s="801"/>
      <c r="DZ40" s="802"/>
      <c r="EA40" s="800" t="str">
        <f>IFERROR(IF(EZ26&gt;EA26-1,IF(INDEX(Pedidos!EJ:FZ,EY26+EA26-1,12)&lt;&gt;"","Color Cordon :     "&amp; INDEX(Pedidos!EJ:FZ,EY26+EA26-1,12),""),""),"")</f>
        <v/>
      </c>
      <c r="EB40" s="801"/>
      <c r="EC40" s="801"/>
      <c r="ED40" s="801"/>
      <c r="EE40" s="801"/>
      <c r="EF40" s="801"/>
      <c r="EG40" s="801"/>
      <c r="EH40" s="801"/>
      <c r="EI40" s="801"/>
      <c r="EJ40" s="801"/>
      <c r="EK40" s="801"/>
      <c r="EL40" s="801"/>
      <c r="EM40" s="801"/>
      <c r="EN40" s="801"/>
      <c r="EO40" s="801"/>
      <c r="EP40" s="801"/>
      <c r="EQ40" s="801"/>
      <c r="ER40" s="801"/>
      <c r="ES40" s="801"/>
      <c r="ET40" s="801"/>
      <c r="EU40" s="801"/>
      <c r="EV40" s="801"/>
      <c r="EW40" s="801"/>
      <c r="EX40" s="801"/>
      <c r="EY40" s="801"/>
      <c r="EZ40" s="802"/>
      <c r="FA40" s="800" t="str">
        <f>IFERROR(IF(FZ26&gt;FA26-1,IF(INDEX(Pedidos!FJ:GZ,FY26+FA26-1,12)&lt;&gt;"","Color Cordon :     "&amp; INDEX(Pedidos!FJ:GZ,FY26+FA26-1,12),""),""),"")</f>
        <v/>
      </c>
      <c r="FB40" s="801"/>
      <c r="FC40" s="801"/>
      <c r="FD40" s="801"/>
      <c r="FE40" s="801"/>
      <c r="FF40" s="801"/>
      <c r="FG40" s="801"/>
      <c r="FH40" s="801"/>
      <c r="FI40" s="801"/>
      <c r="FJ40" s="801"/>
      <c r="FK40" s="801"/>
      <c r="FL40" s="801"/>
      <c r="FM40" s="801"/>
      <c r="FN40" s="801"/>
      <c r="FO40" s="801"/>
      <c r="FP40" s="801"/>
      <c r="FQ40" s="801"/>
      <c r="FR40" s="801"/>
      <c r="FS40" s="801"/>
      <c r="FT40" s="801"/>
      <c r="FU40" s="801"/>
      <c r="FV40" s="801"/>
      <c r="FW40" s="801"/>
      <c r="FX40" s="801"/>
      <c r="FY40" s="801"/>
      <c r="FZ40" s="802"/>
      <c r="GA40" s="800" t="str">
        <f>IFERROR(IF(GZ26&gt;GA26-1,IF(INDEX(Pedidos!GJ:HZ,GY26+GA26-1,12)&lt;&gt;"","Color Cordon :     "&amp; INDEX(Pedidos!GJ:HZ,GY26+GA26-1,12),""),""),"")</f>
        <v/>
      </c>
      <c r="GB40" s="801"/>
      <c r="GC40" s="801"/>
      <c r="GD40" s="801"/>
      <c r="GE40" s="801"/>
      <c r="GF40" s="801"/>
      <c r="GG40" s="801"/>
      <c r="GH40" s="801"/>
      <c r="GI40" s="801"/>
      <c r="GJ40" s="801"/>
      <c r="GK40" s="801"/>
      <c r="GL40" s="801"/>
      <c r="GM40" s="801"/>
      <c r="GN40" s="801"/>
      <c r="GO40" s="801"/>
      <c r="GP40" s="801"/>
      <c r="GQ40" s="801"/>
      <c r="GR40" s="801"/>
      <c r="GS40" s="801"/>
      <c r="GT40" s="801"/>
      <c r="GU40" s="801"/>
      <c r="GV40" s="801"/>
      <c r="GW40" s="801"/>
      <c r="GX40" s="801"/>
      <c r="GY40" s="801"/>
      <c r="GZ40" s="802"/>
      <c r="HA40" s="800" t="str">
        <f>IFERROR(IF(HZ26&gt;HA26-1,IF(INDEX(Pedidos!HJ:IZ,HY26+HA26-1,12)&lt;&gt;"","Color Cordon :     "&amp; INDEX(Pedidos!HJ:IZ,HY26+HA26-1,12),""),""),"")</f>
        <v/>
      </c>
      <c r="HB40" s="801"/>
      <c r="HC40" s="801"/>
      <c r="HD40" s="801"/>
      <c r="HE40" s="801"/>
      <c r="HF40" s="801"/>
      <c r="HG40" s="801"/>
      <c r="HH40" s="801"/>
      <c r="HI40" s="801"/>
      <c r="HJ40" s="801"/>
      <c r="HK40" s="801"/>
      <c r="HL40" s="801"/>
      <c r="HM40" s="801"/>
      <c r="HN40" s="801"/>
      <c r="HO40" s="801"/>
      <c r="HP40" s="801"/>
      <c r="HQ40" s="801"/>
      <c r="HR40" s="801"/>
      <c r="HS40" s="801"/>
      <c r="HT40" s="801"/>
      <c r="HU40" s="801"/>
      <c r="HV40" s="801"/>
      <c r="HW40" s="801"/>
      <c r="HX40" s="801"/>
      <c r="HY40" s="801"/>
      <c r="HZ40" s="802"/>
      <c r="IA40" s="800" t="str">
        <f>IFERROR(IF(IZ26&gt;IA26-1,IF(INDEX(Pedidos!IJ:JZ,IY26+IA26-1,12)&lt;&gt;"","Color Cordon :     "&amp; INDEX(Pedidos!IJ:JZ,IY26+IA26-1,12),""),""),"")</f>
        <v/>
      </c>
      <c r="IB40" s="801"/>
      <c r="IC40" s="801"/>
      <c r="ID40" s="801"/>
      <c r="IE40" s="801"/>
      <c r="IF40" s="801"/>
      <c r="IG40" s="801"/>
      <c r="IH40" s="801"/>
      <c r="II40" s="801"/>
      <c r="IJ40" s="801"/>
      <c r="IK40" s="801"/>
      <c r="IL40" s="801"/>
      <c r="IM40" s="801"/>
      <c r="IN40" s="801"/>
      <c r="IO40" s="801"/>
      <c r="IP40" s="801"/>
      <c r="IQ40" s="801"/>
      <c r="IR40" s="801"/>
      <c r="IS40" s="801"/>
      <c r="IT40" s="801"/>
      <c r="IU40" s="801"/>
      <c r="IV40" s="801"/>
      <c r="IW40" s="801"/>
      <c r="IX40" s="801"/>
      <c r="IY40" s="801"/>
      <c r="IZ40" s="802"/>
    </row>
    <row r="41" spans="1:260" x14ac:dyDescent="0.25">
      <c r="A41" s="800"/>
      <c r="B41" s="801"/>
      <c r="C41" s="801"/>
      <c r="D41" s="801"/>
      <c r="E41" s="801"/>
      <c r="F41" s="801"/>
      <c r="G41" s="801"/>
      <c r="H41" s="801"/>
      <c r="I41" s="801"/>
      <c r="J41" s="801"/>
      <c r="K41" s="801"/>
      <c r="L41" s="801"/>
      <c r="M41" s="801"/>
      <c r="N41" s="801"/>
      <c r="O41" s="801"/>
      <c r="P41" s="801"/>
      <c r="Q41" s="801"/>
      <c r="R41" s="801"/>
      <c r="S41" s="801"/>
      <c r="T41" s="801"/>
      <c r="U41" s="801"/>
      <c r="V41" s="801"/>
      <c r="W41" s="801"/>
      <c r="X41" s="801"/>
      <c r="Y41" s="801"/>
      <c r="Z41" s="802"/>
      <c r="AA41" s="800"/>
      <c r="AB41" s="801"/>
      <c r="AC41" s="801"/>
      <c r="AD41" s="801"/>
      <c r="AE41" s="801"/>
      <c r="AF41" s="801"/>
      <c r="AG41" s="801"/>
      <c r="AH41" s="801"/>
      <c r="AI41" s="801"/>
      <c r="AJ41" s="801"/>
      <c r="AK41" s="801"/>
      <c r="AL41" s="801"/>
      <c r="AM41" s="801"/>
      <c r="AN41" s="801"/>
      <c r="AO41" s="801"/>
      <c r="AP41" s="801"/>
      <c r="AQ41" s="801"/>
      <c r="AR41" s="801"/>
      <c r="AS41" s="801"/>
      <c r="AT41" s="801"/>
      <c r="AU41" s="801"/>
      <c r="AV41" s="801"/>
      <c r="AW41" s="801"/>
      <c r="AX41" s="801"/>
      <c r="AY41" s="801"/>
      <c r="AZ41" s="802"/>
      <c r="BA41" s="800"/>
      <c r="BB41" s="801"/>
      <c r="BC41" s="801"/>
      <c r="BD41" s="801"/>
      <c r="BE41" s="801"/>
      <c r="BF41" s="801"/>
      <c r="BG41" s="801"/>
      <c r="BH41" s="801"/>
      <c r="BI41" s="801"/>
      <c r="BJ41" s="801"/>
      <c r="BK41" s="801"/>
      <c r="BL41" s="801"/>
      <c r="BM41" s="801"/>
      <c r="BN41" s="801"/>
      <c r="BO41" s="801"/>
      <c r="BP41" s="801"/>
      <c r="BQ41" s="801"/>
      <c r="BR41" s="801"/>
      <c r="BS41" s="801"/>
      <c r="BT41" s="801"/>
      <c r="BU41" s="801"/>
      <c r="BV41" s="801"/>
      <c r="BW41" s="801"/>
      <c r="BX41" s="801"/>
      <c r="BY41" s="801"/>
      <c r="BZ41" s="802"/>
      <c r="CA41" s="800"/>
      <c r="CB41" s="801"/>
      <c r="CC41" s="801"/>
      <c r="CD41" s="801"/>
      <c r="CE41" s="801"/>
      <c r="CF41" s="801"/>
      <c r="CG41" s="801"/>
      <c r="CH41" s="801"/>
      <c r="CI41" s="801"/>
      <c r="CJ41" s="801"/>
      <c r="CK41" s="801"/>
      <c r="CL41" s="801"/>
      <c r="CM41" s="801"/>
      <c r="CN41" s="801"/>
      <c r="CO41" s="801"/>
      <c r="CP41" s="801"/>
      <c r="CQ41" s="801"/>
      <c r="CR41" s="801"/>
      <c r="CS41" s="801"/>
      <c r="CT41" s="801"/>
      <c r="CU41" s="801"/>
      <c r="CV41" s="801"/>
      <c r="CW41" s="801"/>
      <c r="CX41" s="801"/>
      <c r="CY41" s="801"/>
      <c r="CZ41" s="802"/>
      <c r="DA41" s="800"/>
      <c r="DB41" s="801"/>
      <c r="DC41" s="801"/>
      <c r="DD41" s="801"/>
      <c r="DE41" s="801"/>
      <c r="DF41" s="801"/>
      <c r="DG41" s="801"/>
      <c r="DH41" s="801"/>
      <c r="DI41" s="801"/>
      <c r="DJ41" s="801"/>
      <c r="DK41" s="801"/>
      <c r="DL41" s="801"/>
      <c r="DM41" s="801"/>
      <c r="DN41" s="801"/>
      <c r="DO41" s="801"/>
      <c r="DP41" s="801"/>
      <c r="DQ41" s="801"/>
      <c r="DR41" s="801"/>
      <c r="DS41" s="801"/>
      <c r="DT41" s="801"/>
      <c r="DU41" s="801"/>
      <c r="DV41" s="801"/>
      <c r="DW41" s="801"/>
      <c r="DX41" s="801"/>
      <c r="DY41" s="801"/>
      <c r="DZ41" s="802"/>
      <c r="EA41" s="800"/>
      <c r="EB41" s="801"/>
      <c r="EC41" s="801"/>
      <c r="ED41" s="801"/>
      <c r="EE41" s="801"/>
      <c r="EF41" s="801"/>
      <c r="EG41" s="801"/>
      <c r="EH41" s="801"/>
      <c r="EI41" s="801"/>
      <c r="EJ41" s="801"/>
      <c r="EK41" s="801"/>
      <c r="EL41" s="801"/>
      <c r="EM41" s="801"/>
      <c r="EN41" s="801"/>
      <c r="EO41" s="801"/>
      <c r="EP41" s="801"/>
      <c r="EQ41" s="801"/>
      <c r="ER41" s="801"/>
      <c r="ES41" s="801"/>
      <c r="ET41" s="801"/>
      <c r="EU41" s="801"/>
      <c r="EV41" s="801"/>
      <c r="EW41" s="801"/>
      <c r="EX41" s="801"/>
      <c r="EY41" s="801"/>
      <c r="EZ41" s="802"/>
      <c r="FA41" s="800"/>
      <c r="FB41" s="801"/>
      <c r="FC41" s="801"/>
      <c r="FD41" s="801"/>
      <c r="FE41" s="801"/>
      <c r="FF41" s="801"/>
      <c r="FG41" s="801"/>
      <c r="FH41" s="801"/>
      <c r="FI41" s="801"/>
      <c r="FJ41" s="801"/>
      <c r="FK41" s="801"/>
      <c r="FL41" s="801"/>
      <c r="FM41" s="801"/>
      <c r="FN41" s="801"/>
      <c r="FO41" s="801"/>
      <c r="FP41" s="801"/>
      <c r="FQ41" s="801"/>
      <c r="FR41" s="801"/>
      <c r="FS41" s="801"/>
      <c r="FT41" s="801"/>
      <c r="FU41" s="801"/>
      <c r="FV41" s="801"/>
      <c r="FW41" s="801"/>
      <c r="FX41" s="801"/>
      <c r="FY41" s="801"/>
      <c r="FZ41" s="802"/>
      <c r="GA41" s="800"/>
      <c r="GB41" s="801"/>
      <c r="GC41" s="801"/>
      <c r="GD41" s="801"/>
      <c r="GE41" s="801"/>
      <c r="GF41" s="801"/>
      <c r="GG41" s="801"/>
      <c r="GH41" s="801"/>
      <c r="GI41" s="801"/>
      <c r="GJ41" s="801"/>
      <c r="GK41" s="801"/>
      <c r="GL41" s="801"/>
      <c r="GM41" s="801"/>
      <c r="GN41" s="801"/>
      <c r="GO41" s="801"/>
      <c r="GP41" s="801"/>
      <c r="GQ41" s="801"/>
      <c r="GR41" s="801"/>
      <c r="GS41" s="801"/>
      <c r="GT41" s="801"/>
      <c r="GU41" s="801"/>
      <c r="GV41" s="801"/>
      <c r="GW41" s="801"/>
      <c r="GX41" s="801"/>
      <c r="GY41" s="801"/>
      <c r="GZ41" s="802"/>
      <c r="HA41" s="800"/>
      <c r="HB41" s="801"/>
      <c r="HC41" s="801"/>
      <c r="HD41" s="801"/>
      <c r="HE41" s="801"/>
      <c r="HF41" s="801"/>
      <c r="HG41" s="801"/>
      <c r="HH41" s="801"/>
      <c r="HI41" s="801"/>
      <c r="HJ41" s="801"/>
      <c r="HK41" s="801"/>
      <c r="HL41" s="801"/>
      <c r="HM41" s="801"/>
      <c r="HN41" s="801"/>
      <c r="HO41" s="801"/>
      <c r="HP41" s="801"/>
      <c r="HQ41" s="801"/>
      <c r="HR41" s="801"/>
      <c r="HS41" s="801"/>
      <c r="HT41" s="801"/>
      <c r="HU41" s="801"/>
      <c r="HV41" s="801"/>
      <c r="HW41" s="801"/>
      <c r="HX41" s="801"/>
      <c r="HY41" s="801"/>
      <c r="HZ41" s="802"/>
      <c r="IA41" s="800"/>
      <c r="IB41" s="801"/>
      <c r="IC41" s="801"/>
      <c r="ID41" s="801"/>
      <c r="IE41" s="801"/>
      <c r="IF41" s="801"/>
      <c r="IG41" s="801"/>
      <c r="IH41" s="801"/>
      <c r="II41" s="801"/>
      <c r="IJ41" s="801"/>
      <c r="IK41" s="801"/>
      <c r="IL41" s="801"/>
      <c r="IM41" s="801"/>
      <c r="IN41" s="801"/>
      <c r="IO41" s="801"/>
      <c r="IP41" s="801"/>
      <c r="IQ41" s="801"/>
      <c r="IR41" s="801"/>
      <c r="IS41" s="801"/>
      <c r="IT41" s="801"/>
      <c r="IU41" s="801"/>
      <c r="IV41" s="801"/>
      <c r="IW41" s="801"/>
      <c r="IX41" s="801"/>
      <c r="IY41" s="801"/>
      <c r="IZ41" s="802"/>
    </row>
    <row r="42" spans="1:260" x14ac:dyDescent="0.25">
      <c r="A42" s="800"/>
      <c r="B42" s="801"/>
      <c r="C42" s="801"/>
      <c r="D42" s="801"/>
      <c r="E42" s="801"/>
      <c r="F42" s="801"/>
      <c r="G42" s="801"/>
      <c r="H42" s="801"/>
      <c r="I42" s="801"/>
      <c r="J42" s="801"/>
      <c r="K42" s="801"/>
      <c r="L42" s="801"/>
      <c r="M42" s="801"/>
      <c r="N42" s="801"/>
      <c r="O42" s="801"/>
      <c r="P42" s="801"/>
      <c r="Q42" s="801"/>
      <c r="R42" s="801"/>
      <c r="S42" s="801"/>
      <c r="T42" s="801"/>
      <c r="U42" s="801"/>
      <c r="V42" s="801"/>
      <c r="W42" s="801"/>
      <c r="X42" s="801"/>
      <c r="Y42" s="801"/>
      <c r="Z42" s="802"/>
      <c r="AA42" s="800"/>
      <c r="AB42" s="801"/>
      <c r="AC42" s="801"/>
      <c r="AD42" s="801"/>
      <c r="AE42" s="801"/>
      <c r="AF42" s="801"/>
      <c r="AG42" s="801"/>
      <c r="AH42" s="801"/>
      <c r="AI42" s="801"/>
      <c r="AJ42" s="801"/>
      <c r="AK42" s="801"/>
      <c r="AL42" s="801"/>
      <c r="AM42" s="801"/>
      <c r="AN42" s="801"/>
      <c r="AO42" s="801"/>
      <c r="AP42" s="801"/>
      <c r="AQ42" s="801"/>
      <c r="AR42" s="801"/>
      <c r="AS42" s="801"/>
      <c r="AT42" s="801"/>
      <c r="AU42" s="801"/>
      <c r="AV42" s="801"/>
      <c r="AW42" s="801"/>
      <c r="AX42" s="801"/>
      <c r="AY42" s="801"/>
      <c r="AZ42" s="802"/>
      <c r="BA42" s="800"/>
      <c r="BB42" s="801"/>
      <c r="BC42" s="801"/>
      <c r="BD42" s="801"/>
      <c r="BE42" s="801"/>
      <c r="BF42" s="801"/>
      <c r="BG42" s="801"/>
      <c r="BH42" s="801"/>
      <c r="BI42" s="801"/>
      <c r="BJ42" s="801"/>
      <c r="BK42" s="801"/>
      <c r="BL42" s="801"/>
      <c r="BM42" s="801"/>
      <c r="BN42" s="801"/>
      <c r="BO42" s="801"/>
      <c r="BP42" s="801"/>
      <c r="BQ42" s="801"/>
      <c r="BR42" s="801"/>
      <c r="BS42" s="801"/>
      <c r="BT42" s="801"/>
      <c r="BU42" s="801"/>
      <c r="BV42" s="801"/>
      <c r="BW42" s="801"/>
      <c r="BX42" s="801"/>
      <c r="BY42" s="801"/>
      <c r="BZ42" s="802"/>
      <c r="CA42" s="800"/>
      <c r="CB42" s="801"/>
      <c r="CC42" s="801"/>
      <c r="CD42" s="801"/>
      <c r="CE42" s="801"/>
      <c r="CF42" s="801"/>
      <c r="CG42" s="801"/>
      <c r="CH42" s="801"/>
      <c r="CI42" s="801"/>
      <c r="CJ42" s="801"/>
      <c r="CK42" s="801"/>
      <c r="CL42" s="801"/>
      <c r="CM42" s="801"/>
      <c r="CN42" s="801"/>
      <c r="CO42" s="801"/>
      <c r="CP42" s="801"/>
      <c r="CQ42" s="801"/>
      <c r="CR42" s="801"/>
      <c r="CS42" s="801"/>
      <c r="CT42" s="801"/>
      <c r="CU42" s="801"/>
      <c r="CV42" s="801"/>
      <c r="CW42" s="801"/>
      <c r="CX42" s="801"/>
      <c r="CY42" s="801"/>
      <c r="CZ42" s="802"/>
      <c r="DA42" s="800"/>
      <c r="DB42" s="801"/>
      <c r="DC42" s="801"/>
      <c r="DD42" s="801"/>
      <c r="DE42" s="801"/>
      <c r="DF42" s="801"/>
      <c r="DG42" s="801"/>
      <c r="DH42" s="801"/>
      <c r="DI42" s="801"/>
      <c r="DJ42" s="801"/>
      <c r="DK42" s="801"/>
      <c r="DL42" s="801"/>
      <c r="DM42" s="801"/>
      <c r="DN42" s="801"/>
      <c r="DO42" s="801"/>
      <c r="DP42" s="801"/>
      <c r="DQ42" s="801"/>
      <c r="DR42" s="801"/>
      <c r="DS42" s="801"/>
      <c r="DT42" s="801"/>
      <c r="DU42" s="801"/>
      <c r="DV42" s="801"/>
      <c r="DW42" s="801"/>
      <c r="DX42" s="801"/>
      <c r="DY42" s="801"/>
      <c r="DZ42" s="802"/>
      <c r="EA42" s="800"/>
      <c r="EB42" s="801"/>
      <c r="EC42" s="801"/>
      <c r="ED42" s="801"/>
      <c r="EE42" s="801"/>
      <c r="EF42" s="801"/>
      <c r="EG42" s="801"/>
      <c r="EH42" s="801"/>
      <c r="EI42" s="801"/>
      <c r="EJ42" s="801"/>
      <c r="EK42" s="801"/>
      <c r="EL42" s="801"/>
      <c r="EM42" s="801"/>
      <c r="EN42" s="801"/>
      <c r="EO42" s="801"/>
      <c r="EP42" s="801"/>
      <c r="EQ42" s="801"/>
      <c r="ER42" s="801"/>
      <c r="ES42" s="801"/>
      <c r="ET42" s="801"/>
      <c r="EU42" s="801"/>
      <c r="EV42" s="801"/>
      <c r="EW42" s="801"/>
      <c r="EX42" s="801"/>
      <c r="EY42" s="801"/>
      <c r="EZ42" s="802"/>
      <c r="FA42" s="800"/>
      <c r="FB42" s="801"/>
      <c r="FC42" s="801"/>
      <c r="FD42" s="801"/>
      <c r="FE42" s="801"/>
      <c r="FF42" s="801"/>
      <c r="FG42" s="801"/>
      <c r="FH42" s="801"/>
      <c r="FI42" s="801"/>
      <c r="FJ42" s="801"/>
      <c r="FK42" s="801"/>
      <c r="FL42" s="801"/>
      <c r="FM42" s="801"/>
      <c r="FN42" s="801"/>
      <c r="FO42" s="801"/>
      <c r="FP42" s="801"/>
      <c r="FQ42" s="801"/>
      <c r="FR42" s="801"/>
      <c r="FS42" s="801"/>
      <c r="FT42" s="801"/>
      <c r="FU42" s="801"/>
      <c r="FV42" s="801"/>
      <c r="FW42" s="801"/>
      <c r="FX42" s="801"/>
      <c r="FY42" s="801"/>
      <c r="FZ42" s="802"/>
      <c r="GA42" s="800"/>
      <c r="GB42" s="801"/>
      <c r="GC42" s="801"/>
      <c r="GD42" s="801"/>
      <c r="GE42" s="801"/>
      <c r="GF42" s="801"/>
      <c r="GG42" s="801"/>
      <c r="GH42" s="801"/>
      <c r="GI42" s="801"/>
      <c r="GJ42" s="801"/>
      <c r="GK42" s="801"/>
      <c r="GL42" s="801"/>
      <c r="GM42" s="801"/>
      <c r="GN42" s="801"/>
      <c r="GO42" s="801"/>
      <c r="GP42" s="801"/>
      <c r="GQ42" s="801"/>
      <c r="GR42" s="801"/>
      <c r="GS42" s="801"/>
      <c r="GT42" s="801"/>
      <c r="GU42" s="801"/>
      <c r="GV42" s="801"/>
      <c r="GW42" s="801"/>
      <c r="GX42" s="801"/>
      <c r="GY42" s="801"/>
      <c r="GZ42" s="802"/>
      <c r="HA42" s="800"/>
      <c r="HB42" s="801"/>
      <c r="HC42" s="801"/>
      <c r="HD42" s="801"/>
      <c r="HE42" s="801"/>
      <c r="HF42" s="801"/>
      <c r="HG42" s="801"/>
      <c r="HH42" s="801"/>
      <c r="HI42" s="801"/>
      <c r="HJ42" s="801"/>
      <c r="HK42" s="801"/>
      <c r="HL42" s="801"/>
      <c r="HM42" s="801"/>
      <c r="HN42" s="801"/>
      <c r="HO42" s="801"/>
      <c r="HP42" s="801"/>
      <c r="HQ42" s="801"/>
      <c r="HR42" s="801"/>
      <c r="HS42" s="801"/>
      <c r="HT42" s="801"/>
      <c r="HU42" s="801"/>
      <c r="HV42" s="801"/>
      <c r="HW42" s="801"/>
      <c r="HX42" s="801"/>
      <c r="HY42" s="801"/>
      <c r="HZ42" s="802"/>
      <c r="IA42" s="800"/>
      <c r="IB42" s="801"/>
      <c r="IC42" s="801"/>
      <c r="ID42" s="801"/>
      <c r="IE42" s="801"/>
      <c r="IF42" s="801"/>
      <c r="IG42" s="801"/>
      <c r="IH42" s="801"/>
      <c r="II42" s="801"/>
      <c r="IJ42" s="801"/>
      <c r="IK42" s="801"/>
      <c r="IL42" s="801"/>
      <c r="IM42" s="801"/>
      <c r="IN42" s="801"/>
      <c r="IO42" s="801"/>
      <c r="IP42" s="801"/>
      <c r="IQ42" s="801"/>
      <c r="IR42" s="801"/>
      <c r="IS42" s="801"/>
      <c r="IT42" s="801"/>
      <c r="IU42" s="801"/>
      <c r="IV42" s="801"/>
      <c r="IW42" s="801"/>
      <c r="IX42" s="801"/>
      <c r="IY42" s="801"/>
      <c r="IZ42" s="802"/>
    </row>
    <row r="43" spans="1:260" x14ac:dyDescent="0.25">
      <c r="A43" s="800" t="str">
        <f>IFERROR(IF(Z26&gt;A26-1,IF(INDEX(Pedidos!J:AZ,Y26+A26-1,31)&lt;&gt;"","Nombres :     "&amp; INDEX(Pedidos!J:AZ,Y26+A26-1,31),""),""),"")</f>
        <v/>
      </c>
      <c r="B43" s="801"/>
      <c r="C43" s="801"/>
      <c r="D43" s="801"/>
      <c r="E43" s="801"/>
      <c r="F43" s="801"/>
      <c r="G43" s="801"/>
      <c r="H43" s="801"/>
      <c r="I43" s="801"/>
      <c r="J43" s="801"/>
      <c r="K43" s="801"/>
      <c r="L43" s="801"/>
      <c r="M43" s="801"/>
      <c r="N43" s="801"/>
      <c r="O43" s="801"/>
      <c r="P43" s="801"/>
      <c r="Q43" s="801"/>
      <c r="R43" s="801"/>
      <c r="S43" s="801"/>
      <c r="T43" s="801"/>
      <c r="U43" s="801"/>
      <c r="V43" s="801"/>
      <c r="W43" s="801"/>
      <c r="X43" s="801"/>
      <c r="Y43" s="801"/>
      <c r="Z43" s="802"/>
      <c r="AA43" s="800" t="str">
        <f>IFERROR(IF(AZ26&gt;AA26-1,IF(INDEX(Pedidos!AJ:BZ,AY26+AA26-1,31)&lt;&gt;"","Nombres :     "&amp; INDEX(Pedidos!AJ:BZ,AY26+AA26-1,31),""),""),"")</f>
        <v/>
      </c>
      <c r="AB43" s="801"/>
      <c r="AC43" s="801"/>
      <c r="AD43" s="801"/>
      <c r="AE43" s="801"/>
      <c r="AF43" s="801"/>
      <c r="AG43" s="801"/>
      <c r="AH43" s="801"/>
      <c r="AI43" s="801"/>
      <c r="AJ43" s="801"/>
      <c r="AK43" s="801"/>
      <c r="AL43" s="801"/>
      <c r="AM43" s="801"/>
      <c r="AN43" s="801"/>
      <c r="AO43" s="801"/>
      <c r="AP43" s="801"/>
      <c r="AQ43" s="801"/>
      <c r="AR43" s="801"/>
      <c r="AS43" s="801"/>
      <c r="AT43" s="801"/>
      <c r="AU43" s="801"/>
      <c r="AV43" s="801"/>
      <c r="AW43" s="801"/>
      <c r="AX43" s="801"/>
      <c r="AY43" s="801"/>
      <c r="AZ43" s="802"/>
      <c r="BA43" s="800" t="str">
        <f>IFERROR(IF(BZ26&gt;BA26-1,IF(INDEX(Pedidos!BJ:CZ,BY26+BA26-1,31)&lt;&gt;"","Nombres :     "&amp; INDEX(Pedidos!BJ:CZ,BY26+BA26-1,31),""),""),"")</f>
        <v/>
      </c>
      <c r="BB43" s="801"/>
      <c r="BC43" s="801"/>
      <c r="BD43" s="801"/>
      <c r="BE43" s="801"/>
      <c r="BF43" s="801"/>
      <c r="BG43" s="801"/>
      <c r="BH43" s="801"/>
      <c r="BI43" s="801"/>
      <c r="BJ43" s="801"/>
      <c r="BK43" s="801"/>
      <c r="BL43" s="801"/>
      <c r="BM43" s="801"/>
      <c r="BN43" s="801"/>
      <c r="BO43" s="801"/>
      <c r="BP43" s="801"/>
      <c r="BQ43" s="801"/>
      <c r="BR43" s="801"/>
      <c r="BS43" s="801"/>
      <c r="BT43" s="801"/>
      <c r="BU43" s="801"/>
      <c r="BV43" s="801"/>
      <c r="BW43" s="801"/>
      <c r="BX43" s="801"/>
      <c r="BY43" s="801"/>
      <c r="BZ43" s="802"/>
      <c r="CA43" s="800" t="str">
        <f>IFERROR(IF(CZ26&gt;CA26-1,IF(INDEX(Pedidos!CJ:DZ,CY26+CA26-1,31)&lt;&gt;"","Nombres :     "&amp; INDEX(Pedidos!CJ:DZ,CY26+CA26-1,31),""),""),"")</f>
        <v/>
      </c>
      <c r="CB43" s="801"/>
      <c r="CC43" s="801"/>
      <c r="CD43" s="801"/>
      <c r="CE43" s="801"/>
      <c r="CF43" s="801"/>
      <c r="CG43" s="801"/>
      <c r="CH43" s="801"/>
      <c r="CI43" s="801"/>
      <c r="CJ43" s="801"/>
      <c r="CK43" s="801"/>
      <c r="CL43" s="801"/>
      <c r="CM43" s="801"/>
      <c r="CN43" s="801"/>
      <c r="CO43" s="801"/>
      <c r="CP43" s="801"/>
      <c r="CQ43" s="801"/>
      <c r="CR43" s="801"/>
      <c r="CS43" s="801"/>
      <c r="CT43" s="801"/>
      <c r="CU43" s="801"/>
      <c r="CV43" s="801"/>
      <c r="CW43" s="801"/>
      <c r="CX43" s="801"/>
      <c r="CY43" s="801"/>
      <c r="CZ43" s="802"/>
      <c r="DA43" s="800" t="str">
        <f>IFERROR(IF(DZ26&gt;DA26-1,IF(INDEX(Pedidos!DJ:EZ,DY26+DA26-1,31)&lt;&gt;"","Nombres :     "&amp; INDEX(Pedidos!DJ:EZ,DY26+DA26-1,31),""),""),"")</f>
        <v/>
      </c>
      <c r="DB43" s="801"/>
      <c r="DC43" s="801"/>
      <c r="DD43" s="801"/>
      <c r="DE43" s="801"/>
      <c r="DF43" s="801"/>
      <c r="DG43" s="801"/>
      <c r="DH43" s="801"/>
      <c r="DI43" s="801"/>
      <c r="DJ43" s="801"/>
      <c r="DK43" s="801"/>
      <c r="DL43" s="801"/>
      <c r="DM43" s="801"/>
      <c r="DN43" s="801"/>
      <c r="DO43" s="801"/>
      <c r="DP43" s="801"/>
      <c r="DQ43" s="801"/>
      <c r="DR43" s="801"/>
      <c r="DS43" s="801"/>
      <c r="DT43" s="801"/>
      <c r="DU43" s="801"/>
      <c r="DV43" s="801"/>
      <c r="DW43" s="801"/>
      <c r="DX43" s="801"/>
      <c r="DY43" s="801"/>
      <c r="DZ43" s="802"/>
      <c r="EA43" s="800" t="str">
        <f>IFERROR(IF(EZ26&gt;EA26-1,IF(INDEX(Pedidos!EJ:FZ,EY26+EA26-1,31)&lt;&gt;"","Nombres :     "&amp; INDEX(Pedidos!EJ:FZ,EY26+EA26-1,31),""),""),"")</f>
        <v/>
      </c>
      <c r="EB43" s="801"/>
      <c r="EC43" s="801"/>
      <c r="ED43" s="801"/>
      <c r="EE43" s="801"/>
      <c r="EF43" s="801"/>
      <c r="EG43" s="801"/>
      <c r="EH43" s="801"/>
      <c r="EI43" s="801"/>
      <c r="EJ43" s="801"/>
      <c r="EK43" s="801"/>
      <c r="EL43" s="801"/>
      <c r="EM43" s="801"/>
      <c r="EN43" s="801"/>
      <c r="EO43" s="801"/>
      <c r="EP43" s="801"/>
      <c r="EQ43" s="801"/>
      <c r="ER43" s="801"/>
      <c r="ES43" s="801"/>
      <c r="ET43" s="801"/>
      <c r="EU43" s="801"/>
      <c r="EV43" s="801"/>
      <c r="EW43" s="801"/>
      <c r="EX43" s="801"/>
      <c r="EY43" s="801"/>
      <c r="EZ43" s="802"/>
      <c r="FA43" s="800" t="str">
        <f>IFERROR(IF(FZ26&gt;FA26-1,IF(INDEX(Pedidos!FJ:GZ,FY26+FA26-1,31)&lt;&gt;"","Nombres :     "&amp; INDEX(Pedidos!FJ:GZ,FY26+FA26-1,31),""),""),"")</f>
        <v/>
      </c>
      <c r="FB43" s="801"/>
      <c r="FC43" s="801"/>
      <c r="FD43" s="801"/>
      <c r="FE43" s="801"/>
      <c r="FF43" s="801"/>
      <c r="FG43" s="801"/>
      <c r="FH43" s="801"/>
      <c r="FI43" s="801"/>
      <c r="FJ43" s="801"/>
      <c r="FK43" s="801"/>
      <c r="FL43" s="801"/>
      <c r="FM43" s="801"/>
      <c r="FN43" s="801"/>
      <c r="FO43" s="801"/>
      <c r="FP43" s="801"/>
      <c r="FQ43" s="801"/>
      <c r="FR43" s="801"/>
      <c r="FS43" s="801"/>
      <c r="FT43" s="801"/>
      <c r="FU43" s="801"/>
      <c r="FV43" s="801"/>
      <c r="FW43" s="801"/>
      <c r="FX43" s="801"/>
      <c r="FY43" s="801"/>
      <c r="FZ43" s="802"/>
      <c r="GA43" s="800" t="str">
        <f>IFERROR(IF(GZ26&gt;GA26-1,IF(INDEX(Pedidos!GJ:HZ,GY26+GA26-1,31)&lt;&gt;"","Nombres :     "&amp; INDEX(Pedidos!GJ:HZ,GY26+GA26-1,31),""),""),"")</f>
        <v/>
      </c>
      <c r="GB43" s="801"/>
      <c r="GC43" s="801"/>
      <c r="GD43" s="801"/>
      <c r="GE43" s="801"/>
      <c r="GF43" s="801"/>
      <c r="GG43" s="801"/>
      <c r="GH43" s="801"/>
      <c r="GI43" s="801"/>
      <c r="GJ43" s="801"/>
      <c r="GK43" s="801"/>
      <c r="GL43" s="801"/>
      <c r="GM43" s="801"/>
      <c r="GN43" s="801"/>
      <c r="GO43" s="801"/>
      <c r="GP43" s="801"/>
      <c r="GQ43" s="801"/>
      <c r="GR43" s="801"/>
      <c r="GS43" s="801"/>
      <c r="GT43" s="801"/>
      <c r="GU43" s="801"/>
      <c r="GV43" s="801"/>
      <c r="GW43" s="801"/>
      <c r="GX43" s="801"/>
      <c r="GY43" s="801"/>
      <c r="GZ43" s="802"/>
      <c r="HA43" s="800" t="str">
        <f>IFERROR(IF(HZ26&gt;HA26-1,IF(INDEX(Pedidos!HJ:IZ,HY26+HA26-1,31)&lt;&gt;"","Nombres :     "&amp; INDEX(Pedidos!HJ:IZ,HY26+HA26-1,31),""),""),"")</f>
        <v/>
      </c>
      <c r="HB43" s="801"/>
      <c r="HC43" s="801"/>
      <c r="HD43" s="801"/>
      <c r="HE43" s="801"/>
      <c r="HF43" s="801"/>
      <c r="HG43" s="801"/>
      <c r="HH43" s="801"/>
      <c r="HI43" s="801"/>
      <c r="HJ43" s="801"/>
      <c r="HK43" s="801"/>
      <c r="HL43" s="801"/>
      <c r="HM43" s="801"/>
      <c r="HN43" s="801"/>
      <c r="HO43" s="801"/>
      <c r="HP43" s="801"/>
      <c r="HQ43" s="801"/>
      <c r="HR43" s="801"/>
      <c r="HS43" s="801"/>
      <c r="HT43" s="801"/>
      <c r="HU43" s="801"/>
      <c r="HV43" s="801"/>
      <c r="HW43" s="801"/>
      <c r="HX43" s="801"/>
      <c r="HY43" s="801"/>
      <c r="HZ43" s="802"/>
      <c r="IA43" s="800" t="str">
        <f>IFERROR(IF(IZ26&gt;IA26-1,IF(INDEX(Pedidos!IJ:JZ,IY26+IA26-1,31)&lt;&gt;"","Nombres :     "&amp; INDEX(Pedidos!IJ:JZ,IY26+IA26-1,31),""),""),"")</f>
        <v/>
      </c>
      <c r="IB43" s="801"/>
      <c r="IC43" s="801"/>
      <c r="ID43" s="801"/>
      <c r="IE43" s="801"/>
      <c r="IF43" s="801"/>
      <c r="IG43" s="801"/>
      <c r="IH43" s="801"/>
      <c r="II43" s="801"/>
      <c r="IJ43" s="801"/>
      <c r="IK43" s="801"/>
      <c r="IL43" s="801"/>
      <c r="IM43" s="801"/>
      <c r="IN43" s="801"/>
      <c r="IO43" s="801"/>
      <c r="IP43" s="801"/>
      <c r="IQ43" s="801"/>
      <c r="IR43" s="801"/>
      <c r="IS43" s="801"/>
      <c r="IT43" s="801"/>
      <c r="IU43" s="801"/>
      <c r="IV43" s="801"/>
      <c r="IW43" s="801"/>
      <c r="IX43" s="801"/>
      <c r="IY43" s="801"/>
      <c r="IZ43" s="802"/>
    </row>
    <row r="44" spans="1:260" x14ac:dyDescent="0.25">
      <c r="A44" s="820" t="str">
        <f>IFERROR(IF(Z26&gt;A26-1,IF(INDEX(Pedidos!J:AZ,Y26+A26-1,32)&lt;&gt;"","Localización de los Nombres :     "&amp; INDEX(Pedidos!J:AZ,Y26+A26-1,32),""),""),"")</f>
        <v/>
      </c>
      <c r="B44" s="821"/>
      <c r="C44" s="821"/>
      <c r="D44" s="821"/>
      <c r="E44" s="821"/>
      <c r="F44" s="821"/>
      <c r="G44" s="821"/>
      <c r="H44" s="821"/>
      <c r="I44" s="821"/>
      <c r="J44" s="821"/>
      <c r="K44" s="821"/>
      <c r="L44" s="821"/>
      <c r="M44" s="821"/>
      <c r="N44" s="821"/>
      <c r="O44" s="821"/>
      <c r="P44" s="821"/>
      <c r="Q44" s="821"/>
      <c r="R44" s="821"/>
      <c r="S44" s="821"/>
      <c r="T44" s="821"/>
      <c r="U44" s="821"/>
      <c r="V44" s="821"/>
      <c r="W44" s="821"/>
      <c r="X44" s="821"/>
      <c r="Y44" s="821"/>
      <c r="Z44" s="822"/>
      <c r="AA44" s="820" t="str">
        <f>IFERROR(IF(AZ26&gt;AA26-1,IF(INDEX(Pedidos!AJ:BZ,AY26+AA26-1,32)&lt;&gt;"","Localización de los Nombres :     "&amp; INDEX(Pedidos!AJ:BZ,AY26+AA26-1,32),""),""),"")</f>
        <v/>
      </c>
      <c r="AB44" s="821"/>
      <c r="AC44" s="821"/>
      <c r="AD44" s="821"/>
      <c r="AE44" s="821"/>
      <c r="AF44" s="821"/>
      <c r="AG44" s="821"/>
      <c r="AH44" s="821"/>
      <c r="AI44" s="821"/>
      <c r="AJ44" s="821"/>
      <c r="AK44" s="821"/>
      <c r="AL44" s="821"/>
      <c r="AM44" s="821"/>
      <c r="AN44" s="821"/>
      <c r="AO44" s="821"/>
      <c r="AP44" s="821"/>
      <c r="AQ44" s="821"/>
      <c r="AR44" s="821"/>
      <c r="AS44" s="821"/>
      <c r="AT44" s="821"/>
      <c r="AU44" s="821"/>
      <c r="AV44" s="821"/>
      <c r="AW44" s="821"/>
      <c r="AX44" s="821"/>
      <c r="AY44" s="821"/>
      <c r="AZ44" s="822"/>
      <c r="BA44" s="820" t="str">
        <f>IFERROR(IF(BZ26&gt;BA26-1,IF(INDEX(Pedidos!BJ:CZ,BY26+BA26-1,32)&lt;&gt;"","Localización de los Nombres :     "&amp; INDEX(Pedidos!BJ:CZ,BY26+BA26-1,32),""),""),"")</f>
        <v/>
      </c>
      <c r="BB44" s="821"/>
      <c r="BC44" s="821"/>
      <c r="BD44" s="821"/>
      <c r="BE44" s="821"/>
      <c r="BF44" s="821"/>
      <c r="BG44" s="821"/>
      <c r="BH44" s="821"/>
      <c r="BI44" s="821"/>
      <c r="BJ44" s="821"/>
      <c r="BK44" s="821"/>
      <c r="BL44" s="821"/>
      <c r="BM44" s="821"/>
      <c r="BN44" s="821"/>
      <c r="BO44" s="821"/>
      <c r="BP44" s="821"/>
      <c r="BQ44" s="821"/>
      <c r="BR44" s="821"/>
      <c r="BS44" s="821"/>
      <c r="BT44" s="821"/>
      <c r="BU44" s="821"/>
      <c r="BV44" s="821"/>
      <c r="BW44" s="821"/>
      <c r="BX44" s="821"/>
      <c r="BY44" s="821"/>
      <c r="BZ44" s="822"/>
      <c r="CA44" s="820" t="str">
        <f>IFERROR(IF(CZ26&gt;CA26-1,IF(INDEX(Pedidos!CJ:DZ,CY26+CA26-1,32)&lt;&gt;"","Localización de los Nombres :     "&amp; INDEX(Pedidos!CJ:DZ,CY26+CA26-1,32),""),""),"")</f>
        <v/>
      </c>
      <c r="CB44" s="821"/>
      <c r="CC44" s="821"/>
      <c r="CD44" s="821"/>
      <c r="CE44" s="821"/>
      <c r="CF44" s="821"/>
      <c r="CG44" s="821"/>
      <c r="CH44" s="821"/>
      <c r="CI44" s="821"/>
      <c r="CJ44" s="821"/>
      <c r="CK44" s="821"/>
      <c r="CL44" s="821"/>
      <c r="CM44" s="821"/>
      <c r="CN44" s="821"/>
      <c r="CO44" s="821"/>
      <c r="CP44" s="821"/>
      <c r="CQ44" s="821"/>
      <c r="CR44" s="821"/>
      <c r="CS44" s="821"/>
      <c r="CT44" s="821"/>
      <c r="CU44" s="821"/>
      <c r="CV44" s="821"/>
      <c r="CW44" s="821"/>
      <c r="CX44" s="821"/>
      <c r="CY44" s="821"/>
      <c r="CZ44" s="822"/>
      <c r="DA44" s="820" t="str">
        <f>IFERROR(IF(DZ26&gt;DA26-1,IF(INDEX(Pedidos!DJ:EZ,DY26+DA26-1,32)&lt;&gt;"","Localización de los Nombres :     "&amp; INDEX(Pedidos!DJ:EZ,DY26+DA26-1,32),""),""),"")</f>
        <v/>
      </c>
      <c r="DB44" s="821"/>
      <c r="DC44" s="821"/>
      <c r="DD44" s="821"/>
      <c r="DE44" s="821"/>
      <c r="DF44" s="821"/>
      <c r="DG44" s="821"/>
      <c r="DH44" s="821"/>
      <c r="DI44" s="821"/>
      <c r="DJ44" s="821"/>
      <c r="DK44" s="821"/>
      <c r="DL44" s="821"/>
      <c r="DM44" s="821"/>
      <c r="DN44" s="821"/>
      <c r="DO44" s="821"/>
      <c r="DP44" s="821"/>
      <c r="DQ44" s="821"/>
      <c r="DR44" s="821"/>
      <c r="DS44" s="821"/>
      <c r="DT44" s="821"/>
      <c r="DU44" s="821"/>
      <c r="DV44" s="821"/>
      <c r="DW44" s="821"/>
      <c r="DX44" s="821"/>
      <c r="DY44" s="821"/>
      <c r="DZ44" s="822"/>
      <c r="EA44" s="820" t="str">
        <f>IFERROR(IF(EZ26&gt;EA26-1,IF(INDEX(Pedidos!EJ:FZ,EY26+EA26-1,32)&lt;&gt;"","Localización de los Nombres :     "&amp; INDEX(Pedidos!EJ:FZ,EY26+EA26-1,32),""),""),"")</f>
        <v/>
      </c>
      <c r="EB44" s="821"/>
      <c r="EC44" s="821"/>
      <c r="ED44" s="821"/>
      <c r="EE44" s="821"/>
      <c r="EF44" s="821"/>
      <c r="EG44" s="821"/>
      <c r="EH44" s="821"/>
      <c r="EI44" s="821"/>
      <c r="EJ44" s="821"/>
      <c r="EK44" s="821"/>
      <c r="EL44" s="821"/>
      <c r="EM44" s="821"/>
      <c r="EN44" s="821"/>
      <c r="EO44" s="821"/>
      <c r="EP44" s="821"/>
      <c r="EQ44" s="821"/>
      <c r="ER44" s="821"/>
      <c r="ES44" s="821"/>
      <c r="ET44" s="821"/>
      <c r="EU44" s="821"/>
      <c r="EV44" s="821"/>
      <c r="EW44" s="821"/>
      <c r="EX44" s="821"/>
      <c r="EY44" s="821"/>
      <c r="EZ44" s="822"/>
      <c r="FA44" s="820" t="str">
        <f>IFERROR(IF(FZ26&gt;FA26-1,IF(INDEX(Pedidos!FJ:GZ,FY26+FA26-1,32)&lt;&gt;"","Localización de los Nombres :     "&amp; INDEX(Pedidos!FJ:GZ,FY26+FA26-1,32),""),""),"")</f>
        <v/>
      </c>
      <c r="FB44" s="821"/>
      <c r="FC44" s="821"/>
      <c r="FD44" s="821"/>
      <c r="FE44" s="821"/>
      <c r="FF44" s="821"/>
      <c r="FG44" s="821"/>
      <c r="FH44" s="821"/>
      <c r="FI44" s="821"/>
      <c r="FJ44" s="821"/>
      <c r="FK44" s="821"/>
      <c r="FL44" s="821"/>
      <c r="FM44" s="821"/>
      <c r="FN44" s="821"/>
      <c r="FO44" s="821"/>
      <c r="FP44" s="821"/>
      <c r="FQ44" s="821"/>
      <c r="FR44" s="821"/>
      <c r="FS44" s="821"/>
      <c r="FT44" s="821"/>
      <c r="FU44" s="821"/>
      <c r="FV44" s="821"/>
      <c r="FW44" s="821"/>
      <c r="FX44" s="821"/>
      <c r="FY44" s="821"/>
      <c r="FZ44" s="822"/>
      <c r="GA44" s="820" t="str">
        <f>IFERROR(IF(GZ26&gt;GA26-1,IF(INDEX(Pedidos!GJ:HZ,GY26+GA26-1,32)&lt;&gt;"","Localización de los Nombres :     "&amp; INDEX(Pedidos!GJ:HZ,GY26+GA26-1,32),""),""),"")</f>
        <v/>
      </c>
      <c r="GB44" s="821"/>
      <c r="GC44" s="821"/>
      <c r="GD44" s="821"/>
      <c r="GE44" s="821"/>
      <c r="GF44" s="821"/>
      <c r="GG44" s="821"/>
      <c r="GH44" s="821"/>
      <c r="GI44" s="821"/>
      <c r="GJ44" s="821"/>
      <c r="GK44" s="821"/>
      <c r="GL44" s="821"/>
      <c r="GM44" s="821"/>
      <c r="GN44" s="821"/>
      <c r="GO44" s="821"/>
      <c r="GP44" s="821"/>
      <c r="GQ44" s="821"/>
      <c r="GR44" s="821"/>
      <c r="GS44" s="821"/>
      <c r="GT44" s="821"/>
      <c r="GU44" s="821"/>
      <c r="GV44" s="821"/>
      <c r="GW44" s="821"/>
      <c r="GX44" s="821"/>
      <c r="GY44" s="821"/>
      <c r="GZ44" s="822"/>
      <c r="HA44" s="820" t="str">
        <f>IFERROR(IF(HZ26&gt;HA26-1,IF(INDEX(Pedidos!HJ:IZ,HY26+HA26-1,32)&lt;&gt;"","Localización de los Nombres :     "&amp; INDEX(Pedidos!HJ:IZ,HY26+HA26-1,32),""),""),"")</f>
        <v/>
      </c>
      <c r="HB44" s="821"/>
      <c r="HC44" s="821"/>
      <c r="HD44" s="821"/>
      <c r="HE44" s="821"/>
      <c r="HF44" s="821"/>
      <c r="HG44" s="821"/>
      <c r="HH44" s="821"/>
      <c r="HI44" s="821"/>
      <c r="HJ44" s="821"/>
      <c r="HK44" s="821"/>
      <c r="HL44" s="821"/>
      <c r="HM44" s="821"/>
      <c r="HN44" s="821"/>
      <c r="HO44" s="821"/>
      <c r="HP44" s="821"/>
      <c r="HQ44" s="821"/>
      <c r="HR44" s="821"/>
      <c r="HS44" s="821"/>
      <c r="HT44" s="821"/>
      <c r="HU44" s="821"/>
      <c r="HV44" s="821"/>
      <c r="HW44" s="821"/>
      <c r="HX44" s="821"/>
      <c r="HY44" s="821"/>
      <c r="HZ44" s="822"/>
      <c r="IA44" s="820" t="str">
        <f>IFERROR(IF(IZ26&gt;IA26-1,IF(INDEX(Pedidos!IJ:JZ,IY26+IA26-1,32)&lt;&gt;"","Localización de los Nombres :     "&amp; INDEX(Pedidos!IJ:JZ,IY26+IA26-1,32),""),""),"")</f>
        <v/>
      </c>
      <c r="IB44" s="821"/>
      <c r="IC44" s="821"/>
      <c r="ID44" s="821"/>
      <c r="IE44" s="821"/>
      <c r="IF44" s="821"/>
      <c r="IG44" s="821"/>
      <c r="IH44" s="821"/>
      <c r="II44" s="821"/>
      <c r="IJ44" s="821"/>
      <c r="IK44" s="821"/>
      <c r="IL44" s="821"/>
      <c r="IM44" s="821"/>
      <c r="IN44" s="821"/>
      <c r="IO44" s="821"/>
      <c r="IP44" s="821"/>
      <c r="IQ44" s="821"/>
      <c r="IR44" s="821"/>
      <c r="IS44" s="821"/>
      <c r="IT44" s="821"/>
      <c r="IU44" s="821"/>
      <c r="IV44" s="821"/>
      <c r="IW44" s="821"/>
      <c r="IX44" s="821"/>
      <c r="IY44" s="821"/>
      <c r="IZ44" s="822"/>
    </row>
    <row r="45" spans="1:260" ht="15" customHeight="1" x14ac:dyDescent="0.25">
      <c r="A45" s="836" t="str">
        <f>IFERROR(IF(Z26&gt;A26-1,IF(INDEX(Pedidos!J:AZ,Y26+A26-1,37)&lt;&gt;"","Otras Instrucciones Especiales :     "&amp; INDEX(Pedidos!J:AZ,Y26+A26-1,37),""),""),"")</f>
        <v/>
      </c>
      <c r="B45" s="837"/>
      <c r="C45" s="837"/>
      <c r="D45" s="837"/>
      <c r="E45" s="837"/>
      <c r="F45" s="837"/>
      <c r="G45" s="837"/>
      <c r="H45" s="837"/>
      <c r="I45" s="837"/>
      <c r="J45" s="837"/>
      <c r="K45" s="837"/>
      <c r="L45" s="837"/>
      <c r="M45" s="837"/>
      <c r="N45" s="837"/>
      <c r="O45" s="837"/>
      <c r="P45" s="837"/>
      <c r="Q45" s="837"/>
      <c r="R45" s="837"/>
      <c r="S45" s="837"/>
      <c r="T45" s="837"/>
      <c r="U45" s="837"/>
      <c r="V45" s="837"/>
      <c r="W45" s="837"/>
      <c r="X45" s="837"/>
      <c r="Y45" s="837"/>
      <c r="Z45" s="838"/>
      <c r="AA45" s="836" t="str">
        <f>IFERROR(IF(AZ26&gt;AA26-1,IF(INDEX(Pedidos!AJ:BZ,AY26+AA26-1,37)&lt;&gt;"","Otras Instrucciones Especiales :     "&amp; INDEX(Pedidos!AJ:BZ,AY26+AA26-1,37),""),""),"")</f>
        <v/>
      </c>
      <c r="AB45" s="837"/>
      <c r="AC45" s="837"/>
      <c r="AD45" s="837"/>
      <c r="AE45" s="837"/>
      <c r="AF45" s="837"/>
      <c r="AG45" s="837"/>
      <c r="AH45" s="837"/>
      <c r="AI45" s="837"/>
      <c r="AJ45" s="837"/>
      <c r="AK45" s="837"/>
      <c r="AL45" s="837"/>
      <c r="AM45" s="837"/>
      <c r="AN45" s="837"/>
      <c r="AO45" s="837"/>
      <c r="AP45" s="837"/>
      <c r="AQ45" s="837"/>
      <c r="AR45" s="837"/>
      <c r="AS45" s="837"/>
      <c r="AT45" s="837"/>
      <c r="AU45" s="837"/>
      <c r="AV45" s="837"/>
      <c r="AW45" s="837"/>
      <c r="AX45" s="837"/>
      <c r="AY45" s="837"/>
      <c r="AZ45" s="838"/>
      <c r="BA45" s="836" t="str">
        <f>IFERROR(IF(BZ26&gt;BA26-1,IF(INDEX(Pedidos!BJ:CZ,BY26+BA26-1,37)&lt;&gt;"","Otras Instrucciones Especiales :     "&amp; INDEX(Pedidos!BJ:CZ,BY26+BA26-1,37),""),""),"")</f>
        <v/>
      </c>
      <c r="BB45" s="837"/>
      <c r="BC45" s="837"/>
      <c r="BD45" s="837"/>
      <c r="BE45" s="837"/>
      <c r="BF45" s="837"/>
      <c r="BG45" s="837"/>
      <c r="BH45" s="837"/>
      <c r="BI45" s="837"/>
      <c r="BJ45" s="837"/>
      <c r="BK45" s="837"/>
      <c r="BL45" s="837"/>
      <c r="BM45" s="837"/>
      <c r="BN45" s="837"/>
      <c r="BO45" s="837"/>
      <c r="BP45" s="837"/>
      <c r="BQ45" s="837"/>
      <c r="BR45" s="837"/>
      <c r="BS45" s="837"/>
      <c r="BT45" s="837"/>
      <c r="BU45" s="837"/>
      <c r="BV45" s="837"/>
      <c r="BW45" s="837"/>
      <c r="BX45" s="837"/>
      <c r="BY45" s="837"/>
      <c r="BZ45" s="838"/>
      <c r="CA45" s="836" t="str">
        <f>IFERROR(IF(CZ26&gt;CA26-1,IF(INDEX(Pedidos!CJ:DZ,CY26+CA26-1,37)&lt;&gt;"","Otras Instrucciones Especiales :     "&amp; INDEX(Pedidos!CJ:DZ,CY26+CA26-1,37),""),""),"")</f>
        <v/>
      </c>
      <c r="CB45" s="837"/>
      <c r="CC45" s="837"/>
      <c r="CD45" s="837"/>
      <c r="CE45" s="837"/>
      <c r="CF45" s="837"/>
      <c r="CG45" s="837"/>
      <c r="CH45" s="837"/>
      <c r="CI45" s="837"/>
      <c r="CJ45" s="837"/>
      <c r="CK45" s="837"/>
      <c r="CL45" s="837"/>
      <c r="CM45" s="837"/>
      <c r="CN45" s="837"/>
      <c r="CO45" s="837"/>
      <c r="CP45" s="837"/>
      <c r="CQ45" s="837"/>
      <c r="CR45" s="837"/>
      <c r="CS45" s="837"/>
      <c r="CT45" s="837"/>
      <c r="CU45" s="837"/>
      <c r="CV45" s="837"/>
      <c r="CW45" s="837"/>
      <c r="CX45" s="837"/>
      <c r="CY45" s="837"/>
      <c r="CZ45" s="838"/>
      <c r="DA45" s="836" t="str">
        <f>IFERROR(IF(DZ26&gt;DA26-1,IF(INDEX(Pedidos!DJ:EZ,DY26+DA26-1,37)&lt;&gt;"","Otras Instrucciones Especiales :     "&amp; INDEX(Pedidos!DJ:EZ,DY26+DA26-1,37),""),""),"")</f>
        <v/>
      </c>
      <c r="DB45" s="837"/>
      <c r="DC45" s="837"/>
      <c r="DD45" s="837"/>
      <c r="DE45" s="837"/>
      <c r="DF45" s="837"/>
      <c r="DG45" s="837"/>
      <c r="DH45" s="837"/>
      <c r="DI45" s="837"/>
      <c r="DJ45" s="837"/>
      <c r="DK45" s="837"/>
      <c r="DL45" s="837"/>
      <c r="DM45" s="837"/>
      <c r="DN45" s="837"/>
      <c r="DO45" s="837"/>
      <c r="DP45" s="837"/>
      <c r="DQ45" s="837"/>
      <c r="DR45" s="837"/>
      <c r="DS45" s="837"/>
      <c r="DT45" s="837"/>
      <c r="DU45" s="837"/>
      <c r="DV45" s="837"/>
      <c r="DW45" s="837"/>
      <c r="DX45" s="837"/>
      <c r="DY45" s="837"/>
      <c r="DZ45" s="838"/>
      <c r="EA45" s="836" t="str">
        <f>IFERROR(IF(EZ26&gt;EA26-1,IF(INDEX(Pedidos!EJ:FZ,EY26+EA26-1,37)&lt;&gt;"","Otras Instrucciones Especiales :     "&amp; INDEX(Pedidos!EJ:FZ,EY26+EA26-1,37),""),""),"")</f>
        <v/>
      </c>
      <c r="EB45" s="837"/>
      <c r="EC45" s="837"/>
      <c r="ED45" s="837"/>
      <c r="EE45" s="837"/>
      <c r="EF45" s="837"/>
      <c r="EG45" s="837"/>
      <c r="EH45" s="837"/>
      <c r="EI45" s="837"/>
      <c r="EJ45" s="837"/>
      <c r="EK45" s="837"/>
      <c r="EL45" s="837"/>
      <c r="EM45" s="837"/>
      <c r="EN45" s="837"/>
      <c r="EO45" s="837"/>
      <c r="EP45" s="837"/>
      <c r="EQ45" s="837"/>
      <c r="ER45" s="837"/>
      <c r="ES45" s="837"/>
      <c r="ET45" s="837"/>
      <c r="EU45" s="837"/>
      <c r="EV45" s="837"/>
      <c r="EW45" s="837"/>
      <c r="EX45" s="837"/>
      <c r="EY45" s="837"/>
      <c r="EZ45" s="838"/>
      <c r="FA45" s="836" t="str">
        <f>IFERROR(IF(FZ26&gt;FA26-1,IF(INDEX(Pedidos!FJ:GZ,FY26+FA26-1,37)&lt;&gt;"","Otras Instrucciones Especiales :     "&amp; INDEX(Pedidos!FJ:GZ,FY26+FA26-1,37),""),""),"")</f>
        <v/>
      </c>
      <c r="FB45" s="837"/>
      <c r="FC45" s="837"/>
      <c r="FD45" s="837"/>
      <c r="FE45" s="837"/>
      <c r="FF45" s="837"/>
      <c r="FG45" s="837"/>
      <c r="FH45" s="837"/>
      <c r="FI45" s="837"/>
      <c r="FJ45" s="837"/>
      <c r="FK45" s="837"/>
      <c r="FL45" s="837"/>
      <c r="FM45" s="837"/>
      <c r="FN45" s="837"/>
      <c r="FO45" s="837"/>
      <c r="FP45" s="837"/>
      <c r="FQ45" s="837"/>
      <c r="FR45" s="837"/>
      <c r="FS45" s="837"/>
      <c r="FT45" s="837"/>
      <c r="FU45" s="837"/>
      <c r="FV45" s="837"/>
      <c r="FW45" s="837"/>
      <c r="FX45" s="837"/>
      <c r="FY45" s="837"/>
      <c r="FZ45" s="838"/>
      <c r="GA45" s="836" t="str">
        <f>IFERROR(IF(GZ26&gt;GA26-1,IF(INDEX(Pedidos!GJ:HZ,GY26+GA26-1,37)&lt;&gt;"","Otras Instrucciones Especiales :     "&amp; INDEX(Pedidos!GJ:HZ,GY26+GA26-1,37),""),""),"")</f>
        <v/>
      </c>
      <c r="GB45" s="837"/>
      <c r="GC45" s="837"/>
      <c r="GD45" s="837"/>
      <c r="GE45" s="837"/>
      <c r="GF45" s="837"/>
      <c r="GG45" s="837"/>
      <c r="GH45" s="837"/>
      <c r="GI45" s="837"/>
      <c r="GJ45" s="837"/>
      <c r="GK45" s="837"/>
      <c r="GL45" s="837"/>
      <c r="GM45" s="837"/>
      <c r="GN45" s="837"/>
      <c r="GO45" s="837"/>
      <c r="GP45" s="837"/>
      <c r="GQ45" s="837"/>
      <c r="GR45" s="837"/>
      <c r="GS45" s="837"/>
      <c r="GT45" s="837"/>
      <c r="GU45" s="837"/>
      <c r="GV45" s="837"/>
      <c r="GW45" s="837"/>
      <c r="GX45" s="837"/>
      <c r="GY45" s="837"/>
      <c r="GZ45" s="838"/>
      <c r="HA45" s="836" t="str">
        <f>IFERROR(IF(HZ26&gt;HA26-1,IF(INDEX(Pedidos!HJ:IZ,HY26+HA26-1,37)&lt;&gt;"","Otras Instrucciones Especiales :     "&amp; INDEX(Pedidos!HJ:IZ,HY26+HA26-1,37),""),""),"")</f>
        <v/>
      </c>
      <c r="HB45" s="837"/>
      <c r="HC45" s="837"/>
      <c r="HD45" s="837"/>
      <c r="HE45" s="837"/>
      <c r="HF45" s="837"/>
      <c r="HG45" s="837"/>
      <c r="HH45" s="837"/>
      <c r="HI45" s="837"/>
      <c r="HJ45" s="837"/>
      <c r="HK45" s="837"/>
      <c r="HL45" s="837"/>
      <c r="HM45" s="837"/>
      <c r="HN45" s="837"/>
      <c r="HO45" s="837"/>
      <c r="HP45" s="837"/>
      <c r="HQ45" s="837"/>
      <c r="HR45" s="837"/>
      <c r="HS45" s="837"/>
      <c r="HT45" s="837"/>
      <c r="HU45" s="837"/>
      <c r="HV45" s="837"/>
      <c r="HW45" s="837"/>
      <c r="HX45" s="837"/>
      <c r="HY45" s="837"/>
      <c r="HZ45" s="838"/>
      <c r="IA45" s="836" t="str">
        <f>IFERROR(IF(IZ26&gt;IA26-1,IF(INDEX(Pedidos!IJ:JZ,IY26+IA26-1,37)&lt;&gt;"","Otras Instrucciones Especiales :     "&amp; INDEX(Pedidos!IJ:JZ,IY26+IA26-1,37),""),""),"")</f>
        <v/>
      </c>
      <c r="IB45" s="837"/>
      <c r="IC45" s="837"/>
      <c r="ID45" s="837"/>
      <c r="IE45" s="837"/>
      <c r="IF45" s="837"/>
      <c r="IG45" s="837"/>
      <c r="IH45" s="837"/>
      <c r="II45" s="837"/>
      <c r="IJ45" s="837"/>
      <c r="IK45" s="837"/>
      <c r="IL45" s="837"/>
      <c r="IM45" s="837"/>
      <c r="IN45" s="837"/>
      <c r="IO45" s="837"/>
      <c r="IP45" s="837"/>
      <c r="IQ45" s="837"/>
      <c r="IR45" s="837"/>
      <c r="IS45" s="837"/>
      <c r="IT45" s="837"/>
      <c r="IU45" s="837"/>
      <c r="IV45" s="837"/>
      <c r="IW45" s="837"/>
      <c r="IX45" s="837"/>
      <c r="IY45" s="837"/>
      <c r="IZ45" s="838"/>
    </row>
    <row r="46" spans="1:260" ht="15.75" thickBot="1" x14ac:dyDescent="0.3">
      <c r="A46" s="839"/>
      <c r="B46" s="840"/>
      <c r="C46" s="840"/>
      <c r="D46" s="840"/>
      <c r="E46" s="840"/>
      <c r="F46" s="840"/>
      <c r="G46" s="840"/>
      <c r="H46" s="840"/>
      <c r="I46" s="840"/>
      <c r="J46" s="840"/>
      <c r="K46" s="840"/>
      <c r="L46" s="840"/>
      <c r="M46" s="840"/>
      <c r="N46" s="840"/>
      <c r="O46" s="840"/>
      <c r="P46" s="840"/>
      <c r="Q46" s="840"/>
      <c r="R46" s="840"/>
      <c r="S46" s="840"/>
      <c r="T46" s="840"/>
      <c r="U46" s="840"/>
      <c r="V46" s="840"/>
      <c r="W46" s="840"/>
      <c r="X46" s="840"/>
      <c r="Y46" s="840"/>
      <c r="Z46" s="841"/>
      <c r="AA46" s="839"/>
      <c r="AB46" s="840"/>
      <c r="AC46" s="840"/>
      <c r="AD46" s="840"/>
      <c r="AE46" s="840"/>
      <c r="AF46" s="840"/>
      <c r="AG46" s="840"/>
      <c r="AH46" s="840"/>
      <c r="AI46" s="840"/>
      <c r="AJ46" s="840"/>
      <c r="AK46" s="840"/>
      <c r="AL46" s="840"/>
      <c r="AM46" s="840"/>
      <c r="AN46" s="840"/>
      <c r="AO46" s="840"/>
      <c r="AP46" s="840"/>
      <c r="AQ46" s="840"/>
      <c r="AR46" s="840"/>
      <c r="AS46" s="840"/>
      <c r="AT46" s="840"/>
      <c r="AU46" s="840"/>
      <c r="AV46" s="840"/>
      <c r="AW46" s="840"/>
      <c r="AX46" s="840"/>
      <c r="AY46" s="840"/>
      <c r="AZ46" s="841"/>
      <c r="BA46" s="839"/>
      <c r="BB46" s="840"/>
      <c r="BC46" s="840"/>
      <c r="BD46" s="840"/>
      <c r="BE46" s="840"/>
      <c r="BF46" s="840"/>
      <c r="BG46" s="840"/>
      <c r="BH46" s="840"/>
      <c r="BI46" s="840"/>
      <c r="BJ46" s="840"/>
      <c r="BK46" s="840"/>
      <c r="BL46" s="840"/>
      <c r="BM46" s="840"/>
      <c r="BN46" s="840"/>
      <c r="BO46" s="840"/>
      <c r="BP46" s="840"/>
      <c r="BQ46" s="840"/>
      <c r="BR46" s="840"/>
      <c r="BS46" s="840"/>
      <c r="BT46" s="840"/>
      <c r="BU46" s="840"/>
      <c r="BV46" s="840"/>
      <c r="BW46" s="840"/>
      <c r="BX46" s="840"/>
      <c r="BY46" s="840"/>
      <c r="BZ46" s="841"/>
      <c r="CA46" s="839"/>
      <c r="CB46" s="840"/>
      <c r="CC46" s="840"/>
      <c r="CD46" s="840"/>
      <c r="CE46" s="840"/>
      <c r="CF46" s="840"/>
      <c r="CG46" s="840"/>
      <c r="CH46" s="840"/>
      <c r="CI46" s="840"/>
      <c r="CJ46" s="840"/>
      <c r="CK46" s="840"/>
      <c r="CL46" s="840"/>
      <c r="CM46" s="840"/>
      <c r="CN46" s="840"/>
      <c r="CO46" s="840"/>
      <c r="CP46" s="840"/>
      <c r="CQ46" s="840"/>
      <c r="CR46" s="840"/>
      <c r="CS46" s="840"/>
      <c r="CT46" s="840"/>
      <c r="CU46" s="840"/>
      <c r="CV46" s="840"/>
      <c r="CW46" s="840"/>
      <c r="CX46" s="840"/>
      <c r="CY46" s="840"/>
      <c r="CZ46" s="841"/>
      <c r="DA46" s="839"/>
      <c r="DB46" s="840"/>
      <c r="DC46" s="840"/>
      <c r="DD46" s="840"/>
      <c r="DE46" s="840"/>
      <c r="DF46" s="840"/>
      <c r="DG46" s="840"/>
      <c r="DH46" s="840"/>
      <c r="DI46" s="840"/>
      <c r="DJ46" s="840"/>
      <c r="DK46" s="840"/>
      <c r="DL46" s="840"/>
      <c r="DM46" s="840"/>
      <c r="DN46" s="840"/>
      <c r="DO46" s="840"/>
      <c r="DP46" s="840"/>
      <c r="DQ46" s="840"/>
      <c r="DR46" s="840"/>
      <c r="DS46" s="840"/>
      <c r="DT46" s="840"/>
      <c r="DU46" s="840"/>
      <c r="DV46" s="840"/>
      <c r="DW46" s="840"/>
      <c r="DX46" s="840"/>
      <c r="DY46" s="840"/>
      <c r="DZ46" s="841"/>
      <c r="EA46" s="839"/>
      <c r="EB46" s="840"/>
      <c r="EC46" s="840"/>
      <c r="ED46" s="840"/>
      <c r="EE46" s="840"/>
      <c r="EF46" s="840"/>
      <c r="EG46" s="840"/>
      <c r="EH46" s="840"/>
      <c r="EI46" s="840"/>
      <c r="EJ46" s="840"/>
      <c r="EK46" s="840"/>
      <c r="EL46" s="840"/>
      <c r="EM46" s="840"/>
      <c r="EN46" s="840"/>
      <c r="EO46" s="840"/>
      <c r="EP46" s="840"/>
      <c r="EQ46" s="840"/>
      <c r="ER46" s="840"/>
      <c r="ES46" s="840"/>
      <c r="ET46" s="840"/>
      <c r="EU46" s="840"/>
      <c r="EV46" s="840"/>
      <c r="EW46" s="840"/>
      <c r="EX46" s="840"/>
      <c r="EY46" s="840"/>
      <c r="EZ46" s="841"/>
      <c r="FA46" s="839"/>
      <c r="FB46" s="840"/>
      <c r="FC46" s="840"/>
      <c r="FD46" s="840"/>
      <c r="FE46" s="840"/>
      <c r="FF46" s="840"/>
      <c r="FG46" s="840"/>
      <c r="FH46" s="840"/>
      <c r="FI46" s="840"/>
      <c r="FJ46" s="840"/>
      <c r="FK46" s="840"/>
      <c r="FL46" s="840"/>
      <c r="FM46" s="840"/>
      <c r="FN46" s="840"/>
      <c r="FO46" s="840"/>
      <c r="FP46" s="840"/>
      <c r="FQ46" s="840"/>
      <c r="FR46" s="840"/>
      <c r="FS46" s="840"/>
      <c r="FT46" s="840"/>
      <c r="FU46" s="840"/>
      <c r="FV46" s="840"/>
      <c r="FW46" s="840"/>
      <c r="FX46" s="840"/>
      <c r="FY46" s="840"/>
      <c r="FZ46" s="841"/>
      <c r="GA46" s="839"/>
      <c r="GB46" s="840"/>
      <c r="GC46" s="840"/>
      <c r="GD46" s="840"/>
      <c r="GE46" s="840"/>
      <c r="GF46" s="840"/>
      <c r="GG46" s="840"/>
      <c r="GH46" s="840"/>
      <c r="GI46" s="840"/>
      <c r="GJ46" s="840"/>
      <c r="GK46" s="840"/>
      <c r="GL46" s="840"/>
      <c r="GM46" s="840"/>
      <c r="GN46" s="840"/>
      <c r="GO46" s="840"/>
      <c r="GP46" s="840"/>
      <c r="GQ46" s="840"/>
      <c r="GR46" s="840"/>
      <c r="GS46" s="840"/>
      <c r="GT46" s="840"/>
      <c r="GU46" s="840"/>
      <c r="GV46" s="840"/>
      <c r="GW46" s="840"/>
      <c r="GX46" s="840"/>
      <c r="GY46" s="840"/>
      <c r="GZ46" s="841"/>
      <c r="HA46" s="839"/>
      <c r="HB46" s="840"/>
      <c r="HC46" s="840"/>
      <c r="HD46" s="840"/>
      <c r="HE46" s="840"/>
      <c r="HF46" s="840"/>
      <c r="HG46" s="840"/>
      <c r="HH46" s="840"/>
      <c r="HI46" s="840"/>
      <c r="HJ46" s="840"/>
      <c r="HK46" s="840"/>
      <c r="HL46" s="840"/>
      <c r="HM46" s="840"/>
      <c r="HN46" s="840"/>
      <c r="HO46" s="840"/>
      <c r="HP46" s="840"/>
      <c r="HQ46" s="840"/>
      <c r="HR46" s="840"/>
      <c r="HS46" s="840"/>
      <c r="HT46" s="840"/>
      <c r="HU46" s="840"/>
      <c r="HV46" s="840"/>
      <c r="HW46" s="840"/>
      <c r="HX46" s="840"/>
      <c r="HY46" s="840"/>
      <c r="HZ46" s="841"/>
      <c r="IA46" s="839"/>
      <c r="IB46" s="840"/>
      <c r="IC46" s="840"/>
      <c r="ID46" s="840"/>
      <c r="IE46" s="840"/>
      <c r="IF46" s="840"/>
      <c r="IG46" s="840"/>
      <c r="IH46" s="840"/>
      <c r="II46" s="840"/>
      <c r="IJ46" s="840"/>
      <c r="IK46" s="840"/>
      <c r="IL46" s="840"/>
      <c r="IM46" s="840"/>
      <c r="IN46" s="840"/>
      <c r="IO46" s="840"/>
      <c r="IP46" s="840"/>
      <c r="IQ46" s="840"/>
      <c r="IR46" s="840"/>
      <c r="IS46" s="840"/>
      <c r="IT46" s="840"/>
      <c r="IU46" s="840"/>
      <c r="IV46" s="840"/>
      <c r="IW46" s="840"/>
      <c r="IX46" s="840"/>
      <c r="IY46" s="840"/>
      <c r="IZ46" s="841"/>
    </row>
    <row r="47" spans="1:260" ht="15.75" thickBot="1" x14ac:dyDescent="0.3">
      <c r="A47" s="529">
        <v>3</v>
      </c>
      <c r="B47" s="529"/>
      <c r="C47" s="529"/>
      <c r="D47" s="529"/>
      <c r="E47" s="529"/>
      <c r="F47" s="529"/>
      <c r="G47" s="529"/>
      <c r="H47" s="529"/>
      <c r="I47" s="529"/>
      <c r="J47" s="529">
        <v>18</v>
      </c>
      <c r="K47" s="529">
        <v>19</v>
      </c>
      <c r="L47" s="529">
        <v>20</v>
      </c>
      <c r="M47" s="529">
        <v>21</v>
      </c>
      <c r="N47" s="529">
        <v>22</v>
      </c>
      <c r="O47" s="529">
        <v>23</v>
      </c>
      <c r="P47" s="529">
        <v>24</v>
      </c>
      <c r="Q47" s="529">
        <v>25</v>
      </c>
      <c r="R47" s="529">
        <v>26</v>
      </c>
      <c r="S47" s="529">
        <v>27</v>
      </c>
      <c r="T47" s="529">
        <v>28</v>
      </c>
      <c r="U47" s="529">
        <v>29</v>
      </c>
      <c r="V47" s="529">
        <v>30</v>
      </c>
      <c r="W47" s="529"/>
      <c r="X47" s="529"/>
      <c r="Y47" s="529" t="str">
        <f>IFERROR(IF(COUNTIF(Pedidos!$J:$J,Q$2)&gt;A47-1,MATCH(Q$2,Pedidos!$J:$J,0),""),"")</f>
        <v/>
      </c>
      <c r="Z47" s="529">
        <f>IFERROR(IF(Y47="",0,COUNTIF(Pedidos!$J:$J,Procesos!Q$2)),"")</f>
        <v>0</v>
      </c>
      <c r="AA47" s="529">
        <v>3</v>
      </c>
      <c r="AB47" s="529"/>
      <c r="AC47" s="529"/>
      <c r="AD47" s="529"/>
      <c r="AE47" s="529"/>
      <c r="AF47" s="529"/>
      <c r="AG47" s="529"/>
      <c r="AH47" s="529"/>
      <c r="AI47" s="529"/>
      <c r="AJ47" s="529">
        <v>18</v>
      </c>
      <c r="AK47" s="529">
        <v>19</v>
      </c>
      <c r="AL47" s="529">
        <v>20</v>
      </c>
      <c r="AM47" s="529">
        <v>21</v>
      </c>
      <c r="AN47" s="529">
        <v>22</v>
      </c>
      <c r="AO47" s="529">
        <v>23</v>
      </c>
      <c r="AP47" s="529">
        <v>24</v>
      </c>
      <c r="AQ47" s="529">
        <v>25</v>
      </c>
      <c r="AR47" s="529">
        <v>26</v>
      </c>
      <c r="AS47" s="529">
        <v>27</v>
      </c>
      <c r="AT47" s="529">
        <v>28</v>
      </c>
      <c r="AU47" s="529">
        <v>29</v>
      </c>
      <c r="AV47" s="529">
        <v>30</v>
      </c>
      <c r="AW47" s="529"/>
      <c r="AX47" s="529"/>
      <c r="AY47" s="529">
        <f>IFERROR(IF(COUNTIF(Pedidos!$J:$J,AQ$2)&gt;AA47-1,MATCH(AQ$2,Pedidos!$J:$J,0),""),"")</f>
        <v>30</v>
      </c>
      <c r="AZ47" s="529">
        <f>IFERROR(IF(AY47="",0,COUNTIF(Pedidos!$J:$J,Procesos!AQ$2)),"")</f>
        <v>4</v>
      </c>
      <c r="BA47" s="529">
        <v>3</v>
      </c>
      <c r="BB47" s="529"/>
      <c r="BC47" s="529"/>
      <c r="BD47" s="529"/>
      <c r="BE47" s="529"/>
      <c r="BF47" s="529"/>
      <c r="BG47" s="529"/>
      <c r="BH47" s="529"/>
      <c r="BI47" s="529"/>
      <c r="BJ47" s="529">
        <v>18</v>
      </c>
      <c r="BK47" s="529">
        <v>19</v>
      </c>
      <c r="BL47" s="529">
        <v>20</v>
      </c>
      <c r="BM47" s="529">
        <v>21</v>
      </c>
      <c r="BN47" s="529">
        <v>22</v>
      </c>
      <c r="BO47" s="529">
        <v>23</v>
      </c>
      <c r="BP47" s="529">
        <v>24</v>
      </c>
      <c r="BQ47" s="529">
        <v>25</v>
      </c>
      <c r="BR47" s="529">
        <v>26</v>
      </c>
      <c r="BS47" s="529">
        <v>27</v>
      </c>
      <c r="BT47" s="529">
        <v>28</v>
      </c>
      <c r="BU47" s="529">
        <v>29</v>
      </c>
      <c r="BV47" s="529">
        <v>30</v>
      </c>
      <c r="BW47" s="529"/>
      <c r="BX47" s="529"/>
      <c r="BY47" s="529" t="str">
        <f>IFERROR(IF(COUNTIF(Pedidos!$J:$J,BQ$2)&gt;BA47-1,MATCH(BQ$2,Pedidos!$J:$J,0),""),"")</f>
        <v/>
      </c>
      <c r="BZ47" s="529">
        <f>IFERROR(IF(BY47="",0,COUNTIF(Pedidos!$J:$J,Procesos!BQ$2)),"")</f>
        <v>0</v>
      </c>
      <c r="CA47" s="529">
        <v>3</v>
      </c>
      <c r="CB47" s="529"/>
      <c r="CC47" s="529"/>
      <c r="CD47" s="529"/>
      <c r="CE47" s="529"/>
      <c r="CF47" s="529"/>
      <c r="CG47" s="529"/>
      <c r="CH47" s="529"/>
      <c r="CI47" s="529"/>
      <c r="CJ47" s="529">
        <v>18</v>
      </c>
      <c r="CK47" s="529">
        <v>19</v>
      </c>
      <c r="CL47" s="529">
        <v>20</v>
      </c>
      <c r="CM47" s="529">
        <v>21</v>
      </c>
      <c r="CN47" s="529">
        <v>22</v>
      </c>
      <c r="CO47" s="529">
        <v>23</v>
      </c>
      <c r="CP47" s="529">
        <v>24</v>
      </c>
      <c r="CQ47" s="529">
        <v>25</v>
      </c>
      <c r="CR47" s="529">
        <v>26</v>
      </c>
      <c r="CS47" s="529">
        <v>27</v>
      </c>
      <c r="CT47" s="529">
        <v>28</v>
      </c>
      <c r="CU47" s="529">
        <v>29</v>
      </c>
      <c r="CV47" s="529">
        <v>30</v>
      </c>
      <c r="CW47" s="529"/>
      <c r="CX47" s="529"/>
      <c r="CY47" s="529" t="str">
        <f>IFERROR(IF(COUNTIF(Pedidos!$J:$J,CQ$2)&gt;CA47-1,MATCH(CQ$2,Pedidos!$J:$J,0),""),"")</f>
        <v/>
      </c>
      <c r="CZ47" s="529">
        <f>IFERROR(IF(CY47="",0,COUNTIF(Pedidos!$J:$J,Procesos!CQ$2)),"")</f>
        <v>0</v>
      </c>
      <c r="DA47" s="529">
        <v>3</v>
      </c>
      <c r="DB47" s="529"/>
      <c r="DC47" s="529"/>
      <c r="DD47" s="529"/>
      <c r="DE47" s="529"/>
      <c r="DF47" s="529"/>
      <c r="DG47" s="529"/>
      <c r="DH47" s="529"/>
      <c r="DI47" s="529"/>
      <c r="DJ47" s="529">
        <v>18</v>
      </c>
      <c r="DK47" s="529">
        <v>19</v>
      </c>
      <c r="DL47" s="529">
        <v>20</v>
      </c>
      <c r="DM47" s="529">
        <v>21</v>
      </c>
      <c r="DN47" s="529">
        <v>22</v>
      </c>
      <c r="DO47" s="529">
        <v>23</v>
      </c>
      <c r="DP47" s="529">
        <v>24</v>
      </c>
      <c r="DQ47" s="529">
        <v>25</v>
      </c>
      <c r="DR47" s="529">
        <v>26</v>
      </c>
      <c r="DS47" s="529">
        <v>27</v>
      </c>
      <c r="DT47" s="529">
        <v>28</v>
      </c>
      <c r="DU47" s="529">
        <v>29</v>
      </c>
      <c r="DV47" s="529">
        <v>30</v>
      </c>
      <c r="DW47" s="529"/>
      <c r="DX47" s="529"/>
      <c r="DY47" s="529" t="str">
        <f>IFERROR(IF(COUNTIF(Pedidos!$J:$J,DQ$2)&gt;DA47-1,MATCH(DQ$2,Pedidos!$J:$J,0),""),"")</f>
        <v/>
      </c>
      <c r="DZ47" s="529">
        <f>IFERROR(IF(DY47="",0,COUNTIF(Pedidos!$J:$J,Procesos!DQ$2)),"")</f>
        <v>0</v>
      </c>
      <c r="EA47" s="529">
        <v>3</v>
      </c>
      <c r="EB47" s="529"/>
      <c r="EC47" s="529"/>
      <c r="ED47" s="529"/>
      <c r="EE47" s="529"/>
      <c r="EF47" s="529"/>
      <c r="EG47" s="529"/>
      <c r="EH47" s="529"/>
      <c r="EI47" s="529"/>
      <c r="EJ47" s="529">
        <v>18</v>
      </c>
      <c r="EK47" s="529">
        <v>19</v>
      </c>
      <c r="EL47" s="529">
        <v>20</v>
      </c>
      <c r="EM47" s="529">
        <v>21</v>
      </c>
      <c r="EN47" s="529">
        <v>22</v>
      </c>
      <c r="EO47" s="529">
        <v>23</v>
      </c>
      <c r="EP47" s="529">
        <v>24</v>
      </c>
      <c r="EQ47" s="529">
        <v>25</v>
      </c>
      <c r="ER47" s="529">
        <v>26</v>
      </c>
      <c r="ES47" s="529">
        <v>27</v>
      </c>
      <c r="ET47" s="529">
        <v>28</v>
      </c>
      <c r="EU47" s="529">
        <v>29</v>
      </c>
      <c r="EV47" s="529">
        <v>30</v>
      </c>
      <c r="EW47" s="529"/>
      <c r="EX47" s="529"/>
      <c r="EY47" s="529" t="str">
        <f>IFERROR(IF(COUNTIF(Pedidos!$J:$J,EQ$2)&gt;EA47-1,MATCH(EQ$2,Pedidos!$J:$J,0),""),"")</f>
        <v/>
      </c>
      <c r="EZ47" s="529">
        <f>IFERROR(IF(EY47="",0,COUNTIF(Pedidos!$J:$J,Procesos!EQ$2)),"")</f>
        <v>0</v>
      </c>
      <c r="FA47" s="529">
        <v>3</v>
      </c>
      <c r="FB47" s="529"/>
      <c r="FC47" s="529"/>
      <c r="FD47" s="529"/>
      <c r="FE47" s="529"/>
      <c r="FF47" s="529"/>
      <c r="FG47" s="529"/>
      <c r="FH47" s="529"/>
      <c r="FI47" s="529"/>
      <c r="FJ47" s="529">
        <v>18</v>
      </c>
      <c r="FK47" s="529">
        <v>19</v>
      </c>
      <c r="FL47" s="529">
        <v>20</v>
      </c>
      <c r="FM47" s="529">
        <v>21</v>
      </c>
      <c r="FN47" s="529">
        <v>22</v>
      </c>
      <c r="FO47" s="529">
        <v>23</v>
      </c>
      <c r="FP47" s="529">
        <v>24</v>
      </c>
      <c r="FQ47" s="529">
        <v>25</v>
      </c>
      <c r="FR47" s="529">
        <v>26</v>
      </c>
      <c r="FS47" s="529">
        <v>27</v>
      </c>
      <c r="FT47" s="529">
        <v>28</v>
      </c>
      <c r="FU47" s="529">
        <v>29</v>
      </c>
      <c r="FV47" s="529">
        <v>30</v>
      </c>
      <c r="FW47" s="529"/>
      <c r="FX47" s="529"/>
      <c r="FY47" s="529" t="str">
        <f>IFERROR(IF(COUNTIF(Pedidos!$J:$J,FQ$2)&gt;FA47-1,MATCH(FQ$2,Pedidos!$J:$J,0),""),"")</f>
        <v/>
      </c>
      <c r="FZ47" s="529">
        <f>IFERROR(IF(FY47="",0,COUNTIF(Pedidos!$J:$J,Procesos!FQ$2)),"")</f>
        <v>0</v>
      </c>
      <c r="GA47" s="529">
        <v>3</v>
      </c>
      <c r="GB47" s="529"/>
      <c r="GC47" s="529"/>
      <c r="GD47" s="529"/>
      <c r="GE47" s="529"/>
      <c r="GF47" s="529"/>
      <c r="GG47" s="529"/>
      <c r="GH47" s="529"/>
      <c r="GI47" s="529"/>
      <c r="GJ47" s="529">
        <v>18</v>
      </c>
      <c r="GK47" s="529">
        <v>19</v>
      </c>
      <c r="GL47" s="529">
        <v>20</v>
      </c>
      <c r="GM47" s="529">
        <v>21</v>
      </c>
      <c r="GN47" s="529">
        <v>22</v>
      </c>
      <c r="GO47" s="529">
        <v>23</v>
      </c>
      <c r="GP47" s="529">
        <v>24</v>
      </c>
      <c r="GQ47" s="529">
        <v>25</v>
      </c>
      <c r="GR47" s="529">
        <v>26</v>
      </c>
      <c r="GS47" s="529">
        <v>27</v>
      </c>
      <c r="GT47" s="529">
        <v>28</v>
      </c>
      <c r="GU47" s="529">
        <v>29</v>
      </c>
      <c r="GV47" s="529">
        <v>30</v>
      </c>
      <c r="GW47" s="529"/>
      <c r="GX47" s="529"/>
      <c r="GY47" s="529" t="str">
        <f>IFERROR(IF(COUNTIF(Pedidos!$J:$J,GQ$2)&gt;GA47-1,MATCH(GQ$2,Pedidos!$J:$J,0),""),"")</f>
        <v/>
      </c>
      <c r="GZ47" s="529">
        <f>IFERROR(IF(GY47="",0,COUNTIF(Pedidos!$J:$J,Procesos!GQ$2)),"")</f>
        <v>0</v>
      </c>
      <c r="HA47" s="529">
        <v>3</v>
      </c>
      <c r="HB47" s="529"/>
      <c r="HC47" s="529"/>
      <c r="HD47" s="529"/>
      <c r="HE47" s="529"/>
      <c r="HF47" s="529"/>
      <c r="HG47" s="529"/>
      <c r="HH47" s="529"/>
      <c r="HI47" s="529"/>
      <c r="HJ47" s="529">
        <v>18</v>
      </c>
      <c r="HK47" s="529">
        <v>19</v>
      </c>
      <c r="HL47" s="529">
        <v>20</v>
      </c>
      <c r="HM47" s="529">
        <v>21</v>
      </c>
      <c r="HN47" s="529">
        <v>22</v>
      </c>
      <c r="HO47" s="529">
        <v>23</v>
      </c>
      <c r="HP47" s="529">
        <v>24</v>
      </c>
      <c r="HQ47" s="529">
        <v>25</v>
      </c>
      <c r="HR47" s="529">
        <v>26</v>
      </c>
      <c r="HS47" s="529">
        <v>27</v>
      </c>
      <c r="HT47" s="529">
        <v>28</v>
      </c>
      <c r="HU47" s="529">
        <v>29</v>
      </c>
      <c r="HV47" s="529">
        <v>30</v>
      </c>
      <c r="HW47" s="529"/>
      <c r="HX47" s="529"/>
      <c r="HY47" s="529" t="str">
        <f>IFERROR(IF(COUNTIF(Pedidos!$J:$J,HQ$2)&gt;HA47-1,MATCH(HQ$2,Pedidos!$J:$J,0),""),"")</f>
        <v/>
      </c>
      <c r="HZ47" s="529">
        <f>IFERROR(IF(HY47="",0,COUNTIF(Pedidos!$J:$J,Procesos!HQ$2)),"")</f>
        <v>0</v>
      </c>
      <c r="IA47" s="529">
        <v>3</v>
      </c>
      <c r="IB47" s="529"/>
      <c r="IC47" s="529"/>
      <c r="ID47" s="529"/>
      <c r="IE47" s="529"/>
      <c r="IF47" s="529"/>
      <c r="IG47" s="529"/>
      <c r="IH47" s="529"/>
      <c r="II47" s="529"/>
      <c r="IJ47" s="529">
        <v>18</v>
      </c>
      <c r="IK47" s="529">
        <v>19</v>
      </c>
      <c r="IL47" s="529">
        <v>20</v>
      </c>
      <c r="IM47" s="529">
        <v>21</v>
      </c>
      <c r="IN47" s="529">
        <v>22</v>
      </c>
      <c r="IO47" s="529">
        <v>23</v>
      </c>
      <c r="IP47" s="529">
        <v>24</v>
      </c>
      <c r="IQ47" s="529">
        <v>25</v>
      </c>
      <c r="IR47" s="529">
        <v>26</v>
      </c>
      <c r="IS47" s="529">
        <v>27</v>
      </c>
      <c r="IT47" s="529">
        <v>28</v>
      </c>
      <c r="IU47" s="529">
        <v>29</v>
      </c>
      <c r="IV47" s="529">
        <v>30</v>
      </c>
      <c r="IW47" s="529"/>
      <c r="IX47" s="529"/>
      <c r="IY47" s="529" t="str">
        <f>IFERROR(IF(COUNTIF(Pedidos!$J:$J,IQ$2)&gt;IA47-1,MATCH(IQ$2,Pedidos!$J:$J,0),""),"")</f>
        <v/>
      </c>
      <c r="IZ47" s="529">
        <f>IFERROR(IF(IY47="",0,COUNTIF(Pedidos!$J:$J,Procesos!IQ$2)),"")</f>
        <v>0</v>
      </c>
    </row>
    <row r="48" spans="1:260" x14ac:dyDescent="0.25">
      <c r="A48" s="815" t="str">
        <f>IF(Z47&gt;=A47,Q$2 &amp;"     ITEM # "&amp;A47,"")</f>
        <v/>
      </c>
      <c r="B48" s="816"/>
      <c r="C48" s="816"/>
      <c r="D48" s="816"/>
      <c r="E48" s="816"/>
      <c r="F48" s="816"/>
      <c r="G48" s="816"/>
      <c r="H48" s="816"/>
      <c r="I48" s="817"/>
      <c r="J48" s="818" t="str">
        <f>IF(Z47&gt;=A47,$J$6,"")</f>
        <v/>
      </c>
      <c r="K48" s="816"/>
      <c r="L48" s="816"/>
      <c r="M48" s="816"/>
      <c r="N48" s="816"/>
      <c r="O48" s="816"/>
      <c r="P48" s="816"/>
      <c r="Q48" s="816"/>
      <c r="R48" s="816"/>
      <c r="S48" s="816"/>
      <c r="T48" s="816"/>
      <c r="U48" s="816"/>
      <c r="V48" s="816"/>
      <c r="W48" s="816"/>
      <c r="X48" s="816"/>
      <c r="Y48" s="816"/>
      <c r="Z48" s="819"/>
      <c r="AA48" s="815" t="str">
        <f>IF(AZ47&gt;=AA47,AQ$2 &amp;"     ITEM # "&amp;AA47,"")</f>
        <v>PO# 20     ITEM # 3</v>
      </c>
      <c r="AB48" s="816"/>
      <c r="AC48" s="816"/>
      <c r="AD48" s="816"/>
      <c r="AE48" s="816"/>
      <c r="AF48" s="816"/>
      <c r="AG48" s="816"/>
      <c r="AH48" s="816"/>
      <c r="AI48" s="817"/>
      <c r="AJ48" s="818" t="str">
        <f>IF(AZ47&gt;=AA47,$J$6,"")</f>
        <v>Tallas</v>
      </c>
      <c r="AK48" s="816"/>
      <c r="AL48" s="816"/>
      <c r="AM48" s="816"/>
      <c r="AN48" s="816"/>
      <c r="AO48" s="816"/>
      <c r="AP48" s="816"/>
      <c r="AQ48" s="816"/>
      <c r="AR48" s="816"/>
      <c r="AS48" s="816"/>
      <c r="AT48" s="816"/>
      <c r="AU48" s="816"/>
      <c r="AV48" s="816"/>
      <c r="AW48" s="816"/>
      <c r="AX48" s="816"/>
      <c r="AY48" s="816"/>
      <c r="AZ48" s="819"/>
      <c r="BA48" s="815" t="str">
        <f>IF(BZ47&gt;=BA47,BQ$2 &amp;"     ITEM # "&amp;BA47,"")</f>
        <v/>
      </c>
      <c r="BB48" s="816"/>
      <c r="BC48" s="816"/>
      <c r="BD48" s="816"/>
      <c r="BE48" s="816"/>
      <c r="BF48" s="816"/>
      <c r="BG48" s="816"/>
      <c r="BH48" s="816"/>
      <c r="BI48" s="817"/>
      <c r="BJ48" s="818" t="str">
        <f>IF(BZ47&gt;=BA47,$J$6,"")</f>
        <v/>
      </c>
      <c r="BK48" s="816"/>
      <c r="BL48" s="816"/>
      <c r="BM48" s="816"/>
      <c r="BN48" s="816"/>
      <c r="BO48" s="816"/>
      <c r="BP48" s="816"/>
      <c r="BQ48" s="816"/>
      <c r="BR48" s="816"/>
      <c r="BS48" s="816"/>
      <c r="BT48" s="816"/>
      <c r="BU48" s="816"/>
      <c r="BV48" s="816"/>
      <c r="BW48" s="816"/>
      <c r="BX48" s="816"/>
      <c r="BY48" s="816"/>
      <c r="BZ48" s="819"/>
      <c r="CA48" s="815" t="str">
        <f>IF(CZ47&gt;=CA47,CQ$2 &amp;"     ITEM # "&amp;CA47,"")</f>
        <v/>
      </c>
      <c r="CB48" s="816"/>
      <c r="CC48" s="816"/>
      <c r="CD48" s="816"/>
      <c r="CE48" s="816"/>
      <c r="CF48" s="816"/>
      <c r="CG48" s="816"/>
      <c r="CH48" s="816"/>
      <c r="CI48" s="817"/>
      <c r="CJ48" s="818" t="str">
        <f>IF(CZ47&gt;=CA47,$J$6,"")</f>
        <v/>
      </c>
      <c r="CK48" s="816"/>
      <c r="CL48" s="816"/>
      <c r="CM48" s="816"/>
      <c r="CN48" s="816"/>
      <c r="CO48" s="816"/>
      <c r="CP48" s="816"/>
      <c r="CQ48" s="816"/>
      <c r="CR48" s="816"/>
      <c r="CS48" s="816"/>
      <c r="CT48" s="816"/>
      <c r="CU48" s="816"/>
      <c r="CV48" s="816"/>
      <c r="CW48" s="816"/>
      <c r="CX48" s="816"/>
      <c r="CY48" s="816"/>
      <c r="CZ48" s="819"/>
      <c r="DA48" s="815" t="str">
        <f>IF(DZ47&gt;=DA47,DQ$2 &amp;"     ITEM # "&amp;DA47,"")</f>
        <v/>
      </c>
      <c r="DB48" s="816"/>
      <c r="DC48" s="816"/>
      <c r="DD48" s="816"/>
      <c r="DE48" s="816"/>
      <c r="DF48" s="816"/>
      <c r="DG48" s="816"/>
      <c r="DH48" s="816"/>
      <c r="DI48" s="817"/>
      <c r="DJ48" s="818" t="str">
        <f>IF(DZ47&gt;=DA47,$J$6,"")</f>
        <v/>
      </c>
      <c r="DK48" s="816"/>
      <c r="DL48" s="816"/>
      <c r="DM48" s="816"/>
      <c r="DN48" s="816"/>
      <c r="DO48" s="816"/>
      <c r="DP48" s="816"/>
      <c r="DQ48" s="816"/>
      <c r="DR48" s="816"/>
      <c r="DS48" s="816"/>
      <c r="DT48" s="816"/>
      <c r="DU48" s="816"/>
      <c r="DV48" s="816"/>
      <c r="DW48" s="816"/>
      <c r="DX48" s="816"/>
      <c r="DY48" s="816"/>
      <c r="DZ48" s="819"/>
      <c r="EA48" s="815" t="str">
        <f>IF(EZ47&gt;=EA47,EQ$2 &amp;"     ITEM # "&amp;EA47,"")</f>
        <v/>
      </c>
      <c r="EB48" s="816"/>
      <c r="EC48" s="816"/>
      <c r="ED48" s="816"/>
      <c r="EE48" s="816"/>
      <c r="EF48" s="816"/>
      <c r="EG48" s="816"/>
      <c r="EH48" s="816"/>
      <c r="EI48" s="817"/>
      <c r="EJ48" s="818" t="str">
        <f>IF(EZ47&gt;=EA47,$J$6,"")</f>
        <v/>
      </c>
      <c r="EK48" s="816"/>
      <c r="EL48" s="816"/>
      <c r="EM48" s="816"/>
      <c r="EN48" s="816"/>
      <c r="EO48" s="816"/>
      <c r="EP48" s="816"/>
      <c r="EQ48" s="816"/>
      <c r="ER48" s="816"/>
      <c r="ES48" s="816"/>
      <c r="ET48" s="816"/>
      <c r="EU48" s="816"/>
      <c r="EV48" s="816"/>
      <c r="EW48" s="816"/>
      <c r="EX48" s="816"/>
      <c r="EY48" s="816"/>
      <c r="EZ48" s="819"/>
      <c r="FA48" s="815" t="str">
        <f>IF(FZ47&gt;=FA47,FQ$2 &amp;"     ITEM # "&amp;FA47,"")</f>
        <v/>
      </c>
      <c r="FB48" s="816"/>
      <c r="FC48" s="816"/>
      <c r="FD48" s="816"/>
      <c r="FE48" s="816"/>
      <c r="FF48" s="816"/>
      <c r="FG48" s="816"/>
      <c r="FH48" s="816"/>
      <c r="FI48" s="817"/>
      <c r="FJ48" s="818" t="str">
        <f>IF(FZ47&gt;=FA47,$J$6,"")</f>
        <v/>
      </c>
      <c r="FK48" s="816"/>
      <c r="FL48" s="816"/>
      <c r="FM48" s="816"/>
      <c r="FN48" s="816"/>
      <c r="FO48" s="816"/>
      <c r="FP48" s="816"/>
      <c r="FQ48" s="816"/>
      <c r="FR48" s="816"/>
      <c r="FS48" s="816"/>
      <c r="FT48" s="816"/>
      <c r="FU48" s="816"/>
      <c r="FV48" s="816"/>
      <c r="FW48" s="816"/>
      <c r="FX48" s="816"/>
      <c r="FY48" s="816"/>
      <c r="FZ48" s="819"/>
      <c r="GA48" s="815" t="str">
        <f>IF(GZ47&gt;=GA47,GQ$2 &amp;"     ITEM # "&amp;GA47,"")</f>
        <v/>
      </c>
      <c r="GB48" s="816"/>
      <c r="GC48" s="816"/>
      <c r="GD48" s="816"/>
      <c r="GE48" s="816"/>
      <c r="GF48" s="816"/>
      <c r="GG48" s="816"/>
      <c r="GH48" s="816"/>
      <c r="GI48" s="817"/>
      <c r="GJ48" s="818" t="str">
        <f>IF(GZ47&gt;=GA47,$J$6,"")</f>
        <v/>
      </c>
      <c r="GK48" s="816"/>
      <c r="GL48" s="816"/>
      <c r="GM48" s="816"/>
      <c r="GN48" s="816"/>
      <c r="GO48" s="816"/>
      <c r="GP48" s="816"/>
      <c r="GQ48" s="816"/>
      <c r="GR48" s="816"/>
      <c r="GS48" s="816"/>
      <c r="GT48" s="816"/>
      <c r="GU48" s="816"/>
      <c r="GV48" s="816"/>
      <c r="GW48" s="816"/>
      <c r="GX48" s="816"/>
      <c r="GY48" s="816"/>
      <c r="GZ48" s="819"/>
      <c r="HA48" s="815" t="str">
        <f>IF(HZ47&gt;=HA47,HQ$2 &amp;"     ITEM # "&amp;HA47,"")</f>
        <v/>
      </c>
      <c r="HB48" s="816"/>
      <c r="HC48" s="816"/>
      <c r="HD48" s="816"/>
      <c r="HE48" s="816"/>
      <c r="HF48" s="816"/>
      <c r="HG48" s="816"/>
      <c r="HH48" s="816"/>
      <c r="HI48" s="817"/>
      <c r="HJ48" s="818" t="str">
        <f>IF(HZ47&gt;=HA47,$J$6,"")</f>
        <v/>
      </c>
      <c r="HK48" s="816"/>
      <c r="HL48" s="816"/>
      <c r="HM48" s="816"/>
      <c r="HN48" s="816"/>
      <c r="HO48" s="816"/>
      <c r="HP48" s="816"/>
      <c r="HQ48" s="816"/>
      <c r="HR48" s="816"/>
      <c r="HS48" s="816"/>
      <c r="HT48" s="816"/>
      <c r="HU48" s="816"/>
      <c r="HV48" s="816"/>
      <c r="HW48" s="816"/>
      <c r="HX48" s="816"/>
      <c r="HY48" s="816"/>
      <c r="HZ48" s="819"/>
      <c r="IA48" s="815" t="str">
        <f>IF(IZ47&gt;=IA47,IQ$2 &amp;"     ITEM # "&amp;IA47,"")</f>
        <v/>
      </c>
      <c r="IB48" s="816"/>
      <c r="IC48" s="816"/>
      <c r="ID48" s="816"/>
      <c r="IE48" s="816"/>
      <c r="IF48" s="816"/>
      <c r="IG48" s="816"/>
      <c r="IH48" s="816"/>
      <c r="II48" s="817"/>
      <c r="IJ48" s="818" t="str">
        <f>IF(IZ47&gt;=IA47,$J$6,"")</f>
        <v/>
      </c>
      <c r="IK48" s="816"/>
      <c r="IL48" s="816"/>
      <c r="IM48" s="816"/>
      <c r="IN48" s="816"/>
      <c r="IO48" s="816"/>
      <c r="IP48" s="816"/>
      <c r="IQ48" s="816"/>
      <c r="IR48" s="816"/>
      <c r="IS48" s="816"/>
      <c r="IT48" s="816"/>
      <c r="IU48" s="816"/>
      <c r="IV48" s="816"/>
      <c r="IW48" s="816"/>
      <c r="IX48" s="816"/>
      <c r="IY48" s="816"/>
      <c r="IZ48" s="819"/>
    </row>
    <row r="49" spans="1:260" x14ac:dyDescent="0.25">
      <c r="A49" s="848" t="str">
        <f>IFERROR(INDEX(Lista_Pedidos,Procesos!Y47+A47-1,5),"")</f>
        <v/>
      </c>
      <c r="B49" s="843"/>
      <c r="C49" s="843"/>
      <c r="D49" s="843"/>
      <c r="E49" s="843"/>
      <c r="F49" s="843"/>
      <c r="G49" s="843"/>
      <c r="H49" s="843"/>
      <c r="I49" s="844"/>
      <c r="J49" s="842" t="str">
        <f>IF(Z47&gt;=A47,$J$7,"")</f>
        <v/>
      </c>
      <c r="K49" s="843"/>
      <c r="L49" s="844"/>
      <c r="M49" s="842" t="str">
        <f>IF(Z47&gt;=A47,$M$7,"")</f>
        <v/>
      </c>
      <c r="N49" s="843"/>
      <c r="O49" s="844"/>
      <c r="P49" s="842" t="str">
        <f>IF(Z47&gt;=A47,$P$7,"")</f>
        <v/>
      </c>
      <c r="Q49" s="843"/>
      <c r="R49" s="843"/>
      <c r="S49" s="843"/>
      <c r="T49" s="843"/>
      <c r="U49" s="844"/>
      <c r="V49" s="834" t="str">
        <f>IF(Z47&gt;=A47,$V$7,"")</f>
        <v/>
      </c>
      <c r="W49" s="842" t="str">
        <f>IF(Z47&gt;=A47,$W$7,"")</f>
        <v/>
      </c>
      <c r="X49" s="843"/>
      <c r="Y49" s="843"/>
      <c r="Z49" s="850"/>
      <c r="AA49" s="848" t="str">
        <f>IFERROR(INDEX(Lista_Pedidos,Procesos!AY47+AA47-1,5),"")</f>
        <v>High Waist Leggings 2</v>
      </c>
      <c r="AB49" s="843"/>
      <c r="AC49" s="843"/>
      <c r="AD49" s="843"/>
      <c r="AE49" s="843"/>
      <c r="AF49" s="843"/>
      <c r="AG49" s="843"/>
      <c r="AH49" s="843"/>
      <c r="AI49" s="844"/>
      <c r="AJ49" s="842" t="str">
        <f>IF(AZ47&gt;=AA47,$J$7,"")</f>
        <v>Niña</v>
      </c>
      <c r="AK49" s="843"/>
      <c r="AL49" s="844"/>
      <c r="AM49" s="842" t="str">
        <f>IF(AZ47&gt;=AA47,$M$7,"")</f>
        <v>Joven</v>
      </c>
      <c r="AN49" s="843"/>
      <c r="AO49" s="844"/>
      <c r="AP49" s="842" t="str">
        <f>IF(AZ47&gt;=AA47,$P$7,"")</f>
        <v>Adulto</v>
      </c>
      <c r="AQ49" s="843"/>
      <c r="AR49" s="843"/>
      <c r="AS49" s="843"/>
      <c r="AT49" s="843"/>
      <c r="AU49" s="844"/>
      <c r="AV49" s="834" t="str">
        <f>IF(AZ47&gt;=AA47,$V$7,"")</f>
        <v>Acc</v>
      </c>
      <c r="AW49" s="842" t="str">
        <f>IF(AZ47&gt;=AA47,$W$7,"")</f>
        <v>Total</v>
      </c>
      <c r="AX49" s="843"/>
      <c r="AY49" s="843"/>
      <c r="AZ49" s="850"/>
      <c r="BA49" s="848" t="str">
        <f>IFERROR(INDEX(Lista_Pedidos,Procesos!BY47+BA47-1,5),"")</f>
        <v/>
      </c>
      <c r="BB49" s="843"/>
      <c r="BC49" s="843"/>
      <c r="BD49" s="843"/>
      <c r="BE49" s="843"/>
      <c r="BF49" s="843"/>
      <c r="BG49" s="843"/>
      <c r="BH49" s="843"/>
      <c r="BI49" s="844"/>
      <c r="BJ49" s="842" t="str">
        <f>IF(BZ47&gt;=BA47,$J$7,"")</f>
        <v/>
      </c>
      <c r="BK49" s="843"/>
      <c r="BL49" s="844"/>
      <c r="BM49" s="842" t="str">
        <f>IF(BZ47&gt;=BA47,$M$7,"")</f>
        <v/>
      </c>
      <c r="BN49" s="843"/>
      <c r="BO49" s="844"/>
      <c r="BP49" s="842" t="str">
        <f>IF(BZ47&gt;=BA47,$P$7,"")</f>
        <v/>
      </c>
      <c r="BQ49" s="843"/>
      <c r="BR49" s="843"/>
      <c r="BS49" s="843"/>
      <c r="BT49" s="843"/>
      <c r="BU49" s="844"/>
      <c r="BV49" s="834" t="str">
        <f>IF(BZ47&gt;=BA47,$V$7,"")</f>
        <v/>
      </c>
      <c r="BW49" s="842" t="str">
        <f>IF(BZ47&gt;=BA47,$W$7,"")</f>
        <v/>
      </c>
      <c r="BX49" s="843"/>
      <c r="BY49" s="843"/>
      <c r="BZ49" s="850"/>
      <c r="CA49" s="848" t="str">
        <f>IFERROR(INDEX(Lista_Pedidos,Procesos!CY47+CA47-1,5),"")</f>
        <v/>
      </c>
      <c r="CB49" s="843"/>
      <c r="CC49" s="843"/>
      <c r="CD49" s="843"/>
      <c r="CE49" s="843"/>
      <c r="CF49" s="843"/>
      <c r="CG49" s="843"/>
      <c r="CH49" s="843"/>
      <c r="CI49" s="844"/>
      <c r="CJ49" s="842" t="str">
        <f>IF(CZ47&gt;=CA47,$J$7,"")</f>
        <v/>
      </c>
      <c r="CK49" s="843"/>
      <c r="CL49" s="844"/>
      <c r="CM49" s="842" t="str">
        <f>IF(CZ47&gt;=CA47,$M$7,"")</f>
        <v/>
      </c>
      <c r="CN49" s="843"/>
      <c r="CO49" s="844"/>
      <c r="CP49" s="842" t="str">
        <f>IF(CZ47&gt;=CA47,$P$7,"")</f>
        <v/>
      </c>
      <c r="CQ49" s="843"/>
      <c r="CR49" s="843"/>
      <c r="CS49" s="843"/>
      <c r="CT49" s="843"/>
      <c r="CU49" s="844"/>
      <c r="CV49" s="834" t="str">
        <f>IF(CZ47&gt;=CA47,$V$7,"")</f>
        <v/>
      </c>
      <c r="CW49" s="842" t="str">
        <f>IF(CZ47&gt;=CA47,$W$7,"")</f>
        <v/>
      </c>
      <c r="CX49" s="843"/>
      <c r="CY49" s="843"/>
      <c r="CZ49" s="850"/>
      <c r="DA49" s="848" t="str">
        <f>IFERROR(INDEX(Lista_Pedidos,Procesos!DY47+DA47-1,5),"")</f>
        <v/>
      </c>
      <c r="DB49" s="843"/>
      <c r="DC49" s="843"/>
      <c r="DD49" s="843"/>
      <c r="DE49" s="843"/>
      <c r="DF49" s="843"/>
      <c r="DG49" s="843"/>
      <c r="DH49" s="843"/>
      <c r="DI49" s="844"/>
      <c r="DJ49" s="842" t="str">
        <f>IF(DZ47&gt;=DA47,$J$7,"")</f>
        <v/>
      </c>
      <c r="DK49" s="843"/>
      <c r="DL49" s="844"/>
      <c r="DM49" s="842" t="str">
        <f>IF(DZ47&gt;=DA47,$M$7,"")</f>
        <v/>
      </c>
      <c r="DN49" s="843"/>
      <c r="DO49" s="844"/>
      <c r="DP49" s="842" t="str">
        <f>IF(DZ47&gt;=DA47,$P$7,"")</f>
        <v/>
      </c>
      <c r="DQ49" s="843"/>
      <c r="DR49" s="843"/>
      <c r="DS49" s="843"/>
      <c r="DT49" s="843"/>
      <c r="DU49" s="844"/>
      <c r="DV49" s="834" t="str">
        <f>IF(DZ47&gt;=DA47,$V$7,"")</f>
        <v/>
      </c>
      <c r="DW49" s="842" t="str">
        <f>IF(DZ47&gt;=DA47,$W$7,"")</f>
        <v/>
      </c>
      <c r="DX49" s="843"/>
      <c r="DY49" s="843"/>
      <c r="DZ49" s="850"/>
      <c r="EA49" s="848" t="str">
        <f>IFERROR(INDEX(Lista_Pedidos,Procesos!EY47+EA47-1,5),"")</f>
        <v/>
      </c>
      <c r="EB49" s="843"/>
      <c r="EC49" s="843"/>
      <c r="ED49" s="843"/>
      <c r="EE49" s="843"/>
      <c r="EF49" s="843"/>
      <c r="EG49" s="843"/>
      <c r="EH49" s="843"/>
      <c r="EI49" s="844"/>
      <c r="EJ49" s="842" t="str">
        <f>IF(EZ47&gt;=EA47,$J$7,"")</f>
        <v/>
      </c>
      <c r="EK49" s="843"/>
      <c r="EL49" s="844"/>
      <c r="EM49" s="842" t="str">
        <f>IF(EZ47&gt;=EA47,$M$7,"")</f>
        <v/>
      </c>
      <c r="EN49" s="843"/>
      <c r="EO49" s="844"/>
      <c r="EP49" s="842" t="str">
        <f>IF(EZ47&gt;=EA47,$P$7,"")</f>
        <v/>
      </c>
      <c r="EQ49" s="843"/>
      <c r="ER49" s="843"/>
      <c r="ES49" s="843"/>
      <c r="ET49" s="843"/>
      <c r="EU49" s="844"/>
      <c r="EV49" s="834" t="str">
        <f>IF(EZ47&gt;=EA47,$V$7,"")</f>
        <v/>
      </c>
      <c r="EW49" s="842" t="str">
        <f>IF(EZ47&gt;=EA47,$W$7,"")</f>
        <v/>
      </c>
      <c r="EX49" s="843"/>
      <c r="EY49" s="843"/>
      <c r="EZ49" s="850"/>
      <c r="FA49" s="848" t="str">
        <f>IFERROR(INDEX(Lista_Pedidos,Procesos!FY47+FA47-1,5),"")</f>
        <v/>
      </c>
      <c r="FB49" s="843"/>
      <c r="FC49" s="843"/>
      <c r="FD49" s="843"/>
      <c r="FE49" s="843"/>
      <c r="FF49" s="843"/>
      <c r="FG49" s="843"/>
      <c r="FH49" s="843"/>
      <c r="FI49" s="844"/>
      <c r="FJ49" s="842" t="str">
        <f>IF(FZ47&gt;=FA47,$J$7,"")</f>
        <v/>
      </c>
      <c r="FK49" s="843"/>
      <c r="FL49" s="844"/>
      <c r="FM49" s="842" t="str">
        <f>IF(FZ47&gt;=FA47,$M$7,"")</f>
        <v/>
      </c>
      <c r="FN49" s="843"/>
      <c r="FO49" s="844"/>
      <c r="FP49" s="842" t="str">
        <f>IF(FZ47&gt;=FA47,$P$7,"")</f>
        <v/>
      </c>
      <c r="FQ49" s="843"/>
      <c r="FR49" s="843"/>
      <c r="FS49" s="843"/>
      <c r="FT49" s="843"/>
      <c r="FU49" s="844"/>
      <c r="FV49" s="834" t="str">
        <f>IF(FZ47&gt;=FA47,$V$7,"")</f>
        <v/>
      </c>
      <c r="FW49" s="842" t="str">
        <f>IF(FZ47&gt;=FA47,$W$7,"")</f>
        <v/>
      </c>
      <c r="FX49" s="843"/>
      <c r="FY49" s="843"/>
      <c r="FZ49" s="850"/>
      <c r="GA49" s="848" t="str">
        <f>IFERROR(INDEX(Lista_Pedidos,Procesos!GY47+GA47-1,5),"")</f>
        <v/>
      </c>
      <c r="GB49" s="843"/>
      <c r="GC49" s="843"/>
      <c r="GD49" s="843"/>
      <c r="GE49" s="843"/>
      <c r="GF49" s="843"/>
      <c r="GG49" s="843"/>
      <c r="GH49" s="843"/>
      <c r="GI49" s="844"/>
      <c r="GJ49" s="842" t="str">
        <f>IF(GZ47&gt;=GA47,$J$7,"")</f>
        <v/>
      </c>
      <c r="GK49" s="843"/>
      <c r="GL49" s="844"/>
      <c r="GM49" s="842" t="str">
        <f>IF(GZ47&gt;=GA47,$M$7,"")</f>
        <v/>
      </c>
      <c r="GN49" s="843"/>
      <c r="GO49" s="844"/>
      <c r="GP49" s="842" t="str">
        <f>IF(GZ47&gt;=GA47,$P$7,"")</f>
        <v/>
      </c>
      <c r="GQ49" s="843"/>
      <c r="GR49" s="843"/>
      <c r="GS49" s="843"/>
      <c r="GT49" s="843"/>
      <c r="GU49" s="844"/>
      <c r="GV49" s="834" t="str">
        <f>IF(GZ47&gt;=GA47,$V$7,"")</f>
        <v/>
      </c>
      <c r="GW49" s="842" t="str">
        <f>IF(GZ47&gt;=GA47,$W$7,"")</f>
        <v/>
      </c>
      <c r="GX49" s="843"/>
      <c r="GY49" s="843"/>
      <c r="GZ49" s="850"/>
      <c r="HA49" s="848" t="str">
        <f>IFERROR(INDEX(Lista_Pedidos,Procesos!HY47+HA47-1,5),"")</f>
        <v/>
      </c>
      <c r="HB49" s="843"/>
      <c r="HC49" s="843"/>
      <c r="HD49" s="843"/>
      <c r="HE49" s="843"/>
      <c r="HF49" s="843"/>
      <c r="HG49" s="843"/>
      <c r="HH49" s="843"/>
      <c r="HI49" s="844"/>
      <c r="HJ49" s="842" t="str">
        <f>IF(HZ47&gt;=HA47,$J$7,"")</f>
        <v/>
      </c>
      <c r="HK49" s="843"/>
      <c r="HL49" s="844"/>
      <c r="HM49" s="842" t="str">
        <f>IF(HZ47&gt;=HA47,$M$7,"")</f>
        <v/>
      </c>
      <c r="HN49" s="843"/>
      <c r="HO49" s="844"/>
      <c r="HP49" s="842" t="str">
        <f>IF(HZ47&gt;=HA47,$P$7,"")</f>
        <v/>
      </c>
      <c r="HQ49" s="843"/>
      <c r="HR49" s="843"/>
      <c r="HS49" s="843"/>
      <c r="HT49" s="843"/>
      <c r="HU49" s="844"/>
      <c r="HV49" s="834" t="str">
        <f>IF(HZ47&gt;=HA47,$V$7,"")</f>
        <v/>
      </c>
      <c r="HW49" s="842" t="str">
        <f>IF(HZ47&gt;=HA47,$W$7,"")</f>
        <v/>
      </c>
      <c r="HX49" s="843"/>
      <c r="HY49" s="843"/>
      <c r="HZ49" s="850"/>
      <c r="IA49" s="848" t="str">
        <f>IFERROR(INDEX(Lista_Pedidos,Procesos!IY47+IA47-1,5),"")</f>
        <v/>
      </c>
      <c r="IB49" s="843"/>
      <c r="IC49" s="843"/>
      <c r="ID49" s="843"/>
      <c r="IE49" s="843"/>
      <c r="IF49" s="843"/>
      <c r="IG49" s="843"/>
      <c r="IH49" s="843"/>
      <c r="II49" s="844"/>
      <c r="IJ49" s="842" t="str">
        <f>IF(IZ47&gt;=IA47,$J$7,"")</f>
        <v/>
      </c>
      <c r="IK49" s="843"/>
      <c r="IL49" s="844"/>
      <c r="IM49" s="842" t="str">
        <f>IF(IZ47&gt;=IA47,$M$7,"")</f>
        <v/>
      </c>
      <c r="IN49" s="843"/>
      <c r="IO49" s="844"/>
      <c r="IP49" s="842" t="str">
        <f>IF(IZ47&gt;=IA47,$P$7,"")</f>
        <v/>
      </c>
      <c r="IQ49" s="843"/>
      <c r="IR49" s="843"/>
      <c r="IS49" s="843"/>
      <c r="IT49" s="843"/>
      <c r="IU49" s="844"/>
      <c r="IV49" s="834" t="str">
        <f>IF(IZ47&gt;=IA47,$V$7,"")</f>
        <v/>
      </c>
      <c r="IW49" s="842" t="str">
        <f>IF(IZ47&gt;=IA47,$W$7,"")</f>
        <v/>
      </c>
      <c r="IX49" s="843"/>
      <c r="IY49" s="843"/>
      <c r="IZ49" s="850"/>
    </row>
    <row r="50" spans="1:260" x14ac:dyDescent="0.25">
      <c r="A50" s="849"/>
      <c r="B50" s="846"/>
      <c r="C50" s="846"/>
      <c r="D50" s="846"/>
      <c r="E50" s="846"/>
      <c r="F50" s="846"/>
      <c r="G50" s="846"/>
      <c r="H50" s="846"/>
      <c r="I50" s="847"/>
      <c r="J50" s="845"/>
      <c r="K50" s="846"/>
      <c r="L50" s="847"/>
      <c r="M50" s="845"/>
      <c r="N50" s="846"/>
      <c r="O50" s="847"/>
      <c r="P50" s="845"/>
      <c r="Q50" s="846"/>
      <c r="R50" s="846"/>
      <c r="S50" s="846"/>
      <c r="T50" s="846"/>
      <c r="U50" s="847"/>
      <c r="V50" s="835"/>
      <c r="W50" s="845"/>
      <c r="X50" s="846"/>
      <c r="Y50" s="846"/>
      <c r="Z50" s="851"/>
      <c r="AA50" s="849"/>
      <c r="AB50" s="846"/>
      <c r="AC50" s="846"/>
      <c r="AD50" s="846"/>
      <c r="AE50" s="846"/>
      <c r="AF50" s="846"/>
      <c r="AG50" s="846"/>
      <c r="AH50" s="846"/>
      <c r="AI50" s="847"/>
      <c r="AJ50" s="845"/>
      <c r="AK50" s="846"/>
      <c r="AL50" s="847"/>
      <c r="AM50" s="845"/>
      <c r="AN50" s="846"/>
      <c r="AO50" s="847"/>
      <c r="AP50" s="845"/>
      <c r="AQ50" s="846"/>
      <c r="AR50" s="846"/>
      <c r="AS50" s="846"/>
      <c r="AT50" s="846"/>
      <c r="AU50" s="847"/>
      <c r="AV50" s="835"/>
      <c r="AW50" s="845"/>
      <c r="AX50" s="846"/>
      <c r="AY50" s="846"/>
      <c r="AZ50" s="851"/>
      <c r="BA50" s="849"/>
      <c r="BB50" s="846"/>
      <c r="BC50" s="846"/>
      <c r="BD50" s="846"/>
      <c r="BE50" s="846"/>
      <c r="BF50" s="846"/>
      <c r="BG50" s="846"/>
      <c r="BH50" s="846"/>
      <c r="BI50" s="847"/>
      <c r="BJ50" s="845"/>
      <c r="BK50" s="846"/>
      <c r="BL50" s="847"/>
      <c r="BM50" s="845"/>
      <c r="BN50" s="846"/>
      <c r="BO50" s="847"/>
      <c r="BP50" s="845"/>
      <c r="BQ50" s="846"/>
      <c r="BR50" s="846"/>
      <c r="BS50" s="846"/>
      <c r="BT50" s="846"/>
      <c r="BU50" s="847"/>
      <c r="BV50" s="835"/>
      <c r="BW50" s="845"/>
      <c r="BX50" s="846"/>
      <c r="BY50" s="846"/>
      <c r="BZ50" s="851"/>
      <c r="CA50" s="849"/>
      <c r="CB50" s="846"/>
      <c r="CC50" s="846"/>
      <c r="CD50" s="846"/>
      <c r="CE50" s="846"/>
      <c r="CF50" s="846"/>
      <c r="CG50" s="846"/>
      <c r="CH50" s="846"/>
      <c r="CI50" s="847"/>
      <c r="CJ50" s="845"/>
      <c r="CK50" s="846"/>
      <c r="CL50" s="847"/>
      <c r="CM50" s="845"/>
      <c r="CN50" s="846"/>
      <c r="CO50" s="847"/>
      <c r="CP50" s="845"/>
      <c r="CQ50" s="846"/>
      <c r="CR50" s="846"/>
      <c r="CS50" s="846"/>
      <c r="CT50" s="846"/>
      <c r="CU50" s="847"/>
      <c r="CV50" s="835"/>
      <c r="CW50" s="845"/>
      <c r="CX50" s="846"/>
      <c r="CY50" s="846"/>
      <c r="CZ50" s="851"/>
      <c r="DA50" s="849"/>
      <c r="DB50" s="846"/>
      <c r="DC50" s="846"/>
      <c r="DD50" s="846"/>
      <c r="DE50" s="846"/>
      <c r="DF50" s="846"/>
      <c r="DG50" s="846"/>
      <c r="DH50" s="846"/>
      <c r="DI50" s="847"/>
      <c r="DJ50" s="845"/>
      <c r="DK50" s="846"/>
      <c r="DL50" s="847"/>
      <c r="DM50" s="845"/>
      <c r="DN50" s="846"/>
      <c r="DO50" s="847"/>
      <c r="DP50" s="845"/>
      <c r="DQ50" s="846"/>
      <c r="DR50" s="846"/>
      <c r="DS50" s="846"/>
      <c r="DT50" s="846"/>
      <c r="DU50" s="847"/>
      <c r="DV50" s="835"/>
      <c r="DW50" s="845"/>
      <c r="DX50" s="846"/>
      <c r="DY50" s="846"/>
      <c r="DZ50" s="851"/>
      <c r="EA50" s="849"/>
      <c r="EB50" s="846"/>
      <c r="EC50" s="846"/>
      <c r="ED50" s="846"/>
      <c r="EE50" s="846"/>
      <c r="EF50" s="846"/>
      <c r="EG50" s="846"/>
      <c r="EH50" s="846"/>
      <c r="EI50" s="847"/>
      <c r="EJ50" s="845"/>
      <c r="EK50" s="846"/>
      <c r="EL50" s="847"/>
      <c r="EM50" s="845"/>
      <c r="EN50" s="846"/>
      <c r="EO50" s="847"/>
      <c r="EP50" s="845"/>
      <c r="EQ50" s="846"/>
      <c r="ER50" s="846"/>
      <c r="ES50" s="846"/>
      <c r="ET50" s="846"/>
      <c r="EU50" s="847"/>
      <c r="EV50" s="835"/>
      <c r="EW50" s="845"/>
      <c r="EX50" s="846"/>
      <c r="EY50" s="846"/>
      <c r="EZ50" s="851"/>
      <c r="FA50" s="849"/>
      <c r="FB50" s="846"/>
      <c r="FC50" s="846"/>
      <c r="FD50" s="846"/>
      <c r="FE50" s="846"/>
      <c r="FF50" s="846"/>
      <c r="FG50" s="846"/>
      <c r="FH50" s="846"/>
      <c r="FI50" s="847"/>
      <c r="FJ50" s="845"/>
      <c r="FK50" s="846"/>
      <c r="FL50" s="847"/>
      <c r="FM50" s="845"/>
      <c r="FN50" s="846"/>
      <c r="FO50" s="847"/>
      <c r="FP50" s="845"/>
      <c r="FQ50" s="846"/>
      <c r="FR50" s="846"/>
      <c r="FS50" s="846"/>
      <c r="FT50" s="846"/>
      <c r="FU50" s="847"/>
      <c r="FV50" s="835"/>
      <c r="FW50" s="845"/>
      <c r="FX50" s="846"/>
      <c r="FY50" s="846"/>
      <c r="FZ50" s="851"/>
      <c r="GA50" s="849"/>
      <c r="GB50" s="846"/>
      <c r="GC50" s="846"/>
      <c r="GD50" s="846"/>
      <c r="GE50" s="846"/>
      <c r="GF50" s="846"/>
      <c r="GG50" s="846"/>
      <c r="GH50" s="846"/>
      <c r="GI50" s="847"/>
      <c r="GJ50" s="845"/>
      <c r="GK50" s="846"/>
      <c r="GL50" s="847"/>
      <c r="GM50" s="845"/>
      <c r="GN50" s="846"/>
      <c r="GO50" s="847"/>
      <c r="GP50" s="845"/>
      <c r="GQ50" s="846"/>
      <c r="GR50" s="846"/>
      <c r="GS50" s="846"/>
      <c r="GT50" s="846"/>
      <c r="GU50" s="847"/>
      <c r="GV50" s="835"/>
      <c r="GW50" s="845"/>
      <c r="GX50" s="846"/>
      <c r="GY50" s="846"/>
      <c r="GZ50" s="851"/>
      <c r="HA50" s="849"/>
      <c r="HB50" s="846"/>
      <c r="HC50" s="846"/>
      <c r="HD50" s="846"/>
      <c r="HE50" s="846"/>
      <c r="HF50" s="846"/>
      <c r="HG50" s="846"/>
      <c r="HH50" s="846"/>
      <c r="HI50" s="847"/>
      <c r="HJ50" s="845"/>
      <c r="HK50" s="846"/>
      <c r="HL50" s="847"/>
      <c r="HM50" s="845"/>
      <c r="HN50" s="846"/>
      <c r="HO50" s="847"/>
      <c r="HP50" s="845"/>
      <c r="HQ50" s="846"/>
      <c r="HR50" s="846"/>
      <c r="HS50" s="846"/>
      <c r="HT50" s="846"/>
      <c r="HU50" s="847"/>
      <c r="HV50" s="835"/>
      <c r="HW50" s="845"/>
      <c r="HX50" s="846"/>
      <c r="HY50" s="846"/>
      <c r="HZ50" s="851"/>
      <c r="IA50" s="849"/>
      <c r="IB50" s="846"/>
      <c r="IC50" s="846"/>
      <c r="ID50" s="846"/>
      <c r="IE50" s="846"/>
      <c r="IF50" s="846"/>
      <c r="IG50" s="846"/>
      <c r="IH50" s="846"/>
      <c r="II50" s="847"/>
      <c r="IJ50" s="845"/>
      <c r="IK50" s="846"/>
      <c r="IL50" s="847"/>
      <c r="IM50" s="845"/>
      <c r="IN50" s="846"/>
      <c r="IO50" s="847"/>
      <c r="IP50" s="845"/>
      <c r="IQ50" s="846"/>
      <c r="IR50" s="846"/>
      <c r="IS50" s="846"/>
      <c r="IT50" s="846"/>
      <c r="IU50" s="847"/>
      <c r="IV50" s="835"/>
      <c r="IW50" s="845"/>
      <c r="IX50" s="846"/>
      <c r="IY50" s="846"/>
      <c r="IZ50" s="851"/>
    </row>
    <row r="51" spans="1:260" ht="15" customHeight="1" x14ac:dyDescent="0.25">
      <c r="A51" s="858" t="str">
        <f>IF(Z47&gt;=A47,$A$9,"")</f>
        <v/>
      </c>
      <c r="B51" s="806"/>
      <c r="C51" s="806"/>
      <c r="D51" s="806"/>
      <c r="E51" s="852"/>
      <c r="F51" s="805" t="str">
        <f>IF(Z47&gt;=A47,$F$9,"")</f>
        <v/>
      </c>
      <c r="G51" s="806"/>
      <c r="H51" s="806"/>
      <c r="I51" s="852"/>
      <c r="J51" s="811" t="str">
        <f>IF(Z47&gt;=A47,$J$9,"")</f>
        <v/>
      </c>
      <c r="K51" s="803" t="str">
        <f>IF(Z47&gt;=A47,$K$9,"")</f>
        <v/>
      </c>
      <c r="L51" s="803" t="str">
        <f>IF(Z47&gt;=A47,$L$9,"")</f>
        <v/>
      </c>
      <c r="M51" s="803" t="str">
        <f>IF(Z47&gt;=A47,$M$9,"")</f>
        <v/>
      </c>
      <c r="N51" s="803" t="str">
        <f>IF(Z47&gt;=A47,$N$9,"")</f>
        <v/>
      </c>
      <c r="O51" s="803" t="str">
        <f>IF(Z47&gt;=A47,$O$9,"")</f>
        <v/>
      </c>
      <c r="P51" s="803" t="str">
        <f>IF(Z47&gt;=A47,$P$9,"")</f>
        <v/>
      </c>
      <c r="Q51" s="803" t="str">
        <f>IF(Z47&gt;=A47,$Q$9,"")</f>
        <v/>
      </c>
      <c r="R51" s="803" t="str">
        <f>IF(Z47&gt;=A47,$R$9,"")</f>
        <v/>
      </c>
      <c r="S51" s="803" t="str">
        <f>IF(Z47&gt;=A47,$S$9,"")</f>
        <v/>
      </c>
      <c r="T51" s="803" t="str">
        <f>IF(Z47&gt;=A47,$T$9,"")</f>
        <v/>
      </c>
      <c r="U51" s="803" t="str">
        <f>IF(Z47&gt;=A47,$U$9,"")</f>
        <v/>
      </c>
      <c r="V51" s="803" t="str">
        <f>IF(Z47&gt;=A47,$V$9,"")</f>
        <v/>
      </c>
      <c r="W51" s="805" t="str">
        <f>IF(Z47&gt;=A47,$W$9,"")</f>
        <v/>
      </c>
      <c r="X51" s="806"/>
      <c r="Y51" s="806"/>
      <c r="Z51" s="807"/>
      <c r="AA51" s="858" t="str">
        <f>IF(AZ47&gt;=AA47,$A$9,"")</f>
        <v>Estilo</v>
      </c>
      <c r="AB51" s="806"/>
      <c r="AC51" s="806"/>
      <c r="AD51" s="806"/>
      <c r="AE51" s="852"/>
      <c r="AF51" s="805" t="str">
        <f>IF(AZ47&gt;=AA47,$F$9,"")</f>
        <v>Vendedor</v>
      </c>
      <c r="AG51" s="806"/>
      <c r="AH51" s="806"/>
      <c r="AI51" s="852"/>
      <c r="AJ51" s="811" t="str">
        <f>IF(AZ47&gt;=AA47,$J$9,"")</f>
        <v>C4</v>
      </c>
      <c r="AK51" s="803" t="str">
        <f>IF(AZ47&gt;=AA47,$K$9,"")</f>
        <v>C6 C13</v>
      </c>
      <c r="AL51" s="803" t="str">
        <f>IF(AZ47&gt;=AA47,$L$9,"")</f>
        <v>YXS C1</v>
      </c>
      <c r="AM51" s="803" t="str">
        <f>IF(AZ47&gt;=AA47,$M$9,"")</f>
        <v>YS C2</v>
      </c>
      <c r="AN51" s="803" t="str">
        <f>IF(AZ47&gt;=AA47,$N$9,"")</f>
        <v>YM C3</v>
      </c>
      <c r="AO51" s="803" t="str">
        <f>IF(AZ47&gt;=AA47,$O$9,"")</f>
        <v>YL C4</v>
      </c>
      <c r="AP51" s="803" t="str">
        <f>IF(AZ47&gt;=AA47,$P$9,"")</f>
        <v>XS A5</v>
      </c>
      <c r="AQ51" s="803" t="str">
        <f>IF(AZ47&gt;=AA47,$Q$9,"")</f>
        <v>S A6</v>
      </c>
      <c r="AR51" s="803" t="str">
        <f>IF(AZ47&gt;=AA47,$R$9,"")</f>
        <v>M A7</v>
      </c>
      <c r="AS51" s="803" t="str">
        <f>IF(AZ47&gt;=AA47,$S$9,"")</f>
        <v>L A8</v>
      </c>
      <c r="AT51" s="803" t="str">
        <f>IF(AZ47&gt;=AA47,$T$9,"")</f>
        <v>XL A9</v>
      </c>
      <c r="AU51" s="803" t="str">
        <f>IF(AZ47&gt;=AA47,$U$9,"")</f>
        <v>XXL A10</v>
      </c>
      <c r="AV51" s="803" t="str">
        <f>IF(AZ47&gt;=AA47,$V$9,"")</f>
        <v>1 Size</v>
      </c>
      <c r="AW51" s="805" t="str">
        <f>IF(AZ47&gt;=AA47,$W$9,"")</f>
        <v>Total</v>
      </c>
      <c r="AX51" s="806"/>
      <c r="AY51" s="806"/>
      <c r="AZ51" s="807"/>
      <c r="BA51" s="858" t="str">
        <f>IF(BZ47&gt;=BA47,$A$9,"")</f>
        <v/>
      </c>
      <c r="BB51" s="806"/>
      <c r="BC51" s="806"/>
      <c r="BD51" s="806"/>
      <c r="BE51" s="852"/>
      <c r="BF51" s="805" t="str">
        <f>IF(BZ47&gt;=BA47,$F$9,"")</f>
        <v/>
      </c>
      <c r="BG51" s="806"/>
      <c r="BH51" s="806"/>
      <c r="BI51" s="852"/>
      <c r="BJ51" s="811" t="str">
        <f>IF(BZ47&gt;=BA47,$J$9,"")</f>
        <v/>
      </c>
      <c r="BK51" s="803" t="str">
        <f>IF(BZ47&gt;=BA47,$K$9,"")</f>
        <v/>
      </c>
      <c r="BL51" s="803" t="str">
        <f>IF(BZ47&gt;=BA47,$L$9,"")</f>
        <v/>
      </c>
      <c r="BM51" s="803" t="str">
        <f>IF(BZ47&gt;=BA47,$M$9,"")</f>
        <v/>
      </c>
      <c r="BN51" s="803" t="str">
        <f>IF(BZ47&gt;=BA47,$N$9,"")</f>
        <v/>
      </c>
      <c r="BO51" s="803" t="str">
        <f>IF(BZ47&gt;=BA47,$O$9,"")</f>
        <v/>
      </c>
      <c r="BP51" s="803" t="str">
        <f>IF(BZ47&gt;=BA47,$P$9,"")</f>
        <v/>
      </c>
      <c r="BQ51" s="803" t="str">
        <f>IF(BZ47&gt;=BA47,$Q$9,"")</f>
        <v/>
      </c>
      <c r="BR51" s="803" t="str">
        <f>IF(BZ47&gt;=BA47,$R$9,"")</f>
        <v/>
      </c>
      <c r="BS51" s="803" t="str">
        <f>IF(BZ47&gt;=BA47,$S$9,"")</f>
        <v/>
      </c>
      <c r="BT51" s="803" t="str">
        <f>IF(BZ47&gt;=BA47,$T$9,"")</f>
        <v/>
      </c>
      <c r="BU51" s="803" t="str">
        <f>IF(BZ47&gt;=BA47,$U$9,"")</f>
        <v/>
      </c>
      <c r="BV51" s="803" t="str">
        <f>IF(BZ47&gt;=BA47,$V$9,"")</f>
        <v/>
      </c>
      <c r="BW51" s="805" t="str">
        <f>IF(BZ47&gt;=BA47,$W$9,"")</f>
        <v/>
      </c>
      <c r="BX51" s="806"/>
      <c r="BY51" s="806"/>
      <c r="BZ51" s="807"/>
      <c r="CA51" s="858" t="str">
        <f>IF(CZ47&gt;=CA47,$A$9,"")</f>
        <v/>
      </c>
      <c r="CB51" s="806"/>
      <c r="CC51" s="806"/>
      <c r="CD51" s="806"/>
      <c r="CE51" s="852"/>
      <c r="CF51" s="805" t="str">
        <f>IF(CZ47&gt;=CA47,$F$9,"")</f>
        <v/>
      </c>
      <c r="CG51" s="806"/>
      <c r="CH51" s="806"/>
      <c r="CI51" s="852"/>
      <c r="CJ51" s="811" t="str">
        <f>IF(CZ47&gt;=CA47,$J$9,"")</f>
        <v/>
      </c>
      <c r="CK51" s="803" t="str">
        <f>IF(CZ47&gt;=CA47,$K$9,"")</f>
        <v/>
      </c>
      <c r="CL51" s="803" t="str">
        <f>IF(CZ47&gt;=CA47,$L$9,"")</f>
        <v/>
      </c>
      <c r="CM51" s="803" t="str">
        <f>IF(CZ47&gt;=CA47,$M$9,"")</f>
        <v/>
      </c>
      <c r="CN51" s="803" t="str">
        <f>IF(CZ47&gt;=CA47,$N$9,"")</f>
        <v/>
      </c>
      <c r="CO51" s="803" t="str">
        <f>IF(CZ47&gt;=CA47,$O$9,"")</f>
        <v/>
      </c>
      <c r="CP51" s="803" t="str">
        <f>IF(CZ47&gt;=CA47,$P$9,"")</f>
        <v/>
      </c>
      <c r="CQ51" s="803" t="str">
        <f>IF(CZ47&gt;=CA47,$Q$9,"")</f>
        <v/>
      </c>
      <c r="CR51" s="803" t="str">
        <f>IF(CZ47&gt;=CA47,$R$9,"")</f>
        <v/>
      </c>
      <c r="CS51" s="803" t="str">
        <f>IF(CZ47&gt;=CA47,$S$9,"")</f>
        <v/>
      </c>
      <c r="CT51" s="803" t="str">
        <f>IF(CZ47&gt;=CA47,$T$9,"")</f>
        <v/>
      </c>
      <c r="CU51" s="803" t="str">
        <f>IF(CZ47&gt;=CA47,$U$9,"")</f>
        <v/>
      </c>
      <c r="CV51" s="803" t="str">
        <f>IF(CZ47&gt;=CA47,$V$9,"")</f>
        <v/>
      </c>
      <c r="CW51" s="805" t="str">
        <f>IF(CZ47&gt;=CA47,$W$9,"")</f>
        <v/>
      </c>
      <c r="CX51" s="806"/>
      <c r="CY51" s="806"/>
      <c r="CZ51" s="807"/>
      <c r="DA51" s="858" t="str">
        <f>IF(DZ47&gt;=DA47,$A$9,"")</f>
        <v/>
      </c>
      <c r="DB51" s="806"/>
      <c r="DC51" s="806"/>
      <c r="DD51" s="806"/>
      <c r="DE51" s="852"/>
      <c r="DF51" s="805" t="str">
        <f>IF(DZ47&gt;=DA47,$F$9,"")</f>
        <v/>
      </c>
      <c r="DG51" s="806"/>
      <c r="DH51" s="806"/>
      <c r="DI51" s="852"/>
      <c r="DJ51" s="811" t="str">
        <f>IF(DZ47&gt;=DA47,$J$9,"")</f>
        <v/>
      </c>
      <c r="DK51" s="803" t="str">
        <f>IF(DZ47&gt;=DA47,$K$9,"")</f>
        <v/>
      </c>
      <c r="DL51" s="803" t="str">
        <f>IF(DZ47&gt;=DA47,$L$9,"")</f>
        <v/>
      </c>
      <c r="DM51" s="803" t="str">
        <f>IF(DZ47&gt;=DA47,$M$9,"")</f>
        <v/>
      </c>
      <c r="DN51" s="803" t="str">
        <f>IF(DZ47&gt;=DA47,$N$9,"")</f>
        <v/>
      </c>
      <c r="DO51" s="803" t="str">
        <f>IF(DZ47&gt;=DA47,$O$9,"")</f>
        <v/>
      </c>
      <c r="DP51" s="803" t="str">
        <f>IF(DZ47&gt;=DA47,$P$9,"")</f>
        <v/>
      </c>
      <c r="DQ51" s="803" t="str">
        <f>IF(DZ47&gt;=DA47,$Q$9,"")</f>
        <v/>
      </c>
      <c r="DR51" s="803" t="str">
        <f>IF(DZ47&gt;=DA47,$R$9,"")</f>
        <v/>
      </c>
      <c r="DS51" s="803" t="str">
        <f>IF(DZ47&gt;=DA47,$S$9,"")</f>
        <v/>
      </c>
      <c r="DT51" s="803" t="str">
        <f>IF(DZ47&gt;=DA47,$T$9,"")</f>
        <v/>
      </c>
      <c r="DU51" s="803" t="str">
        <f>IF(DZ47&gt;=DA47,$U$9,"")</f>
        <v/>
      </c>
      <c r="DV51" s="803" t="str">
        <f>IF(DZ47&gt;=DA47,$V$9,"")</f>
        <v/>
      </c>
      <c r="DW51" s="805" t="str">
        <f>IF(DZ47&gt;=DA47,$W$9,"")</f>
        <v/>
      </c>
      <c r="DX51" s="806"/>
      <c r="DY51" s="806"/>
      <c r="DZ51" s="807"/>
      <c r="EA51" s="858" t="str">
        <f>IF(EZ47&gt;=EA47,$A$9,"")</f>
        <v/>
      </c>
      <c r="EB51" s="806"/>
      <c r="EC51" s="806"/>
      <c r="ED51" s="806"/>
      <c r="EE51" s="852"/>
      <c r="EF51" s="805" t="str">
        <f>IF(EZ47&gt;=EA47,$F$9,"")</f>
        <v/>
      </c>
      <c r="EG51" s="806"/>
      <c r="EH51" s="806"/>
      <c r="EI51" s="852"/>
      <c r="EJ51" s="811" t="str">
        <f>IF(EZ47&gt;=EA47,$J$9,"")</f>
        <v/>
      </c>
      <c r="EK51" s="803" t="str">
        <f>IF(EZ47&gt;=EA47,$K$9,"")</f>
        <v/>
      </c>
      <c r="EL51" s="803" t="str">
        <f>IF(EZ47&gt;=EA47,$L$9,"")</f>
        <v/>
      </c>
      <c r="EM51" s="803" t="str">
        <f>IF(EZ47&gt;=EA47,$M$9,"")</f>
        <v/>
      </c>
      <c r="EN51" s="803" t="str">
        <f>IF(EZ47&gt;=EA47,$N$9,"")</f>
        <v/>
      </c>
      <c r="EO51" s="803" t="str">
        <f>IF(EZ47&gt;=EA47,$O$9,"")</f>
        <v/>
      </c>
      <c r="EP51" s="803" t="str">
        <f>IF(EZ47&gt;=EA47,$P$9,"")</f>
        <v/>
      </c>
      <c r="EQ51" s="803" t="str">
        <f>IF(EZ47&gt;=EA47,$Q$9,"")</f>
        <v/>
      </c>
      <c r="ER51" s="803" t="str">
        <f>IF(EZ47&gt;=EA47,$R$9,"")</f>
        <v/>
      </c>
      <c r="ES51" s="803" t="str">
        <f>IF(EZ47&gt;=EA47,$S$9,"")</f>
        <v/>
      </c>
      <c r="ET51" s="803" t="str">
        <f>IF(EZ47&gt;=EA47,$T$9,"")</f>
        <v/>
      </c>
      <c r="EU51" s="803" t="str">
        <f>IF(EZ47&gt;=EA47,$U$9,"")</f>
        <v/>
      </c>
      <c r="EV51" s="803" t="str">
        <f>IF(EZ47&gt;=EA47,$V$9,"")</f>
        <v/>
      </c>
      <c r="EW51" s="805" t="str">
        <f>IF(EZ47&gt;=EA47,$W$9,"")</f>
        <v/>
      </c>
      <c r="EX51" s="806"/>
      <c r="EY51" s="806"/>
      <c r="EZ51" s="807"/>
      <c r="FA51" s="858" t="str">
        <f>IF(FZ47&gt;=FA47,$A$9,"")</f>
        <v/>
      </c>
      <c r="FB51" s="806"/>
      <c r="FC51" s="806"/>
      <c r="FD51" s="806"/>
      <c r="FE51" s="852"/>
      <c r="FF51" s="805" t="str">
        <f>IF(FZ47&gt;=FA47,$F$9,"")</f>
        <v/>
      </c>
      <c r="FG51" s="806"/>
      <c r="FH51" s="806"/>
      <c r="FI51" s="852"/>
      <c r="FJ51" s="811" t="str">
        <f>IF(FZ47&gt;=FA47,$J$9,"")</f>
        <v/>
      </c>
      <c r="FK51" s="803" t="str">
        <f>IF(FZ47&gt;=FA47,$K$9,"")</f>
        <v/>
      </c>
      <c r="FL51" s="803" t="str">
        <f>IF(FZ47&gt;=FA47,$L$9,"")</f>
        <v/>
      </c>
      <c r="FM51" s="803" t="str">
        <f>IF(FZ47&gt;=FA47,$M$9,"")</f>
        <v/>
      </c>
      <c r="FN51" s="803" t="str">
        <f>IF(FZ47&gt;=FA47,$N$9,"")</f>
        <v/>
      </c>
      <c r="FO51" s="803" t="str">
        <f>IF(FZ47&gt;=FA47,$O$9,"")</f>
        <v/>
      </c>
      <c r="FP51" s="803" t="str">
        <f>IF(FZ47&gt;=FA47,$P$9,"")</f>
        <v/>
      </c>
      <c r="FQ51" s="803" t="str">
        <f>IF(FZ47&gt;=FA47,$Q$9,"")</f>
        <v/>
      </c>
      <c r="FR51" s="803" t="str">
        <f>IF(FZ47&gt;=FA47,$R$9,"")</f>
        <v/>
      </c>
      <c r="FS51" s="803" t="str">
        <f>IF(FZ47&gt;=FA47,$S$9,"")</f>
        <v/>
      </c>
      <c r="FT51" s="803" t="str">
        <f>IF(FZ47&gt;=FA47,$T$9,"")</f>
        <v/>
      </c>
      <c r="FU51" s="803" t="str">
        <f>IF(FZ47&gt;=FA47,$U$9,"")</f>
        <v/>
      </c>
      <c r="FV51" s="803" t="str">
        <f>IF(FZ47&gt;=FA47,$V$9,"")</f>
        <v/>
      </c>
      <c r="FW51" s="805" t="str">
        <f>IF(FZ47&gt;=FA47,$W$9,"")</f>
        <v/>
      </c>
      <c r="FX51" s="806"/>
      <c r="FY51" s="806"/>
      <c r="FZ51" s="807"/>
      <c r="GA51" s="858" t="str">
        <f>IF(GZ47&gt;=GA47,$A$9,"")</f>
        <v/>
      </c>
      <c r="GB51" s="806"/>
      <c r="GC51" s="806"/>
      <c r="GD51" s="806"/>
      <c r="GE51" s="852"/>
      <c r="GF51" s="805" t="str">
        <f>IF(GZ47&gt;=GA47,$F$9,"")</f>
        <v/>
      </c>
      <c r="GG51" s="806"/>
      <c r="GH51" s="806"/>
      <c r="GI51" s="852"/>
      <c r="GJ51" s="811" t="str">
        <f>IF(GZ47&gt;=GA47,$J$9,"")</f>
        <v/>
      </c>
      <c r="GK51" s="803" t="str">
        <f>IF(GZ47&gt;=GA47,$K$9,"")</f>
        <v/>
      </c>
      <c r="GL51" s="803" t="str">
        <f>IF(GZ47&gt;=GA47,$L$9,"")</f>
        <v/>
      </c>
      <c r="GM51" s="803" t="str">
        <f>IF(GZ47&gt;=GA47,$M$9,"")</f>
        <v/>
      </c>
      <c r="GN51" s="803" t="str">
        <f>IF(GZ47&gt;=GA47,$N$9,"")</f>
        <v/>
      </c>
      <c r="GO51" s="803" t="str">
        <f>IF(GZ47&gt;=GA47,$O$9,"")</f>
        <v/>
      </c>
      <c r="GP51" s="803" t="str">
        <f>IF(GZ47&gt;=GA47,$P$9,"")</f>
        <v/>
      </c>
      <c r="GQ51" s="803" t="str">
        <f>IF(GZ47&gt;=GA47,$Q$9,"")</f>
        <v/>
      </c>
      <c r="GR51" s="803" t="str">
        <f>IF(GZ47&gt;=GA47,$R$9,"")</f>
        <v/>
      </c>
      <c r="GS51" s="803" t="str">
        <f>IF(GZ47&gt;=GA47,$S$9,"")</f>
        <v/>
      </c>
      <c r="GT51" s="803" t="str">
        <f>IF(GZ47&gt;=GA47,$T$9,"")</f>
        <v/>
      </c>
      <c r="GU51" s="803" t="str">
        <f>IF(GZ47&gt;=GA47,$U$9,"")</f>
        <v/>
      </c>
      <c r="GV51" s="803" t="str">
        <f>IF(GZ47&gt;=GA47,$V$9,"")</f>
        <v/>
      </c>
      <c r="GW51" s="805" t="str">
        <f>IF(GZ47&gt;=GA47,$W$9,"")</f>
        <v/>
      </c>
      <c r="GX51" s="806"/>
      <c r="GY51" s="806"/>
      <c r="GZ51" s="807"/>
      <c r="HA51" s="858" t="str">
        <f>IF(HZ47&gt;=HA47,$A$9,"")</f>
        <v/>
      </c>
      <c r="HB51" s="806"/>
      <c r="HC51" s="806"/>
      <c r="HD51" s="806"/>
      <c r="HE51" s="852"/>
      <c r="HF51" s="805" t="str">
        <f>IF(HZ47&gt;=HA47,$F$9,"")</f>
        <v/>
      </c>
      <c r="HG51" s="806"/>
      <c r="HH51" s="806"/>
      <c r="HI51" s="852"/>
      <c r="HJ51" s="811" t="str">
        <f>IF(HZ47&gt;=HA47,$J$9,"")</f>
        <v/>
      </c>
      <c r="HK51" s="803" t="str">
        <f>IF(HZ47&gt;=HA47,$K$9,"")</f>
        <v/>
      </c>
      <c r="HL51" s="803" t="str">
        <f>IF(HZ47&gt;=HA47,$L$9,"")</f>
        <v/>
      </c>
      <c r="HM51" s="803" t="str">
        <f>IF(HZ47&gt;=HA47,$M$9,"")</f>
        <v/>
      </c>
      <c r="HN51" s="803" t="str">
        <f>IF(HZ47&gt;=HA47,$N$9,"")</f>
        <v/>
      </c>
      <c r="HO51" s="803" t="str">
        <f>IF(HZ47&gt;=HA47,$O$9,"")</f>
        <v/>
      </c>
      <c r="HP51" s="803" t="str">
        <f>IF(HZ47&gt;=HA47,$P$9,"")</f>
        <v/>
      </c>
      <c r="HQ51" s="803" t="str">
        <f>IF(HZ47&gt;=HA47,$Q$9,"")</f>
        <v/>
      </c>
      <c r="HR51" s="803" t="str">
        <f>IF(HZ47&gt;=HA47,$R$9,"")</f>
        <v/>
      </c>
      <c r="HS51" s="803" t="str">
        <f>IF(HZ47&gt;=HA47,$S$9,"")</f>
        <v/>
      </c>
      <c r="HT51" s="803" t="str">
        <f>IF(HZ47&gt;=HA47,$T$9,"")</f>
        <v/>
      </c>
      <c r="HU51" s="803" t="str">
        <f>IF(HZ47&gt;=HA47,$U$9,"")</f>
        <v/>
      </c>
      <c r="HV51" s="803" t="str">
        <f>IF(HZ47&gt;=HA47,$V$9,"")</f>
        <v/>
      </c>
      <c r="HW51" s="805" t="str">
        <f>IF(HZ47&gt;=HA47,$W$9,"")</f>
        <v/>
      </c>
      <c r="HX51" s="806"/>
      <c r="HY51" s="806"/>
      <c r="HZ51" s="807"/>
      <c r="IA51" s="858" t="str">
        <f>IF(IZ47&gt;=IA47,$A$9,"")</f>
        <v/>
      </c>
      <c r="IB51" s="806"/>
      <c r="IC51" s="806"/>
      <c r="ID51" s="806"/>
      <c r="IE51" s="852"/>
      <c r="IF51" s="805" t="str">
        <f>IF(IZ47&gt;=IA47,$F$9,"")</f>
        <v/>
      </c>
      <c r="IG51" s="806"/>
      <c r="IH51" s="806"/>
      <c r="II51" s="852"/>
      <c r="IJ51" s="811" t="str">
        <f>IF(IZ47&gt;=IA47,$J$9,"")</f>
        <v/>
      </c>
      <c r="IK51" s="803" t="str">
        <f>IF(IZ47&gt;=IA47,$K$9,"")</f>
        <v/>
      </c>
      <c r="IL51" s="803" t="str">
        <f>IF(IZ47&gt;=IA47,$L$9,"")</f>
        <v/>
      </c>
      <c r="IM51" s="803" t="str">
        <f>IF(IZ47&gt;=IA47,$M$9,"")</f>
        <v/>
      </c>
      <c r="IN51" s="803" t="str">
        <f>IF(IZ47&gt;=IA47,$N$9,"")</f>
        <v/>
      </c>
      <c r="IO51" s="803" t="str">
        <f>IF(IZ47&gt;=IA47,$O$9,"")</f>
        <v/>
      </c>
      <c r="IP51" s="803" t="str">
        <f>IF(IZ47&gt;=IA47,$P$9,"")</f>
        <v/>
      </c>
      <c r="IQ51" s="803" t="str">
        <f>IF(IZ47&gt;=IA47,$Q$9,"")</f>
        <v/>
      </c>
      <c r="IR51" s="803" t="str">
        <f>IF(IZ47&gt;=IA47,$R$9,"")</f>
        <v/>
      </c>
      <c r="IS51" s="803" t="str">
        <f>IF(IZ47&gt;=IA47,$S$9,"")</f>
        <v/>
      </c>
      <c r="IT51" s="803" t="str">
        <f>IF(IZ47&gt;=IA47,$T$9,"")</f>
        <v/>
      </c>
      <c r="IU51" s="803" t="str">
        <f>IF(IZ47&gt;=IA47,$U$9,"")</f>
        <v/>
      </c>
      <c r="IV51" s="803" t="str">
        <f>IF(IZ47&gt;=IA47,$V$9,"")</f>
        <v/>
      </c>
      <c r="IW51" s="805" t="str">
        <f>IF(IZ47&gt;=IA47,$W$9,"")</f>
        <v/>
      </c>
      <c r="IX51" s="806"/>
      <c r="IY51" s="806"/>
      <c r="IZ51" s="807"/>
    </row>
    <row r="52" spans="1:260" x14ac:dyDescent="0.25">
      <c r="A52" s="859"/>
      <c r="B52" s="809"/>
      <c r="C52" s="809"/>
      <c r="D52" s="809"/>
      <c r="E52" s="853"/>
      <c r="F52" s="808"/>
      <c r="G52" s="809"/>
      <c r="H52" s="809"/>
      <c r="I52" s="853"/>
      <c r="J52" s="812"/>
      <c r="K52" s="804"/>
      <c r="L52" s="804"/>
      <c r="M52" s="804"/>
      <c r="N52" s="804"/>
      <c r="O52" s="804"/>
      <c r="P52" s="804"/>
      <c r="Q52" s="804"/>
      <c r="R52" s="804"/>
      <c r="S52" s="804"/>
      <c r="T52" s="804"/>
      <c r="U52" s="804"/>
      <c r="V52" s="804"/>
      <c r="W52" s="808"/>
      <c r="X52" s="809"/>
      <c r="Y52" s="809"/>
      <c r="Z52" s="810"/>
      <c r="AA52" s="859"/>
      <c r="AB52" s="809"/>
      <c r="AC52" s="809"/>
      <c r="AD52" s="809"/>
      <c r="AE52" s="853"/>
      <c r="AF52" s="808"/>
      <c r="AG52" s="809"/>
      <c r="AH52" s="809"/>
      <c r="AI52" s="853"/>
      <c r="AJ52" s="812"/>
      <c r="AK52" s="804"/>
      <c r="AL52" s="804"/>
      <c r="AM52" s="804"/>
      <c r="AN52" s="804"/>
      <c r="AO52" s="804"/>
      <c r="AP52" s="804"/>
      <c r="AQ52" s="804"/>
      <c r="AR52" s="804"/>
      <c r="AS52" s="804"/>
      <c r="AT52" s="804"/>
      <c r="AU52" s="804"/>
      <c r="AV52" s="804"/>
      <c r="AW52" s="808"/>
      <c r="AX52" s="809"/>
      <c r="AY52" s="809"/>
      <c r="AZ52" s="810"/>
      <c r="BA52" s="859"/>
      <c r="BB52" s="809"/>
      <c r="BC52" s="809"/>
      <c r="BD52" s="809"/>
      <c r="BE52" s="853"/>
      <c r="BF52" s="808"/>
      <c r="BG52" s="809"/>
      <c r="BH52" s="809"/>
      <c r="BI52" s="853"/>
      <c r="BJ52" s="812"/>
      <c r="BK52" s="804"/>
      <c r="BL52" s="804"/>
      <c r="BM52" s="804"/>
      <c r="BN52" s="804"/>
      <c r="BO52" s="804"/>
      <c r="BP52" s="804"/>
      <c r="BQ52" s="804"/>
      <c r="BR52" s="804"/>
      <c r="BS52" s="804"/>
      <c r="BT52" s="804"/>
      <c r="BU52" s="804"/>
      <c r="BV52" s="804"/>
      <c r="BW52" s="808"/>
      <c r="BX52" s="809"/>
      <c r="BY52" s="809"/>
      <c r="BZ52" s="810"/>
      <c r="CA52" s="859"/>
      <c r="CB52" s="809"/>
      <c r="CC52" s="809"/>
      <c r="CD52" s="809"/>
      <c r="CE52" s="853"/>
      <c r="CF52" s="808"/>
      <c r="CG52" s="809"/>
      <c r="CH52" s="809"/>
      <c r="CI52" s="853"/>
      <c r="CJ52" s="812"/>
      <c r="CK52" s="804"/>
      <c r="CL52" s="804"/>
      <c r="CM52" s="804"/>
      <c r="CN52" s="804"/>
      <c r="CO52" s="804"/>
      <c r="CP52" s="804"/>
      <c r="CQ52" s="804"/>
      <c r="CR52" s="804"/>
      <c r="CS52" s="804"/>
      <c r="CT52" s="804"/>
      <c r="CU52" s="804"/>
      <c r="CV52" s="804"/>
      <c r="CW52" s="808"/>
      <c r="CX52" s="809"/>
      <c r="CY52" s="809"/>
      <c r="CZ52" s="810"/>
      <c r="DA52" s="859"/>
      <c r="DB52" s="809"/>
      <c r="DC52" s="809"/>
      <c r="DD52" s="809"/>
      <c r="DE52" s="853"/>
      <c r="DF52" s="808"/>
      <c r="DG52" s="809"/>
      <c r="DH52" s="809"/>
      <c r="DI52" s="853"/>
      <c r="DJ52" s="812"/>
      <c r="DK52" s="804"/>
      <c r="DL52" s="804"/>
      <c r="DM52" s="804"/>
      <c r="DN52" s="804"/>
      <c r="DO52" s="804"/>
      <c r="DP52" s="804"/>
      <c r="DQ52" s="804"/>
      <c r="DR52" s="804"/>
      <c r="DS52" s="804"/>
      <c r="DT52" s="804"/>
      <c r="DU52" s="804"/>
      <c r="DV52" s="804"/>
      <c r="DW52" s="808"/>
      <c r="DX52" s="809"/>
      <c r="DY52" s="809"/>
      <c r="DZ52" s="810"/>
      <c r="EA52" s="859"/>
      <c r="EB52" s="809"/>
      <c r="EC52" s="809"/>
      <c r="ED52" s="809"/>
      <c r="EE52" s="853"/>
      <c r="EF52" s="808"/>
      <c r="EG52" s="809"/>
      <c r="EH52" s="809"/>
      <c r="EI52" s="853"/>
      <c r="EJ52" s="812"/>
      <c r="EK52" s="804"/>
      <c r="EL52" s="804"/>
      <c r="EM52" s="804"/>
      <c r="EN52" s="804"/>
      <c r="EO52" s="804"/>
      <c r="EP52" s="804"/>
      <c r="EQ52" s="804"/>
      <c r="ER52" s="804"/>
      <c r="ES52" s="804"/>
      <c r="ET52" s="804"/>
      <c r="EU52" s="804"/>
      <c r="EV52" s="804"/>
      <c r="EW52" s="808"/>
      <c r="EX52" s="809"/>
      <c r="EY52" s="809"/>
      <c r="EZ52" s="810"/>
      <c r="FA52" s="859"/>
      <c r="FB52" s="809"/>
      <c r="FC52" s="809"/>
      <c r="FD52" s="809"/>
      <c r="FE52" s="853"/>
      <c r="FF52" s="808"/>
      <c r="FG52" s="809"/>
      <c r="FH52" s="809"/>
      <c r="FI52" s="853"/>
      <c r="FJ52" s="812"/>
      <c r="FK52" s="804"/>
      <c r="FL52" s="804"/>
      <c r="FM52" s="804"/>
      <c r="FN52" s="804"/>
      <c r="FO52" s="804"/>
      <c r="FP52" s="804"/>
      <c r="FQ52" s="804"/>
      <c r="FR52" s="804"/>
      <c r="FS52" s="804"/>
      <c r="FT52" s="804"/>
      <c r="FU52" s="804"/>
      <c r="FV52" s="804"/>
      <c r="FW52" s="808"/>
      <c r="FX52" s="809"/>
      <c r="FY52" s="809"/>
      <c r="FZ52" s="810"/>
      <c r="GA52" s="859"/>
      <c r="GB52" s="809"/>
      <c r="GC52" s="809"/>
      <c r="GD52" s="809"/>
      <c r="GE52" s="853"/>
      <c r="GF52" s="808"/>
      <c r="GG52" s="809"/>
      <c r="GH52" s="809"/>
      <c r="GI52" s="853"/>
      <c r="GJ52" s="812"/>
      <c r="GK52" s="804"/>
      <c r="GL52" s="804"/>
      <c r="GM52" s="804"/>
      <c r="GN52" s="804"/>
      <c r="GO52" s="804"/>
      <c r="GP52" s="804"/>
      <c r="GQ52" s="804"/>
      <c r="GR52" s="804"/>
      <c r="GS52" s="804"/>
      <c r="GT52" s="804"/>
      <c r="GU52" s="804"/>
      <c r="GV52" s="804"/>
      <c r="GW52" s="808"/>
      <c r="GX52" s="809"/>
      <c r="GY52" s="809"/>
      <c r="GZ52" s="810"/>
      <c r="HA52" s="859"/>
      <c r="HB52" s="809"/>
      <c r="HC52" s="809"/>
      <c r="HD52" s="809"/>
      <c r="HE52" s="853"/>
      <c r="HF52" s="808"/>
      <c r="HG52" s="809"/>
      <c r="HH52" s="809"/>
      <c r="HI52" s="853"/>
      <c r="HJ52" s="812"/>
      <c r="HK52" s="804"/>
      <c r="HL52" s="804"/>
      <c r="HM52" s="804"/>
      <c r="HN52" s="804"/>
      <c r="HO52" s="804"/>
      <c r="HP52" s="804"/>
      <c r="HQ52" s="804"/>
      <c r="HR52" s="804"/>
      <c r="HS52" s="804"/>
      <c r="HT52" s="804"/>
      <c r="HU52" s="804"/>
      <c r="HV52" s="804"/>
      <c r="HW52" s="808"/>
      <c r="HX52" s="809"/>
      <c r="HY52" s="809"/>
      <c r="HZ52" s="810"/>
      <c r="IA52" s="859"/>
      <c r="IB52" s="809"/>
      <c r="IC52" s="809"/>
      <c r="ID52" s="809"/>
      <c r="IE52" s="853"/>
      <c r="IF52" s="808"/>
      <c r="IG52" s="809"/>
      <c r="IH52" s="809"/>
      <c r="II52" s="853"/>
      <c r="IJ52" s="812"/>
      <c r="IK52" s="804"/>
      <c r="IL52" s="804"/>
      <c r="IM52" s="804"/>
      <c r="IN52" s="804"/>
      <c r="IO52" s="804"/>
      <c r="IP52" s="804"/>
      <c r="IQ52" s="804"/>
      <c r="IR52" s="804"/>
      <c r="IS52" s="804"/>
      <c r="IT52" s="804"/>
      <c r="IU52" s="804"/>
      <c r="IV52" s="804"/>
      <c r="IW52" s="808"/>
      <c r="IX52" s="809"/>
      <c r="IY52" s="809"/>
      <c r="IZ52" s="810"/>
    </row>
    <row r="53" spans="1:260" x14ac:dyDescent="0.25">
      <c r="A53" s="854" t="str">
        <f>IFERROR(INDEX(Lista_Pedidos,Procesos!Y47+A47-1,3),"")</f>
        <v/>
      </c>
      <c r="B53" s="855"/>
      <c r="C53" s="855"/>
      <c r="D53" s="855"/>
      <c r="E53" s="856"/>
      <c r="F53" s="857" t="str">
        <f>IF(Z47&gt;A47-1,E$11,"")</f>
        <v/>
      </c>
      <c r="G53" s="855"/>
      <c r="H53" s="855"/>
      <c r="I53" s="856"/>
      <c r="J53" s="526" t="str">
        <f>IFERROR(IF(IF(Z47&gt;A47-1,INDEX(Lista_Pedidos,Y47+A47-1,J47),"")=0,"",IF(Z47&gt;A47-1,INDEX(Lista_Pedidos,Y47+A47-1,J47),"")),"")</f>
        <v/>
      </c>
      <c r="K53" s="526" t="str">
        <f>IFERROR(IF(IF(Z47&gt;A47-1,INDEX(Lista_Pedidos,Y47+A47-1,K47),"")=0,"",IF(Z47&gt;A47-1,INDEX(Lista_Pedidos,Y47+A47-1,K47),"")),"")</f>
        <v/>
      </c>
      <c r="L53" s="526" t="str">
        <f>IFERROR(IF(IF(Z47&gt;A47-1,INDEX(Lista_Pedidos,Y47+A47-1,L47),"")=0,"",IF(Z47&gt;A47-1,INDEX(Lista_Pedidos,Y47+A47-1,L47),"")),"")</f>
        <v/>
      </c>
      <c r="M53" s="526" t="str">
        <f>IFERROR(IF(IF(Z47&gt;A47-1,INDEX(Lista_Pedidos,Y47+A47-1,M47),"")=0,"",IF(Z47&gt;A47-1,INDEX(Lista_Pedidos,Y47+A47-1,M47),"")),"")</f>
        <v/>
      </c>
      <c r="N53" s="526" t="str">
        <f>IFERROR(IF(IF(Z47&gt;A47-1,INDEX(Lista_Pedidos,Y47+A47-1,N47),"")=0,"",IF(Z47&gt;A47-1,INDEX(Lista_Pedidos,Y47+A47-1,N47),"")),"")</f>
        <v/>
      </c>
      <c r="O53" s="526" t="str">
        <f>IFERROR(IF(IF(Z47&gt;A47-1,INDEX(Lista_Pedidos,Y47+A47-1,O47),"")=0,"",IF(Z47&gt;A47-1,INDEX(Lista_Pedidos,Y47+A47-1,O47),"")),"")</f>
        <v/>
      </c>
      <c r="P53" s="526" t="str">
        <f>IFERROR(IF(IF(Z47&gt;A47-1,INDEX(Lista_Pedidos,Y47+A47-1,P47),"")=0,"",IF(Z47&gt;A47-1,INDEX(Lista_Pedidos,Y47+A47-1,P47),"")),"")</f>
        <v/>
      </c>
      <c r="Q53" s="526" t="str">
        <f>IFERROR(IF(IF(Z47&gt;A47-1,INDEX(Lista_Pedidos,Y47+A47-1,Q47),"")=0,"",IF(Z47&gt;A47-1,INDEX(Lista_Pedidos,Y47+A47-1,Q47),"")),"")</f>
        <v/>
      </c>
      <c r="R53" s="526" t="str">
        <f>IFERROR(IF(IF(Z47&gt;A47-1,INDEX(Lista_Pedidos,Y47+A47-1,R47),"")=0,"",IF(Z47&gt;A47-1,INDEX(Lista_Pedidos,Y47+A47-1,R47),"")),"")</f>
        <v/>
      </c>
      <c r="S53" s="526" t="str">
        <f>IFERROR(IF(IF(Z47&gt;A47-1,INDEX(Lista_Pedidos,Y47+A47-1,S47),"")=0,"",IF(Z47&gt;A47-1,INDEX(Lista_Pedidos,Y47+A47-1,S47),"")),"")</f>
        <v/>
      </c>
      <c r="T53" s="526" t="str">
        <f>IFERROR(IF(IF(Z47&gt;A47-1,INDEX(Lista_Pedidos,Y47+A47-1,T47),"")=0,"",IF(Z47&gt;A47-1,INDEX(Lista_Pedidos,Y47+A47-1,T47),"")),"")</f>
        <v/>
      </c>
      <c r="U53" s="526" t="str">
        <f>IFERROR(IF(IF(Z47&gt;A47-1,INDEX(Lista_Pedidos,Y47+A47-1,U47),"")=0,"",IF(Z47&gt;A47-1,INDEX(Lista_Pedidos,Y47+A47-1,U47),"")),"")</f>
        <v/>
      </c>
      <c r="V53" s="526" t="str">
        <f>IFERROR(IF(IF(Z47&gt;A47-1,INDEX(Lista_Pedidos,Y47+A47-1,V47),"")=0,"",IF(Z47&gt;A47-1,INDEX(Lista_Pedidos,Y47+A47-1,V47),"")),"")</f>
        <v/>
      </c>
      <c r="W53" s="857" t="str">
        <f>IF(SUM(J53:V53)&gt;1,SUM(J53:V53),"")</f>
        <v/>
      </c>
      <c r="X53" s="855"/>
      <c r="Y53" s="855"/>
      <c r="Z53" s="860"/>
      <c r="AA53" s="854" t="str">
        <f>IFERROR(INDEX(Lista_Pedidos,Procesos!AY47+AA47-1,3),"")</f>
        <v>HWL ONYX 02</v>
      </c>
      <c r="AB53" s="855"/>
      <c r="AC53" s="855"/>
      <c r="AD53" s="855"/>
      <c r="AE53" s="856"/>
      <c r="AF53" s="857">
        <f>IF(AZ47&gt;AA47-1,AE$11,"")</f>
        <v>0</v>
      </c>
      <c r="AG53" s="855"/>
      <c r="AH53" s="855"/>
      <c r="AI53" s="856"/>
      <c r="AJ53" s="526" t="str">
        <f>IFERROR(IF(IF(AZ47&gt;AA47-1,INDEX(Lista_Pedidos,AY47+AA47-1,AJ47),"")=0,"",IF(AZ47&gt;AA47-1,INDEX(Lista_Pedidos,AY47+AA47-1,AJ47),"")),"")</f>
        <v/>
      </c>
      <c r="AK53" s="526" t="str">
        <f>IFERROR(IF(IF(AZ47&gt;AA47-1,INDEX(Lista_Pedidos,AY47+AA47-1,AK47),"")=0,"",IF(AZ47&gt;AA47-1,INDEX(Lista_Pedidos,AY47+AA47-1,AK47),"")),"")</f>
        <v/>
      </c>
      <c r="AL53" s="526" t="str">
        <f>IFERROR(IF(IF(AZ47&gt;AA47-1,INDEX(Lista_Pedidos,AY47+AA47-1,AL47),"")=0,"",IF(AZ47&gt;AA47-1,INDEX(Lista_Pedidos,AY47+AA47-1,AL47),"")),"")</f>
        <v/>
      </c>
      <c r="AM53" s="526" t="str">
        <f>IFERROR(IF(IF(AZ47&gt;AA47-1,INDEX(Lista_Pedidos,AY47+AA47-1,AM47),"")=0,"",IF(AZ47&gt;AA47-1,INDEX(Lista_Pedidos,AY47+AA47-1,AM47),"")),"")</f>
        <v/>
      </c>
      <c r="AN53" s="526" t="str">
        <f>IFERROR(IF(IF(AZ47&gt;AA47-1,INDEX(Lista_Pedidos,AY47+AA47-1,AN47),"")=0,"",IF(AZ47&gt;AA47-1,INDEX(Lista_Pedidos,AY47+AA47-1,AN47),"")),"")</f>
        <v/>
      </c>
      <c r="AO53" s="526" t="str">
        <f>IFERROR(IF(IF(AZ47&gt;AA47-1,INDEX(Lista_Pedidos,AY47+AA47-1,AO47),"")=0,"",IF(AZ47&gt;AA47-1,INDEX(Lista_Pedidos,AY47+AA47-1,AO47),"")),"")</f>
        <v/>
      </c>
      <c r="AP53" s="526" t="str">
        <f>IFERROR(IF(IF(AZ47&gt;AA47-1,INDEX(Lista_Pedidos,AY47+AA47-1,AP47),"")=0,"",IF(AZ47&gt;AA47-1,INDEX(Lista_Pedidos,AY47+AA47-1,AP47),"")),"")</f>
        <v/>
      </c>
      <c r="AQ53" s="526" t="str">
        <f>IFERROR(IF(IF(AZ47&gt;AA47-1,INDEX(Lista_Pedidos,AY47+AA47-1,AQ47),"")=0,"",IF(AZ47&gt;AA47-1,INDEX(Lista_Pedidos,AY47+AA47-1,AQ47),"")),"")</f>
        <v/>
      </c>
      <c r="AR53" s="526" t="str">
        <f>IFERROR(IF(IF(AZ47&gt;AA47-1,INDEX(Lista_Pedidos,AY47+AA47-1,AR47),"")=0,"",IF(AZ47&gt;AA47-1,INDEX(Lista_Pedidos,AY47+AA47-1,AR47),"")),"")</f>
        <v/>
      </c>
      <c r="AS53" s="526" t="str">
        <f>IFERROR(IF(IF(AZ47&gt;AA47-1,INDEX(Lista_Pedidos,AY47+AA47-1,AS47),"")=0,"",IF(AZ47&gt;AA47-1,INDEX(Lista_Pedidos,AY47+AA47-1,AS47),"")),"")</f>
        <v/>
      </c>
      <c r="AT53" s="526">
        <f>IFERROR(IF(IF(AZ47&gt;AA47-1,INDEX(Lista_Pedidos,AY47+AA47-1,AT47),"")=0,"",IF(AZ47&gt;AA47-1,INDEX(Lista_Pedidos,AY47+AA47-1,AT47),"")),"")</f>
        <v>4</v>
      </c>
      <c r="AU53" s="526" t="str">
        <f>IFERROR(IF(IF(AZ47&gt;AA47-1,INDEX(Lista_Pedidos,AY47+AA47-1,AU47),"")=0,"",IF(AZ47&gt;AA47-1,INDEX(Lista_Pedidos,AY47+AA47-1,AU47),"")),"")</f>
        <v/>
      </c>
      <c r="AV53" s="526" t="str">
        <f>IFERROR(IF(IF(AZ47&gt;AA47-1,INDEX(Lista_Pedidos,AY47+AA47-1,AV47),"")=0,"",IF(AZ47&gt;AA47-1,INDEX(Lista_Pedidos,AY47+AA47-1,AV47),"")),"")</f>
        <v/>
      </c>
      <c r="AW53" s="857">
        <f>IF(SUM(AJ53:AV53)&gt;1,SUM(AJ53:AV53),"")</f>
        <v>4</v>
      </c>
      <c r="AX53" s="855"/>
      <c r="AY53" s="855"/>
      <c r="AZ53" s="860"/>
      <c r="BA53" s="854" t="str">
        <f>IFERROR(INDEX(Lista_Pedidos,Procesos!BY47+BA47-1,3),"")</f>
        <v/>
      </c>
      <c r="BB53" s="855"/>
      <c r="BC53" s="855"/>
      <c r="BD53" s="855"/>
      <c r="BE53" s="856"/>
      <c r="BF53" s="857" t="str">
        <f>IF(BZ47&gt;BA47-1,BE$11,"")</f>
        <v/>
      </c>
      <c r="BG53" s="855"/>
      <c r="BH53" s="855"/>
      <c r="BI53" s="856"/>
      <c r="BJ53" s="526" t="str">
        <f>IFERROR(IF(IF(BZ47&gt;BA47-1,INDEX(Lista_Pedidos,BY47+BA47-1,BJ47),"")=0,"",IF(BZ47&gt;BA47-1,INDEX(Lista_Pedidos,BY47+BA47-1,BJ47),"")),"")</f>
        <v/>
      </c>
      <c r="BK53" s="526" t="str">
        <f>IFERROR(IF(IF(BZ47&gt;BA47-1,INDEX(Lista_Pedidos,BY47+BA47-1,BK47),"")=0,"",IF(BZ47&gt;BA47-1,INDEX(Lista_Pedidos,BY47+BA47-1,BK47),"")),"")</f>
        <v/>
      </c>
      <c r="BL53" s="526" t="str">
        <f>IFERROR(IF(IF(BZ47&gt;BA47-1,INDEX(Lista_Pedidos,BY47+BA47-1,BL47),"")=0,"",IF(BZ47&gt;BA47-1,INDEX(Lista_Pedidos,BY47+BA47-1,BL47),"")),"")</f>
        <v/>
      </c>
      <c r="BM53" s="526" t="str">
        <f>IFERROR(IF(IF(BZ47&gt;BA47-1,INDEX(Lista_Pedidos,BY47+BA47-1,BM47),"")=0,"",IF(BZ47&gt;BA47-1,INDEX(Lista_Pedidos,BY47+BA47-1,BM47),"")),"")</f>
        <v/>
      </c>
      <c r="BN53" s="526" t="str">
        <f>IFERROR(IF(IF(BZ47&gt;BA47-1,INDEX(Lista_Pedidos,BY47+BA47-1,BN47),"")=0,"",IF(BZ47&gt;BA47-1,INDEX(Lista_Pedidos,BY47+BA47-1,BN47),"")),"")</f>
        <v/>
      </c>
      <c r="BO53" s="526" t="str">
        <f>IFERROR(IF(IF(BZ47&gt;BA47-1,INDEX(Lista_Pedidos,BY47+BA47-1,BO47),"")=0,"",IF(BZ47&gt;BA47-1,INDEX(Lista_Pedidos,BY47+BA47-1,BO47),"")),"")</f>
        <v/>
      </c>
      <c r="BP53" s="526" t="str">
        <f>IFERROR(IF(IF(BZ47&gt;BA47-1,INDEX(Lista_Pedidos,BY47+BA47-1,BP47),"")=0,"",IF(BZ47&gt;BA47-1,INDEX(Lista_Pedidos,BY47+BA47-1,BP47),"")),"")</f>
        <v/>
      </c>
      <c r="BQ53" s="526" t="str">
        <f>IFERROR(IF(IF(BZ47&gt;BA47-1,INDEX(Lista_Pedidos,BY47+BA47-1,BQ47),"")=0,"",IF(BZ47&gt;BA47-1,INDEX(Lista_Pedidos,BY47+BA47-1,BQ47),"")),"")</f>
        <v/>
      </c>
      <c r="BR53" s="526" t="str">
        <f>IFERROR(IF(IF(BZ47&gt;BA47-1,INDEX(Lista_Pedidos,BY47+BA47-1,BR47),"")=0,"",IF(BZ47&gt;BA47-1,INDEX(Lista_Pedidos,BY47+BA47-1,BR47),"")),"")</f>
        <v/>
      </c>
      <c r="BS53" s="526" t="str">
        <f>IFERROR(IF(IF(BZ47&gt;BA47-1,INDEX(Lista_Pedidos,BY47+BA47-1,BS47),"")=0,"",IF(BZ47&gt;BA47-1,INDEX(Lista_Pedidos,BY47+BA47-1,BS47),"")),"")</f>
        <v/>
      </c>
      <c r="BT53" s="526" t="str">
        <f>IFERROR(IF(IF(BZ47&gt;BA47-1,INDEX(Lista_Pedidos,BY47+BA47-1,BT47),"")=0,"",IF(BZ47&gt;BA47-1,INDEX(Lista_Pedidos,BY47+BA47-1,BT47),"")),"")</f>
        <v/>
      </c>
      <c r="BU53" s="526" t="str">
        <f>IFERROR(IF(IF(BZ47&gt;BA47-1,INDEX(Lista_Pedidos,BY47+BA47-1,BU47),"")=0,"",IF(BZ47&gt;BA47-1,INDEX(Lista_Pedidos,BY47+BA47-1,BU47),"")),"")</f>
        <v/>
      </c>
      <c r="BV53" s="526" t="str">
        <f>IFERROR(IF(IF(BZ47&gt;BA47-1,INDEX(Lista_Pedidos,BY47+BA47-1,BV47),"")=0,"",IF(BZ47&gt;BA47-1,INDEX(Lista_Pedidos,BY47+BA47-1,BV47),"")),"")</f>
        <v/>
      </c>
      <c r="BW53" s="857" t="str">
        <f>IF(SUM(BJ53:BV53)&gt;1,SUM(BJ53:BV53),"")</f>
        <v/>
      </c>
      <c r="BX53" s="855"/>
      <c r="BY53" s="855"/>
      <c r="BZ53" s="860"/>
      <c r="CA53" s="854" t="str">
        <f>IFERROR(INDEX(Lista_Pedidos,Procesos!CY47+CA47-1,3),"")</f>
        <v/>
      </c>
      <c r="CB53" s="855"/>
      <c r="CC53" s="855"/>
      <c r="CD53" s="855"/>
      <c r="CE53" s="856"/>
      <c r="CF53" s="857" t="str">
        <f>IF(CZ47&gt;CA47-1,CE$11,"")</f>
        <v/>
      </c>
      <c r="CG53" s="855"/>
      <c r="CH53" s="855"/>
      <c r="CI53" s="856"/>
      <c r="CJ53" s="526" t="str">
        <f>IFERROR(IF(IF(CZ47&gt;CA47-1,INDEX(Lista_Pedidos,CY47+CA47-1,CJ47),"")=0,"",IF(CZ47&gt;CA47-1,INDEX(Lista_Pedidos,CY47+CA47-1,CJ47),"")),"")</f>
        <v/>
      </c>
      <c r="CK53" s="526" t="str">
        <f>IFERROR(IF(IF(CZ47&gt;CA47-1,INDEX(Lista_Pedidos,CY47+CA47-1,CK47),"")=0,"",IF(CZ47&gt;CA47-1,INDEX(Lista_Pedidos,CY47+CA47-1,CK47),"")),"")</f>
        <v/>
      </c>
      <c r="CL53" s="526" t="str">
        <f>IFERROR(IF(IF(CZ47&gt;CA47-1,INDEX(Lista_Pedidos,CY47+CA47-1,CL47),"")=0,"",IF(CZ47&gt;CA47-1,INDEX(Lista_Pedidos,CY47+CA47-1,CL47),"")),"")</f>
        <v/>
      </c>
      <c r="CM53" s="526" t="str">
        <f>IFERROR(IF(IF(CZ47&gt;CA47-1,INDEX(Lista_Pedidos,CY47+CA47-1,CM47),"")=0,"",IF(CZ47&gt;CA47-1,INDEX(Lista_Pedidos,CY47+CA47-1,CM47),"")),"")</f>
        <v/>
      </c>
      <c r="CN53" s="526" t="str">
        <f>IFERROR(IF(IF(CZ47&gt;CA47-1,INDEX(Lista_Pedidos,CY47+CA47-1,CN47),"")=0,"",IF(CZ47&gt;CA47-1,INDEX(Lista_Pedidos,CY47+CA47-1,CN47),"")),"")</f>
        <v/>
      </c>
      <c r="CO53" s="526" t="str">
        <f>IFERROR(IF(IF(CZ47&gt;CA47-1,INDEX(Lista_Pedidos,CY47+CA47-1,CO47),"")=0,"",IF(CZ47&gt;CA47-1,INDEX(Lista_Pedidos,CY47+CA47-1,CO47),"")),"")</f>
        <v/>
      </c>
      <c r="CP53" s="526" t="str">
        <f>IFERROR(IF(IF(CZ47&gt;CA47-1,INDEX(Lista_Pedidos,CY47+CA47-1,CP47),"")=0,"",IF(CZ47&gt;CA47-1,INDEX(Lista_Pedidos,CY47+CA47-1,CP47),"")),"")</f>
        <v/>
      </c>
      <c r="CQ53" s="526" t="str">
        <f>IFERROR(IF(IF(CZ47&gt;CA47-1,INDEX(Lista_Pedidos,CY47+CA47-1,CQ47),"")=0,"",IF(CZ47&gt;CA47-1,INDEX(Lista_Pedidos,CY47+CA47-1,CQ47),"")),"")</f>
        <v/>
      </c>
      <c r="CR53" s="526" t="str">
        <f>IFERROR(IF(IF(CZ47&gt;CA47-1,INDEX(Lista_Pedidos,CY47+CA47-1,CR47),"")=0,"",IF(CZ47&gt;CA47-1,INDEX(Lista_Pedidos,CY47+CA47-1,CR47),"")),"")</f>
        <v/>
      </c>
      <c r="CS53" s="526" t="str">
        <f>IFERROR(IF(IF(CZ47&gt;CA47-1,INDEX(Lista_Pedidos,CY47+CA47-1,CS47),"")=0,"",IF(CZ47&gt;CA47-1,INDEX(Lista_Pedidos,CY47+CA47-1,CS47),"")),"")</f>
        <v/>
      </c>
      <c r="CT53" s="526" t="str">
        <f>IFERROR(IF(IF(CZ47&gt;CA47-1,INDEX(Lista_Pedidos,CY47+CA47-1,CT47),"")=0,"",IF(CZ47&gt;CA47-1,INDEX(Lista_Pedidos,CY47+CA47-1,CT47),"")),"")</f>
        <v/>
      </c>
      <c r="CU53" s="526" t="str">
        <f>IFERROR(IF(IF(CZ47&gt;CA47-1,INDEX(Lista_Pedidos,CY47+CA47-1,CU47),"")=0,"",IF(CZ47&gt;CA47-1,INDEX(Lista_Pedidos,CY47+CA47-1,CU47),"")),"")</f>
        <v/>
      </c>
      <c r="CV53" s="526" t="str">
        <f>IFERROR(IF(IF(CZ47&gt;CA47-1,INDEX(Lista_Pedidos,CY47+CA47-1,CV47),"")=0,"",IF(CZ47&gt;CA47-1,INDEX(Lista_Pedidos,CY47+CA47-1,CV47),"")),"")</f>
        <v/>
      </c>
      <c r="CW53" s="857" t="str">
        <f>IF(SUM(CJ53:CV53)&gt;1,SUM(CJ53:CV53),"")</f>
        <v/>
      </c>
      <c r="CX53" s="855"/>
      <c r="CY53" s="855"/>
      <c r="CZ53" s="860"/>
      <c r="DA53" s="854" t="str">
        <f>IFERROR(INDEX(Lista_Pedidos,Procesos!DY47+DA47-1,3),"")</f>
        <v/>
      </c>
      <c r="DB53" s="855"/>
      <c r="DC53" s="855"/>
      <c r="DD53" s="855"/>
      <c r="DE53" s="856"/>
      <c r="DF53" s="857" t="str">
        <f>IF(DZ47&gt;DA47-1,DE$11,"")</f>
        <v/>
      </c>
      <c r="DG53" s="855"/>
      <c r="DH53" s="855"/>
      <c r="DI53" s="856"/>
      <c r="DJ53" s="526" t="str">
        <f>IFERROR(IF(IF(DZ47&gt;DA47-1,INDEX(Lista_Pedidos,DY47+DA47-1,DJ47),"")=0,"",IF(DZ47&gt;DA47-1,INDEX(Lista_Pedidos,DY47+DA47-1,DJ47),"")),"")</f>
        <v/>
      </c>
      <c r="DK53" s="526" t="str">
        <f>IFERROR(IF(IF(DZ47&gt;DA47-1,INDEX(Lista_Pedidos,DY47+DA47-1,DK47),"")=0,"",IF(DZ47&gt;DA47-1,INDEX(Lista_Pedidos,DY47+DA47-1,DK47),"")),"")</f>
        <v/>
      </c>
      <c r="DL53" s="526" t="str">
        <f>IFERROR(IF(IF(DZ47&gt;DA47-1,INDEX(Lista_Pedidos,DY47+DA47-1,DL47),"")=0,"",IF(DZ47&gt;DA47-1,INDEX(Lista_Pedidos,DY47+DA47-1,DL47),"")),"")</f>
        <v/>
      </c>
      <c r="DM53" s="526" t="str">
        <f>IFERROR(IF(IF(DZ47&gt;DA47-1,INDEX(Lista_Pedidos,DY47+DA47-1,DM47),"")=0,"",IF(DZ47&gt;DA47-1,INDEX(Lista_Pedidos,DY47+DA47-1,DM47),"")),"")</f>
        <v/>
      </c>
      <c r="DN53" s="526" t="str">
        <f>IFERROR(IF(IF(DZ47&gt;DA47-1,INDEX(Lista_Pedidos,DY47+DA47-1,DN47),"")=0,"",IF(DZ47&gt;DA47-1,INDEX(Lista_Pedidos,DY47+DA47-1,DN47),"")),"")</f>
        <v/>
      </c>
      <c r="DO53" s="526" t="str">
        <f>IFERROR(IF(IF(DZ47&gt;DA47-1,INDEX(Lista_Pedidos,DY47+DA47-1,DO47),"")=0,"",IF(DZ47&gt;DA47-1,INDEX(Lista_Pedidos,DY47+DA47-1,DO47),"")),"")</f>
        <v/>
      </c>
      <c r="DP53" s="526" t="str">
        <f>IFERROR(IF(IF(DZ47&gt;DA47-1,INDEX(Lista_Pedidos,DY47+DA47-1,DP47),"")=0,"",IF(DZ47&gt;DA47-1,INDEX(Lista_Pedidos,DY47+DA47-1,DP47),"")),"")</f>
        <v/>
      </c>
      <c r="DQ53" s="526" t="str">
        <f>IFERROR(IF(IF(DZ47&gt;DA47-1,INDEX(Lista_Pedidos,DY47+DA47-1,DQ47),"")=0,"",IF(DZ47&gt;DA47-1,INDEX(Lista_Pedidos,DY47+DA47-1,DQ47),"")),"")</f>
        <v/>
      </c>
      <c r="DR53" s="526" t="str">
        <f>IFERROR(IF(IF(DZ47&gt;DA47-1,INDEX(Lista_Pedidos,DY47+DA47-1,DR47),"")=0,"",IF(DZ47&gt;DA47-1,INDEX(Lista_Pedidos,DY47+DA47-1,DR47),"")),"")</f>
        <v/>
      </c>
      <c r="DS53" s="526" t="str">
        <f>IFERROR(IF(IF(DZ47&gt;DA47-1,INDEX(Lista_Pedidos,DY47+DA47-1,DS47),"")=0,"",IF(DZ47&gt;DA47-1,INDEX(Lista_Pedidos,DY47+DA47-1,DS47),"")),"")</f>
        <v/>
      </c>
      <c r="DT53" s="526" t="str">
        <f>IFERROR(IF(IF(DZ47&gt;DA47-1,INDEX(Lista_Pedidos,DY47+DA47-1,DT47),"")=0,"",IF(DZ47&gt;DA47-1,INDEX(Lista_Pedidos,DY47+DA47-1,DT47),"")),"")</f>
        <v/>
      </c>
      <c r="DU53" s="526" t="str">
        <f>IFERROR(IF(IF(DZ47&gt;DA47-1,INDEX(Lista_Pedidos,DY47+DA47-1,DU47),"")=0,"",IF(DZ47&gt;DA47-1,INDEX(Lista_Pedidos,DY47+DA47-1,DU47),"")),"")</f>
        <v/>
      </c>
      <c r="DV53" s="526" t="str">
        <f>IFERROR(IF(IF(DZ47&gt;DA47-1,INDEX(Lista_Pedidos,DY47+DA47-1,DV47),"")=0,"",IF(DZ47&gt;DA47-1,INDEX(Lista_Pedidos,DY47+DA47-1,DV47),"")),"")</f>
        <v/>
      </c>
      <c r="DW53" s="857" t="str">
        <f>IF(SUM(DJ53:DV53)&gt;1,SUM(DJ53:DV53),"")</f>
        <v/>
      </c>
      <c r="DX53" s="855"/>
      <c r="DY53" s="855"/>
      <c r="DZ53" s="860"/>
      <c r="EA53" s="854" t="str">
        <f>IFERROR(INDEX(Lista_Pedidos,Procesos!EY47+EA47-1,3),"")</f>
        <v/>
      </c>
      <c r="EB53" s="855"/>
      <c r="EC53" s="855"/>
      <c r="ED53" s="855"/>
      <c r="EE53" s="856"/>
      <c r="EF53" s="857" t="str">
        <f>IF(EZ47&gt;EA47-1,EE$11,"")</f>
        <v/>
      </c>
      <c r="EG53" s="855"/>
      <c r="EH53" s="855"/>
      <c r="EI53" s="856"/>
      <c r="EJ53" s="526" t="str">
        <f>IFERROR(IF(IF(EZ47&gt;EA47-1,INDEX(Lista_Pedidos,EY47+EA47-1,EJ47),"")=0,"",IF(EZ47&gt;EA47-1,INDEX(Lista_Pedidos,EY47+EA47-1,EJ47),"")),"")</f>
        <v/>
      </c>
      <c r="EK53" s="526" t="str">
        <f>IFERROR(IF(IF(EZ47&gt;EA47-1,INDEX(Lista_Pedidos,EY47+EA47-1,EK47),"")=0,"",IF(EZ47&gt;EA47-1,INDEX(Lista_Pedidos,EY47+EA47-1,EK47),"")),"")</f>
        <v/>
      </c>
      <c r="EL53" s="526" t="str">
        <f>IFERROR(IF(IF(EZ47&gt;EA47-1,INDEX(Lista_Pedidos,EY47+EA47-1,EL47),"")=0,"",IF(EZ47&gt;EA47-1,INDEX(Lista_Pedidos,EY47+EA47-1,EL47),"")),"")</f>
        <v/>
      </c>
      <c r="EM53" s="526" t="str">
        <f>IFERROR(IF(IF(EZ47&gt;EA47-1,INDEX(Lista_Pedidos,EY47+EA47-1,EM47),"")=0,"",IF(EZ47&gt;EA47-1,INDEX(Lista_Pedidos,EY47+EA47-1,EM47),"")),"")</f>
        <v/>
      </c>
      <c r="EN53" s="526" t="str">
        <f>IFERROR(IF(IF(EZ47&gt;EA47-1,INDEX(Lista_Pedidos,EY47+EA47-1,EN47),"")=0,"",IF(EZ47&gt;EA47-1,INDEX(Lista_Pedidos,EY47+EA47-1,EN47),"")),"")</f>
        <v/>
      </c>
      <c r="EO53" s="526" t="str">
        <f>IFERROR(IF(IF(EZ47&gt;EA47-1,INDEX(Lista_Pedidos,EY47+EA47-1,EO47),"")=0,"",IF(EZ47&gt;EA47-1,INDEX(Lista_Pedidos,EY47+EA47-1,EO47),"")),"")</f>
        <v/>
      </c>
      <c r="EP53" s="526" t="str">
        <f>IFERROR(IF(IF(EZ47&gt;EA47-1,INDEX(Lista_Pedidos,EY47+EA47-1,EP47),"")=0,"",IF(EZ47&gt;EA47-1,INDEX(Lista_Pedidos,EY47+EA47-1,EP47),"")),"")</f>
        <v/>
      </c>
      <c r="EQ53" s="526" t="str">
        <f>IFERROR(IF(IF(EZ47&gt;EA47-1,INDEX(Lista_Pedidos,EY47+EA47-1,EQ47),"")=0,"",IF(EZ47&gt;EA47-1,INDEX(Lista_Pedidos,EY47+EA47-1,EQ47),"")),"")</f>
        <v/>
      </c>
      <c r="ER53" s="526" t="str">
        <f>IFERROR(IF(IF(EZ47&gt;EA47-1,INDEX(Lista_Pedidos,EY47+EA47-1,ER47),"")=0,"",IF(EZ47&gt;EA47-1,INDEX(Lista_Pedidos,EY47+EA47-1,ER47),"")),"")</f>
        <v/>
      </c>
      <c r="ES53" s="526" t="str">
        <f>IFERROR(IF(IF(EZ47&gt;EA47-1,INDEX(Lista_Pedidos,EY47+EA47-1,ES47),"")=0,"",IF(EZ47&gt;EA47-1,INDEX(Lista_Pedidos,EY47+EA47-1,ES47),"")),"")</f>
        <v/>
      </c>
      <c r="ET53" s="526" t="str">
        <f>IFERROR(IF(IF(EZ47&gt;EA47-1,INDEX(Lista_Pedidos,EY47+EA47-1,ET47),"")=0,"",IF(EZ47&gt;EA47-1,INDEX(Lista_Pedidos,EY47+EA47-1,ET47),"")),"")</f>
        <v/>
      </c>
      <c r="EU53" s="526" t="str">
        <f>IFERROR(IF(IF(EZ47&gt;EA47-1,INDEX(Lista_Pedidos,EY47+EA47-1,EU47),"")=0,"",IF(EZ47&gt;EA47-1,INDEX(Lista_Pedidos,EY47+EA47-1,EU47),"")),"")</f>
        <v/>
      </c>
      <c r="EV53" s="526" t="str">
        <f>IFERROR(IF(IF(EZ47&gt;EA47-1,INDEX(Lista_Pedidos,EY47+EA47-1,EV47),"")=0,"",IF(EZ47&gt;EA47-1,INDEX(Lista_Pedidos,EY47+EA47-1,EV47),"")),"")</f>
        <v/>
      </c>
      <c r="EW53" s="857" t="str">
        <f>IF(SUM(EJ53:EV53)&gt;1,SUM(EJ53:EV53),"")</f>
        <v/>
      </c>
      <c r="EX53" s="855"/>
      <c r="EY53" s="855"/>
      <c r="EZ53" s="860"/>
      <c r="FA53" s="854" t="str">
        <f>IFERROR(INDEX(Lista_Pedidos,Procesos!FY47+FA47-1,3),"")</f>
        <v/>
      </c>
      <c r="FB53" s="855"/>
      <c r="FC53" s="855"/>
      <c r="FD53" s="855"/>
      <c r="FE53" s="856"/>
      <c r="FF53" s="857" t="str">
        <f>IF(FZ47&gt;FA47-1,FE$11,"")</f>
        <v/>
      </c>
      <c r="FG53" s="855"/>
      <c r="FH53" s="855"/>
      <c r="FI53" s="856"/>
      <c r="FJ53" s="526" t="str">
        <f>IFERROR(IF(IF(FZ47&gt;FA47-1,INDEX(Lista_Pedidos,FY47+FA47-1,FJ47),"")=0,"",IF(FZ47&gt;FA47-1,INDEX(Lista_Pedidos,FY47+FA47-1,FJ47),"")),"")</f>
        <v/>
      </c>
      <c r="FK53" s="526" t="str">
        <f>IFERROR(IF(IF(FZ47&gt;FA47-1,INDEX(Lista_Pedidos,FY47+FA47-1,FK47),"")=0,"",IF(FZ47&gt;FA47-1,INDEX(Lista_Pedidos,FY47+FA47-1,FK47),"")),"")</f>
        <v/>
      </c>
      <c r="FL53" s="526" t="str">
        <f>IFERROR(IF(IF(FZ47&gt;FA47-1,INDEX(Lista_Pedidos,FY47+FA47-1,FL47),"")=0,"",IF(FZ47&gt;FA47-1,INDEX(Lista_Pedidos,FY47+FA47-1,FL47),"")),"")</f>
        <v/>
      </c>
      <c r="FM53" s="526" t="str">
        <f>IFERROR(IF(IF(FZ47&gt;FA47-1,INDEX(Lista_Pedidos,FY47+FA47-1,FM47),"")=0,"",IF(FZ47&gt;FA47-1,INDEX(Lista_Pedidos,FY47+FA47-1,FM47),"")),"")</f>
        <v/>
      </c>
      <c r="FN53" s="526" t="str">
        <f>IFERROR(IF(IF(FZ47&gt;FA47-1,INDEX(Lista_Pedidos,FY47+FA47-1,FN47),"")=0,"",IF(FZ47&gt;FA47-1,INDEX(Lista_Pedidos,FY47+FA47-1,FN47),"")),"")</f>
        <v/>
      </c>
      <c r="FO53" s="526" t="str">
        <f>IFERROR(IF(IF(FZ47&gt;FA47-1,INDEX(Lista_Pedidos,FY47+FA47-1,FO47),"")=0,"",IF(FZ47&gt;FA47-1,INDEX(Lista_Pedidos,FY47+FA47-1,FO47),"")),"")</f>
        <v/>
      </c>
      <c r="FP53" s="526" t="str">
        <f>IFERROR(IF(IF(FZ47&gt;FA47-1,INDEX(Lista_Pedidos,FY47+FA47-1,FP47),"")=0,"",IF(FZ47&gt;FA47-1,INDEX(Lista_Pedidos,FY47+FA47-1,FP47),"")),"")</f>
        <v/>
      </c>
      <c r="FQ53" s="526" t="str">
        <f>IFERROR(IF(IF(FZ47&gt;FA47-1,INDEX(Lista_Pedidos,FY47+FA47-1,FQ47),"")=0,"",IF(FZ47&gt;FA47-1,INDEX(Lista_Pedidos,FY47+FA47-1,FQ47),"")),"")</f>
        <v/>
      </c>
      <c r="FR53" s="526" t="str">
        <f>IFERROR(IF(IF(FZ47&gt;FA47-1,INDEX(Lista_Pedidos,FY47+FA47-1,FR47),"")=0,"",IF(FZ47&gt;FA47-1,INDEX(Lista_Pedidos,FY47+FA47-1,FR47),"")),"")</f>
        <v/>
      </c>
      <c r="FS53" s="526" t="str">
        <f>IFERROR(IF(IF(FZ47&gt;FA47-1,INDEX(Lista_Pedidos,FY47+FA47-1,FS47),"")=0,"",IF(FZ47&gt;FA47-1,INDEX(Lista_Pedidos,FY47+FA47-1,FS47),"")),"")</f>
        <v/>
      </c>
      <c r="FT53" s="526" t="str">
        <f>IFERROR(IF(IF(FZ47&gt;FA47-1,INDEX(Lista_Pedidos,FY47+FA47-1,FT47),"")=0,"",IF(FZ47&gt;FA47-1,INDEX(Lista_Pedidos,FY47+FA47-1,FT47),"")),"")</f>
        <v/>
      </c>
      <c r="FU53" s="526" t="str">
        <f>IFERROR(IF(IF(FZ47&gt;FA47-1,INDEX(Lista_Pedidos,FY47+FA47-1,FU47),"")=0,"",IF(FZ47&gt;FA47-1,INDEX(Lista_Pedidos,FY47+FA47-1,FU47),"")),"")</f>
        <v/>
      </c>
      <c r="FV53" s="526" t="str">
        <f>IFERROR(IF(IF(FZ47&gt;FA47-1,INDEX(Lista_Pedidos,FY47+FA47-1,FV47),"")=0,"",IF(FZ47&gt;FA47-1,INDEX(Lista_Pedidos,FY47+FA47-1,FV47),"")),"")</f>
        <v/>
      </c>
      <c r="FW53" s="857" t="str">
        <f>IF(SUM(FJ53:FV53)&gt;1,SUM(FJ53:FV53),"")</f>
        <v/>
      </c>
      <c r="FX53" s="855"/>
      <c r="FY53" s="855"/>
      <c r="FZ53" s="860"/>
      <c r="GA53" s="854" t="str">
        <f>IFERROR(INDEX(Lista_Pedidos,Procesos!GY47+GA47-1,3),"")</f>
        <v/>
      </c>
      <c r="GB53" s="855"/>
      <c r="GC53" s="855"/>
      <c r="GD53" s="855"/>
      <c r="GE53" s="856"/>
      <c r="GF53" s="857" t="str">
        <f>IF(GZ47&gt;GA47-1,GE$11,"")</f>
        <v/>
      </c>
      <c r="GG53" s="855"/>
      <c r="GH53" s="855"/>
      <c r="GI53" s="856"/>
      <c r="GJ53" s="526" t="str">
        <f>IFERROR(IF(IF(GZ47&gt;GA47-1,INDEX(Lista_Pedidos,GY47+GA47-1,GJ47),"")=0,"",IF(GZ47&gt;GA47-1,INDEX(Lista_Pedidos,GY47+GA47-1,GJ47),"")),"")</f>
        <v/>
      </c>
      <c r="GK53" s="526" t="str">
        <f>IFERROR(IF(IF(GZ47&gt;GA47-1,INDEX(Lista_Pedidos,GY47+GA47-1,GK47),"")=0,"",IF(GZ47&gt;GA47-1,INDEX(Lista_Pedidos,GY47+GA47-1,GK47),"")),"")</f>
        <v/>
      </c>
      <c r="GL53" s="526" t="str">
        <f>IFERROR(IF(IF(GZ47&gt;GA47-1,INDEX(Lista_Pedidos,GY47+GA47-1,GL47),"")=0,"",IF(GZ47&gt;GA47-1,INDEX(Lista_Pedidos,GY47+GA47-1,GL47),"")),"")</f>
        <v/>
      </c>
      <c r="GM53" s="526" t="str">
        <f>IFERROR(IF(IF(GZ47&gt;GA47-1,INDEX(Lista_Pedidos,GY47+GA47-1,GM47),"")=0,"",IF(GZ47&gt;GA47-1,INDEX(Lista_Pedidos,GY47+GA47-1,GM47),"")),"")</f>
        <v/>
      </c>
      <c r="GN53" s="526" t="str">
        <f>IFERROR(IF(IF(GZ47&gt;GA47-1,INDEX(Lista_Pedidos,GY47+GA47-1,GN47),"")=0,"",IF(GZ47&gt;GA47-1,INDEX(Lista_Pedidos,GY47+GA47-1,GN47),"")),"")</f>
        <v/>
      </c>
      <c r="GO53" s="526" t="str">
        <f>IFERROR(IF(IF(GZ47&gt;GA47-1,INDEX(Lista_Pedidos,GY47+GA47-1,GO47),"")=0,"",IF(GZ47&gt;GA47-1,INDEX(Lista_Pedidos,GY47+GA47-1,GO47),"")),"")</f>
        <v/>
      </c>
      <c r="GP53" s="526" t="str">
        <f>IFERROR(IF(IF(GZ47&gt;GA47-1,INDEX(Lista_Pedidos,GY47+GA47-1,GP47),"")=0,"",IF(GZ47&gt;GA47-1,INDEX(Lista_Pedidos,GY47+GA47-1,GP47),"")),"")</f>
        <v/>
      </c>
      <c r="GQ53" s="526" t="str">
        <f>IFERROR(IF(IF(GZ47&gt;GA47-1,INDEX(Lista_Pedidos,GY47+GA47-1,GQ47),"")=0,"",IF(GZ47&gt;GA47-1,INDEX(Lista_Pedidos,GY47+GA47-1,GQ47),"")),"")</f>
        <v/>
      </c>
      <c r="GR53" s="526" t="str">
        <f>IFERROR(IF(IF(GZ47&gt;GA47-1,INDEX(Lista_Pedidos,GY47+GA47-1,GR47),"")=0,"",IF(GZ47&gt;GA47-1,INDEX(Lista_Pedidos,GY47+GA47-1,GR47),"")),"")</f>
        <v/>
      </c>
      <c r="GS53" s="526" t="str">
        <f>IFERROR(IF(IF(GZ47&gt;GA47-1,INDEX(Lista_Pedidos,GY47+GA47-1,GS47),"")=0,"",IF(GZ47&gt;GA47-1,INDEX(Lista_Pedidos,GY47+GA47-1,GS47),"")),"")</f>
        <v/>
      </c>
      <c r="GT53" s="526" t="str">
        <f>IFERROR(IF(IF(GZ47&gt;GA47-1,INDEX(Lista_Pedidos,GY47+GA47-1,GT47),"")=0,"",IF(GZ47&gt;GA47-1,INDEX(Lista_Pedidos,GY47+GA47-1,GT47),"")),"")</f>
        <v/>
      </c>
      <c r="GU53" s="526" t="str">
        <f>IFERROR(IF(IF(GZ47&gt;GA47-1,INDEX(Lista_Pedidos,GY47+GA47-1,GU47),"")=0,"",IF(GZ47&gt;GA47-1,INDEX(Lista_Pedidos,GY47+GA47-1,GU47),"")),"")</f>
        <v/>
      </c>
      <c r="GV53" s="526" t="str">
        <f>IFERROR(IF(IF(GZ47&gt;GA47-1,INDEX(Lista_Pedidos,GY47+GA47-1,GV47),"")=0,"",IF(GZ47&gt;GA47-1,INDEX(Lista_Pedidos,GY47+GA47-1,GV47),"")),"")</f>
        <v/>
      </c>
      <c r="GW53" s="857" t="str">
        <f>IF(SUM(GJ53:GV53)&gt;1,SUM(GJ53:GV53),"")</f>
        <v/>
      </c>
      <c r="GX53" s="855"/>
      <c r="GY53" s="855"/>
      <c r="GZ53" s="860"/>
      <c r="HA53" s="854" t="str">
        <f>IFERROR(INDEX(Lista_Pedidos,Procesos!HY47+HA47-1,3),"")</f>
        <v/>
      </c>
      <c r="HB53" s="855"/>
      <c r="HC53" s="855"/>
      <c r="HD53" s="855"/>
      <c r="HE53" s="856"/>
      <c r="HF53" s="857" t="str">
        <f>IF(HZ47&gt;HA47-1,HE$11,"")</f>
        <v/>
      </c>
      <c r="HG53" s="855"/>
      <c r="HH53" s="855"/>
      <c r="HI53" s="856"/>
      <c r="HJ53" s="526" t="str">
        <f>IFERROR(IF(IF(HZ47&gt;HA47-1,INDEX(Lista_Pedidos,HY47+HA47-1,HJ47),"")=0,"",IF(HZ47&gt;HA47-1,INDEX(Lista_Pedidos,HY47+HA47-1,HJ47),"")),"")</f>
        <v/>
      </c>
      <c r="HK53" s="526" t="str">
        <f>IFERROR(IF(IF(HZ47&gt;HA47-1,INDEX(Lista_Pedidos,HY47+HA47-1,HK47),"")=0,"",IF(HZ47&gt;HA47-1,INDEX(Lista_Pedidos,HY47+HA47-1,HK47),"")),"")</f>
        <v/>
      </c>
      <c r="HL53" s="526" t="str">
        <f>IFERROR(IF(IF(HZ47&gt;HA47-1,INDEX(Lista_Pedidos,HY47+HA47-1,HL47),"")=0,"",IF(HZ47&gt;HA47-1,INDEX(Lista_Pedidos,HY47+HA47-1,HL47),"")),"")</f>
        <v/>
      </c>
      <c r="HM53" s="526" t="str">
        <f>IFERROR(IF(IF(HZ47&gt;HA47-1,INDEX(Lista_Pedidos,HY47+HA47-1,HM47),"")=0,"",IF(HZ47&gt;HA47-1,INDEX(Lista_Pedidos,HY47+HA47-1,HM47),"")),"")</f>
        <v/>
      </c>
      <c r="HN53" s="526" t="str">
        <f>IFERROR(IF(IF(HZ47&gt;HA47-1,INDEX(Lista_Pedidos,HY47+HA47-1,HN47),"")=0,"",IF(HZ47&gt;HA47-1,INDEX(Lista_Pedidos,HY47+HA47-1,HN47),"")),"")</f>
        <v/>
      </c>
      <c r="HO53" s="526" t="str">
        <f>IFERROR(IF(IF(HZ47&gt;HA47-1,INDEX(Lista_Pedidos,HY47+HA47-1,HO47),"")=0,"",IF(HZ47&gt;HA47-1,INDEX(Lista_Pedidos,HY47+HA47-1,HO47),"")),"")</f>
        <v/>
      </c>
      <c r="HP53" s="526" t="str">
        <f>IFERROR(IF(IF(HZ47&gt;HA47-1,INDEX(Lista_Pedidos,HY47+HA47-1,HP47),"")=0,"",IF(HZ47&gt;HA47-1,INDEX(Lista_Pedidos,HY47+HA47-1,HP47),"")),"")</f>
        <v/>
      </c>
      <c r="HQ53" s="526" t="str">
        <f>IFERROR(IF(IF(HZ47&gt;HA47-1,INDEX(Lista_Pedidos,HY47+HA47-1,HQ47),"")=0,"",IF(HZ47&gt;HA47-1,INDEX(Lista_Pedidos,HY47+HA47-1,HQ47),"")),"")</f>
        <v/>
      </c>
      <c r="HR53" s="526" t="str">
        <f>IFERROR(IF(IF(HZ47&gt;HA47-1,INDEX(Lista_Pedidos,HY47+HA47-1,HR47),"")=0,"",IF(HZ47&gt;HA47-1,INDEX(Lista_Pedidos,HY47+HA47-1,HR47),"")),"")</f>
        <v/>
      </c>
      <c r="HS53" s="526" t="str">
        <f>IFERROR(IF(IF(HZ47&gt;HA47-1,INDEX(Lista_Pedidos,HY47+HA47-1,HS47),"")=0,"",IF(HZ47&gt;HA47-1,INDEX(Lista_Pedidos,HY47+HA47-1,HS47),"")),"")</f>
        <v/>
      </c>
      <c r="HT53" s="526" t="str">
        <f>IFERROR(IF(IF(HZ47&gt;HA47-1,INDEX(Lista_Pedidos,HY47+HA47-1,HT47),"")=0,"",IF(HZ47&gt;HA47-1,INDEX(Lista_Pedidos,HY47+HA47-1,HT47),"")),"")</f>
        <v/>
      </c>
      <c r="HU53" s="526" t="str">
        <f>IFERROR(IF(IF(HZ47&gt;HA47-1,INDEX(Lista_Pedidos,HY47+HA47-1,HU47),"")=0,"",IF(HZ47&gt;HA47-1,INDEX(Lista_Pedidos,HY47+HA47-1,HU47),"")),"")</f>
        <v/>
      </c>
      <c r="HV53" s="526" t="str">
        <f>IFERROR(IF(IF(HZ47&gt;HA47-1,INDEX(Lista_Pedidos,HY47+HA47-1,HV47),"")=0,"",IF(HZ47&gt;HA47-1,INDEX(Lista_Pedidos,HY47+HA47-1,HV47),"")),"")</f>
        <v/>
      </c>
      <c r="HW53" s="857" t="str">
        <f>IF(SUM(HJ53:HV53)&gt;1,SUM(HJ53:HV53),"")</f>
        <v/>
      </c>
      <c r="HX53" s="855"/>
      <c r="HY53" s="855"/>
      <c r="HZ53" s="860"/>
      <c r="IA53" s="854" t="str">
        <f>IFERROR(INDEX(Lista_Pedidos,Procesos!IY47+IA47-1,3),"")</f>
        <v/>
      </c>
      <c r="IB53" s="855"/>
      <c r="IC53" s="855"/>
      <c r="ID53" s="855"/>
      <c r="IE53" s="856"/>
      <c r="IF53" s="857" t="str">
        <f>IF(IZ47&gt;IA47-1,IE$11,"")</f>
        <v/>
      </c>
      <c r="IG53" s="855"/>
      <c r="IH53" s="855"/>
      <c r="II53" s="856"/>
      <c r="IJ53" s="526" t="str">
        <f>IFERROR(IF(IF(IZ47&gt;IA47-1,INDEX(Lista_Pedidos,IY47+IA47-1,IJ47),"")=0,"",IF(IZ47&gt;IA47-1,INDEX(Lista_Pedidos,IY47+IA47-1,IJ47),"")),"")</f>
        <v/>
      </c>
      <c r="IK53" s="526" t="str">
        <f>IFERROR(IF(IF(IZ47&gt;IA47-1,INDEX(Lista_Pedidos,IY47+IA47-1,IK47),"")=0,"",IF(IZ47&gt;IA47-1,INDEX(Lista_Pedidos,IY47+IA47-1,IK47),"")),"")</f>
        <v/>
      </c>
      <c r="IL53" s="526" t="str">
        <f>IFERROR(IF(IF(IZ47&gt;IA47-1,INDEX(Lista_Pedidos,IY47+IA47-1,IL47),"")=0,"",IF(IZ47&gt;IA47-1,INDEX(Lista_Pedidos,IY47+IA47-1,IL47),"")),"")</f>
        <v/>
      </c>
      <c r="IM53" s="526" t="str">
        <f>IFERROR(IF(IF(IZ47&gt;IA47-1,INDEX(Lista_Pedidos,IY47+IA47-1,IM47),"")=0,"",IF(IZ47&gt;IA47-1,INDEX(Lista_Pedidos,IY47+IA47-1,IM47),"")),"")</f>
        <v/>
      </c>
      <c r="IN53" s="526" t="str">
        <f>IFERROR(IF(IF(IZ47&gt;IA47-1,INDEX(Lista_Pedidos,IY47+IA47-1,IN47),"")=0,"",IF(IZ47&gt;IA47-1,INDEX(Lista_Pedidos,IY47+IA47-1,IN47),"")),"")</f>
        <v/>
      </c>
      <c r="IO53" s="526" t="str">
        <f>IFERROR(IF(IF(IZ47&gt;IA47-1,INDEX(Lista_Pedidos,IY47+IA47-1,IO47),"")=0,"",IF(IZ47&gt;IA47-1,INDEX(Lista_Pedidos,IY47+IA47-1,IO47),"")),"")</f>
        <v/>
      </c>
      <c r="IP53" s="526" t="str">
        <f>IFERROR(IF(IF(IZ47&gt;IA47-1,INDEX(Lista_Pedidos,IY47+IA47-1,IP47),"")=0,"",IF(IZ47&gt;IA47-1,INDEX(Lista_Pedidos,IY47+IA47-1,IP47),"")),"")</f>
        <v/>
      </c>
      <c r="IQ53" s="526" t="str">
        <f>IFERROR(IF(IF(IZ47&gt;IA47-1,INDEX(Lista_Pedidos,IY47+IA47-1,IQ47),"")=0,"",IF(IZ47&gt;IA47-1,INDEX(Lista_Pedidos,IY47+IA47-1,IQ47),"")),"")</f>
        <v/>
      </c>
      <c r="IR53" s="526" t="str">
        <f>IFERROR(IF(IF(IZ47&gt;IA47-1,INDEX(Lista_Pedidos,IY47+IA47-1,IR47),"")=0,"",IF(IZ47&gt;IA47-1,INDEX(Lista_Pedidos,IY47+IA47-1,IR47),"")),"")</f>
        <v/>
      </c>
      <c r="IS53" s="526" t="str">
        <f>IFERROR(IF(IF(IZ47&gt;IA47-1,INDEX(Lista_Pedidos,IY47+IA47-1,IS47),"")=0,"",IF(IZ47&gt;IA47-1,INDEX(Lista_Pedidos,IY47+IA47-1,IS47),"")),"")</f>
        <v/>
      </c>
      <c r="IT53" s="526" t="str">
        <f>IFERROR(IF(IF(IZ47&gt;IA47-1,INDEX(Lista_Pedidos,IY47+IA47-1,IT47),"")=0,"",IF(IZ47&gt;IA47-1,INDEX(Lista_Pedidos,IY47+IA47-1,IT47),"")),"")</f>
        <v/>
      </c>
      <c r="IU53" s="526" t="str">
        <f>IFERROR(IF(IF(IZ47&gt;IA47-1,INDEX(Lista_Pedidos,IY47+IA47-1,IU47),"")=0,"",IF(IZ47&gt;IA47-1,INDEX(Lista_Pedidos,IY47+IA47-1,IU47),"")),"")</f>
        <v/>
      </c>
      <c r="IV53" s="526" t="str">
        <f>IFERROR(IF(IF(IZ47&gt;IA47-1,INDEX(Lista_Pedidos,IY47+IA47-1,IV47),"")=0,"",IF(IZ47&gt;IA47-1,INDEX(Lista_Pedidos,IY47+IA47-1,IV47),"")),"")</f>
        <v/>
      </c>
      <c r="IW53" s="857" t="str">
        <f>IF(SUM(IJ53:IV53)&gt;1,SUM(IJ53:IV53),"")</f>
        <v/>
      </c>
      <c r="IX53" s="855"/>
      <c r="IY53" s="855"/>
      <c r="IZ53" s="860"/>
    </row>
    <row r="54" spans="1:260" x14ac:dyDescent="0.25">
      <c r="A54" s="823"/>
      <c r="B54" s="824"/>
      <c r="C54" s="824"/>
      <c r="D54" s="824"/>
      <c r="E54" s="824"/>
      <c r="F54" s="824"/>
      <c r="G54" s="824"/>
      <c r="H54" s="824"/>
      <c r="I54" s="824"/>
      <c r="J54" s="824"/>
      <c r="K54" s="824"/>
      <c r="L54" s="824"/>
      <c r="M54" s="824"/>
      <c r="N54" s="824"/>
      <c r="O54" s="824"/>
      <c r="P54" s="824"/>
      <c r="Q54" s="824"/>
      <c r="R54" s="824"/>
      <c r="S54" s="824"/>
      <c r="T54" s="824"/>
      <c r="U54" s="824"/>
      <c r="V54" s="824"/>
      <c r="W54" s="824" t="str">
        <f>IFERROR(IF(Z47&gt;A47-1,IF(INDEX(Lista_Pedidos,Y47+A47-1,2)&lt;&gt;"",INDEX(Lista_Pedidos,Y47+A47-1,2),""),""),"")</f>
        <v/>
      </c>
      <c r="X54" s="824"/>
      <c r="Y54" s="824"/>
      <c r="Z54" s="825"/>
      <c r="AA54" s="823"/>
      <c r="AB54" s="824"/>
      <c r="AC54" s="824"/>
      <c r="AD54" s="824"/>
      <c r="AE54" s="824"/>
      <c r="AF54" s="824"/>
      <c r="AG54" s="824"/>
      <c r="AH54" s="824"/>
      <c r="AI54" s="824"/>
      <c r="AJ54" s="824"/>
      <c r="AK54" s="824"/>
      <c r="AL54" s="824"/>
      <c r="AM54" s="824"/>
      <c r="AN54" s="824"/>
      <c r="AO54" s="824"/>
      <c r="AP54" s="824"/>
      <c r="AQ54" s="824"/>
      <c r="AR54" s="824"/>
      <c r="AS54" s="824"/>
      <c r="AT54" s="824"/>
      <c r="AU54" s="824"/>
      <c r="AV54" s="824"/>
      <c r="AW54" s="824" t="str">
        <f>IFERROR(IF(AZ47&gt;AA47-1,IF(INDEX(Lista_Pedidos,AY47+AA47-1,2)&lt;&gt;"",INDEX(Lista_Pedidos,AY47+AA47-1,2),""),""),"")</f>
        <v>Corte</v>
      </c>
      <c r="AX54" s="824"/>
      <c r="AY54" s="824"/>
      <c r="AZ54" s="825"/>
      <c r="BA54" s="823"/>
      <c r="BB54" s="824"/>
      <c r="BC54" s="824"/>
      <c r="BD54" s="824"/>
      <c r="BE54" s="824"/>
      <c r="BF54" s="824"/>
      <c r="BG54" s="824"/>
      <c r="BH54" s="824"/>
      <c r="BI54" s="824"/>
      <c r="BJ54" s="824"/>
      <c r="BK54" s="824"/>
      <c r="BL54" s="824"/>
      <c r="BM54" s="824"/>
      <c r="BN54" s="824"/>
      <c r="BO54" s="824"/>
      <c r="BP54" s="824"/>
      <c r="BQ54" s="824"/>
      <c r="BR54" s="824"/>
      <c r="BS54" s="824"/>
      <c r="BT54" s="824"/>
      <c r="BU54" s="824"/>
      <c r="BV54" s="824"/>
      <c r="BW54" s="824" t="str">
        <f>IFERROR(IF(BZ47&gt;BA47-1,IF(INDEX(Lista_Pedidos,BY47+BA47-1,2)&lt;&gt;"",INDEX(Lista_Pedidos,BY47+BA47-1,2),""),""),"")</f>
        <v/>
      </c>
      <c r="BX54" s="824"/>
      <c r="BY54" s="824"/>
      <c r="BZ54" s="825"/>
      <c r="CA54" s="823"/>
      <c r="CB54" s="824"/>
      <c r="CC54" s="824"/>
      <c r="CD54" s="824"/>
      <c r="CE54" s="824"/>
      <c r="CF54" s="824"/>
      <c r="CG54" s="824"/>
      <c r="CH54" s="824"/>
      <c r="CI54" s="824"/>
      <c r="CJ54" s="824"/>
      <c r="CK54" s="824"/>
      <c r="CL54" s="824"/>
      <c r="CM54" s="824"/>
      <c r="CN54" s="824"/>
      <c r="CO54" s="824"/>
      <c r="CP54" s="824"/>
      <c r="CQ54" s="824"/>
      <c r="CR54" s="824"/>
      <c r="CS54" s="824"/>
      <c r="CT54" s="824"/>
      <c r="CU54" s="824"/>
      <c r="CV54" s="824"/>
      <c r="CW54" s="824" t="str">
        <f>IFERROR(IF(CZ47&gt;CA47-1,IF(INDEX(Lista_Pedidos,CY47+CA47-1,2)&lt;&gt;"",INDEX(Lista_Pedidos,CY47+CA47-1,2),""),""),"")</f>
        <v/>
      </c>
      <c r="CX54" s="824"/>
      <c r="CY54" s="824"/>
      <c r="CZ54" s="825"/>
      <c r="DA54" s="823"/>
      <c r="DB54" s="824"/>
      <c r="DC54" s="824"/>
      <c r="DD54" s="824"/>
      <c r="DE54" s="824"/>
      <c r="DF54" s="824"/>
      <c r="DG54" s="824"/>
      <c r="DH54" s="824"/>
      <c r="DI54" s="824"/>
      <c r="DJ54" s="824"/>
      <c r="DK54" s="824"/>
      <c r="DL54" s="824"/>
      <c r="DM54" s="824"/>
      <c r="DN54" s="824"/>
      <c r="DO54" s="824"/>
      <c r="DP54" s="824"/>
      <c r="DQ54" s="824"/>
      <c r="DR54" s="824"/>
      <c r="DS54" s="824"/>
      <c r="DT54" s="824"/>
      <c r="DU54" s="824"/>
      <c r="DV54" s="824"/>
      <c r="DW54" s="824" t="str">
        <f>IFERROR(IF(DZ47&gt;DA47-1,IF(INDEX(Lista_Pedidos,DY47+DA47-1,2)&lt;&gt;"",INDEX(Lista_Pedidos,DY47+DA47-1,2),""),""),"")</f>
        <v/>
      </c>
      <c r="DX54" s="824"/>
      <c r="DY54" s="824"/>
      <c r="DZ54" s="825"/>
      <c r="EA54" s="823"/>
      <c r="EB54" s="824"/>
      <c r="EC54" s="824"/>
      <c r="ED54" s="824"/>
      <c r="EE54" s="824"/>
      <c r="EF54" s="824"/>
      <c r="EG54" s="824"/>
      <c r="EH54" s="824"/>
      <c r="EI54" s="824"/>
      <c r="EJ54" s="824"/>
      <c r="EK54" s="824"/>
      <c r="EL54" s="824"/>
      <c r="EM54" s="824"/>
      <c r="EN54" s="824"/>
      <c r="EO54" s="824"/>
      <c r="EP54" s="824"/>
      <c r="EQ54" s="824"/>
      <c r="ER54" s="824"/>
      <c r="ES54" s="824"/>
      <c r="ET54" s="824"/>
      <c r="EU54" s="824"/>
      <c r="EV54" s="824"/>
      <c r="EW54" s="824" t="str">
        <f>IFERROR(IF(EZ47&gt;EA47-1,IF(INDEX(Lista_Pedidos,EY47+EA47-1,2)&lt;&gt;"",INDEX(Lista_Pedidos,EY47+EA47-1,2),""),""),"")</f>
        <v/>
      </c>
      <c r="EX54" s="824"/>
      <c r="EY54" s="824"/>
      <c r="EZ54" s="825"/>
      <c r="FA54" s="823"/>
      <c r="FB54" s="824"/>
      <c r="FC54" s="824"/>
      <c r="FD54" s="824"/>
      <c r="FE54" s="824"/>
      <c r="FF54" s="824"/>
      <c r="FG54" s="824"/>
      <c r="FH54" s="824"/>
      <c r="FI54" s="824"/>
      <c r="FJ54" s="824"/>
      <c r="FK54" s="824"/>
      <c r="FL54" s="824"/>
      <c r="FM54" s="824"/>
      <c r="FN54" s="824"/>
      <c r="FO54" s="824"/>
      <c r="FP54" s="824"/>
      <c r="FQ54" s="824"/>
      <c r="FR54" s="824"/>
      <c r="FS54" s="824"/>
      <c r="FT54" s="824"/>
      <c r="FU54" s="824"/>
      <c r="FV54" s="824"/>
      <c r="FW54" s="824" t="str">
        <f>IFERROR(IF(FZ47&gt;FA47-1,IF(INDEX(Lista_Pedidos,FY47+FA47-1,2)&lt;&gt;"",INDEX(Lista_Pedidos,FY47+FA47-1,2),""),""),"")</f>
        <v/>
      </c>
      <c r="FX54" s="824"/>
      <c r="FY54" s="824"/>
      <c r="FZ54" s="825"/>
      <c r="GA54" s="823"/>
      <c r="GB54" s="824"/>
      <c r="GC54" s="824"/>
      <c r="GD54" s="824"/>
      <c r="GE54" s="824"/>
      <c r="GF54" s="824"/>
      <c r="GG54" s="824"/>
      <c r="GH54" s="824"/>
      <c r="GI54" s="824"/>
      <c r="GJ54" s="824"/>
      <c r="GK54" s="824"/>
      <c r="GL54" s="824"/>
      <c r="GM54" s="824"/>
      <c r="GN54" s="824"/>
      <c r="GO54" s="824"/>
      <c r="GP54" s="824"/>
      <c r="GQ54" s="824"/>
      <c r="GR54" s="824"/>
      <c r="GS54" s="824"/>
      <c r="GT54" s="824"/>
      <c r="GU54" s="824"/>
      <c r="GV54" s="824"/>
      <c r="GW54" s="824" t="str">
        <f>IFERROR(IF(GZ47&gt;GA47-1,IF(INDEX(Lista_Pedidos,GY47+GA47-1,2)&lt;&gt;"",INDEX(Lista_Pedidos,GY47+GA47-1,2),""),""),"")</f>
        <v/>
      </c>
      <c r="GX54" s="824"/>
      <c r="GY54" s="824"/>
      <c r="GZ54" s="825"/>
      <c r="HA54" s="823"/>
      <c r="HB54" s="824"/>
      <c r="HC54" s="824"/>
      <c r="HD54" s="824"/>
      <c r="HE54" s="824"/>
      <c r="HF54" s="824"/>
      <c r="HG54" s="824"/>
      <c r="HH54" s="824"/>
      <c r="HI54" s="824"/>
      <c r="HJ54" s="824"/>
      <c r="HK54" s="824"/>
      <c r="HL54" s="824"/>
      <c r="HM54" s="824"/>
      <c r="HN54" s="824"/>
      <c r="HO54" s="824"/>
      <c r="HP54" s="824"/>
      <c r="HQ54" s="824"/>
      <c r="HR54" s="824"/>
      <c r="HS54" s="824"/>
      <c r="HT54" s="824"/>
      <c r="HU54" s="824"/>
      <c r="HV54" s="824"/>
      <c r="HW54" s="824" t="str">
        <f>IFERROR(IF(HZ47&gt;HA47-1,IF(INDEX(Lista_Pedidos,HY47+HA47-1,2)&lt;&gt;"",INDEX(Lista_Pedidos,HY47+HA47-1,2),""),""),"")</f>
        <v/>
      </c>
      <c r="HX54" s="824"/>
      <c r="HY54" s="824"/>
      <c r="HZ54" s="825"/>
      <c r="IA54" s="823"/>
      <c r="IB54" s="824"/>
      <c r="IC54" s="824"/>
      <c r="ID54" s="824"/>
      <c r="IE54" s="824"/>
      <c r="IF54" s="824"/>
      <c r="IG54" s="824"/>
      <c r="IH54" s="824"/>
      <c r="II54" s="824"/>
      <c r="IJ54" s="824"/>
      <c r="IK54" s="824"/>
      <c r="IL54" s="824"/>
      <c r="IM54" s="824"/>
      <c r="IN54" s="824"/>
      <c r="IO54" s="824"/>
      <c r="IP54" s="824"/>
      <c r="IQ54" s="824"/>
      <c r="IR54" s="824"/>
      <c r="IS54" s="824"/>
      <c r="IT54" s="824"/>
      <c r="IU54" s="824"/>
      <c r="IV54" s="824"/>
      <c r="IW54" s="824" t="str">
        <f>IFERROR(IF(IZ47&gt;IA47-1,IF(INDEX(Lista_Pedidos,IY47+IA47-1,2)&lt;&gt;"",INDEX(Lista_Pedidos,IY47+IA47-1,2),""),""),"")</f>
        <v/>
      </c>
      <c r="IX54" s="824"/>
      <c r="IY54" s="824"/>
      <c r="IZ54" s="825"/>
    </row>
    <row r="55" spans="1:260" x14ac:dyDescent="0.25">
      <c r="A55" s="800" t="str">
        <f>IFERROR(IF(Z47&gt;A47-1,IF(INDEX(Lista_Pedidos,Y47+A47-1,6)&lt;&gt;"","Nombre de la Tela :     "&amp; INDEX(Lista_Pedidos,Y47+A47-1,6),""),""),"")</f>
        <v/>
      </c>
      <c r="B55" s="801"/>
      <c r="C55" s="801"/>
      <c r="D55" s="801"/>
      <c r="E55" s="801"/>
      <c r="F55" s="801"/>
      <c r="G55" s="801"/>
      <c r="H55" s="801"/>
      <c r="I55" s="801"/>
      <c r="J55" s="801"/>
      <c r="K55" s="801"/>
      <c r="L55" s="801"/>
      <c r="M55" s="801"/>
      <c r="N55" s="801"/>
      <c r="O55" s="801"/>
      <c r="P55" s="801"/>
      <c r="Q55" s="801"/>
      <c r="R55" s="801"/>
      <c r="S55" s="801"/>
      <c r="T55" s="801"/>
      <c r="U55" s="801"/>
      <c r="V55" s="801"/>
      <c r="W55" s="826"/>
      <c r="X55" s="826"/>
      <c r="Y55" s="826"/>
      <c r="Z55" s="827"/>
      <c r="AA55" s="800" t="str">
        <f>IFERROR(IF(AZ47&gt;AA47-1,IF(INDEX(Lista_Pedidos,AY47+AA47-1,6)&lt;&gt;"","Nombre de la Tela :     "&amp; INDEX(Lista_Pedidos,AY47+AA47-1,6),""),""),"")</f>
        <v>Nombre de la Tela :     42060 (BLACK)/MALLA CROCHET(BLACK)</v>
      </c>
      <c r="AB55" s="801"/>
      <c r="AC55" s="801"/>
      <c r="AD55" s="801"/>
      <c r="AE55" s="801"/>
      <c r="AF55" s="801"/>
      <c r="AG55" s="801"/>
      <c r="AH55" s="801"/>
      <c r="AI55" s="801"/>
      <c r="AJ55" s="801"/>
      <c r="AK55" s="801"/>
      <c r="AL55" s="801"/>
      <c r="AM55" s="801"/>
      <c r="AN55" s="801"/>
      <c r="AO55" s="801"/>
      <c r="AP55" s="801"/>
      <c r="AQ55" s="801"/>
      <c r="AR55" s="801"/>
      <c r="AS55" s="801"/>
      <c r="AT55" s="801"/>
      <c r="AU55" s="801"/>
      <c r="AV55" s="801"/>
      <c r="AW55" s="826"/>
      <c r="AX55" s="826"/>
      <c r="AY55" s="826"/>
      <c r="AZ55" s="827"/>
      <c r="BA55" s="800" t="str">
        <f>IFERROR(IF(BZ47&gt;BA47-1,IF(INDEX(Lista_Pedidos,BY47+BA47-1,6)&lt;&gt;"","Nombre de la Tela :     "&amp; INDEX(Lista_Pedidos,BY47+BA47-1,6),""),""),"")</f>
        <v/>
      </c>
      <c r="BB55" s="801"/>
      <c r="BC55" s="801"/>
      <c r="BD55" s="801"/>
      <c r="BE55" s="801"/>
      <c r="BF55" s="801"/>
      <c r="BG55" s="801"/>
      <c r="BH55" s="801"/>
      <c r="BI55" s="801"/>
      <c r="BJ55" s="801"/>
      <c r="BK55" s="801"/>
      <c r="BL55" s="801"/>
      <c r="BM55" s="801"/>
      <c r="BN55" s="801"/>
      <c r="BO55" s="801"/>
      <c r="BP55" s="801"/>
      <c r="BQ55" s="801"/>
      <c r="BR55" s="801"/>
      <c r="BS55" s="801"/>
      <c r="BT55" s="801"/>
      <c r="BU55" s="801"/>
      <c r="BV55" s="801"/>
      <c r="BW55" s="826"/>
      <c r="BX55" s="826"/>
      <c r="BY55" s="826"/>
      <c r="BZ55" s="827"/>
      <c r="CA55" s="800" t="str">
        <f>IFERROR(IF(CZ47&gt;CA47-1,IF(INDEX(Lista_Pedidos,CY47+CA47-1,6)&lt;&gt;"","Nombre de la Tela :     "&amp; INDEX(Lista_Pedidos,CY47+CA47-1,6),""),""),"")</f>
        <v/>
      </c>
      <c r="CB55" s="801"/>
      <c r="CC55" s="801"/>
      <c r="CD55" s="801"/>
      <c r="CE55" s="801"/>
      <c r="CF55" s="801"/>
      <c r="CG55" s="801"/>
      <c r="CH55" s="801"/>
      <c r="CI55" s="801"/>
      <c r="CJ55" s="801"/>
      <c r="CK55" s="801"/>
      <c r="CL55" s="801"/>
      <c r="CM55" s="801"/>
      <c r="CN55" s="801"/>
      <c r="CO55" s="801"/>
      <c r="CP55" s="801"/>
      <c r="CQ55" s="801"/>
      <c r="CR55" s="801"/>
      <c r="CS55" s="801"/>
      <c r="CT55" s="801"/>
      <c r="CU55" s="801"/>
      <c r="CV55" s="801"/>
      <c r="CW55" s="826"/>
      <c r="CX55" s="826"/>
      <c r="CY55" s="826"/>
      <c r="CZ55" s="827"/>
      <c r="DA55" s="800" t="str">
        <f>IFERROR(IF(DZ47&gt;DA47-1,IF(INDEX(Lista_Pedidos,DY47+DA47-1,6)&lt;&gt;"","Nombre de la Tela :     "&amp; INDEX(Lista_Pedidos,DY47+DA47-1,6),""),""),"")</f>
        <v/>
      </c>
      <c r="DB55" s="801"/>
      <c r="DC55" s="801"/>
      <c r="DD55" s="801"/>
      <c r="DE55" s="801"/>
      <c r="DF55" s="801"/>
      <c r="DG55" s="801"/>
      <c r="DH55" s="801"/>
      <c r="DI55" s="801"/>
      <c r="DJ55" s="801"/>
      <c r="DK55" s="801"/>
      <c r="DL55" s="801"/>
      <c r="DM55" s="801"/>
      <c r="DN55" s="801"/>
      <c r="DO55" s="801"/>
      <c r="DP55" s="801"/>
      <c r="DQ55" s="801"/>
      <c r="DR55" s="801"/>
      <c r="DS55" s="801"/>
      <c r="DT55" s="801"/>
      <c r="DU55" s="801"/>
      <c r="DV55" s="801"/>
      <c r="DW55" s="826"/>
      <c r="DX55" s="826"/>
      <c r="DY55" s="826"/>
      <c r="DZ55" s="827"/>
      <c r="EA55" s="800" t="str">
        <f>IFERROR(IF(EZ47&gt;EA47-1,IF(INDEX(Lista_Pedidos,EY47+EA47-1,6)&lt;&gt;"","Nombre de la Tela :     "&amp; INDEX(Lista_Pedidos,EY47+EA47-1,6),""),""),"")</f>
        <v/>
      </c>
      <c r="EB55" s="801"/>
      <c r="EC55" s="801"/>
      <c r="ED55" s="801"/>
      <c r="EE55" s="801"/>
      <c r="EF55" s="801"/>
      <c r="EG55" s="801"/>
      <c r="EH55" s="801"/>
      <c r="EI55" s="801"/>
      <c r="EJ55" s="801"/>
      <c r="EK55" s="801"/>
      <c r="EL55" s="801"/>
      <c r="EM55" s="801"/>
      <c r="EN55" s="801"/>
      <c r="EO55" s="801"/>
      <c r="EP55" s="801"/>
      <c r="EQ55" s="801"/>
      <c r="ER55" s="801"/>
      <c r="ES55" s="801"/>
      <c r="ET55" s="801"/>
      <c r="EU55" s="801"/>
      <c r="EV55" s="801"/>
      <c r="EW55" s="826"/>
      <c r="EX55" s="826"/>
      <c r="EY55" s="826"/>
      <c r="EZ55" s="827"/>
      <c r="FA55" s="800" t="str">
        <f>IFERROR(IF(FZ47&gt;FA47-1,IF(INDEX(Lista_Pedidos,FY47+FA47-1,6)&lt;&gt;"","Nombre de la Tela :     "&amp; INDEX(Lista_Pedidos,FY47+FA47-1,6),""),""),"")</f>
        <v/>
      </c>
      <c r="FB55" s="801"/>
      <c r="FC55" s="801"/>
      <c r="FD55" s="801"/>
      <c r="FE55" s="801"/>
      <c r="FF55" s="801"/>
      <c r="FG55" s="801"/>
      <c r="FH55" s="801"/>
      <c r="FI55" s="801"/>
      <c r="FJ55" s="801"/>
      <c r="FK55" s="801"/>
      <c r="FL55" s="801"/>
      <c r="FM55" s="801"/>
      <c r="FN55" s="801"/>
      <c r="FO55" s="801"/>
      <c r="FP55" s="801"/>
      <c r="FQ55" s="801"/>
      <c r="FR55" s="801"/>
      <c r="FS55" s="801"/>
      <c r="FT55" s="801"/>
      <c r="FU55" s="801"/>
      <c r="FV55" s="801"/>
      <c r="FW55" s="826"/>
      <c r="FX55" s="826"/>
      <c r="FY55" s="826"/>
      <c r="FZ55" s="827"/>
      <c r="GA55" s="800" t="str">
        <f>IFERROR(IF(GZ47&gt;GA47-1,IF(INDEX(Lista_Pedidos,GY47+GA47-1,6)&lt;&gt;"","Nombre de la Tela :     "&amp; INDEX(Lista_Pedidos,GY47+GA47-1,6),""),""),"")</f>
        <v/>
      </c>
      <c r="GB55" s="801"/>
      <c r="GC55" s="801"/>
      <c r="GD55" s="801"/>
      <c r="GE55" s="801"/>
      <c r="GF55" s="801"/>
      <c r="GG55" s="801"/>
      <c r="GH55" s="801"/>
      <c r="GI55" s="801"/>
      <c r="GJ55" s="801"/>
      <c r="GK55" s="801"/>
      <c r="GL55" s="801"/>
      <c r="GM55" s="801"/>
      <c r="GN55" s="801"/>
      <c r="GO55" s="801"/>
      <c r="GP55" s="801"/>
      <c r="GQ55" s="801"/>
      <c r="GR55" s="801"/>
      <c r="GS55" s="801"/>
      <c r="GT55" s="801"/>
      <c r="GU55" s="801"/>
      <c r="GV55" s="801"/>
      <c r="GW55" s="826"/>
      <c r="GX55" s="826"/>
      <c r="GY55" s="826"/>
      <c r="GZ55" s="827"/>
      <c r="HA55" s="800" t="str">
        <f>IFERROR(IF(HZ47&gt;HA47-1,IF(INDEX(Lista_Pedidos,HY47+HA47-1,6)&lt;&gt;"","Nombre de la Tela :     "&amp; INDEX(Lista_Pedidos,HY47+HA47-1,6),""),""),"")</f>
        <v/>
      </c>
      <c r="HB55" s="801"/>
      <c r="HC55" s="801"/>
      <c r="HD55" s="801"/>
      <c r="HE55" s="801"/>
      <c r="HF55" s="801"/>
      <c r="HG55" s="801"/>
      <c r="HH55" s="801"/>
      <c r="HI55" s="801"/>
      <c r="HJ55" s="801"/>
      <c r="HK55" s="801"/>
      <c r="HL55" s="801"/>
      <c r="HM55" s="801"/>
      <c r="HN55" s="801"/>
      <c r="HO55" s="801"/>
      <c r="HP55" s="801"/>
      <c r="HQ55" s="801"/>
      <c r="HR55" s="801"/>
      <c r="HS55" s="801"/>
      <c r="HT55" s="801"/>
      <c r="HU55" s="801"/>
      <c r="HV55" s="801"/>
      <c r="HW55" s="826"/>
      <c r="HX55" s="826"/>
      <c r="HY55" s="826"/>
      <c r="HZ55" s="827"/>
      <c r="IA55" s="800" t="str">
        <f>IFERROR(IF(IZ47&gt;IA47-1,IF(INDEX(Lista_Pedidos,IY47+IA47-1,6)&lt;&gt;"","Nombre de la Tela :     "&amp; INDEX(Lista_Pedidos,IY47+IA47-1,6),""),""),"")</f>
        <v/>
      </c>
      <c r="IB55" s="801"/>
      <c r="IC55" s="801"/>
      <c r="ID55" s="801"/>
      <c r="IE55" s="801"/>
      <c r="IF55" s="801"/>
      <c r="IG55" s="801"/>
      <c r="IH55" s="801"/>
      <c r="II55" s="801"/>
      <c r="IJ55" s="801"/>
      <c r="IK55" s="801"/>
      <c r="IL55" s="801"/>
      <c r="IM55" s="801"/>
      <c r="IN55" s="801"/>
      <c r="IO55" s="801"/>
      <c r="IP55" s="801"/>
      <c r="IQ55" s="801"/>
      <c r="IR55" s="801"/>
      <c r="IS55" s="801"/>
      <c r="IT55" s="801"/>
      <c r="IU55" s="801"/>
      <c r="IV55" s="801"/>
      <c r="IW55" s="826"/>
      <c r="IX55" s="826"/>
      <c r="IY55" s="826"/>
      <c r="IZ55" s="827"/>
    </row>
    <row r="56" spans="1:260" x14ac:dyDescent="0.25">
      <c r="A56" s="800" t="str">
        <f>IFERROR(IF(Z47&gt;A47-1,IF(INDEX(Lista_Pedidos,Y47+A47-1,7)&lt;&gt;"","Hilo :     "&amp; INDEX(Lista_Pedidos,Y47+A47-1,7),""),""),"")</f>
        <v/>
      </c>
      <c r="B56" s="801"/>
      <c r="C56" s="801"/>
      <c r="D56" s="801"/>
      <c r="E56" s="801"/>
      <c r="F56" s="801"/>
      <c r="G56" s="801"/>
      <c r="H56" s="801"/>
      <c r="I56" s="801"/>
      <c r="J56" s="801"/>
      <c r="K56" s="801"/>
      <c r="L56" s="801"/>
      <c r="M56" s="801"/>
      <c r="N56" s="801"/>
      <c r="O56" s="801"/>
      <c r="P56" s="801"/>
      <c r="Q56" s="801"/>
      <c r="R56" s="801"/>
      <c r="S56" s="801"/>
      <c r="T56" s="801"/>
      <c r="U56" s="801"/>
      <c r="V56" s="801"/>
      <c r="W56" s="801"/>
      <c r="X56" s="801"/>
      <c r="Y56" s="801"/>
      <c r="Z56" s="802"/>
      <c r="AA56" s="800" t="str">
        <f>IFERROR(IF(AZ47&gt;AA47-1,IF(INDEX(Lista_Pedidos,AY47+AA47-1,7)&lt;&gt;"","Hilo :     "&amp; INDEX(Lista_Pedidos,AY47+AA47-1,7),""),""),"")</f>
        <v>Hilo :     Negro</v>
      </c>
      <c r="AB56" s="801"/>
      <c r="AC56" s="801"/>
      <c r="AD56" s="801"/>
      <c r="AE56" s="801"/>
      <c r="AF56" s="801"/>
      <c r="AG56" s="801"/>
      <c r="AH56" s="801"/>
      <c r="AI56" s="801"/>
      <c r="AJ56" s="801"/>
      <c r="AK56" s="801"/>
      <c r="AL56" s="801"/>
      <c r="AM56" s="801"/>
      <c r="AN56" s="801"/>
      <c r="AO56" s="801"/>
      <c r="AP56" s="801"/>
      <c r="AQ56" s="801"/>
      <c r="AR56" s="801"/>
      <c r="AS56" s="801"/>
      <c r="AT56" s="801"/>
      <c r="AU56" s="801"/>
      <c r="AV56" s="801"/>
      <c r="AW56" s="801"/>
      <c r="AX56" s="801"/>
      <c r="AY56" s="801"/>
      <c r="AZ56" s="802"/>
      <c r="BA56" s="800" t="str">
        <f>IFERROR(IF(BZ47&gt;BA47-1,IF(INDEX(Lista_Pedidos,BY47+BA47-1,7)&lt;&gt;"","Hilo :     "&amp; INDEX(Lista_Pedidos,BY47+BA47-1,7),""),""),"")</f>
        <v/>
      </c>
      <c r="BB56" s="801"/>
      <c r="BC56" s="801"/>
      <c r="BD56" s="801"/>
      <c r="BE56" s="801"/>
      <c r="BF56" s="801"/>
      <c r="BG56" s="801"/>
      <c r="BH56" s="801"/>
      <c r="BI56" s="801"/>
      <c r="BJ56" s="801"/>
      <c r="BK56" s="801"/>
      <c r="BL56" s="801"/>
      <c r="BM56" s="801"/>
      <c r="BN56" s="801"/>
      <c r="BO56" s="801"/>
      <c r="BP56" s="801"/>
      <c r="BQ56" s="801"/>
      <c r="BR56" s="801"/>
      <c r="BS56" s="801"/>
      <c r="BT56" s="801"/>
      <c r="BU56" s="801"/>
      <c r="BV56" s="801"/>
      <c r="BW56" s="801"/>
      <c r="BX56" s="801"/>
      <c r="BY56" s="801"/>
      <c r="BZ56" s="802"/>
      <c r="CA56" s="800" t="str">
        <f>IFERROR(IF(CZ47&gt;CA47-1,IF(INDEX(Lista_Pedidos,CY47+CA47-1,7)&lt;&gt;"","Hilo :     "&amp; INDEX(Lista_Pedidos,CY47+CA47-1,7),""),""),"")</f>
        <v/>
      </c>
      <c r="CB56" s="801"/>
      <c r="CC56" s="801"/>
      <c r="CD56" s="801"/>
      <c r="CE56" s="801"/>
      <c r="CF56" s="801"/>
      <c r="CG56" s="801"/>
      <c r="CH56" s="801"/>
      <c r="CI56" s="801"/>
      <c r="CJ56" s="801"/>
      <c r="CK56" s="801"/>
      <c r="CL56" s="801"/>
      <c r="CM56" s="801"/>
      <c r="CN56" s="801"/>
      <c r="CO56" s="801"/>
      <c r="CP56" s="801"/>
      <c r="CQ56" s="801"/>
      <c r="CR56" s="801"/>
      <c r="CS56" s="801"/>
      <c r="CT56" s="801"/>
      <c r="CU56" s="801"/>
      <c r="CV56" s="801"/>
      <c r="CW56" s="801"/>
      <c r="CX56" s="801"/>
      <c r="CY56" s="801"/>
      <c r="CZ56" s="802"/>
      <c r="DA56" s="800" t="str">
        <f>IFERROR(IF(DZ47&gt;DA47-1,IF(INDEX(Lista_Pedidos,DY47+DA47-1,7)&lt;&gt;"","Hilo :     "&amp; INDEX(Lista_Pedidos,DY47+DA47-1,7),""),""),"")</f>
        <v/>
      </c>
      <c r="DB56" s="801"/>
      <c r="DC56" s="801"/>
      <c r="DD56" s="801"/>
      <c r="DE56" s="801"/>
      <c r="DF56" s="801"/>
      <c r="DG56" s="801"/>
      <c r="DH56" s="801"/>
      <c r="DI56" s="801"/>
      <c r="DJ56" s="801"/>
      <c r="DK56" s="801"/>
      <c r="DL56" s="801"/>
      <c r="DM56" s="801"/>
      <c r="DN56" s="801"/>
      <c r="DO56" s="801"/>
      <c r="DP56" s="801"/>
      <c r="DQ56" s="801"/>
      <c r="DR56" s="801"/>
      <c r="DS56" s="801"/>
      <c r="DT56" s="801"/>
      <c r="DU56" s="801"/>
      <c r="DV56" s="801"/>
      <c r="DW56" s="801"/>
      <c r="DX56" s="801"/>
      <c r="DY56" s="801"/>
      <c r="DZ56" s="802"/>
      <c r="EA56" s="800" t="str">
        <f>IFERROR(IF(EZ47&gt;EA47-1,IF(INDEX(Lista_Pedidos,EY47+EA47-1,7)&lt;&gt;"","Hilo :     "&amp; INDEX(Lista_Pedidos,EY47+EA47-1,7),""),""),"")</f>
        <v/>
      </c>
      <c r="EB56" s="801"/>
      <c r="EC56" s="801"/>
      <c r="ED56" s="801"/>
      <c r="EE56" s="801"/>
      <c r="EF56" s="801"/>
      <c r="EG56" s="801"/>
      <c r="EH56" s="801"/>
      <c r="EI56" s="801"/>
      <c r="EJ56" s="801"/>
      <c r="EK56" s="801"/>
      <c r="EL56" s="801"/>
      <c r="EM56" s="801"/>
      <c r="EN56" s="801"/>
      <c r="EO56" s="801"/>
      <c r="EP56" s="801"/>
      <c r="EQ56" s="801"/>
      <c r="ER56" s="801"/>
      <c r="ES56" s="801"/>
      <c r="ET56" s="801"/>
      <c r="EU56" s="801"/>
      <c r="EV56" s="801"/>
      <c r="EW56" s="801"/>
      <c r="EX56" s="801"/>
      <c r="EY56" s="801"/>
      <c r="EZ56" s="802"/>
      <c r="FA56" s="800" t="str">
        <f>IFERROR(IF(FZ47&gt;FA47-1,IF(INDEX(Lista_Pedidos,FY47+FA47-1,7)&lt;&gt;"","Hilo :     "&amp; INDEX(Lista_Pedidos,FY47+FA47-1,7),""),""),"")</f>
        <v/>
      </c>
      <c r="FB56" s="801"/>
      <c r="FC56" s="801"/>
      <c r="FD56" s="801"/>
      <c r="FE56" s="801"/>
      <c r="FF56" s="801"/>
      <c r="FG56" s="801"/>
      <c r="FH56" s="801"/>
      <c r="FI56" s="801"/>
      <c r="FJ56" s="801"/>
      <c r="FK56" s="801"/>
      <c r="FL56" s="801"/>
      <c r="FM56" s="801"/>
      <c r="FN56" s="801"/>
      <c r="FO56" s="801"/>
      <c r="FP56" s="801"/>
      <c r="FQ56" s="801"/>
      <c r="FR56" s="801"/>
      <c r="FS56" s="801"/>
      <c r="FT56" s="801"/>
      <c r="FU56" s="801"/>
      <c r="FV56" s="801"/>
      <c r="FW56" s="801"/>
      <c r="FX56" s="801"/>
      <c r="FY56" s="801"/>
      <c r="FZ56" s="802"/>
      <c r="GA56" s="800" t="str">
        <f>IFERROR(IF(GZ47&gt;GA47-1,IF(INDEX(Lista_Pedidos,GY47+GA47-1,7)&lt;&gt;"","Hilo :     "&amp; INDEX(Lista_Pedidos,GY47+GA47-1,7),""),""),"")</f>
        <v/>
      </c>
      <c r="GB56" s="801"/>
      <c r="GC56" s="801"/>
      <c r="GD56" s="801"/>
      <c r="GE56" s="801"/>
      <c r="GF56" s="801"/>
      <c r="GG56" s="801"/>
      <c r="GH56" s="801"/>
      <c r="GI56" s="801"/>
      <c r="GJ56" s="801"/>
      <c r="GK56" s="801"/>
      <c r="GL56" s="801"/>
      <c r="GM56" s="801"/>
      <c r="GN56" s="801"/>
      <c r="GO56" s="801"/>
      <c r="GP56" s="801"/>
      <c r="GQ56" s="801"/>
      <c r="GR56" s="801"/>
      <c r="GS56" s="801"/>
      <c r="GT56" s="801"/>
      <c r="GU56" s="801"/>
      <c r="GV56" s="801"/>
      <c r="GW56" s="801"/>
      <c r="GX56" s="801"/>
      <c r="GY56" s="801"/>
      <c r="GZ56" s="802"/>
      <c r="HA56" s="800" t="str">
        <f>IFERROR(IF(HZ47&gt;HA47-1,IF(INDEX(Lista_Pedidos,HY47+HA47-1,7)&lt;&gt;"","Hilo :     "&amp; INDEX(Lista_Pedidos,HY47+HA47-1,7),""),""),"")</f>
        <v/>
      </c>
      <c r="HB56" s="801"/>
      <c r="HC56" s="801"/>
      <c r="HD56" s="801"/>
      <c r="HE56" s="801"/>
      <c r="HF56" s="801"/>
      <c r="HG56" s="801"/>
      <c r="HH56" s="801"/>
      <c r="HI56" s="801"/>
      <c r="HJ56" s="801"/>
      <c r="HK56" s="801"/>
      <c r="HL56" s="801"/>
      <c r="HM56" s="801"/>
      <c r="HN56" s="801"/>
      <c r="HO56" s="801"/>
      <c r="HP56" s="801"/>
      <c r="HQ56" s="801"/>
      <c r="HR56" s="801"/>
      <c r="HS56" s="801"/>
      <c r="HT56" s="801"/>
      <c r="HU56" s="801"/>
      <c r="HV56" s="801"/>
      <c r="HW56" s="801"/>
      <c r="HX56" s="801"/>
      <c r="HY56" s="801"/>
      <c r="HZ56" s="802"/>
      <c r="IA56" s="800" t="str">
        <f>IFERROR(IF(IZ47&gt;IA47-1,IF(INDEX(Lista_Pedidos,IY47+IA47-1,7)&lt;&gt;"","Hilo :     "&amp; INDEX(Lista_Pedidos,IY47+IA47-1,7),""),""),"")</f>
        <v/>
      </c>
      <c r="IB56" s="801"/>
      <c r="IC56" s="801"/>
      <c r="ID56" s="801"/>
      <c r="IE56" s="801"/>
      <c r="IF56" s="801"/>
      <c r="IG56" s="801"/>
      <c r="IH56" s="801"/>
      <c r="II56" s="801"/>
      <c r="IJ56" s="801"/>
      <c r="IK56" s="801"/>
      <c r="IL56" s="801"/>
      <c r="IM56" s="801"/>
      <c r="IN56" s="801"/>
      <c r="IO56" s="801"/>
      <c r="IP56" s="801"/>
      <c r="IQ56" s="801"/>
      <c r="IR56" s="801"/>
      <c r="IS56" s="801"/>
      <c r="IT56" s="801"/>
      <c r="IU56" s="801"/>
      <c r="IV56" s="801"/>
      <c r="IW56" s="801"/>
      <c r="IX56" s="801"/>
      <c r="IY56" s="801"/>
      <c r="IZ56" s="802"/>
    </row>
    <row r="57" spans="1:260" x14ac:dyDescent="0.25">
      <c r="A57" s="800" t="str">
        <f>IFERROR(IF(Z47&gt;A47-1,IF(INDEX(Lista_Pedidos,Y47+A47-1,8)&lt;&gt;"","Forro :     "&amp; INDEX(Lista_Pedidos,Y47+A47-1,8),""),""),"")</f>
        <v/>
      </c>
      <c r="B57" s="801"/>
      <c r="C57" s="801"/>
      <c r="D57" s="801"/>
      <c r="E57" s="801"/>
      <c r="F57" s="801"/>
      <c r="G57" s="801"/>
      <c r="H57" s="801"/>
      <c r="I57" s="801"/>
      <c r="J57" s="801"/>
      <c r="K57" s="801"/>
      <c r="L57" s="801"/>
      <c r="M57" s="801"/>
      <c r="N57" s="801"/>
      <c r="O57" s="801"/>
      <c r="P57" s="801"/>
      <c r="Q57" s="801"/>
      <c r="R57" s="801"/>
      <c r="S57" s="801"/>
      <c r="T57" s="801"/>
      <c r="U57" s="801"/>
      <c r="V57" s="801"/>
      <c r="W57" s="801"/>
      <c r="X57" s="801"/>
      <c r="Y57" s="801"/>
      <c r="Z57" s="802"/>
      <c r="AA57" s="800" t="str">
        <f>IFERROR(IF(AZ47&gt;AA47-1,IF(INDEX(Lista_Pedidos,AY47+AA47-1,8)&lt;&gt;"","Forro :     "&amp; INDEX(Lista_Pedidos,AY47+AA47-1,8),""),""),"")</f>
        <v/>
      </c>
      <c r="AB57" s="801"/>
      <c r="AC57" s="801"/>
      <c r="AD57" s="801"/>
      <c r="AE57" s="801"/>
      <c r="AF57" s="801"/>
      <c r="AG57" s="801"/>
      <c r="AH57" s="801"/>
      <c r="AI57" s="801"/>
      <c r="AJ57" s="801"/>
      <c r="AK57" s="801"/>
      <c r="AL57" s="801"/>
      <c r="AM57" s="801"/>
      <c r="AN57" s="801"/>
      <c r="AO57" s="801"/>
      <c r="AP57" s="801"/>
      <c r="AQ57" s="801"/>
      <c r="AR57" s="801"/>
      <c r="AS57" s="801"/>
      <c r="AT57" s="801"/>
      <c r="AU57" s="801"/>
      <c r="AV57" s="801"/>
      <c r="AW57" s="801"/>
      <c r="AX57" s="801"/>
      <c r="AY57" s="801"/>
      <c r="AZ57" s="802"/>
      <c r="BA57" s="800" t="str">
        <f>IFERROR(IF(BZ47&gt;BA47-1,IF(INDEX(Lista_Pedidos,BY47+BA47-1,8)&lt;&gt;"","Forro :     "&amp; INDEX(Lista_Pedidos,BY47+BA47-1,8),""),""),"")</f>
        <v/>
      </c>
      <c r="BB57" s="801"/>
      <c r="BC57" s="801"/>
      <c r="BD57" s="801"/>
      <c r="BE57" s="801"/>
      <c r="BF57" s="801"/>
      <c r="BG57" s="801"/>
      <c r="BH57" s="801"/>
      <c r="BI57" s="801"/>
      <c r="BJ57" s="801"/>
      <c r="BK57" s="801"/>
      <c r="BL57" s="801"/>
      <c r="BM57" s="801"/>
      <c r="BN57" s="801"/>
      <c r="BO57" s="801"/>
      <c r="BP57" s="801"/>
      <c r="BQ57" s="801"/>
      <c r="BR57" s="801"/>
      <c r="BS57" s="801"/>
      <c r="BT57" s="801"/>
      <c r="BU57" s="801"/>
      <c r="BV57" s="801"/>
      <c r="BW57" s="801"/>
      <c r="BX57" s="801"/>
      <c r="BY57" s="801"/>
      <c r="BZ57" s="802"/>
      <c r="CA57" s="800" t="str">
        <f>IFERROR(IF(CZ47&gt;CA47-1,IF(INDEX(Lista_Pedidos,CY47+CA47-1,8)&lt;&gt;"","Forro :     "&amp; INDEX(Lista_Pedidos,CY47+CA47-1,8),""),""),"")</f>
        <v/>
      </c>
      <c r="CB57" s="801"/>
      <c r="CC57" s="801"/>
      <c r="CD57" s="801"/>
      <c r="CE57" s="801"/>
      <c r="CF57" s="801"/>
      <c r="CG57" s="801"/>
      <c r="CH57" s="801"/>
      <c r="CI57" s="801"/>
      <c r="CJ57" s="801"/>
      <c r="CK57" s="801"/>
      <c r="CL57" s="801"/>
      <c r="CM57" s="801"/>
      <c r="CN57" s="801"/>
      <c r="CO57" s="801"/>
      <c r="CP57" s="801"/>
      <c r="CQ57" s="801"/>
      <c r="CR57" s="801"/>
      <c r="CS57" s="801"/>
      <c r="CT57" s="801"/>
      <c r="CU57" s="801"/>
      <c r="CV57" s="801"/>
      <c r="CW57" s="801"/>
      <c r="CX57" s="801"/>
      <c r="CY57" s="801"/>
      <c r="CZ57" s="802"/>
      <c r="DA57" s="800" t="str">
        <f>IFERROR(IF(DZ47&gt;DA47-1,IF(INDEX(Lista_Pedidos,DY47+DA47-1,8)&lt;&gt;"","Forro :     "&amp; INDEX(Lista_Pedidos,DY47+DA47-1,8),""),""),"")</f>
        <v/>
      </c>
      <c r="DB57" s="801"/>
      <c r="DC57" s="801"/>
      <c r="DD57" s="801"/>
      <c r="DE57" s="801"/>
      <c r="DF57" s="801"/>
      <c r="DG57" s="801"/>
      <c r="DH57" s="801"/>
      <c r="DI57" s="801"/>
      <c r="DJ57" s="801"/>
      <c r="DK57" s="801"/>
      <c r="DL57" s="801"/>
      <c r="DM57" s="801"/>
      <c r="DN57" s="801"/>
      <c r="DO57" s="801"/>
      <c r="DP57" s="801"/>
      <c r="DQ57" s="801"/>
      <c r="DR57" s="801"/>
      <c r="DS57" s="801"/>
      <c r="DT57" s="801"/>
      <c r="DU57" s="801"/>
      <c r="DV57" s="801"/>
      <c r="DW57" s="801"/>
      <c r="DX57" s="801"/>
      <c r="DY57" s="801"/>
      <c r="DZ57" s="802"/>
      <c r="EA57" s="800" t="str">
        <f>IFERROR(IF(EZ47&gt;EA47-1,IF(INDEX(Lista_Pedidos,EY47+EA47-1,8)&lt;&gt;"","Forro :     "&amp; INDEX(Lista_Pedidos,EY47+EA47-1,8),""),""),"")</f>
        <v/>
      </c>
      <c r="EB57" s="801"/>
      <c r="EC57" s="801"/>
      <c r="ED57" s="801"/>
      <c r="EE57" s="801"/>
      <c r="EF57" s="801"/>
      <c r="EG57" s="801"/>
      <c r="EH57" s="801"/>
      <c r="EI57" s="801"/>
      <c r="EJ57" s="801"/>
      <c r="EK57" s="801"/>
      <c r="EL57" s="801"/>
      <c r="EM57" s="801"/>
      <c r="EN57" s="801"/>
      <c r="EO57" s="801"/>
      <c r="EP57" s="801"/>
      <c r="EQ57" s="801"/>
      <c r="ER57" s="801"/>
      <c r="ES57" s="801"/>
      <c r="ET57" s="801"/>
      <c r="EU57" s="801"/>
      <c r="EV57" s="801"/>
      <c r="EW57" s="801"/>
      <c r="EX57" s="801"/>
      <c r="EY57" s="801"/>
      <c r="EZ57" s="802"/>
      <c r="FA57" s="800" t="str">
        <f>IFERROR(IF(FZ47&gt;FA47-1,IF(INDEX(Lista_Pedidos,FY47+FA47-1,8)&lt;&gt;"","Forro :     "&amp; INDEX(Lista_Pedidos,FY47+FA47-1,8),""),""),"")</f>
        <v/>
      </c>
      <c r="FB57" s="801"/>
      <c r="FC57" s="801"/>
      <c r="FD57" s="801"/>
      <c r="FE57" s="801"/>
      <c r="FF57" s="801"/>
      <c r="FG57" s="801"/>
      <c r="FH57" s="801"/>
      <c r="FI57" s="801"/>
      <c r="FJ57" s="801"/>
      <c r="FK57" s="801"/>
      <c r="FL57" s="801"/>
      <c r="FM57" s="801"/>
      <c r="FN57" s="801"/>
      <c r="FO57" s="801"/>
      <c r="FP57" s="801"/>
      <c r="FQ57" s="801"/>
      <c r="FR57" s="801"/>
      <c r="FS57" s="801"/>
      <c r="FT57" s="801"/>
      <c r="FU57" s="801"/>
      <c r="FV57" s="801"/>
      <c r="FW57" s="801"/>
      <c r="FX57" s="801"/>
      <c r="FY57" s="801"/>
      <c r="FZ57" s="802"/>
      <c r="GA57" s="800" t="str">
        <f>IFERROR(IF(GZ47&gt;GA47-1,IF(INDEX(Lista_Pedidos,GY47+GA47-1,8)&lt;&gt;"","Forro :     "&amp; INDEX(Lista_Pedidos,GY47+GA47-1,8),""),""),"")</f>
        <v/>
      </c>
      <c r="GB57" s="801"/>
      <c r="GC57" s="801"/>
      <c r="GD57" s="801"/>
      <c r="GE57" s="801"/>
      <c r="GF57" s="801"/>
      <c r="GG57" s="801"/>
      <c r="GH57" s="801"/>
      <c r="GI57" s="801"/>
      <c r="GJ57" s="801"/>
      <c r="GK57" s="801"/>
      <c r="GL57" s="801"/>
      <c r="GM57" s="801"/>
      <c r="GN57" s="801"/>
      <c r="GO57" s="801"/>
      <c r="GP57" s="801"/>
      <c r="GQ57" s="801"/>
      <c r="GR57" s="801"/>
      <c r="GS57" s="801"/>
      <c r="GT57" s="801"/>
      <c r="GU57" s="801"/>
      <c r="GV57" s="801"/>
      <c r="GW57" s="801"/>
      <c r="GX57" s="801"/>
      <c r="GY57" s="801"/>
      <c r="GZ57" s="802"/>
      <c r="HA57" s="800" t="str">
        <f>IFERROR(IF(HZ47&gt;HA47-1,IF(INDEX(Lista_Pedidos,HY47+HA47-1,8)&lt;&gt;"","Forro :     "&amp; INDEX(Lista_Pedidos,HY47+HA47-1,8),""),""),"")</f>
        <v/>
      </c>
      <c r="HB57" s="801"/>
      <c r="HC57" s="801"/>
      <c r="HD57" s="801"/>
      <c r="HE57" s="801"/>
      <c r="HF57" s="801"/>
      <c r="HG57" s="801"/>
      <c r="HH57" s="801"/>
      <c r="HI57" s="801"/>
      <c r="HJ57" s="801"/>
      <c r="HK57" s="801"/>
      <c r="HL57" s="801"/>
      <c r="HM57" s="801"/>
      <c r="HN57" s="801"/>
      <c r="HO57" s="801"/>
      <c r="HP57" s="801"/>
      <c r="HQ57" s="801"/>
      <c r="HR57" s="801"/>
      <c r="HS57" s="801"/>
      <c r="HT57" s="801"/>
      <c r="HU57" s="801"/>
      <c r="HV57" s="801"/>
      <c r="HW57" s="801"/>
      <c r="HX57" s="801"/>
      <c r="HY57" s="801"/>
      <c r="HZ57" s="802"/>
      <c r="IA57" s="800" t="str">
        <f>IFERROR(IF(IZ47&gt;IA47-1,IF(INDEX(Lista_Pedidos,IY47+IA47-1,8)&lt;&gt;"","Forro :     "&amp; INDEX(Lista_Pedidos,IY47+IA47-1,8),""),""),"")</f>
        <v/>
      </c>
      <c r="IB57" s="801"/>
      <c r="IC57" s="801"/>
      <c r="ID57" s="801"/>
      <c r="IE57" s="801"/>
      <c r="IF57" s="801"/>
      <c r="IG57" s="801"/>
      <c r="IH57" s="801"/>
      <c r="II57" s="801"/>
      <c r="IJ57" s="801"/>
      <c r="IK57" s="801"/>
      <c r="IL57" s="801"/>
      <c r="IM57" s="801"/>
      <c r="IN57" s="801"/>
      <c r="IO57" s="801"/>
      <c r="IP57" s="801"/>
      <c r="IQ57" s="801"/>
      <c r="IR57" s="801"/>
      <c r="IS57" s="801"/>
      <c r="IT57" s="801"/>
      <c r="IU57" s="801"/>
      <c r="IV57" s="801"/>
      <c r="IW57" s="801"/>
      <c r="IX57" s="801"/>
      <c r="IY57" s="801"/>
      <c r="IZ57" s="802"/>
    </row>
    <row r="58" spans="1:260" x14ac:dyDescent="0.25">
      <c r="A58" s="800" t="str">
        <f>IF(A$5="Cliente Especial : NEON",IF(Z47&gt;A47-1,"Neon :      Si",""),"")</f>
        <v/>
      </c>
      <c r="B58" s="801"/>
      <c r="C58" s="801"/>
      <c r="D58" s="801"/>
      <c r="E58" s="801"/>
      <c r="F58" s="801"/>
      <c r="G58" s="801"/>
      <c r="H58" s="801"/>
      <c r="I58" s="801"/>
      <c r="J58" s="801"/>
      <c r="K58" s="801"/>
      <c r="L58" s="801"/>
      <c r="M58" s="801"/>
      <c r="N58" s="801"/>
      <c r="O58" s="801"/>
      <c r="P58" s="801"/>
      <c r="Q58" s="801"/>
      <c r="R58" s="801"/>
      <c r="S58" s="801"/>
      <c r="T58" s="801"/>
      <c r="U58" s="801"/>
      <c r="V58" s="801"/>
      <c r="W58" s="801"/>
      <c r="X58" s="801"/>
      <c r="Y58" s="801"/>
      <c r="Z58" s="802"/>
      <c r="AA58" s="800" t="str">
        <f>IF(AA$5="Cliente Especial : NEON",IF(AZ47&gt;AA47-1,"Neon :      Si",""),"")</f>
        <v/>
      </c>
      <c r="AB58" s="801"/>
      <c r="AC58" s="801"/>
      <c r="AD58" s="801"/>
      <c r="AE58" s="801"/>
      <c r="AF58" s="801"/>
      <c r="AG58" s="801"/>
      <c r="AH58" s="801"/>
      <c r="AI58" s="801"/>
      <c r="AJ58" s="801"/>
      <c r="AK58" s="801"/>
      <c r="AL58" s="801"/>
      <c r="AM58" s="801"/>
      <c r="AN58" s="801"/>
      <c r="AO58" s="801"/>
      <c r="AP58" s="801"/>
      <c r="AQ58" s="801"/>
      <c r="AR58" s="801"/>
      <c r="AS58" s="801"/>
      <c r="AT58" s="801"/>
      <c r="AU58" s="801"/>
      <c r="AV58" s="801"/>
      <c r="AW58" s="801"/>
      <c r="AX58" s="801"/>
      <c r="AY58" s="801"/>
      <c r="AZ58" s="802"/>
      <c r="BA58" s="800" t="str">
        <f>IF(BA$5="Cliente Especial : NEON",IF(BZ47&gt;BA47-1,"Neon :      Si",""),"")</f>
        <v/>
      </c>
      <c r="BB58" s="801"/>
      <c r="BC58" s="801"/>
      <c r="BD58" s="801"/>
      <c r="BE58" s="801"/>
      <c r="BF58" s="801"/>
      <c r="BG58" s="801"/>
      <c r="BH58" s="801"/>
      <c r="BI58" s="801"/>
      <c r="BJ58" s="801"/>
      <c r="BK58" s="801"/>
      <c r="BL58" s="801"/>
      <c r="BM58" s="801"/>
      <c r="BN58" s="801"/>
      <c r="BO58" s="801"/>
      <c r="BP58" s="801"/>
      <c r="BQ58" s="801"/>
      <c r="BR58" s="801"/>
      <c r="BS58" s="801"/>
      <c r="BT58" s="801"/>
      <c r="BU58" s="801"/>
      <c r="BV58" s="801"/>
      <c r="BW58" s="801"/>
      <c r="BX58" s="801"/>
      <c r="BY58" s="801"/>
      <c r="BZ58" s="802"/>
      <c r="CA58" s="800" t="str">
        <f>IF(CA$5="Cliente Especial : NEON",IF(CZ47&gt;CA47-1,"Neon :      Si",""),"")</f>
        <v/>
      </c>
      <c r="CB58" s="801"/>
      <c r="CC58" s="801"/>
      <c r="CD58" s="801"/>
      <c r="CE58" s="801"/>
      <c r="CF58" s="801"/>
      <c r="CG58" s="801"/>
      <c r="CH58" s="801"/>
      <c r="CI58" s="801"/>
      <c r="CJ58" s="801"/>
      <c r="CK58" s="801"/>
      <c r="CL58" s="801"/>
      <c r="CM58" s="801"/>
      <c r="CN58" s="801"/>
      <c r="CO58" s="801"/>
      <c r="CP58" s="801"/>
      <c r="CQ58" s="801"/>
      <c r="CR58" s="801"/>
      <c r="CS58" s="801"/>
      <c r="CT58" s="801"/>
      <c r="CU58" s="801"/>
      <c r="CV58" s="801"/>
      <c r="CW58" s="801"/>
      <c r="CX58" s="801"/>
      <c r="CY58" s="801"/>
      <c r="CZ58" s="802"/>
      <c r="DA58" s="800" t="str">
        <f>IF(DA$5="Cliente Especial : NEON",IF(DZ47&gt;DA47-1,"Neon :      Si",""),"")</f>
        <v/>
      </c>
      <c r="DB58" s="801"/>
      <c r="DC58" s="801"/>
      <c r="DD58" s="801"/>
      <c r="DE58" s="801"/>
      <c r="DF58" s="801"/>
      <c r="DG58" s="801"/>
      <c r="DH58" s="801"/>
      <c r="DI58" s="801"/>
      <c r="DJ58" s="801"/>
      <c r="DK58" s="801"/>
      <c r="DL58" s="801"/>
      <c r="DM58" s="801"/>
      <c r="DN58" s="801"/>
      <c r="DO58" s="801"/>
      <c r="DP58" s="801"/>
      <c r="DQ58" s="801"/>
      <c r="DR58" s="801"/>
      <c r="DS58" s="801"/>
      <c r="DT58" s="801"/>
      <c r="DU58" s="801"/>
      <c r="DV58" s="801"/>
      <c r="DW58" s="801"/>
      <c r="DX58" s="801"/>
      <c r="DY58" s="801"/>
      <c r="DZ58" s="802"/>
      <c r="EA58" s="800" t="str">
        <f>IF(EA$5="Cliente Especial : NEON",IF(EZ47&gt;EA47-1,"Neon :      Si",""),"")</f>
        <v/>
      </c>
      <c r="EB58" s="801"/>
      <c r="EC58" s="801"/>
      <c r="ED58" s="801"/>
      <c r="EE58" s="801"/>
      <c r="EF58" s="801"/>
      <c r="EG58" s="801"/>
      <c r="EH58" s="801"/>
      <c r="EI58" s="801"/>
      <c r="EJ58" s="801"/>
      <c r="EK58" s="801"/>
      <c r="EL58" s="801"/>
      <c r="EM58" s="801"/>
      <c r="EN58" s="801"/>
      <c r="EO58" s="801"/>
      <c r="EP58" s="801"/>
      <c r="EQ58" s="801"/>
      <c r="ER58" s="801"/>
      <c r="ES58" s="801"/>
      <c r="ET58" s="801"/>
      <c r="EU58" s="801"/>
      <c r="EV58" s="801"/>
      <c r="EW58" s="801"/>
      <c r="EX58" s="801"/>
      <c r="EY58" s="801"/>
      <c r="EZ58" s="802"/>
      <c r="FA58" s="800" t="str">
        <f>IF(FA$5="Cliente Especial : NEON",IF(FZ47&gt;FA47-1,"Neon :      Si",""),"")</f>
        <v/>
      </c>
      <c r="FB58" s="801"/>
      <c r="FC58" s="801"/>
      <c r="FD58" s="801"/>
      <c r="FE58" s="801"/>
      <c r="FF58" s="801"/>
      <c r="FG58" s="801"/>
      <c r="FH58" s="801"/>
      <c r="FI58" s="801"/>
      <c r="FJ58" s="801"/>
      <c r="FK58" s="801"/>
      <c r="FL58" s="801"/>
      <c r="FM58" s="801"/>
      <c r="FN58" s="801"/>
      <c r="FO58" s="801"/>
      <c r="FP58" s="801"/>
      <c r="FQ58" s="801"/>
      <c r="FR58" s="801"/>
      <c r="FS58" s="801"/>
      <c r="FT58" s="801"/>
      <c r="FU58" s="801"/>
      <c r="FV58" s="801"/>
      <c r="FW58" s="801"/>
      <c r="FX58" s="801"/>
      <c r="FY58" s="801"/>
      <c r="FZ58" s="802"/>
      <c r="GA58" s="800" t="str">
        <f>IF(GA$5="Cliente Especial : NEON",IF(GZ47&gt;GA47-1,"Neon :      Si",""),"")</f>
        <v/>
      </c>
      <c r="GB58" s="801"/>
      <c r="GC58" s="801"/>
      <c r="GD58" s="801"/>
      <c r="GE58" s="801"/>
      <c r="GF58" s="801"/>
      <c r="GG58" s="801"/>
      <c r="GH58" s="801"/>
      <c r="GI58" s="801"/>
      <c r="GJ58" s="801"/>
      <c r="GK58" s="801"/>
      <c r="GL58" s="801"/>
      <c r="GM58" s="801"/>
      <c r="GN58" s="801"/>
      <c r="GO58" s="801"/>
      <c r="GP58" s="801"/>
      <c r="GQ58" s="801"/>
      <c r="GR58" s="801"/>
      <c r="GS58" s="801"/>
      <c r="GT58" s="801"/>
      <c r="GU58" s="801"/>
      <c r="GV58" s="801"/>
      <c r="GW58" s="801"/>
      <c r="GX58" s="801"/>
      <c r="GY58" s="801"/>
      <c r="GZ58" s="802"/>
      <c r="HA58" s="800" t="str">
        <f>IF(HA$5="Cliente Especial : NEON",IF(HZ47&gt;HA47-1,"Neon :      Si",""),"")</f>
        <v/>
      </c>
      <c r="HB58" s="801"/>
      <c r="HC58" s="801"/>
      <c r="HD58" s="801"/>
      <c r="HE58" s="801"/>
      <c r="HF58" s="801"/>
      <c r="HG58" s="801"/>
      <c r="HH58" s="801"/>
      <c r="HI58" s="801"/>
      <c r="HJ58" s="801"/>
      <c r="HK58" s="801"/>
      <c r="HL58" s="801"/>
      <c r="HM58" s="801"/>
      <c r="HN58" s="801"/>
      <c r="HO58" s="801"/>
      <c r="HP58" s="801"/>
      <c r="HQ58" s="801"/>
      <c r="HR58" s="801"/>
      <c r="HS58" s="801"/>
      <c r="HT58" s="801"/>
      <c r="HU58" s="801"/>
      <c r="HV58" s="801"/>
      <c r="HW58" s="801"/>
      <c r="HX58" s="801"/>
      <c r="HY58" s="801"/>
      <c r="HZ58" s="802"/>
      <c r="IA58" s="800" t="str">
        <f>IF(IA$5="Cliente Especial : NEON",IF(IZ47&gt;IA47-1,"Neon :      Si",""),"")</f>
        <v/>
      </c>
      <c r="IB58" s="801"/>
      <c r="IC58" s="801"/>
      <c r="ID58" s="801"/>
      <c r="IE58" s="801"/>
      <c r="IF58" s="801"/>
      <c r="IG58" s="801"/>
      <c r="IH58" s="801"/>
      <c r="II58" s="801"/>
      <c r="IJ58" s="801"/>
      <c r="IK58" s="801"/>
      <c r="IL58" s="801"/>
      <c r="IM58" s="801"/>
      <c r="IN58" s="801"/>
      <c r="IO58" s="801"/>
      <c r="IP58" s="801"/>
      <c r="IQ58" s="801"/>
      <c r="IR58" s="801"/>
      <c r="IS58" s="801"/>
      <c r="IT58" s="801"/>
      <c r="IU58" s="801"/>
      <c r="IV58" s="801"/>
      <c r="IW58" s="801"/>
      <c r="IX58" s="801"/>
      <c r="IY58" s="801"/>
      <c r="IZ58" s="802"/>
    </row>
    <row r="59" spans="1:260" x14ac:dyDescent="0.25">
      <c r="A59" s="800" t="str">
        <f>IFERROR(IF(Z47&gt;A47-1,IF(INDEX(Pedidos!J:AZ,Y47+A47-1,9)&lt;&gt;"","Cierre :     "&amp; INDEX(Pedidos!J:AZ,Y47+A47-1,9),""),""),"")</f>
        <v/>
      </c>
      <c r="B59" s="801"/>
      <c r="C59" s="801"/>
      <c r="D59" s="801"/>
      <c r="E59" s="801"/>
      <c r="F59" s="801"/>
      <c r="G59" s="801"/>
      <c r="H59" s="801"/>
      <c r="I59" s="801"/>
      <c r="J59" s="801"/>
      <c r="K59" s="801"/>
      <c r="L59" s="801"/>
      <c r="M59" s="801"/>
      <c r="N59" s="801"/>
      <c r="O59" s="801"/>
      <c r="P59" s="801"/>
      <c r="Q59" s="801"/>
      <c r="R59" s="801"/>
      <c r="S59" s="801"/>
      <c r="T59" s="801"/>
      <c r="U59" s="801"/>
      <c r="V59" s="801"/>
      <c r="W59" s="801"/>
      <c r="X59" s="801"/>
      <c r="Y59" s="801"/>
      <c r="Z59" s="802"/>
      <c r="AA59" s="800" t="str">
        <f>IFERROR(IF(AZ47&gt;AA47-1,IF(INDEX(Pedidos!AJ:BZ,AY47+AA47-1,9)&lt;&gt;"","Cierre :     "&amp; INDEX(Pedidos!AJ:BZ,AY47+AA47-1,9),""),""),"")</f>
        <v/>
      </c>
      <c r="AB59" s="801"/>
      <c r="AC59" s="801"/>
      <c r="AD59" s="801"/>
      <c r="AE59" s="801"/>
      <c r="AF59" s="801"/>
      <c r="AG59" s="801"/>
      <c r="AH59" s="801"/>
      <c r="AI59" s="801"/>
      <c r="AJ59" s="801"/>
      <c r="AK59" s="801"/>
      <c r="AL59" s="801"/>
      <c r="AM59" s="801"/>
      <c r="AN59" s="801"/>
      <c r="AO59" s="801"/>
      <c r="AP59" s="801"/>
      <c r="AQ59" s="801"/>
      <c r="AR59" s="801"/>
      <c r="AS59" s="801"/>
      <c r="AT59" s="801"/>
      <c r="AU59" s="801"/>
      <c r="AV59" s="801"/>
      <c r="AW59" s="801"/>
      <c r="AX59" s="801"/>
      <c r="AY59" s="801"/>
      <c r="AZ59" s="802"/>
      <c r="BA59" s="800" t="str">
        <f>IFERROR(IF(BZ47&gt;BA47-1,IF(INDEX(Pedidos!BJ:CZ,BY47+BA47-1,9)&lt;&gt;"","Cierre :     "&amp; INDEX(Pedidos!BJ:CZ,BY47+BA47-1,9),""),""),"")</f>
        <v/>
      </c>
      <c r="BB59" s="801"/>
      <c r="BC59" s="801"/>
      <c r="BD59" s="801"/>
      <c r="BE59" s="801"/>
      <c r="BF59" s="801"/>
      <c r="BG59" s="801"/>
      <c r="BH59" s="801"/>
      <c r="BI59" s="801"/>
      <c r="BJ59" s="801"/>
      <c r="BK59" s="801"/>
      <c r="BL59" s="801"/>
      <c r="BM59" s="801"/>
      <c r="BN59" s="801"/>
      <c r="BO59" s="801"/>
      <c r="BP59" s="801"/>
      <c r="BQ59" s="801"/>
      <c r="BR59" s="801"/>
      <c r="BS59" s="801"/>
      <c r="BT59" s="801"/>
      <c r="BU59" s="801"/>
      <c r="BV59" s="801"/>
      <c r="BW59" s="801"/>
      <c r="BX59" s="801"/>
      <c r="BY59" s="801"/>
      <c r="BZ59" s="802"/>
      <c r="CA59" s="800" t="str">
        <f>IFERROR(IF(CZ47&gt;CA47-1,IF(INDEX(Pedidos!CJ:DZ,CY47+CA47-1,9)&lt;&gt;"","Cierre :     "&amp; INDEX(Pedidos!CJ:DZ,CY47+CA47-1,9),""),""),"")</f>
        <v/>
      </c>
      <c r="CB59" s="801"/>
      <c r="CC59" s="801"/>
      <c r="CD59" s="801"/>
      <c r="CE59" s="801"/>
      <c r="CF59" s="801"/>
      <c r="CG59" s="801"/>
      <c r="CH59" s="801"/>
      <c r="CI59" s="801"/>
      <c r="CJ59" s="801"/>
      <c r="CK59" s="801"/>
      <c r="CL59" s="801"/>
      <c r="CM59" s="801"/>
      <c r="CN59" s="801"/>
      <c r="CO59" s="801"/>
      <c r="CP59" s="801"/>
      <c r="CQ59" s="801"/>
      <c r="CR59" s="801"/>
      <c r="CS59" s="801"/>
      <c r="CT59" s="801"/>
      <c r="CU59" s="801"/>
      <c r="CV59" s="801"/>
      <c r="CW59" s="801"/>
      <c r="CX59" s="801"/>
      <c r="CY59" s="801"/>
      <c r="CZ59" s="802"/>
      <c r="DA59" s="800" t="str">
        <f>IFERROR(IF(DZ47&gt;DA47-1,IF(INDEX(Pedidos!DJ:EZ,DY47+DA47-1,9)&lt;&gt;"","Cierre :     "&amp; INDEX(Pedidos!DJ:EZ,DY47+DA47-1,9),""),""),"")</f>
        <v/>
      </c>
      <c r="DB59" s="801"/>
      <c r="DC59" s="801"/>
      <c r="DD59" s="801"/>
      <c r="DE59" s="801"/>
      <c r="DF59" s="801"/>
      <c r="DG59" s="801"/>
      <c r="DH59" s="801"/>
      <c r="DI59" s="801"/>
      <c r="DJ59" s="801"/>
      <c r="DK59" s="801"/>
      <c r="DL59" s="801"/>
      <c r="DM59" s="801"/>
      <c r="DN59" s="801"/>
      <c r="DO59" s="801"/>
      <c r="DP59" s="801"/>
      <c r="DQ59" s="801"/>
      <c r="DR59" s="801"/>
      <c r="DS59" s="801"/>
      <c r="DT59" s="801"/>
      <c r="DU59" s="801"/>
      <c r="DV59" s="801"/>
      <c r="DW59" s="801"/>
      <c r="DX59" s="801"/>
      <c r="DY59" s="801"/>
      <c r="DZ59" s="802"/>
      <c r="EA59" s="800" t="str">
        <f>IFERROR(IF(EZ47&gt;EA47-1,IF(INDEX(Pedidos!EJ:FZ,EY47+EA47-1,9)&lt;&gt;"","Cierre :     "&amp; INDEX(Pedidos!EJ:FZ,EY47+EA47-1,9),""),""),"")</f>
        <v/>
      </c>
      <c r="EB59" s="801"/>
      <c r="EC59" s="801"/>
      <c r="ED59" s="801"/>
      <c r="EE59" s="801"/>
      <c r="EF59" s="801"/>
      <c r="EG59" s="801"/>
      <c r="EH59" s="801"/>
      <c r="EI59" s="801"/>
      <c r="EJ59" s="801"/>
      <c r="EK59" s="801"/>
      <c r="EL59" s="801"/>
      <c r="EM59" s="801"/>
      <c r="EN59" s="801"/>
      <c r="EO59" s="801"/>
      <c r="EP59" s="801"/>
      <c r="EQ59" s="801"/>
      <c r="ER59" s="801"/>
      <c r="ES59" s="801"/>
      <c r="ET59" s="801"/>
      <c r="EU59" s="801"/>
      <c r="EV59" s="801"/>
      <c r="EW59" s="801"/>
      <c r="EX59" s="801"/>
      <c r="EY59" s="801"/>
      <c r="EZ59" s="802"/>
      <c r="FA59" s="800" t="str">
        <f>IFERROR(IF(FZ47&gt;FA47-1,IF(INDEX(Pedidos!FJ:GZ,FY47+FA47-1,9)&lt;&gt;"","Cierre :     "&amp; INDEX(Pedidos!FJ:GZ,FY47+FA47-1,9),""),""),"")</f>
        <v/>
      </c>
      <c r="FB59" s="801"/>
      <c r="FC59" s="801"/>
      <c r="FD59" s="801"/>
      <c r="FE59" s="801"/>
      <c r="FF59" s="801"/>
      <c r="FG59" s="801"/>
      <c r="FH59" s="801"/>
      <c r="FI59" s="801"/>
      <c r="FJ59" s="801"/>
      <c r="FK59" s="801"/>
      <c r="FL59" s="801"/>
      <c r="FM59" s="801"/>
      <c r="FN59" s="801"/>
      <c r="FO59" s="801"/>
      <c r="FP59" s="801"/>
      <c r="FQ59" s="801"/>
      <c r="FR59" s="801"/>
      <c r="FS59" s="801"/>
      <c r="FT59" s="801"/>
      <c r="FU59" s="801"/>
      <c r="FV59" s="801"/>
      <c r="FW59" s="801"/>
      <c r="FX59" s="801"/>
      <c r="FY59" s="801"/>
      <c r="FZ59" s="802"/>
      <c r="GA59" s="800" t="str">
        <f>IFERROR(IF(GZ47&gt;GA47-1,IF(INDEX(Pedidos!GJ:HZ,GY47+GA47-1,9)&lt;&gt;"","Cierre :     "&amp; INDEX(Pedidos!GJ:HZ,GY47+GA47-1,9),""),""),"")</f>
        <v/>
      </c>
      <c r="GB59" s="801"/>
      <c r="GC59" s="801"/>
      <c r="GD59" s="801"/>
      <c r="GE59" s="801"/>
      <c r="GF59" s="801"/>
      <c r="GG59" s="801"/>
      <c r="GH59" s="801"/>
      <c r="GI59" s="801"/>
      <c r="GJ59" s="801"/>
      <c r="GK59" s="801"/>
      <c r="GL59" s="801"/>
      <c r="GM59" s="801"/>
      <c r="GN59" s="801"/>
      <c r="GO59" s="801"/>
      <c r="GP59" s="801"/>
      <c r="GQ59" s="801"/>
      <c r="GR59" s="801"/>
      <c r="GS59" s="801"/>
      <c r="GT59" s="801"/>
      <c r="GU59" s="801"/>
      <c r="GV59" s="801"/>
      <c r="GW59" s="801"/>
      <c r="GX59" s="801"/>
      <c r="GY59" s="801"/>
      <c r="GZ59" s="802"/>
      <c r="HA59" s="800" t="str">
        <f>IFERROR(IF(HZ47&gt;HA47-1,IF(INDEX(Pedidos!HJ:IZ,HY47+HA47-1,9)&lt;&gt;"","Cierre :     "&amp; INDEX(Pedidos!HJ:IZ,HY47+HA47-1,9),""),""),"")</f>
        <v/>
      </c>
      <c r="HB59" s="801"/>
      <c r="HC59" s="801"/>
      <c r="HD59" s="801"/>
      <c r="HE59" s="801"/>
      <c r="HF59" s="801"/>
      <c r="HG59" s="801"/>
      <c r="HH59" s="801"/>
      <c r="HI59" s="801"/>
      <c r="HJ59" s="801"/>
      <c r="HK59" s="801"/>
      <c r="HL59" s="801"/>
      <c r="HM59" s="801"/>
      <c r="HN59" s="801"/>
      <c r="HO59" s="801"/>
      <c r="HP59" s="801"/>
      <c r="HQ59" s="801"/>
      <c r="HR59" s="801"/>
      <c r="HS59" s="801"/>
      <c r="HT59" s="801"/>
      <c r="HU59" s="801"/>
      <c r="HV59" s="801"/>
      <c r="HW59" s="801"/>
      <c r="HX59" s="801"/>
      <c r="HY59" s="801"/>
      <c r="HZ59" s="802"/>
      <c r="IA59" s="800" t="str">
        <f>IFERROR(IF(IZ47&gt;IA47-1,IF(INDEX(Pedidos!IJ:JZ,IY47+IA47-1,9)&lt;&gt;"","Cierre :     "&amp; INDEX(Pedidos!IJ:JZ,IY47+IA47-1,9),""),""),"")</f>
        <v/>
      </c>
      <c r="IB59" s="801"/>
      <c r="IC59" s="801"/>
      <c r="ID59" s="801"/>
      <c r="IE59" s="801"/>
      <c r="IF59" s="801"/>
      <c r="IG59" s="801"/>
      <c r="IH59" s="801"/>
      <c r="II59" s="801"/>
      <c r="IJ59" s="801"/>
      <c r="IK59" s="801"/>
      <c r="IL59" s="801"/>
      <c r="IM59" s="801"/>
      <c r="IN59" s="801"/>
      <c r="IO59" s="801"/>
      <c r="IP59" s="801"/>
      <c r="IQ59" s="801"/>
      <c r="IR59" s="801"/>
      <c r="IS59" s="801"/>
      <c r="IT59" s="801"/>
      <c r="IU59" s="801"/>
      <c r="IV59" s="801"/>
      <c r="IW59" s="801"/>
      <c r="IX59" s="801"/>
      <c r="IY59" s="801"/>
      <c r="IZ59" s="802"/>
    </row>
    <row r="60" spans="1:260" x14ac:dyDescent="0.25">
      <c r="A60" s="800" t="str">
        <f>IFERROR(IF(Z47&gt;A47-1,IF(INDEX(Pedidos!J:AZ,Y47+A47-1,11)&lt;&gt;"","Cordon :     "&amp; INDEX(Pedidos!J:AZ,Y47+A47-1,11),""),""),"")</f>
        <v/>
      </c>
      <c r="B60" s="801"/>
      <c r="C60" s="801"/>
      <c r="D60" s="801"/>
      <c r="E60" s="801"/>
      <c r="F60" s="801"/>
      <c r="G60" s="801"/>
      <c r="H60" s="801"/>
      <c r="I60" s="801"/>
      <c r="J60" s="801"/>
      <c r="K60" s="801"/>
      <c r="L60" s="801"/>
      <c r="M60" s="801"/>
      <c r="N60" s="801"/>
      <c r="O60" s="801"/>
      <c r="P60" s="801"/>
      <c r="Q60" s="801"/>
      <c r="R60" s="801"/>
      <c r="S60" s="801"/>
      <c r="T60" s="801"/>
      <c r="U60" s="801"/>
      <c r="V60" s="801"/>
      <c r="W60" s="801"/>
      <c r="X60" s="801"/>
      <c r="Y60" s="801"/>
      <c r="Z60" s="802"/>
      <c r="AA60" s="800" t="str">
        <f>IFERROR(IF(AZ47&gt;AA47-1,IF(INDEX(Pedidos!AJ:BZ,AY47+AA47-1,11)&lt;&gt;"","Cordon :     "&amp; INDEX(Pedidos!AJ:BZ,AY47+AA47-1,11),""),""),"")</f>
        <v/>
      </c>
      <c r="AB60" s="801"/>
      <c r="AC60" s="801"/>
      <c r="AD60" s="801"/>
      <c r="AE60" s="801"/>
      <c r="AF60" s="801"/>
      <c r="AG60" s="801"/>
      <c r="AH60" s="801"/>
      <c r="AI60" s="801"/>
      <c r="AJ60" s="801"/>
      <c r="AK60" s="801"/>
      <c r="AL60" s="801"/>
      <c r="AM60" s="801"/>
      <c r="AN60" s="801"/>
      <c r="AO60" s="801"/>
      <c r="AP60" s="801"/>
      <c r="AQ60" s="801"/>
      <c r="AR60" s="801"/>
      <c r="AS60" s="801"/>
      <c r="AT60" s="801"/>
      <c r="AU60" s="801"/>
      <c r="AV60" s="801"/>
      <c r="AW60" s="801"/>
      <c r="AX60" s="801"/>
      <c r="AY60" s="801"/>
      <c r="AZ60" s="802"/>
      <c r="BA60" s="800" t="str">
        <f>IFERROR(IF(BZ47&gt;BA47-1,IF(INDEX(Pedidos!BJ:CZ,BY47+BA47-1,11)&lt;&gt;"","Cordon :     "&amp; INDEX(Pedidos!BJ:CZ,BY47+BA47-1,11),""),""),"")</f>
        <v/>
      </c>
      <c r="BB60" s="801"/>
      <c r="BC60" s="801"/>
      <c r="BD60" s="801"/>
      <c r="BE60" s="801"/>
      <c r="BF60" s="801"/>
      <c r="BG60" s="801"/>
      <c r="BH60" s="801"/>
      <c r="BI60" s="801"/>
      <c r="BJ60" s="801"/>
      <c r="BK60" s="801"/>
      <c r="BL60" s="801"/>
      <c r="BM60" s="801"/>
      <c r="BN60" s="801"/>
      <c r="BO60" s="801"/>
      <c r="BP60" s="801"/>
      <c r="BQ60" s="801"/>
      <c r="BR60" s="801"/>
      <c r="BS60" s="801"/>
      <c r="BT60" s="801"/>
      <c r="BU60" s="801"/>
      <c r="BV60" s="801"/>
      <c r="BW60" s="801"/>
      <c r="BX60" s="801"/>
      <c r="BY60" s="801"/>
      <c r="BZ60" s="802"/>
      <c r="CA60" s="800" t="str">
        <f>IFERROR(IF(CZ47&gt;CA47-1,IF(INDEX(Pedidos!CJ:DZ,CY47+CA47-1,11)&lt;&gt;"","Cordon :     "&amp; INDEX(Pedidos!CJ:DZ,CY47+CA47-1,11),""),""),"")</f>
        <v/>
      </c>
      <c r="CB60" s="801"/>
      <c r="CC60" s="801"/>
      <c r="CD60" s="801"/>
      <c r="CE60" s="801"/>
      <c r="CF60" s="801"/>
      <c r="CG60" s="801"/>
      <c r="CH60" s="801"/>
      <c r="CI60" s="801"/>
      <c r="CJ60" s="801"/>
      <c r="CK60" s="801"/>
      <c r="CL60" s="801"/>
      <c r="CM60" s="801"/>
      <c r="CN60" s="801"/>
      <c r="CO60" s="801"/>
      <c r="CP60" s="801"/>
      <c r="CQ60" s="801"/>
      <c r="CR60" s="801"/>
      <c r="CS60" s="801"/>
      <c r="CT60" s="801"/>
      <c r="CU60" s="801"/>
      <c r="CV60" s="801"/>
      <c r="CW60" s="801"/>
      <c r="CX60" s="801"/>
      <c r="CY60" s="801"/>
      <c r="CZ60" s="802"/>
      <c r="DA60" s="800" t="str">
        <f>IFERROR(IF(DZ47&gt;DA47-1,IF(INDEX(Pedidos!DJ:EZ,DY47+DA47-1,11)&lt;&gt;"","Cordon :     "&amp; INDEX(Pedidos!DJ:EZ,DY47+DA47-1,11),""),""),"")</f>
        <v/>
      </c>
      <c r="DB60" s="801"/>
      <c r="DC60" s="801"/>
      <c r="DD60" s="801"/>
      <c r="DE60" s="801"/>
      <c r="DF60" s="801"/>
      <c r="DG60" s="801"/>
      <c r="DH60" s="801"/>
      <c r="DI60" s="801"/>
      <c r="DJ60" s="801"/>
      <c r="DK60" s="801"/>
      <c r="DL60" s="801"/>
      <c r="DM60" s="801"/>
      <c r="DN60" s="801"/>
      <c r="DO60" s="801"/>
      <c r="DP60" s="801"/>
      <c r="DQ60" s="801"/>
      <c r="DR60" s="801"/>
      <c r="DS60" s="801"/>
      <c r="DT60" s="801"/>
      <c r="DU60" s="801"/>
      <c r="DV60" s="801"/>
      <c r="DW60" s="801"/>
      <c r="DX60" s="801"/>
      <c r="DY60" s="801"/>
      <c r="DZ60" s="802"/>
      <c r="EA60" s="800" t="str">
        <f>IFERROR(IF(EZ47&gt;EA47-1,IF(INDEX(Pedidos!EJ:FZ,EY47+EA47-1,11)&lt;&gt;"","Cordon :     "&amp; INDEX(Pedidos!EJ:FZ,EY47+EA47-1,11),""),""),"")</f>
        <v/>
      </c>
      <c r="EB60" s="801"/>
      <c r="EC60" s="801"/>
      <c r="ED60" s="801"/>
      <c r="EE60" s="801"/>
      <c r="EF60" s="801"/>
      <c r="EG60" s="801"/>
      <c r="EH60" s="801"/>
      <c r="EI60" s="801"/>
      <c r="EJ60" s="801"/>
      <c r="EK60" s="801"/>
      <c r="EL60" s="801"/>
      <c r="EM60" s="801"/>
      <c r="EN60" s="801"/>
      <c r="EO60" s="801"/>
      <c r="EP60" s="801"/>
      <c r="EQ60" s="801"/>
      <c r="ER60" s="801"/>
      <c r="ES60" s="801"/>
      <c r="ET60" s="801"/>
      <c r="EU60" s="801"/>
      <c r="EV60" s="801"/>
      <c r="EW60" s="801"/>
      <c r="EX60" s="801"/>
      <c r="EY60" s="801"/>
      <c r="EZ60" s="802"/>
      <c r="FA60" s="800" t="str">
        <f>IFERROR(IF(FZ47&gt;FA47-1,IF(INDEX(Pedidos!FJ:GZ,FY47+FA47-1,11)&lt;&gt;"","Cordon :     "&amp; INDEX(Pedidos!FJ:GZ,FY47+FA47-1,11),""),""),"")</f>
        <v/>
      </c>
      <c r="FB60" s="801"/>
      <c r="FC60" s="801"/>
      <c r="FD60" s="801"/>
      <c r="FE60" s="801"/>
      <c r="FF60" s="801"/>
      <c r="FG60" s="801"/>
      <c r="FH60" s="801"/>
      <c r="FI60" s="801"/>
      <c r="FJ60" s="801"/>
      <c r="FK60" s="801"/>
      <c r="FL60" s="801"/>
      <c r="FM60" s="801"/>
      <c r="FN60" s="801"/>
      <c r="FO60" s="801"/>
      <c r="FP60" s="801"/>
      <c r="FQ60" s="801"/>
      <c r="FR60" s="801"/>
      <c r="FS60" s="801"/>
      <c r="FT60" s="801"/>
      <c r="FU60" s="801"/>
      <c r="FV60" s="801"/>
      <c r="FW60" s="801"/>
      <c r="FX60" s="801"/>
      <c r="FY60" s="801"/>
      <c r="FZ60" s="802"/>
      <c r="GA60" s="800" t="str">
        <f>IFERROR(IF(GZ47&gt;GA47-1,IF(INDEX(Pedidos!GJ:HZ,GY47+GA47-1,11)&lt;&gt;"","Cordon :     "&amp; INDEX(Pedidos!GJ:HZ,GY47+GA47-1,11),""),""),"")</f>
        <v/>
      </c>
      <c r="GB60" s="801"/>
      <c r="GC60" s="801"/>
      <c r="GD60" s="801"/>
      <c r="GE60" s="801"/>
      <c r="GF60" s="801"/>
      <c r="GG60" s="801"/>
      <c r="GH60" s="801"/>
      <c r="GI60" s="801"/>
      <c r="GJ60" s="801"/>
      <c r="GK60" s="801"/>
      <c r="GL60" s="801"/>
      <c r="GM60" s="801"/>
      <c r="GN60" s="801"/>
      <c r="GO60" s="801"/>
      <c r="GP60" s="801"/>
      <c r="GQ60" s="801"/>
      <c r="GR60" s="801"/>
      <c r="GS60" s="801"/>
      <c r="GT60" s="801"/>
      <c r="GU60" s="801"/>
      <c r="GV60" s="801"/>
      <c r="GW60" s="801"/>
      <c r="GX60" s="801"/>
      <c r="GY60" s="801"/>
      <c r="GZ60" s="802"/>
      <c r="HA60" s="800" t="str">
        <f>IFERROR(IF(HZ47&gt;HA47-1,IF(INDEX(Pedidos!HJ:IZ,HY47+HA47-1,11)&lt;&gt;"","Cordon :     "&amp; INDEX(Pedidos!HJ:IZ,HY47+HA47-1,11),""),""),"")</f>
        <v/>
      </c>
      <c r="HB60" s="801"/>
      <c r="HC60" s="801"/>
      <c r="HD60" s="801"/>
      <c r="HE60" s="801"/>
      <c r="HF60" s="801"/>
      <c r="HG60" s="801"/>
      <c r="HH60" s="801"/>
      <c r="HI60" s="801"/>
      <c r="HJ60" s="801"/>
      <c r="HK60" s="801"/>
      <c r="HL60" s="801"/>
      <c r="HM60" s="801"/>
      <c r="HN60" s="801"/>
      <c r="HO60" s="801"/>
      <c r="HP60" s="801"/>
      <c r="HQ60" s="801"/>
      <c r="HR60" s="801"/>
      <c r="HS60" s="801"/>
      <c r="HT60" s="801"/>
      <c r="HU60" s="801"/>
      <c r="HV60" s="801"/>
      <c r="HW60" s="801"/>
      <c r="HX60" s="801"/>
      <c r="HY60" s="801"/>
      <c r="HZ60" s="802"/>
      <c r="IA60" s="800" t="str">
        <f>IFERROR(IF(IZ47&gt;IA47-1,IF(INDEX(Pedidos!IJ:JZ,IY47+IA47-1,11)&lt;&gt;"","Cordon :     "&amp; INDEX(Pedidos!IJ:JZ,IY47+IA47-1,11),""),""),"")</f>
        <v/>
      </c>
      <c r="IB60" s="801"/>
      <c r="IC60" s="801"/>
      <c r="ID60" s="801"/>
      <c r="IE60" s="801"/>
      <c r="IF60" s="801"/>
      <c r="IG60" s="801"/>
      <c r="IH60" s="801"/>
      <c r="II60" s="801"/>
      <c r="IJ60" s="801"/>
      <c r="IK60" s="801"/>
      <c r="IL60" s="801"/>
      <c r="IM60" s="801"/>
      <c r="IN60" s="801"/>
      <c r="IO60" s="801"/>
      <c r="IP60" s="801"/>
      <c r="IQ60" s="801"/>
      <c r="IR60" s="801"/>
      <c r="IS60" s="801"/>
      <c r="IT60" s="801"/>
      <c r="IU60" s="801"/>
      <c r="IV60" s="801"/>
      <c r="IW60" s="801"/>
      <c r="IX60" s="801"/>
      <c r="IY60" s="801"/>
      <c r="IZ60" s="802"/>
    </row>
    <row r="61" spans="1:260" x14ac:dyDescent="0.25">
      <c r="A61" s="800" t="str">
        <f>IFERROR(IF(Z47&gt;A47-1,IF(INDEX(Pedidos!J:AZ,Y47+A47-1,12)&lt;&gt;"","Color Cordon :     "&amp; INDEX(Pedidos!J:AZ,Y47+A47-1,12),""),""),"")</f>
        <v/>
      </c>
      <c r="B61" s="801"/>
      <c r="C61" s="801"/>
      <c r="D61" s="801"/>
      <c r="E61" s="801"/>
      <c r="F61" s="801"/>
      <c r="G61" s="801"/>
      <c r="H61" s="801"/>
      <c r="I61" s="801"/>
      <c r="J61" s="801"/>
      <c r="K61" s="801"/>
      <c r="L61" s="801"/>
      <c r="M61" s="801"/>
      <c r="N61" s="801"/>
      <c r="O61" s="801"/>
      <c r="P61" s="801"/>
      <c r="Q61" s="801"/>
      <c r="R61" s="801"/>
      <c r="S61" s="801"/>
      <c r="T61" s="801"/>
      <c r="U61" s="801"/>
      <c r="V61" s="801"/>
      <c r="W61" s="801"/>
      <c r="X61" s="801"/>
      <c r="Y61" s="801"/>
      <c r="Z61" s="802"/>
      <c r="AA61" s="800" t="str">
        <f>IFERROR(IF(AZ47&gt;AA47-1,IF(INDEX(Pedidos!AJ:BZ,AY47+AA47-1,12)&lt;&gt;"","Color Cordon :     "&amp; INDEX(Pedidos!AJ:BZ,AY47+AA47-1,12),""),""),"")</f>
        <v/>
      </c>
      <c r="AB61" s="801"/>
      <c r="AC61" s="801"/>
      <c r="AD61" s="801"/>
      <c r="AE61" s="801"/>
      <c r="AF61" s="801"/>
      <c r="AG61" s="801"/>
      <c r="AH61" s="801"/>
      <c r="AI61" s="801"/>
      <c r="AJ61" s="801"/>
      <c r="AK61" s="801"/>
      <c r="AL61" s="801"/>
      <c r="AM61" s="801"/>
      <c r="AN61" s="801"/>
      <c r="AO61" s="801"/>
      <c r="AP61" s="801"/>
      <c r="AQ61" s="801"/>
      <c r="AR61" s="801"/>
      <c r="AS61" s="801"/>
      <c r="AT61" s="801"/>
      <c r="AU61" s="801"/>
      <c r="AV61" s="801"/>
      <c r="AW61" s="801"/>
      <c r="AX61" s="801"/>
      <c r="AY61" s="801"/>
      <c r="AZ61" s="802"/>
      <c r="BA61" s="800" t="str">
        <f>IFERROR(IF(BZ47&gt;BA47-1,IF(INDEX(Pedidos!BJ:CZ,BY47+BA47-1,12)&lt;&gt;"","Color Cordon :     "&amp; INDEX(Pedidos!BJ:CZ,BY47+BA47-1,12),""),""),"")</f>
        <v/>
      </c>
      <c r="BB61" s="801"/>
      <c r="BC61" s="801"/>
      <c r="BD61" s="801"/>
      <c r="BE61" s="801"/>
      <c r="BF61" s="801"/>
      <c r="BG61" s="801"/>
      <c r="BH61" s="801"/>
      <c r="BI61" s="801"/>
      <c r="BJ61" s="801"/>
      <c r="BK61" s="801"/>
      <c r="BL61" s="801"/>
      <c r="BM61" s="801"/>
      <c r="BN61" s="801"/>
      <c r="BO61" s="801"/>
      <c r="BP61" s="801"/>
      <c r="BQ61" s="801"/>
      <c r="BR61" s="801"/>
      <c r="BS61" s="801"/>
      <c r="BT61" s="801"/>
      <c r="BU61" s="801"/>
      <c r="BV61" s="801"/>
      <c r="BW61" s="801"/>
      <c r="BX61" s="801"/>
      <c r="BY61" s="801"/>
      <c r="BZ61" s="802"/>
      <c r="CA61" s="800" t="str">
        <f>IFERROR(IF(CZ47&gt;CA47-1,IF(INDEX(Pedidos!CJ:DZ,CY47+CA47-1,12)&lt;&gt;"","Color Cordon :     "&amp; INDEX(Pedidos!CJ:DZ,CY47+CA47-1,12),""),""),"")</f>
        <v/>
      </c>
      <c r="CB61" s="801"/>
      <c r="CC61" s="801"/>
      <c r="CD61" s="801"/>
      <c r="CE61" s="801"/>
      <c r="CF61" s="801"/>
      <c r="CG61" s="801"/>
      <c r="CH61" s="801"/>
      <c r="CI61" s="801"/>
      <c r="CJ61" s="801"/>
      <c r="CK61" s="801"/>
      <c r="CL61" s="801"/>
      <c r="CM61" s="801"/>
      <c r="CN61" s="801"/>
      <c r="CO61" s="801"/>
      <c r="CP61" s="801"/>
      <c r="CQ61" s="801"/>
      <c r="CR61" s="801"/>
      <c r="CS61" s="801"/>
      <c r="CT61" s="801"/>
      <c r="CU61" s="801"/>
      <c r="CV61" s="801"/>
      <c r="CW61" s="801"/>
      <c r="CX61" s="801"/>
      <c r="CY61" s="801"/>
      <c r="CZ61" s="802"/>
      <c r="DA61" s="800" t="str">
        <f>IFERROR(IF(DZ47&gt;DA47-1,IF(INDEX(Pedidos!DJ:EZ,DY47+DA47-1,12)&lt;&gt;"","Color Cordon :     "&amp; INDEX(Pedidos!DJ:EZ,DY47+DA47-1,12),""),""),"")</f>
        <v/>
      </c>
      <c r="DB61" s="801"/>
      <c r="DC61" s="801"/>
      <c r="DD61" s="801"/>
      <c r="DE61" s="801"/>
      <c r="DF61" s="801"/>
      <c r="DG61" s="801"/>
      <c r="DH61" s="801"/>
      <c r="DI61" s="801"/>
      <c r="DJ61" s="801"/>
      <c r="DK61" s="801"/>
      <c r="DL61" s="801"/>
      <c r="DM61" s="801"/>
      <c r="DN61" s="801"/>
      <c r="DO61" s="801"/>
      <c r="DP61" s="801"/>
      <c r="DQ61" s="801"/>
      <c r="DR61" s="801"/>
      <c r="DS61" s="801"/>
      <c r="DT61" s="801"/>
      <c r="DU61" s="801"/>
      <c r="DV61" s="801"/>
      <c r="DW61" s="801"/>
      <c r="DX61" s="801"/>
      <c r="DY61" s="801"/>
      <c r="DZ61" s="802"/>
      <c r="EA61" s="800" t="str">
        <f>IFERROR(IF(EZ47&gt;EA47-1,IF(INDEX(Pedidos!EJ:FZ,EY47+EA47-1,12)&lt;&gt;"","Color Cordon :     "&amp; INDEX(Pedidos!EJ:FZ,EY47+EA47-1,12),""),""),"")</f>
        <v/>
      </c>
      <c r="EB61" s="801"/>
      <c r="EC61" s="801"/>
      <c r="ED61" s="801"/>
      <c r="EE61" s="801"/>
      <c r="EF61" s="801"/>
      <c r="EG61" s="801"/>
      <c r="EH61" s="801"/>
      <c r="EI61" s="801"/>
      <c r="EJ61" s="801"/>
      <c r="EK61" s="801"/>
      <c r="EL61" s="801"/>
      <c r="EM61" s="801"/>
      <c r="EN61" s="801"/>
      <c r="EO61" s="801"/>
      <c r="EP61" s="801"/>
      <c r="EQ61" s="801"/>
      <c r="ER61" s="801"/>
      <c r="ES61" s="801"/>
      <c r="ET61" s="801"/>
      <c r="EU61" s="801"/>
      <c r="EV61" s="801"/>
      <c r="EW61" s="801"/>
      <c r="EX61" s="801"/>
      <c r="EY61" s="801"/>
      <c r="EZ61" s="802"/>
      <c r="FA61" s="800" t="str">
        <f>IFERROR(IF(FZ47&gt;FA47-1,IF(INDEX(Pedidos!FJ:GZ,FY47+FA47-1,12)&lt;&gt;"","Color Cordon :     "&amp; INDEX(Pedidos!FJ:GZ,FY47+FA47-1,12),""),""),"")</f>
        <v/>
      </c>
      <c r="FB61" s="801"/>
      <c r="FC61" s="801"/>
      <c r="FD61" s="801"/>
      <c r="FE61" s="801"/>
      <c r="FF61" s="801"/>
      <c r="FG61" s="801"/>
      <c r="FH61" s="801"/>
      <c r="FI61" s="801"/>
      <c r="FJ61" s="801"/>
      <c r="FK61" s="801"/>
      <c r="FL61" s="801"/>
      <c r="FM61" s="801"/>
      <c r="FN61" s="801"/>
      <c r="FO61" s="801"/>
      <c r="FP61" s="801"/>
      <c r="FQ61" s="801"/>
      <c r="FR61" s="801"/>
      <c r="FS61" s="801"/>
      <c r="FT61" s="801"/>
      <c r="FU61" s="801"/>
      <c r="FV61" s="801"/>
      <c r="FW61" s="801"/>
      <c r="FX61" s="801"/>
      <c r="FY61" s="801"/>
      <c r="FZ61" s="802"/>
      <c r="GA61" s="800" t="str">
        <f>IFERROR(IF(GZ47&gt;GA47-1,IF(INDEX(Pedidos!GJ:HZ,GY47+GA47-1,12)&lt;&gt;"","Color Cordon :     "&amp; INDEX(Pedidos!GJ:HZ,GY47+GA47-1,12),""),""),"")</f>
        <v/>
      </c>
      <c r="GB61" s="801"/>
      <c r="GC61" s="801"/>
      <c r="GD61" s="801"/>
      <c r="GE61" s="801"/>
      <c r="GF61" s="801"/>
      <c r="GG61" s="801"/>
      <c r="GH61" s="801"/>
      <c r="GI61" s="801"/>
      <c r="GJ61" s="801"/>
      <c r="GK61" s="801"/>
      <c r="GL61" s="801"/>
      <c r="GM61" s="801"/>
      <c r="GN61" s="801"/>
      <c r="GO61" s="801"/>
      <c r="GP61" s="801"/>
      <c r="GQ61" s="801"/>
      <c r="GR61" s="801"/>
      <c r="GS61" s="801"/>
      <c r="GT61" s="801"/>
      <c r="GU61" s="801"/>
      <c r="GV61" s="801"/>
      <c r="GW61" s="801"/>
      <c r="GX61" s="801"/>
      <c r="GY61" s="801"/>
      <c r="GZ61" s="802"/>
      <c r="HA61" s="800" t="str">
        <f>IFERROR(IF(HZ47&gt;HA47-1,IF(INDEX(Pedidos!HJ:IZ,HY47+HA47-1,12)&lt;&gt;"","Color Cordon :     "&amp; INDEX(Pedidos!HJ:IZ,HY47+HA47-1,12),""),""),"")</f>
        <v/>
      </c>
      <c r="HB61" s="801"/>
      <c r="HC61" s="801"/>
      <c r="HD61" s="801"/>
      <c r="HE61" s="801"/>
      <c r="HF61" s="801"/>
      <c r="HG61" s="801"/>
      <c r="HH61" s="801"/>
      <c r="HI61" s="801"/>
      <c r="HJ61" s="801"/>
      <c r="HK61" s="801"/>
      <c r="HL61" s="801"/>
      <c r="HM61" s="801"/>
      <c r="HN61" s="801"/>
      <c r="HO61" s="801"/>
      <c r="HP61" s="801"/>
      <c r="HQ61" s="801"/>
      <c r="HR61" s="801"/>
      <c r="HS61" s="801"/>
      <c r="HT61" s="801"/>
      <c r="HU61" s="801"/>
      <c r="HV61" s="801"/>
      <c r="HW61" s="801"/>
      <c r="HX61" s="801"/>
      <c r="HY61" s="801"/>
      <c r="HZ61" s="802"/>
      <c r="IA61" s="800" t="str">
        <f>IFERROR(IF(IZ47&gt;IA47-1,IF(INDEX(Pedidos!IJ:JZ,IY47+IA47-1,12)&lt;&gt;"","Color Cordon :     "&amp; INDEX(Pedidos!IJ:JZ,IY47+IA47-1,12),""),""),"")</f>
        <v/>
      </c>
      <c r="IB61" s="801"/>
      <c r="IC61" s="801"/>
      <c r="ID61" s="801"/>
      <c r="IE61" s="801"/>
      <c r="IF61" s="801"/>
      <c r="IG61" s="801"/>
      <c r="IH61" s="801"/>
      <c r="II61" s="801"/>
      <c r="IJ61" s="801"/>
      <c r="IK61" s="801"/>
      <c r="IL61" s="801"/>
      <c r="IM61" s="801"/>
      <c r="IN61" s="801"/>
      <c r="IO61" s="801"/>
      <c r="IP61" s="801"/>
      <c r="IQ61" s="801"/>
      <c r="IR61" s="801"/>
      <c r="IS61" s="801"/>
      <c r="IT61" s="801"/>
      <c r="IU61" s="801"/>
      <c r="IV61" s="801"/>
      <c r="IW61" s="801"/>
      <c r="IX61" s="801"/>
      <c r="IY61" s="801"/>
      <c r="IZ61" s="802"/>
    </row>
    <row r="62" spans="1:260" x14ac:dyDescent="0.25">
      <c r="A62" s="800"/>
      <c r="B62" s="801"/>
      <c r="C62" s="801"/>
      <c r="D62" s="801"/>
      <c r="E62" s="801"/>
      <c r="F62" s="801"/>
      <c r="G62" s="801"/>
      <c r="H62" s="801"/>
      <c r="I62" s="801"/>
      <c r="J62" s="801"/>
      <c r="K62" s="801"/>
      <c r="L62" s="801"/>
      <c r="M62" s="801"/>
      <c r="N62" s="801"/>
      <c r="O62" s="801"/>
      <c r="P62" s="801"/>
      <c r="Q62" s="801"/>
      <c r="R62" s="801"/>
      <c r="S62" s="801"/>
      <c r="T62" s="801"/>
      <c r="U62" s="801"/>
      <c r="V62" s="801"/>
      <c r="W62" s="801"/>
      <c r="X62" s="801"/>
      <c r="Y62" s="801"/>
      <c r="Z62" s="802"/>
      <c r="AA62" s="800"/>
      <c r="AB62" s="801"/>
      <c r="AC62" s="801"/>
      <c r="AD62" s="801"/>
      <c r="AE62" s="801"/>
      <c r="AF62" s="801"/>
      <c r="AG62" s="801"/>
      <c r="AH62" s="801"/>
      <c r="AI62" s="801"/>
      <c r="AJ62" s="801"/>
      <c r="AK62" s="801"/>
      <c r="AL62" s="801"/>
      <c r="AM62" s="801"/>
      <c r="AN62" s="801"/>
      <c r="AO62" s="801"/>
      <c r="AP62" s="801"/>
      <c r="AQ62" s="801"/>
      <c r="AR62" s="801"/>
      <c r="AS62" s="801"/>
      <c r="AT62" s="801"/>
      <c r="AU62" s="801"/>
      <c r="AV62" s="801"/>
      <c r="AW62" s="801"/>
      <c r="AX62" s="801"/>
      <c r="AY62" s="801"/>
      <c r="AZ62" s="802"/>
      <c r="BA62" s="800"/>
      <c r="BB62" s="801"/>
      <c r="BC62" s="801"/>
      <c r="BD62" s="801"/>
      <c r="BE62" s="801"/>
      <c r="BF62" s="801"/>
      <c r="BG62" s="801"/>
      <c r="BH62" s="801"/>
      <c r="BI62" s="801"/>
      <c r="BJ62" s="801"/>
      <c r="BK62" s="801"/>
      <c r="BL62" s="801"/>
      <c r="BM62" s="801"/>
      <c r="BN62" s="801"/>
      <c r="BO62" s="801"/>
      <c r="BP62" s="801"/>
      <c r="BQ62" s="801"/>
      <c r="BR62" s="801"/>
      <c r="BS62" s="801"/>
      <c r="BT62" s="801"/>
      <c r="BU62" s="801"/>
      <c r="BV62" s="801"/>
      <c r="BW62" s="801"/>
      <c r="BX62" s="801"/>
      <c r="BY62" s="801"/>
      <c r="BZ62" s="802"/>
      <c r="CA62" s="800"/>
      <c r="CB62" s="801"/>
      <c r="CC62" s="801"/>
      <c r="CD62" s="801"/>
      <c r="CE62" s="801"/>
      <c r="CF62" s="801"/>
      <c r="CG62" s="801"/>
      <c r="CH62" s="801"/>
      <c r="CI62" s="801"/>
      <c r="CJ62" s="801"/>
      <c r="CK62" s="801"/>
      <c r="CL62" s="801"/>
      <c r="CM62" s="801"/>
      <c r="CN62" s="801"/>
      <c r="CO62" s="801"/>
      <c r="CP62" s="801"/>
      <c r="CQ62" s="801"/>
      <c r="CR62" s="801"/>
      <c r="CS62" s="801"/>
      <c r="CT62" s="801"/>
      <c r="CU62" s="801"/>
      <c r="CV62" s="801"/>
      <c r="CW62" s="801"/>
      <c r="CX62" s="801"/>
      <c r="CY62" s="801"/>
      <c r="CZ62" s="802"/>
      <c r="DA62" s="800"/>
      <c r="DB62" s="801"/>
      <c r="DC62" s="801"/>
      <c r="DD62" s="801"/>
      <c r="DE62" s="801"/>
      <c r="DF62" s="801"/>
      <c r="DG62" s="801"/>
      <c r="DH62" s="801"/>
      <c r="DI62" s="801"/>
      <c r="DJ62" s="801"/>
      <c r="DK62" s="801"/>
      <c r="DL62" s="801"/>
      <c r="DM62" s="801"/>
      <c r="DN62" s="801"/>
      <c r="DO62" s="801"/>
      <c r="DP62" s="801"/>
      <c r="DQ62" s="801"/>
      <c r="DR62" s="801"/>
      <c r="DS62" s="801"/>
      <c r="DT62" s="801"/>
      <c r="DU62" s="801"/>
      <c r="DV62" s="801"/>
      <c r="DW62" s="801"/>
      <c r="DX62" s="801"/>
      <c r="DY62" s="801"/>
      <c r="DZ62" s="802"/>
      <c r="EA62" s="800"/>
      <c r="EB62" s="801"/>
      <c r="EC62" s="801"/>
      <c r="ED62" s="801"/>
      <c r="EE62" s="801"/>
      <c r="EF62" s="801"/>
      <c r="EG62" s="801"/>
      <c r="EH62" s="801"/>
      <c r="EI62" s="801"/>
      <c r="EJ62" s="801"/>
      <c r="EK62" s="801"/>
      <c r="EL62" s="801"/>
      <c r="EM62" s="801"/>
      <c r="EN62" s="801"/>
      <c r="EO62" s="801"/>
      <c r="EP62" s="801"/>
      <c r="EQ62" s="801"/>
      <c r="ER62" s="801"/>
      <c r="ES62" s="801"/>
      <c r="ET62" s="801"/>
      <c r="EU62" s="801"/>
      <c r="EV62" s="801"/>
      <c r="EW62" s="801"/>
      <c r="EX62" s="801"/>
      <c r="EY62" s="801"/>
      <c r="EZ62" s="802"/>
      <c r="FA62" s="800"/>
      <c r="FB62" s="801"/>
      <c r="FC62" s="801"/>
      <c r="FD62" s="801"/>
      <c r="FE62" s="801"/>
      <c r="FF62" s="801"/>
      <c r="FG62" s="801"/>
      <c r="FH62" s="801"/>
      <c r="FI62" s="801"/>
      <c r="FJ62" s="801"/>
      <c r="FK62" s="801"/>
      <c r="FL62" s="801"/>
      <c r="FM62" s="801"/>
      <c r="FN62" s="801"/>
      <c r="FO62" s="801"/>
      <c r="FP62" s="801"/>
      <c r="FQ62" s="801"/>
      <c r="FR62" s="801"/>
      <c r="FS62" s="801"/>
      <c r="FT62" s="801"/>
      <c r="FU62" s="801"/>
      <c r="FV62" s="801"/>
      <c r="FW62" s="801"/>
      <c r="FX62" s="801"/>
      <c r="FY62" s="801"/>
      <c r="FZ62" s="802"/>
      <c r="GA62" s="800"/>
      <c r="GB62" s="801"/>
      <c r="GC62" s="801"/>
      <c r="GD62" s="801"/>
      <c r="GE62" s="801"/>
      <c r="GF62" s="801"/>
      <c r="GG62" s="801"/>
      <c r="GH62" s="801"/>
      <c r="GI62" s="801"/>
      <c r="GJ62" s="801"/>
      <c r="GK62" s="801"/>
      <c r="GL62" s="801"/>
      <c r="GM62" s="801"/>
      <c r="GN62" s="801"/>
      <c r="GO62" s="801"/>
      <c r="GP62" s="801"/>
      <c r="GQ62" s="801"/>
      <c r="GR62" s="801"/>
      <c r="GS62" s="801"/>
      <c r="GT62" s="801"/>
      <c r="GU62" s="801"/>
      <c r="GV62" s="801"/>
      <c r="GW62" s="801"/>
      <c r="GX62" s="801"/>
      <c r="GY62" s="801"/>
      <c r="GZ62" s="802"/>
      <c r="HA62" s="800"/>
      <c r="HB62" s="801"/>
      <c r="HC62" s="801"/>
      <c r="HD62" s="801"/>
      <c r="HE62" s="801"/>
      <c r="HF62" s="801"/>
      <c r="HG62" s="801"/>
      <c r="HH62" s="801"/>
      <c r="HI62" s="801"/>
      <c r="HJ62" s="801"/>
      <c r="HK62" s="801"/>
      <c r="HL62" s="801"/>
      <c r="HM62" s="801"/>
      <c r="HN62" s="801"/>
      <c r="HO62" s="801"/>
      <c r="HP62" s="801"/>
      <c r="HQ62" s="801"/>
      <c r="HR62" s="801"/>
      <c r="HS62" s="801"/>
      <c r="HT62" s="801"/>
      <c r="HU62" s="801"/>
      <c r="HV62" s="801"/>
      <c r="HW62" s="801"/>
      <c r="HX62" s="801"/>
      <c r="HY62" s="801"/>
      <c r="HZ62" s="802"/>
      <c r="IA62" s="800"/>
      <c r="IB62" s="801"/>
      <c r="IC62" s="801"/>
      <c r="ID62" s="801"/>
      <c r="IE62" s="801"/>
      <c r="IF62" s="801"/>
      <c r="IG62" s="801"/>
      <c r="IH62" s="801"/>
      <c r="II62" s="801"/>
      <c r="IJ62" s="801"/>
      <c r="IK62" s="801"/>
      <c r="IL62" s="801"/>
      <c r="IM62" s="801"/>
      <c r="IN62" s="801"/>
      <c r="IO62" s="801"/>
      <c r="IP62" s="801"/>
      <c r="IQ62" s="801"/>
      <c r="IR62" s="801"/>
      <c r="IS62" s="801"/>
      <c r="IT62" s="801"/>
      <c r="IU62" s="801"/>
      <c r="IV62" s="801"/>
      <c r="IW62" s="801"/>
      <c r="IX62" s="801"/>
      <c r="IY62" s="801"/>
      <c r="IZ62" s="802"/>
    </row>
    <row r="63" spans="1:260" x14ac:dyDescent="0.25">
      <c r="A63" s="800"/>
      <c r="B63" s="801"/>
      <c r="C63" s="801"/>
      <c r="D63" s="801"/>
      <c r="E63" s="801"/>
      <c r="F63" s="801"/>
      <c r="G63" s="801"/>
      <c r="H63" s="801"/>
      <c r="I63" s="801"/>
      <c r="J63" s="801"/>
      <c r="K63" s="801"/>
      <c r="L63" s="801"/>
      <c r="M63" s="801"/>
      <c r="N63" s="801"/>
      <c r="O63" s="801"/>
      <c r="P63" s="801"/>
      <c r="Q63" s="801"/>
      <c r="R63" s="801"/>
      <c r="S63" s="801"/>
      <c r="T63" s="801"/>
      <c r="U63" s="801"/>
      <c r="V63" s="801"/>
      <c r="W63" s="801"/>
      <c r="X63" s="801"/>
      <c r="Y63" s="801"/>
      <c r="Z63" s="802"/>
      <c r="AA63" s="800"/>
      <c r="AB63" s="801"/>
      <c r="AC63" s="801"/>
      <c r="AD63" s="801"/>
      <c r="AE63" s="801"/>
      <c r="AF63" s="801"/>
      <c r="AG63" s="801"/>
      <c r="AH63" s="801"/>
      <c r="AI63" s="801"/>
      <c r="AJ63" s="801"/>
      <c r="AK63" s="801"/>
      <c r="AL63" s="801"/>
      <c r="AM63" s="801"/>
      <c r="AN63" s="801"/>
      <c r="AO63" s="801"/>
      <c r="AP63" s="801"/>
      <c r="AQ63" s="801"/>
      <c r="AR63" s="801"/>
      <c r="AS63" s="801"/>
      <c r="AT63" s="801"/>
      <c r="AU63" s="801"/>
      <c r="AV63" s="801"/>
      <c r="AW63" s="801"/>
      <c r="AX63" s="801"/>
      <c r="AY63" s="801"/>
      <c r="AZ63" s="802"/>
      <c r="BA63" s="800"/>
      <c r="BB63" s="801"/>
      <c r="BC63" s="801"/>
      <c r="BD63" s="801"/>
      <c r="BE63" s="801"/>
      <c r="BF63" s="801"/>
      <c r="BG63" s="801"/>
      <c r="BH63" s="801"/>
      <c r="BI63" s="801"/>
      <c r="BJ63" s="801"/>
      <c r="BK63" s="801"/>
      <c r="BL63" s="801"/>
      <c r="BM63" s="801"/>
      <c r="BN63" s="801"/>
      <c r="BO63" s="801"/>
      <c r="BP63" s="801"/>
      <c r="BQ63" s="801"/>
      <c r="BR63" s="801"/>
      <c r="BS63" s="801"/>
      <c r="BT63" s="801"/>
      <c r="BU63" s="801"/>
      <c r="BV63" s="801"/>
      <c r="BW63" s="801"/>
      <c r="BX63" s="801"/>
      <c r="BY63" s="801"/>
      <c r="BZ63" s="802"/>
      <c r="CA63" s="800"/>
      <c r="CB63" s="801"/>
      <c r="CC63" s="801"/>
      <c r="CD63" s="801"/>
      <c r="CE63" s="801"/>
      <c r="CF63" s="801"/>
      <c r="CG63" s="801"/>
      <c r="CH63" s="801"/>
      <c r="CI63" s="801"/>
      <c r="CJ63" s="801"/>
      <c r="CK63" s="801"/>
      <c r="CL63" s="801"/>
      <c r="CM63" s="801"/>
      <c r="CN63" s="801"/>
      <c r="CO63" s="801"/>
      <c r="CP63" s="801"/>
      <c r="CQ63" s="801"/>
      <c r="CR63" s="801"/>
      <c r="CS63" s="801"/>
      <c r="CT63" s="801"/>
      <c r="CU63" s="801"/>
      <c r="CV63" s="801"/>
      <c r="CW63" s="801"/>
      <c r="CX63" s="801"/>
      <c r="CY63" s="801"/>
      <c r="CZ63" s="802"/>
      <c r="DA63" s="800"/>
      <c r="DB63" s="801"/>
      <c r="DC63" s="801"/>
      <c r="DD63" s="801"/>
      <c r="DE63" s="801"/>
      <c r="DF63" s="801"/>
      <c r="DG63" s="801"/>
      <c r="DH63" s="801"/>
      <c r="DI63" s="801"/>
      <c r="DJ63" s="801"/>
      <c r="DK63" s="801"/>
      <c r="DL63" s="801"/>
      <c r="DM63" s="801"/>
      <c r="DN63" s="801"/>
      <c r="DO63" s="801"/>
      <c r="DP63" s="801"/>
      <c r="DQ63" s="801"/>
      <c r="DR63" s="801"/>
      <c r="DS63" s="801"/>
      <c r="DT63" s="801"/>
      <c r="DU63" s="801"/>
      <c r="DV63" s="801"/>
      <c r="DW63" s="801"/>
      <c r="DX63" s="801"/>
      <c r="DY63" s="801"/>
      <c r="DZ63" s="802"/>
      <c r="EA63" s="800"/>
      <c r="EB63" s="801"/>
      <c r="EC63" s="801"/>
      <c r="ED63" s="801"/>
      <c r="EE63" s="801"/>
      <c r="EF63" s="801"/>
      <c r="EG63" s="801"/>
      <c r="EH63" s="801"/>
      <c r="EI63" s="801"/>
      <c r="EJ63" s="801"/>
      <c r="EK63" s="801"/>
      <c r="EL63" s="801"/>
      <c r="EM63" s="801"/>
      <c r="EN63" s="801"/>
      <c r="EO63" s="801"/>
      <c r="EP63" s="801"/>
      <c r="EQ63" s="801"/>
      <c r="ER63" s="801"/>
      <c r="ES63" s="801"/>
      <c r="ET63" s="801"/>
      <c r="EU63" s="801"/>
      <c r="EV63" s="801"/>
      <c r="EW63" s="801"/>
      <c r="EX63" s="801"/>
      <c r="EY63" s="801"/>
      <c r="EZ63" s="802"/>
      <c r="FA63" s="800"/>
      <c r="FB63" s="801"/>
      <c r="FC63" s="801"/>
      <c r="FD63" s="801"/>
      <c r="FE63" s="801"/>
      <c r="FF63" s="801"/>
      <c r="FG63" s="801"/>
      <c r="FH63" s="801"/>
      <c r="FI63" s="801"/>
      <c r="FJ63" s="801"/>
      <c r="FK63" s="801"/>
      <c r="FL63" s="801"/>
      <c r="FM63" s="801"/>
      <c r="FN63" s="801"/>
      <c r="FO63" s="801"/>
      <c r="FP63" s="801"/>
      <c r="FQ63" s="801"/>
      <c r="FR63" s="801"/>
      <c r="FS63" s="801"/>
      <c r="FT63" s="801"/>
      <c r="FU63" s="801"/>
      <c r="FV63" s="801"/>
      <c r="FW63" s="801"/>
      <c r="FX63" s="801"/>
      <c r="FY63" s="801"/>
      <c r="FZ63" s="802"/>
      <c r="GA63" s="800"/>
      <c r="GB63" s="801"/>
      <c r="GC63" s="801"/>
      <c r="GD63" s="801"/>
      <c r="GE63" s="801"/>
      <c r="GF63" s="801"/>
      <c r="GG63" s="801"/>
      <c r="GH63" s="801"/>
      <c r="GI63" s="801"/>
      <c r="GJ63" s="801"/>
      <c r="GK63" s="801"/>
      <c r="GL63" s="801"/>
      <c r="GM63" s="801"/>
      <c r="GN63" s="801"/>
      <c r="GO63" s="801"/>
      <c r="GP63" s="801"/>
      <c r="GQ63" s="801"/>
      <c r="GR63" s="801"/>
      <c r="GS63" s="801"/>
      <c r="GT63" s="801"/>
      <c r="GU63" s="801"/>
      <c r="GV63" s="801"/>
      <c r="GW63" s="801"/>
      <c r="GX63" s="801"/>
      <c r="GY63" s="801"/>
      <c r="GZ63" s="802"/>
      <c r="HA63" s="800"/>
      <c r="HB63" s="801"/>
      <c r="HC63" s="801"/>
      <c r="HD63" s="801"/>
      <c r="HE63" s="801"/>
      <c r="HF63" s="801"/>
      <c r="HG63" s="801"/>
      <c r="HH63" s="801"/>
      <c r="HI63" s="801"/>
      <c r="HJ63" s="801"/>
      <c r="HK63" s="801"/>
      <c r="HL63" s="801"/>
      <c r="HM63" s="801"/>
      <c r="HN63" s="801"/>
      <c r="HO63" s="801"/>
      <c r="HP63" s="801"/>
      <c r="HQ63" s="801"/>
      <c r="HR63" s="801"/>
      <c r="HS63" s="801"/>
      <c r="HT63" s="801"/>
      <c r="HU63" s="801"/>
      <c r="HV63" s="801"/>
      <c r="HW63" s="801"/>
      <c r="HX63" s="801"/>
      <c r="HY63" s="801"/>
      <c r="HZ63" s="802"/>
      <c r="IA63" s="800"/>
      <c r="IB63" s="801"/>
      <c r="IC63" s="801"/>
      <c r="ID63" s="801"/>
      <c r="IE63" s="801"/>
      <c r="IF63" s="801"/>
      <c r="IG63" s="801"/>
      <c r="IH63" s="801"/>
      <c r="II63" s="801"/>
      <c r="IJ63" s="801"/>
      <c r="IK63" s="801"/>
      <c r="IL63" s="801"/>
      <c r="IM63" s="801"/>
      <c r="IN63" s="801"/>
      <c r="IO63" s="801"/>
      <c r="IP63" s="801"/>
      <c r="IQ63" s="801"/>
      <c r="IR63" s="801"/>
      <c r="IS63" s="801"/>
      <c r="IT63" s="801"/>
      <c r="IU63" s="801"/>
      <c r="IV63" s="801"/>
      <c r="IW63" s="801"/>
      <c r="IX63" s="801"/>
      <c r="IY63" s="801"/>
      <c r="IZ63" s="802"/>
    </row>
    <row r="64" spans="1:260" x14ac:dyDescent="0.25">
      <c r="A64" s="800" t="str">
        <f>IFERROR(IF(Z47&gt;A47-1,IF(INDEX(Pedidos!J:AZ,Y47+A47-1,31)&lt;&gt;"","Nombres :     "&amp; INDEX(Pedidos!J:AZ,Y47+A47-1,31),""),""),"")</f>
        <v/>
      </c>
      <c r="B64" s="801"/>
      <c r="C64" s="801"/>
      <c r="D64" s="801"/>
      <c r="E64" s="801"/>
      <c r="F64" s="801"/>
      <c r="G64" s="801"/>
      <c r="H64" s="801"/>
      <c r="I64" s="801"/>
      <c r="J64" s="801"/>
      <c r="K64" s="801"/>
      <c r="L64" s="801"/>
      <c r="M64" s="801"/>
      <c r="N64" s="801"/>
      <c r="O64" s="801"/>
      <c r="P64" s="801"/>
      <c r="Q64" s="801"/>
      <c r="R64" s="801"/>
      <c r="S64" s="801"/>
      <c r="T64" s="801"/>
      <c r="U64" s="801"/>
      <c r="V64" s="801"/>
      <c r="W64" s="801"/>
      <c r="X64" s="801"/>
      <c r="Y64" s="801"/>
      <c r="Z64" s="802"/>
      <c r="AA64" s="800" t="str">
        <f>IFERROR(IF(AZ47&gt;AA47-1,IF(INDEX(Pedidos!AJ:BZ,AY47+AA47-1,31)&lt;&gt;"","Nombres :     "&amp; INDEX(Pedidos!AJ:BZ,AY47+AA47-1,31),""),""),"")</f>
        <v/>
      </c>
      <c r="AB64" s="801"/>
      <c r="AC64" s="801"/>
      <c r="AD64" s="801"/>
      <c r="AE64" s="801"/>
      <c r="AF64" s="801"/>
      <c r="AG64" s="801"/>
      <c r="AH64" s="801"/>
      <c r="AI64" s="801"/>
      <c r="AJ64" s="801"/>
      <c r="AK64" s="801"/>
      <c r="AL64" s="801"/>
      <c r="AM64" s="801"/>
      <c r="AN64" s="801"/>
      <c r="AO64" s="801"/>
      <c r="AP64" s="801"/>
      <c r="AQ64" s="801"/>
      <c r="AR64" s="801"/>
      <c r="AS64" s="801"/>
      <c r="AT64" s="801"/>
      <c r="AU64" s="801"/>
      <c r="AV64" s="801"/>
      <c r="AW64" s="801"/>
      <c r="AX64" s="801"/>
      <c r="AY64" s="801"/>
      <c r="AZ64" s="802"/>
      <c r="BA64" s="800" t="str">
        <f>IFERROR(IF(BZ47&gt;BA47-1,IF(INDEX(Pedidos!BJ:CZ,BY47+BA47-1,31)&lt;&gt;"","Nombres :     "&amp; INDEX(Pedidos!BJ:CZ,BY47+BA47-1,31),""),""),"")</f>
        <v/>
      </c>
      <c r="BB64" s="801"/>
      <c r="BC64" s="801"/>
      <c r="BD64" s="801"/>
      <c r="BE64" s="801"/>
      <c r="BF64" s="801"/>
      <c r="BG64" s="801"/>
      <c r="BH64" s="801"/>
      <c r="BI64" s="801"/>
      <c r="BJ64" s="801"/>
      <c r="BK64" s="801"/>
      <c r="BL64" s="801"/>
      <c r="BM64" s="801"/>
      <c r="BN64" s="801"/>
      <c r="BO64" s="801"/>
      <c r="BP64" s="801"/>
      <c r="BQ64" s="801"/>
      <c r="BR64" s="801"/>
      <c r="BS64" s="801"/>
      <c r="BT64" s="801"/>
      <c r="BU64" s="801"/>
      <c r="BV64" s="801"/>
      <c r="BW64" s="801"/>
      <c r="BX64" s="801"/>
      <c r="BY64" s="801"/>
      <c r="BZ64" s="802"/>
      <c r="CA64" s="800" t="str">
        <f>IFERROR(IF(CZ47&gt;CA47-1,IF(INDEX(Pedidos!CJ:DZ,CY47+CA47-1,31)&lt;&gt;"","Nombres :     "&amp; INDEX(Pedidos!CJ:DZ,CY47+CA47-1,31),""),""),"")</f>
        <v/>
      </c>
      <c r="CB64" s="801"/>
      <c r="CC64" s="801"/>
      <c r="CD64" s="801"/>
      <c r="CE64" s="801"/>
      <c r="CF64" s="801"/>
      <c r="CG64" s="801"/>
      <c r="CH64" s="801"/>
      <c r="CI64" s="801"/>
      <c r="CJ64" s="801"/>
      <c r="CK64" s="801"/>
      <c r="CL64" s="801"/>
      <c r="CM64" s="801"/>
      <c r="CN64" s="801"/>
      <c r="CO64" s="801"/>
      <c r="CP64" s="801"/>
      <c r="CQ64" s="801"/>
      <c r="CR64" s="801"/>
      <c r="CS64" s="801"/>
      <c r="CT64" s="801"/>
      <c r="CU64" s="801"/>
      <c r="CV64" s="801"/>
      <c r="CW64" s="801"/>
      <c r="CX64" s="801"/>
      <c r="CY64" s="801"/>
      <c r="CZ64" s="802"/>
      <c r="DA64" s="800" t="str">
        <f>IFERROR(IF(DZ47&gt;DA47-1,IF(INDEX(Pedidos!DJ:EZ,DY47+DA47-1,31)&lt;&gt;"","Nombres :     "&amp; INDEX(Pedidos!DJ:EZ,DY47+DA47-1,31),""),""),"")</f>
        <v/>
      </c>
      <c r="DB64" s="801"/>
      <c r="DC64" s="801"/>
      <c r="DD64" s="801"/>
      <c r="DE64" s="801"/>
      <c r="DF64" s="801"/>
      <c r="DG64" s="801"/>
      <c r="DH64" s="801"/>
      <c r="DI64" s="801"/>
      <c r="DJ64" s="801"/>
      <c r="DK64" s="801"/>
      <c r="DL64" s="801"/>
      <c r="DM64" s="801"/>
      <c r="DN64" s="801"/>
      <c r="DO64" s="801"/>
      <c r="DP64" s="801"/>
      <c r="DQ64" s="801"/>
      <c r="DR64" s="801"/>
      <c r="DS64" s="801"/>
      <c r="DT64" s="801"/>
      <c r="DU64" s="801"/>
      <c r="DV64" s="801"/>
      <c r="DW64" s="801"/>
      <c r="DX64" s="801"/>
      <c r="DY64" s="801"/>
      <c r="DZ64" s="802"/>
      <c r="EA64" s="800" t="str">
        <f>IFERROR(IF(EZ47&gt;EA47-1,IF(INDEX(Pedidos!EJ:FZ,EY47+EA47-1,31)&lt;&gt;"","Nombres :     "&amp; INDEX(Pedidos!EJ:FZ,EY47+EA47-1,31),""),""),"")</f>
        <v/>
      </c>
      <c r="EB64" s="801"/>
      <c r="EC64" s="801"/>
      <c r="ED64" s="801"/>
      <c r="EE64" s="801"/>
      <c r="EF64" s="801"/>
      <c r="EG64" s="801"/>
      <c r="EH64" s="801"/>
      <c r="EI64" s="801"/>
      <c r="EJ64" s="801"/>
      <c r="EK64" s="801"/>
      <c r="EL64" s="801"/>
      <c r="EM64" s="801"/>
      <c r="EN64" s="801"/>
      <c r="EO64" s="801"/>
      <c r="EP64" s="801"/>
      <c r="EQ64" s="801"/>
      <c r="ER64" s="801"/>
      <c r="ES64" s="801"/>
      <c r="ET64" s="801"/>
      <c r="EU64" s="801"/>
      <c r="EV64" s="801"/>
      <c r="EW64" s="801"/>
      <c r="EX64" s="801"/>
      <c r="EY64" s="801"/>
      <c r="EZ64" s="802"/>
      <c r="FA64" s="800" t="str">
        <f>IFERROR(IF(FZ47&gt;FA47-1,IF(INDEX(Pedidos!FJ:GZ,FY47+FA47-1,31)&lt;&gt;"","Nombres :     "&amp; INDEX(Pedidos!FJ:GZ,FY47+FA47-1,31),""),""),"")</f>
        <v/>
      </c>
      <c r="FB64" s="801"/>
      <c r="FC64" s="801"/>
      <c r="FD64" s="801"/>
      <c r="FE64" s="801"/>
      <c r="FF64" s="801"/>
      <c r="FG64" s="801"/>
      <c r="FH64" s="801"/>
      <c r="FI64" s="801"/>
      <c r="FJ64" s="801"/>
      <c r="FK64" s="801"/>
      <c r="FL64" s="801"/>
      <c r="FM64" s="801"/>
      <c r="FN64" s="801"/>
      <c r="FO64" s="801"/>
      <c r="FP64" s="801"/>
      <c r="FQ64" s="801"/>
      <c r="FR64" s="801"/>
      <c r="FS64" s="801"/>
      <c r="FT64" s="801"/>
      <c r="FU64" s="801"/>
      <c r="FV64" s="801"/>
      <c r="FW64" s="801"/>
      <c r="FX64" s="801"/>
      <c r="FY64" s="801"/>
      <c r="FZ64" s="802"/>
      <c r="GA64" s="800" t="str">
        <f>IFERROR(IF(GZ47&gt;GA47-1,IF(INDEX(Pedidos!GJ:HZ,GY47+GA47-1,31)&lt;&gt;"","Nombres :     "&amp; INDEX(Pedidos!GJ:HZ,GY47+GA47-1,31),""),""),"")</f>
        <v/>
      </c>
      <c r="GB64" s="801"/>
      <c r="GC64" s="801"/>
      <c r="GD64" s="801"/>
      <c r="GE64" s="801"/>
      <c r="GF64" s="801"/>
      <c r="GG64" s="801"/>
      <c r="GH64" s="801"/>
      <c r="GI64" s="801"/>
      <c r="GJ64" s="801"/>
      <c r="GK64" s="801"/>
      <c r="GL64" s="801"/>
      <c r="GM64" s="801"/>
      <c r="GN64" s="801"/>
      <c r="GO64" s="801"/>
      <c r="GP64" s="801"/>
      <c r="GQ64" s="801"/>
      <c r="GR64" s="801"/>
      <c r="GS64" s="801"/>
      <c r="GT64" s="801"/>
      <c r="GU64" s="801"/>
      <c r="GV64" s="801"/>
      <c r="GW64" s="801"/>
      <c r="GX64" s="801"/>
      <c r="GY64" s="801"/>
      <c r="GZ64" s="802"/>
      <c r="HA64" s="800" t="str">
        <f>IFERROR(IF(HZ47&gt;HA47-1,IF(INDEX(Pedidos!HJ:IZ,HY47+HA47-1,31)&lt;&gt;"","Nombres :     "&amp; INDEX(Pedidos!HJ:IZ,HY47+HA47-1,31),""),""),"")</f>
        <v/>
      </c>
      <c r="HB64" s="801"/>
      <c r="HC64" s="801"/>
      <c r="HD64" s="801"/>
      <c r="HE64" s="801"/>
      <c r="HF64" s="801"/>
      <c r="HG64" s="801"/>
      <c r="HH64" s="801"/>
      <c r="HI64" s="801"/>
      <c r="HJ64" s="801"/>
      <c r="HK64" s="801"/>
      <c r="HL64" s="801"/>
      <c r="HM64" s="801"/>
      <c r="HN64" s="801"/>
      <c r="HO64" s="801"/>
      <c r="HP64" s="801"/>
      <c r="HQ64" s="801"/>
      <c r="HR64" s="801"/>
      <c r="HS64" s="801"/>
      <c r="HT64" s="801"/>
      <c r="HU64" s="801"/>
      <c r="HV64" s="801"/>
      <c r="HW64" s="801"/>
      <c r="HX64" s="801"/>
      <c r="HY64" s="801"/>
      <c r="HZ64" s="802"/>
      <c r="IA64" s="800" t="str">
        <f>IFERROR(IF(IZ47&gt;IA47-1,IF(INDEX(Pedidos!IJ:JZ,IY47+IA47-1,31)&lt;&gt;"","Nombres :     "&amp; INDEX(Pedidos!IJ:JZ,IY47+IA47-1,31),""),""),"")</f>
        <v/>
      </c>
      <c r="IB64" s="801"/>
      <c r="IC64" s="801"/>
      <c r="ID64" s="801"/>
      <c r="IE64" s="801"/>
      <c r="IF64" s="801"/>
      <c r="IG64" s="801"/>
      <c r="IH64" s="801"/>
      <c r="II64" s="801"/>
      <c r="IJ64" s="801"/>
      <c r="IK64" s="801"/>
      <c r="IL64" s="801"/>
      <c r="IM64" s="801"/>
      <c r="IN64" s="801"/>
      <c r="IO64" s="801"/>
      <c r="IP64" s="801"/>
      <c r="IQ64" s="801"/>
      <c r="IR64" s="801"/>
      <c r="IS64" s="801"/>
      <c r="IT64" s="801"/>
      <c r="IU64" s="801"/>
      <c r="IV64" s="801"/>
      <c r="IW64" s="801"/>
      <c r="IX64" s="801"/>
      <c r="IY64" s="801"/>
      <c r="IZ64" s="802"/>
    </row>
    <row r="65" spans="1:260" x14ac:dyDescent="0.25">
      <c r="A65" s="820" t="str">
        <f>IFERROR(IF(Z47&gt;A47-1,IF(INDEX(Pedidos!J:AZ,Y47+A47-1,32)&lt;&gt;"","Localización de los Nombres :     "&amp; INDEX(Pedidos!J:AZ,Y47+A47-1,32),""),""),"")</f>
        <v/>
      </c>
      <c r="B65" s="821"/>
      <c r="C65" s="821"/>
      <c r="D65" s="821"/>
      <c r="E65" s="821"/>
      <c r="F65" s="821"/>
      <c r="G65" s="821"/>
      <c r="H65" s="821"/>
      <c r="I65" s="821"/>
      <c r="J65" s="821"/>
      <c r="K65" s="821"/>
      <c r="L65" s="821"/>
      <c r="M65" s="821"/>
      <c r="N65" s="821"/>
      <c r="O65" s="821"/>
      <c r="P65" s="821"/>
      <c r="Q65" s="821"/>
      <c r="R65" s="821"/>
      <c r="S65" s="821"/>
      <c r="T65" s="821"/>
      <c r="U65" s="821"/>
      <c r="V65" s="821"/>
      <c r="W65" s="821"/>
      <c r="X65" s="821"/>
      <c r="Y65" s="821"/>
      <c r="Z65" s="822"/>
      <c r="AA65" s="820" t="str">
        <f>IFERROR(IF(AZ47&gt;AA47-1,IF(INDEX(Pedidos!AJ:BZ,AY47+AA47-1,32)&lt;&gt;"","Localización de los Nombres :     "&amp; INDEX(Pedidos!AJ:BZ,AY47+AA47-1,32),""),""),"")</f>
        <v/>
      </c>
      <c r="AB65" s="821"/>
      <c r="AC65" s="821"/>
      <c r="AD65" s="821"/>
      <c r="AE65" s="821"/>
      <c r="AF65" s="821"/>
      <c r="AG65" s="821"/>
      <c r="AH65" s="821"/>
      <c r="AI65" s="821"/>
      <c r="AJ65" s="821"/>
      <c r="AK65" s="821"/>
      <c r="AL65" s="821"/>
      <c r="AM65" s="821"/>
      <c r="AN65" s="821"/>
      <c r="AO65" s="821"/>
      <c r="AP65" s="821"/>
      <c r="AQ65" s="821"/>
      <c r="AR65" s="821"/>
      <c r="AS65" s="821"/>
      <c r="AT65" s="821"/>
      <c r="AU65" s="821"/>
      <c r="AV65" s="821"/>
      <c r="AW65" s="821"/>
      <c r="AX65" s="821"/>
      <c r="AY65" s="821"/>
      <c r="AZ65" s="822"/>
      <c r="BA65" s="820" t="str">
        <f>IFERROR(IF(BZ47&gt;BA47-1,IF(INDEX(Pedidos!BJ:CZ,BY47+BA47-1,32)&lt;&gt;"","Localización de los Nombres :     "&amp; INDEX(Pedidos!BJ:CZ,BY47+BA47-1,32),""),""),"")</f>
        <v/>
      </c>
      <c r="BB65" s="821"/>
      <c r="BC65" s="821"/>
      <c r="BD65" s="821"/>
      <c r="BE65" s="821"/>
      <c r="BF65" s="821"/>
      <c r="BG65" s="821"/>
      <c r="BH65" s="821"/>
      <c r="BI65" s="821"/>
      <c r="BJ65" s="821"/>
      <c r="BK65" s="821"/>
      <c r="BL65" s="821"/>
      <c r="BM65" s="821"/>
      <c r="BN65" s="821"/>
      <c r="BO65" s="821"/>
      <c r="BP65" s="821"/>
      <c r="BQ65" s="821"/>
      <c r="BR65" s="821"/>
      <c r="BS65" s="821"/>
      <c r="BT65" s="821"/>
      <c r="BU65" s="821"/>
      <c r="BV65" s="821"/>
      <c r="BW65" s="821"/>
      <c r="BX65" s="821"/>
      <c r="BY65" s="821"/>
      <c r="BZ65" s="822"/>
      <c r="CA65" s="820" t="str">
        <f>IFERROR(IF(CZ47&gt;CA47-1,IF(INDEX(Pedidos!CJ:DZ,CY47+CA47-1,32)&lt;&gt;"","Localización de los Nombres :     "&amp; INDEX(Pedidos!CJ:DZ,CY47+CA47-1,32),""),""),"")</f>
        <v/>
      </c>
      <c r="CB65" s="821"/>
      <c r="CC65" s="821"/>
      <c r="CD65" s="821"/>
      <c r="CE65" s="821"/>
      <c r="CF65" s="821"/>
      <c r="CG65" s="821"/>
      <c r="CH65" s="821"/>
      <c r="CI65" s="821"/>
      <c r="CJ65" s="821"/>
      <c r="CK65" s="821"/>
      <c r="CL65" s="821"/>
      <c r="CM65" s="821"/>
      <c r="CN65" s="821"/>
      <c r="CO65" s="821"/>
      <c r="CP65" s="821"/>
      <c r="CQ65" s="821"/>
      <c r="CR65" s="821"/>
      <c r="CS65" s="821"/>
      <c r="CT65" s="821"/>
      <c r="CU65" s="821"/>
      <c r="CV65" s="821"/>
      <c r="CW65" s="821"/>
      <c r="CX65" s="821"/>
      <c r="CY65" s="821"/>
      <c r="CZ65" s="822"/>
      <c r="DA65" s="820" t="str">
        <f>IFERROR(IF(DZ47&gt;DA47-1,IF(INDEX(Pedidos!DJ:EZ,DY47+DA47-1,32)&lt;&gt;"","Localización de los Nombres :     "&amp; INDEX(Pedidos!DJ:EZ,DY47+DA47-1,32),""),""),"")</f>
        <v/>
      </c>
      <c r="DB65" s="821"/>
      <c r="DC65" s="821"/>
      <c r="DD65" s="821"/>
      <c r="DE65" s="821"/>
      <c r="DF65" s="821"/>
      <c r="DG65" s="821"/>
      <c r="DH65" s="821"/>
      <c r="DI65" s="821"/>
      <c r="DJ65" s="821"/>
      <c r="DK65" s="821"/>
      <c r="DL65" s="821"/>
      <c r="DM65" s="821"/>
      <c r="DN65" s="821"/>
      <c r="DO65" s="821"/>
      <c r="DP65" s="821"/>
      <c r="DQ65" s="821"/>
      <c r="DR65" s="821"/>
      <c r="DS65" s="821"/>
      <c r="DT65" s="821"/>
      <c r="DU65" s="821"/>
      <c r="DV65" s="821"/>
      <c r="DW65" s="821"/>
      <c r="DX65" s="821"/>
      <c r="DY65" s="821"/>
      <c r="DZ65" s="822"/>
      <c r="EA65" s="820" t="str">
        <f>IFERROR(IF(EZ47&gt;EA47-1,IF(INDEX(Pedidos!EJ:FZ,EY47+EA47-1,32)&lt;&gt;"","Localización de los Nombres :     "&amp; INDEX(Pedidos!EJ:FZ,EY47+EA47-1,32),""),""),"")</f>
        <v/>
      </c>
      <c r="EB65" s="821"/>
      <c r="EC65" s="821"/>
      <c r="ED65" s="821"/>
      <c r="EE65" s="821"/>
      <c r="EF65" s="821"/>
      <c r="EG65" s="821"/>
      <c r="EH65" s="821"/>
      <c r="EI65" s="821"/>
      <c r="EJ65" s="821"/>
      <c r="EK65" s="821"/>
      <c r="EL65" s="821"/>
      <c r="EM65" s="821"/>
      <c r="EN65" s="821"/>
      <c r="EO65" s="821"/>
      <c r="EP65" s="821"/>
      <c r="EQ65" s="821"/>
      <c r="ER65" s="821"/>
      <c r="ES65" s="821"/>
      <c r="ET65" s="821"/>
      <c r="EU65" s="821"/>
      <c r="EV65" s="821"/>
      <c r="EW65" s="821"/>
      <c r="EX65" s="821"/>
      <c r="EY65" s="821"/>
      <c r="EZ65" s="822"/>
      <c r="FA65" s="820" t="str">
        <f>IFERROR(IF(FZ47&gt;FA47-1,IF(INDEX(Pedidos!FJ:GZ,FY47+FA47-1,32)&lt;&gt;"","Localización de los Nombres :     "&amp; INDEX(Pedidos!FJ:GZ,FY47+FA47-1,32),""),""),"")</f>
        <v/>
      </c>
      <c r="FB65" s="821"/>
      <c r="FC65" s="821"/>
      <c r="FD65" s="821"/>
      <c r="FE65" s="821"/>
      <c r="FF65" s="821"/>
      <c r="FG65" s="821"/>
      <c r="FH65" s="821"/>
      <c r="FI65" s="821"/>
      <c r="FJ65" s="821"/>
      <c r="FK65" s="821"/>
      <c r="FL65" s="821"/>
      <c r="FM65" s="821"/>
      <c r="FN65" s="821"/>
      <c r="FO65" s="821"/>
      <c r="FP65" s="821"/>
      <c r="FQ65" s="821"/>
      <c r="FR65" s="821"/>
      <c r="FS65" s="821"/>
      <c r="FT65" s="821"/>
      <c r="FU65" s="821"/>
      <c r="FV65" s="821"/>
      <c r="FW65" s="821"/>
      <c r="FX65" s="821"/>
      <c r="FY65" s="821"/>
      <c r="FZ65" s="822"/>
      <c r="GA65" s="820" t="str">
        <f>IFERROR(IF(GZ47&gt;GA47-1,IF(INDEX(Pedidos!GJ:HZ,GY47+GA47-1,32)&lt;&gt;"","Localización de los Nombres :     "&amp; INDEX(Pedidos!GJ:HZ,GY47+GA47-1,32),""),""),"")</f>
        <v/>
      </c>
      <c r="GB65" s="821"/>
      <c r="GC65" s="821"/>
      <c r="GD65" s="821"/>
      <c r="GE65" s="821"/>
      <c r="GF65" s="821"/>
      <c r="GG65" s="821"/>
      <c r="GH65" s="821"/>
      <c r="GI65" s="821"/>
      <c r="GJ65" s="821"/>
      <c r="GK65" s="821"/>
      <c r="GL65" s="821"/>
      <c r="GM65" s="821"/>
      <c r="GN65" s="821"/>
      <c r="GO65" s="821"/>
      <c r="GP65" s="821"/>
      <c r="GQ65" s="821"/>
      <c r="GR65" s="821"/>
      <c r="GS65" s="821"/>
      <c r="GT65" s="821"/>
      <c r="GU65" s="821"/>
      <c r="GV65" s="821"/>
      <c r="GW65" s="821"/>
      <c r="GX65" s="821"/>
      <c r="GY65" s="821"/>
      <c r="GZ65" s="822"/>
      <c r="HA65" s="820" t="str">
        <f>IFERROR(IF(HZ47&gt;HA47-1,IF(INDEX(Pedidos!HJ:IZ,HY47+HA47-1,32)&lt;&gt;"","Localización de los Nombres :     "&amp; INDEX(Pedidos!HJ:IZ,HY47+HA47-1,32),""),""),"")</f>
        <v/>
      </c>
      <c r="HB65" s="821"/>
      <c r="HC65" s="821"/>
      <c r="HD65" s="821"/>
      <c r="HE65" s="821"/>
      <c r="HF65" s="821"/>
      <c r="HG65" s="821"/>
      <c r="HH65" s="821"/>
      <c r="HI65" s="821"/>
      <c r="HJ65" s="821"/>
      <c r="HK65" s="821"/>
      <c r="HL65" s="821"/>
      <c r="HM65" s="821"/>
      <c r="HN65" s="821"/>
      <c r="HO65" s="821"/>
      <c r="HP65" s="821"/>
      <c r="HQ65" s="821"/>
      <c r="HR65" s="821"/>
      <c r="HS65" s="821"/>
      <c r="HT65" s="821"/>
      <c r="HU65" s="821"/>
      <c r="HV65" s="821"/>
      <c r="HW65" s="821"/>
      <c r="HX65" s="821"/>
      <c r="HY65" s="821"/>
      <c r="HZ65" s="822"/>
      <c r="IA65" s="820" t="str">
        <f>IFERROR(IF(IZ47&gt;IA47-1,IF(INDEX(Pedidos!IJ:JZ,IY47+IA47-1,32)&lt;&gt;"","Localización de los Nombres :     "&amp; INDEX(Pedidos!IJ:JZ,IY47+IA47-1,32),""),""),"")</f>
        <v/>
      </c>
      <c r="IB65" s="821"/>
      <c r="IC65" s="821"/>
      <c r="ID65" s="821"/>
      <c r="IE65" s="821"/>
      <c r="IF65" s="821"/>
      <c r="IG65" s="821"/>
      <c r="IH65" s="821"/>
      <c r="II65" s="821"/>
      <c r="IJ65" s="821"/>
      <c r="IK65" s="821"/>
      <c r="IL65" s="821"/>
      <c r="IM65" s="821"/>
      <c r="IN65" s="821"/>
      <c r="IO65" s="821"/>
      <c r="IP65" s="821"/>
      <c r="IQ65" s="821"/>
      <c r="IR65" s="821"/>
      <c r="IS65" s="821"/>
      <c r="IT65" s="821"/>
      <c r="IU65" s="821"/>
      <c r="IV65" s="821"/>
      <c r="IW65" s="821"/>
      <c r="IX65" s="821"/>
      <c r="IY65" s="821"/>
      <c r="IZ65" s="822"/>
    </row>
    <row r="66" spans="1:260" ht="15" customHeight="1" x14ac:dyDescent="0.25">
      <c r="A66" s="836" t="str">
        <f>IFERROR(IF(Z47&gt;A47-1,IF(INDEX(Pedidos!J:AZ,Y47+A47-1,37)&lt;&gt;"","Otras Instrucciones Especiales :     "&amp; INDEX(Pedidos!J:AZ,Y47+A47-1,37),""),""),"")</f>
        <v/>
      </c>
      <c r="B66" s="837"/>
      <c r="C66" s="837"/>
      <c r="D66" s="837"/>
      <c r="E66" s="837"/>
      <c r="F66" s="837"/>
      <c r="G66" s="837"/>
      <c r="H66" s="837"/>
      <c r="I66" s="837"/>
      <c r="J66" s="837"/>
      <c r="K66" s="837"/>
      <c r="L66" s="837"/>
      <c r="M66" s="837"/>
      <c r="N66" s="837"/>
      <c r="O66" s="837"/>
      <c r="P66" s="837"/>
      <c r="Q66" s="837"/>
      <c r="R66" s="837"/>
      <c r="S66" s="837"/>
      <c r="T66" s="837"/>
      <c r="U66" s="837"/>
      <c r="V66" s="837"/>
      <c r="W66" s="837"/>
      <c r="X66" s="837"/>
      <c r="Y66" s="837"/>
      <c r="Z66" s="838"/>
      <c r="AA66" s="836" t="str">
        <f>IFERROR(IF(AZ47&gt;AA47-1,IF(INDEX(Pedidos!AJ:BZ,AY47+AA47-1,37)&lt;&gt;"","Otras Instrucciones Especiales :     "&amp; INDEX(Pedidos!AJ:BZ,AY47+AA47-1,37),""),""),"")</f>
        <v/>
      </c>
      <c r="AB66" s="837"/>
      <c r="AC66" s="837"/>
      <c r="AD66" s="837"/>
      <c r="AE66" s="837"/>
      <c r="AF66" s="837"/>
      <c r="AG66" s="837"/>
      <c r="AH66" s="837"/>
      <c r="AI66" s="837"/>
      <c r="AJ66" s="837"/>
      <c r="AK66" s="837"/>
      <c r="AL66" s="837"/>
      <c r="AM66" s="837"/>
      <c r="AN66" s="837"/>
      <c r="AO66" s="837"/>
      <c r="AP66" s="837"/>
      <c r="AQ66" s="837"/>
      <c r="AR66" s="837"/>
      <c r="AS66" s="837"/>
      <c r="AT66" s="837"/>
      <c r="AU66" s="837"/>
      <c r="AV66" s="837"/>
      <c r="AW66" s="837"/>
      <c r="AX66" s="837"/>
      <c r="AY66" s="837"/>
      <c r="AZ66" s="838"/>
      <c r="BA66" s="836" t="str">
        <f>IFERROR(IF(BZ47&gt;BA47-1,IF(INDEX(Pedidos!BJ:CZ,BY47+BA47-1,37)&lt;&gt;"","Otras Instrucciones Especiales :     "&amp; INDEX(Pedidos!BJ:CZ,BY47+BA47-1,37),""),""),"")</f>
        <v/>
      </c>
      <c r="BB66" s="837"/>
      <c r="BC66" s="837"/>
      <c r="BD66" s="837"/>
      <c r="BE66" s="837"/>
      <c r="BF66" s="837"/>
      <c r="BG66" s="837"/>
      <c r="BH66" s="837"/>
      <c r="BI66" s="837"/>
      <c r="BJ66" s="837"/>
      <c r="BK66" s="837"/>
      <c r="BL66" s="837"/>
      <c r="BM66" s="837"/>
      <c r="BN66" s="837"/>
      <c r="BO66" s="837"/>
      <c r="BP66" s="837"/>
      <c r="BQ66" s="837"/>
      <c r="BR66" s="837"/>
      <c r="BS66" s="837"/>
      <c r="BT66" s="837"/>
      <c r="BU66" s="837"/>
      <c r="BV66" s="837"/>
      <c r="BW66" s="837"/>
      <c r="BX66" s="837"/>
      <c r="BY66" s="837"/>
      <c r="BZ66" s="838"/>
      <c r="CA66" s="836" t="str">
        <f>IFERROR(IF(CZ47&gt;CA47-1,IF(INDEX(Pedidos!CJ:DZ,CY47+CA47-1,37)&lt;&gt;"","Otras Instrucciones Especiales :     "&amp; INDEX(Pedidos!CJ:DZ,CY47+CA47-1,37),""),""),"")</f>
        <v/>
      </c>
      <c r="CB66" s="837"/>
      <c r="CC66" s="837"/>
      <c r="CD66" s="837"/>
      <c r="CE66" s="837"/>
      <c r="CF66" s="837"/>
      <c r="CG66" s="837"/>
      <c r="CH66" s="837"/>
      <c r="CI66" s="837"/>
      <c r="CJ66" s="837"/>
      <c r="CK66" s="837"/>
      <c r="CL66" s="837"/>
      <c r="CM66" s="837"/>
      <c r="CN66" s="837"/>
      <c r="CO66" s="837"/>
      <c r="CP66" s="837"/>
      <c r="CQ66" s="837"/>
      <c r="CR66" s="837"/>
      <c r="CS66" s="837"/>
      <c r="CT66" s="837"/>
      <c r="CU66" s="837"/>
      <c r="CV66" s="837"/>
      <c r="CW66" s="837"/>
      <c r="CX66" s="837"/>
      <c r="CY66" s="837"/>
      <c r="CZ66" s="838"/>
      <c r="DA66" s="836" t="str">
        <f>IFERROR(IF(DZ47&gt;DA47-1,IF(INDEX(Pedidos!DJ:EZ,DY47+DA47-1,37)&lt;&gt;"","Otras Instrucciones Especiales :     "&amp; INDEX(Pedidos!DJ:EZ,DY47+DA47-1,37),""),""),"")</f>
        <v/>
      </c>
      <c r="DB66" s="837"/>
      <c r="DC66" s="837"/>
      <c r="DD66" s="837"/>
      <c r="DE66" s="837"/>
      <c r="DF66" s="837"/>
      <c r="DG66" s="837"/>
      <c r="DH66" s="837"/>
      <c r="DI66" s="837"/>
      <c r="DJ66" s="837"/>
      <c r="DK66" s="837"/>
      <c r="DL66" s="837"/>
      <c r="DM66" s="837"/>
      <c r="DN66" s="837"/>
      <c r="DO66" s="837"/>
      <c r="DP66" s="837"/>
      <c r="DQ66" s="837"/>
      <c r="DR66" s="837"/>
      <c r="DS66" s="837"/>
      <c r="DT66" s="837"/>
      <c r="DU66" s="837"/>
      <c r="DV66" s="837"/>
      <c r="DW66" s="837"/>
      <c r="DX66" s="837"/>
      <c r="DY66" s="837"/>
      <c r="DZ66" s="838"/>
      <c r="EA66" s="836" t="str">
        <f>IFERROR(IF(EZ47&gt;EA47-1,IF(INDEX(Pedidos!EJ:FZ,EY47+EA47-1,37)&lt;&gt;"","Otras Instrucciones Especiales :     "&amp; INDEX(Pedidos!EJ:FZ,EY47+EA47-1,37),""),""),"")</f>
        <v/>
      </c>
      <c r="EB66" s="837"/>
      <c r="EC66" s="837"/>
      <c r="ED66" s="837"/>
      <c r="EE66" s="837"/>
      <c r="EF66" s="837"/>
      <c r="EG66" s="837"/>
      <c r="EH66" s="837"/>
      <c r="EI66" s="837"/>
      <c r="EJ66" s="837"/>
      <c r="EK66" s="837"/>
      <c r="EL66" s="837"/>
      <c r="EM66" s="837"/>
      <c r="EN66" s="837"/>
      <c r="EO66" s="837"/>
      <c r="EP66" s="837"/>
      <c r="EQ66" s="837"/>
      <c r="ER66" s="837"/>
      <c r="ES66" s="837"/>
      <c r="ET66" s="837"/>
      <c r="EU66" s="837"/>
      <c r="EV66" s="837"/>
      <c r="EW66" s="837"/>
      <c r="EX66" s="837"/>
      <c r="EY66" s="837"/>
      <c r="EZ66" s="838"/>
      <c r="FA66" s="836" t="str">
        <f>IFERROR(IF(FZ47&gt;FA47-1,IF(INDEX(Pedidos!FJ:GZ,FY47+FA47-1,37)&lt;&gt;"","Otras Instrucciones Especiales :     "&amp; INDEX(Pedidos!FJ:GZ,FY47+FA47-1,37),""),""),"")</f>
        <v/>
      </c>
      <c r="FB66" s="837"/>
      <c r="FC66" s="837"/>
      <c r="FD66" s="837"/>
      <c r="FE66" s="837"/>
      <c r="FF66" s="837"/>
      <c r="FG66" s="837"/>
      <c r="FH66" s="837"/>
      <c r="FI66" s="837"/>
      <c r="FJ66" s="837"/>
      <c r="FK66" s="837"/>
      <c r="FL66" s="837"/>
      <c r="FM66" s="837"/>
      <c r="FN66" s="837"/>
      <c r="FO66" s="837"/>
      <c r="FP66" s="837"/>
      <c r="FQ66" s="837"/>
      <c r="FR66" s="837"/>
      <c r="FS66" s="837"/>
      <c r="FT66" s="837"/>
      <c r="FU66" s="837"/>
      <c r="FV66" s="837"/>
      <c r="FW66" s="837"/>
      <c r="FX66" s="837"/>
      <c r="FY66" s="837"/>
      <c r="FZ66" s="838"/>
      <c r="GA66" s="836" t="str">
        <f>IFERROR(IF(GZ47&gt;GA47-1,IF(INDEX(Pedidos!GJ:HZ,GY47+GA47-1,37)&lt;&gt;"","Otras Instrucciones Especiales :     "&amp; INDEX(Pedidos!GJ:HZ,GY47+GA47-1,37),""),""),"")</f>
        <v/>
      </c>
      <c r="GB66" s="837"/>
      <c r="GC66" s="837"/>
      <c r="GD66" s="837"/>
      <c r="GE66" s="837"/>
      <c r="GF66" s="837"/>
      <c r="GG66" s="837"/>
      <c r="GH66" s="837"/>
      <c r="GI66" s="837"/>
      <c r="GJ66" s="837"/>
      <c r="GK66" s="837"/>
      <c r="GL66" s="837"/>
      <c r="GM66" s="837"/>
      <c r="GN66" s="837"/>
      <c r="GO66" s="837"/>
      <c r="GP66" s="837"/>
      <c r="GQ66" s="837"/>
      <c r="GR66" s="837"/>
      <c r="GS66" s="837"/>
      <c r="GT66" s="837"/>
      <c r="GU66" s="837"/>
      <c r="GV66" s="837"/>
      <c r="GW66" s="837"/>
      <c r="GX66" s="837"/>
      <c r="GY66" s="837"/>
      <c r="GZ66" s="838"/>
      <c r="HA66" s="836" t="str">
        <f>IFERROR(IF(HZ47&gt;HA47-1,IF(INDEX(Pedidos!HJ:IZ,HY47+HA47-1,37)&lt;&gt;"","Otras Instrucciones Especiales :     "&amp; INDEX(Pedidos!HJ:IZ,HY47+HA47-1,37),""),""),"")</f>
        <v/>
      </c>
      <c r="HB66" s="837"/>
      <c r="HC66" s="837"/>
      <c r="HD66" s="837"/>
      <c r="HE66" s="837"/>
      <c r="HF66" s="837"/>
      <c r="HG66" s="837"/>
      <c r="HH66" s="837"/>
      <c r="HI66" s="837"/>
      <c r="HJ66" s="837"/>
      <c r="HK66" s="837"/>
      <c r="HL66" s="837"/>
      <c r="HM66" s="837"/>
      <c r="HN66" s="837"/>
      <c r="HO66" s="837"/>
      <c r="HP66" s="837"/>
      <c r="HQ66" s="837"/>
      <c r="HR66" s="837"/>
      <c r="HS66" s="837"/>
      <c r="HT66" s="837"/>
      <c r="HU66" s="837"/>
      <c r="HV66" s="837"/>
      <c r="HW66" s="837"/>
      <c r="HX66" s="837"/>
      <c r="HY66" s="837"/>
      <c r="HZ66" s="838"/>
      <c r="IA66" s="836" t="str">
        <f>IFERROR(IF(IZ47&gt;IA47-1,IF(INDEX(Pedidos!IJ:JZ,IY47+IA47-1,37)&lt;&gt;"","Otras Instrucciones Especiales :     "&amp; INDEX(Pedidos!IJ:JZ,IY47+IA47-1,37),""),""),"")</f>
        <v/>
      </c>
      <c r="IB66" s="837"/>
      <c r="IC66" s="837"/>
      <c r="ID66" s="837"/>
      <c r="IE66" s="837"/>
      <c r="IF66" s="837"/>
      <c r="IG66" s="837"/>
      <c r="IH66" s="837"/>
      <c r="II66" s="837"/>
      <c r="IJ66" s="837"/>
      <c r="IK66" s="837"/>
      <c r="IL66" s="837"/>
      <c r="IM66" s="837"/>
      <c r="IN66" s="837"/>
      <c r="IO66" s="837"/>
      <c r="IP66" s="837"/>
      <c r="IQ66" s="837"/>
      <c r="IR66" s="837"/>
      <c r="IS66" s="837"/>
      <c r="IT66" s="837"/>
      <c r="IU66" s="837"/>
      <c r="IV66" s="837"/>
      <c r="IW66" s="837"/>
      <c r="IX66" s="837"/>
      <c r="IY66" s="837"/>
      <c r="IZ66" s="838"/>
    </row>
    <row r="67" spans="1:260" ht="15.75" thickBot="1" x14ac:dyDescent="0.3">
      <c r="A67" s="839"/>
      <c r="B67" s="840"/>
      <c r="C67" s="840"/>
      <c r="D67" s="840"/>
      <c r="E67" s="840"/>
      <c r="F67" s="840"/>
      <c r="G67" s="840"/>
      <c r="H67" s="840"/>
      <c r="I67" s="840"/>
      <c r="J67" s="840"/>
      <c r="K67" s="840"/>
      <c r="L67" s="840"/>
      <c r="M67" s="840"/>
      <c r="N67" s="840"/>
      <c r="O67" s="840"/>
      <c r="P67" s="840"/>
      <c r="Q67" s="840"/>
      <c r="R67" s="840"/>
      <c r="S67" s="840"/>
      <c r="T67" s="840"/>
      <c r="U67" s="840"/>
      <c r="V67" s="840"/>
      <c r="W67" s="840"/>
      <c r="X67" s="840"/>
      <c r="Y67" s="840"/>
      <c r="Z67" s="841"/>
      <c r="AA67" s="839"/>
      <c r="AB67" s="840"/>
      <c r="AC67" s="840"/>
      <c r="AD67" s="840"/>
      <c r="AE67" s="840"/>
      <c r="AF67" s="840"/>
      <c r="AG67" s="840"/>
      <c r="AH67" s="840"/>
      <c r="AI67" s="840"/>
      <c r="AJ67" s="840"/>
      <c r="AK67" s="840"/>
      <c r="AL67" s="840"/>
      <c r="AM67" s="840"/>
      <c r="AN67" s="840"/>
      <c r="AO67" s="840"/>
      <c r="AP67" s="840"/>
      <c r="AQ67" s="840"/>
      <c r="AR67" s="840"/>
      <c r="AS67" s="840"/>
      <c r="AT67" s="840"/>
      <c r="AU67" s="840"/>
      <c r="AV67" s="840"/>
      <c r="AW67" s="840"/>
      <c r="AX67" s="840"/>
      <c r="AY67" s="840"/>
      <c r="AZ67" s="841"/>
      <c r="BA67" s="839"/>
      <c r="BB67" s="840"/>
      <c r="BC67" s="840"/>
      <c r="BD67" s="840"/>
      <c r="BE67" s="840"/>
      <c r="BF67" s="840"/>
      <c r="BG67" s="840"/>
      <c r="BH67" s="840"/>
      <c r="BI67" s="840"/>
      <c r="BJ67" s="840"/>
      <c r="BK67" s="840"/>
      <c r="BL67" s="840"/>
      <c r="BM67" s="840"/>
      <c r="BN67" s="840"/>
      <c r="BO67" s="840"/>
      <c r="BP67" s="840"/>
      <c r="BQ67" s="840"/>
      <c r="BR67" s="840"/>
      <c r="BS67" s="840"/>
      <c r="BT67" s="840"/>
      <c r="BU67" s="840"/>
      <c r="BV67" s="840"/>
      <c r="BW67" s="840"/>
      <c r="BX67" s="840"/>
      <c r="BY67" s="840"/>
      <c r="BZ67" s="841"/>
      <c r="CA67" s="839"/>
      <c r="CB67" s="840"/>
      <c r="CC67" s="840"/>
      <c r="CD67" s="840"/>
      <c r="CE67" s="840"/>
      <c r="CF67" s="840"/>
      <c r="CG67" s="840"/>
      <c r="CH67" s="840"/>
      <c r="CI67" s="840"/>
      <c r="CJ67" s="840"/>
      <c r="CK67" s="840"/>
      <c r="CL67" s="840"/>
      <c r="CM67" s="840"/>
      <c r="CN67" s="840"/>
      <c r="CO67" s="840"/>
      <c r="CP67" s="840"/>
      <c r="CQ67" s="840"/>
      <c r="CR67" s="840"/>
      <c r="CS67" s="840"/>
      <c r="CT67" s="840"/>
      <c r="CU67" s="840"/>
      <c r="CV67" s="840"/>
      <c r="CW67" s="840"/>
      <c r="CX67" s="840"/>
      <c r="CY67" s="840"/>
      <c r="CZ67" s="841"/>
      <c r="DA67" s="839"/>
      <c r="DB67" s="840"/>
      <c r="DC67" s="840"/>
      <c r="DD67" s="840"/>
      <c r="DE67" s="840"/>
      <c r="DF67" s="840"/>
      <c r="DG67" s="840"/>
      <c r="DH67" s="840"/>
      <c r="DI67" s="840"/>
      <c r="DJ67" s="840"/>
      <c r="DK67" s="840"/>
      <c r="DL67" s="840"/>
      <c r="DM67" s="840"/>
      <c r="DN67" s="840"/>
      <c r="DO67" s="840"/>
      <c r="DP67" s="840"/>
      <c r="DQ67" s="840"/>
      <c r="DR67" s="840"/>
      <c r="DS67" s="840"/>
      <c r="DT67" s="840"/>
      <c r="DU67" s="840"/>
      <c r="DV67" s="840"/>
      <c r="DW67" s="840"/>
      <c r="DX67" s="840"/>
      <c r="DY67" s="840"/>
      <c r="DZ67" s="841"/>
      <c r="EA67" s="839"/>
      <c r="EB67" s="840"/>
      <c r="EC67" s="840"/>
      <c r="ED67" s="840"/>
      <c r="EE67" s="840"/>
      <c r="EF67" s="840"/>
      <c r="EG67" s="840"/>
      <c r="EH67" s="840"/>
      <c r="EI67" s="840"/>
      <c r="EJ67" s="840"/>
      <c r="EK67" s="840"/>
      <c r="EL67" s="840"/>
      <c r="EM67" s="840"/>
      <c r="EN67" s="840"/>
      <c r="EO67" s="840"/>
      <c r="EP67" s="840"/>
      <c r="EQ67" s="840"/>
      <c r="ER67" s="840"/>
      <c r="ES67" s="840"/>
      <c r="ET67" s="840"/>
      <c r="EU67" s="840"/>
      <c r="EV67" s="840"/>
      <c r="EW67" s="840"/>
      <c r="EX67" s="840"/>
      <c r="EY67" s="840"/>
      <c r="EZ67" s="841"/>
      <c r="FA67" s="839"/>
      <c r="FB67" s="840"/>
      <c r="FC67" s="840"/>
      <c r="FD67" s="840"/>
      <c r="FE67" s="840"/>
      <c r="FF67" s="840"/>
      <c r="FG67" s="840"/>
      <c r="FH67" s="840"/>
      <c r="FI67" s="840"/>
      <c r="FJ67" s="840"/>
      <c r="FK67" s="840"/>
      <c r="FL67" s="840"/>
      <c r="FM67" s="840"/>
      <c r="FN67" s="840"/>
      <c r="FO67" s="840"/>
      <c r="FP67" s="840"/>
      <c r="FQ67" s="840"/>
      <c r="FR67" s="840"/>
      <c r="FS67" s="840"/>
      <c r="FT67" s="840"/>
      <c r="FU67" s="840"/>
      <c r="FV67" s="840"/>
      <c r="FW67" s="840"/>
      <c r="FX67" s="840"/>
      <c r="FY67" s="840"/>
      <c r="FZ67" s="841"/>
      <c r="GA67" s="839"/>
      <c r="GB67" s="840"/>
      <c r="GC67" s="840"/>
      <c r="GD67" s="840"/>
      <c r="GE67" s="840"/>
      <c r="GF67" s="840"/>
      <c r="GG67" s="840"/>
      <c r="GH67" s="840"/>
      <c r="GI67" s="840"/>
      <c r="GJ67" s="840"/>
      <c r="GK67" s="840"/>
      <c r="GL67" s="840"/>
      <c r="GM67" s="840"/>
      <c r="GN67" s="840"/>
      <c r="GO67" s="840"/>
      <c r="GP67" s="840"/>
      <c r="GQ67" s="840"/>
      <c r="GR67" s="840"/>
      <c r="GS67" s="840"/>
      <c r="GT67" s="840"/>
      <c r="GU67" s="840"/>
      <c r="GV67" s="840"/>
      <c r="GW67" s="840"/>
      <c r="GX67" s="840"/>
      <c r="GY67" s="840"/>
      <c r="GZ67" s="841"/>
      <c r="HA67" s="839"/>
      <c r="HB67" s="840"/>
      <c r="HC67" s="840"/>
      <c r="HD67" s="840"/>
      <c r="HE67" s="840"/>
      <c r="HF67" s="840"/>
      <c r="HG67" s="840"/>
      <c r="HH67" s="840"/>
      <c r="HI67" s="840"/>
      <c r="HJ67" s="840"/>
      <c r="HK67" s="840"/>
      <c r="HL67" s="840"/>
      <c r="HM67" s="840"/>
      <c r="HN67" s="840"/>
      <c r="HO67" s="840"/>
      <c r="HP67" s="840"/>
      <c r="HQ67" s="840"/>
      <c r="HR67" s="840"/>
      <c r="HS67" s="840"/>
      <c r="HT67" s="840"/>
      <c r="HU67" s="840"/>
      <c r="HV67" s="840"/>
      <c r="HW67" s="840"/>
      <c r="HX67" s="840"/>
      <c r="HY67" s="840"/>
      <c r="HZ67" s="841"/>
      <c r="IA67" s="839"/>
      <c r="IB67" s="840"/>
      <c r="IC67" s="840"/>
      <c r="ID67" s="840"/>
      <c r="IE67" s="840"/>
      <c r="IF67" s="840"/>
      <c r="IG67" s="840"/>
      <c r="IH67" s="840"/>
      <c r="II67" s="840"/>
      <c r="IJ67" s="840"/>
      <c r="IK67" s="840"/>
      <c r="IL67" s="840"/>
      <c r="IM67" s="840"/>
      <c r="IN67" s="840"/>
      <c r="IO67" s="840"/>
      <c r="IP67" s="840"/>
      <c r="IQ67" s="840"/>
      <c r="IR67" s="840"/>
      <c r="IS67" s="840"/>
      <c r="IT67" s="840"/>
      <c r="IU67" s="840"/>
      <c r="IV67" s="840"/>
      <c r="IW67" s="840"/>
      <c r="IX67" s="840"/>
      <c r="IY67" s="840"/>
      <c r="IZ67" s="841"/>
    </row>
    <row r="68" spans="1:260" x14ac:dyDescent="0.25">
      <c r="AA68" s="518"/>
      <c r="AB68" s="518"/>
      <c r="AC68" s="518"/>
      <c r="AD68" s="518"/>
      <c r="AE68" s="518"/>
      <c r="AF68" s="518"/>
      <c r="AG68" s="518"/>
      <c r="AH68" s="518"/>
      <c r="AI68" s="518"/>
      <c r="AJ68" s="518"/>
      <c r="AK68" s="518"/>
      <c r="AL68" s="518"/>
      <c r="AM68" s="518"/>
      <c r="AN68" s="518"/>
      <c r="AO68" s="518"/>
      <c r="AP68" s="518"/>
      <c r="AQ68" s="518"/>
      <c r="AR68" s="518"/>
      <c r="AS68" s="518"/>
      <c r="AT68" s="518"/>
      <c r="AU68" s="518"/>
      <c r="AV68" s="518"/>
      <c r="AW68" s="518"/>
    </row>
    <row r="69" spans="1:260" ht="15.75" thickBot="1" x14ac:dyDescent="0.3">
      <c r="A69" s="529">
        <v>4</v>
      </c>
      <c r="B69" s="529"/>
      <c r="C69" s="529"/>
      <c r="D69" s="529"/>
      <c r="E69" s="529"/>
      <c r="F69" s="529"/>
      <c r="G69" s="529"/>
      <c r="H69" s="529"/>
      <c r="I69" s="529"/>
      <c r="J69" s="529">
        <v>18</v>
      </c>
      <c r="K69" s="529">
        <v>19</v>
      </c>
      <c r="L69" s="529">
        <v>20</v>
      </c>
      <c r="M69" s="529">
        <v>21</v>
      </c>
      <c r="N69" s="529">
        <v>22</v>
      </c>
      <c r="O69" s="529">
        <v>23</v>
      </c>
      <c r="P69" s="529">
        <v>24</v>
      </c>
      <c r="Q69" s="529">
        <v>25</v>
      </c>
      <c r="R69" s="529">
        <v>26</v>
      </c>
      <c r="S69" s="529">
        <v>27</v>
      </c>
      <c r="T69" s="529">
        <v>28</v>
      </c>
      <c r="U69" s="529">
        <v>29</v>
      </c>
      <c r="V69" s="529">
        <v>30</v>
      </c>
      <c r="W69" s="529"/>
      <c r="X69" s="529"/>
      <c r="Y69" s="529" t="str">
        <f>IFERROR(IF(COUNTIF(Pedidos!$J:$J,Q$2)&gt;A69-1,MATCH(Q$2,Pedidos!$J:$J,0),""),"")</f>
        <v/>
      </c>
      <c r="Z69" s="529">
        <f>IFERROR(IF(Y69="",0,COUNTIF(Pedidos!$J:$J,Procesos!Q$2)),"")</f>
        <v>0</v>
      </c>
      <c r="AA69" s="529">
        <v>4</v>
      </c>
      <c r="AB69" s="529"/>
      <c r="AC69" s="529"/>
      <c r="AD69" s="529"/>
      <c r="AE69" s="529"/>
      <c r="AF69" s="529"/>
      <c r="AG69" s="529"/>
      <c r="AH69" s="529"/>
      <c r="AI69" s="529"/>
      <c r="AJ69" s="529">
        <v>18</v>
      </c>
      <c r="AK69" s="529">
        <v>19</v>
      </c>
      <c r="AL69" s="529">
        <v>20</v>
      </c>
      <c r="AM69" s="529">
        <v>21</v>
      </c>
      <c r="AN69" s="529">
        <v>22</v>
      </c>
      <c r="AO69" s="529">
        <v>23</v>
      </c>
      <c r="AP69" s="529">
        <v>24</v>
      </c>
      <c r="AQ69" s="529">
        <v>25</v>
      </c>
      <c r="AR69" s="529">
        <v>26</v>
      </c>
      <c r="AS69" s="529">
        <v>27</v>
      </c>
      <c r="AT69" s="529">
        <v>28</v>
      </c>
      <c r="AU69" s="529">
        <v>29</v>
      </c>
      <c r="AV69" s="529">
        <v>30</v>
      </c>
      <c r="AW69" s="529"/>
      <c r="AX69" s="529"/>
      <c r="AY69" s="529">
        <f>IFERROR(IF(COUNTIF(Pedidos!$J:$J,AQ$2)&gt;AA69-1,MATCH(AQ$2,Pedidos!$J:$J,0),""),"")</f>
        <v>30</v>
      </c>
      <c r="AZ69" s="529">
        <f>IFERROR(IF(AY69="",0,COUNTIF(Pedidos!$J:$J,Procesos!AQ$2)),"")</f>
        <v>4</v>
      </c>
      <c r="BA69" s="529">
        <v>4</v>
      </c>
      <c r="BB69" s="529"/>
      <c r="BC69" s="529"/>
      <c r="BD69" s="529"/>
      <c r="BE69" s="529"/>
      <c r="BF69" s="529"/>
      <c r="BG69" s="529"/>
      <c r="BH69" s="529"/>
      <c r="BI69" s="529"/>
      <c r="BJ69" s="529">
        <v>18</v>
      </c>
      <c r="BK69" s="529">
        <v>19</v>
      </c>
      <c r="BL69" s="529">
        <v>20</v>
      </c>
      <c r="BM69" s="529">
        <v>21</v>
      </c>
      <c r="BN69" s="529">
        <v>22</v>
      </c>
      <c r="BO69" s="529">
        <v>23</v>
      </c>
      <c r="BP69" s="529">
        <v>24</v>
      </c>
      <c r="BQ69" s="529">
        <v>25</v>
      </c>
      <c r="BR69" s="529">
        <v>26</v>
      </c>
      <c r="BS69" s="529">
        <v>27</v>
      </c>
      <c r="BT69" s="529">
        <v>28</v>
      </c>
      <c r="BU69" s="529">
        <v>29</v>
      </c>
      <c r="BV69" s="529">
        <v>30</v>
      </c>
      <c r="BW69" s="529"/>
      <c r="BX69" s="529"/>
      <c r="BY69" s="529" t="str">
        <f>IFERROR(IF(COUNTIF(Pedidos!$J:$J,BQ$2)&gt;BA69-1,MATCH(BQ$2,Pedidos!$J:$J,0),""),"")</f>
        <v/>
      </c>
      <c r="BZ69" s="529">
        <f>IFERROR(IF(BY69="",0,COUNTIF(Pedidos!$J:$J,Procesos!BQ$2)),"")</f>
        <v>0</v>
      </c>
      <c r="CA69" s="529">
        <v>4</v>
      </c>
      <c r="CB69" s="529"/>
      <c r="CC69" s="529"/>
      <c r="CD69" s="529"/>
      <c r="CE69" s="529"/>
      <c r="CF69" s="529"/>
      <c r="CG69" s="529"/>
      <c r="CH69" s="529"/>
      <c r="CI69" s="529"/>
      <c r="CJ69" s="529">
        <v>18</v>
      </c>
      <c r="CK69" s="529">
        <v>19</v>
      </c>
      <c r="CL69" s="529">
        <v>20</v>
      </c>
      <c r="CM69" s="529">
        <v>21</v>
      </c>
      <c r="CN69" s="529">
        <v>22</v>
      </c>
      <c r="CO69" s="529">
        <v>23</v>
      </c>
      <c r="CP69" s="529">
        <v>24</v>
      </c>
      <c r="CQ69" s="529">
        <v>25</v>
      </c>
      <c r="CR69" s="529">
        <v>26</v>
      </c>
      <c r="CS69" s="529">
        <v>27</v>
      </c>
      <c r="CT69" s="529">
        <v>28</v>
      </c>
      <c r="CU69" s="529">
        <v>29</v>
      </c>
      <c r="CV69" s="529">
        <v>30</v>
      </c>
      <c r="CW69" s="529"/>
      <c r="CX69" s="529"/>
      <c r="CY69" s="529" t="str">
        <f>IFERROR(IF(COUNTIF(Pedidos!$J:$J,CQ$2)&gt;CA69-1,MATCH(CQ$2,Pedidos!$J:$J,0),""),"")</f>
        <v/>
      </c>
      <c r="CZ69" s="529">
        <f>IFERROR(IF(CY69="",0,COUNTIF(Pedidos!$J:$J,Procesos!CQ$2)),"")</f>
        <v>0</v>
      </c>
      <c r="DA69" s="529">
        <v>4</v>
      </c>
      <c r="DB69" s="529"/>
      <c r="DC69" s="529"/>
      <c r="DD69" s="529"/>
      <c r="DE69" s="529"/>
      <c r="DF69" s="529"/>
      <c r="DG69" s="529"/>
      <c r="DH69" s="529"/>
      <c r="DI69" s="529"/>
      <c r="DJ69" s="529">
        <v>18</v>
      </c>
      <c r="DK69" s="529">
        <v>19</v>
      </c>
      <c r="DL69" s="529">
        <v>20</v>
      </c>
      <c r="DM69" s="529">
        <v>21</v>
      </c>
      <c r="DN69" s="529">
        <v>22</v>
      </c>
      <c r="DO69" s="529">
        <v>23</v>
      </c>
      <c r="DP69" s="529">
        <v>24</v>
      </c>
      <c r="DQ69" s="529">
        <v>25</v>
      </c>
      <c r="DR69" s="529">
        <v>26</v>
      </c>
      <c r="DS69" s="529">
        <v>27</v>
      </c>
      <c r="DT69" s="529">
        <v>28</v>
      </c>
      <c r="DU69" s="529">
        <v>29</v>
      </c>
      <c r="DV69" s="529">
        <v>30</v>
      </c>
      <c r="DW69" s="529"/>
      <c r="DX69" s="529"/>
      <c r="DY69" s="529" t="str">
        <f>IFERROR(IF(COUNTIF(Pedidos!$J:$J,DQ$2)&gt;DA69-1,MATCH(DQ$2,Pedidos!$J:$J,0),""),"")</f>
        <v/>
      </c>
      <c r="DZ69" s="529">
        <f>IFERROR(IF(DY69="",0,COUNTIF(Pedidos!$J:$J,Procesos!DQ$2)),"")</f>
        <v>0</v>
      </c>
      <c r="EA69" s="529">
        <v>4</v>
      </c>
      <c r="EB69" s="529"/>
      <c r="EC69" s="529"/>
      <c r="ED69" s="529"/>
      <c r="EE69" s="529"/>
      <c r="EF69" s="529"/>
      <c r="EG69" s="529"/>
      <c r="EH69" s="529"/>
      <c r="EI69" s="529"/>
      <c r="EJ69" s="529">
        <v>18</v>
      </c>
      <c r="EK69" s="529">
        <v>19</v>
      </c>
      <c r="EL69" s="529">
        <v>20</v>
      </c>
      <c r="EM69" s="529">
        <v>21</v>
      </c>
      <c r="EN69" s="529">
        <v>22</v>
      </c>
      <c r="EO69" s="529">
        <v>23</v>
      </c>
      <c r="EP69" s="529">
        <v>24</v>
      </c>
      <c r="EQ69" s="529">
        <v>25</v>
      </c>
      <c r="ER69" s="529">
        <v>26</v>
      </c>
      <c r="ES69" s="529">
        <v>27</v>
      </c>
      <c r="ET69" s="529">
        <v>28</v>
      </c>
      <c r="EU69" s="529">
        <v>29</v>
      </c>
      <c r="EV69" s="529">
        <v>30</v>
      </c>
      <c r="EW69" s="529"/>
      <c r="EX69" s="529"/>
      <c r="EY69" s="529" t="str">
        <f>IFERROR(IF(COUNTIF(Pedidos!$J:$J,EQ$2)&gt;EA69-1,MATCH(EQ$2,Pedidos!$J:$J,0),""),"")</f>
        <v/>
      </c>
      <c r="EZ69" s="529">
        <f>IFERROR(IF(EY69="",0,COUNTIF(Pedidos!$J:$J,Procesos!EQ$2)),"")</f>
        <v>0</v>
      </c>
      <c r="FA69" s="529">
        <v>4</v>
      </c>
      <c r="FB69" s="529"/>
      <c r="FC69" s="529"/>
      <c r="FD69" s="529"/>
      <c r="FE69" s="529"/>
      <c r="FF69" s="529"/>
      <c r="FG69" s="529"/>
      <c r="FH69" s="529"/>
      <c r="FI69" s="529"/>
      <c r="FJ69" s="529">
        <v>18</v>
      </c>
      <c r="FK69" s="529">
        <v>19</v>
      </c>
      <c r="FL69" s="529">
        <v>20</v>
      </c>
      <c r="FM69" s="529">
        <v>21</v>
      </c>
      <c r="FN69" s="529">
        <v>22</v>
      </c>
      <c r="FO69" s="529">
        <v>23</v>
      </c>
      <c r="FP69" s="529">
        <v>24</v>
      </c>
      <c r="FQ69" s="529">
        <v>25</v>
      </c>
      <c r="FR69" s="529">
        <v>26</v>
      </c>
      <c r="FS69" s="529">
        <v>27</v>
      </c>
      <c r="FT69" s="529">
        <v>28</v>
      </c>
      <c r="FU69" s="529">
        <v>29</v>
      </c>
      <c r="FV69" s="529">
        <v>30</v>
      </c>
      <c r="FW69" s="529"/>
      <c r="FX69" s="529"/>
      <c r="FY69" s="529" t="str">
        <f>IFERROR(IF(COUNTIF(Pedidos!$J:$J,FQ$2)&gt;FA69-1,MATCH(FQ$2,Pedidos!$J:$J,0),""),"")</f>
        <v/>
      </c>
      <c r="FZ69" s="529">
        <f>IFERROR(IF(FY69="",0,COUNTIF(Pedidos!$J:$J,Procesos!FQ$2)),"")</f>
        <v>0</v>
      </c>
      <c r="GA69" s="529">
        <v>4</v>
      </c>
      <c r="GB69" s="529"/>
      <c r="GC69" s="529"/>
      <c r="GD69" s="529"/>
      <c r="GE69" s="529"/>
      <c r="GF69" s="529"/>
      <c r="GG69" s="529"/>
      <c r="GH69" s="529"/>
      <c r="GI69" s="529"/>
      <c r="GJ69" s="529">
        <v>18</v>
      </c>
      <c r="GK69" s="529">
        <v>19</v>
      </c>
      <c r="GL69" s="529">
        <v>20</v>
      </c>
      <c r="GM69" s="529">
        <v>21</v>
      </c>
      <c r="GN69" s="529">
        <v>22</v>
      </c>
      <c r="GO69" s="529">
        <v>23</v>
      </c>
      <c r="GP69" s="529">
        <v>24</v>
      </c>
      <c r="GQ69" s="529">
        <v>25</v>
      </c>
      <c r="GR69" s="529">
        <v>26</v>
      </c>
      <c r="GS69" s="529">
        <v>27</v>
      </c>
      <c r="GT69" s="529">
        <v>28</v>
      </c>
      <c r="GU69" s="529">
        <v>29</v>
      </c>
      <c r="GV69" s="529">
        <v>30</v>
      </c>
      <c r="GW69" s="529"/>
      <c r="GX69" s="529"/>
      <c r="GY69" s="529" t="str">
        <f>IFERROR(IF(COUNTIF(Pedidos!$J:$J,GQ$2)&gt;GA69-1,MATCH(GQ$2,Pedidos!$J:$J,0),""),"")</f>
        <v/>
      </c>
      <c r="GZ69" s="529">
        <f>IFERROR(IF(GY69="",0,COUNTIF(Pedidos!$J:$J,Procesos!GQ$2)),"")</f>
        <v>0</v>
      </c>
      <c r="HA69" s="529">
        <v>4</v>
      </c>
      <c r="HB69" s="529"/>
      <c r="HC69" s="529"/>
      <c r="HD69" s="529"/>
      <c r="HE69" s="529"/>
      <c r="HF69" s="529"/>
      <c r="HG69" s="529"/>
      <c r="HH69" s="529"/>
      <c r="HI69" s="529"/>
      <c r="HJ69" s="529">
        <v>18</v>
      </c>
      <c r="HK69" s="529">
        <v>19</v>
      </c>
      <c r="HL69" s="529">
        <v>20</v>
      </c>
      <c r="HM69" s="529">
        <v>21</v>
      </c>
      <c r="HN69" s="529">
        <v>22</v>
      </c>
      <c r="HO69" s="529">
        <v>23</v>
      </c>
      <c r="HP69" s="529">
        <v>24</v>
      </c>
      <c r="HQ69" s="529">
        <v>25</v>
      </c>
      <c r="HR69" s="529">
        <v>26</v>
      </c>
      <c r="HS69" s="529">
        <v>27</v>
      </c>
      <c r="HT69" s="529">
        <v>28</v>
      </c>
      <c r="HU69" s="529">
        <v>29</v>
      </c>
      <c r="HV69" s="529">
        <v>30</v>
      </c>
      <c r="HW69" s="529"/>
      <c r="HX69" s="529"/>
      <c r="HY69" s="529" t="str">
        <f>IFERROR(IF(COUNTIF(Pedidos!$J:$J,HQ$2)&gt;HA69-1,MATCH(HQ$2,Pedidos!$J:$J,0),""),"")</f>
        <v/>
      </c>
      <c r="HZ69" s="529">
        <f>IFERROR(IF(HY69="",0,COUNTIF(Pedidos!$J:$J,Procesos!HQ$2)),"")</f>
        <v>0</v>
      </c>
      <c r="IA69" s="529">
        <v>4</v>
      </c>
      <c r="IB69" s="529"/>
      <c r="IC69" s="529"/>
      <c r="ID69" s="529"/>
      <c r="IE69" s="529"/>
      <c r="IF69" s="529"/>
      <c r="IG69" s="529"/>
      <c r="IH69" s="529"/>
      <c r="II69" s="529"/>
      <c r="IJ69" s="529">
        <v>18</v>
      </c>
      <c r="IK69" s="529">
        <v>19</v>
      </c>
      <c r="IL69" s="529">
        <v>20</v>
      </c>
      <c r="IM69" s="529">
        <v>21</v>
      </c>
      <c r="IN69" s="529">
        <v>22</v>
      </c>
      <c r="IO69" s="529">
        <v>23</v>
      </c>
      <c r="IP69" s="529">
        <v>24</v>
      </c>
      <c r="IQ69" s="529">
        <v>25</v>
      </c>
      <c r="IR69" s="529">
        <v>26</v>
      </c>
      <c r="IS69" s="529">
        <v>27</v>
      </c>
      <c r="IT69" s="529">
        <v>28</v>
      </c>
      <c r="IU69" s="529">
        <v>29</v>
      </c>
      <c r="IV69" s="529">
        <v>30</v>
      </c>
      <c r="IW69" s="529"/>
      <c r="IX69" s="529"/>
      <c r="IY69" s="529" t="str">
        <f>IFERROR(IF(COUNTIF(Pedidos!$J:$J,IQ$2)&gt;IA69-1,MATCH(IQ$2,Pedidos!$J:$J,0),""),"")</f>
        <v/>
      </c>
      <c r="IZ69" s="529">
        <f>IFERROR(IF(IY69="",0,COUNTIF(Pedidos!$J:$J,Procesos!IQ$2)),"")</f>
        <v>0</v>
      </c>
    </row>
    <row r="70" spans="1:260" x14ac:dyDescent="0.25">
      <c r="A70" s="815" t="str">
        <f>IF(Z69&gt;=A69,Q$2 &amp;"     ITEM # "&amp;A69,"")</f>
        <v/>
      </c>
      <c r="B70" s="816"/>
      <c r="C70" s="816"/>
      <c r="D70" s="816"/>
      <c r="E70" s="816"/>
      <c r="F70" s="816"/>
      <c r="G70" s="816"/>
      <c r="H70" s="816"/>
      <c r="I70" s="817"/>
      <c r="J70" s="818" t="str">
        <f>IF(Z69&gt;=A69,$J$6,"")</f>
        <v/>
      </c>
      <c r="K70" s="816"/>
      <c r="L70" s="816"/>
      <c r="M70" s="816"/>
      <c r="N70" s="816"/>
      <c r="O70" s="816"/>
      <c r="P70" s="816"/>
      <c r="Q70" s="816"/>
      <c r="R70" s="816"/>
      <c r="S70" s="816"/>
      <c r="T70" s="816"/>
      <c r="U70" s="816"/>
      <c r="V70" s="816"/>
      <c r="W70" s="816"/>
      <c r="X70" s="816"/>
      <c r="Y70" s="816"/>
      <c r="Z70" s="819"/>
      <c r="AA70" s="815" t="str">
        <f>IF(AZ69&gt;=AA69,AQ$2 &amp;"     ITEM # "&amp;AA69,"")</f>
        <v>PO# 20     ITEM # 4</v>
      </c>
      <c r="AB70" s="816"/>
      <c r="AC70" s="816"/>
      <c r="AD70" s="816"/>
      <c r="AE70" s="816"/>
      <c r="AF70" s="816"/>
      <c r="AG70" s="816"/>
      <c r="AH70" s="816"/>
      <c r="AI70" s="817"/>
      <c r="AJ70" s="818" t="str">
        <f>IF(AZ69&gt;=AA69,$J$6,"")</f>
        <v>Tallas</v>
      </c>
      <c r="AK70" s="816"/>
      <c r="AL70" s="816"/>
      <c r="AM70" s="816"/>
      <c r="AN70" s="816"/>
      <c r="AO70" s="816"/>
      <c r="AP70" s="816"/>
      <c r="AQ70" s="816"/>
      <c r="AR70" s="816"/>
      <c r="AS70" s="816"/>
      <c r="AT70" s="816"/>
      <c r="AU70" s="816"/>
      <c r="AV70" s="816"/>
      <c r="AW70" s="816"/>
      <c r="AX70" s="816"/>
      <c r="AY70" s="816"/>
      <c r="AZ70" s="819"/>
      <c r="BA70" s="815" t="str">
        <f>IF(BZ69&gt;=BA69,BQ$2 &amp;"     ITEM # "&amp;BA69,"")</f>
        <v/>
      </c>
      <c r="BB70" s="816"/>
      <c r="BC70" s="816"/>
      <c r="BD70" s="816"/>
      <c r="BE70" s="816"/>
      <c r="BF70" s="816"/>
      <c r="BG70" s="816"/>
      <c r="BH70" s="816"/>
      <c r="BI70" s="817"/>
      <c r="BJ70" s="818" t="str">
        <f>IF(BZ69&gt;=BA69,$J$6,"")</f>
        <v/>
      </c>
      <c r="BK70" s="816"/>
      <c r="BL70" s="816"/>
      <c r="BM70" s="816"/>
      <c r="BN70" s="816"/>
      <c r="BO70" s="816"/>
      <c r="BP70" s="816"/>
      <c r="BQ70" s="816"/>
      <c r="BR70" s="816"/>
      <c r="BS70" s="816"/>
      <c r="BT70" s="816"/>
      <c r="BU70" s="816"/>
      <c r="BV70" s="816"/>
      <c r="BW70" s="816"/>
      <c r="BX70" s="816"/>
      <c r="BY70" s="816"/>
      <c r="BZ70" s="819"/>
      <c r="CA70" s="815" t="str">
        <f>IF(CZ69&gt;=CA69,CQ$2 &amp;"     ITEM # "&amp;CA69,"")</f>
        <v/>
      </c>
      <c r="CB70" s="816"/>
      <c r="CC70" s="816"/>
      <c r="CD70" s="816"/>
      <c r="CE70" s="816"/>
      <c r="CF70" s="816"/>
      <c r="CG70" s="816"/>
      <c r="CH70" s="816"/>
      <c r="CI70" s="817"/>
      <c r="CJ70" s="818" t="str">
        <f>IF(CZ69&gt;=CA69,$J$6,"")</f>
        <v/>
      </c>
      <c r="CK70" s="816"/>
      <c r="CL70" s="816"/>
      <c r="CM70" s="816"/>
      <c r="CN70" s="816"/>
      <c r="CO70" s="816"/>
      <c r="CP70" s="816"/>
      <c r="CQ70" s="816"/>
      <c r="CR70" s="816"/>
      <c r="CS70" s="816"/>
      <c r="CT70" s="816"/>
      <c r="CU70" s="816"/>
      <c r="CV70" s="816"/>
      <c r="CW70" s="816"/>
      <c r="CX70" s="816"/>
      <c r="CY70" s="816"/>
      <c r="CZ70" s="819"/>
      <c r="DA70" s="815" t="str">
        <f>IF(DZ69&gt;=DA69,DQ$2 &amp;"     ITEM # "&amp;DA69,"")</f>
        <v/>
      </c>
      <c r="DB70" s="816"/>
      <c r="DC70" s="816"/>
      <c r="DD70" s="816"/>
      <c r="DE70" s="816"/>
      <c r="DF70" s="816"/>
      <c r="DG70" s="816"/>
      <c r="DH70" s="816"/>
      <c r="DI70" s="817"/>
      <c r="DJ70" s="818" t="str">
        <f>IF(DZ69&gt;=DA69,$J$6,"")</f>
        <v/>
      </c>
      <c r="DK70" s="816"/>
      <c r="DL70" s="816"/>
      <c r="DM70" s="816"/>
      <c r="DN70" s="816"/>
      <c r="DO70" s="816"/>
      <c r="DP70" s="816"/>
      <c r="DQ70" s="816"/>
      <c r="DR70" s="816"/>
      <c r="DS70" s="816"/>
      <c r="DT70" s="816"/>
      <c r="DU70" s="816"/>
      <c r="DV70" s="816"/>
      <c r="DW70" s="816"/>
      <c r="DX70" s="816"/>
      <c r="DY70" s="816"/>
      <c r="DZ70" s="819"/>
      <c r="EA70" s="815" t="str">
        <f>IF(EZ69&gt;=EA69,EQ$2 &amp;"     ITEM # "&amp;EA69,"")</f>
        <v/>
      </c>
      <c r="EB70" s="816"/>
      <c r="EC70" s="816"/>
      <c r="ED70" s="816"/>
      <c r="EE70" s="816"/>
      <c r="EF70" s="816"/>
      <c r="EG70" s="816"/>
      <c r="EH70" s="816"/>
      <c r="EI70" s="817"/>
      <c r="EJ70" s="818" t="str">
        <f>IF(EZ69&gt;=EA69,$J$6,"")</f>
        <v/>
      </c>
      <c r="EK70" s="816"/>
      <c r="EL70" s="816"/>
      <c r="EM70" s="816"/>
      <c r="EN70" s="816"/>
      <c r="EO70" s="816"/>
      <c r="EP70" s="816"/>
      <c r="EQ70" s="816"/>
      <c r="ER70" s="816"/>
      <c r="ES70" s="816"/>
      <c r="ET70" s="816"/>
      <c r="EU70" s="816"/>
      <c r="EV70" s="816"/>
      <c r="EW70" s="816"/>
      <c r="EX70" s="816"/>
      <c r="EY70" s="816"/>
      <c r="EZ70" s="819"/>
      <c r="FA70" s="815" t="str">
        <f>IF(FZ69&gt;=FA69,FQ$2 &amp;"     ITEM # "&amp;FA69,"")</f>
        <v/>
      </c>
      <c r="FB70" s="816"/>
      <c r="FC70" s="816"/>
      <c r="FD70" s="816"/>
      <c r="FE70" s="816"/>
      <c r="FF70" s="816"/>
      <c r="FG70" s="816"/>
      <c r="FH70" s="816"/>
      <c r="FI70" s="817"/>
      <c r="FJ70" s="818" t="str">
        <f>IF(FZ69&gt;=FA69,$J$6,"")</f>
        <v/>
      </c>
      <c r="FK70" s="816"/>
      <c r="FL70" s="816"/>
      <c r="FM70" s="816"/>
      <c r="FN70" s="816"/>
      <c r="FO70" s="816"/>
      <c r="FP70" s="816"/>
      <c r="FQ70" s="816"/>
      <c r="FR70" s="816"/>
      <c r="FS70" s="816"/>
      <c r="FT70" s="816"/>
      <c r="FU70" s="816"/>
      <c r="FV70" s="816"/>
      <c r="FW70" s="816"/>
      <c r="FX70" s="816"/>
      <c r="FY70" s="816"/>
      <c r="FZ70" s="819"/>
      <c r="GA70" s="815" t="str">
        <f>IF(GZ69&gt;=GA69,GQ$2 &amp;"     ITEM # "&amp;GA69,"")</f>
        <v/>
      </c>
      <c r="GB70" s="816"/>
      <c r="GC70" s="816"/>
      <c r="GD70" s="816"/>
      <c r="GE70" s="816"/>
      <c r="GF70" s="816"/>
      <c r="GG70" s="816"/>
      <c r="GH70" s="816"/>
      <c r="GI70" s="817"/>
      <c r="GJ70" s="818" t="str">
        <f>IF(GZ69&gt;=GA69,$J$6,"")</f>
        <v/>
      </c>
      <c r="GK70" s="816"/>
      <c r="GL70" s="816"/>
      <c r="GM70" s="816"/>
      <c r="GN70" s="816"/>
      <c r="GO70" s="816"/>
      <c r="GP70" s="816"/>
      <c r="GQ70" s="816"/>
      <c r="GR70" s="816"/>
      <c r="GS70" s="816"/>
      <c r="GT70" s="816"/>
      <c r="GU70" s="816"/>
      <c r="GV70" s="816"/>
      <c r="GW70" s="816"/>
      <c r="GX70" s="816"/>
      <c r="GY70" s="816"/>
      <c r="GZ70" s="819"/>
      <c r="HA70" s="815" t="str">
        <f>IF(HZ69&gt;=HA69,HQ$2 &amp;"     ITEM # "&amp;HA69,"")</f>
        <v/>
      </c>
      <c r="HB70" s="816"/>
      <c r="HC70" s="816"/>
      <c r="HD70" s="816"/>
      <c r="HE70" s="816"/>
      <c r="HF70" s="816"/>
      <c r="HG70" s="816"/>
      <c r="HH70" s="816"/>
      <c r="HI70" s="817"/>
      <c r="HJ70" s="818" t="str">
        <f>IF(HZ69&gt;=HA69,$J$6,"")</f>
        <v/>
      </c>
      <c r="HK70" s="816"/>
      <c r="HL70" s="816"/>
      <c r="HM70" s="816"/>
      <c r="HN70" s="816"/>
      <c r="HO70" s="816"/>
      <c r="HP70" s="816"/>
      <c r="HQ70" s="816"/>
      <c r="HR70" s="816"/>
      <c r="HS70" s="816"/>
      <c r="HT70" s="816"/>
      <c r="HU70" s="816"/>
      <c r="HV70" s="816"/>
      <c r="HW70" s="816"/>
      <c r="HX70" s="816"/>
      <c r="HY70" s="816"/>
      <c r="HZ70" s="819"/>
      <c r="IA70" s="815" t="str">
        <f>IF(IZ69&gt;=IA69,IQ$2 &amp;"     ITEM # "&amp;IA69,"")</f>
        <v/>
      </c>
      <c r="IB70" s="816"/>
      <c r="IC70" s="816"/>
      <c r="ID70" s="816"/>
      <c r="IE70" s="816"/>
      <c r="IF70" s="816"/>
      <c r="IG70" s="816"/>
      <c r="IH70" s="816"/>
      <c r="II70" s="817"/>
      <c r="IJ70" s="818" t="str">
        <f>IF(IZ69&gt;=IA69,$J$6,"")</f>
        <v/>
      </c>
      <c r="IK70" s="816"/>
      <c r="IL70" s="816"/>
      <c r="IM70" s="816"/>
      <c r="IN70" s="816"/>
      <c r="IO70" s="816"/>
      <c r="IP70" s="816"/>
      <c r="IQ70" s="816"/>
      <c r="IR70" s="816"/>
      <c r="IS70" s="816"/>
      <c r="IT70" s="816"/>
      <c r="IU70" s="816"/>
      <c r="IV70" s="816"/>
      <c r="IW70" s="816"/>
      <c r="IX70" s="816"/>
      <c r="IY70" s="816"/>
      <c r="IZ70" s="819"/>
    </row>
    <row r="71" spans="1:260" x14ac:dyDescent="0.25">
      <c r="A71" s="848" t="str">
        <f>IFERROR(INDEX(Lista_Pedidos,Procesos!Y69+A69-1,5),"")</f>
        <v/>
      </c>
      <c r="B71" s="843"/>
      <c r="C71" s="843"/>
      <c r="D71" s="843"/>
      <c r="E71" s="843"/>
      <c r="F71" s="843"/>
      <c r="G71" s="843"/>
      <c r="H71" s="843"/>
      <c r="I71" s="844"/>
      <c r="J71" s="842" t="str">
        <f>IF(Z69&gt;=A69,$J$7,"")</f>
        <v/>
      </c>
      <c r="K71" s="843"/>
      <c r="L71" s="844"/>
      <c r="M71" s="842" t="str">
        <f>IF(Z69&gt;=A69,$M$7,"")</f>
        <v/>
      </c>
      <c r="N71" s="843"/>
      <c r="O71" s="844"/>
      <c r="P71" s="842" t="str">
        <f>IF(Z69&gt;=A69,$P$7,"")</f>
        <v/>
      </c>
      <c r="Q71" s="843"/>
      <c r="R71" s="843"/>
      <c r="S71" s="843"/>
      <c r="T71" s="843"/>
      <c r="U71" s="844"/>
      <c r="V71" s="834" t="str">
        <f>IF(Z69&gt;=A69,$V$7,"")</f>
        <v/>
      </c>
      <c r="W71" s="842" t="str">
        <f>IF(Z69&gt;=A69,$W$7,"")</f>
        <v/>
      </c>
      <c r="X71" s="843"/>
      <c r="Y71" s="843"/>
      <c r="Z71" s="850"/>
      <c r="AA71" s="848" t="str">
        <f>IFERROR(INDEX(Lista_Pedidos,Procesos!AY69+AA69-1,5),"")</f>
        <v>Onix Fitted Jacket</v>
      </c>
      <c r="AB71" s="843"/>
      <c r="AC71" s="843"/>
      <c r="AD71" s="843"/>
      <c r="AE71" s="843"/>
      <c r="AF71" s="843"/>
      <c r="AG71" s="843"/>
      <c r="AH71" s="843"/>
      <c r="AI71" s="844"/>
      <c r="AJ71" s="842" t="str">
        <f>IF(AZ69&gt;=AA69,$J$7,"")</f>
        <v>Niña</v>
      </c>
      <c r="AK71" s="843"/>
      <c r="AL71" s="844"/>
      <c r="AM71" s="842" t="str">
        <f>IF(AZ69&gt;=AA69,$M$7,"")</f>
        <v>Joven</v>
      </c>
      <c r="AN71" s="843"/>
      <c r="AO71" s="844"/>
      <c r="AP71" s="842" t="str">
        <f>IF(AZ69&gt;=AA69,$P$7,"")</f>
        <v>Adulto</v>
      </c>
      <c r="AQ71" s="843"/>
      <c r="AR71" s="843"/>
      <c r="AS71" s="843"/>
      <c r="AT71" s="843"/>
      <c r="AU71" s="844"/>
      <c r="AV71" s="834" t="str">
        <f>IF(AZ69&gt;=AA69,$V$7,"")</f>
        <v>Acc</v>
      </c>
      <c r="AW71" s="842" t="str">
        <f>IF(AZ69&gt;=AA69,$W$7,"")</f>
        <v>Total</v>
      </c>
      <c r="AX71" s="843"/>
      <c r="AY71" s="843"/>
      <c r="AZ71" s="850"/>
      <c r="BA71" s="848" t="str">
        <f>IFERROR(INDEX(Lista_Pedidos,Procesos!BY69+BA69-1,5),"")</f>
        <v/>
      </c>
      <c r="BB71" s="843"/>
      <c r="BC71" s="843"/>
      <c r="BD71" s="843"/>
      <c r="BE71" s="843"/>
      <c r="BF71" s="843"/>
      <c r="BG71" s="843"/>
      <c r="BH71" s="843"/>
      <c r="BI71" s="844"/>
      <c r="BJ71" s="842" t="str">
        <f>IF(BZ69&gt;=BA69,$J$7,"")</f>
        <v/>
      </c>
      <c r="BK71" s="843"/>
      <c r="BL71" s="844"/>
      <c r="BM71" s="842" t="str">
        <f>IF(BZ69&gt;=BA69,$M$7,"")</f>
        <v/>
      </c>
      <c r="BN71" s="843"/>
      <c r="BO71" s="844"/>
      <c r="BP71" s="842" t="str">
        <f>IF(BZ69&gt;=BA69,$P$7,"")</f>
        <v/>
      </c>
      <c r="BQ71" s="843"/>
      <c r="BR71" s="843"/>
      <c r="BS71" s="843"/>
      <c r="BT71" s="843"/>
      <c r="BU71" s="844"/>
      <c r="BV71" s="834" t="str">
        <f>IF(BZ69&gt;=BA69,$V$7,"")</f>
        <v/>
      </c>
      <c r="BW71" s="842" t="str">
        <f>IF(BZ69&gt;=BA69,$W$7,"")</f>
        <v/>
      </c>
      <c r="BX71" s="843"/>
      <c r="BY71" s="843"/>
      <c r="BZ71" s="850"/>
      <c r="CA71" s="848" t="str">
        <f>IFERROR(INDEX(Lista_Pedidos,Procesos!CY69+CA69-1,5),"")</f>
        <v/>
      </c>
      <c r="CB71" s="843"/>
      <c r="CC71" s="843"/>
      <c r="CD71" s="843"/>
      <c r="CE71" s="843"/>
      <c r="CF71" s="843"/>
      <c r="CG71" s="843"/>
      <c r="CH71" s="843"/>
      <c r="CI71" s="844"/>
      <c r="CJ71" s="842" t="str">
        <f>IF(CZ69&gt;=CA69,$J$7,"")</f>
        <v/>
      </c>
      <c r="CK71" s="843"/>
      <c r="CL71" s="844"/>
      <c r="CM71" s="842" t="str">
        <f>IF(CZ69&gt;=CA69,$M$7,"")</f>
        <v/>
      </c>
      <c r="CN71" s="843"/>
      <c r="CO71" s="844"/>
      <c r="CP71" s="842" t="str">
        <f>IF(CZ69&gt;=CA69,$P$7,"")</f>
        <v/>
      </c>
      <c r="CQ71" s="843"/>
      <c r="CR71" s="843"/>
      <c r="CS71" s="843"/>
      <c r="CT71" s="843"/>
      <c r="CU71" s="844"/>
      <c r="CV71" s="834" t="str">
        <f>IF(CZ69&gt;=CA69,$V$7,"")</f>
        <v/>
      </c>
      <c r="CW71" s="842" t="str">
        <f>IF(CZ69&gt;=CA69,$W$7,"")</f>
        <v/>
      </c>
      <c r="CX71" s="843"/>
      <c r="CY71" s="843"/>
      <c r="CZ71" s="850"/>
      <c r="DA71" s="848" t="str">
        <f>IFERROR(INDEX(Lista_Pedidos,Procesos!DY69+DA69-1,5),"")</f>
        <v/>
      </c>
      <c r="DB71" s="843"/>
      <c r="DC71" s="843"/>
      <c r="DD71" s="843"/>
      <c r="DE71" s="843"/>
      <c r="DF71" s="843"/>
      <c r="DG71" s="843"/>
      <c r="DH71" s="843"/>
      <c r="DI71" s="844"/>
      <c r="DJ71" s="842" t="str">
        <f>IF(DZ69&gt;=DA69,$J$7,"")</f>
        <v/>
      </c>
      <c r="DK71" s="843"/>
      <c r="DL71" s="844"/>
      <c r="DM71" s="842" t="str">
        <f>IF(DZ69&gt;=DA69,$M$7,"")</f>
        <v/>
      </c>
      <c r="DN71" s="843"/>
      <c r="DO71" s="844"/>
      <c r="DP71" s="842" t="str">
        <f>IF(DZ69&gt;=DA69,$P$7,"")</f>
        <v/>
      </c>
      <c r="DQ71" s="843"/>
      <c r="DR71" s="843"/>
      <c r="DS71" s="843"/>
      <c r="DT71" s="843"/>
      <c r="DU71" s="844"/>
      <c r="DV71" s="834" t="str">
        <f>IF(DZ69&gt;=DA69,$V$7,"")</f>
        <v/>
      </c>
      <c r="DW71" s="842" t="str">
        <f>IF(DZ69&gt;=DA69,$W$7,"")</f>
        <v/>
      </c>
      <c r="DX71" s="843"/>
      <c r="DY71" s="843"/>
      <c r="DZ71" s="850"/>
      <c r="EA71" s="848" t="str">
        <f>IFERROR(INDEX(Lista_Pedidos,Procesos!EY69+EA69-1,5),"")</f>
        <v/>
      </c>
      <c r="EB71" s="843"/>
      <c r="EC71" s="843"/>
      <c r="ED71" s="843"/>
      <c r="EE71" s="843"/>
      <c r="EF71" s="843"/>
      <c r="EG71" s="843"/>
      <c r="EH71" s="843"/>
      <c r="EI71" s="844"/>
      <c r="EJ71" s="842" t="str">
        <f>IF(EZ69&gt;=EA69,$J$7,"")</f>
        <v/>
      </c>
      <c r="EK71" s="843"/>
      <c r="EL71" s="844"/>
      <c r="EM71" s="842" t="str">
        <f>IF(EZ69&gt;=EA69,$M$7,"")</f>
        <v/>
      </c>
      <c r="EN71" s="843"/>
      <c r="EO71" s="844"/>
      <c r="EP71" s="842" t="str">
        <f>IF(EZ69&gt;=EA69,$P$7,"")</f>
        <v/>
      </c>
      <c r="EQ71" s="843"/>
      <c r="ER71" s="843"/>
      <c r="ES71" s="843"/>
      <c r="ET71" s="843"/>
      <c r="EU71" s="844"/>
      <c r="EV71" s="834" t="str">
        <f>IF(EZ69&gt;=EA69,$V$7,"")</f>
        <v/>
      </c>
      <c r="EW71" s="842" t="str">
        <f>IF(EZ69&gt;=EA69,$W$7,"")</f>
        <v/>
      </c>
      <c r="EX71" s="843"/>
      <c r="EY71" s="843"/>
      <c r="EZ71" s="850"/>
      <c r="FA71" s="848" t="str">
        <f>IFERROR(INDEX(Lista_Pedidos,Procesos!FY69+FA69-1,5),"")</f>
        <v/>
      </c>
      <c r="FB71" s="843"/>
      <c r="FC71" s="843"/>
      <c r="FD71" s="843"/>
      <c r="FE71" s="843"/>
      <c r="FF71" s="843"/>
      <c r="FG71" s="843"/>
      <c r="FH71" s="843"/>
      <c r="FI71" s="844"/>
      <c r="FJ71" s="842" t="str">
        <f>IF(FZ69&gt;=FA69,$J$7,"")</f>
        <v/>
      </c>
      <c r="FK71" s="843"/>
      <c r="FL71" s="844"/>
      <c r="FM71" s="842" t="str">
        <f>IF(FZ69&gt;=FA69,$M$7,"")</f>
        <v/>
      </c>
      <c r="FN71" s="843"/>
      <c r="FO71" s="844"/>
      <c r="FP71" s="842" t="str">
        <f>IF(FZ69&gt;=FA69,$P$7,"")</f>
        <v/>
      </c>
      <c r="FQ71" s="843"/>
      <c r="FR71" s="843"/>
      <c r="FS71" s="843"/>
      <c r="FT71" s="843"/>
      <c r="FU71" s="844"/>
      <c r="FV71" s="834" t="str">
        <f>IF(FZ69&gt;=FA69,$V$7,"")</f>
        <v/>
      </c>
      <c r="FW71" s="842" t="str">
        <f>IF(FZ69&gt;=FA69,$W$7,"")</f>
        <v/>
      </c>
      <c r="FX71" s="843"/>
      <c r="FY71" s="843"/>
      <c r="FZ71" s="850"/>
      <c r="GA71" s="848" t="str">
        <f>IFERROR(INDEX(Lista_Pedidos,Procesos!GY69+GA69-1,5),"")</f>
        <v/>
      </c>
      <c r="GB71" s="843"/>
      <c r="GC71" s="843"/>
      <c r="GD71" s="843"/>
      <c r="GE71" s="843"/>
      <c r="GF71" s="843"/>
      <c r="GG71" s="843"/>
      <c r="GH71" s="843"/>
      <c r="GI71" s="844"/>
      <c r="GJ71" s="842" t="str">
        <f>IF(GZ69&gt;=GA69,$J$7,"")</f>
        <v/>
      </c>
      <c r="GK71" s="843"/>
      <c r="GL71" s="844"/>
      <c r="GM71" s="842" t="str">
        <f>IF(GZ69&gt;=GA69,$M$7,"")</f>
        <v/>
      </c>
      <c r="GN71" s="843"/>
      <c r="GO71" s="844"/>
      <c r="GP71" s="842" t="str">
        <f>IF(GZ69&gt;=GA69,$P$7,"")</f>
        <v/>
      </c>
      <c r="GQ71" s="843"/>
      <c r="GR71" s="843"/>
      <c r="GS71" s="843"/>
      <c r="GT71" s="843"/>
      <c r="GU71" s="844"/>
      <c r="GV71" s="834" t="str">
        <f>IF(GZ69&gt;=GA69,$V$7,"")</f>
        <v/>
      </c>
      <c r="GW71" s="842" t="str">
        <f>IF(GZ69&gt;=GA69,$W$7,"")</f>
        <v/>
      </c>
      <c r="GX71" s="843"/>
      <c r="GY71" s="843"/>
      <c r="GZ71" s="850"/>
      <c r="HA71" s="848" t="str">
        <f>IFERROR(INDEX(Lista_Pedidos,Procesos!HY69+HA69-1,5),"")</f>
        <v/>
      </c>
      <c r="HB71" s="843"/>
      <c r="HC71" s="843"/>
      <c r="HD71" s="843"/>
      <c r="HE71" s="843"/>
      <c r="HF71" s="843"/>
      <c r="HG71" s="843"/>
      <c r="HH71" s="843"/>
      <c r="HI71" s="844"/>
      <c r="HJ71" s="842" t="str">
        <f>IF(HZ69&gt;=HA69,$J$7,"")</f>
        <v/>
      </c>
      <c r="HK71" s="843"/>
      <c r="HL71" s="844"/>
      <c r="HM71" s="842" t="str">
        <f>IF(HZ69&gt;=HA69,$M$7,"")</f>
        <v/>
      </c>
      <c r="HN71" s="843"/>
      <c r="HO71" s="844"/>
      <c r="HP71" s="842" t="str">
        <f>IF(HZ69&gt;=HA69,$P$7,"")</f>
        <v/>
      </c>
      <c r="HQ71" s="843"/>
      <c r="HR71" s="843"/>
      <c r="HS71" s="843"/>
      <c r="HT71" s="843"/>
      <c r="HU71" s="844"/>
      <c r="HV71" s="834" t="str">
        <f>IF(HZ69&gt;=HA69,$V$7,"")</f>
        <v/>
      </c>
      <c r="HW71" s="842" t="str">
        <f>IF(HZ69&gt;=HA69,$W$7,"")</f>
        <v/>
      </c>
      <c r="HX71" s="843"/>
      <c r="HY71" s="843"/>
      <c r="HZ71" s="850"/>
      <c r="IA71" s="848" t="str">
        <f>IFERROR(INDEX(Lista_Pedidos,Procesos!IY69+IA69-1,5),"")</f>
        <v/>
      </c>
      <c r="IB71" s="843"/>
      <c r="IC71" s="843"/>
      <c r="ID71" s="843"/>
      <c r="IE71" s="843"/>
      <c r="IF71" s="843"/>
      <c r="IG71" s="843"/>
      <c r="IH71" s="843"/>
      <c r="II71" s="844"/>
      <c r="IJ71" s="842" t="str">
        <f>IF(IZ69&gt;=IA69,$J$7,"")</f>
        <v/>
      </c>
      <c r="IK71" s="843"/>
      <c r="IL71" s="844"/>
      <c r="IM71" s="842" t="str">
        <f>IF(IZ69&gt;=IA69,$M$7,"")</f>
        <v/>
      </c>
      <c r="IN71" s="843"/>
      <c r="IO71" s="844"/>
      <c r="IP71" s="842" t="str">
        <f>IF(IZ69&gt;=IA69,$P$7,"")</f>
        <v/>
      </c>
      <c r="IQ71" s="843"/>
      <c r="IR71" s="843"/>
      <c r="IS71" s="843"/>
      <c r="IT71" s="843"/>
      <c r="IU71" s="844"/>
      <c r="IV71" s="834" t="str">
        <f>IF(IZ69&gt;=IA69,$V$7,"")</f>
        <v/>
      </c>
      <c r="IW71" s="842" t="str">
        <f>IF(IZ69&gt;=IA69,$W$7,"")</f>
        <v/>
      </c>
      <c r="IX71" s="843"/>
      <c r="IY71" s="843"/>
      <c r="IZ71" s="850"/>
    </row>
    <row r="72" spans="1:260" x14ac:dyDescent="0.25">
      <c r="A72" s="849"/>
      <c r="B72" s="846"/>
      <c r="C72" s="846"/>
      <c r="D72" s="846"/>
      <c r="E72" s="846"/>
      <c r="F72" s="846"/>
      <c r="G72" s="846"/>
      <c r="H72" s="846"/>
      <c r="I72" s="847"/>
      <c r="J72" s="845"/>
      <c r="K72" s="846"/>
      <c r="L72" s="847"/>
      <c r="M72" s="845"/>
      <c r="N72" s="846"/>
      <c r="O72" s="847"/>
      <c r="P72" s="845"/>
      <c r="Q72" s="846"/>
      <c r="R72" s="846"/>
      <c r="S72" s="846"/>
      <c r="T72" s="846"/>
      <c r="U72" s="847"/>
      <c r="V72" s="835"/>
      <c r="W72" s="845"/>
      <c r="X72" s="846"/>
      <c r="Y72" s="846"/>
      <c r="Z72" s="851"/>
      <c r="AA72" s="849"/>
      <c r="AB72" s="846"/>
      <c r="AC72" s="846"/>
      <c r="AD72" s="846"/>
      <c r="AE72" s="846"/>
      <c r="AF72" s="846"/>
      <c r="AG72" s="846"/>
      <c r="AH72" s="846"/>
      <c r="AI72" s="847"/>
      <c r="AJ72" s="845"/>
      <c r="AK72" s="846"/>
      <c r="AL72" s="847"/>
      <c r="AM72" s="845"/>
      <c r="AN72" s="846"/>
      <c r="AO72" s="847"/>
      <c r="AP72" s="845"/>
      <c r="AQ72" s="846"/>
      <c r="AR72" s="846"/>
      <c r="AS72" s="846"/>
      <c r="AT72" s="846"/>
      <c r="AU72" s="847"/>
      <c r="AV72" s="835"/>
      <c r="AW72" s="845"/>
      <c r="AX72" s="846"/>
      <c r="AY72" s="846"/>
      <c r="AZ72" s="851"/>
      <c r="BA72" s="849"/>
      <c r="BB72" s="846"/>
      <c r="BC72" s="846"/>
      <c r="BD72" s="846"/>
      <c r="BE72" s="846"/>
      <c r="BF72" s="846"/>
      <c r="BG72" s="846"/>
      <c r="BH72" s="846"/>
      <c r="BI72" s="847"/>
      <c r="BJ72" s="845"/>
      <c r="BK72" s="846"/>
      <c r="BL72" s="847"/>
      <c r="BM72" s="845"/>
      <c r="BN72" s="846"/>
      <c r="BO72" s="847"/>
      <c r="BP72" s="845"/>
      <c r="BQ72" s="846"/>
      <c r="BR72" s="846"/>
      <c r="BS72" s="846"/>
      <c r="BT72" s="846"/>
      <c r="BU72" s="847"/>
      <c r="BV72" s="835"/>
      <c r="BW72" s="845"/>
      <c r="BX72" s="846"/>
      <c r="BY72" s="846"/>
      <c r="BZ72" s="851"/>
      <c r="CA72" s="849"/>
      <c r="CB72" s="846"/>
      <c r="CC72" s="846"/>
      <c r="CD72" s="846"/>
      <c r="CE72" s="846"/>
      <c r="CF72" s="846"/>
      <c r="CG72" s="846"/>
      <c r="CH72" s="846"/>
      <c r="CI72" s="847"/>
      <c r="CJ72" s="845"/>
      <c r="CK72" s="846"/>
      <c r="CL72" s="847"/>
      <c r="CM72" s="845"/>
      <c r="CN72" s="846"/>
      <c r="CO72" s="847"/>
      <c r="CP72" s="845"/>
      <c r="CQ72" s="846"/>
      <c r="CR72" s="846"/>
      <c r="CS72" s="846"/>
      <c r="CT72" s="846"/>
      <c r="CU72" s="847"/>
      <c r="CV72" s="835"/>
      <c r="CW72" s="845"/>
      <c r="CX72" s="846"/>
      <c r="CY72" s="846"/>
      <c r="CZ72" s="851"/>
      <c r="DA72" s="849"/>
      <c r="DB72" s="846"/>
      <c r="DC72" s="846"/>
      <c r="DD72" s="846"/>
      <c r="DE72" s="846"/>
      <c r="DF72" s="846"/>
      <c r="DG72" s="846"/>
      <c r="DH72" s="846"/>
      <c r="DI72" s="847"/>
      <c r="DJ72" s="845"/>
      <c r="DK72" s="846"/>
      <c r="DL72" s="847"/>
      <c r="DM72" s="845"/>
      <c r="DN72" s="846"/>
      <c r="DO72" s="847"/>
      <c r="DP72" s="845"/>
      <c r="DQ72" s="846"/>
      <c r="DR72" s="846"/>
      <c r="DS72" s="846"/>
      <c r="DT72" s="846"/>
      <c r="DU72" s="847"/>
      <c r="DV72" s="835"/>
      <c r="DW72" s="845"/>
      <c r="DX72" s="846"/>
      <c r="DY72" s="846"/>
      <c r="DZ72" s="851"/>
      <c r="EA72" s="849"/>
      <c r="EB72" s="846"/>
      <c r="EC72" s="846"/>
      <c r="ED72" s="846"/>
      <c r="EE72" s="846"/>
      <c r="EF72" s="846"/>
      <c r="EG72" s="846"/>
      <c r="EH72" s="846"/>
      <c r="EI72" s="847"/>
      <c r="EJ72" s="845"/>
      <c r="EK72" s="846"/>
      <c r="EL72" s="847"/>
      <c r="EM72" s="845"/>
      <c r="EN72" s="846"/>
      <c r="EO72" s="847"/>
      <c r="EP72" s="845"/>
      <c r="EQ72" s="846"/>
      <c r="ER72" s="846"/>
      <c r="ES72" s="846"/>
      <c r="ET72" s="846"/>
      <c r="EU72" s="847"/>
      <c r="EV72" s="835"/>
      <c r="EW72" s="845"/>
      <c r="EX72" s="846"/>
      <c r="EY72" s="846"/>
      <c r="EZ72" s="851"/>
      <c r="FA72" s="849"/>
      <c r="FB72" s="846"/>
      <c r="FC72" s="846"/>
      <c r="FD72" s="846"/>
      <c r="FE72" s="846"/>
      <c r="FF72" s="846"/>
      <c r="FG72" s="846"/>
      <c r="FH72" s="846"/>
      <c r="FI72" s="847"/>
      <c r="FJ72" s="845"/>
      <c r="FK72" s="846"/>
      <c r="FL72" s="847"/>
      <c r="FM72" s="845"/>
      <c r="FN72" s="846"/>
      <c r="FO72" s="847"/>
      <c r="FP72" s="845"/>
      <c r="FQ72" s="846"/>
      <c r="FR72" s="846"/>
      <c r="FS72" s="846"/>
      <c r="FT72" s="846"/>
      <c r="FU72" s="847"/>
      <c r="FV72" s="835"/>
      <c r="FW72" s="845"/>
      <c r="FX72" s="846"/>
      <c r="FY72" s="846"/>
      <c r="FZ72" s="851"/>
      <c r="GA72" s="849"/>
      <c r="GB72" s="846"/>
      <c r="GC72" s="846"/>
      <c r="GD72" s="846"/>
      <c r="GE72" s="846"/>
      <c r="GF72" s="846"/>
      <c r="GG72" s="846"/>
      <c r="GH72" s="846"/>
      <c r="GI72" s="847"/>
      <c r="GJ72" s="845"/>
      <c r="GK72" s="846"/>
      <c r="GL72" s="847"/>
      <c r="GM72" s="845"/>
      <c r="GN72" s="846"/>
      <c r="GO72" s="847"/>
      <c r="GP72" s="845"/>
      <c r="GQ72" s="846"/>
      <c r="GR72" s="846"/>
      <c r="GS72" s="846"/>
      <c r="GT72" s="846"/>
      <c r="GU72" s="847"/>
      <c r="GV72" s="835"/>
      <c r="GW72" s="845"/>
      <c r="GX72" s="846"/>
      <c r="GY72" s="846"/>
      <c r="GZ72" s="851"/>
      <c r="HA72" s="849"/>
      <c r="HB72" s="846"/>
      <c r="HC72" s="846"/>
      <c r="HD72" s="846"/>
      <c r="HE72" s="846"/>
      <c r="HF72" s="846"/>
      <c r="HG72" s="846"/>
      <c r="HH72" s="846"/>
      <c r="HI72" s="847"/>
      <c r="HJ72" s="845"/>
      <c r="HK72" s="846"/>
      <c r="HL72" s="847"/>
      <c r="HM72" s="845"/>
      <c r="HN72" s="846"/>
      <c r="HO72" s="847"/>
      <c r="HP72" s="845"/>
      <c r="HQ72" s="846"/>
      <c r="HR72" s="846"/>
      <c r="HS72" s="846"/>
      <c r="HT72" s="846"/>
      <c r="HU72" s="847"/>
      <c r="HV72" s="835"/>
      <c r="HW72" s="845"/>
      <c r="HX72" s="846"/>
      <c r="HY72" s="846"/>
      <c r="HZ72" s="851"/>
      <c r="IA72" s="849"/>
      <c r="IB72" s="846"/>
      <c r="IC72" s="846"/>
      <c r="ID72" s="846"/>
      <c r="IE72" s="846"/>
      <c r="IF72" s="846"/>
      <c r="IG72" s="846"/>
      <c r="IH72" s="846"/>
      <c r="II72" s="847"/>
      <c r="IJ72" s="845"/>
      <c r="IK72" s="846"/>
      <c r="IL72" s="847"/>
      <c r="IM72" s="845"/>
      <c r="IN72" s="846"/>
      <c r="IO72" s="847"/>
      <c r="IP72" s="845"/>
      <c r="IQ72" s="846"/>
      <c r="IR72" s="846"/>
      <c r="IS72" s="846"/>
      <c r="IT72" s="846"/>
      <c r="IU72" s="847"/>
      <c r="IV72" s="835"/>
      <c r="IW72" s="845"/>
      <c r="IX72" s="846"/>
      <c r="IY72" s="846"/>
      <c r="IZ72" s="851"/>
    </row>
    <row r="73" spans="1:260" ht="15" customHeight="1" x14ac:dyDescent="0.25">
      <c r="A73" s="858" t="str">
        <f>IF(Z69&gt;=A69,$A$9,"")</f>
        <v/>
      </c>
      <c r="B73" s="806"/>
      <c r="C73" s="806"/>
      <c r="D73" s="806"/>
      <c r="E73" s="852"/>
      <c r="F73" s="805" t="str">
        <f>IF(Z69&gt;=A69,$F$9,"")</f>
        <v/>
      </c>
      <c r="G73" s="806"/>
      <c r="H73" s="806"/>
      <c r="I73" s="852"/>
      <c r="J73" s="811" t="str">
        <f>IF(Z69&gt;=A69,$J$9,"")</f>
        <v/>
      </c>
      <c r="K73" s="803" t="str">
        <f>IF(Z69&gt;=A69,$K$9,"")</f>
        <v/>
      </c>
      <c r="L73" s="803" t="str">
        <f>IF(Z69&gt;=A69,$L$9,"")</f>
        <v/>
      </c>
      <c r="M73" s="803" t="str">
        <f>IF(Z69&gt;=A69,$M$9,"")</f>
        <v/>
      </c>
      <c r="N73" s="803" t="str">
        <f>IF(Z69&gt;=A69,$N$9,"")</f>
        <v/>
      </c>
      <c r="O73" s="803" t="str">
        <f>IF(Z69&gt;=A69,$O$9,"")</f>
        <v/>
      </c>
      <c r="P73" s="803" t="str">
        <f>IF(Z69&gt;=A69,$P$9,"")</f>
        <v/>
      </c>
      <c r="Q73" s="803" t="str">
        <f>IF(Z69&gt;=A69,$Q$9,"")</f>
        <v/>
      </c>
      <c r="R73" s="803" t="str">
        <f>IF(Z69&gt;=A69,$R$9,"")</f>
        <v/>
      </c>
      <c r="S73" s="803" t="str">
        <f>IF(Z69&gt;=A69,$S$9,"")</f>
        <v/>
      </c>
      <c r="T73" s="803" t="str">
        <f>IF(Z69&gt;=A69,$T$9,"")</f>
        <v/>
      </c>
      <c r="U73" s="803" t="str">
        <f>IF(Z69&gt;=A69,$U$9,"")</f>
        <v/>
      </c>
      <c r="V73" s="803" t="str">
        <f>IF(Z69&gt;=A69,$V$9,"")</f>
        <v/>
      </c>
      <c r="W73" s="805" t="str">
        <f>IF(Z69&gt;=A69,$W$9,"")</f>
        <v/>
      </c>
      <c r="X73" s="806"/>
      <c r="Y73" s="806"/>
      <c r="Z73" s="807"/>
      <c r="AA73" s="858" t="str">
        <f>IF(AZ69&gt;=AA69,$A$9,"")</f>
        <v>Estilo</v>
      </c>
      <c r="AB73" s="806"/>
      <c r="AC73" s="806"/>
      <c r="AD73" s="806"/>
      <c r="AE73" s="852"/>
      <c r="AF73" s="805" t="str">
        <f>IF(AZ69&gt;=AA69,$F$9,"")</f>
        <v>Vendedor</v>
      </c>
      <c r="AG73" s="806"/>
      <c r="AH73" s="806"/>
      <c r="AI73" s="852"/>
      <c r="AJ73" s="811" t="str">
        <f>IF(AZ69&gt;=AA69,$J$9,"")</f>
        <v>C4</v>
      </c>
      <c r="AK73" s="803" t="str">
        <f>IF(AZ69&gt;=AA69,$K$9,"")</f>
        <v>C6 C13</v>
      </c>
      <c r="AL73" s="803" t="str">
        <f>IF(AZ69&gt;=AA69,$L$9,"")</f>
        <v>YXS C1</v>
      </c>
      <c r="AM73" s="803" t="str">
        <f>IF(AZ69&gt;=AA69,$M$9,"")</f>
        <v>YS C2</v>
      </c>
      <c r="AN73" s="803" t="str">
        <f>IF(AZ69&gt;=AA69,$N$9,"")</f>
        <v>YM C3</v>
      </c>
      <c r="AO73" s="803" t="str">
        <f>IF(AZ69&gt;=AA69,$O$9,"")</f>
        <v>YL C4</v>
      </c>
      <c r="AP73" s="803" t="str">
        <f>IF(AZ69&gt;=AA69,$P$9,"")</f>
        <v>XS A5</v>
      </c>
      <c r="AQ73" s="803" t="str">
        <f>IF(AZ69&gt;=AA69,$Q$9,"")</f>
        <v>S A6</v>
      </c>
      <c r="AR73" s="803" t="str">
        <f>IF(AZ69&gt;=AA69,$R$9,"")</f>
        <v>M A7</v>
      </c>
      <c r="AS73" s="803" t="str">
        <f>IF(AZ69&gt;=AA69,$S$9,"")</f>
        <v>L A8</v>
      </c>
      <c r="AT73" s="803" t="str">
        <f>IF(AZ69&gt;=AA69,$T$9,"")</f>
        <v>XL A9</v>
      </c>
      <c r="AU73" s="803" t="str">
        <f>IF(AZ69&gt;=AA69,$U$9,"")</f>
        <v>XXL A10</v>
      </c>
      <c r="AV73" s="803" t="str">
        <f>IF(AZ69&gt;=AA69,$V$9,"")</f>
        <v>1 Size</v>
      </c>
      <c r="AW73" s="805" t="str">
        <f>IF(AZ69&gt;=AA69,$W$9,"")</f>
        <v>Total</v>
      </c>
      <c r="AX73" s="806"/>
      <c r="AY73" s="806"/>
      <c r="AZ73" s="807"/>
      <c r="BA73" s="858" t="str">
        <f>IF(BZ69&gt;=BA69,$A$9,"")</f>
        <v/>
      </c>
      <c r="BB73" s="806"/>
      <c r="BC73" s="806"/>
      <c r="BD73" s="806"/>
      <c r="BE73" s="852"/>
      <c r="BF73" s="805" t="str">
        <f>IF(BZ69&gt;=BA69,$F$9,"")</f>
        <v/>
      </c>
      <c r="BG73" s="806"/>
      <c r="BH73" s="806"/>
      <c r="BI73" s="852"/>
      <c r="BJ73" s="811" t="str">
        <f>IF(BZ69&gt;=BA69,$J$9,"")</f>
        <v/>
      </c>
      <c r="BK73" s="803" t="str">
        <f>IF(BZ69&gt;=BA69,$K$9,"")</f>
        <v/>
      </c>
      <c r="BL73" s="803" t="str">
        <f>IF(BZ69&gt;=BA69,$L$9,"")</f>
        <v/>
      </c>
      <c r="BM73" s="803" t="str">
        <f>IF(BZ69&gt;=BA69,$M$9,"")</f>
        <v/>
      </c>
      <c r="BN73" s="803" t="str">
        <f>IF(BZ69&gt;=BA69,$N$9,"")</f>
        <v/>
      </c>
      <c r="BO73" s="803" t="str">
        <f>IF(BZ69&gt;=BA69,$O$9,"")</f>
        <v/>
      </c>
      <c r="BP73" s="803" t="str">
        <f>IF(BZ69&gt;=BA69,$P$9,"")</f>
        <v/>
      </c>
      <c r="BQ73" s="803" t="str">
        <f>IF(BZ69&gt;=BA69,$Q$9,"")</f>
        <v/>
      </c>
      <c r="BR73" s="803" t="str">
        <f>IF(BZ69&gt;=BA69,$R$9,"")</f>
        <v/>
      </c>
      <c r="BS73" s="803" t="str">
        <f>IF(BZ69&gt;=BA69,$S$9,"")</f>
        <v/>
      </c>
      <c r="BT73" s="803" t="str">
        <f>IF(BZ69&gt;=BA69,$T$9,"")</f>
        <v/>
      </c>
      <c r="BU73" s="803" t="str">
        <f>IF(BZ69&gt;=BA69,$U$9,"")</f>
        <v/>
      </c>
      <c r="BV73" s="803" t="str">
        <f>IF(BZ69&gt;=BA69,$V$9,"")</f>
        <v/>
      </c>
      <c r="BW73" s="805" t="str">
        <f>IF(BZ69&gt;=BA69,$W$9,"")</f>
        <v/>
      </c>
      <c r="BX73" s="806"/>
      <c r="BY73" s="806"/>
      <c r="BZ73" s="807"/>
      <c r="CA73" s="858" t="str">
        <f>IF(CZ69&gt;=CA69,$A$9,"")</f>
        <v/>
      </c>
      <c r="CB73" s="806"/>
      <c r="CC73" s="806"/>
      <c r="CD73" s="806"/>
      <c r="CE73" s="852"/>
      <c r="CF73" s="805" t="str">
        <f>IF(CZ69&gt;=CA69,$F$9,"")</f>
        <v/>
      </c>
      <c r="CG73" s="806"/>
      <c r="CH73" s="806"/>
      <c r="CI73" s="852"/>
      <c r="CJ73" s="811" t="str">
        <f>IF(CZ69&gt;=CA69,$J$9,"")</f>
        <v/>
      </c>
      <c r="CK73" s="803" t="str">
        <f>IF(CZ69&gt;=CA69,$K$9,"")</f>
        <v/>
      </c>
      <c r="CL73" s="803" t="str">
        <f>IF(CZ69&gt;=CA69,$L$9,"")</f>
        <v/>
      </c>
      <c r="CM73" s="803" t="str">
        <f>IF(CZ69&gt;=CA69,$M$9,"")</f>
        <v/>
      </c>
      <c r="CN73" s="803" t="str">
        <f>IF(CZ69&gt;=CA69,$N$9,"")</f>
        <v/>
      </c>
      <c r="CO73" s="803" t="str">
        <f>IF(CZ69&gt;=CA69,$O$9,"")</f>
        <v/>
      </c>
      <c r="CP73" s="803" t="str">
        <f>IF(CZ69&gt;=CA69,$P$9,"")</f>
        <v/>
      </c>
      <c r="CQ73" s="803" t="str">
        <f>IF(CZ69&gt;=CA69,$Q$9,"")</f>
        <v/>
      </c>
      <c r="CR73" s="803" t="str">
        <f>IF(CZ69&gt;=CA69,$R$9,"")</f>
        <v/>
      </c>
      <c r="CS73" s="803" t="str">
        <f>IF(CZ69&gt;=CA69,$S$9,"")</f>
        <v/>
      </c>
      <c r="CT73" s="803" t="str">
        <f>IF(CZ69&gt;=CA69,$T$9,"")</f>
        <v/>
      </c>
      <c r="CU73" s="803" t="str">
        <f>IF(CZ69&gt;=CA69,$U$9,"")</f>
        <v/>
      </c>
      <c r="CV73" s="803" t="str">
        <f>IF(CZ69&gt;=CA69,$V$9,"")</f>
        <v/>
      </c>
      <c r="CW73" s="805" t="str">
        <f>IF(CZ69&gt;=CA69,$W$9,"")</f>
        <v/>
      </c>
      <c r="CX73" s="806"/>
      <c r="CY73" s="806"/>
      <c r="CZ73" s="807"/>
      <c r="DA73" s="858" t="str">
        <f>IF(DZ69&gt;=DA69,$A$9,"")</f>
        <v/>
      </c>
      <c r="DB73" s="806"/>
      <c r="DC73" s="806"/>
      <c r="DD73" s="806"/>
      <c r="DE73" s="852"/>
      <c r="DF73" s="805" t="str">
        <f>IF(DZ69&gt;=DA69,$F$9,"")</f>
        <v/>
      </c>
      <c r="DG73" s="806"/>
      <c r="DH73" s="806"/>
      <c r="DI73" s="852"/>
      <c r="DJ73" s="811" t="str">
        <f>IF(DZ69&gt;=DA69,$J$9,"")</f>
        <v/>
      </c>
      <c r="DK73" s="803" t="str">
        <f>IF(DZ69&gt;=DA69,$K$9,"")</f>
        <v/>
      </c>
      <c r="DL73" s="803" t="str">
        <f>IF(DZ69&gt;=DA69,$L$9,"")</f>
        <v/>
      </c>
      <c r="DM73" s="803" t="str">
        <f>IF(DZ69&gt;=DA69,$M$9,"")</f>
        <v/>
      </c>
      <c r="DN73" s="803" t="str">
        <f>IF(DZ69&gt;=DA69,$N$9,"")</f>
        <v/>
      </c>
      <c r="DO73" s="803" t="str">
        <f>IF(DZ69&gt;=DA69,$O$9,"")</f>
        <v/>
      </c>
      <c r="DP73" s="803" t="str">
        <f>IF(DZ69&gt;=DA69,$P$9,"")</f>
        <v/>
      </c>
      <c r="DQ73" s="803" t="str">
        <f>IF(DZ69&gt;=DA69,$Q$9,"")</f>
        <v/>
      </c>
      <c r="DR73" s="803" t="str">
        <f>IF(DZ69&gt;=DA69,$R$9,"")</f>
        <v/>
      </c>
      <c r="DS73" s="803" t="str">
        <f>IF(DZ69&gt;=DA69,$S$9,"")</f>
        <v/>
      </c>
      <c r="DT73" s="803" t="str">
        <f>IF(DZ69&gt;=DA69,$T$9,"")</f>
        <v/>
      </c>
      <c r="DU73" s="803" t="str">
        <f>IF(DZ69&gt;=DA69,$U$9,"")</f>
        <v/>
      </c>
      <c r="DV73" s="803" t="str">
        <f>IF(DZ69&gt;=DA69,$V$9,"")</f>
        <v/>
      </c>
      <c r="DW73" s="805" t="str">
        <f>IF(DZ69&gt;=DA69,$W$9,"")</f>
        <v/>
      </c>
      <c r="DX73" s="806"/>
      <c r="DY73" s="806"/>
      <c r="DZ73" s="807"/>
      <c r="EA73" s="858" t="str">
        <f>IF(EZ69&gt;=EA69,$A$9,"")</f>
        <v/>
      </c>
      <c r="EB73" s="806"/>
      <c r="EC73" s="806"/>
      <c r="ED73" s="806"/>
      <c r="EE73" s="852"/>
      <c r="EF73" s="805" t="str">
        <f>IF(EZ69&gt;=EA69,$F$9,"")</f>
        <v/>
      </c>
      <c r="EG73" s="806"/>
      <c r="EH73" s="806"/>
      <c r="EI73" s="852"/>
      <c r="EJ73" s="811" t="str">
        <f>IF(EZ69&gt;=EA69,$J$9,"")</f>
        <v/>
      </c>
      <c r="EK73" s="803" t="str">
        <f>IF(EZ69&gt;=EA69,$K$9,"")</f>
        <v/>
      </c>
      <c r="EL73" s="803" t="str">
        <f>IF(EZ69&gt;=EA69,$L$9,"")</f>
        <v/>
      </c>
      <c r="EM73" s="803" t="str">
        <f>IF(EZ69&gt;=EA69,$M$9,"")</f>
        <v/>
      </c>
      <c r="EN73" s="803" t="str">
        <f>IF(EZ69&gt;=EA69,$N$9,"")</f>
        <v/>
      </c>
      <c r="EO73" s="803" t="str">
        <f>IF(EZ69&gt;=EA69,$O$9,"")</f>
        <v/>
      </c>
      <c r="EP73" s="803" t="str">
        <f>IF(EZ69&gt;=EA69,$P$9,"")</f>
        <v/>
      </c>
      <c r="EQ73" s="803" t="str">
        <f>IF(EZ69&gt;=EA69,$Q$9,"")</f>
        <v/>
      </c>
      <c r="ER73" s="803" t="str">
        <f>IF(EZ69&gt;=EA69,$R$9,"")</f>
        <v/>
      </c>
      <c r="ES73" s="803" t="str">
        <f>IF(EZ69&gt;=EA69,$S$9,"")</f>
        <v/>
      </c>
      <c r="ET73" s="803" t="str">
        <f>IF(EZ69&gt;=EA69,$T$9,"")</f>
        <v/>
      </c>
      <c r="EU73" s="803" t="str">
        <f>IF(EZ69&gt;=EA69,$U$9,"")</f>
        <v/>
      </c>
      <c r="EV73" s="803" t="str">
        <f>IF(EZ69&gt;=EA69,$V$9,"")</f>
        <v/>
      </c>
      <c r="EW73" s="805" t="str">
        <f>IF(EZ69&gt;=EA69,$W$9,"")</f>
        <v/>
      </c>
      <c r="EX73" s="806"/>
      <c r="EY73" s="806"/>
      <c r="EZ73" s="807"/>
      <c r="FA73" s="858" t="str">
        <f>IF(FZ69&gt;=FA69,$A$9,"")</f>
        <v/>
      </c>
      <c r="FB73" s="806"/>
      <c r="FC73" s="806"/>
      <c r="FD73" s="806"/>
      <c r="FE73" s="852"/>
      <c r="FF73" s="805" t="str">
        <f>IF(FZ69&gt;=FA69,$F$9,"")</f>
        <v/>
      </c>
      <c r="FG73" s="806"/>
      <c r="FH73" s="806"/>
      <c r="FI73" s="852"/>
      <c r="FJ73" s="811" t="str">
        <f>IF(FZ69&gt;=FA69,$J$9,"")</f>
        <v/>
      </c>
      <c r="FK73" s="803" t="str">
        <f>IF(FZ69&gt;=FA69,$K$9,"")</f>
        <v/>
      </c>
      <c r="FL73" s="803" t="str">
        <f>IF(FZ69&gt;=FA69,$L$9,"")</f>
        <v/>
      </c>
      <c r="FM73" s="803" t="str">
        <f>IF(FZ69&gt;=FA69,$M$9,"")</f>
        <v/>
      </c>
      <c r="FN73" s="803" t="str">
        <f>IF(FZ69&gt;=FA69,$N$9,"")</f>
        <v/>
      </c>
      <c r="FO73" s="803" t="str">
        <f>IF(FZ69&gt;=FA69,$O$9,"")</f>
        <v/>
      </c>
      <c r="FP73" s="803" t="str">
        <f>IF(FZ69&gt;=FA69,$P$9,"")</f>
        <v/>
      </c>
      <c r="FQ73" s="803" t="str">
        <f>IF(FZ69&gt;=FA69,$Q$9,"")</f>
        <v/>
      </c>
      <c r="FR73" s="803" t="str">
        <f>IF(FZ69&gt;=FA69,$R$9,"")</f>
        <v/>
      </c>
      <c r="FS73" s="803" t="str">
        <f>IF(FZ69&gt;=FA69,$S$9,"")</f>
        <v/>
      </c>
      <c r="FT73" s="803" t="str">
        <f>IF(FZ69&gt;=FA69,$T$9,"")</f>
        <v/>
      </c>
      <c r="FU73" s="803" t="str">
        <f>IF(FZ69&gt;=FA69,$U$9,"")</f>
        <v/>
      </c>
      <c r="FV73" s="803" t="str">
        <f>IF(FZ69&gt;=FA69,$V$9,"")</f>
        <v/>
      </c>
      <c r="FW73" s="805" t="str">
        <f>IF(FZ69&gt;=FA69,$W$9,"")</f>
        <v/>
      </c>
      <c r="FX73" s="806"/>
      <c r="FY73" s="806"/>
      <c r="FZ73" s="807"/>
      <c r="GA73" s="858" t="str">
        <f>IF(GZ69&gt;=GA69,$A$9,"")</f>
        <v/>
      </c>
      <c r="GB73" s="806"/>
      <c r="GC73" s="806"/>
      <c r="GD73" s="806"/>
      <c r="GE73" s="852"/>
      <c r="GF73" s="805" t="str">
        <f>IF(GZ69&gt;=GA69,$F$9,"")</f>
        <v/>
      </c>
      <c r="GG73" s="806"/>
      <c r="GH73" s="806"/>
      <c r="GI73" s="852"/>
      <c r="GJ73" s="811" t="str">
        <f>IF(GZ69&gt;=GA69,$J$9,"")</f>
        <v/>
      </c>
      <c r="GK73" s="803" t="str">
        <f>IF(GZ69&gt;=GA69,$K$9,"")</f>
        <v/>
      </c>
      <c r="GL73" s="803" t="str">
        <f>IF(GZ69&gt;=GA69,$L$9,"")</f>
        <v/>
      </c>
      <c r="GM73" s="803" t="str">
        <f>IF(GZ69&gt;=GA69,$M$9,"")</f>
        <v/>
      </c>
      <c r="GN73" s="803" t="str">
        <f>IF(GZ69&gt;=GA69,$N$9,"")</f>
        <v/>
      </c>
      <c r="GO73" s="803" t="str">
        <f>IF(GZ69&gt;=GA69,$O$9,"")</f>
        <v/>
      </c>
      <c r="GP73" s="803" t="str">
        <f>IF(GZ69&gt;=GA69,$P$9,"")</f>
        <v/>
      </c>
      <c r="GQ73" s="803" t="str">
        <f>IF(GZ69&gt;=GA69,$Q$9,"")</f>
        <v/>
      </c>
      <c r="GR73" s="803" t="str">
        <f>IF(GZ69&gt;=GA69,$R$9,"")</f>
        <v/>
      </c>
      <c r="GS73" s="803" t="str">
        <f>IF(GZ69&gt;=GA69,$S$9,"")</f>
        <v/>
      </c>
      <c r="GT73" s="803" t="str">
        <f>IF(GZ69&gt;=GA69,$T$9,"")</f>
        <v/>
      </c>
      <c r="GU73" s="803" t="str">
        <f>IF(GZ69&gt;=GA69,$U$9,"")</f>
        <v/>
      </c>
      <c r="GV73" s="803" t="str">
        <f>IF(GZ69&gt;=GA69,$V$9,"")</f>
        <v/>
      </c>
      <c r="GW73" s="805" t="str">
        <f>IF(GZ69&gt;=GA69,$W$9,"")</f>
        <v/>
      </c>
      <c r="GX73" s="806"/>
      <c r="GY73" s="806"/>
      <c r="GZ73" s="807"/>
      <c r="HA73" s="858" t="str">
        <f>IF(HZ69&gt;=HA69,$A$9,"")</f>
        <v/>
      </c>
      <c r="HB73" s="806"/>
      <c r="HC73" s="806"/>
      <c r="HD73" s="806"/>
      <c r="HE73" s="852"/>
      <c r="HF73" s="805" t="str">
        <f>IF(HZ69&gt;=HA69,$F$9,"")</f>
        <v/>
      </c>
      <c r="HG73" s="806"/>
      <c r="HH73" s="806"/>
      <c r="HI73" s="852"/>
      <c r="HJ73" s="811" t="str">
        <f>IF(HZ69&gt;=HA69,$J$9,"")</f>
        <v/>
      </c>
      <c r="HK73" s="803" t="str">
        <f>IF(HZ69&gt;=HA69,$K$9,"")</f>
        <v/>
      </c>
      <c r="HL73" s="803" t="str">
        <f>IF(HZ69&gt;=HA69,$L$9,"")</f>
        <v/>
      </c>
      <c r="HM73" s="803" t="str">
        <f>IF(HZ69&gt;=HA69,$M$9,"")</f>
        <v/>
      </c>
      <c r="HN73" s="803" t="str">
        <f>IF(HZ69&gt;=HA69,$N$9,"")</f>
        <v/>
      </c>
      <c r="HO73" s="803" t="str">
        <f>IF(HZ69&gt;=HA69,$O$9,"")</f>
        <v/>
      </c>
      <c r="HP73" s="803" t="str">
        <f>IF(HZ69&gt;=HA69,$P$9,"")</f>
        <v/>
      </c>
      <c r="HQ73" s="803" t="str">
        <f>IF(HZ69&gt;=HA69,$Q$9,"")</f>
        <v/>
      </c>
      <c r="HR73" s="803" t="str">
        <f>IF(HZ69&gt;=HA69,$R$9,"")</f>
        <v/>
      </c>
      <c r="HS73" s="803" t="str">
        <f>IF(HZ69&gt;=HA69,$S$9,"")</f>
        <v/>
      </c>
      <c r="HT73" s="803" t="str">
        <f>IF(HZ69&gt;=HA69,$T$9,"")</f>
        <v/>
      </c>
      <c r="HU73" s="803" t="str">
        <f>IF(HZ69&gt;=HA69,$U$9,"")</f>
        <v/>
      </c>
      <c r="HV73" s="803" t="str">
        <f>IF(HZ69&gt;=HA69,$V$9,"")</f>
        <v/>
      </c>
      <c r="HW73" s="805" t="str">
        <f>IF(HZ69&gt;=HA69,$W$9,"")</f>
        <v/>
      </c>
      <c r="HX73" s="806"/>
      <c r="HY73" s="806"/>
      <c r="HZ73" s="807"/>
      <c r="IA73" s="858" t="str">
        <f>IF(IZ69&gt;=IA69,$A$9,"")</f>
        <v/>
      </c>
      <c r="IB73" s="806"/>
      <c r="IC73" s="806"/>
      <c r="ID73" s="806"/>
      <c r="IE73" s="852"/>
      <c r="IF73" s="805" t="str">
        <f>IF(IZ69&gt;=IA69,$F$9,"")</f>
        <v/>
      </c>
      <c r="IG73" s="806"/>
      <c r="IH73" s="806"/>
      <c r="II73" s="852"/>
      <c r="IJ73" s="811" t="str">
        <f>IF(IZ69&gt;=IA69,$J$9,"")</f>
        <v/>
      </c>
      <c r="IK73" s="803" t="str">
        <f>IF(IZ69&gt;=IA69,$K$9,"")</f>
        <v/>
      </c>
      <c r="IL73" s="803" t="str">
        <f>IF(IZ69&gt;=IA69,$L$9,"")</f>
        <v/>
      </c>
      <c r="IM73" s="803" t="str">
        <f>IF(IZ69&gt;=IA69,$M$9,"")</f>
        <v/>
      </c>
      <c r="IN73" s="803" t="str">
        <f>IF(IZ69&gt;=IA69,$N$9,"")</f>
        <v/>
      </c>
      <c r="IO73" s="803" t="str">
        <f>IF(IZ69&gt;=IA69,$O$9,"")</f>
        <v/>
      </c>
      <c r="IP73" s="803" t="str">
        <f>IF(IZ69&gt;=IA69,$P$9,"")</f>
        <v/>
      </c>
      <c r="IQ73" s="803" t="str">
        <f>IF(IZ69&gt;=IA69,$Q$9,"")</f>
        <v/>
      </c>
      <c r="IR73" s="803" t="str">
        <f>IF(IZ69&gt;=IA69,$R$9,"")</f>
        <v/>
      </c>
      <c r="IS73" s="803" t="str">
        <f>IF(IZ69&gt;=IA69,$S$9,"")</f>
        <v/>
      </c>
      <c r="IT73" s="803" t="str">
        <f>IF(IZ69&gt;=IA69,$T$9,"")</f>
        <v/>
      </c>
      <c r="IU73" s="803" t="str">
        <f>IF(IZ69&gt;=IA69,$U$9,"")</f>
        <v/>
      </c>
      <c r="IV73" s="803" t="str">
        <f>IF(IZ69&gt;=IA69,$V$9,"")</f>
        <v/>
      </c>
      <c r="IW73" s="805" t="str">
        <f>IF(IZ69&gt;=IA69,$W$9,"")</f>
        <v/>
      </c>
      <c r="IX73" s="806"/>
      <c r="IY73" s="806"/>
      <c r="IZ73" s="807"/>
    </row>
    <row r="74" spans="1:260" x14ac:dyDescent="0.25">
      <c r="A74" s="859"/>
      <c r="B74" s="809"/>
      <c r="C74" s="809"/>
      <c r="D74" s="809"/>
      <c r="E74" s="853"/>
      <c r="F74" s="808"/>
      <c r="G74" s="809"/>
      <c r="H74" s="809"/>
      <c r="I74" s="853"/>
      <c r="J74" s="812"/>
      <c r="K74" s="804"/>
      <c r="L74" s="804"/>
      <c r="M74" s="804"/>
      <c r="N74" s="804"/>
      <c r="O74" s="804"/>
      <c r="P74" s="804"/>
      <c r="Q74" s="804"/>
      <c r="R74" s="804"/>
      <c r="S74" s="804"/>
      <c r="T74" s="804"/>
      <c r="U74" s="804"/>
      <c r="V74" s="804"/>
      <c r="W74" s="808"/>
      <c r="X74" s="809"/>
      <c r="Y74" s="809"/>
      <c r="Z74" s="810"/>
      <c r="AA74" s="859"/>
      <c r="AB74" s="809"/>
      <c r="AC74" s="809"/>
      <c r="AD74" s="809"/>
      <c r="AE74" s="853"/>
      <c r="AF74" s="808"/>
      <c r="AG74" s="809"/>
      <c r="AH74" s="809"/>
      <c r="AI74" s="853"/>
      <c r="AJ74" s="812"/>
      <c r="AK74" s="804"/>
      <c r="AL74" s="804"/>
      <c r="AM74" s="804"/>
      <c r="AN74" s="804"/>
      <c r="AO74" s="804"/>
      <c r="AP74" s="804"/>
      <c r="AQ74" s="804"/>
      <c r="AR74" s="804"/>
      <c r="AS74" s="804"/>
      <c r="AT74" s="804"/>
      <c r="AU74" s="804"/>
      <c r="AV74" s="804"/>
      <c r="AW74" s="808"/>
      <c r="AX74" s="809"/>
      <c r="AY74" s="809"/>
      <c r="AZ74" s="810"/>
      <c r="BA74" s="859"/>
      <c r="BB74" s="809"/>
      <c r="BC74" s="809"/>
      <c r="BD74" s="809"/>
      <c r="BE74" s="853"/>
      <c r="BF74" s="808"/>
      <c r="BG74" s="809"/>
      <c r="BH74" s="809"/>
      <c r="BI74" s="853"/>
      <c r="BJ74" s="812"/>
      <c r="BK74" s="804"/>
      <c r="BL74" s="804"/>
      <c r="BM74" s="804"/>
      <c r="BN74" s="804"/>
      <c r="BO74" s="804"/>
      <c r="BP74" s="804"/>
      <c r="BQ74" s="804"/>
      <c r="BR74" s="804"/>
      <c r="BS74" s="804"/>
      <c r="BT74" s="804"/>
      <c r="BU74" s="804"/>
      <c r="BV74" s="804"/>
      <c r="BW74" s="808"/>
      <c r="BX74" s="809"/>
      <c r="BY74" s="809"/>
      <c r="BZ74" s="810"/>
      <c r="CA74" s="859"/>
      <c r="CB74" s="809"/>
      <c r="CC74" s="809"/>
      <c r="CD74" s="809"/>
      <c r="CE74" s="853"/>
      <c r="CF74" s="808"/>
      <c r="CG74" s="809"/>
      <c r="CH74" s="809"/>
      <c r="CI74" s="853"/>
      <c r="CJ74" s="812"/>
      <c r="CK74" s="804"/>
      <c r="CL74" s="804"/>
      <c r="CM74" s="804"/>
      <c r="CN74" s="804"/>
      <c r="CO74" s="804"/>
      <c r="CP74" s="804"/>
      <c r="CQ74" s="804"/>
      <c r="CR74" s="804"/>
      <c r="CS74" s="804"/>
      <c r="CT74" s="804"/>
      <c r="CU74" s="804"/>
      <c r="CV74" s="804"/>
      <c r="CW74" s="808"/>
      <c r="CX74" s="809"/>
      <c r="CY74" s="809"/>
      <c r="CZ74" s="810"/>
      <c r="DA74" s="859"/>
      <c r="DB74" s="809"/>
      <c r="DC74" s="809"/>
      <c r="DD74" s="809"/>
      <c r="DE74" s="853"/>
      <c r="DF74" s="808"/>
      <c r="DG74" s="809"/>
      <c r="DH74" s="809"/>
      <c r="DI74" s="853"/>
      <c r="DJ74" s="812"/>
      <c r="DK74" s="804"/>
      <c r="DL74" s="804"/>
      <c r="DM74" s="804"/>
      <c r="DN74" s="804"/>
      <c r="DO74" s="804"/>
      <c r="DP74" s="804"/>
      <c r="DQ74" s="804"/>
      <c r="DR74" s="804"/>
      <c r="DS74" s="804"/>
      <c r="DT74" s="804"/>
      <c r="DU74" s="804"/>
      <c r="DV74" s="804"/>
      <c r="DW74" s="808"/>
      <c r="DX74" s="809"/>
      <c r="DY74" s="809"/>
      <c r="DZ74" s="810"/>
      <c r="EA74" s="859"/>
      <c r="EB74" s="809"/>
      <c r="EC74" s="809"/>
      <c r="ED74" s="809"/>
      <c r="EE74" s="853"/>
      <c r="EF74" s="808"/>
      <c r="EG74" s="809"/>
      <c r="EH74" s="809"/>
      <c r="EI74" s="853"/>
      <c r="EJ74" s="812"/>
      <c r="EK74" s="804"/>
      <c r="EL74" s="804"/>
      <c r="EM74" s="804"/>
      <c r="EN74" s="804"/>
      <c r="EO74" s="804"/>
      <c r="EP74" s="804"/>
      <c r="EQ74" s="804"/>
      <c r="ER74" s="804"/>
      <c r="ES74" s="804"/>
      <c r="ET74" s="804"/>
      <c r="EU74" s="804"/>
      <c r="EV74" s="804"/>
      <c r="EW74" s="808"/>
      <c r="EX74" s="809"/>
      <c r="EY74" s="809"/>
      <c r="EZ74" s="810"/>
      <c r="FA74" s="859"/>
      <c r="FB74" s="809"/>
      <c r="FC74" s="809"/>
      <c r="FD74" s="809"/>
      <c r="FE74" s="853"/>
      <c r="FF74" s="808"/>
      <c r="FG74" s="809"/>
      <c r="FH74" s="809"/>
      <c r="FI74" s="853"/>
      <c r="FJ74" s="812"/>
      <c r="FK74" s="804"/>
      <c r="FL74" s="804"/>
      <c r="FM74" s="804"/>
      <c r="FN74" s="804"/>
      <c r="FO74" s="804"/>
      <c r="FP74" s="804"/>
      <c r="FQ74" s="804"/>
      <c r="FR74" s="804"/>
      <c r="FS74" s="804"/>
      <c r="FT74" s="804"/>
      <c r="FU74" s="804"/>
      <c r="FV74" s="804"/>
      <c r="FW74" s="808"/>
      <c r="FX74" s="809"/>
      <c r="FY74" s="809"/>
      <c r="FZ74" s="810"/>
      <c r="GA74" s="859"/>
      <c r="GB74" s="809"/>
      <c r="GC74" s="809"/>
      <c r="GD74" s="809"/>
      <c r="GE74" s="853"/>
      <c r="GF74" s="808"/>
      <c r="GG74" s="809"/>
      <c r="GH74" s="809"/>
      <c r="GI74" s="853"/>
      <c r="GJ74" s="812"/>
      <c r="GK74" s="804"/>
      <c r="GL74" s="804"/>
      <c r="GM74" s="804"/>
      <c r="GN74" s="804"/>
      <c r="GO74" s="804"/>
      <c r="GP74" s="804"/>
      <c r="GQ74" s="804"/>
      <c r="GR74" s="804"/>
      <c r="GS74" s="804"/>
      <c r="GT74" s="804"/>
      <c r="GU74" s="804"/>
      <c r="GV74" s="804"/>
      <c r="GW74" s="808"/>
      <c r="GX74" s="809"/>
      <c r="GY74" s="809"/>
      <c r="GZ74" s="810"/>
      <c r="HA74" s="859"/>
      <c r="HB74" s="809"/>
      <c r="HC74" s="809"/>
      <c r="HD74" s="809"/>
      <c r="HE74" s="853"/>
      <c r="HF74" s="808"/>
      <c r="HG74" s="809"/>
      <c r="HH74" s="809"/>
      <c r="HI74" s="853"/>
      <c r="HJ74" s="812"/>
      <c r="HK74" s="804"/>
      <c r="HL74" s="804"/>
      <c r="HM74" s="804"/>
      <c r="HN74" s="804"/>
      <c r="HO74" s="804"/>
      <c r="HP74" s="804"/>
      <c r="HQ74" s="804"/>
      <c r="HR74" s="804"/>
      <c r="HS74" s="804"/>
      <c r="HT74" s="804"/>
      <c r="HU74" s="804"/>
      <c r="HV74" s="804"/>
      <c r="HW74" s="808"/>
      <c r="HX74" s="809"/>
      <c r="HY74" s="809"/>
      <c r="HZ74" s="810"/>
      <c r="IA74" s="859"/>
      <c r="IB74" s="809"/>
      <c r="IC74" s="809"/>
      <c r="ID74" s="809"/>
      <c r="IE74" s="853"/>
      <c r="IF74" s="808"/>
      <c r="IG74" s="809"/>
      <c r="IH74" s="809"/>
      <c r="II74" s="853"/>
      <c r="IJ74" s="812"/>
      <c r="IK74" s="804"/>
      <c r="IL74" s="804"/>
      <c r="IM74" s="804"/>
      <c r="IN74" s="804"/>
      <c r="IO74" s="804"/>
      <c r="IP74" s="804"/>
      <c r="IQ74" s="804"/>
      <c r="IR74" s="804"/>
      <c r="IS74" s="804"/>
      <c r="IT74" s="804"/>
      <c r="IU74" s="804"/>
      <c r="IV74" s="804"/>
      <c r="IW74" s="808"/>
      <c r="IX74" s="809"/>
      <c r="IY74" s="809"/>
      <c r="IZ74" s="810"/>
    </row>
    <row r="75" spans="1:260" x14ac:dyDescent="0.25">
      <c r="A75" s="854" t="str">
        <f>IFERROR(INDEX(Lista_Pedidos,Procesos!Y69+A69-1,3),"")</f>
        <v/>
      </c>
      <c r="B75" s="855"/>
      <c r="C75" s="855"/>
      <c r="D75" s="855"/>
      <c r="E75" s="856"/>
      <c r="F75" s="857" t="str">
        <f>IF(Z69&gt;A69-1,E$11,"")</f>
        <v/>
      </c>
      <c r="G75" s="855"/>
      <c r="H75" s="855"/>
      <c r="I75" s="856"/>
      <c r="J75" s="526" t="str">
        <f>IFERROR(IF(IF(Z69&gt;A69-1,INDEX(Lista_Pedidos,Y69+A69-1,J69),"")=0,"",IF(Z69&gt;A69-1,INDEX(Lista_Pedidos,Y69+A69-1,J69),"")),"")</f>
        <v/>
      </c>
      <c r="K75" s="526" t="str">
        <f>IFERROR(IF(IF(Z69&gt;A69-1,INDEX(Lista_Pedidos,Y69+A69-1,K69),"")=0,"",IF(Z69&gt;A69-1,INDEX(Lista_Pedidos,Y69+A69-1,K69),"")),"")</f>
        <v/>
      </c>
      <c r="L75" s="526" t="str">
        <f>IFERROR(IF(IF(Z69&gt;A69-1,INDEX(Lista_Pedidos,Y69+A69-1,L69),"")=0,"",IF(Z69&gt;A69-1,INDEX(Lista_Pedidos,Y69+A69-1,L69),"")),"")</f>
        <v/>
      </c>
      <c r="M75" s="526" t="str">
        <f>IFERROR(IF(IF(Z69&gt;A69-1,INDEX(Lista_Pedidos,Y69+A69-1,M69),"")=0,"",IF(Z69&gt;A69-1,INDEX(Lista_Pedidos,Y69+A69-1,M69),"")),"")</f>
        <v/>
      </c>
      <c r="N75" s="526" t="str">
        <f>IFERROR(IF(IF(Z69&gt;A69-1,INDEX(Lista_Pedidos,Y69+A69-1,N69),"")=0,"",IF(Z69&gt;A69-1,INDEX(Lista_Pedidos,Y69+A69-1,N69),"")),"")</f>
        <v/>
      </c>
      <c r="O75" s="526" t="str">
        <f>IFERROR(IF(IF(Z69&gt;A69-1,INDEX(Lista_Pedidos,Y69+A69-1,O69),"")=0,"",IF(Z69&gt;A69-1,INDEX(Lista_Pedidos,Y69+A69-1,O69),"")),"")</f>
        <v/>
      </c>
      <c r="P75" s="526" t="str">
        <f>IFERROR(IF(IF(Z69&gt;A69-1,INDEX(Lista_Pedidos,Y69+A69-1,P69),"")=0,"",IF(Z69&gt;A69-1,INDEX(Lista_Pedidos,Y69+A69-1,P69),"")),"")</f>
        <v/>
      </c>
      <c r="Q75" s="526" t="str">
        <f>IFERROR(IF(IF(Z69&gt;A69-1,INDEX(Lista_Pedidos,Y69+A69-1,Q69),"")=0,"",IF(Z69&gt;A69-1,INDEX(Lista_Pedidos,Y69+A69-1,Q69),"")),"")</f>
        <v/>
      </c>
      <c r="R75" s="526" t="str">
        <f>IFERROR(IF(IF(Z69&gt;A69-1,INDEX(Lista_Pedidos,Y69+A69-1,R69),"")=0,"",IF(Z69&gt;A69-1,INDEX(Lista_Pedidos,Y69+A69-1,R69),"")),"")</f>
        <v/>
      </c>
      <c r="S75" s="526" t="str">
        <f>IFERROR(IF(IF(Z69&gt;A69-1,INDEX(Lista_Pedidos,Y69+A69-1,S69),"")=0,"",IF(Z69&gt;A69-1,INDEX(Lista_Pedidos,Y69+A69-1,S69),"")),"")</f>
        <v/>
      </c>
      <c r="T75" s="526" t="str">
        <f>IFERROR(IF(IF(Z69&gt;A69-1,INDEX(Lista_Pedidos,Y69+A69-1,T69),"")=0,"",IF(Z69&gt;A69-1,INDEX(Lista_Pedidos,Y69+A69-1,T69),"")),"")</f>
        <v/>
      </c>
      <c r="U75" s="526" t="str">
        <f>IFERROR(IF(IF(Z69&gt;A69-1,INDEX(Lista_Pedidos,Y69+A69-1,U69),"")=0,"",IF(Z69&gt;A69-1,INDEX(Lista_Pedidos,Y69+A69-1,U69),"")),"")</f>
        <v/>
      </c>
      <c r="V75" s="526" t="str">
        <f>IFERROR(IF(IF(Z69&gt;A69-1,INDEX(Lista_Pedidos,Y69+A69-1,V69),"")=0,"",IF(Z69&gt;A69-1,INDEX(Lista_Pedidos,Y69+A69-1,V69),"")),"")</f>
        <v/>
      </c>
      <c r="W75" s="857" t="str">
        <f>IF(SUM(J75:V75)&gt;1,SUM(J75:V75),"")</f>
        <v/>
      </c>
      <c r="X75" s="855"/>
      <c r="Y75" s="855"/>
      <c r="Z75" s="860"/>
      <c r="AA75" s="854" t="str">
        <f>IFERROR(INDEX(Lista_Pedidos,Procesos!AY69+AA69-1,3),"")</f>
        <v>DJT ONYX 01 - 02</v>
      </c>
      <c r="AB75" s="855"/>
      <c r="AC75" s="855"/>
      <c r="AD75" s="855"/>
      <c r="AE75" s="856"/>
      <c r="AF75" s="857">
        <f>IF(AZ69&gt;AA69-1,AE$11,"")</f>
        <v>0</v>
      </c>
      <c r="AG75" s="855"/>
      <c r="AH75" s="855"/>
      <c r="AI75" s="856"/>
      <c r="AJ75" s="526" t="str">
        <f>IFERROR(IF(IF(AZ69&gt;AA69-1,INDEX(Lista_Pedidos,AY69+AA69-1,AJ69),"")=0,"",IF(AZ69&gt;AA69-1,INDEX(Lista_Pedidos,AY69+AA69-1,AJ69),"")),"")</f>
        <v/>
      </c>
      <c r="AK75" s="526" t="str">
        <f>IFERROR(IF(IF(AZ69&gt;AA69-1,INDEX(Lista_Pedidos,AY69+AA69-1,AK69),"")=0,"",IF(AZ69&gt;AA69-1,INDEX(Lista_Pedidos,AY69+AA69-1,AK69),"")),"")</f>
        <v/>
      </c>
      <c r="AL75" s="526" t="str">
        <f>IFERROR(IF(IF(AZ69&gt;AA69-1,INDEX(Lista_Pedidos,AY69+AA69-1,AL69),"")=0,"",IF(AZ69&gt;AA69-1,INDEX(Lista_Pedidos,AY69+AA69-1,AL69),"")),"")</f>
        <v/>
      </c>
      <c r="AM75" s="526" t="str">
        <f>IFERROR(IF(IF(AZ69&gt;AA69-1,INDEX(Lista_Pedidos,AY69+AA69-1,AM69),"")=0,"",IF(AZ69&gt;AA69-1,INDEX(Lista_Pedidos,AY69+AA69-1,AM69),"")),"")</f>
        <v/>
      </c>
      <c r="AN75" s="526" t="str">
        <f>IFERROR(IF(IF(AZ69&gt;AA69-1,INDEX(Lista_Pedidos,AY69+AA69-1,AN69),"")=0,"",IF(AZ69&gt;AA69-1,INDEX(Lista_Pedidos,AY69+AA69-1,AN69),"")),"")</f>
        <v/>
      </c>
      <c r="AO75" s="526" t="str">
        <f>IFERROR(IF(IF(AZ69&gt;AA69-1,INDEX(Lista_Pedidos,AY69+AA69-1,AO69),"")=0,"",IF(AZ69&gt;AA69-1,INDEX(Lista_Pedidos,AY69+AA69-1,AO69),"")),"")</f>
        <v/>
      </c>
      <c r="AP75" s="526" t="str">
        <f>IFERROR(IF(IF(AZ69&gt;AA69-1,INDEX(Lista_Pedidos,AY69+AA69-1,AP69),"")=0,"",IF(AZ69&gt;AA69-1,INDEX(Lista_Pedidos,AY69+AA69-1,AP69),"")),"")</f>
        <v/>
      </c>
      <c r="AQ75" s="526" t="str">
        <f>IFERROR(IF(IF(AZ69&gt;AA69-1,INDEX(Lista_Pedidos,AY69+AA69-1,AQ69),"")=0,"",IF(AZ69&gt;AA69-1,INDEX(Lista_Pedidos,AY69+AA69-1,AQ69),"")),"")</f>
        <v/>
      </c>
      <c r="AR75" s="526" t="str">
        <f>IFERROR(IF(IF(AZ69&gt;AA69-1,INDEX(Lista_Pedidos,AY69+AA69-1,AR69),"")=0,"",IF(AZ69&gt;AA69-1,INDEX(Lista_Pedidos,AY69+AA69-1,AR69),"")),"")</f>
        <v/>
      </c>
      <c r="AS75" s="526">
        <f>IFERROR(IF(IF(AZ69&gt;AA69-1,INDEX(Lista_Pedidos,AY69+AA69-1,AS69),"")=0,"",IF(AZ69&gt;AA69-1,INDEX(Lista_Pedidos,AY69+AA69-1,AS69),"")),"")</f>
        <v>3</v>
      </c>
      <c r="AT75" s="526" t="str">
        <f>IFERROR(IF(IF(AZ69&gt;AA69-1,INDEX(Lista_Pedidos,AY69+AA69-1,AT69),"")=0,"",IF(AZ69&gt;AA69-1,INDEX(Lista_Pedidos,AY69+AA69-1,AT69),"")),"")</f>
        <v/>
      </c>
      <c r="AU75" s="526" t="str">
        <f>IFERROR(IF(IF(AZ69&gt;AA69-1,INDEX(Lista_Pedidos,AY69+AA69-1,AU69),"")=0,"",IF(AZ69&gt;AA69-1,INDEX(Lista_Pedidos,AY69+AA69-1,AU69),"")),"")</f>
        <v/>
      </c>
      <c r="AV75" s="526" t="str">
        <f>IFERROR(IF(IF(AZ69&gt;AA69-1,INDEX(Lista_Pedidos,AY69+AA69-1,AV69),"")=0,"",IF(AZ69&gt;AA69-1,INDEX(Lista_Pedidos,AY69+AA69-1,AV69),"")),"")</f>
        <v/>
      </c>
      <c r="AW75" s="857">
        <f>IF(SUM(AJ75:AV75)&gt;1,SUM(AJ75:AV75),"")</f>
        <v>3</v>
      </c>
      <c r="AX75" s="855"/>
      <c r="AY75" s="855"/>
      <c r="AZ75" s="860"/>
      <c r="BA75" s="854" t="str">
        <f>IFERROR(INDEX(Lista_Pedidos,Procesos!BY69+BA69-1,3),"")</f>
        <v/>
      </c>
      <c r="BB75" s="855"/>
      <c r="BC75" s="855"/>
      <c r="BD75" s="855"/>
      <c r="BE75" s="856"/>
      <c r="BF75" s="857" t="str">
        <f>IF(BZ69&gt;BA69-1,BE$11,"")</f>
        <v/>
      </c>
      <c r="BG75" s="855"/>
      <c r="BH75" s="855"/>
      <c r="BI75" s="856"/>
      <c r="BJ75" s="526" t="str">
        <f>IFERROR(IF(IF(BZ69&gt;BA69-1,INDEX(Lista_Pedidos,BY69+BA69-1,BJ69),"")=0,"",IF(BZ69&gt;BA69-1,INDEX(Lista_Pedidos,BY69+BA69-1,BJ69),"")),"")</f>
        <v/>
      </c>
      <c r="BK75" s="526" t="str">
        <f>IFERROR(IF(IF(BZ69&gt;BA69-1,INDEX(Lista_Pedidos,BY69+BA69-1,BK69),"")=0,"",IF(BZ69&gt;BA69-1,INDEX(Lista_Pedidos,BY69+BA69-1,BK69),"")),"")</f>
        <v/>
      </c>
      <c r="BL75" s="526" t="str">
        <f>IFERROR(IF(IF(BZ69&gt;BA69-1,INDEX(Lista_Pedidos,BY69+BA69-1,BL69),"")=0,"",IF(BZ69&gt;BA69-1,INDEX(Lista_Pedidos,BY69+BA69-1,BL69),"")),"")</f>
        <v/>
      </c>
      <c r="BM75" s="526" t="str">
        <f>IFERROR(IF(IF(BZ69&gt;BA69-1,INDEX(Lista_Pedidos,BY69+BA69-1,BM69),"")=0,"",IF(BZ69&gt;BA69-1,INDEX(Lista_Pedidos,BY69+BA69-1,BM69),"")),"")</f>
        <v/>
      </c>
      <c r="BN75" s="526" t="str">
        <f>IFERROR(IF(IF(BZ69&gt;BA69-1,INDEX(Lista_Pedidos,BY69+BA69-1,BN69),"")=0,"",IF(BZ69&gt;BA69-1,INDEX(Lista_Pedidos,BY69+BA69-1,BN69),"")),"")</f>
        <v/>
      </c>
      <c r="BO75" s="526" t="str">
        <f>IFERROR(IF(IF(BZ69&gt;BA69-1,INDEX(Lista_Pedidos,BY69+BA69-1,BO69),"")=0,"",IF(BZ69&gt;BA69-1,INDEX(Lista_Pedidos,BY69+BA69-1,BO69),"")),"")</f>
        <v/>
      </c>
      <c r="BP75" s="526" t="str">
        <f>IFERROR(IF(IF(BZ69&gt;BA69-1,INDEX(Lista_Pedidos,BY69+BA69-1,BP69),"")=0,"",IF(BZ69&gt;BA69-1,INDEX(Lista_Pedidos,BY69+BA69-1,BP69),"")),"")</f>
        <v/>
      </c>
      <c r="BQ75" s="526" t="str">
        <f>IFERROR(IF(IF(BZ69&gt;BA69-1,INDEX(Lista_Pedidos,BY69+BA69-1,BQ69),"")=0,"",IF(BZ69&gt;BA69-1,INDEX(Lista_Pedidos,BY69+BA69-1,BQ69),"")),"")</f>
        <v/>
      </c>
      <c r="BR75" s="526" t="str">
        <f>IFERROR(IF(IF(BZ69&gt;BA69-1,INDEX(Lista_Pedidos,BY69+BA69-1,BR69),"")=0,"",IF(BZ69&gt;BA69-1,INDEX(Lista_Pedidos,BY69+BA69-1,BR69),"")),"")</f>
        <v/>
      </c>
      <c r="BS75" s="526" t="str">
        <f>IFERROR(IF(IF(BZ69&gt;BA69-1,INDEX(Lista_Pedidos,BY69+BA69-1,BS69),"")=0,"",IF(BZ69&gt;BA69-1,INDEX(Lista_Pedidos,BY69+BA69-1,BS69),"")),"")</f>
        <v/>
      </c>
      <c r="BT75" s="526" t="str">
        <f>IFERROR(IF(IF(BZ69&gt;BA69-1,INDEX(Lista_Pedidos,BY69+BA69-1,BT69),"")=0,"",IF(BZ69&gt;BA69-1,INDEX(Lista_Pedidos,BY69+BA69-1,BT69),"")),"")</f>
        <v/>
      </c>
      <c r="BU75" s="526" t="str">
        <f>IFERROR(IF(IF(BZ69&gt;BA69-1,INDEX(Lista_Pedidos,BY69+BA69-1,BU69),"")=0,"",IF(BZ69&gt;BA69-1,INDEX(Lista_Pedidos,BY69+BA69-1,BU69),"")),"")</f>
        <v/>
      </c>
      <c r="BV75" s="526" t="str">
        <f>IFERROR(IF(IF(BZ69&gt;BA69-1,INDEX(Lista_Pedidos,BY69+BA69-1,BV69),"")=0,"",IF(BZ69&gt;BA69-1,INDEX(Lista_Pedidos,BY69+BA69-1,BV69),"")),"")</f>
        <v/>
      </c>
      <c r="BW75" s="857" t="str">
        <f>IF(SUM(BJ75:BV75)&gt;1,SUM(BJ75:BV75),"")</f>
        <v/>
      </c>
      <c r="BX75" s="855"/>
      <c r="BY75" s="855"/>
      <c r="BZ75" s="860"/>
      <c r="CA75" s="854" t="str">
        <f>IFERROR(INDEX(Lista_Pedidos,Procesos!CY69+CA69-1,3),"")</f>
        <v/>
      </c>
      <c r="CB75" s="855"/>
      <c r="CC75" s="855"/>
      <c r="CD75" s="855"/>
      <c r="CE75" s="856"/>
      <c r="CF75" s="857" t="str">
        <f>IF(CZ69&gt;CA69-1,CE$11,"")</f>
        <v/>
      </c>
      <c r="CG75" s="855"/>
      <c r="CH75" s="855"/>
      <c r="CI75" s="856"/>
      <c r="CJ75" s="526" t="str">
        <f>IFERROR(IF(IF(CZ69&gt;CA69-1,INDEX(Lista_Pedidos,CY69+CA69-1,CJ69),"")=0,"",IF(CZ69&gt;CA69-1,INDEX(Lista_Pedidos,CY69+CA69-1,CJ69),"")),"")</f>
        <v/>
      </c>
      <c r="CK75" s="526" t="str">
        <f>IFERROR(IF(IF(CZ69&gt;CA69-1,INDEX(Lista_Pedidos,CY69+CA69-1,CK69),"")=0,"",IF(CZ69&gt;CA69-1,INDEX(Lista_Pedidos,CY69+CA69-1,CK69),"")),"")</f>
        <v/>
      </c>
      <c r="CL75" s="526" t="str">
        <f>IFERROR(IF(IF(CZ69&gt;CA69-1,INDEX(Lista_Pedidos,CY69+CA69-1,CL69),"")=0,"",IF(CZ69&gt;CA69-1,INDEX(Lista_Pedidos,CY69+CA69-1,CL69),"")),"")</f>
        <v/>
      </c>
      <c r="CM75" s="526" t="str">
        <f>IFERROR(IF(IF(CZ69&gt;CA69-1,INDEX(Lista_Pedidos,CY69+CA69-1,CM69),"")=0,"",IF(CZ69&gt;CA69-1,INDEX(Lista_Pedidos,CY69+CA69-1,CM69),"")),"")</f>
        <v/>
      </c>
      <c r="CN75" s="526" t="str">
        <f>IFERROR(IF(IF(CZ69&gt;CA69-1,INDEX(Lista_Pedidos,CY69+CA69-1,CN69),"")=0,"",IF(CZ69&gt;CA69-1,INDEX(Lista_Pedidos,CY69+CA69-1,CN69),"")),"")</f>
        <v/>
      </c>
      <c r="CO75" s="526" t="str">
        <f>IFERROR(IF(IF(CZ69&gt;CA69-1,INDEX(Lista_Pedidos,CY69+CA69-1,CO69),"")=0,"",IF(CZ69&gt;CA69-1,INDEX(Lista_Pedidos,CY69+CA69-1,CO69),"")),"")</f>
        <v/>
      </c>
      <c r="CP75" s="526" t="str">
        <f>IFERROR(IF(IF(CZ69&gt;CA69-1,INDEX(Lista_Pedidos,CY69+CA69-1,CP69),"")=0,"",IF(CZ69&gt;CA69-1,INDEX(Lista_Pedidos,CY69+CA69-1,CP69),"")),"")</f>
        <v/>
      </c>
      <c r="CQ75" s="526" t="str">
        <f>IFERROR(IF(IF(CZ69&gt;CA69-1,INDEX(Lista_Pedidos,CY69+CA69-1,CQ69),"")=0,"",IF(CZ69&gt;CA69-1,INDEX(Lista_Pedidos,CY69+CA69-1,CQ69),"")),"")</f>
        <v/>
      </c>
      <c r="CR75" s="526" t="str">
        <f>IFERROR(IF(IF(CZ69&gt;CA69-1,INDEX(Lista_Pedidos,CY69+CA69-1,CR69),"")=0,"",IF(CZ69&gt;CA69-1,INDEX(Lista_Pedidos,CY69+CA69-1,CR69),"")),"")</f>
        <v/>
      </c>
      <c r="CS75" s="526" t="str">
        <f>IFERROR(IF(IF(CZ69&gt;CA69-1,INDEX(Lista_Pedidos,CY69+CA69-1,CS69),"")=0,"",IF(CZ69&gt;CA69-1,INDEX(Lista_Pedidos,CY69+CA69-1,CS69),"")),"")</f>
        <v/>
      </c>
      <c r="CT75" s="526" t="str">
        <f>IFERROR(IF(IF(CZ69&gt;CA69-1,INDEX(Lista_Pedidos,CY69+CA69-1,CT69),"")=0,"",IF(CZ69&gt;CA69-1,INDEX(Lista_Pedidos,CY69+CA69-1,CT69),"")),"")</f>
        <v/>
      </c>
      <c r="CU75" s="526" t="str">
        <f>IFERROR(IF(IF(CZ69&gt;CA69-1,INDEX(Lista_Pedidos,CY69+CA69-1,CU69),"")=0,"",IF(CZ69&gt;CA69-1,INDEX(Lista_Pedidos,CY69+CA69-1,CU69),"")),"")</f>
        <v/>
      </c>
      <c r="CV75" s="526" t="str">
        <f>IFERROR(IF(IF(CZ69&gt;CA69-1,INDEX(Lista_Pedidos,CY69+CA69-1,CV69),"")=0,"",IF(CZ69&gt;CA69-1,INDEX(Lista_Pedidos,CY69+CA69-1,CV69),"")),"")</f>
        <v/>
      </c>
      <c r="CW75" s="857" t="str">
        <f>IF(SUM(CJ75:CV75)&gt;1,SUM(CJ75:CV75),"")</f>
        <v/>
      </c>
      <c r="CX75" s="855"/>
      <c r="CY75" s="855"/>
      <c r="CZ75" s="860"/>
      <c r="DA75" s="854" t="str">
        <f>IFERROR(INDEX(Lista_Pedidos,Procesos!DY69+DA69-1,3),"")</f>
        <v/>
      </c>
      <c r="DB75" s="855"/>
      <c r="DC75" s="855"/>
      <c r="DD75" s="855"/>
      <c r="DE75" s="856"/>
      <c r="DF75" s="857" t="str">
        <f>IF(DZ69&gt;DA69-1,DE$11,"")</f>
        <v/>
      </c>
      <c r="DG75" s="855"/>
      <c r="DH75" s="855"/>
      <c r="DI75" s="856"/>
      <c r="DJ75" s="526" t="str">
        <f>IFERROR(IF(IF(DZ69&gt;DA69-1,INDEX(Lista_Pedidos,DY69+DA69-1,DJ69),"")=0,"",IF(DZ69&gt;DA69-1,INDEX(Lista_Pedidos,DY69+DA69-1,DJ69),"")),"")</f>
        <v/>
      </c>
      <c r="DK75" s="526" t="str">
        <f>IFERROR(IF(IF(DZ69&gt;DA69-1,INDEX(Lista_Pedidos,DY69+DA69-1,DK69),"")=0,"",IF(DZ69&gt;DA69-1,INDEX(Lista_Pedidos,DY69+DA69-1,DK69),"")),"")</f>
        <v/>
      </c>
      <c r="DL75" s="526" t="str">
        <f>IFERROR(IF(IF(DZ69&gt;DA69-1,INDEX(Lista_Pedidos,DY69+DA69-1,DL69),"")=0,"",IF(DZ69&gt;DA69-1,INDEX(Lista_Pedidos,DY69+DA69-1,DL69),"")),"")</f>
        <v/>
      </c>
      <c r="DM75" s="526" t="str">
        <f>IFERROR(IF(IF(DZ69&gt;DA69-1,INDEX(Lista_Pedidos,DY69+DA69-1,DM69),"")=0,"",IF(DZ69&gt;DA69-1,INDEX(Lista_Pedidos,DY69+DA69-1,DM69),"")),"")</f>
        <v/>
      </c>
      <c r="DN75" s="526" t="str">
        <f>IFERROR(IF(IF(DZ69&gt;DA69-1,INDEX(Lista_Pedidos,DY69+DA69-1,DN69),"")=0,"",IF(DZ69&gt;DA69-1,INDEX(Lista_Pedidos,DY69+DA69-1,DN69),"")),"")</f>
        <v/>
      </c>
      <c r="DO75" s="526" t="str">
        <f>IFERROR(IF(IF(DZ69&gt;DA69-1,INDEX(Lista_Pedidos,DY69+DA69-1,DO69),"")=0,"",IF(DZ69&gt;DA69-1,INDEX(Lista_Pedidos,DY69+DA69-1,DO69),"")),"")</f>
        <v/>
      </c>
      <c r="DP75" s="526" t="str">
        <f>IFERROR(IF(IF(DZ69&gt;DA69-1,INDEX(Lista_Pedidos,DY69+DA69-1,DP69),"")=0,"",IF(DZ69&gt;DA69-1,INDEX(Lista_Pedidos,DY69+DA69-1,DP69),"")),"")</f>
        <v/>
      </c>
      <c r="DQ75" s="526" t="str">
        <f>IFERROR(IF(IF(DZ69&gt;DA69-1,INDEX(Lista_Pedidos,DY69+DA69-1,DQ69),"")=0,"",IF(DZ69&gt;DA69-1,INDEX(Lista_Pedidos,DY69+DA69-1,DQ69),"")),"")</f>
        <v/>
      </c>
      <c r="DR75" s="526" t="str">
        <f>IFERROR(IF(IF(DZ69&gt;DA69-1,INDEX(Lista_Pedidos,DY69+DA69-1,DR69),"")=0,"",IF(DZ69&gt;DA69-1,INDEX(Lista_Pedidos,DY69+DA69-1,DR69),"")),"")</f>
        <v/>
      </c>
      <c r="DS75" s="526" t="str">
        <f>IFERROR(IF(IF(DZ69&gt;DA69-1,INDEX(Lista_Pedidos,DY69+DA69-1,DS69),"")=0,"",IF(DZ69&gt;DA69-1,INDEX(Lista_Pedidos,DY69+DA69-1,DS69),"")),"")</f>
        <v/>
      </c>
      <c r="DT75" s="526" t="str">
        <f>IFERROR(IF(IF(DZ69&gt;DA69-1,INDEX(Lista_Pedidos,DY69+DA69-1,DT69),"")=0,"",IF(DZ69&gt;DA69-1,INDEX(Lista_Pedidos,DY69+DA69-1,DT69),"")),"")</f>
        <v/>
      </c>
      <c r="DU75" s="526" t="str">
        <f>IFERROR(IF(IF(DZ69&gt;DA69-1,INDEX(Lista_Pedidos,DY69+DA69-1,DU69),"")=0,"",IF(DZ69&gt;DA69-1,INDEX(Lista_Pedidos,DY69+DA69-1,DU69),"")),"")</f>
        <v/>
      </c>
      <c r="DV75" s="526" t="str">
        <f>IFERROR(IF(IF(DZ69&gt;DA69-1,INDEX(Lista_Pedidos,DY69+DA69-1,DV69),"")=0,"",IF(DZ69&gt;DA69-1,INDEX(Lista_Pedidos,DY69+DA69-1,DV69),"")),"")</f>
        <v/>
      </c>
      <c r="DW75" s="857" t="str">
        <f>IF(SUM(DJ75:DV75)&gt;1,SUM(DJ75:DV75),"")</f>
        <v/>
      </c>
      <c r="DX75" s="855"/>
      <c r="DY75" s="855"/>
      <c r="DZ75" s="860"/>
      <c r="EA75" s="854" t="str">
        <f>IFERROR(INDEX(Lista_Pedidos,Procesos!EY69+EA69-1,3),"")</f>
        <v/>
      </c>
      <c r="EB75" s="855"/>
      <c r="EC75" s="855"/>
      <c r="ED75" s="855"/>
      <c r="EE75" s="856"/>
      <c r="EF75" s="857" t="str">
        <f>IF(EZ69&gt;EA69-1,EE$11,"")</f>
        <v/>
      </c>
      <c r="EG75" s="855"/>
      <c r="EH75" s="855"/>
      <c r="EI75" s="856"/>
      <c r="EJ75" s="526" t="str">
        <f>IFERROR(IF(IF(EZ69&gt;EA69-1,INDEX(Lista_Pedidos,EY69+EA69-1,EJ69),"")=0,"",IF(EZ69&gt;EA69-1,INDEX(Lista_Pedidos,EY69+EA69-1,EJ69),"")),"")</f>
        <v/>
      </c>
      <c r="EK75" s="526" t="str">
        <f>IFERROR(IF(IF(EZ69&gt;EA69-1,INDEX(Lista_Pedidos,EY69+EA69-1,EK69),"")=0,"",IF(EZ69&gt;EA69-1,INDEX(Lista_Pedidos,EY69+EA69-1,EK69),"")),"")</f>
        <v/>
      </c>
      <c r="EL75" s="526" t="str">
        <f>IFERROR(IF(IF(EZ69&gt;EA69-1,INDEX(Lista_Pedidos,EY69+EA69-1,EL69),"")=0,"",IF(EZ69&gt;EA69-1,INDEX(Lista_Pedidos,EY69+EA69-1,EL69),"")),"")</f>
        <v/>
      </c>
      <c r="EM75" s="526" t="str">
        <f>IFERROR(IF(IF(EZ69&gt;EA69-1,INDEX(Lista_Pedidos,EY69+EA69-1,EM69),"")=0,"",IF(EZ69&gt;EA69-1,INDEX(Lista_Pedidos,EY69+EA69-1,EM69),"")),"")</f>
        <v/>
      </c>
      <c r="EN75" s="526" t="str">
        <f>IFERROR(IF(IF(EZ69&gt;EA69-1,INDEX(Lista_Pedidos,EY69+EA69-1,EN69),"")=0,"",IF(EZ69&gt;EA69-1,INDEX(Lista_Pedidos,EY69+EA69-1,EN69),"")),"")</f>
        <v/>
      </c>
      <c r="EO75" s="526" t="str">
        <f>IFERROR(IF(IF(EZ69&gt;EA69-1,INDEX(Lista_Pedidos,EY69+EA69-1,EO69),"")=0,"",IF(EZ69&gt;EA69-1,INDEX(Lista_Pedidos,EY69+EA69-1,EO69),"")),"")</f>
        <v/>
      </c>
      <c r="EP75" s="526" t="str">
        <f>IFERROR(IF(IF(EZ69&gt;EA69-1,INDEX(Lista_Pedidos,EY69+EA69-1,EP69),"")=0,"",IF(EZ69&gt;EA69-1,INDEX(Lista_Pedidos,EY69+EA69-1,EP69),"")),"")</f>
        <v/>
      </c>
      <c r="EQ75" s="526" t="str">
        <f>IFERROR(IF(IF(EZ69&gt;EA69-1,INDEX(Lista_Pedidos,EY69+EA69-1,EQ69),"")=0,"",IF(EZ69&gt;EA69-1,INDEX(Lista_Pedidos,EY69+EA69-1,EQ69),"")),"")</f>
        <v/>
      </c>
      <c r="ER75" s="526" t="str">
        <f>IFERROR(IF(IF(EZ69&gt;EA69-1,INDEX(Lista_Pedidos,EY69+EA69-1,ER69),"")=0,"",IF(EZ69&gt;EA69-1,INDEX(Lista_Pedidos,EY69+EA69-1,ER69),"")),"")</f>
        <v/>
      </c>
      <c r="ES75" s="526" t="str">
        <f>IFERROR(IF(IF(EZ69&gt;EA69-1,INDEX(Lista_Pedidos,EY69+EA69-1,ES69),"")=0,"",IF(EZ69&gt;EA69-1,INDEX(Lista_Pedidos,EY69+EA69-1,ES69),"")),"")</f>
        <v/>
      </c>
      <c r="ET75" s="526" t="str">
        <f>IFERROR(IF(IF(EZ69&gt;EA69-1,INDEX(Lista_Pedidos,EY69+EA69-1,ET69),"")=0,"",IF(EZ69&gt;EA69-1,INDEX(Lista_Pedidos,EY69+EA69-1,ET69),"")),"")</f>
        <v/>
      </c>
      <c r="EU75" s="526" t="str">
        <f>IFERROR(IF(IF(EZ69&gt;EA69-1,INDEX(Lista_Pedidos,EY69+EA69-1,EU69),"")=0,"",IF(EZ69&gt;EA69-1,INDEX(Lista_Pedidos,EY69+EA69-1,EU69),"")),"")</f>
        <v/>
      </c>
      <c r="EV75" s="526" t="str">
        <f>IFERROR(IF(IF(EZ69&gt;EA69-1,INDEX(Lista_Pedidos,EY69+EA69-1,EV69),"")=0,"",IF(EZ69&gt;EA69-1,INDEX(Lista_Pedidos,EY69+EA69-1,EV69),"")),"")</f>
        <v/>
      </c>
      <c r="EW75" s="857" t="str">
        <f>IF(SUM(EJ75:EV75)&gt;1,SUM(EJ75:EV75),"")</f>
        <v/>
      </c>
      <c r="EX75" s="855"/>
      <c r="EY75" s="855"/>
      <c r="EZ75" s="860"/>
      <c r="FA75" s="854" t="str">
        <f>IFERROR(INDEX(Lista_Pedidos,Procesos!FY69+FA69-1,3),"")</f>
        <v/>
      </c>
      <c r="FB75" s="855"/>
      <c r="FC75" s="855"/>
      <c r="FD75" s="855"/>
      <c r="FE75" s="856"/>
      <c r="FF75" s="857" t="str">
        <f>IF(FZ69&gt;FA69-1,FE$11,"")</f>
        <v/>
      </c>
      <c r="FG75" s="855"/>
      <c r="FH75" s="855"/>
      <c r="FI75" s="856"/>
      <c r="FJ75" s="526" t="str">
        <f>IFERROR(IF(IF(FZ69&gt;FA69-1,INDEX(Lista_Pedidos,FY69+FA69-1,FJ69),"")=0,"",IF(FZ69&gt;FA69-1,INDEX(Lista_Pedidos,FY69+FA69-1,FJ69),"")),"")</f>
        <v/>
      </c>
      <c r="FK75" s="526" t="str">
        <f>IFERROR(IF(IF(FZ69&gt;FA69-1,INDEX(Lista_Pedidos,FY69+FA69-1,FK69),"")=0,"",IF(FZ69&gt;FA69-1,INDEX(Lista_Pedidos,FY69+FA69-1,FK69),"")),"")</f>
        <v/>
      </c>
      <c r="FL75" s="526" t="str">
        <f>IFERROR(IF(IF(FZ69&gt;FA69-1,INDEX(Lista_Pedidos,FY69+FA69-1,FL69),"")=0,"",IF(FZ69&gt;FA69-1,INDEX(Lista_Pedidos,FY69+FA69-1,FL69),"")),"")</f>
        <v/>
      </c>
      <c r="FM75" s="526" t="str">
        <f>IFERROR(IF(IF(FZ69&gt;FA69-1,INDEX(Lista_Pedidos,FY69+FA69-1,FM69),"")=0,"",IF(FZ69&gt;FA69-1,INDEX(Lista_Pedidos,FY69+FA69-1,FM69),"")),"")</f>
        <v/>
      </c>
      <c r="FN75" s="526" t="str">
        <f>IFERROR(IF(IF(FZ69&gt;FA69-1,INDEX(Lista_Pedidos,FY69+FA69-1,FN69),"")=0,"",IF(FZ69&gt;FA69-1,INDEX(Lista_Pedidos,FY69+FA69-1,FN69),"")),"")</f>
        <v/>
      </c>
      <c r="FO75" s="526" t="str">
        <f>IFERROR(IF(IF(FZ69&gt;FA69-1,INDEX(Lista_Pedidos,FY69+FA69-1,FO69),"")=0,"",IF(FZ69&gt;FA69-1,INDEX(Lista_Pedidos,FY69+FA69-1,FO69),"")),"")</f>
        <v/>
      </c>
      <c r="FP75" s="526" t="str">
        <f>IFERROR(IF(IF(FZ69&gt;FA69-1,INDEX(Lista_Pedidos,FY69+FA69-1,FP69),"")=0,"",IF(FZ69&gt;FA69-1,INDEX(Lista_Pedidos,FY69+FA69-1,FP69),"")),"")</f>
        <v/>
      </c>
      <c r="FQ75" s="526" t="str">
        <f>IFERROR(IF(IF(FZ69&gt;FA69-1,INDEX(Lista_Pedidos,FY69+FA69-1,FQ69),"")=0,"",IF(FZ69&gt;FA69-1,INDEX(Lista_Pedidos,FY69+FA69-1,FQ69),"")),"")</f>
        <v/>
      </c>
      <c r="FR75" s="526" t="str">
        <f>IFERROR(IF(IF(FZ69&gt;FA69-1,INDEX(Lista_Pedidos,FY69+FA69-1,FR69),"")=0,"",IF(FZ69&gt;FA69-1,INDEX(Lista_Pedidos,FY69+FA69-1,FR69),"")),"")</f>
        <v/>
      </c>
      <c r="FS75" s="526" t="str">
        <f>IFERROR(IF(IF(FZ69&gt;FA69-1,INDEX(Lista_Pedidos,FY69+FA69-1,FS69),"")=0,"",IF(FZ69&gt;FA69-1,INDEX(Lista_Pedidos,FY69+FA69-1,FS69),"")),"")</f>
        <v/>
      </c>
      <c r="FT75" s="526" t="str">
        <f>IFERROR(IF(IF(FZ69&gt;FA69-1,INDEX(Lista_Pedidos,FY69+FA69-1,FT69),"")=0,"",IF(FZ69&gt;FA69-1,INDEX(Lista_Pedidos,FY69+FA69-1,FT69),"")),"")</f>
        <v/>
      </c>
      <c r="FU75" s="526" t="str">
        <f>IFERROR(IF(IF(FZ69&gt;FA69-1,INDEX(Lista_Pedidos,FY69+FA69-1,FU69),"")=0,"",IF(FZ69&gt;FA69-1,INDEX(Lista_Pedidos,FY69+FA69-1,FU69),"")),"")</f>
        <v/>
      </c>
      <c r="FV75" s="526" t="str">
        <f>IFERROR(IF(IF(FZ69&gt;FA69-1,INDEX(Lista_Pedidos,FY69+FA69-1,FV69),"")=0,"",IF(FZ69&gt;FA69-1,INDEX(Lista_Pedidos,FY69+FA69-1,FV69),"")),"")</f>
        <v/>
      </c>
      <c r="FW75" s="857" t="str">
        <f>IF(SUM(FJ75:FV75)&gt;1,SUM(FJ75:FV75),"")</f>
        <v/>
      </c>
      <c r="FX75" s="855"/>
      <c r="FY75" s="855"/>
      <c r="FZ75" s="860"/>
      <c r="GA75" s="854" t="str">
        <f>IFERROR(INDEX(Lista_Pedidos,Procesos!GY69+GA69-1,3),"")</f>
        <v/>
      </c>
      <c r="GB75" s="855"/>
      <c r="GC75" s="855"/>
      <c r="GD75" s="855"/>
      <c r="GE75" s="856"/>
      <c r="GF75" s="857" t="str">
        <f>IF(GZ69&gt;GA69-1,GE$11,"")</f>
        <v/>
      </c>
      <c r="GG75" s="855"/>
      <c r="GH75" s="855"/>
      <c r="GI75" s="856"/>
      <c r="GJ75" s="526" t="str">
        <f>IFERROR(IF(IF(GZ69&gt;GA69-1,INDEX(Lista_Pedidos,GY69+GA69-1,GJ69),"")=0,"",IF(GZ69&gt;GA69-1,INDEX(Lista_Pedidos,GY69+GA69-1,GJ69),"")),"")</f>
        <v/>
      </c>
      <c r="GK75" s="526" t="str">
        <f>IFERROR(IF(IF(GZ69&gt;GA69-1,INDEX(Lista_Pedidos,GY69+GA69-1,GK69),"")=0,"",IF(GZ69&gt;GA69-1,INDEX(Lista_Pedidos,GY69+GA69-1,GK69),"")),"")</f>
        <v/>
      </c>
      <c r="GL75" s="526" t="str">
        <f>IFERROR(IF(IF(GZ69&gt;GA69-1,INDEX(Lista_Pedidos,GY69+GA69-1,GL69),"")=0,"",IF(GZ69&gt;GA69-1,INDEX(Lista_Pedidos,GY69+GA69-1,GL69),"")),"")</f>
        <v/>
      </c>
      <c r="GM75" s="526" t="str">
        <f>IFERROR(IF(IF(GZ69&gt;GA69-1,INDEX(Lista_Pedidos,GY69+GA69-1,GM69),"")=0,"",IF(GZ69&gt;GA69-1,INDEX(Lista_Pedidos,GY69+GA69-1,GM69),"")),"")</f>
        <v/>
      </c>
      <c r="GN75" s="526" t="str">
        <f>IFERROR(IF(IF(GZ69&gt;GA69-1,INDEX(Lista_Pedidos,GY69+GA69-1,GN69),"")=0,"",IF(GZ69&gt;GA69-1,INDEX(Lista_Pedidos,GY69+GA69-1,GN69),"")),"")</f>
        <v/>
      </c>
      <c r="GO75" s="526" t="str">
        <f>IFERROR(IF(IF(GZ69&gt;GA69-1,INDEX(Lista_Pedidos,GY69+GA69-1,GO69),"")=0,"",IF(GZ69&gt;GA69-1,INDEX(Lista_Pedidos,GY69+GA69-1,GO69),"")),"")</f>
        <v/>
      </c>
      <c r="GP75" s="526" t="str">
        <f>IFERROR(IF(IF(GZ69&gt;GA69-1,INDEX(Lista_Pedidos,GY69+GA69-1,GP69),"")=0,"",IF(GZ69&gt;GA69-1,INDEX(Lista_Pedidos,GY69+GA69-1,GP69),"")),"")</f>
        <v/>
      </c>
      <c r="GQ75" s="526" t="str">
        <f>IFERROR(IF(IF(GZ69&gt;GA69-1,INDEX(Lista_Pedidos,GY69+GA69-1,GQ69),"")=0,"",IF(GZ69&gt;GA69-1,INDEX(Lista_Pedidos,GY69+GA69-1,GQ69),"")),"")</f>
        <v/>
      </c>
      <c r="GR75" s="526" t="str">
        <f>IFERROR(IF(IF(GZ69&gt;GA69-1,INDEX(Lista_Pedidos,GY69+GA69-1,GR69),"")=0,"",IF(GZ69&gt;GA69-1,INDEX(Lista_Pedidos,GY69+GA69-1,GR69),"")),"")</f>
        <v/>
      </c>
      <c r="GS75" s="526" t="str">
        <f>IFERROR(IF(IF(GZ69&gt;GA69-1,INDEX(Lista_Pedidos,GY69+GA69-1,GS69),"")=0,"",IF(GZ69&gt;GA69-1,INDEX(Lista_Pedidos,GY69+GA69-1,GS69),"")),"")</f>
        <v/>
      </c>
      <c r="GT75" s="526" t="str">
        <f>IFERROR(IF(IF(GZ69&gt;GA69-1,INDEX(Lista_Pedidos,GY69+GA69-1,GT69),"")=0,"",IF(GZ69&gt;GA69-1,INDEX(Lista_Pedidos,GY69+GA69-1,GT69),"")),"")</f>
        <v/>
      </c>
      <c r="GU75" s="526" t="str">
        <f>IFERROR(IF(IF(GZ69&gt;GA69-1,INDEX(Lista_Pedidos,GY69+GA69-1,GU69),"")=0,"",IF(GZ69&gt;GA69-1,INDEX(Lista_Pedidos,GY69+GA69-1,GU69),"")),"")</f>
        <v/>
      </c>
      <c r="GV75" s="526" t="str">
        <f>IFERROR(IF(IF(GZ69&gt;GA69-1,INDEX(Lista_Pedidos,GY69+GA69-1,GV69),"")=0,"",IF(GZ69&gt;GA69-1,INDEX(Lista_Pedidos,GY69+GA69-1,GV69),"")),"")</f>
        <v/>
      </c>
      <c r="GW75" s="857" t="str">
        <f>IF(SUM(GJ75:GV75)&gt;1,SUM(GJ75:GV75),"")</f>
        <v/>
      </c>
      <c r="GX75" s="855"/>
      <c r="GY75" s="855"/>
      <c r="GZ75" s="860"/>
      <c r="HA75" s="854" t="str">
        <f>IFERROR(INDEX(Lista_Pedidos,Procesos!HY69+HA69-1,3),"")</f>
        <v/>
      </c>
      <c r="HB75" s="855"/>
      <c r="HC75" s="855"/>
      <c r="HD75" s="855"/>
      <c r="HE75" s="856"/>
      <c r="HF75" s="857" t="str">
        <f>IF(HZ69&gt;HA69-1,HE$11,"")</f>
        <v/>
      </c>
      <c r="HG75" s="855"/>
      <c r="HH75" s="855"/>
      <c r="HI75" s="856"/>
      <c r="HJ75" s="526" t="str">
        <f>IFERROR(IF(IF(HZ69&gt;HA69-1,INDEX(Lista_Pedidos,HY69+HA69-1,HJ69),"")=0,"",IF(HZ69&gt;HA69-1,INDEX(Lista_Pedidos,HY69+HA69-1,HJ69),"")),"")</f>
        <v/>
      </c>
      <c r="HK75" s="526" t="str">
        <f>IFERROR(IF(IF(HZ69&gt;HA69-1,INDEX(Lista_Pedidos,HY69+HA69-1,HK69),"")=0,"",IF(HZ69&gt;HA69-1,INDEX(Lista_Pedidos,HY69+HA69-1,HK69),"")),"")</f>
        <v/>
      </c>
      <c r="HL75" s="526" t="str">
        <f>IFERROR(IF(IF(HZ69&gt;HA69-1,INDEX(Lista_Pedidos,HY69+HA69-1,HL69),"")=0,"",IF(HZ69&gt;HA69-1,INDEX(Lista_Pedidos,HY69+HA69-1,HL69),"")),"")</f>
        <v/>
      </c>
      <c r="HM75" s="526" t="str">
        <f>IFERROR(IF(IF(HZ69&gt;HA69-1,INDEX(Lista_Pedidos,HY69+HA69-1,HM69),"")=0,"",IF(HZ69&gt;HA69-1,INDEX(Lista_Pedidos,HY69+HA69-1,HM69),"")),"")</f>
        <v/>
      </c>
      <c r="HN75" s="526" t="str">
        <f>IFERROR(IF(IF(HZ69&gt;HA69-1,INDEX(Lista_Pedidos,HY69+HA69-1,HN69),"")=0,"",IF(HZ69&gt;HA69-1,INDEX(Lista_Pedidos,HY69+HA69-1,HN69),"")),"")</f>
        <v/>
      </c>
      <c r="HO75" s="526" t="str">
        <f>IFERROR(IF(IF(HZ69&gt;HA69-1,INDEX(Lista_Pedidos,HY69+HA69-1,HO69),"")=0,"",IF(HZ69&gt;HA69-1,INDEX(Lista_Pedidos,HY69+HA69-1,HO69),"")),"")</f>
        <v/>
      </c>
      <c r="HP75" s="526" t="str">
        <f>IFERROR(IF(IF(HZ69&gt;HA69-1,INDEX(Lista_Pedidos,HY69+HA69-1,HP69),"")=0,"",IF(HZ69&gt;HA69-1,INDEX(Lista_Pedidos,HY69+HA69-1,HP69),"")),"")</f>
        <v/>
      </c>
      <c r="HQ75" s="526" t="str">
        <f>IFERROR(IF(IF(HZ69&gt;HA69-1,INDEX(Lista_Pedidos,HY69+HA69-1,HQ69),"")=0,"",IF(HZ69&gt;HA69-1,INDEX(Lista_Pedidos,HY69+HA69-1,HQ69),"")),"")</f>
        <v/>
      </c>
      <c r="HR75" s="526" t="str">
        <f>IFERROR(IF(IF(HZ69&gt;HA69-1,INDEX(Lista_Pedidos,HY69+HA69-1,HR69),"")=0,"",IF(HZ69&gt;HA69-1,INDEX(Lista_Pedidos,HY69+HA69-1,HR69),"")),"")</f>
        <v/>
      </c>
      <c r="HS75" s="526" t="str">
        <f>IFERROR(IF(IF(HZ69&gt;HA69-1,INDEX(Lista_Pedidos,HY69+HA69-1,HS69),"")=0,"",IF(HZ69&gt;HA69-1,INDEX(Lista_Pedidos,HY69+HA69-1,HS69),"")),"")</f>
        <v/>
      </c>
      <c r="HT75" s="526" t="str">
        <f>IFERROR(IF(IF(HZ69&gt;HA69-1,INDEX(Lista_Pedidos,HY69+HA69-1,HT69),"")=0,"",IF(HZ69&gt;HA69-1,INDEX(Lista_Pedidos,HY69+HA69-1,HT69),"")),"")</f>
        <v/>
      </c>
      <c r="HU75" s="526" t="str">
        <f>IFERROR(IF(IF(HZ69&gt;HA69-1,INDEX(Lista_Pedidos,HY69+HA69-1,HU69),"")=0,"",IF(HZ69&gt;HA69-1,INDEX(Lista_Pedidos,HY69+HA69-1,HU69),"")),"")</f>
        <v/>
      </c>
      <c r="HV75" s="526" t="str">
        <f>IFERROR(IF(IF(HZ69&gt;HA69-1,INDEX(Lista_Pedidos,HY69+HA69-1,HV69),"")=0,"",IF(HZ69&gt;HA69-1,INDEX(Lista_Pedidos,HY69+HA69-1,HV69),"")),"")</f>
        <v/>
      </c>
      <c r="HW75" s="857" t="str">
        <f>IF(SUM(HJ75:HV75)&gt;1,SUM(HJ75:HV75),"")</f>
        <v/>
      </c>
      <c r="HX75" s="855"/>
      <c r="HY75" s="855"/>
      <c r="HZ75" s="860"/>
      <c r="IA75" s="854" t="str">
        <f>IFERROR(INDEX(Lista_Pedidos,Procesos!IY69+IA69-1,3),"")</f>
        <v/>
      </c>
      <c r="IB75" s="855"/>
      <c r="IC75" s="855"/>
      <c r="ID75" s="855"/>
      <c r="IE75" s="856"/>
      <c r="IF75" s="857" t="str">
        <f>IF(IZ69&gt;IA69-1,IE$11,"")</f>
        <v/>
      </c>
      <c r="IG75" s="855"/>
      <c r="IH75" s="855"/>
      <c r="II75" s="856"/>
      <c r="IJ75" s="526" t="str">
        <f>IFERROR(IF(IF(IZ69&gt;IA69-1,INDEX(Lista_Pedidos,IY69+IA69-1,IJ69),"")=0,"",IF(IZ69&gt;IA69-1,INDEX(Lista_Pedidos,IY69+IA69-1,IJ69),"")),"")</f>
        <v/>
      </c>
      <c r="IK75" s="526" t="str">
        <f>IFERROR(IF(IF(IZ69&gt;IA69-1,INDEX(Lista_Pedidos,IY69+IA69-1,IK69),"")=0,"",IF(IZ69&gt;IA69-1,INDEX(Lista_Pedidos,IY69+IA69-1,IK69),"")),"")</f>
        <v/>
      </c>
      <c r="IL75" s="526" t="str">
        <f>IFERROR(IF(IF(IZ69&gt;IA69-1,INDEX(Lista_Pedidos,IY69+IA69-1,IL69),"")=0,"",IF(IZ69&gt;IA69-1,INDEX(Lista_Pedidos,IY69+IA69-1,IL69),"")),"")</f>
        <v/>
      </c>
      <c r="IM75" s="526" t="str">
        <f>IFERROR(IF(IF(IZ69&gt;IA69-1,INDEX(Lista_Pedidos,IY69+IA69-1,IM69),"")=0,"",IF(IZ69&gt;IA69-1,INDEX(Lista_Pedidos,IY69+IA69-1,IM69),"")),"")</f>
        <v/>
      </c>
      <c r="IN75" s="526" t="str">
        <f>IFERROR(IF(IF(IZ69&gt;IA69-1,INDEX(Lista_Pedidos,IY69+IA69-1,IN69),"")=0,"",IF(IZ69&gt;IA69-1,INDEX(Lista_Pedidos,IY69+IA69-1,IN69),"")),"")</f>
        <v/>
      </c>
      <c r="IO75" s="526" t="str">
        <f>IFERROR(IF(IF(IZ69&gt;IA69-1,INDEX(Lista_Pedidos,IY69+IA69-1,IO69),"")=0,"",IF(IZ69&gt;IA69-1,INDEX(Lista_Pedidos,IY69+IA69-1,IO69),"")),"")</f>
        <v/>
      </c>
      <c r="IP75" s="526" t="str">
        <f>IFERROR(IF(IF(IZ69&gt;IA69-1,INDEX(Lista_Pedidos,IY69+IA69-1,IP69),"")=0,"",IF(IZ69&gt;IA69-1,INDEX(Lista_Pedidos,IY69+IA69-1,IP69),"")),"")</f>
        <v/>
      </c>
      <c r="IQ75" s="526" t="str">
        <f>IFERROR(IF(IF(IZ69&gt;IA69-1,INDEX(Lista_Pedidos,IY69+IA69-1,IQ69),"")=0,"",IF(IZ69&gt;IA69-1,INDEX(Lista_Pedidos,IY69+IA69-1,IQ69),"")),"")</f>
        <v/>
      </c>
      <c r="IR75" s="526" t="str">
        <f>IFERROR(IF(IF(IZ69&gt;IA69-1,INDEX(Lista_Pedidos,IY69+IA69-1,IR69),"")=0,"",IF(IZ69&gt;IA69-1,INDEX(Lista_Pedidos,IY69+IA69-1,IR69),"")),"")</f>
        <v/>
      </c>
      <c r="IS75" s="526" t="str">
        <f>IFERROR(IF(IF(IZ69&gt;IA69-1,INDEX(Lista_Pedidos,IY69+IA69-1,IS69),"")=0,"",IF(IZ69&gt;IA69-1,INDEX(Lista_Pedidos,IY69+IA69-1,IS69),"")),"")</f>
        <v/>
      </c>
      <c r="IT75" s="526" t="str">
        <f>IFERROR(IF(IF(IZ69&gt;IA69-1,INDEX(Lista_Pedidos,IY69+IA69-1,IT69),"")=0,"",IF(IZ69&gt;IA69-1,INDEX(Lista_Pedidos,IY69+IA69-1,IT69),"")),"")</f>
        <v/>
      </c>
      <c r="IU75" s="526" t="str">
        <f>IFERROR(IF(IF(IZ69&gt;IA69-1,INDEX(Lista_Pedidos,IY69+IA69-1,IU69),"")=0,"",IF(IZ69&gt;IA69-1,INDEX(Lista_Pedidos,IY69+IA69-1,IU69),"")),"")</f>
        <v/>
      </c>
      <c r="IV75" s="526" t="str">
        <f>IFERROR(IF(IF(IZ69&gt;IA69-1,INDEX(Lista_Pedidos,IY69+IA69-1,IV69),"")=0,"",IF(IZ69&gt;IA69-1,INDEX(Lista_Pedidos,IY69+IA69-1,IV69),"")),"")</f>
        <v/>
      </c>
      <c r="IW75" s="857" t="str">
        <f>IF(SUM(IJ75:IV75)&gt;1,SUM(IJ75:IV75),"")</f>
        <v/>
      </c>
      <c r="IX75" s="855"/>
      <c r="IY75" s="855"/>
      <c r="IZ75" s="860"/>
    </row>
    <row r="76" spans="1:260" x14ac:dyDescent="0.25">
      <c r="A76" s="823"/>
      <c r="B76" s="824"/>
      <c r="C76" s="824"/>
      <c r="D76" s="824"/>
      <c r="E76" s="824"/>
      <c r="F76" s="824"/>
      <c r="G76" s="824"/>
      <c r="H76" s="824"/>
      <c r="I76" s="824"/>
      <c r="J76" s="824"/>
      <c r="K76" s="824"/>
      <c r="L76" s="824"/>
      <c r="M76" s="824"/>
      <c r="N76" s="824"/>
      <c r="O76" s="824"/>
      <c r="P76" s="824"/>
      <c r="Q76" s="824"/>
      <c r="R76" s="824"/>
      <c r="S76" s="824"/>
      <c r="T76" s="824"/>
      <c r="U76" s="824"/>
      <c r="V76" s="824"/>
      <c r="W76" s="824" t="str">
        <f>IFERROR(IF(Z69&gt;A69-1,IF(INDEX(Lista_Pedidos,Y69+A69-1,2)&lt;&gt;"",INDEX(Lista_Pedidos,Y69+A69-1,2),""),""),"")</f>
        <v/>
      </c>
      <c r="X76" s="824"/>
      <c r="Y76" s="824"/>
      <c r="Z76" s="825"/>
      <c r="AA76" s="823"/>
      <c r="AB76" s="824"/>
      <c r="AC76" s="824"/>
      <c r="AD76" s="824"/>
      <c r="AE76" s="824"/>
      <c r="AF76" s="824"/>
      <c r="AG76" s="824"/>
      <c r="AH76" s="824"/>
      <c r="AI76" s="824"/>
      <c r="AJ76" s="824"/>
      <c r="AK76" s="824"/>
      <c r="AL76" s="824"/>
      <c r="AM76" s="824"/>
      <c r="AN76" s="824"/>
      <c r="AO76" s="824"/>
      <c r="AP76" s="824"/>
      <c r="AQ76" s="824"/>
      <c r="AR76" s="824"/>
      <c r="AS76" s="824"/>
      <c r="AT76" s="824"/>
      <c r="AU76" s="824"/>
      <c r="AV76" s="824"/>
      <c r="AW76" s="824" t="str">
        <f>IFERROR(IF(AZ69&gt;AA69-1,IF(INDEX(Lista_Pedidos,AY69+AA69-1,2)&lt;&gt;"",INDEX(Lista_Pedidos,AY69+AA69-1,2),""),""),"")</f>
        <v>Confección</v>
      </c>
      <c r="AX76" s="824"/>
      <c r="AY76" s="824"/>
      <c r="AZ76" s="825"/>
      <c r="BA76" s="823"/>
      <c r="BB76" s="824"/>
      <c r="BC76" s="824"/>
      <c r="BD76" s="824"/>
      <c r="BE76" s="824"/>
      <c r="BF76" s="824"/>
      <c r="BG76" s="824"/>
      <c r="BH76" s="824"/>
      <c r="BI76" s="824"/>
      <c r="BJ76" s="824"/>
      <c r="BK76" s="824"/>
      <c r="BL76" s="824"/>
      <c r="BM76" s="824"/>
      <c r="BN76" s="824"/>
      <c r="BO76" s="824"/>
      <c r="BP76" s="824"/>
      <c r="BQ76" s="824"/>
      <c r="BR76" s="824"/>
      <c r="BS76" s="824"/>
      <c r="BT76" s="824"/>
      <c r="BU76" s="824"/>
      <c r="BV76" s="824"/>
      <c r="BW76" s="824" t="str">
        <f>IFERROR(IF(BZ69&gt;BA69-1,IF(INDEX(Lista_Pedidos,BY69+BA69-1,2)&lt;&gt;"",INDEX(Lista_Pedidos,BY69+BA69-1,2),""),""),"")</f>
        <v/>
      </c>
      <c r="BX76" s="824"/>
      <c r="BY76" s="824"/>
      <c r="BZ76" s="825"/>
      <c r="CA76" s="823"/>
      <c r="CB76" s="824"/>
      <c r="CC76" s="824"/>
      <c r="CD76" s="824"/>
      <c r="CE76" s="824"/>
      <c r="CF76" s="824"/>
      <c r="CG76" s="824"/>
      <c r="CH76" s="824"/>
      <c r="CI76" s="824"/>
      <c r="CJ76" s="824"/>
      <c r="CK76" s="824"/>
      <c r="CL76" s="824"/>
      <c r="CM76" s="824"/>
      <c r="CN76" s="824"/>
      <c r="CO76" s="824"/>
      <c r="CP76" s="824"/>
      <c r="CQ76" s="824"/>
      <c r="CR76" s="824"/>
      <c r="CS76" s="824"/>
      <c r="CT76" s="824"/>
      <c r="CU76" s="824"/>
      <c r="CV76" s="824"/>
      <c r="CW76" s="824" t="str">
        <f>IFERROR(IF(CZ69&gt;CA69-1,IF(INDEX(Lista_Pedidos,CY69+CA69-1,2)&lt;&gt;"",INDEX(Lista_Pedidos,CY69+CA69-1,2),""),""),"")</f>
        <v/>
      </c>
      <c r="CX76" s="824"/>
      <c r="CY76" s="824"/>
      <c r="CZ76" s="825"/>
      <c r="DA76" s="823"/>
      <c r="DB76" s="824"/>
      <c r="DC76" s="824"/>
      <c r="DD76" s="824"/>
      <c r="DE76" s="824"/>
      <c r="DF76" s="824"/>
      <c r="DG76" s="824"/>
      <c r="DH76" s="824"/>
      <c r="DI76" s="824"/>
      <c r="DJ76" s="824"/>
      <c r="DK76" s="824"/>
      <c r="DL76" s="824"/>
      <c r="DM76" s="824"/>
      <c r="DN76" s="824"/>
      <c r="DO76" s="824"/>
      <c r="DP76" s="824"/>
      <c r="DQ76" s="824"/>
      <c r="DR76" s="824"/>
      <c r="DS76" s="824"/>
      <c r="DT76" s="824"/>
      <c r="DU76" s="824"/>
      <c r="DV76" s="824"/>
      <c r="DW76" s="824" t="str">
        <f>IFERROR(IF(DZ69&gt;DA69-1,IF(INDEX(Lista_Pedidos,DY69+DA69-1,2)&lt;&gt;"",INDEX(Lista_Pedidos,DY69+DA69-1,2),""),""),"")</f>
        <v/>
      </c>
      <c r="DX76" s="824"/>
      <c r="DY76" s="824"/>
      <c r="DZ76" s="825"/>
      <c r="EA76" s="823"/>
      <c r="EB76" s="824"/>
      <c r="EC76" s="824"/>
      <c r="ED76" s="824"/>
      <c r="EE76" s="824"/>
      <c r="EF76" s="824"/>
      <c r="EG76" s="824"/>
      <c r="EH76" s="824"/>
      <c r="EI76" s="824"/>
      <c r="EJ76" s="824"/>
      <c r="EK76" s="824"/>
      <c r="EL76" s="824"/>
      <c r="EM76" s="824"/>
      <c r="EN76" s="824"/>
      <c r="EO76" s="824"/>
      <c r="EP76" s="824"/>
      <c r="EQ76" s="824"/>
      <c r="ER76" s="824"/>
      <c r="ES76" s="824"/>
      <c r="ET76" s="824"/>
      <c r="EU76" s="824"/>
      <c r="EV76" s="824"/>
      <c r="EW76" s="824" t="str">
        <f>IFERROR(IF(EZ69&gt;EA69-1,IF(INDEX(Lista_Pedidos,EY69+EA69-1,2)&lt;&gt;"",INDEX(Lista_Pedidos,EY69+EA69-1,2),""),""),"")</f>
        <v/>
      </c>
      <c r="EX76" s="824"/>
      <c r="EY76" s="824"/>
      <c r="EZ76" s="825"/>
      <c r="FA76" s="823"/>
      <c r="FB76" s="824"/>
      <c r="FC76" s="824"/>
      <c r="FD76" s="824"/>
      <c r="FE76" s="824"/>
      <c r="FF76" s="824"/>
      <c r="FG76" s="824"/>
      <c r="FH76" s="824"/>
      <c r="FI76" s="824"/>
      <c r="FJ76" s="824"/>
      <c r="FK76" s="824"/>
      <c r="FL76" s="824"/>
      <c r="FM76" s="824"/>
      <c r="FN76" s="824"/>
      <c r="FO76" s="824"/>
      <c r="FP76" s="824"/>
      <c r="FQ76" s="824"/>
      <c r="FR76" s="824"/>
      <c r="FS76" s="824"/>
      <c r="FT76" s="824"/>
      <c r="FU76" s="824"/>
      <c r="FV76" s="824"/>
      <c r="FW76" s="824" t="str">
        <f>IFERROR(IF(FZ69&gt;FA69-1,IF(INDEX(Lista_Pedidos,FY69+FA69-1,2)&lt;&gt;"",INDEX(Lista_Pedidos,FY69+FA69-1,2),""),""),"")</f>
        <v/>
      </c>
      <c r="FX76" s="824"/>
      <c r="FY76" s="824"/>
      <c r="FZ76" s="825"/>
      <c r="GA76" s="823"/>
      <c r="GB76" s="824"/>
      <c r="GC76" s="824"/>
      <c r="GD76" s="824"/>
      <c r="GE76" s="824"/>
      <c r="GF76" s="824"/>
      <c r="GG76" s="824"/>
      <c r="GH76" s="824"/>
      <c r="GI76" s="824"/>
      <c r="GJ76" s="824"/>
      <c r="GK76" s="824"/>
      <c r="GL76" s="824"/>
      <c r="GM76" s="824"/>
      <c r="GN76" s="824"/>
      <c r="GO76" s="824"/>
      <c r="GP76" s="824"/>
      <c r="GQ76" s="824"/>
      <c r="GR76" s="824"/>
      <c r="GS76" s="824"/>
      <c r="GT76" s="824"/>
      <c r="GU76" s="824"/>
      <c r="GV76" s="824"/>
      <c r="GW76" s="824" t="str">
        <f>IFERROR(IF(GZ69&gt;GA69-1,IF(INDEX(Lista_Pedidos,GY69+GA69-1,2)&lt;&gt;"",INDEX(Lista_Pedidos,GY69+GA69-1,2),""),""),"")</f>
        <v/>
      </c>
      <c r="GX76" s="824"/>
      <c r="GY76" s="824"/>
      <c r="GZ76" s="825"/>
      <c r="HA76" s="823"/>
      <c r="HB76" s="824"/>
      <c r="HC76" s="824"/>
      <c r="HD76" s="824"/>
      <c r="HE76" s="824"/>
      <c r="HF76" s="824"/>
      <c r="HG76" s="824"/>
      <c r="HH76" s="824"/>
      <c r="HI76" s="824"/>
      <c r="HJ76" s="824"/>
      <c r="HK76" s="824"/>
      <c r="HL76" s="824"/>
      <c r="HM76" s="824"/>
      <c r="HN76" s="824"/>
      <c r="HO76" s="824"/>
      <c r="HP76" s="824"/>
      <c r="HQ76" s="824"/>
      <c r="HR76" s="824"/>
      <c r="HS76" s="824"/>
      <c r="HT76" s="824"/>
      <c r="HU76" s="824"/>
      <c r="HV76" s="824"/>
      <c r="HW76" s="824" t="str">
        <f>IFERROR(IF(HZ69&gt;HA69-1,IF(INDEX(Lista_Pedidos,HY69+HA69-1,2)&lt;&gt;"",INDEX(Lista_Pedidos,HY69+HA69-1,2),""),""),"")</f>
        <v/>
      </c>
      <c r="HX76" s="824"/>
      <c r="HY76" s="824"/>
      <c r="HZ76" s="825"/>
      <c r="IA76" s="823"/>
      <c r="IB76" s="824"/>
      <c r="IC76" s="824"/>
      <c r="ID76" s="824"/>
      <c r="IE76" s="824"/>
      <c r="IF76" s="824"/>
      <c r="IG76" s="824"/>
      <c r="IH76" s="824"/>
      <c r="II76" s="824"/>
      <c r="IJ76" s="824"/>
      <c r="IK76" s="824"/>
      <c r="IL76" s="824"/>
      <c r="IM76" s="824"/>
      <c r="IN76" s="824"/>
      <c r="IO76" s="824"/>
      <c r="IP76" s="824"/>
      <c r="IQ76" s="824"/>
      <c r="IR76" s="824"/>
      <c r="IS76" s="824"/>
      <c r="IT76" s="824"/>
      <c r="IU76" s="824"/>
      <c r="IV76" s="824"/>
      <c r="IW76" s="824" t="str">
        <f>IFERROR(IF(IZ69&gt;IA69-1,IF(INDEX(Lista_Pedidos,IY69+IA69-1,2)&lt;&gt;"",INDEX(Lista_Pedidos,IY69+IA69-1,2),""),""),"")</f>
        <v/>
      </c>
      <c r="IX76" s="824"/>
      <c r="IY76" s="824"/>
      <c r="IZ76" s="825"/>
    </row>
    <row r="77" spans="1:260" x14ac:dyDescent="0.25">
      <c r="A77" s="800" t="str">
        <f>IFERROR(IF(Z69&gt;A69-1,IF(INDEX(Lista_Pedidos,Y69+A69-1,6)&lt;&gt;"","Nombre de la Tela :     "&amp; INDEX(Lista_Pedidos,Y69+A69-1,6),""),""),"")</f>
        <v/>
      </c>
      <c r="B77" s="801"/>
      <c r="C77" s="801"/>
      <c r="D77" s="801"/>
      <c r="E77" s="801"/>
      <c r="F77" s="801"/>
      <c r="G77" s="801"/>
      <c r="H77" s="801"/>
      <c r="I77" s="801"/>
      <c r="J77" s="801"/>
      <c r="K77" s="801"/>
      <c r="L77" s="801"/>
      <c r="M77" s="801"/>
      <c r="N77" s="801"/>
      <c r="O77" s="801"/>
      <c r="P77" s="801"/>
      <c r="Q77" s="801"/>
      <c r="R77" s="801"/>
      <c r="S77" s="801"/>
      <c r="T77" s="801"/>
      <c r="U77" s="801"/>
      <c r="V77" s="801"/>
      <c r="W77" s="826"/>
      <c r="X77" s="826"/>
      <c r="Y77" s="826"/>
      <c r="Z77" s="827"/>
      <c r="AA77" s="800" t="str">
        <f>IFERROR(IF(AZ69&gt;AA69-1,IF(INDEX(Lista_Pedidos,AY69+AA69-1,6)&lt;&gt;"","Nombre de la Tela :     "&amp; INDEX(Lista_Pedidos,AY69+AA69-1,6),""),""),"")</f>
        <v>Nombre de la Tela :     42060 (BLACK)/MENELAOS (BLACK LINING)</v>
      </c>
      <c r="AB77" s="801"/>
      <c r="AC77" s="801"/>
      <c r="AD77" s="801"/>
      <c r="AE77" s="801"/>
      <c r="AF77" s="801"/>
      <c r="AG77" s="801"/>
      <c r="AH77" s="801"/>
      <c r="AI77" s="801"/>
      <c r="AJ77" s="801"/>
      <c r="AK77" s="801"/>
      <c r="AL77" s="801"/>
      <c r="AM77" s="801"/>
      <c r="AN77" s="801"/>
      <c r="AO77" s="801"/>
      <c r="AP77" s="801"/>
      <c r="AQ77" s="801"/>
      <c r="AR77" s="801"/>
      <c r="AS77" s="801"/>
      <c r="AT77" s="801"/>
      <c r="AU77" s="801"/>
      <c r="AV77" s="801"/>
      <c r="AW77" s="826"/>
      <c r="AX77" s="826"/>
      <c r="AY77" s="826"/>
      <c r="AZ77" s="827"/>
      <c r="BA77" s="800" t="str">
        <f>IFERROR(IF(BZ69&gt;BA69-1,IF(INDEX(Lista_Pedidos,BY69+BA69-1,6)&lt;&gt;"","Nombre de la Tela :     "&amp; INDEX(Lista_Pedidos,BY69+BA69-1,6),""),""),"")</f>
        <v/>
      </c>
      <c r="BB77" s="801"/>
      <c r="BC77" s="801"/>
      <c r="BD77" s="801"/>
      <c r="BE77" s="801"/>
      <c r="BF77" s="801"/>
      <c r="BG77" s="801"/>
      <c r="BH77" s="801"/>
      <c r="BI77" s="801"/>
      <c r="BJ77" s="801"/>
      <c r="BK77" s="801"/>
      <c r="BL77" s="801"/>
      <c r="BM77" s="801"/>
      <c r="BN77" s="801"/>
      <c r="BO77" s="801"/>
      <c r="BP77" s="801"/>
      <c r="BQ77" s="801"/>
      <c r="BR77" s="801"/>
      <c r="BS77" s="801"/>
      <c r="BT77" s="801"/>
      <c r="BU77" s="801"/>
      <c r="BV77" s="801"/>
      <c r="BW77" s="826"/>
      <c r="BX77" s="826"/>
      <c r="BY77" s="826"/>
      <c r="BZ77" s="827"/>
      <c r="CA77" s="800" t="str">
        <f>IFERROR(IF(CZ69&gt;CA69-1,IF(INDEX(Lista_Pedidos,CY69+CA69-1,6)&lt;&gt;"","Nombre de la Tela :     "&amp; INDEX(Lista_Pedidos,CY69+CA69-1,6),""),""),"")</f>
        <v/>
      </c>
      <c r="CB77" s="801"/>
      <c r="CC77" s="801"/>
      <c r="CD77" s="801"/>
      <c r="CE77" s="801"/>
      <c r="CF77" s="801"/>
      <c r="CG77" s="801"/>
      <c r="CH77" s="801"/>
      <c r="CI77" s="801"/>
      <c r="CJ77" s="801"/>
      <c r="CK77" s="801"/>
      <c r="CL77" s="801"/>
      <c r="CM77" s="801"/>
      <c r="CN77" s="801"/>
      <c r="CO77" s="801"/>
      <c r="CP77" s="801"/>
      <c r="CQ77" s="801"/>
      <c r="CR77" s="801"/>
      <c r="CS77" s="801"/>
      <c r="CT77" s="801"/>
      <c r="CU77" s="801"/>
      <c r="CV77" s="801"/>
      <c r="CW77" s="826"/>
      <c r="CX77" s="826"/>
      <c r="CY77" s="826"/>
      <c r="CZ77" s="827"/>
      <c r="DA77" s="800" t="str">
        <f>IFERROR(IF(DZ69&gt;DA69-1,IF(INDEX(Lista_Pedidos,DY69+DA69-1,6)&lt;&gt;"","Nombre de la Tela :     "&amp; INDEX(Lista_Pedidos,DY69+DA69-1,6),""),""),"")</f>
        <v/>
      </c>
      <c r="DB77" s="801"/>
      <c r="DC77" s="801"/>
      <c r="DD77" s="801"/>
      <c r="DE77" s="801"/>
      <c r="DF77" s="801"/>
      <c r="DG77" s="801"/>
      <c r="DH77" s="801"/>
      <c r="DI77" s="801"/>
      <c r="DJ77" s="801"/>
      <c r="DK77" s="801"/>
      <c r="DL77" s="801"/>
      <c r="DM77" s="801"/>
      <c r="DN77" s="801"/>
      <c r="DO77" s="801"/>
      <c r="DP77" s="801"/>
      <c r="DQ77" s="801"/>
      <c r="DR77" s="801"/>
      <c r="DS77" s="801"/>
      <c r="DT77" s="801"/>
      <c r="DU77" s="801"/>
      <c r="DV77" s="801"/>
      <c r="DW77" s="826"/>
      <c r="DX77" s="826"/>
      <c r="DY77" s="826"/>
      <c r="DZ77" s="827"/>
      <c r="EA77" s="800" t="str">
        <f>IFERROR(IF(EZ69&gt;EA69-1,IF(INDEX(Lista_Pedidos,EY69+EA69-1,6)&lt;&gt;"","Nombre de la Tela :     "&amp; INDEX(Lista_Pedidos,EY69+EA69-1,6),""),""),"")</f>
        <v/>
      </c>
      <c r="EB77" s="801"/>
      <c r="EC77" s="801"/>
      <c r="ED77" s="801"/>
      <c r="EE77" s="801"/>
      <c r="EF77" s="801"/>
      <c r="EG77" s="801"/>
      <c r="EH77" s="801"/>
      <c r="EI77" s="801"/>
      <c r="EJ77" s="801"/>
      <c r="EK77" s="801"/>
      <c r="EL77" s="801"/>
      <c r="EM77" s="801"/>
      <c r="EN77" s="801"/>
      <c r="EO77" s="801"/>
      <c r="EP77" s="801"/>
      <c r="EQ77" s="801"/>
      <c r="ER77" s="801"/>
      <c r="ES77" s="801"/>
      <c r="ET77" s="801"/>
      <c r="EU77" s="801"/>
      <c r="EV77" s="801"/>
      <c r="EW77" s="826"/>
      <c r="EX77" s="826"/>
      <c r="EY77" s="826"/>
      <c r="EZ77" s="827"/>
      <c r="FA77" s="800" t="str">
        <f>IFERROR(IF(FZ69&gt;FA69-1,IF(INDEX(Lista_Pedidos,FY69+FA69-1,6)&lt;&gt;"","Nombre de la Tela :     "&amp; INDEX(Lista_Pedidos,FY69+FA69-1,6),""),""),"")</f>
        <v/>
      </c>
      <c r="FB77" s="801"/>
      <c r="FC77" s="801"/>
      <c r="FD77" s="801"/>
      <c r="FE77" s="801"/>
      <c r="FF77" s="801"/>
      <c r="FG77" s="801"/>
      <c r="FH77" s="801"/>
      <c r="FI77" s="801"/>
      <c r="FJ77" s="801"/>
      <c r="FK77" s="801"/>
      <c r="FL77" s="801"/>
      <c r="FM77" s="801"/>
      <c r="FN77" s="801"/>
      <c r="FO77" s="801"/>
      <c r="FP77" s="801"/>
      <c r="FQ77" s="801"/>
      <c r="FR77" s="801"/>
      <c r="FS77" s="801"/>
      <c r="FT77" s="801"/>
      <c r="FU77" s="801"/>
      <c r="FV77" s="801"/>
      <c r="FW77" s="826"/>
      <c r="FX77" s="826"/>
      <c r="FY77" s="826"/>
      <c r="FZ77" s="827"/>
      <c r="GA77" s="800" t="str">
        <f>IFERROR(IF(GZ69&gt;GA69-1,IF(INDEX(Lista_Pedidos,GY69+GA69-1,6)&lt;&gt;"","Nombre de la Tela :     "&amp; INDEX(Lista_Pedidos,GY69+GA69-1,6),""),""),"")</f>
        <v/>
      </c>
      <c r="GB77" s="801"/>
      <c r="GC77" s="801"/>
      <c r="GD77" s="801"/>
      <c r="GE77" s="801"/>
      <c r="GF77" s="801"/>
      <c r="GG77" s="801"/>
      <c r="GH77" s="801"/>
      <c r="GI77" s="801"/>
      <c r="GJ77" s="801"/>
      <c r="GK77" s="801"/>
      <c r="GL77" s="801"/>
      <c r="GM77" s="801"/>
      <c r="GN77" s="801"/>
      <c r="GO77" s="801"/>
      <c r="GP77" s="801"/>
      <c r="GQ77" s="801"/>
      <c r="GR77" s="801"/>
      <c r="GS77" s="801"/>
      <c r="GT77" s="801"/>
      <c r="GU77" s="801"/>
      <c r="GV77" s="801"/>
      <c r="GW77" s="826"/>
      <c r="GX77" s="826"/>
      <c r="GY77" s="826"/>
      <c r="GZ77" s="827"/>
      <c r="HA77" s="800" t="str">
        <f>IFERROR(IF(HZ69&gt;HA69-1,IF(INDEX(Lista_Pedidos,HY69+HA69-1,6)&lt;&gt;"","Nombre de la Tela :     "&amp; INDEX(Lista_Pedidos,HY69+HA69-1,6),""),""),"")</f>
        <v/>
      </c>
      <c r="HB77" s="801"/>
      <c r="HC77" s="801"/>
      <c r="HD77" s="801"/>
      <c r="HE77" s="801"/>
      <c r="HF77" s="801"/>
      <c r="HG77" s="801"/>
      <c r="HH77" s="801"/>
      <c r="HI77" s="801"/>
      <c r="HJ77" s="801"/>
      <c r="HK77" s="801"/>
      <c r="HL77" s="801"/>
      <c r="HM77" s="801"/>
      <c r="HN77" s="801"/>
      <c r="HO77" s="801"/>
      <c r="HP77" s="801"/>
      <c r="HQ77" s="801"/>
      <c r="HR77" s="801"/>
      <c r="HS77" s="801"/>
      <c r="HT77" s="801"/>
      <c r="HU77" s="801"/>
      <c r="HV77" s="801"/>
      <c r="HW77" s="826"/>
      <c r="HX77" s="826"/>
      <c r="HY77" s="826"/>
      <c r="HZ77" s="827"/>
      <c r="IA77" s="800" t="str">
        <f>IFERROR(IF(IZ69&gt;IA69-1,IF(INDEX(Lista_Pedidos,IY69+IA69-1,6)&lt;&gt;"","Nombre de la Tela :     "&amp; INDEX(Lista_Pedidos,IY69+IA69-1,6),""),""),"")</f>
        <v/>
      </c>
      <c r="IB77" s="801"/>
      <c r="IC77" s="801"/>
      <c r="ID77" s="801"/>
      <c r="IE77" s="801"/>
      <c r="IF77" s="801"/>
      <c r="IG77" s="801"/>
      <c r="IH77" s="801"/>
      <c r="II77" s="801"/>
      <c r="IJ77" s="801"/>
      <c r="IK77" s="801"/>
      <c r="IL77" s="801"/>
      <c r="IM77" s="801"/>
      <c r="IN77" s="801"/>
      <c r="IO77" s="801"/>
      <c r="IP77" s="801"/>
      <c r="IQ77" s="801"/>
      <c r="IR77" s="801"/>
      <c r="IS77" s="801"/>
      <c r="IT77" s="801"/>
      <c r="IU77" s="801"/>
      <c r="IV77" s="801"/>
      <c r="IW77" s="826"/>
      <c r="IX77" s="826"/>
      <c r="IY77" s="826"/>
      <c r="IZ77" s="827"/>
    </row>
    <row r="78" spans="1:260" x14ac:dyDescent="0.25">
      <c r="A78" s="800" t="str">
        <f>IFERROR(IF(Z69&gt;A69-1,IF(INDEX(Lista_Pedidos,Y69+A69-1,7)&lt;&gt;"","Hilo :     "&amp; INDEX(Lista_Pedidos,Y69+A69-1,7),""),""),"")</f>
        <v/>
      </c>
      <c r="B78" s="801"/>
      <c r="C78" s="801"/>
      <c r="D78" s="801"/>
      <c r="E78" s="801"/>
      <c r="F78" s="801"/>
      <c r="G78" s="801"/>
      <c r="H78" s="801"/>
      <c r="I78" s="801"/>
      <c r="J78" s="801"/>
      <c r="K78" s="801"/>
      <c r="L78" s="801"/>
      <c r="M78" s="801"/>
      <c r="N78" s="801"/>
      <c r="O78" s="801"/>
      <c r="P78" s="801"/>
      <c r="Q78" s="801"/>
      <c r="R78" s="801"/>
      <c r="S78" s="801"/>
      <c r="T78" s="801"/>
      <c r="U78" s="801"/>
      <c r="V78" s="801"/>
      <c r="W78" s="801"/>
      <c r="X78" s="801"/>
      <c r="Y78" s="801"/>
      <c r="Z78" s="802"/>
      <c r="AA78" s="800" t="str">
        <f>IFERROR(IF(AZ69&gt;AA69-1,IF(INDEX(Lista_Pedidos,AY69+AA69-1,7)&lt;&gt;"","Hilo :     "&amp; INDEX(Lista_Pedidos,AY69+AA69-1,7),""),""),"")</f>
        <v>Hilo :     Negro</v>
      </c>
      <c r="AB78" s="801"/>
      <c r="AC78" s="801"/>
      <c r="AD78" s="801"/>
      <c r="AE78" s="801"/>
      <c r="AF78" s="801"/>
      <c r="AG78" s="801"/>
      <c r="AH78" s="801"/>
      <c r="AI78" s="801"/>
      <c r="AJ78" s="801"/>
      <c r="AK78" s="801"/>
      <c r="AL78" s="801"/>
      <c r="AM78" s="801"/>
      <c r="AN78" s="801"/>
      <c r="AO78" s="801"/>
      <c r="AP78" s="801"/>
      <c r="AQ78" s="801"/>
      <c r="AR78" s="801"/>
      <c r="AS78" s="801"/>
      <c r="AT78" s="801"/>
      <c r="AU78" s="801"/>
      <c r="AV78" s="801"/>
      <c r="AW78" s="801"/>
      <c r="AX78" s="801"/>
      <c r="AY78" s="801"/>
      <c r="AZ78" s="802"/>
      <c r="BA78" s="800" t="str">
        <f>IFERROR(IF(BZ69&gt;BA69-1,IF(INDEX(Lista_Pedidos,BY69+BA69-1,7)&lt;&gt;"","Hilo :     "&amp; INDEX(Lista_Pedidos,BY69+BA69-1,7),""),""),"")</f>
        <v/>
      </c>
      <c r="BB78" s="801"/>
      <c r="BC78" s="801"/>
      <c r="BD78" s="801"/>
      <c r="BE78" s="801"/>
      <c r="BF78" s="801"/>
      <c r="BG78" s="801"/>
      <c r="BH78" s="801"/>
      <c r="BI78" s="801"/>
      <c r="BJ78" s="801"/>
      <c r="BK78" s="801"/>
      <c r="BL78" s="801"/>
      <c r="BM78" s="801"/>
      <c r="BN78" s="801"/>
      <c r="BO78" s="801"/>
      <c r="BP78" s="801"/>
      <c r="BQ78" s="801"/>
      <c r="BR78" s="801"/>
      <c r="BS78" s="801"/>
      <c r="BT78" s="801"/>
      <c r="BU78" s="801"/>
      <c r="BV78" s="801"/>
      <c r="BW78" s="801"/>
      <c r="BX78" s="801"/>
      <c r="BY78" s="801"/>
      <c r="BZ78" s="802"/>
      <c r="CA78" s="800" t="str">
        <f>IFERROR(IF(CZ69&gt;CA69-1,IF(INDEX(Lista_Pedidos,CY69+CA69-1,7)&lt;&gt;"","Hilo :     "&amp; INDEX(Lista_Pedidos,CY69+CA69-1,7),""),""),"")</f>
        <v/>
      </c>
      <c r="CB78" s="801"/>
      <c r="CC78" s="801"/>
      <c r="CD78" s="801"/>
      <c r="CE78" s="801"/>
      <c r="CF78" s="801"/>
      <c r="CG78" s="801"/>
      <c r="CH78" s="801"/>
      <c r="CI78" s="801"/>
      <c r="CJ78" s="801"/>
      <c r="CK78" s="801"/>
      <c r="CL78" s="801"/>
      <c r="CM78" s="801"/>
      <c r="CN78" s="801"/>
      <c r="CO78" s="801"/>
      <c r="CP78" s="801"/>
      <c r="CQ78" s="801"/>
      <c r="CR78" s="801"/>
      <c r="CS78" s="801"/>
      <c r="CT78" s="801"/>
      <c r="CU78" s="801"/>
      <c r="CV78" s="801"/>
      <c r="CW78" s="801"/>
      <c r="CX78" s="801"/>
      <c r="CY78" s="801"/>
      <c r="CZ78" s="802"/>
      <c r="DA78" s="800" t="str">
        <f>IFERROR(IF(DZ69&gt;DA69-1,IF(INDEX(Lista_Pedidos,DY69+DA69-1,7)&lt;&gt;"","Hilo :     "&amp; INDEX(Lista_Pedidos,DY69+DA69-1,7),""),""),"")</f>
        <v/>
      </c>
      <c r="DB78" s="801"/>
      <c r="DC78" s="801"/>
      <c r="DD78" s="801"/>
      <c r="DE78" s="801"/>
      <c r="DF78" s="801"/>
      <c r="DG78" s="801"/>
      <c r="DH78" s="801"/>
      <c r="DI78" s="801"/>
      <c r="DJ78" s="801"/>
      <c r="DK78" s="801"/>
      <c r="DL78" s="801"/>
      <c r="DM78" s="801"/>
      <c r="DN78" s="801"/>
      <c r="DO78" s="801"/>
      <c r="DP78" s="801"/>
      <c r="DQ78" s="801"/>
      <c r="DR78" s="801"/>
      <c r="DS78" s="801"/>
      <c r="DT78" s="801"/>
      <c r="DU78" s="801"/>
      <c r="DV78" s="801"/>
      <c r="DW78" s="801"/>
      <c r="DX78" s="801"/>
      <c r="DY78" s="801"/>
      <c r="DZ78" s="802"/>
      <c r="EA78" s="800" t="str">
        <f>IFERROR(IF(EZ69&gt;EA69-1,IF(INDEX(Lista_Pedidos,EY69+EA69-1,7)&lt;&gt;"","Hilo :     "&amp; INDEX(Lista_Pedidos,EY69+EA69-1,7),""),""),"")</f>
        <v/>
      </c>
      <c r="EB78" s="801"/>
      <c r="EC78" s="801"/>
      <c r="ED78" s="801"/>
      <c r="EE78" s="801"/>
      <c r="EF78" s="801"/>
      <c r="EG78" s="801"/>
      <c r="EH78" s="801"/>
      <c r="EI78" s="801"/>
      <c r="EJ78" s="801"/>
      <c r="EK78" s="801"/>
      <c r="EL78" s="801"/>
      <c r="EM78" s="801"/>
      <c r="EN78" s="801"/>
      <c r="EO78" s="801"/>
      <c r="EP78" s="801"/>
      <c r="EQ78" s="801"/>
      <c r="ER78" s="801"/>
      <c r="ES78" s="801"/>
      <c r="ET78" s="801"/>
      <c r="EU78" s="801"/>
      <c r="EV78" s="801"/>
      <c r="EW78" s="801"/>
      <c r="EX78" s="801"/>
      <c r="EY78" s="801"/>
      <c r="EZ78" s="802"/>
      <c r="FA78" s="800" t="str">
        <f>IFERROR(IF(FZ69&gt;FA69-1,IF(INDEX(Lista_Pedidos,FY69+FA69-1,7)&lt;&gt;"","Hilo :     "&amp; INDEX(Lista_Pedidos,FY69+FA69-1,7),""),""),"")</f>
        <v/>
      </c>
      <c r="FB78" s="801"/>
      <c r="FC78" s="801"/>
      <c r="FD78" s="801"/>
      <c r="FE78" s="801"/>
      <c r="FF78" s="801"/>
      <c r="FG78" s="801"/>
      <c r="FH78" s="801"/>
      <c r="FI78" s="801"/>
      <c r="FJ78" s="801"/>
      <c r="FK78" s="801"/>
      <c r="FL78" s="801"/>
      <c r="FM78" s="801"/>
      <c r="FN78" s="801"/>
      <c r="FO78" s="801"/>
      <c r="FP78" s="801"/>
      <c r="FQ78" s="801"/>
      <c r="FR78" s="801"/>
      <c r="FS78" s="801"/>
      <c r="FT78" s="801"/>
      <c r="FU78" s="801"/>
      <c r="FV78" s="801"/>
      <c r="FW78" s="801"/>
      <c r="FX78" s="801"/>
      <c r="FY78" s="801"/>
      <c r="FZ78" s="802"/>
      <c r="GA78" s="800" t="str">
        <f>IFERROR(IF(GZ69&gt;GA69-1,IF(INDEX(Lista_Pedidos,GY69+GA69-1,7)&lt;&gt;"","Hilo :     "&amp; INDEX(Lista_Pedidos,GY69+GA69-1,7),""),""),"")</f>
        <v/>
      </c>
      <c r="GB78" s="801"/>
      <c r="GC78" s="801"/>
      <c r="GD78" s="801"/>
      <c r="GE78" s="801"/>
      <c r="GF78" s="801"/>
      <c r="GG78" s="801"/>
      <c r="GH78" s="801"/>
      <c r="GI78" s="801"/>
      <c r="GJ78" s="801"/>
      <c r="GK78" s="801"/>
      <c r="GL78" s="801"/>
      <c r="GM78" s="801"/>
      <c r="GN78" s="801"/>
      <c r="GO78" s="801"/>
      <c r="GP78" s="801"/>
      <c r="GQ78" s="801"/>
      <c r="GR78" s="801"/>
      <c r="GS78" s="801"/>
      <c r="GT78" s="801"/>
      <c r="GU78" s="801"/>
      <c r="GV78" s="801"/>
      <c r="GW78" s="801"/>
      <c r="GX78" s="801"/>
      <c r="GY78" s="801"/>
      <c r="GZ78" s="802"/>
      <c r="HA78" s="800" t="str">
        <f>IFERROR(IF(HZ69&gt;HA69-1,IF(INDEX(Lista_Pedidos,HY69+HA69-1,7)&lt;&gt;"","Hilo :     "&amp; INDEX(Lista_Pedidos,HY69+HA69-1,7),""),""),"")</f>
        <v/>
      </c>
      <c r="HB78" s="801"/>
      <c r="HC78" s="801"/>
      <c r="HD78" s="801"/>
      <c r="HE78" s="801"/>
      <c r="HF78" s="801"/>
      <c r="HG78" s="801"/>
      <c r="HH78" s="801"/>
      <c r="HI78" s="801"/>
      <c r="HJ78" s="801"/>
      <c r="HK78" s="801"/>
      <c r="HL78" s="801"/>
      <c r="HM78" s="801"/>
      <c r="HN78" s="801"/>
      <c r="HO78" s="801"/>
      <c r="HP78" s="801"/>
      <c r="HQ78" s="801"/>
      <c r="HR78" s="801"/>
      <c r="HS78" s="801"/>
      <c r="HT78" s="801"/>
      <c r="HU78" s="801"/>
      <c r="HV78" s="801"/>
      <c r="HW78" s="801"/>
      <c r="HX78" s="801"/>
      <c r="HY78" s="801"/>
      <c r="HZ78" s="802"/>
      <c r="IA78" s="800" t="str">
        <f>IFERROR(IF(IZ69&gt;IA69-1,IF(INDEX(Lista_Pedidos,IY69+IA69-1,7)&lt;&gt;"","Hilo :     "&amp; INDEX(Lista_Pedidos,IY69+IA69-1,7),""),""),"")</f>
        <v/>
      </c>
      <c r="IB78" s="801"/>
      <c r="IC78" s="801"/>
      <c r="ID78" s="801"/>
      <c r="IE78" s="801"/>
      <c r="IF78" s="801"/>
      <c r="IG78" s="801"/>
      <c r="IH78" s="801"/>
      <c r="II78" s="801"/>
      <c r="IJ78" s="801"/>
      <c r="IK78" s="801"/>
      <c r="IL78" s="801"/>
      <c r="IM78" s="801"/>
      <c r="IN78" s="801"/>
      <c r="IO78" s="801"/>
      <c r="IP78" s="801"/>
      <c r="IQ78" s="801"/>
      <c r="IR78" s="801"/>
      <c r="IS78" s="801"/>
      <c r="IT78" s="801"/>
      <c r="IU78" s="801"/>
      <c r="IV78" s="801"/>
      <c r="IW78" s="801"/>
      <c r="IX78" s="801"/>
      <c r="IY78" s="801"/>
      <c r="IZ78" s="802"/>
    </row>
    <row r="79" spans="1:260" x14ac:dyDescent="0.25">
      <c r="A79" s="800" t="str">
        <f>IFERROR(IF(Z69&gt;A69-1,IF(INDEX(Lista_Pedidos,Y69+A69-1,8)&lt;&gt;"","Forro :     "&amp; INDEX(Lista_Pedidos,Y69+A69-1,8),""),""),"")</f>
        <v/>
      </c>
      <c r="B79" s="801"/>
      <c r="C79" s="801"/>
      <c r="D79" s="801"/>
      <c r="E79" s="801"/>
      <c r="F79" s="801"/>
      <c r="G79" s="801"/>
      <c r="H79" s="801"/>
      <c r="I79" s="801"/>
      <c r="J79" s="801"/>
      <c r="K79" s="801"/>
      <c r="L79" s="801"/>
      <c r="M79" s="801"/>
      <c r="N79" s="801"/>
      <c r="O79" s="801"/>
      <c r="P79" s="801"/>
      <c r="Q79" s="801"/>
      <c r="R79" s="801"/>
      <c r="S79" s="801"/>
      <c r="T79" s="801"/>
      <c r="U79" s="801"/>
      <c r="V79" s="801"/>
      <c r="W79" s="801"/>
      <c r="X79" s="801"/>
      <c r="Y79" s="801"/>
      <c r="Z79" s="802"/>
      <c r="AA79" s="800" t="str">
        <f>IFERROR(IF(AZ69&gt;AA69-1,IF(INDEX(Lista_Pedidos,AY69+AA69-1,8)&lt;&gt;"","Forro :     "&amp; INDEX(Lista_Pedidos,AY69+AA69-1,8),""),""),"")</f>
        <v/>
      </c>
      <c r="AB79" s="801"/>
      <c r="AC79" s="801"/>
      <c r="AD79" s="801"/>
      <c r="AE79" s="801"/>
      <c r="AF79" s="801"/>
      <c r="AG79" s="801"/>
      <c r="AH79" s="801"/>
      <c r="AI79" s="801"/>
      <c r="AJ79" s="801"/>
      <c r="AK79" s="801"/>
      <c r="AL79" s="801"/>
      <c r="AM79" s="801"/>
      <c r="AN79" s="801"/>
      <c r="AO79" s="801"/>
      <c r="AP79" s="801"/>
      <c r="AQ79" s="801"/>
      <c r="AR79" s="801"/>
      <c r="AS79" s="801"/>
      <c r="AT79" s="801"/>
      <c r="AU79" s="801"/>
      <c r="AV79" s="801"/>
      <c r="AW79" s="801"/>
      <c r="AX79" s="801"/>
      <c r="AY79" s="801"/>
      <c r="AZ79" s="802"/>
      <c r="BA79" s="800" t="str">
        <f>IFERROR(IF(BZ69&gt;BA69-1,IF(INDEX(Lista_Pedidos,BY69+BA69-1,8)&lt;&gt;"","Forro :     "&amp; INDEX(Lista_Pedidos,BY69+BA69-1,8),""),""),"")</f>
        <v/>
      </c>
      <c r="BB79" s="801"/>
      <c r="BC79" s="801"/>
      <c r="BD79" s="801"/>
      <c r="BE79" s="801"/>
      <c r="BF79" s="801"/>
      <c r="BG79" s="801"/>
      <c r="BH79" s="801"/>
      <c r="BI79" s="801"/>
      <c r="BJ79" s="801"/>
      <c r="BK79" s="801"/>
      <c r="BL79" s="801"/>
      <c r="BM79" s="801"/>
      <c r="BN79" s="801"/>
      <c r="BO79" s="801"/>
      <c r="BP79" s="801"/>
      <c r="BQ79" s="801"/>
      <c r="BR79" s="801"/>
      <c r="BS79" s="801"/>
      <c r="BT79" s="801"/>
      <c r="BU79" s="801"/>
      <c r="BV79" s="801"/>
      <c r="BW79" s="801"/>
      <c r="BX79" s="801"/>
      <c r="BY79" s="801"/>
      <c r="BZ79" s="802"/>
      <c r="CA79" s="800" t="str">
        <f>IFERROR(IF(CZ69&gt;CA69-1,IF(INDEX(Lista_Pedidos,CY69+CA69-1,8)&lt;&gt;"","Forro :     "&amp; INDEX(Lista_Pedidos,CY69+CA69-1,8),""),""),"")</f>
        <v/>
      </c>
      <c r="CB79" s="801"/>
      <c r="CC79" s="801"/>
      <c r="CD79" s="801"/>
      <c r="CE79" s="801"/>
      <c r="CF79" s="801"/>
      <c r="CG79" s="801"/>
      <c r="CH79" s="801"/>
      <c r="CI79" s="801"/>
      <c r="CJ79" s="801"/>
      <c r="CK79" s="801"/>
      <c r="CL79" s="801"/>
      <c r="CM79" s="801"/>
      <c r="CN79" s="801"/>
      <c r="CO79" s="801"/>
      <c r="CP79" s="801"/>
      <c r="CQ79" s="801"/>
      <c r="CR79" s="801"/>
      <c r="CS79" s="801"/>
      <c r="CT79" s="801"/>
      <c r="CU79" s="801"/>
      <c r="CV79" s="801"/>
      <c r="CW79" s="801"/>
      <c r="CX79" s="801"/>
      <c r="CY79" s="801"/>
      <c r="CZ79" s="802"/>
      <c r="DA79" s="800" t="str">
        <f>IFERROR(IF(DZ69&gt;DA69-1,IF(INDEX(Lista_Pedidos,DY69+DA69-1,8)&lt;&gt;"","Forro :     "&amp; INDEX(Lista_Pedidos,DY69+DA69-1,8),""),""),"")</f>
        <v/>
      </c>
      <c r="DB79" s="801"/>
      <c r="DC79" s="801"/>
      <c r="DD79" s="801"/>
      <c r="DE79" s="801"/>
      <c r="DF79" s="801"/>
      <c r="DG79" s="801"/>
      <c r="DH79" s="801"/>
      <c r="DI79" s="801"/>
      <c r="DJ79" s="801"/>
      <c r="DK79" s="801"/>
      <c r="DL79" s="801"/>
      <c r="DM79" s="801"/>
      <c r="DN79" s="801"/>
      <c r="DO79" s="801"/>
      <c r="DP79" s="801"/>
      <c r="DQ79" s="801"/>
      <c r="DR79" s="801"/>
      <c r="DS79" s="801"/>
      <c r="DT79" s="801"/>
      <c r="DU79" s="801"/>
      <c r="DV79" s="801"/>
      <c r="DW79" s="801"/>
      <c r="DX79" s="801"/>
      <c r="DY79" s="801"/>
      <c r="DZ79" s="802"/>
      <c r="EA79" s="800" t="str">
        <f>IFERROR(IF(EZ69&gt;EA69-1,IF(INDEX(Lista_Pedidos,EY69+EA69-1,8)&lt;&gt;"","Forro :     "&amp; INDEX(Lista_Pedidos,EY69+EA69-1,8),""),""),"")</f>
        <v/>
      </c>
      <c r="EB79" s="801"/>
      <c r="EC79" s="801"/>
      <c r="ED79" s="801"/>
      <c r="EE79" s="801"/>
      <c r="EF79" s="801"/>
      <c r="EG79" s="801"/>
      <c r="EH79" s="801"/>
      <c r="EI79" s="801"/>
      <c r="EJ79" s="801"/>
      <c r="EK79" s="801"/>
      <c r="EL79" s="801"/>
      <c r="EM79" s="801"/>
      <c r="EN79" s="801"/>
      <c r="EO79" s="801"/>
      <c r="EP79" s="801"/>
      <c r="EQ79" s="801"/>
      <c r="ER79" s="801"/>
      <c r="ES79" s="801"/>
      <c r="ET79" s="801"/>
      <c r="EU79" s="801"/>
      <c r="EV79" s="801"/>
      <c r="EW79" s="801"/>
      <c r="EX79" s="801"/>
      <c r="EY79" s="801"/>
      <c r="EZ79" s="802"/>
      <c r="FA79" s="800" t="str">
        <f>IFERROR(IF(FZ69&gt;FA69-1,IF(INDEX(Lista_Pedidos,FY69+FA69-1,8)&lt;&gt;"","Forro :     "&amp; INDEX(Lista_Pedidos,FY69+FA69-1,8),""),""),"")</f>
        <v/>
      </c>
      <c r="FB79" s="801"/>
      <c r="FC79" s="801"/>
      <c r="FD79" s="801"/>
      <c r="FE79" s="801"/>
      <c r="FF79" s="801"/>
      <c r="FG79" s="801"/>
      <c r="FH79" s="801"/>
      <c r="FI79" s="801"/>
      <c r="FJ79" s="801"/>
      <c r="FK79" s="801"/>
      <c r="FL79" s="801"/>
      <c r="FM79" s="801"/>
      <c r="FN79" s="801"/>
      <c r="FO79" s="801"/>
      <c r="FP79" s="801"/>
      <c r="FQ79" s="801"/>
      <c r="FR79" s="801"/>
      <c r="FS79" s="801"/>
      <c r="FT79" s="801"/>
      <c r="FU79" s="801"/>
      <c r="FV79" s="801"/>
      <c r="FW79" s="801"/>
      <c r="FX79" s="801"/>
      <c r="FY79" s="801"/>
      <c r="FZ79" s="802"/>
      <c r="GA79" s="800" t="str">
        <f>IFERROR(IF(GZ69&gt;GA69-1,IF(INDEX(Lista_Pedidos,GY69+GA69-1,8)&lt;&gt;"","Forro :     "&amp; INDEX(Lista_Pedidos,GY69+GA69-1,8),""),""),"")</f>
        <v/>
      </c>
      <c r="GB79" s="801"/>
      <c r="GC79" s="801"/>
      <c r="GD79" s="801"/>
      <c r="GE79" s="801"/>
      <c r="GF79" s="801"/>
      <c r="GG79" s="801"/>
      <c r="GH79" s="801"/>
      <c r="GI79" s="801"/>
      <c r="GJ79" s="801"/>
      <c r="GK79" s="801"/>
      <c r="GL79" s="801"/>
      <c r="GM79" s="801"/>
      <c r="GN79" s="801"/>
      <c r="GO79" s="801"/>
      <c r="GP79" s="801"/>
      <c r="GQ79" s="801"/>
      <c r="GR79" s="801"/>
      <c r="GS79" s="801"/>
      <c r="GT79" s="801"/>
      <c r="GU79" s="801"/>
      <c r="GV79" s="801"/>
      <c r="GW79" s="801"/>
      <c r="GX79" s="801"/>
      <c r="GY79" s="801"/>
      <c r="GZ79" s="802"/>
      <c r="HA79" s="800" t="str">
        <f>IFERROR(IF(HZ69&gt;HA69-1,IF(INDEX(Lista_Pedidos,HY69+HA69-1,8)&lt;&gt;"","Forro :     "&amp; INDEX(Lista_Pedidos,HY69+HA69-1,8),""),""),"")</f>
        <v/>
      </c>
      <c r="HB79" s="801"/>
      <c r="HC79" s="801"/>
      <c r="HD79" s="801"/>
      <c r="HE79" s="801"/>
      <c r="HF79" s="801"/>
      <c r="HG79" s="801"/>
      <c r="HH79" s="801"/>
      <c r="HI79" s="801"/>
      <c r="HJ79" s="801"/>
      <c r="HK79" s="801"/>
      <c r="HL79" s="801"/>
      <c r="HM79" s="801"/>
      <c r="HN79" s="801"/>
      <c r="HO79" s="801"/>
      <c r="HP79" s="801"/>
      <c r="HQ79" s="801"/>
      <c r="HR79" s="801"/>
      <c r="HS79" s="801"/>
      <c r="HT79" s="801"/>
      <c r="HU79" s="801"/>
      <c r="HV79" s="801"/>
      <c r="HW79" s="801"/>
      <c r="HX79" s="801"/>
      <c r="HY79" s="801"/>
      <c r="HZ79" s="802"/>
      <c r="IA79" s="800" t="str">
        <f>IFERROR(IF(IZ69&gt;IA69-1,IF(INDEX(Lista_Pedidos,IY69+IA69-1,8)&lt;&gt;"","Forro :     "&amp; INDEX(Lista_Pedidos,IY69+IA69-1,8),""),""),"")</f>
        <v/>
      </c>
      <c r="IB79" s="801"/>
      <c r="IC79" s="801"/>
      <c r="ID79" s="801"/>
      <c r="IE79" s="801"/>
      <c r="IF79" s="801"/>
      <c r="IG79" s="801"/>
      <c r="IH79" s="801"/>
      <c r="II79" s="801"/>
      <c r="IJ79" s="801"/>
      <c r="IK79" s="801"/>
      <c r="IL79" s="801"/>
      <c r="IM79" s="801"/>
      <c r="IN79" s="801"/>
      <c r="IO79" s="801"/>
      <c r="IP79" s="801"/>
      <c r="IQ79" s="801"/>
      <c r="IR79" s="801"/>
      <c r="IS79" s="801"/>
      <c r="IT79" s="801"/>
      <c r="IU79" s="801"/>
      <c r="IV79" s="801"/>
      <c r="IW79" s="801"/>
      <c r="IX79" s="801"/>
      <c r="IY79" s="801"/>
      <c r="IZ79" s="802"/>
    </row>
    <row r="80" spans="1:260" x14ac:dyDescent="0.25">
      <c r="A80" s="800" t="str">
        <f>IF(A$5="Cliente Especial : NEON",IF(Z69&gt;A69-1,"Neon :      Si",""),"")</f>
        <v/>
      </c>
      <c r="B80" s="801"/>
      <c r="C80" s="801"/>
      <c r="D80" s="801"/>
      <c r="E80" s="801"/>
      <c r="F80" s="801"/>
      <c r="G80" s="801"/>
      <c r="H80" s="801"/>
      <c r="I80" s="801"/>
      <c r="J80" s="801"/>
      <c r="K80" s="801"/>
      <c r="L80" s="801"/>
      <c r="M80" s="801"/>
      <c r="N80" s="801"/>
      <c r="O80" s="801"/>
      <c r="P80" s="801"/>
      <c r="Q80" s="801"/>
      <c r="R80" s="801"/>
      <c r="S80" s="801"/>
      <c r="T80" s="801"/>
      <c r="U80" s="801"/>
      <c r="V80" s="801"/>
      <c r="W80" s="801"/>
      <c r="X80" s="801"/>
      <c r="Y80" s="801"/>
      <c r="Z80" s="802"/>
      <c r="AA80" s="800" t="str">
        <f>IF(AA$5="Cliente Especial : NEON",IF(AZ69&gt;AA69-1,"Neon :      Si",""),"")</f>
        <v/>
      </c>
      <c r="AB80" s="801"/>
      <c r="AC80" s="801"/>
      <c r="AD80" s="801"/>
      <c r="AE80" s="801"/>
      <c r="AF80" s="801"/>
      <c r="AG80" s="801"/>
      <c r="AH80" s="801"/>
      <c r="AI80" s="801"/>
      <c r="AJ80" s="801"/>
      <c r="AK80" s="801"/>
      <c r="AL80" s="801"/>
      <c r="AM80" s="801"/>
      <c r="AN80" s="801"/>
      <c r="AO80" s="801"/>
      <c r="AP80" s="801"/>
      <c r="AQ80" s="801"/>
      <c r="AR80" s="801"/>
      <c r="AS80" s="801"/>
      <c r="AT80" s="801"/>
      <c r="AU80" s="801"/>
      <c r="AV80" s="801"/>
      <c r="AW80" s="801"/>
      <c r="AX80" s="801"/>
      <c r="AY80" s="801"/>
      <c r="AZ80" s="802"/>
      <c r="BA80" s="800" t="str">
        <f>IF(BA$5="Cliente Especial : NEON",IF(BZ69&gt;BA69-1,"Neon :      Si",""),"")</f>
        <v/>
      </c>
      <c r="BB80" s="801"/>
      <c r="BC80" s="801"/>
      <c r="BD80" s="801"/>
      <c r="BE80" s="801"/>
      <c r="BF80" s="801"/>
      <c r="BG80" s="801"/>
      <c r="BH80" s="801"/>
      <c r="BI80" s="801"/>
      <c r="BJ80" s="801"/>
      <c r="BK80" s="801"/>
      <c r="BL80" s="801"/>
      <c r="BM80" s="801"/>
      <c r="BN80" s="801"/>
      <c r="BO80" s="801"/>
      <c r="BP80" s="801"/>
      <c r="BQ80" s="801"/>
      <c r="BR80" s="801"/>
      <c r="BS80" s="801"/>
      <c r="BT80" s="801"/>
      <c r="BU80" s="801"/>
      <c r="BV80" s="801"/>
      <c r="BW80" s="801"/>
      <c r="BX80" s="801"/>
      <c r="BY80" s="801"/>
      <c r="BZ80" s="802"/>
      <c r="CA80" s="800" t="str">
        <f>IF(CA$5="Cliente Especial : NEON",IF(CZ69&gt;CA69-1,"Neon :      Si",""),"")</f>
        <v/>
      </c>
      <c r="CB80" s="801"/>
      <c r="CC80" s="801"/>
      <c r="CD80" s="801"/>
      <c r="CE80" s="801"/>
      <c r="CF80" s="801"/>
      <c r="CG80" s="801"/>
      <c r="CH80" s="801"/>
      <c r="CI80" s="801"/>
      <c r="CJ80" s="801"/>
      <c r="CK80" s="801"/>
      <c r="CL80" s="801"/>
      <c r="CM80" s="801"/>
      <c r="CN80" s="801"/>
      <c r="CO80" s="801"/>
      <c r="CP80" s="801"/>
      <c r="CQ80" s="801"/>
      <c r="CR80" s="801"/>
      <c r="CS80" s="801"/>
      <c r="CT80" s="801"/>
      <c r="CU80" s="801"/>
      <c r="CV80" s="801"/>
      <c r="CW80" s="801"/>
      <c r="CX80" s="801"/>
      <c r="CY80" s="801"/>
      <c r="CZ80" s="802"/>
      <c r="DA80" s="800" t="str">
        <f>IF(DA$5="Cliente Especial : NEON",IF(DZ69&gt;DA69-1,"Neon :      Si",""),"")</f>
        <v/>
      </c>
      <c r="DB80" s="801"/>
      <c r="DC80" s="801"/>
      <c r="DD80" s="801"/>
      <c r="DE80" s="801"/>
      <c r="DF80" s="801"/>
      <c r="DG80" s="801"/>
      <c r="DH80" s="801"/>
      <c r="DI80" s="801"/>
      <c r="DJ80" s="801"/>
      <c r="DK80" s="801"/>
      <c r="DL80" s="801"/>
      <c r="DM80" s="801"/>
      <c r="DN80" s="801"/>
      <c r="DO80" s="801"/>
      <c r="DP80" s="801"/>
      <c r="DQ80" s="801"/>
      <c r="DR80" s="801"/>
      <c r="DS80" s="801"/>
      <c r="DT80" s="801"/>
      <c r="DU80" s="801"/>
      <c r="DV80" s="801"/>
      <c r="DW80" s="801"/>
      <c r="DX80" s="801"/>
      <c r="DY80" s="801"/>
      <c r="DZ80" s="802"/>
      <c r="EA80" s="800" t="str">
        <f>IF(EA$5="Cliente Especial : NEON",IF(EZ69&gt;EA69-1,"Neon :      Si",""),"")</f>
        <v/>
      </c>
      <c r="EB80" s="801"/>
      <c r="EC80" s="801"/>
      <c r="ED80" s="801"/>
      <c r="EE80" s="801"/>
      <c r="EF80" s="801"/>
      <c r="EG80" s="801"/>
      <c r="EH80" s="801"/>
      <c r="EI80" s="801"/>
      <c r="EJ80" s="801"/>
      <c r="EK80" s="801"/>
      <c r="EL80" s="801"/>
      <c r="EM80" s="801"/>
      <c r="EN80" s="801"/>
      <c r="EO80" s="801"/>
      <c r="EP80" s="801"/>
      <c r="EQ80" s="801"/>
      <c r="ER80" s="801"/>
      <c r="ES80" s="801"/>
      <c r="ET80" s="801"/>
      <c r="EU80" s="801"/>
      <c r="EV80" s="801"/>
      <c r="EW80" s="801"/>
      <c r="EX80" s="801"/>
      <c r="EY80" s="801"/>
      <c r="EZ80" s="802"/>
      <c r="FA80" s="800" t="str">
        <f>IF(FA$5="Cliente Especial : NEON",IF(FZ69&gt;FA69-1,"Neon :      Si",""),"")</f>
        <v/>
      </c>
      <c r="FB80" s="801"/>
      <c r="FC80" s="801"/>
      <c r="FD80" s="801"/>
      <c r="FE80" s="801"/>
      <c r="FF80" s="801"/>
      <c r="FG80" s="801"/>
      <c r="FH80" s="801"/>
      <c r="FI80" s="801"/>
      <c r="FJ80" s="801"/>
      <c r="FK80" s="801"/>
      <c r="FL80" s="801"/>
      <c r="FM80" s="801"/>
      <c r="FN80" s="801"/>
      <c r="FO80" s="801"/>
      <c r="FP80" s="801"/>
      <c r="FQ80" s="801"/>
      <c r="FR80" s="801"/>
      <c r="FS80" s="801"/>
      <c r="FT80" s="801"/>
      <c r="FU80" s="801"/>
      <c r="FV80" s="801"/>
      <c r="FW80" s="801"/>
      <c r="FX80" s="801"/>
      <c r="FY80" s="801"/>
      <c r="FZ80" s="802"/>
      <c r="GA80" s="800" t="str">
        <f>IF(GA$5="Cliente Especial : NEON",IF(GZ69&gt;GA69-1,"Neon :      Si",""),"")</f>
        <v/>
      </c>
      <c r="GB80" s="801"/>
      <c r="GC80" s="801"/>
      <c r="GD80" s="801"/>
      <c r="GE80" s="801"/>
      <c r="GF80" s="801"/>
      <c r="GG80" s="801"/>
      <c r="GH80" s="801"/>
      <c r="GI80" s="801"/>
      <c r="GJ80" s="801"/>
      <c r="GK80" s="801"/>
      <c r="GL80" s="801"/>
      <c r="GM80" s="801"/>
      <c r="GN80" s="801"/>
      <c r="GO80" s="801"/>
      <c r="GP80" s="801"/>
      <c r="GQ80" s="801"/>
      <c r="GR80" s="801"/>
      <c r="GS80" s="801"/>
      <c r="GT80" s="801"/>
      <c r="GU80" s="801"/>
      <c r="GV80" s="801"/>
      <c r="GW80" s="801"/>
      <c r="GX80" s="801"/>
      <c r="GY80" s="801"/>
      <c r="GZ80" s="802"/>
      <c r="HA80" s="800" t="str">
        <f>IF(HA$5="Cliente Especial : NEON",IF(HZ69&gt;HA69-1,"Neon :      Si",""),"")</f>
        <v/>
      </c>
      <c r="HB80" s="801"/>
      <c r="HC80" s="801"/>
      <c r="HD80" s="801"/>
      <c r="HE80" s="801"/>
      <c r="HF80" s="801"/>
      <c r="HG80" s="801"/>
      <c r="HH80" s="801"/>
      <c r="HI80" s="801"/>
      <c r="HJ80" s="801"/>
      <c r="HK80" s="801"/>
      <c r="HL80" s="801"/>
      <c r="HM80" s="801"/>
      <c r="HN80" s="801"/>
      <c r="HO80" s="801"/>
      <c r="HP80" s="801"/>
      <c r="HQ80" s="801"/>
      <c r="HR80" s="801"/>
      <c r="HS80" s="801"/>
      <c r="HT80" s="801"/>
      <c r="HU80" s="801"/>
      <c r="HV80" s="801"/>
      <c r="HW80" s="801"/>
      <c r="HX80" s="801"/>
      <c r="HY80" s="801"/>
      <c r="HZ80" s="802"/>
      <c r="IA80" s="800" t="str">
        <f>IF(IA$5="Cliente Especial : NEON",IF(IZ69&gt;IA69-1,"Neon :      Si",""),"")</f>
        <v/>
      </c>
      <c r="IB80" s="801"/>
      <c r="IC80" s="801"/>
      <c r="ID80" s="801"/>
      <c r="IE80" s="801"/>
      <c r="IF80" s="801"/>
      <c r="IG80" s="801"/>
      <c r="IH80" s="801"/>
      <c r="II80" s="801"/>
      <c r="IJ80" s="801"/>
      <c r="IK80" s="801"/>
      <c r="IL80" s="801"/>
      <c r="IM80" s="801"/>
      <c r="IN80" s="801"/>
      <c r="IO80" s="801"/>
      <c r="IP80" s="801"/>
      <c r="IQ80" s="801"/>
      <c r="IR80" s="801"/>
      <c r="IS80" s="801"/>
      <c r="IT80" s="801"/>
      <c r="IU80" s="801"/>
      <c r="IV80" s="801"/>
      <c r="IW80" s="801"/>
      <c r="IX80" s="801"/>
      <c r="IY80" s="801"/>
      <c r="IZ80" s="802"/>
    </row>
    <row r="81" spans="1:260" x14ac:dyDescent="0.25">
      <c r="A81" s="800" t="str">
        <f>IFERROR(IF(Z69&gt;A69-1,IF(INDEX(Pedidos!J:AZ,Y69+A69-1,9)&lt;&gt;"","Cierre :     "&amp; INDEX(Pedidos!J:AZ,Y69+A69-1,9),""),""),"")</f>
        <v/>
      </c>
      <c r="B81" s="801"/>
      <c r="C81" s="801"/>
      <c r="D81" s="801"/>
      <c r="E81" s="801"/>
      <c r="F81" s="801"/>
      <c r="G81" s="801"/>
      <c r="H81" s="801"/>
      <c r="I81" s="801"/>
      <c r="J81" s="801"/>
      <c r="K81" s="801"/>
      <c r="L81" s="801"/>
      <c r="M81" s="801"/>
      <c r="N81" s="801"/>
      <c r="O81" s="801"/>
      <c r="P81" s="801"/>
      <c r="Q81" s="801"/>
      <c r="R81" s="801"/>
      <c r="S81" s="801"/>
      <c r="T81" s="801"/>
      <c r="U81" s="801"/>
      <c r="V81" s="801"/>
      <c r="W81" s="801"/>
      <c r="X81" s="801"/>
      <c r="Y81" s="801"/>
      <c r="Z81" s="802"/>
      <c r="AA81" s="800" t="str">
        <f>IFERROR(IF(AZ69&gt;AA69-1,IF(INDEX(Pedidos!AJ:BZ,AY69+AA69-1,9)&lt;&gt;"","Cierre :     "&amp; INDEX(Pedidos!AJ:BZ,AY69+AA69-1,9),""),""),"")</f>
        <v/>
      </c>
      <c r="AB81" s="801"/>
      <c r="AC81" s="801"/>
      <c r="AD81" s="801"/>
      <c r="AE81" s="801"/>
      <c r="AF81" s="801"/>
      <c r="AG81" s="801"/>
      <c r="AH81" s="801"/>
      <c r="AI81" s="801"/>
      <c r="AJ81" s="801"/>
      <c r="AK81" s="801"/>
      <c r="AL81" s="801"/>
      <c r="AM81" s="801"/>
      <c r="AN81" s="801"/>
      <c r="AO81" s="801"/>
      <c r="AP81" s="801"/>
      <c r="AQ81" s="801"/>
      <c r="AR81" s="801"/>
      <c r="AS81" s="801"/>
      <c r="AT81" s="801"/>
      <c r="AU81" s="801"/>
      <c r="AV81" s="801"/>
      <c r="AW81" s="801"/>
      <c r="AX81" s="801"/>
      <c r="AY81" s="801"/>
      <c r="AZ81" s="802"/>
      <c r="BA81" s="800" t="str">
        <f>IFERROR(IF(BZ69&gt;BA69-1,IF(INDEX(Pedidos!BJ:CZ,BY69+BA69-1,9)&lt;&gt;"","Cierre :     "&amp; INDEX(Pedidos!BJ:CZ,BY69+BA69-1,9),""),""),"")</f>
        <v/>
      </c>
      <c r="BB81" s="801"/>
      <c r="BC81" s="801"/>
      <c r="BD81" s="801"/>
      <c r="BE81" s="801"/>
      <c r="BF81" s="801"/>
      <c r="BG81" s="801"/>
      <c r="BH81" s="801"/>
      <c r="BI81" s="801"/>
      <c r="BJ81" s="801"/>
      <c r="BK81" s="801"/>
      <c r="BL81" s="801"/>
      <c r="BM81" s="801"/>
      <c r="BN81" s="801"/>
      <c r="BO81" s="801"/>
      <c r="BP81" s="801"/>
      <c r="BQ81" s="801"/>
      <c r="BR81" s="801"/>
      <c r="BS81" s="801"/>
      <c r="BT81" s="801"/>
      <c r="BU81" s="801"/>
      <c r="BV81" s="801"/>
      <c r="BW81" s="801"/>
      <c r="BX81" s="801"/>
      <c r="BY81" s="801"/>
      <c r="BZ81" s="802"/>
      <c r="CA81" s="800" t="str">
        <f>IFERROR(IF(CZ69&gt;CA69-1,IF(INDEX(Pedidos!CJ:DZ,CY69+CA69-1,9)&lt;&gt;"","Cierre :     "&amp; INDEX(Pedidos!CJ:DZ,CY69+CA69-1,9),""),""),"")</f>
        <v/>
      </c>
      <c r="CB81" s="801"/>
      <c r="CC81" s="801"/>
      <c r="CD81" s="801"/>
      <c r="CE81" s="801"/>
      <c r="CF81" s="801"/>
      <c r="CG81" s="801"/>
      <c r="CH81" s="801"/>
      <c r="CI81" s="801"/>
      <c r="CJ81" s="801"/>
      <c r="CK81" s="801"/>
      <c r="CL81" s="801"/>
      <c r="CM81" s="801"/>
      <c r="CN81" s="801"/>
      <c r="CO81" s="801"/>
      <c r="CP81" s="801"/>
      <c r="CQ81" s="801"/>
      <c r="CR81" s="801"/>
      <c r="CS81" s="801"/>
      <c r="CT81" s="801"/>
      <c r="CU81" s="801"/>
      <c r="CV81" s="801"/>
      <c r="CW81" s="801"/>
      <c r="CX81" s="801"/>
      <c r="CY81" s="801"/>
      <c r="CZ81" s="802"/>
      <c r="DA81" s="800" t="str">
        <f>IFERROR(IF(DZ69&gt;DA69-1,IF(INDEX(Pedidos!DJ:EZ,DY69+DA69-1,9)&lt;&gt;"","Cierre :     "&amp; INDEX(Pedidos!DJ:EZ,DY69+DA69-1,9),""),""),"")</f>
        <v/>
      </c>
      <c r="DB81" s="801"/>
      <c r="DC81" s="801"/>
      <c r="DD81" s="801"/>
      <c r="DE81" s="801"/>
      <c r="DF81" s="801"/>
      <c r="DG81" s="801"/>
      <c r="DH81" s="801"/>
      <c r="DI81" s="801"/>
      <c r="DJ81" s="801"/>
      <c r="DK81" s="801"/>
      <c r="DL81" s="801"/>
      <c r="DM81" s="801"/>
      <c r="DN81" s="801"/>
      <c r="DO81" s="801"/>
      <c r="DP81" s="801"/>
      <c r="DQ81" s="801"/>
      <c r="DR81" s="801"/>
      <c r="DS81" s="801"/>
      <c r="DT81" s="801"/>
      <c r="DU81" s="801"/>
      <c r="DV81" s="801"/>
      <c r="DW81" s="801"/>
      <c r="DX81" s="801"/>
      <c r="DY81" s="801"/>
      <c r="DZ81" s="802"/>
      <c r="EA81" s="800" t="str">
        <f>IFERROR(IF(EZ69&gt;EA69-1,IF(INDEX(Pedidos!EJ:FZ,EY69+EA69-1,9)&lt;&gt;"","Cierre :     "&amp; INDEX(Pedidos!EJ:FZ,EY69+EA69-1,9),""),""),"")</f>
        <v/>
      </c>
      <c r="EB81" s="801"/>
      <c r="EC81" s="801"/>
      <c r="ED81" s="801"/>
      <c r="EE81" s="801"/>
      <c r="EF81" s="801"/>
      <c r="EG81" s="801"/>
      <c r="EH81" s="801"/>
      <c r="EI81" s="801"/>
      <c r="EJ81" s="801"/>
      <c r="EK81" s="801"/>
      <c r="EL81" s="801"/>
      <c r="EM81" s="801"/>
      <c r="EN81" s="801"/>
      <c r="EO81" s="801"/>
      <c r="EP81" s="801"/>
      <c r="EQ81" s="801"/>
      <c r="ER81" s="801"/>
      <c r="ES81" s="801"/>
      <c r="ET81" s="801"/>
      <c r="EU81" s="801"/>
      <c r="EV81" s="801"/>
      <c r="EW81" s="801"/>
      <c r="EX81" s="801"/>
      <c r="EY81" s="801"/>
      <c r="EZ81" s="802"/>
      <c r="FA81" s="800" t="str">
        <f>IFERROR(IF(FZ69&gt;FA69-1,IF(INDEX(Pedidos!FJ:GZ,FY69+FA69-1,9)&lt;&gt;"","Cierre :     "&amp; INDEX(Pedidos!FJ:GZ,FY69+FA69-1,9),""),""),"")</f>
        <v/>
      </c>
      <c r="FB81" s="801"/>
      <c r="FC81" s="801"/>
      <c r="FD81" s="801"/>
      <c r="FE81" s="801"/>
      <c r="FF81" s="801"/>
      <c r="FG81" s="801"/>
      <c r="FH81" s="801"/>
      <c r="FI81" s="801"/>
      <c r="FJ81" s="801"/>
      <c r="FK81" s="801"/>
      <c r="FL81" s="801"/>
      <c r="FM81" s="801"/>
      <c r="FN81" s="801"/>
      <c r="FO81" s="801"/>
      <c r="FP81" s="801"/>
      <c r="FQ81" s="801"/>
      <c r="FR81" s="801"/>
      <c r="FS81" s="801"/>
      <c r="FT81" s="801"/>
      <c r="FU81" s="801"/>
      <c r="FV81" s="801"/>
      <c r="FW81" s="801"/>
      <c r="FX81" s="801"/>
      <c r="FY81" s="801"/>
      <c r="FZ81" s="802"/>
      <c r="GA81" s="800" t="str">
        <f>IFERROR(IF(GZ69&gt;GA69-1,IF(INDEX(Pedidos!GJ:HZ,GY69+GA69-1,9)&lt;&gt;"","Cierre :     "&amp; INDEX(Pedidos!GJ:HZ,GY69+GA69-1,9),""),""),"")</f>
        <v/>
      </c>
      <c r="GB81" s="801"/>
      <c r="GC81" s="801"/>
      <c r="GD81" s="801"/>
      <c r="GE81" s="801"/>
      <c r="GF81" s="801"/>
      <c r="GG81" s="801"/>
      <c r="GH81" s="801"/>
      <c r="GI81" s="801"/>
      <c r="GJ81" s="801"/>
      <c r="GK81" s="801"/>
      <c r="GL81" s="801"/>
      <c r="GM81" s="801"/>
      <c r="GN81" s="801"/>
      <c r="GO81" s="801"/>
      <c r="GP81" s="801"/>
      <c r="GQ81" s="801"/>
      <c r="GR81" s="801"/>
      <c r="GS81" s="801"/>
      <c r="GT81" s="801"/>
      <c r="GU81" s="801"/>
      <c r="GV81" s="801"/>
      <c r="GW81" s="801"/>
      <c r="GX81" s="801"/>
      <c r="GY81" s="801"/>
      <c r="GZ81" s="802"/>
      <c r="HA81" s="800" t="str">
        <f>IFERROR(IF(HZ69&gt;HA69-1,IF(INDEX(Pedidos!HJ:IZ,HY69+HA69-1,9)&lt;&gt;"","Cierre :     "&amp; INDEX(Pedidos!HJ:IZ,HY69+HA69-1,9),""),""),"")</f>
        <v/>
      </c>
      <c r="HB81" s="801"/>
      <c r="HC81" s="801"/>
      <c r="HD81" s="801"/>
      <c r="HE81" s="801"/>
      <c r="HF81" s="801"/>
      <c r="HG81" s="801"/>
      <c r="HH81" s="801"/>
      <c r="HI81" s="801"/>
      <c r="HJ81" s="801"/>
      <c r="HK81" s="801"/>
      <c r="HL81" s="801"/>
      <c r="HM81" s="801"/>
      <c r="HN81" s="801"/>
      <c r="HO81" s="801"/>
      <c r="HP81" s="801"/>
      <c r="HQ81" s="801"/>
      <c r="HR81" s="801"/>
      <c r="HS81" s="801"/>
      <c r="HT81" s="801"/>
      <c r="HU81" s="801"/>
      <c r="HV81" s="801"/>
      <c r="HW81" s="801"/>
      <c r="HX81" s="801"/>
      <c r="HY81" s="801"/>
      <c r="HZ81" s="802"/>
      <c r="IA81" s="800" t="str">
        <f>IFERROR(IF(IZ69&gt;IA69-1,IF(INDEX(Pedidos!IJ:JZ,IY69+IA69-1,9)&lt;&gt;"","Cierre :     "&amp; INDEX(Pedidos!IJ:JZ,IY69+IA69-1,9),""),""),"")</f>
        <v/>
      </c>
      <c r="IB81" s="801"/>
      <c r="IC81" s="801"/>
      <c r="ID81" s="801"/>
      <c r="IE81" s="801"/>
      <c r="IF81" s="801"/>
      <c r="IG81" s="801"/>
      <c r="IH81" s="801"/>
      <c r="II81" s="801"/>
      <c r="IJ81" s="801"/>
      <c r="IK81" s="801"/>
      <c r="IL81" s="801"/>
      <c r="IM81" s="801"/>
      <c r="IN81" s="801"/>
      <c r="IO81" s="801"/>
      <c r="IP81" s="801"/>
      <c r="IQ81" s="801"/>
      <c r="IR81" s="801"/>
      <c r="IS81" s="801"/>
      <c r="IT81" s="801"/>
      <c r="IU81" s="801"/>
      <c r="IV81" s="801"/>
      <c r="IW81" s="801"/>
      <c r="IX81" s="801"/>
      <c r="IY81" s="801"/>
      <c r="IZ81" s="802"/>
    </row>
    <row r="82" spans="1:260" x14ac:dyDescent="0.25">
      <c r="A82" s="800" t="str">
        <f>IFERROR(IF(Z69&gt;A69-1,IF(INDEX(Pedidos!J:AZ,Y69+A69-1,11)&lt;&gt;"","Cordon :     "&amp; INDEX(Pedidos!J:AZ,Y69+A69-1,11),""),""),"")</f>
        <v/>
      </c>
      <c r="B82" s="801"/>
      <c r="C82" s="801"/>
      <c r="D82" s="801"/>
      <c r="E82" s="801"/>
      <c r="F82" s="801"/>
      <c r="G82" s="801"/>
      <c r="H82" s="801"/>
      <c r="I82" s="801"/>
      <c r="J82" s="801"/>
      <c r="K82" s="801"/>
      <c r="L82" s="801"/>
      <c r="M82" s="801"/>
      <c r="N82" s="801"/>
      <c r="O82" s="801"/>
      <c r="P82" s="801"/>
      <c r="Q82" s="801"/>
      <c r="R82" s="801"/>
      <c r="S82" s="801"/>
      <c r="T82" s="801"/>
      <c r="U82" s="801"/>
      <c r="V82" s="801"/>
      <c r="W82" s="801"/>
      <c r="X82" s="801"/>
      <c r="Y82" s="801"/>
      <c r="Z82" s="802"/>
      <c r="AA82" s="800" t="str">
        <f>IFERROR(IF(AZ69&gt;AA69-1,IF(INDEX(Pedidos!AJ:BZ,AY69+AA69-1,11)&lt;&gt;"","Cordon :     "&amp; INDEX(Pedidos!AJ:BZ,AY69+AA69-1,11),""),""),"")</f>
        <v/>
      </c>
      <c r="AB82" s="801"/>
      <c r="AC82" s="801"/>
      <c r="AD82" s="801"/>
      <c r="AE82" s="801"/>
      <c r="AF82" s="801"/>
      <c r="AG82" s="801"/>
      <c r="AH82" s="801"/>
      <c r="AI82" s="801"/>
      <c r="AJ82" s="801"/>
      <c r="AK82" s="801"/>
      <c r="AL82" s="801"/>
      <c r="AM82" s="801"/>
      <c r="AN82" s="801"/>
      <c r="AO82" s="801"/>
      <c r="AP82" s="801"/>
      <c r="AQ82" s="801"/>
      <c r="AR82" s="801"/>
      <c r="AS82" s="801"/>
      <c r="AT82" s="801"/>
      <c r="AU82" s="801"/>
      <c r="AV82" s="801"/>
      <c r="AW82" s="801"/>
      <c r="AX82" s="801"/>
      <c r="AY82" s="801"/>
      <c r="AZ82" s="802"/>
      <c r="BA82" s="800" t="str">
        <f>IFERROR(IF(BZ69&gt;BA69-1,IF(INDEX(Pedidos!BJ:CZ,BY69+BA69-1,11)&lt;&gt;"","Cordon :     "&amp; INDEX(Pedidos!BJ:CZ,BY69+BA69-1,11),""),""),"")</f>
        <v/>
      </c>
      <c r="BB82" s="801"/>
      <c r="BC82" s="801"/>
      <c r="BD82" s="801"/>
      <c r="BE82" s="801"/>
      <c r="BF82" s="801"/>
      <c r="BG82" s="801"/>
      <c r="BH82" s="801"/>
      <c r="BI82" s="801"/>
      <c r="BJ82" s="801"/>
      <c r="BK82" s="801"/>
      <c r="BL82" s="801"/>
      <c r="BM82" s="801"/>
      <c r="BN82" s="801"/>
      <c r="BO82" s="801"/>
      <c r="BP82" s="801"/>
      <c r="BQ82" s="801"/>
      <c r="BR82" s="801"/>
      <c r="BS82" s="801"/>
      <c r="BT82" s="801"/>
      <c r="BU82" s="801"/>
      <c r="BV82" s="801"/>
      <c r="BW82" s="801"/>
      <c r="BX82" s="801"/>
      <c r="BY82" s="801"/>
      <c r="BZ82" s="802"/>
      <c r="CA82" s="800" t="str">
        <f>IFERROR(IF(CZ69&gt;CA69-1,IF(INDEX(Pedidos!CJ:DZ,CY69+CA69-1,11)&lt;&gt;"","Cordon :     "&amp; INDEX(Pedidos!CJ:DZ,CY69+CA69-1,11),""),""),"")</f>
        <v/>
      </c>
      <c r="CB82" s="801"/>
      <c r="CC82" s="801"/>
      <c r="CD82" s="801"/>
      <c r="CE82" s="801"/>
      <c r="CF82" s="801"/>
      <c r="CG82" s="801"/>
      <c r="CH82" s="801"/>
      <c r="CI82" s="801"/>
      <c r="CJ82" s="801"/>
      <c r="CK82" s="801"/>
      <c r="CL82" s="801"/>
      <c r="CM82" s="801"/>
      <c r="CN82" s="801"/>
      <c r="CO82" s="801"/>
      <c r="CP82" s="801"/>
      <c r="CQ82" s="801"/>
      <c r="CR82" s="801"/>
      <c r="CS82" s="801"/>
      <c r="CT82" s="801"/>
      <c r="CU82" s="801"/>
      <c r="CV82" s="801"/>
      <c r="CW82" s="801"/>
      <c r="CX82" s="801"/>
      <c r="CY82" s="801"/>
      <c r="CZ82" s="802"/>
      <c r="DA82" s="800" t="str">
        <f>IFERROR(IF(DZ69&gt;DA69-1,IF(INDEX(Pedidos!DJ:EZ,DY69+DA69-1,11)&lt;&gt;"","Cordon :     "&amp; INDEX(Pedidos!DJ:EZ,DY69+DA69-1,11),""),""),"")</f>
        <v/>
      </c>
      <c r="DB82" s="801"/>
      <c r="DC82" s="801"/>
      <c r="DD82" s="801"/>
      <c r="DE82" s="801"/>
      <c r="DF82" s="801"/>
      <c r="DG82" s="801"/>
      <c r="DH82" s="801"/>
      <c r="DI82" s="801"/>
      <c r="DJ82" s="801"/>
      <c r="DK82" s="801"/>
      <c r="DL82" s="801"/>
      <c r="DM82" s="801"/>
      <c r="DN82" s="801"/>
      <c r="DO82" s="801"/>
      <c r="DP82" s="801"/>
      <c r="DQ82" s="801"/>
      <c r="DR82" s="801"/>
      <c r="DS82" s="801"/>
      <c r="DT82" s="801"/>
      <c r="DU82" s="801"/>
      <c r="DV82" s="801"/>
      <c r="DW82" s="801"/>
      <c r="DX82" s="801"/>
      <c r="DY82" s="801"/>
      <c r="DZ82" s="802"/>
      <c r="EA82" s="800" t="str">
        <f>IFERROR(IF(EZ69&gt;EA69-1,IF(INDEX(Pedidos!EJ:FZ,EY69+EA69-1,11)&lt;&gt;"","Cordon :     "&amp; INDEX(Pedidos!EJ:FZ,EY69+EA69-1,11),""),""),"")</f>
        <v/>
      </c>
      <c r="EB82" s="801"/>
      <c r="EC82" s="801"/>
      <c r="ED82" s="801"/>
      <c r="EE82" s="801"/>
      <c r="EF82" s="801"/>
      <c r="EG82" s="801"/>
      <c r="EH82" s="801"/>
      <c r="EI82" s="801"/>
      <c r="EJ82" s="801"/>
      <c r="EK82" s="801"/>
      <c r="EL82" s="801"/>
      <c r="EM82" s="801"/>
      <c r="EN82" s="801"/>
      <c r="EO82" s="801"/>
      <c r="EP82" s="801"/>
      <c r="EQ82" s="801"/>
      <c r="ER82" s="801"/>
      <c r="ES82" s="801"/>
      <c r="ET82" s="801"/>
      <c r="EU82" s="801"/>
      <c r="EV82" s="801"/>
      <c r="EW82" s="801"/>
      <c r="EX82" s="801"/>
      <c r="EY82" s="801"/>
      <c r="EZ82" s="802"/>
      <c r="FA82" s="800" t="str">
        <f>IFERROR(IF(FZ69&gt;FA69-1,IF(INDEX(Pedidos!FJ:GZ,FY69+FA69-1,11)&lt;&gt;"","Cordon :     "&amp; INDEX(Pedidos!FJ:GZ,FY69+FA69-1,11),""),""),"")</f>
        <v/>
      </c>
      <c r="FB82" s="801"/>
      <c r="FC82" s="801"/>
      <c r="FD82" s="801"/>
      <c r="FE82" s="801"/>
      <c r="FF82" s="801"/>
      <c r="FG82" s="801"/>
      <c r="FH82" s="801"/>
      <c r="FI82" s="801"/>
      <c r="FJ82" s="801"/>
      <c r="FK82" s="801"/>
      <c r="FL82" s="801"/>
      <c r="FM82" s="801"/>
      <c r="FN82" s="801"/>
      <c r="FO82" s="801"/>
      <c r="FP82" s="801"/>
      <c r="FQ82" s="801"/>
      <c r="FR82" s="801"/>
      <c r="FS82" s="801"/>
      <c r="FT82" s="801"/>
      <c r="FU82" s="801"/>
      <c r="FV82" s="801"/>
      <c r="FW82" s="801"/>
      <c r="FX82" s="801"/>
      <c r="FY82" s="801"/>
      <c r="FZ82" s="802"/>
      <c r="GA82" s="800" t="str">
        <f>IFERROR(IF(GZ69&gt;GA69-1,IF(INDEX(Pedidos!GJ:HZ,GY69+GA69-1,11)&lt;&gt;"","Cordon :     "&amp; INDEX(Pedidos!GJ:HZ,GY69+GA69-1,11),""),""),"")</f>
        <v/>
      </c>
      <c r="GB82" s="801"/>
      <c r="GC82" s="801"/>
      <c r="GD82" s="801"/>
      <c r="GE82" s="801"/>
      <c r="GF82" s="801"/>
      <c r="GG82" s="801"/>
      <c r="GH82" s="801"/>
      <c r="GI82" s="801"/>
      <c r="GJ82" s="801"/>
      <c r="GK82" s="801"/>
      <c r="GL82" s="801"/>
      <c r="GM82" s="801"/>
      <c r="GN82" s="801"/>
      <c r="GO82" s="801"/>
      <c r="GP82" s="801"/>
      <c r="GQ82" s="801"/>
      <c r="GR82" s="801"/>
      <c r="GS82" s="801"/>
      <c r="GT82" s="801"/>
      <c r="GU82" s="801"/>
      <c r="GV82" s="801"/>
      <c r="GW82" s="801"/>
      <c r="GX82" s="801"/>
      <c r="GY82" s="801"/>
      <c r="GZ82" s="802"/>
      <c r="HA82" s="800" t="str">
        <f>IFERROR(IF(HZ69&gt;HA69-1,IF(INDEX(Pedidos!HJ:IZ,HY69+HA69-1,11)&lt;&gt;"","Cordon :     "&amp; INDEX(Pedidos!HJ:IZ,HY69+HA69-1,11),""),""),"")</f>
        <v/>
      </c>
      <c r="HB82" s="801"/>
      <c r="HC82" s="801"/>
      <c r="HD82" s="801"/>
      <c r="HE82" s="801"/>
      <c r="HF82" s="801"/>
      <c r="HG82" s="801"/>
      <c r="HH82" s="801"/>
      <c r="HI82" s="801"/>
      <c r="HJ82" s="801"/>
      <c r="HK82" s="801"/>
      <c r="HL82" s="801"/>
      <c r="HM82" s="801"/>
      <c r="HN82" s="801"/>
      <c r="HO82" s="801"/>
      <c r="HP82" s="801"/>
      <c r="HQ82" s="801"/>
      <c r="HR82" s="801"/>
      <c r="HS82" s="801"/>
      <c r="HT82" s="801"/>
      <c r="HU82" s="801"/>
      <c r="HV82" s="801"/>
      <c r="HW82" s="801"/>
      <c r="HX82" s="801"/>
      <c r="HY82" s="801"/>
      <c r="HZ82" s="802"/>
      <c r="IA82" s="800" t="str">
        <f>IFERROR(IF(IZ69&gt;IA69-1,IF(INDEX(Pedidos!IJ:JZ,IY69+IA69-1,11)&lt;&gt;"","Cordon :     "&amp; INDEX(Pedidos!IJ:JZ,IY69+IA69-1,11),""),""),"")</f>
        <v/>
      </c>
      <c r="IB82" s="801"/>
      <c r="IC82" s="801"/>
      <c r="ID82" s="801"/>
      <c r="IE82" s="801"/>
      <c r="IF82" s="801"/>
      <c r="IG82" s="801"/>
      <c r="IH82" s="801"/>
      <c r="II82" s="801"/>
      <c r="IJ82" s="801"/>
      <c r="IK82" s="801"/>
      <c r="IL82" s="801"/>
      <c r="IM82" s="801"/>
      <c r="IN82" s="801"/>
      <c r="IO82" s="801"/>
      <c r="IP82" s="801"/>
      <c r="IQ82" s="801"/>
      <c r="IR82" s="801"/>
      <c r="IS82" s="801"/>
      <c r="IT82" s="801"/>
      <c r="IU82" s="801"/>
      <c r="IV82" s="801"/>
      <c r="IW82" s="801"/>
      <c r="IX82" s="801"/>
      <c r="IY82" s="801"/>
      <c r="IZ82" s="802"/>
    </row>
    <row r="83" spans="1:260" x14ac:dyDescent="0.25">
      <c r="A83" s="800" t="str">
        <f>IFERROR(IF(Z69&gt;A69-1,IF(INDEX(Pedidos!J:AZ,Y69+A69-1,12)&lt;&gt;"","Color Cordon :     "&amp; INDEX(Pedidos!J:AZ,Y69+A69-1,12),""),""),"")</f>
        <v/>
      </c>
      <c r="B83" s="801"/>
      <c r="C83" s="801"/>
      <c r="D83" s="801"/>
      <c r="E83" s="801"/>
      <c r="F83" s="801"/>
      <c r="G83" s="801"/>
      <c r="H83" s="801"/>
      <c r="I83" s="801"/>
      <c r="J83" s="801"/>
      <c r="K83" s="801"/>
      <c r="L83" s="801"/>
      <c r="M83" s="801"/>
      <c r="N83" s="801"/>
      <c r="O83" s="801"/>
      <c r="P83" s="801"/>
      <c r="Q83" s="801"/>
      <c r="R83" s="801"/>
      <c r="S83" s="801"/>
      <c r="T83" s="801"/>
      <c r="U83" s="801"/>
      <c r="V83" s="801"/>
      <c r="W83" s="801"/>
      <c r="X83" s="801"/>
      <c r="Y83" s="801"/>
      <c r="Z83" s="802"/>
      <c r="AA83" s="800" t="str">
        <f>IFERROR(IF(AZ69&gt;AA69-1,IF(INDEX(Pedidos!AJ:BZ,AY69+AA69-1,12)&lt;&gt;"","Color Cordon :     "&amp; INDEX(Pedidos!AJ:BZ,AY69+AA69-1,12),""),""),"")</f>
        <v/>
      </c>
      <c r="AB83" s="801"/>
      <c r="AC83" s="801"/>
      <c r="AD83" s="801"/>
      <c r="AE83" s="801"/>
      <c r="AF83" s="801"/>
      <c r="AG83" s="801"/>
      <c r="AH83" s="801"/>
      <c r="AI83" s="801"/>
      <c r="AJ83" s="801"/>
      <c r="AK83" s="801"/>
      <c r="AL83" s="801"/>
      <c r="AM83" s="801"/>
      <c r="AN83" s="801"/>
      <c r="AO83" s="801"/>
      <c r="AP83" s="801"/>
      <c r="AQ83" s="801"/>
      <c r="AR83" s="801"/>
      <c r="AS83" s="801"/>
      <c r="AT83" s="801"/>
      <c r="AU83" s="801"/>
      <c r="AV83" s="801"/>
      <c r="AW83" s="801"/>
      <c r="AX83" s="801"/>
      <c r="AY83" s="801"/>
      <c r="AZ83" s="802"/>
      <c r="BA83" s="800" t="str">
        <f>IFERROR(IF(BZ69&gt;BA69-1,IF(INDEX(Pedidos!BJ:CZ,BY69+BA69-1,12)&lt;&gt;"","Color Cordon :     "&amp; INDEX(Pedidos!BJ:CZ,BY69+BA69-1,12),""),""),"")</f>
        <v/>
      </c>
      <c r="BB83" s="801"/>
      <c r="BC83" s="801"/>
      <c r="BD83" s="801"/>
      <c r="BE83" s="801"/>
      <c r="BF83" s="801"/>
      <c r="BG83" s="801"/>
      <c r="BH83" s="801"/>
      <c r="BI83" s="801"/>
      <c r="BJ83" s="801"/>
      <c r="BK83" s="801"/>
      <c r="BL83" s="801"/>
      <c r="BM83" s="801"/>
      <c r="BN83" s="801"/>
      <c r="BO83" s="801"/>
      <c r="BP83" s="801"/>
      <c r="BQ83" s="801"/>
      <c r="BR83" s="801"/>
      <c r="BS83" s="801"/>
      <c r="BT83" s="801"/>
      <c r="BU83" s="801"/>
      <c r="BV83" s="801"/>
      <c r="BW83" s="801"/>
      <c r="BX83" s="801"/>
      <c r="BY83" s="801"/>
      <c r="BZ83" s="802"/>
      <c r="CA83" s="800" t="str">
        <f>IFERROR(IF(CZ69&gt;CA69-1,IF(INDEX(Pedidos!CJ:DZ,CY69+CA69-1,12)&lt;&gt;"","Color Cordon :     "&amp; INDEX(Pedidos!CJ:DZ,CY69+CA69-1,12),""),""),"")</f>
        <v/>
      </c>
      <c r="CB83" s="801"/>
      <c r="CC83" s="801"/>
      <c r="CD83" s="801"/>
      <c r="CE83" s="801"/>
      <c r="CF83" s="801"/>
      <c r="CG83" s="801"/>
      <c r="CH83" s="801"/>
      <c r="CI83" s="801"/>
      <c r="CJ83" s="801"/>
      <c r="CK83" s="801"/>
      <c r="CL83" s="801"/>
      <c r="CM83" s="801"/>
      <c r="CN83" s="801"/>
      <c r="CO83" s="801"/>
      <c r="CP83" s="801"/>
      <c r="CQ83" s="801"/>
      <c r="CR83" s="801"/>
      <c r="CS83" s="801"/>
      <c r="CT83" s="801"/>
      <c r="CU83" s="801"/>
      <c r="CV83" s="801"/>
      <c r="CW83" s="801"/>
      <c r="CX83" s="801"/>
      <c r="CY83" s="801"/>
      <c r="CZ83" s="802"/>
      <c r="DA83" s="800" t="str">
        <f>IFERROR(IF(DZ69&gt;DA69-1,IF(INDEX(Pedidos!DJ:EZ,DY69+DA69-1,12)&lt;&gt;"","Color Cordon :     "&amp; INDEX(Pedidos!DJ:EZ,DY69+DA69-1,12),""),""),"")</f>
        <v/>
      </c>
      <c r="DB83" s="801"/>
      <c r="DC83" s="801"/>
      <c r="DD83" s="801"/>
      <c r="DE83" s="801"/>
      <c r="DF83" s="801"/>
      <c r="DG83" s="801"/>
      <c r="DH83" s="801"/>
      <c r="DI83" s="801"/>
      <c r="DJ83" s="801"/>
      <c r="DK83" s="801"/>
      <c r="DL83" s="801"/>
      <c r="DM83" s="801"/>
      <c r="DN83" s="801"/>
      <c r="DO83" s="801"/>
      <c r="DP83" s="801"/>
      <c r="DQ83" s="801"/>
      <c r="DR83" s="801"/>
      <c r="DS83" s="801"/>
      <c r="DT83" s="801"/>
      <c r="DU83" s="801"/>
      <c r="DV83" s="801"/>
      <c r="DW83" s="801"/>
      <c r="DX83" s="801"/>
      <c r="DY83" s="801"/>
      <c r="DZ83" s="802"/>
      <c r="EA83" s="800" t="str">
        <f>IFERROR(IF(EZ69&gt;EA69-1,IF(INDEX(Pedidos!EJ:FZ,EY69+EA69-1,12)&lt;&gt;"","Color Cordon :     "&amp; INDEX(Pedidos!EJ:FZ,EY69+EA69-1,12),""),""),"")</f>
        <v/>
      </c>
      <c r="EB83" s="801"/>
      <c r="EC83" s="801"/>
      <c r="ED83" s="801"/>
      <c r="EE83" s="801"/>
      <c r="EF83" s="801"/>
      <c r="EG83" s="801"/>
      <c r="EH83" s="801"/>
      <c r="EI83" s="801"/>
      <c r="EJ83" s="801"/>
      <c r="EK83" s="801"/>
      <c r="EL83" s="801"/>
      <c r="EM83" s="801"/>
      <c r="EN83" s="801"/>
      <c r="EO83" s="801"/>
      <c r="EP83" s="801"/>
      <c r="EQ83" s="801"/>
      <c r="ER83" s="801"/>
      <c r="ES83" s="801"/>
      <c r="ET83" s="801"/>
      <c r="EU83" s="801"/>
      <c r="EV83" s="801"/>
      <c r="EW83" s="801"/>
      <c r="EX83" s="801"/>
      <c r="EY83" s="801"/>
      <c r="EZ83" s="802"/>
      <c r="FA83" s="800" t="str">
        <f>IFERROR(IF(FZ69&gt;FA69-1,IF(INDEX(Pedidos!FJ:GZ,FY69+FA69-1,12)&lt;&gt;"","Color Cordon :     "&amp; INDEX(Pedidos!FJ:GZ,FY69+FA69-1,12),""),""),"")</f>
        <v/>
      </c>
      <c r="FB83" s="801"/>
      <c r="FC83" s="801"/>
      <c r="FD83" s="801"/>
      <c r="FE83" s="801"/>
      <c r="FF83" s="801"/>
      <c r="FG83" s="801"/>
      <c r="FH83" s="801"/>
      <c r="FI83" s="801"/>
      <c r="FJ83" s="801"/>
      <c r="FK83" s="801"/>
      <c r="FL83" s="801"/>
      <c r="FM83" s="801"/>
      <c r="FN83" s="801"/>
      <c r="FO83" s="801"/>
      <c r="FP83" s="801"/>
      <c r="FQ83" s="801"/>
      <c r="FR83" s="801"/>
      <c r="FS83" s="801"/>
      <c r="FT83" s="801"/>
      <c r="FU83" s="801"/>
      <c r="FV83" s="801"/>
      <c r="FW83" s="801"/>
      <c r="FX83" s="801"/>
      <c r="FY83" s="801"/>
      <c r="FZ83" s="802"/>
      <c r="GA83" s="800" t="str">
        <f>IFERROR(IF(GZ69&gt;GA69-1,IF(INDEX(Pedidos!GJ:HZ,GY69+GA69-1,12)&lt;&gt;"","Color Cordon :     "&amp; INDEX(Pedidos!GJ:HZ,GY69+GA69-1,12),""),""),"")</f>
        <v/>
      </c>
      <c r="GB83" s="801"/>
      <c r="GC83" s="801"/>
      <c r="GD83" s="801"/>
      <c r="GE83" s="801"/>
      <c r="GF83" s="801"/>
      <c r="GG83" s="801"/>
      <c r="GH83" s="801"/>
      <c r="GI83" s="801"/>
      <c r="GJ83" s="801"/>
      <c r="GK83" s="801"/>
      <c r="GL83" s="801"/>
      <c r="GM83" s="801"/>
      <c r="GN83" s="801"/>
      <c r="GO83" s="801"/>
      <c r="GP83" s="801"/>
      <c r="GQ83" s="801"/>
      <c r="GR83" s="801"/>
      <c r="GS83" s="801"/>
      <c r="GT83" s="801"/>
      <c r="GU83" s="801"/>
      <c r="GV83" s="801"/>
      <c r="GW83" s="801"/>
      <c r="GX83" s="801"/>
      <c r="GY83" s="801"/>
      <c r="GZ83" s="802"/>
      <c r="HA83" s="800" t="str">
        <f>IFERROR(IF(HZ69&gt;HA69-1,IF(INDEX(Pedidos!HJ:IZ,HY69+HA69-1,12)&lt;&gt;"","Color Cordon :     "&amp; INDEX(Pedidos!HJ:IZ,HY69+HA69-1,12),""),""),"")</f>
        <v/>
      </c>
      <c r="HB83" s="801"/>
      <c r="HC83" s="801"/>
      <c r="HD83" s="801"/>
      <c r="HE83" s="801"/>
      <c r="HF83" s="801"/>
      <c r="HG83" s="801"/>
      <c r="HH83" s="801"/>
      <c r="HI83" s="801"/>
      <c r="HJ83" s="801"/>
      <c r="HK83" s="801"/>
      <c r="HL83" s="801"/>
      <c r="HM83" s="801"/>
      <c r="HN83" s="801"/>
      <c r="HO83" s="801"/>
      <c r="HP83" s="801"/>
      <c r="HQ83" s="801"/>
      <c r="HR83" s="801"/>
      <c r="HS83" s="801"/>
      <c r="HT83" s="801"/>
      <c r="HU83" s="801"/>
      <c r="HV83" s="801"/>
      <c r="HW83" s="801"/>
      <c r="HX83" s="801"/>
      <c r="HY83" s="801"/>
      <c r="HZ83" s="802"/>
      <c r="IA83" s="800" t="str">
        <f>IFERROR(IF(IZ69&gt;IA69-1,IF(INDEX(Pedidos!IJ:JZ,IY69+IA69-1,12)&lt;&gt;"","Color Cordon :     "&amp; INDEX(Pedidos!IJ:JZ,IY69+IA69-1,12),""),""),"")</f>
        <v/>
      </c>
      <c r="IB83" s="801"/>
      <c r="IC83" s="801"/>
      <c r="ID83" s="801"/>
      <c r="IE83" s="801"/>
      <c r="IF83" s="801"/>
      <c r="IG83" s="801"/>
      <c r="IH83" s="801"/>
      <c r="II83" s="801"/>
      <c r="IJ83" s="801"/>
      <c r="IK83" s="801"/>
      <c r="IL83" s="801"/>
      <c r="IM83" s="801"/>
      <c r="IN83" s="801"/>
      <c r="IO83" s="801"/>
      <c r="IP83" s="801"/>
      <c r="IQ83" s="801"/>
      <c r="IR83" s="801"/>
      <c r="IS83" s="801"/>
      <c r="IT83" s="801"/>
      <c r="IU83" s="801"/>
      <c r="IV83" s="801"/>
      <c r="IW83" s="801"/>
      <c r="IX83" s="801"/>
      <c r="IY83" s="801"/>
      <c r="IZ83" s="802"/>
    </row>
    <row r="84" spans="1:260" x14ac:dyDescent="0.25">
      <c r="A84" s="800"/>
      <c r="B84" s="801"/>
      <c r="C84" s="801"/>
      <c r="D84" s="801"/>
      <c r="E84" s="801"/>
      <c r="F84" s="801"/>
      <c r="G84" s="801"/>
      <c r="H84" s="801"/>
      <c r="I84" s="801"/>
      <c r="J84" s="801"/>
      <c r="K84" s="801"/>
      <c r="L84" s="801"/>
      <c r="M84" s="801"/>
      <c r="N84" s="801"/>
      <c r="O84" s="801"/>
      <c r="P84" s="801"/>
      <c r="Q84" s="801"/>
      <c r="R84" s="801"/>
      <c r="S84" s="801"/>
      <c r="T84" s="801"/>
      <c r="U84" s="801"/>
      <c r="V84" s="801"/>
      <c r="W84" s="801"/>
      <c r="X84" s="801"/>
      <c r="Y84" s="801"/>
      <c r="Z84" s="802"/>
      <c r="AA84" s="800"/>
      <c r="AB84" s="801"/>
      <c r="AC84" s="801"/>
      <c r="AD84" s="801"/>
      <c r="AE84" s="801"/>
      <c r="AF84" s="801"/>
      <c r="AG84" s="801"/>
      <c r="AH84" s="801"/>
      <c r="AI84" s="801"/>
      <c r="AJ84" s="801"/>
      <c r="AK84" s="801"/>
      <c r="AL84" s="801"/>
      <c r="AM84" s="801"/>
      <c r="AN84" s="801"/>
      <c r="AO84" s="801"/>
      <c r="AP84" s="801"/>
      <c r="AQ84" s="801"/>
      <c r="AR84" s="801"/>
      <c r="AS84" s="801"/>
      <c r="AT84" s="801"/>
      <c r="AU84" s="801"/>
      <c r="AV84" s="801"/>
      <c r="AW84" s="801"/>
      <c r="AX84" s="801"/>
      <c r="AY84" s="801"/>
      <c r="AZ84" s="802"/>
      <c r="BA84" s="800"/>
      <c r="BB84" s="801"/>
      <c r="BC84" s="801"/>
      <c r="BD84" s="801"/>
      <c r="BE84" s="801"/>
      <c r="BF84" s="801"/>
      <c r="BG84" s="801"/>
      <c r="BH84" s="801"/>
      <c r="BI84" s="801"/>
      <c r="BJ84" s="801"/>
      <c r="BK84" s="801"/>
      <c r="BL84" s="801"/>
      <c r="BM84" s="801"/>
      <c r="BN84" s="801"/>
      <c r="BO84" s="801"/>
      <c r="BP84" s="801"/>
      <c r="BQ84" s="801"/>
      <c r="BR84" s="801"/>
      <c r="BS84" s="801"/>
      <c r="BT84" s="801"/>
      <c r="BU84" s="801"/>
      <c r="BV84" s="801"/>
      <c r="BW84" s="801"/>
      <c r="BX84" s="801"/>
      <c r="BY84" s="801"/>
      <c r="BZ84" s="802"/>
      <c r="CA84" s="800"/>
      <c r="CB84" s="801"/>
      <c r="CC84" s="801"/>
      <c r="CD84" s="801"/>
      <c r="CE84" s="801"/>
      <c r="CF84" s="801"/>
      <c r="CG84" s="801"/>
      <c r="CH84" s="801"/>
      <c r="CI84" s="801"/>
      <c r="CJ84" s="801"/>
      <c r="CK84" s="801"/>
      <c r="CL84" s="801"/>
      <c r="CM84" s="801"/>
      <c r="CN84" s="801"/>
      <c r="CO84" s="801"/>
      <c r="CP84" s="801"/>
      <c r="CQ84" s="801"/>
      <c r="CR84" s="801"/>
      <c r="CS84" s="801"/>
      <c r="CT84" s="801"/>
      <c r="CU84" s="801"/>
      <c r="CV84" s="801"/>
      <c r="CW84" s="801"/>
      <c r="CX84" s="801"/>
      <c r="CY84" s="801"/>
      <c r="CZ84" s="802"/>
      <c r="DA84" s="800"/>
      <c r="DB84" s="801"/>
      <c r="DC84" s="801"/>
      <c r="DD84" s="801"/>
      <c r="DE84" s="801"/>
      <c r="DF84" s="801"/>
      <c r="DG84" s="801"/>
      <c r="DH84" s="801"/>
      <c r="DI84" s="801"/>
      <c r="DJ84" s="801"/>
      <c r="DK84" s="801"/>
      <c r="DL84" s="801"/>
      <c r="DM84" s="801"/>
      <c r="DN84" s="801"/>
      <c r="DO84" s="801"/>
      <c r="DP84" s="801"/>
      <c r="DQ84" s="801"/>
      <c r="DR84" s="801"/>
      <c r="DS84" s="801"/>
      <c r="DT84" s="801"/>
      <c r="DU84" s="801"/>
      <c r="DV84" s="801"/>
      <c r="DW84" s="801"/>
      <c r="DX84" s="801"/>
      <c r="DY84" s="801"/>
      <c r="DZ84" s="802"/>
      <c r="EA84" s="800"/>
      <c r="EB84" s="801"/>
      <c r="EC84" s="801"/>
      <c r="ED84" s="801"/>
      <c r="EE84" s="801"/>
      <c r="EF84" s="801"/>
      <c r="EG84" s="801"/>
      <c r="EH84" s="801"/>
      <c r="EI84" s="801"/>
      <c r="EJ84" s="801"/>
      <c r="EK84" s="801"/>
      <c r="EL84" s="801"/>
      <c r="EM84" s="801"/>
      <c r="EN84" s="801"/>
      <c r="EO84" s="801"/>
      <c r="EP84" s="801"/>
      <c r="EQ84" s="801"/>
      <c r="ER84" s="801"/>
      <c r="ES84" s="801"/>
      <c r="ET84" s="801"/>
      <c r="EU84" s="801"/>
      <c r="EV84" s="801"/>
      <c r="EW84" s="801"/>
      <c r="EX84" s="801"/>
      <c r="EY84" s="801"/>
      <c r="EZ84" s="802"/>
      <c r="FA84" s="800"/>
      <c r="FB84" s="801"/>
      <c r="FC84" s="801"/>
      <c r="FD84" s="801"/>
      <c r="FE84" s="801"/>
      <c r="FF84" s="801"/>
      <c r="FG84" s="801"/>
      <c r="FH84" s="801"/>
      <c r="FI84" s="801"/>
      <c r="FJ84" s="801"/>
      <c r="FK84" s="801"/>
      <c r="FL84" s="801"/>
      <c r="FM84" s="801"/>
      <c r="FN84" s="801"/>
      <c r="FO84" s="801"/>
      <c r="FP84" s="801"/>
      <c r="FQ84" s="801"/>
      <c r="FR84" s="801"/>
      <c r="FS84" s="801"/>
      <c r="FT84" s="801"/>
      <c r="FU84" s="801"/>
      <c r="FV84" s="801"/>
      <c r="FW84" s="801"/>
      <c r="FX84" s="801"/>
      <c r="FY84" s="801"/>
      <c r="FZ84" s="802"/>
      <c r="GA84" s="800"/>
      <c r="GB84" s="801"/>
      <c r="GC84" s="801"/>
      <c r="GD84" s="801"/>
      <c r="GE84" s="801"/>
      <c r="GF84" s="801"/>
      <c r="GG84" s="801"/>
      <c r="GH84" s="801"/>
      <c r="GI84" s="801"/>
      <c r="GJ84" s="801"/>
      <c r="GK84" s="801"/>
      <c r="GL84" s="801"/>
      <c r="GM84" s="801"/>
      <c r="GN84" s="801"/>
      <c r="GO84" s="801"/>
      <c r="GP84" s="801"/>
      <c r="GQ84" s="801"/>
      <c r="GR84" s="801"/>
      <c r="GS84" s="801"/>
      <c r="GT84" s="801"/>
      <c r="GU84" s="801"/>
      <c r="GV84" s="801"/>
      <c r="GW84" s="801"/>
      <c r="GX84" s="801"/>
      <c r="GY84" s="801"/>
      <c r="GZ84" s="802"/>
      <c r="HA84" s="800"/>
      <c r="HB84" s="801"/>
      <c r="HC84" s="801"/>
      <c r="HD84" s="801"/>
      <c r="HE84" s="801"/>
      <c r="HF84" s="801"/>
      <c r="HG84" s="801"/>
      <c r="HH84" s="801"/>
      <c r="HI84" s="801"/>
      <c r="HJ84" s="801"/>
      <c r="HK84" s="801"/>
      <c r="HL84" s="801"/>
      <c r="HM84" s="801"/>
      <c r="HN84" s="801"/>
      <c r="HO84" s="801"/>
      <c r="HP84" s="801"/>
      <c r="HQ84" s="801"/>
      <c r="HR84" s="801"/>
      <c r="HS84" s="801"/>
      <c r="HT84" s="801"/>
      <c r="HU84" s="801"/>
      <c r="HV84" s="801"/>
      <c r="HW84" s="801"/>
      <c r="HX84" s="801"/>
      <c r="HY84" s="801"/>
      <c r="HZ84" s="802"/>
      <c r="IA84" s="800"/>
      <c r="IB84" s="801"/>
      <c r="IC84" s="801"/>
      <c r="ID84" s="801"/>
      <c r="IE84" s="801"/>
      <c r="IF84" s="801"/>
      <c r="IG84" s="801"/>
      <c r="IH84" s="801"/>
      <c r="II84" s="801"/>
      <c r="IJ84" s="801"/>
      <c r="IK84" s="801"/>
      <c r="IL84" s="801"/>
      <c r="IM84" s="801"/>
      <c r="IN84" s="801"/>
      <c r="IO84" s="801"/>
      <c r="IP84" s="801"/>
      <c r="IQ84" s="801"/>
      <c r="IR84" s="801"/>
      <c r="IS84" s="801"/>
      <c r="IT84" s="801"/>
      <c r="IU84" s="801"/>
      <c r="IV84" s="801"/>
      <c r="IW84" s="801"/>
      <c r="IX84" s="801"/>
      <c r="IY84" s="801"/>
      <c r="IZ84" s="802"/>
    </row>
    <row r="85" spans="1:260" x14ac:dyDescent="0.25">
      <c r="A85" s="800"/>
      <c r="B85" s="801"/>
      <c r="C85" s="801"/>
      <c r="D85" s="801"/>
      <c r="E85" s="801"/>
      <c r="F85" s="801"/>
      <c r="G85" s="801"/>
      <c r="H85" s="801"/>
      <c r="I85" s="801"/>
      <c r="J85" s="801"/>
      <c r="K85" s="801"/>
      <c r="L85" s="801"/>
      <c r="M85" s="801"/>
      <c r="N85" s="801"/>
      <c r="O85" s="801"/>
      <c r="P85" s="801"/>
      <c r="Q85" s="801"/>
      <c r="R85" s="801"/>
      <c r="S85" s="801"/>
      <c r="T85" s="801"/>
      <c r="U85" s="801"/>
      <c r="V85" s="801"/>
      <c r="W85" s="801"/>
      <c r="X85" s="801"/>
      <c r="Y85" s="801"/>
      <c r="Z85" s="802"/>
      <c r="AA85" s="800"/>
      <c r="AB85" s="801"/>
      <c r="AC85" s="801"/>
      <c r="AD85" s="801"/>
      <c r="AE85" s="801"/>
      <c r="AF85" s="801"/>
      <c r="AG85" s="801"/>
      <c r="AH85" s="801"/>
      <c r="AI85" s="801"/>
      <c r="AJ85" s="801"/>
      <c r="AK85" s="801"/>
      <c r="AL85" s="801"/>
      <c r="AM85" s="801"/>
      <c r="AN85" s="801"/>
      <c r="AO85" s="801"/>
      <c r="AP85" s="801"/>
      <c r="AQ85" s="801"/>
      <c r="AR85" s="801"/>
      <c r="AS85" s="801"/>
      <c r="AT85" s="801"/>
      <c r="AU85" s="801"/>
      <c r="AV85" s="801"/>
      <c r="AW85" s="801"/>
      <c r="AX85" s="801"/>
      <c r="AY85" s="801"/>
      <c r="AZ85" s="802"/>
      <c r="BA85" s="800"/>
      <c r="BB85" s="801"/>
      <c r="BC85" s="801"/>
      <c r="BD85" s="801"/>
      <c r="BE85" s="801"/>
      <c r="BF85" s="801"/>
      <c r="BG85" s="801"/>
      <c r="BH85" s="801"/>
      <c r="BI85" s="801"/>
      <c r="BJ85" s="801"/>
      <c r="BK85" s="801"/>
      <c r="BL85" s="801"/>
      <c r="BM85" s="801"/>
      <c r="BN85" s="801"/>
      <c r="BO85" s="801"/>
      <c r="BP85" s="801"/>
      <c r="BQ85" s="801"/>
      <c r="BR85" s="801"/>
      <c r="BS85" s="801"/>
      <c r="BT85" s="801"/>
      <c r="BU85" s="801"/>
      <c r="BV85" s="801"/>
      <c r="BW85" s="801"/>
      <c r="BX85" s="801"/>
      <c r="BY85" s="801"/>
      <c r="BZ85" s="802"/>
      <c r="CA85" s="800"/>
      <c r="CB85" s="801"/>
      <c r="CC85" s="801"/>
      <c r="CD85" s="801"/>
      <c r="CE85" s="801"/>
      <c r="CF85" s="801"/>
      <c r="CG85" s="801"/>
      <c r="CH85" s="801"/>
      <c r="CI85" s="801"/>
      <c r="CJ85" s="801"/>
      <c r="CK85" s="801"/>
      <c r="CL85" s="801"/>
      <c r="CM85" s="801"/>
      <c r="CN85" s="801"/>
      <c r="CO85" s="801"/>
      <c r="CP85" s="801"/>
      <c r="CQ85" s="801"/>
      <c r="CR85" s="801"/>
      <c r="CS85" s="801"/>
      <c r="CT85" s="801"/>
      <c r="CU85" s="801"/>
      <c r="CV85" s="801"/>
      <c r="CW85" s="801"/>
      <c r="CX85" s="801"/>
      <c r="CY85" s="801"/>
      <c r="CZ85" s="802"/>
      <c r="DA85" s="800"/>
      <c r="DB85" s="801"/>
      <c r="DC85" s="801"/>
      <c r="DD85" s="801"/>
      <c r="DE85" s="801"/>
      <c r="DF85" s="801"/>
      <c r="DG85" s="801"/>
      <c r="DH85" s="801"/>
      <c r="DI85" s="801"/>
      <c r="DJ85" s="801"/>
      <c r="DK85" s="801"/>
      <c r="DL85" s="801"/>
      <c r="DM85" s="801"/>
      <c r="DN85" s="801"/>
      <c r="DO85" s="801"/>
      <c r="DP85" s="801"/>
      <c r="DQ85" s="801"/>
      <c r="DR85" s="801"/>
      <c r="DS85" s="801"/>
      <c r="DT85" s="801"/>
      <c r="DU85" s="801"/>
      <c r="DV85" s="801"/>
      <c r="DW85" s="801"/>
      <c r="DX85" s="801"/>
      <c r="DY85" s="801"/>
      <c r="DZ85" s="802"/>
      <c r="EA85" s="800"/>
      <c r="EB85" s="801"/>
      <c r="EC85" s="801"/>
      <c r="ED85" s="801"/>
      <c r="EE85" s="801"/>
      <c r="EF85" s="801"/>
      <c r="EG85" s="801"/>
      <c r="EH85" s="801"/>
      <c r="EI85" s="801"/>
      <c r="EJ85" s="801"/>
      <c r="EK85" s="801"/>
      <c r="EL85" s="801"/>
      <c r="EM85" s="801"/>
      <c r="EN85" s="801"/>
      <c r="EO85" s="801"/>
      <c r="EP85" s="801"/>
      <c r="EQ85" s="801"/>
      <c r="ER85" s="801"/>
      <c r="ES85" s="801"/>
      <c r="ET85" s="801"/>
      <c r="EU85" s="801"/>
      <c r="EV85" s="801"/>
      <c r="EW85" s="801"/>
      <c r="EX85" s="801"/>
      <c r="EY85" s="801"/>
      <c r="EZ85" s="802"/>
      <c r="FA85" s="800"/>
      <c r="FB85" s="801"/>
      <c r="FC85" s="801"/>
      <c r="FD85" s="801"/>
      <c r="FE85" s="801"/>
      <c r="FF85" s="801"/>
      <c r="FG85" s="801"/>
      <c r="FH85" s="801"/>
      <c r="FI85" s="801"/>
      <c r="FJ85" s="801"/>
      <c r="FK85" s="801"/>
      <c r="FL85" s="801"/>
      <c r="FM85" s="801"/>
      <c r="FN85" s="801"/>
      <c r="FO85" s="801"/>
      <c r="FP85" s="801"/>
      <c r="FQ85" s="801"/>
      <c r="FR85" s="801"/>
      <c r="FS85" s="801"/>
      <c r="FT85" s="801"/>
      <c r="FU85" s="801"/>
      <c r="FV85" s="801"/>
      <c r="FW85" s="801"/>
      <c r="FX85" s="801"/>
      <c r="FY85" s="801"/>
      <c r="FZ85" s="802"/>
      <c r="GA85" s="800"/>
      <c r="GB85" s="801"/>
      <c r="GC85" s="801"/>
      <c r="GD85" s="801"/>
      <c r="GE85" s="801"/>
      <c r="GF85" s="801"/>
      <c r="GG85" s="801"/>
      <c r="GH85" s="801"/>
      <c r="GI85" s="801"/>
      <c r="GJ85" s="801"/>
      <c r="GK85" s="801"/>
      <c r="GL85" s="801"/>
      <c r="GM85" s="801"/>
      <c r="GN85" s="801"/>
      <c r="GO85" s="801"/>
      <c r="GP85" s="801"/>
      <c r="GQ85" s="801"/>
      <c r="GR85" s="801"/>
      <c r="GS85" s="801"/>
      <c r="GT85" s="801"/>
      <c r="GU85" s="801"/>
      <c r="GV85" s="801"/>
      <c r="GW85" s="801"/>
      <c r="GX85" s="801"/>
      <c r="GY85" s="801"/>
      <c r="GZ85" s="802"/>
      <c r="HA85" s="800"/>
      <c r="HB85" s="801"/>
      <c r="HC85" s="801"/>
      <c r="HD85" s="801"/>
      <c r="HE85" s="801"/>
      <c r="HF85" s="801"/>
      <c r="HG85" s="801"/>
      <c r="HH85" s="801"/>
      <c r="HI85" s="801"/>
      <c r="HJ85" s="801"/>
      <c r="HK85" s="801"/>
      <c r="HL85" s="801"/>
      <c r="HM85" s="801"/>
      <c r="HN85" s="801"/>
      <c r="HO85" s="801"/>
      <c r="HP85" s="801"/>
      <c r="HQ85" s="801"/>
      <c r="HR85" s="801"/>
      <c r="HS85" s="801"/>
      <c r="HT85" s="801"/>
      <c r="HU85" s="801"/>
      <c r="HV85" s="801"/>
      <c r="HW85" s="801"/>
      <c r="HX85" s="801"/>
      <c r="HY85" s="801"/>
      <c r="HZ85" s="802"/>
      <c r="IA85" s="800"/>
      <c r="IB85" s="801"/>
      <c r="IC85" s="801"/>
      <c r="ID85" s="801"/>
      <c r="IE85" s="801"/>
      <c r="IF85" s="801"/>
      <c r="IG85" s="801"/>
      <c r="IH85" s="801"/>
      <c r="II85" s="801"/>
      <c r="IJ85" s="801"/>
      <c r="IK85" s="801"/>
      <c r="IL85" s="801"/>
      <c r="IM85" s="801"/>
      <c r="IN85" s="801"/>
      <c r="IO85" s="801"/>
      <c r="IP85" s="801"/>
      <c r="IQ85" s="801"/>
      <c r="IR85" s="801"/>
      <c r="IS85" s="801"/>
      <c r="IT85" s="801"/>
      <c r="IU85" s="801"/>
      <c r="IV85" s="801"/>
      <c r="IW85" s="801"/>
      <c r="IX85" s="801"/>
      <c r="IY85" s="801"/>
      <c r="IZ85" s="802"/>
    </row>
    <row r="86" spans="1:260" x14ac:dyDescent="0.25">
      <c r="A86" s="800" t="str">
        <f>IFERROR(IF(Z69&gt;A69-1,IF(INDEX(Pedidos!J:AZ,Y69+A69-1,31)&lt;&gt;"","Nombres :     "&amp; INDEX(Pedidos!J:AZ,Y69+A69-1,31),""),""),"")</f>
        <v/>
      </c>
      <c r="B86" s="801"/>
      <c r="C86" s="801"/>
      <c r="D86" s="801"/>
      <c r="E86" s="801"/>
      <c r="F86" s="801"/>
      <c r="G86" s="801"/>
      <c r="H86" s="801"/>
      <c r="I86" s="801"/>
      <c r="J86" s="801"/>
      <c r="K86" s="801"/>
      <c r="L86" s="801"/>
      <c r="M86" s="801"/>
      <c r="N86" s="801"/>
      <c r="O86" s="801"/>
      <c r="P86" s="801"/>
      <c r="Q86" s="801"/>
      <c r="R86" s="801"/>
      <c r="S86" s="801"/>
      <c r="T86" s="801"/>
      <c r="U86" s="801"/>
      <c r="V86" s="801"/>
      <c r="W86" s="801"/>
      <c r="X86" s="801"/>
      <c r="Y86" s="801"/>
      <c r="Z86" s="802"/>
      <c r="AA86" s="800" t="str">
        <f>IFERROR(IF(AZ69&gt;AA69-1,IF(INDEX(Pedidos!AJ:BZ,AY69+AA69-1,31)&lt;&gt;"","Nombres :     "&amp; INDEX(Pedidos!AJ:BZ,AY69+AA69-1,31),""),""),"")</f>
        <v/>
      </c>
      <c r="AB86" s="801"/>
      <c r="AC86" s="801"/>
      <c r="AD86" s="801"/>
      <c r="AE86" s="801"/>
      <c r="AF86" s="801"/>
      <c r="AG86" s="801"/>
      <c r="AH86" s="801"/>
      <c r="AI86" s="801"/>
      <c r="AJ86" s="801"/>
      <c r="AK86" s="801"/>
      <c r="AL86" s="801"/>
      <c r="AM86" s="801"/>
      <c r="AN86" s="801"/>
      <c r="AO86" s="801"/>
      <c r="AP86" s="801"/>
      <c r="AQ86" s="801"/>
      <c r="AR86" s="801"/>
      <c r="AS86" s="801"/>
      <c r="AT86" s="801"/>
      <c r="AU86" s="801"/>
      <c r="AV86" s="801"/>
      <c r="AW86" s="801"/>
      <c r="AX86" s="801"/>
      <c r="AY86" s="801"/>
      <c r="AZ86" s="802"/>
      <c r="BA86" s="800" t="str">
        <f>IFERROR(IF(BZ69&gt;BA69-1,IF(INDEX(Pedidos!BJ:CZ,BY69+BA69-1,31)&lt;&gt;"","Nombres :     "&amp; INDEX(Pedidos!BJ:CZ,BY69+BA69-1,31),""),""),"")</f>
        <v/>
      </c>
      <c r="BB86" s="801"/>
      <c r="BC86" s="801"/>
      <c r="BD86" s="801"/>
      <c r="BE86" s="801"/>
      <c r="BF86" s="801"/>
      <c r="BG86" s="801"/>
      <c r="BH86" s="801"/>
      <c r="BI86" s="801"/>
      <c r="BJ86" s="801"/>
      <c r="BK86" s="801"/>
      <c r="BL86" s="801"/>
      <c r="BM86" s="801"/>
      <c r="BN86" s="801"/>
      <c r="BO86" s="801"/>
      <c r="BP86" s="801"/>
      <c r="BQ86" s="801"/>
      <c r="BR86" s="801"/>
      <c r="BS86" s="801"/>
      <c r="BT86" s="801"/>
      <c r="BU86" s="801"/>
      <c r="BV86" s="801"/>
      <c r="BW86" s="801"/>
      <c r="BX86" s="801"/>
      <c r="BY86" s="801"/>
      <c r="BZ86" s="802"/>
      <c r="CA86" s="800" t="str">
        <f>IFERROR(IF(CZ69&gt;CA69-1,IF(INDEX(Pedidos!CJ:DZ,CY69+CA69-1,31)&lt;&gt;"","Nombres :     "&amp; INDEX(Pedidos!CJ:DZ,CY69+CA69-1,31),""),""),"")</f>
        <v/>
      </c>
      <c r="CB86" s="801"/>
      <c r="CC86" s="801"/>
      <c r="CD86" s="801"/>
      <c r="CE86" s="801"/>
      <c r="CF86" s="801"/>
      <c r="CG86" s="801"/>
      <c r="CH86" s="801"/>
      <c r="CI86" s="801"/>
      <c r="CJ86" s="801"/>
      <c r="CK86" s="801"/>
      <c r="CL86" s="801"/>
      <c r="CM86" s="801"/>
      <c r="CN86" s="801"/>
      <c r="CO86" s="801"/>
      <c r="CP86" s="801"/>
      <c r="CQ86" s="801"/>
      <c r="CR86" s="801"/>
      <c r="CS86" s="801"/>
      <c r="CT86" s="801"/>
      <c r="CU86" s="801"/>
      <c r="CV86" s="801"/>
      <c r="CW86" s="801"/>
      <c r="CX86" s="801"/>
      <c r="CY86" s="801"/>
      <c r="CZ86" s="802"/>
      <c r="DA86" s="800" t="str">
        <f>IFERROR(IF(DZ69&gt;DA69-1,IF(INDEX(Pedidos!DJ:EZ,DY69+DA69-1,31)&lt;&gt;"","Nombres :     "&amp; INDEX(Pedidos!DJ:EZ,DY69+DA69-1,31),""),""),"")</f>
        <v/>
      </c>
      <c r="DB86" s="801"/>
      <c r="DC86" s="801"/>
      <c r="DD86" s="801"/>
      <c r="DE86" s="801"/>
      <c r="DF86" s="801"/>
      <c r="DG86" s="801"/>
      <c r="DH86" s="801"/>
      <c r="DI86" s="801"/>
      <c r="DJ86" s="801"/>
      <c r="DK86" s="801"/>
      <c r="DL86" s="801"/>
      <c r="DM86" s="801"/>
      <c r="DN86" s="801"/>
      <c r="DO86" s="801"/>
      <c r="DP86" s="801"/>
      <c r="DQ86" s="801"/>
      <c r="DR86" s="801"/>
      <c r="DS86" s="801"/>
      <c r="DT86" s="801"/>
      <c r="DU86" s="801"/>
      <c r="DV86" s="801"/>
      <c r="DW86" s="801"/>
      <c r="DX86" s="801"/>
      <c r="DY86" s="801"/>
      <c r="DZ86" s="802"/>
      <c r="EA86" s="800" t="str">
        <f>IFERROR(IF(EZ69&gt;EA69-1,IF(INDEX(Pedidos!EJ:FZ,EY69+EA69-1,31)&lt;&gt;"","Nombres :     "&amp; INDEX(Pedidos!EJ:FZ,EY69+EA69-1,31),""),""),"")</f>
        <v/>
      </c>
      <c r="EB86" s="801"/>
      <c r="EC86" s="801"/>
      <c r="ED86" s="801"/>
      <c r="EE86" s="801"/>
      <c r="EF86" s="801"/>
      <c r="EG86" s="801"/>
      <c r="EH86" s="801"/>
      <c r="EI86" s="801"/>
      <c r="EJ86" s="801"/>
      <c r="EK86" s="801"/>
      <c r="EL86" s="801"/>
      <c r="EM86" s="801"/>
      <c r="EN86" s="801"/>
      <c r="EO86" s="801"/>
      <c r="EP86" s="801"/>
      <c r="EQ86" s="801"/>
      <c r="ER86" s="801"/>
      <c r="ES86" s="801"/>
      <c r="ET86" s="801"/>
      <c r="EU86" s="801"/>
      <c r="EV86" s="801"/>
      <c r="EW86" s="801"/>
      <c r="EX86" s="801"/>
      <c r="EY86" s="801"/>
      <c r="EZ86" s="802"/>
      <c r="FA86" s="800" t="str">
        <f>IFERROR(IF(FZ69&gt;FA69-1,IF(INDEX(Pedidos!FJ:GZ,FY69+FA69-1,31)&lt;&gt;"","Nombres :     "&amp; INDEX(Pedidos!FJ:GZ,FY69+FA69-1,31),""),""),"")</f>
        <v/>
      </c>
      <c r="FB86" s="801"/>
      <c r="FC86" s="801"/>
      <c r="FD86" s="801"/>
      <c r="FE86" s="801"/>
      <c r="FF86" s="801"/>
      <c r="FG86" s="801"/>
      <c r="FH86" s="801"/>
      <c r="FI86" s="801"/>
      <c r="FJ86" s="801"/>
      <c r="FK86" s="801"/>
      <c r="FL86" s="801"/>
      <c r="FM86" s="801"/>
      <c r="FN86" s="801"/>
      <c r="FO86" s="801"/>
      <c r="FP86" s="801"/>
      <c r="FQ86" s="801"/>
      <c r="FR86" s="801"/>
      <c r="FS86" s="801"/>
      <c r="FT86" s="801"/>
      <c r="FU86" s="801"/>
      <c r="FV86" s="801"/>
      <c r="FW86" s="801"/>
      <c r="FX86" s="801"/>
      <c r="FY86" s="801"/>
      <c r="FZ86" s="802"/>
      <c r="GA86" s="800" t="str">
        <f>IFERROR(IF(GZ69&gt;GA69-1,IF(INDEX(Pedidos!GJ:HZ,GY69+GA69-1,31)&lt;&gt;"","Nombres :     "&amp; INDEX(Pedidos!GJ:HZ,GY69+GA69-1,31),""),""),"")</f>
        <v/>
      </c>
      <c r="GB86" s="801"/>
      <c r="GC86" s="801"/>
      <c r="GD86" s="801"/>
      <c r="GE86" s="801"/>
      <c r="GF86" s="801"/>
      <c r="GG86" s="801"/>
      <c r="GH86" s="801"/>
      <c r="GI86" s="801"/>
      <c r="GJ86" s="801"/>
      <c r="GK86" s="801"/>
      <c r="GL86" s="801"/>
      <c r="GM86" s="801"/>
      <c r="GN86" s="801"/>
      <c r="GO86" s="801"/>
      <c r="GP86" s="801"/>
      <c r="GQ86" s="801"/>
      <c r="GR86" s="801"/>
      <c r="GS86" s="801"/>
      <c r="GT86" s="801"/>
      <c r="GU86" s="801"/>
      <c r="GV86" s="801"/>
      <c r="GW86" s="801"/>
      <c r="GX86" s="801"/>
      <c r="GY86" s="801"/>
      <c r="GZ86" s="802"/>
      <c r="HA86" s="800" t="str">
        <f>IFERROR(IF(HZ69&gt;HA69-1,IF(INDEX(Pedidos!HJ:IZ,HY69+HA69-1,31)&lt;&gt;"","Nombres :     "&amp; INDEX(Pedidos!HJ:IZ,HY69+HA69-1,31),""),""),"")</f>
        <v/>
      </c>
      <c r="HB86" s="801"/>
      <c r="HC86" s="801"/>
      <c r="HD86" s="801"/>
      <c r="HE86" s="801"/>
      <c r="HF86" s="801"/>
      <c r="HG86" s="801"/>
      <c r="HH86" s="801"/>
      <c r="HI86" s="801"/>
      <c r="HJ86" s="801"/>
      <c r="HK86" s="801"/>
      <c r="HL86" s="801"/>
      <c r="HM86" s="801"/>
      <c r="HN86" s="801"/>
      <c r="HO86" s="801"/>
      <c r="HP86" s="801"/>
      <c r="HQ86" s="801"/>
      <c r="HR86" s="801"/>
      <c r="HS86" s="801"/>
      <c r="HT86" s="801"/>
      <c r="HU86" s="801"/>
      <c r="HV86" s="801"/>
      <c r="HW86" s="801"/>
      <c r="HX86" s="801"/>
      <c r="HY86" s="801"/>
      <c r="HZ86" s="802"/>
      <c r="IA86" s="800" t="str">
        <f>IFERROR(IF(IZ69&gt;IA69-1,IF(INDEX(Pedidos!IJ:JZ,IY69+IA69-1,31)&lt;&gt;"","Nombres :     "&amp; INDEX(Pedidos!IJ:JZ,IY69+IA69-1,31),""),""),"")</f>
        <v/>
      </c>
      <c r="IB86" s="801"/>
      <c r="IC86" s="801"/>
      <c r="ID86" s="801"/>
      <c r="IE86" s="801"/>
      <c r="IF86" s="801"/>
      <c r="IG86" s="801"/>
      <c r="IH86" s="801"/>
      <c r="II86" s="801"/>
      <c r="IJ86" s="801"/>
      <c r="IK86" s="801"/>
      <c r="IL86" s="801"/>
      <c r="IM86" s="801"/>
      <c r="IN86" s="801"/>
      <c r="IO86" s="801"/>
      <c r="IP86" s="801"/>
      <c r="IQ86" s="801"/>
      <c r="IR86" s="801"/>
      <c r="IS86" s="801"/>
      <c r="IT86" s="801"/>
      <c r="IU86" s="801"/>
      <c r="IV86" s="801"/>
      <c r="IW86" s="801"/>
      <c r="IX86" s="801"/>
      <c r="IY86" s="801"/>
      <c r="IZ86" s="802"/>
    </row>
    <row r="87" spans="1:260" x14ac:dyDescent="0.25">
      <c r="A87" s="820" t="str">
        <f>IFERROR(IF(Z69&gt;A69-1,IF(INDEX(Pedidos!J:AZ,Y69+A69-1,32)&lt;&gt;"","Localización de los Nombres :     "&amp; INDEX(Pedidos!J:AZ,Y69+A69-1,32),""),""),"")</f>
        <v/>
      </c>
      <c r="B87" s="821"/>
      <c r="C87" s="821"/>
      <c r="D87" s="821"/>
      <c r="E87" s="821"/>
      <c r="F87" s="821"/>
      <c r="G87" s="821"/>
      <c r="H87" s="821"/>
      <c r="I87" s="821"/>
      <c r="J87" s="821"/>
      <c r="K87" s="821"/>
      <c r="L87" s="821"/>
      <c r="M87" s="821"/>
      <c r="N87" s="821"/>
      <c r="O87" s="821"/>
      <c r="P87" s="821"/>
      <c r="Q87" s="821"/>
      <c r="R87" s="821"/>
      <c r="S87" s="821"/>
      <c r="T87" s="821"/>
      <c r="U87" s="821"/>
      <c r="V87" s="821"/>
      <c r="W87" s="821"/>
      <c r="X87" s="821"/>
      <c r="Y87" s="821"/>
      <c r="Z87" s="822"/>
      <c r="AA87" s="820" t="str">
        <f>IFERROR(IF(AZ69&gt;AA69-1,IF(INDEX(Pedidos!AJ:BZ,AY69+AA69-1,32)&lt;&gt;"","Localización de los Nombres :     "&amp; INDEX(Pedidos!AJ:BZ,AY69+AA69-1,32),""),""),"")</f>
        <v/>
      </c>
      <c r="AB87" s="821"/>
      <c r="AC87" s="821"/>
      <c r="AD87" s="821"/>
      <c r="AE87" s="821"/>
      <c r="AF87" s="821"/>
      <c r="AG87" s="821"/>
      <c r="AH87" s="821"/>
      <c r="AI87" s="821"/>
      <c r="AJ87" s="821"/>
      <c r="AK87" s="821"/>
      <c r="AL87" s="821"/>
      <c r="AM87" s="821"/>
      <c r="AN87" s="821"/>
      <c r="AO87" s="821"/>
      <c r="AP87" s="821"/>
      <c r="AQ87" s="821"/>
      <c r="AR87" s="821"/>
      <c r="AS87" s="821"/>
      <c r="AT87" s="821"/>
      <c r="AU87" s="821"/>
      <c r="AV87" s="821"/>
      <c r="AW87" s="821"/>
      <c r="AX87" s="821"/>
      <c r="AY87" s="821"/>
      <c r="AZ87" s="822"/>
      <c r="BA87" s="820" t="str">
        <f>IFERROR(IF(BZ69&gt;BA69-1,IF(INDEX(Pedidos!BJ:CZ,BY69+BA69-1,32)&lt;&gt;"","Localización de los Nombres :     "&amp; INDEX(Pedidos!BJ:CZ,BY69+BA69-1,32),""),""),"")</f>
        <v/>
      </c>
      <c r="BB87" s="821"/>
      <c r="BC87" s="821"/>
      <c r="BD87" s="821"/>
      <c r="BE87" s="821"/>
      <c r="BF87" s="821"/>
      <c r="BG87" s="821"/>
      <c r="BH87" s="821"/>
      <c r="BI87" s="821"/>
      <c r="BJ87" s="821"/>
      <c r="BK87" s="821"/>
      <c r="BL87" s="821"/>
      <c r="BM87" s="821"/>
      <c r="BN87" s="821"/>
      <c r="BO87" s="821"/>
      <c r="BP87" s="821"/>
      <c r="BQ87" s="821"/>
      <c r="BR87" s="821"/>
      <c r="BS87" s="821"/>
      <c r="BT87" s="821"/>
      <c r="BU87" s="821"/>
      <c r="BV87" s="821"/>
      <c r="BW87" s="821"/>
      <c r="BX87" s="821"/>
      <c r="BY87" s="821"/>
      <c r="BZ87" s="822"/>
      <c r="CA87" s="820" t="str">
        <f>IFERROR(IF(CZ69&gt;CA69-1,IF(INDEX(Pedidos!CJ:DZ,CY69+CA69-1,32)&lt;&gt;"","Localización de los Nombres :     "&amp; INDEX(Pedidos!CJ:DZ,CY69+CA69-1,32),""),""),"")</f>
        <v/>
      </c>
      <c r="CB87" s="821"/>
      <c r="CC87" s="821"/>
      <c r="CD87" s="821"/>
      <c r="CE87" s="821"/>
      <c r="CF87" s="821"/>
      <c r="CG87" s="821"/>
      <c r="CH87" s="821"/>
      <c r="CI87" s="821"/>
      <c r="CJ87" s="821"/>
      <c r="CK87" s="821"/>
      <c r="CL87" s="821"/>
      <c r="CM87" s="821"/>
      <c r="CN87" s="821"/>
      <c r="CO87" s="821"/>
      <c r="CP87" s="821"/>
      <c r="CQ87" s="821"/>
      <c r="CR87" s="821"/>
      <c r="CS87" s="821"/>
      <c r="CT87" s="821"/>
      <c r="CU87" s="821"/>
      <c r="CV87" s="821"/>
      <c r="CW87" s="821"/>
      <c r="CX87" s="821"/>
      <c r="CY87" s="821"/>
      <c r="CZ87" s="822"/>
      <c r="DA87" s="820" t="str">
        <f>IFERROR(IF(DZ69&gt;DA69-1,IF(INDEX(Pedidos!DJ:EZ,DY69+DA69-1,32)&lt;&gt;"","Localización de los Nombres :     "&amp; INDEX(Pedidos!DJ:EZ,DY69+DA69-1,32),""),""),"")</f>
        <v/>
      </c>
      <c r="DB87" s="821"/>
      <c r="DC87" s="821"/>
      <c r="DD87" s="821"/>
      <c r="DE87" s="821"/>
      <c r="DF87" s="821"/>
      <c r="DG87" s="821"/>
      <c r="DH87" s="821"/>
      <c r="DI87" s="821"/>
      <c r="DJ87" s="821"/>
      <c r="DK87" s="821"/>
      <c r="DL87" s="821"/>
      <c r="DM87" s="821"/>
      <c r="DN87" s="821"/>
      <c r="DO87" s="821"/>
      <c r="DP87" s="821"/>
      <c r="DQ87" s="821"/>
      <c r="DR87" s="821"/>
      <c r="DS87" s="821"/>
      <c r="DT87" s="821"/>
      <c r="DU87" s="821"/>
      <c r="DV87" s="821"/>
      <c r="DW87" s="821"/>
      <c r="DX87" s="821"/>
      <c r="DY87" s="821"/>
      <c r="DZ87" s="822"/>
      <c r="EA87" s="820" t="str">
        <f>IFERROR(IF(EZ69&gt;EA69-1,IF(INDEX(Pedidos!EJ:FZ,EY69+EA69-1,32)&lt;&gt;"","Localización de los Nombres :     "&amp; INDEX(Pedidos!EJ:FZ,EY69+EA69-1,32),""),""),"")</f>
        <v/>
      </c>
      <c r="EB87" s="821"/>
      <c r="EC87" s="821"/>
      <c r="ED87" s="821"/>
      <c r="EE87" s="821"/>
      <c r="EF87" s="821"/>
      <c r="EG87" s="821"/>
      <c r="EH87" s="821"/>
      <c r="EI87" s="821"/>
      <c r="EJ87" s="821"/>
      <c r="EK87" s="821"/>
      <c r="EL87" s="821"/>
      <c r="EM87" s="821"/>
      <c r="EN87" s="821"/>
      <c r="EO87" s="821"/>
      <c r="EP87" s="821"/>
      <c r="EQ87" s="821"/>
      <c r="ER87" s="821"/>
      <c r="ES87" s="821"/>
      <c r="ET87" s="821"/>
      <c r="EU87" s="821"/>
      <c r="EV87" s="821"/>
      <c r="EW87" s="821"/>
      <c r="EX87" s="821"/>
      <c r="EY87" s="821"/>
      <c r="EZ87" s="822"/>
      <c r="FA87" s="820" t="str">
        <f>IFERROR(IF(FZ69&gt;FA69-1,IF(INDEX(Pedidos!FJ:GZ,FY69+FA69-1,32)&lt;&gt;"","Localización de los Nombres :     "&amp; INDEX(Pedidos!FJ:GZ,FY69+FA69-1,32),""),""),"")</f>
        <v/>
      </c>
      <c r="FB87" s="821"/>
      <c r="FC87" s="821"/>
      <c r="FD87" s="821"/>
      <c r="FE87" s="821"/>
      <c r="FF87" s="821"/>
      <c r="FG87" s="821"/>
      <c r="FH87" s="821"/>
      <c r="FI87" s="821"/>
      <c r="FJ87" s="821"/>
      <c r="FK87" s="821"/>
      <c r="FL87" s="821"/>
      <c r="FM87" s="821"/>
      <c r="FN87" s="821"/>
      <c r="FO87" s="821"/>
      <c r="FP87" s="821"/>
      <c r="FQ87" s="821"/>
      <c r="FR87" s="821"/>
      <c r="FS87" s="821"/>
      <c r="FT87" s="821"/>
      <c r="FU87" s="821"/>
      <c r="FV87" s="821"/>
      <c r="FW87" s="821"/>
      <c r="FX87" s="821"/>
      <c r="FY87" s="821"/>
      <c r="FZ87" s="822"/>
      <c r="GA87" s="820" t="str">
        <f>IFERROR(IF(GZ69&gt;GA69-1,IF(INDEX(Pedidos!GJ:HZ,GY69+GA69-1,32)&lt;&gt;"","Localización de los Nombres :     "&amp; INDEX(Pedidos!GJ:HZ,GY69+GA69-1,32),""),""),"")</f>
        <v/>
      </c>
      <c r="GB87" s="821"/>
      <c r="GC87" s="821"/>
      <c r="GD87" s="821"/>
      <c r="GE87" s="821"/>
      <c r="GF87" s="821"/>
      <c r="GG87" s="821"/>
      <c r="GH87" s="821"/>
      <c r="GI87" s="821"/>
      <c r="GJ87" s="821"/>
      <c r="GK87" s="821"/>
      <c r="GL87" s="821"/>
      <c r="GM87" s="821"/>
      <c r="GN87" s="821"/>
      <c r="GO87" s="821"/>
      <c r="GP87" s="821"/>
      <c r="GQ87" s="821"/>
      <c r="GR87" s="821"/>
      <c r="GS87" s="821"/>
      <c r="GT87" s="821"/>
      <c r="GU87" s="821"/>
      <c r="GV87" s="821"/>
      <c r="GW87" s="821"/>
      <c r="GX87" s="821"/>
      <c r="GY87" s="821"/>
      <c r="GZ87" s="822"/>
      <c r="HA87" s="820" t="str">
        <f>IFERROR(IF(HZ69&gt;HA69-1,IF(INDEX(Pedidos!HJ:IZ,HY69+HA69-1,32)&lt;&gt;"","Localización de los Nombres :     "&amp; INDEX(Pedidos!HJ:IZ,HY69+HA69-1,32),""),""),"")</f>
        <v/>
      </c>
      <c r="HB87" s="821"/>
      <c r="HC87" s="821"/>
      <c r="HD87" s="821"/>
      <c r="HE87" s="821"/>
      <c r="HF87" s="821"/>
      <c r="HG87" s="821"/>
      <c r="HH87" s="821"/>
      <c r="HI87" s="821"/>
      <c r="HJ87" s="821"/>
      <c r="HK87" s="821"/>
      <c r="HL87" s="821"/>
      <c r="HM87" s="821"/>
      <c r="HN87" s="821"/>
      <c r="HO87" s="821"/>
      <c r="HP87" s="821"/>
      <c r="HQ87" s="821"/>
      <c r="HR87" s="821"/>
      <c r="HS87" s="821"/>
      <c r="HT87" s="821"/>
      <c r="HU87" s="821"/>
      <c r="HV87" s="821"/>
      <c r="HW87" s="821"/>
      <c r="HX87" s="821"/>
      <c r="HY87" s="821"/>
      <c r="HZ87" s="822"/>
      <c r="IA87" s="820" t="str">
        <f>IFERROR(IF(IZ69&gt;IA69-1,IF(INDEX(Pedidos!IJ:JZ,IY69+IA69-1,32)&lt;&gt;"","Localización de los Nombres :     "&amp; INDEX(Pedidos!IJ:JZ,IY69+IA69-1,32),""),""),"")</f>
        <v/>
      </c>
      <c r="IB87" s="821"/>
      <c r="IC87" s="821"/>
      <c r="ID87" s="821"/>
      <c r="IE87" s="821"/>
      <c r="IF87" s="821"/>
      <c r="IG87" s="821"/>
      <c r="IH87" s="821"/>
      <c r="II87" s="821"/>
      <c r="IJ87" s="821"/>
      <c r="IK87" s="821"/>
      <c r="IL87" s="821"/>
      <c r="IM87" s="821"/>
      <c r="IN87" s="821"/>
      <c r="IO87" s="821"/>
      <c r="IP87" s="821"/>
      <c r="IQ87" s="821"/>
      <c r="IR87" s="821"/>
      <c r="IS87" s="821"/>
      <c r="IT87" s="821"/>
      <c r="IU87" s="821"/>
      <c r="IV87" s="821"/>
      <c r="IW87" s="821"/>
      <c r="IX87" s="821"/>
      <c r="IY87" s="821"/>
      <c r="IZ87" s="822"/>
    </row>
    <row r="88" spans="1:260" ht="15" customHeight="1" x14ac:dyDescent="0.25">
      <c r="A88" s="836" t="str">
        <f>IFERROR(IF(Z69&gt;A69-1,IF(INDEX(Pedidos!J:AZ,Y69+A69-1,37)&lt;&gt;"","Otras Instrucciones Especiales :     "&amp; INDEX(Pedidos!J:AZ,Y69+A69-1,37),""),""),"")</f>
        <v/>
      </c>
      <c r="B88" s="837"/>
      <c r="C88" s="837"/>
      <c r="D88" s="837"/>
      <c r="E88" s="837"/>
      <c r="F88" s="837"/>
      <c r="G88" s="837"/>
      <c r="H88" s="837"/>
      <c r="I88" s="837"/>
      <c r="J88" s="837"/>
      <c r="K88" s="837"/>
      <c r="L88" s="837"/>
      <c r="M88" s="837"/>
      <c r="N88" s="837"/>
      <c r="O88" s="837"/>
      <c r="P88" s="837"/>
      <c r="Q88" s="837"/>
      <c r="R88" s="837"/>
      <c r="S88" s="837"/>
      <c r="T88" s="837"/>
      <c r="U88" s="837"/>
      <c r="V88" s="837"/>
      <c r="W88" s="837"/>
      <c r="X88" s="837"/>
      <c r="Y88" s="837"/>
      <c r="Z88" s="838"/>
      <c r="AA88" s="836" t="str">
        <f>IFERROR(IF(AZ69&gt;AA69-1,IF(INDEX(Pedidos!AJ:BZ,AY69+AA69-1,37)&lt;&gt;"","Otras Instrucciones Especiales :     "&amp; INDEX(Pedidos!AJ:BZ,AY69+AA69-1,37),""),""),"")</f>
        <v/>
      </c>
      <c r="AB88" s="837"/>
      <c r="AC88" s="837"/>
      <c r="AD88" s="837"/>
      <c r="AE88" s="837"/>
      <c r="AF88" s="837"/>
      <c r="AG88" s="837"/>
      <c r="AH88" s="837"/>
      <c r="AI88" s="837"/>
      <c r="AJ88" s="837"/>
      <c r="AK88" s="837"/>
      <c r="AL88" s="837"/>
      <c r="AM88" s="837"/>
      <c r="AN88" s="837"/>
      <c r="AO88" s="837"/>
      <c r="AP88" s="837"/>
      <c r="AQ88" s="837"/>
      <c r="AR88" s="837"/>
      <c r="AS88" s="837"/>
      <c r="AT88" s="837"/>
      <c r="AU88" s="837"/>
      <c r="AV88" s="837"/>
      <c r="AW88" s="837"/>
      <c r="AX88" s="837"/>
      <c r="AY88" s="837"/>
      <c r="AZ88" s="838"/>
      <c r="BA88" s="836" t="str">
        <f>IFERROR(IF(BZ69&gt;BA69-1,IF(INDEX(Pedidos!BJ:CZ,BY69+BA69-1,37)&lt;&gt;"","Otras Instrucciones Especiales :     "&amp; INDEX(Pedidos!BJ:CZ,BY69+BA69-1,37),""),""),"")</f>
        <v/>
      </c>
      <c r="BB88" s="837"/>
      <c r="BC88" s="837"/>
      <c r="BD88" s="837"/>
      <c r="BE88" s="837"/>
      <c r="BF88" s="837"/>
      <c r="BG88" s="837"/>
      <c r="BH88" s="837"/>
      <c r="BI88" s="837"/>
      <c r="BJ88" s="837"/>
      <c r="BK88" s="837"/>
      <c r="BL88" s="837"/>
      <c r="BM88" s="837"/>
      <c r="BN88" s="837"/>
      <c r="BO88" s="837"/>
      <c r="BP88" s="837"/>
      <c r="BQ88" s="837"/>
      <c r="BR88" s="837"/>
      <c r="BS88" s="837"/>
      <c r="BT88" s="837"/>
      <c r="BU88" s="837"/>
      <c r="BV88" s="837"/>
      <c r="BW88" s="837"/>
      <c r="BX88" s="837"/>
      <c r="BY88" s="837"/>
      <c r="BZ88" s="838"/>
      <c r="CA88" s="836" t="str">
        <f>IFERROR(IF(CZ69&gt;CA69-1,IF(INDEX(Pedidos!CJ:DZ,CY69+CA69-1,37)&lt;&gt;"","Otras Instrucciones Especiales :     "&amp; INDEX(Pedidos!CJ:DZ,CY69+CA69-1,37),""),""),"")</f>
        <v/>
      </c>
      <c r="CB88" s="837"/>
      <c r="CC88" s="837"/>
      <c r="CD88" s="837"/>
      <c r="CE88" s="837"/>
      <c r="CF88" s="837"/>
      <c r="CG88" s="837"/>
      <c r="CH88" s="837"/>
      <c r="CI88" s="837"/>
      <c r="CJ88" s="837"/>
      <c r="CK88" s="837"/>
      <c r="CL88" s="837"/>
      <c r="CM88" s="837"/>
      <c r="CN88" s="837"/>
      <c r="CO88" s="837"/>
      <c r="CP88" s="837"/>
      <c r="CQ88" s="837"/>
      <c r="CR88" s="837"/>
      <c r="CS88" s="837"/>
      <c r="CT88" s="837"/>
      <c r="CU88" s="837"/>
      <c r="CV88" s="837"/>
      <c r="CW88" s="837"/>
      <c r="CX88" s="837"/>
      <c r="CY88" s="837"/>
      <c r="CZ88" s="838"/>
      <c r="DA88" s="836" t="str">
        <f>IFERROR(IF(DZ69&gt;DA69-1,IF(INDEX(Pedidos!DJ:EZ,DY69+DA69-1,37)&lt;&gt;"","Otras Instrucciones Especiales :     "&amp; INDEX(Pedidos!DJ:EZ,DY69+DA69-1,37),""),""),"")</f>
        <v/>
      </c>
      <c r="DB88" s="837"/>
      <c r="DC88" s="837"/>
      <c r="DD88" s="837"/>
      <c r="DE88" s="837"/>
      <c r="DF88" s="837"/>
      <c r="DG88" s="837"/>
      <c r="DH88" s="837"/>
      <c r="DI88" s="837"/>
      <c r="DJ88" s="837"/>
      <c r="DK88" s="837"/>
      <c r="DL88" s="837"/>
      <c r="DM88" s="837"/>
      <c r="DN88" s="837"/>
      <c r="DO88" s="837"/>
      <c r="DP88" s="837"/>
      <c r="DQ88" s="837"/>
      <c r="DR88" s="837"/>
      <c r="DS88" s="837"/>
      <c r="DT88" s="837"/>
      <c r="DU88" s="837"/>
      <c r="DV88" s="837"/>
      <c r="DW88" s="837"/>
      <c r="DX88" s="837"/>
      <c r="DY88" s="837"/>
      <c r="DZ88" s="838"/>
      <c r="EA88" s="836" t="str">
        <f>IFERROR(IF(EZ69&gt;EA69-1,IF(INDEX(Pedidos!EJ:FZ,EY69+EA69-1,37)&lt;&gt;"","Otras Instrucciones Especiales :     "&amp; INDEX(Pedidos!EJ:FZ,EY69+EA69-1,37),""),""),"")</f>
        <v/>
      </c>
      <c r="EB88" s="837"/>
      <c r="EC88" s="837"/>
      <c r="ED88" s="837"/>
      <c r="EE88" s="837"/>
      <c r="EF88" s="837"/>
      <c r="EG88" s="837"/>
      <c r="EH88" s="837"/>
      <c r="EI88" s="837"/>
      <c r="EJ88" s="837"/>
      <c r="EK88" s="837"/>
      <c r="EL88" s="837"/>
      <c r="EM88" s="837"/>
      <c r="EN88" s="837"/>
      <c r="EO88" s="837"/>
      <c r="EP88" s="837"/>
      <c r="EQ88" s="837"/>
      <c r="ER88" s="837"/>
      <c r="ES88" s="837"/>
      <c r="ET88" s="837"/>
      <c r="EU88" s="837"/>
      <c r="EV88" s="837"/>
      <c r="EW88" s="837"/>
      <c r="EX88" s="837"/>
      <c r="EY88" s="837"/>
      <c r="EZ88" s="838"/>
      <c r="FA88" s="836" t="str">
        <f>IFERROR(IF(FZ69&gt;FA69-1,IF(INDEX(Pedidos!FJ:GZ,FY69+FA69-1,37)&lt;&gt;"","Otras Instrucciones Especiales :     "&amp; INDEX(Pedidos!FJ:GZ,FY69+FA69-1,37),""),""),"")</f>
        <v/>
      </c>
      <c r="FB88" s="837"/>
      <c r="FC88" s="837"/>
      <c r="FD88" s="837"/>
      <c r="FE88" s="837"/>
      <c r="FF88" s="837"/>
      <c r="FG88" s="837"/>
      <c r="FH88" s="837"/>
      <c r="FI88" s="837"/>
      <c r="FJ88" s="837"/>
      <c r="FK88" s="837"/>
      <c r="FL88" s="837"/>
      <c r="FM88" s="837"/>
      <c r="FN88" s="837"/>
      <c r="FO88" s="837"/>
      <c r="FP88" s="837"/>
      <c r="FQ88" s="837"/>
      <c r="FR88" s="837"/>
      <c r="FS88" s="837"/>
      <c r="FT88" s="837"/>
      <c r="FU88" s="837"/>
      <c r="FV88" s="837"/>
      <c r="FW88" s="837"/>
      <c r="FX88" s="837"/>
      <c r="FY88" s="837"/>
      <c r="FZ88" s="838"/>
      <c r="GA88" s="836" t="str">
        <f>IFERROR(IF(GZ69&gt;GA69-1,IF(INDEX(Pedidos!GJ:HZ,GY69+GA69-1,37)&lt;&gt;"","Otras Instrucciones Especiales :     "&amp; INDEX(Pedidos!GJ:HZ,GY69+GA69-1,37),""),""),"")</f>
        <v/>
      </c>
      <c r="GB88" s="837"/>
      <c r="GC88" s="837"/>
      <c r="GD88" s="837"/>
      <c r="GE88" s="837"/>
      <c r="GF88" s="837"/>
      <c r="GG88" s="837"/>
      <c r="GH88" s="837"/>
      <c r="GI88" s="837"/>
      <c r="GJ88" s="837"/>
      <c r="GK88" s="837"/>
      <c r="GL88" s="837"/>
      <c r="GM88" s="837"/>
      <c r="GN88" s="837"/>
      <c r="GO88" s="837"/>
      <c r="GP88" s="837"/>
      <c r="GQ88" s="837"/>
      <c r="GR88" s="837"/>
      <c r="GS88" s="837"/>
      <c r="GT88" s="837"/>
      <c r="GU88" s="837"/>
      <c r="GV88" s="837"/>
      <c r="GW88" s="837"/>
      <c r="GX88" s="837"/>
      <c r="GY88" s="837"/>
      <c r="GZ88" s="838"/>
      <c r="HA88" s="836" t="str">
        <f>IFERROR(IF(HZ69&gt;HA69-1,IF(INDEX(Pedidos!HJ:IZ,HY69+HA69-1,37)&lt;&gt;"","Otras Instrucciones Especiales :     "&amp; INDEX(Pedidos!HJ:IZ,HY69+HA69-1,37),""),""),"")</f>
        <v/>
      </c>
      <c r="HB88" s="837"/>
      <c r="HC88" s="837"/>
      <c r="HD88" s="837"/>
      <c r="HE88" s="837"/>
      <c r="HF88" s="837"/>
      <c r="HG88" s="837"/>
      <c r="HH88" s="837"/>
      <c r="HI88" s="837"/>
      <c r="HJ88" s="837"/>
      <c r="HK88" s="837"/>
      <c r="HL88" s="837"/>
      <c r="HM88" s="837"/>
      <c r="HN88" s="837"/>
      <c r="HO88" s="837"/>
      <c r="HP88" s="837"/>
      <c r="HQ88" s="837"/>
      <c r="HR88" s="837"/>
      <c r="HS88" s="837"/>
      <c r="HT88" s="837"/>
      <c r="HU88" s="837"/>
      <c r="HV88" s="837"/>
      <c r="HW88" s="837"/>
      <c r="HX88" s="837"/>
      <c r="HY88" s="837"/>
      <c r="HZ88" s="838"/>
      <c r="IA88" s="836" t="str">
        <f>IFERROR(IF(IZ69&gt;IA69-1,IF(INDEX(Pedidos!IJ:JZ,IY69+IA69-1,37)&lt;&gt;"","Otras Instrucciones Especiales :     "&amp; INDEX(Pedidos!IJ:JZ,IY69+IA69-1,37),""),""),"")</f>
        <v/>
      </c>
      <c r="IB88" s="837"/>
      <c r="IC88" s="837"/>
      <c r="ID88" s="837"/>
      <c r="IE88" s="837"/>
      <c r="IF88" s="837"/>
      <c r="IG88" s="837"/>
      <c r="IH88" s="837"/>
      <c r="II88" s="837"/>
      <c r="IJ88" s="837"/>
      <c r="IK88" s="837"/>
      <c r="IL88" s="837"/>
      <c r="IM88" s="837"/>
      <c r="IN88" s="837"/>
      <c r="IO88" s="837"/>
      <c r="IP88" s="837"/>
      <c r="IQ88" s="837"/>
      <c r="IR88" s="837"/>
      <c r="IS88" s="837"/>
      <c r="IT88" s="837"/>
      <c r="IU88" s="837"/>
      <c r="IV88" s="837"/>
      <c r="IW88" s="837"/>
      <c r="IX88" s="837"/>
      <c r="IY88" s="837"/>
      <c r="IZ88" s="838"/>
    </row>
    <row r="89" spans="1:260" ht="15.75" thickBot="1" x14ac:dyDescent="0.3">
      <c r="A89" s="839"/>
      <c r="B89" s="840"/>
      <c r="C89" s="840"/>
      <c r="D89" s="840"/>
      <c r="E89" s="840"/>
      <c r="F89" s="840"/>
      <c r="G89" s="840"/>
      <c r="H89" s="840"/>
      <c r="I89" s="840"/>
      <c r="J89" s="840"/>
      <c r="K89" s="840"/>
      <c r="L89" s="840"/>
      <c r="M89" s="840"/>
      <c r="N89" s="840"/>
      <c r="O89" s="840"/>
      <c r="P89" s="840"/>
      <c r="Q89" s="840"/>
      <c r="R89" s="840"/>
      <c r="S89" s="840"/>
      <c r="T89" s="840"/>
      <c r="U89" s="840"/>
      <c r="V89" s="840"/>
      <c r="W89" s="840"/>
      <c r="X89" s="840"/>
      <c r="Y89" s="840"/>
      <c r="Z89" s="841"/>
      <c r="AA89" s="839"/>
      <c r="AB89" s="840"/>
      <c r="AC89" s="840"/>
      <c r="AD89" s="840"/>
      <c r="AE89" s="840"/>
      <c r="AF89" s="840"/>
      <c r="AG89" s="840"/>
      <c r="AH89" s="840"/>
      <c r="AI89" s="840"/>
      <c r="AJ89" s="840"/>
      <c r="AK89" s="840"/>
      <c r="AL89" s="840"/>
      <c r="AM89" s="840"/>
      <c r="AN89" s="840"/>
      <c r="AO89" s="840"/>
      <c r="AP89" s="840"/>
      <c r="AQ89" s="840"/>
      <c r="AR89" s="840"/>
      <c r="AS89" s="840"/>
      <c r="AT89" s="840"/>
      <c r="AU89" s="840"/>
      <c r="AV89" s="840"/>
      <c r="AW89" s="840"/>
      <c r="AX89" s="840"/>
      <c r="AY89" s="840"/>
      <c r="AZ89" s="841"/>
      <c r="BA89" s="839"/>
      <c r="BB89" s="840"/>
      <c r="BC89" s="840"/>
      <c r="BD89" s="840"/>
      <c r="BE89" s="840"/>
      <c r="BF89" s="840"/>
      <c r="BG89" s="840"/>
      <c r="BH89" s="840"/>
      <c r="BI89" s="840"/>
      <c r="BJ89" s="840"/>
      <c r="BK89" s="840"/>
      <c r="BL89" s="840"/>
      <c r="BM89" s="840"/>
      <c r="BN89" s="840"/>
      <c r="BO89" s="840"/>
      <c r="BP89" s="840"/>
      <c r="BQ89" s="840"/>
      <c r="BR89" s="840"/>
      <c r="BS89" s="840"/>
      <c r="BT89" s="840"/>
      <c r="BU89" s="840"/>
      <c r="BV89" s="840"/>
      <c r="BW89" s="840"/>
      <c r="BX89" s="840"/>
      <c r="BY89" s="840"/>
      <c r="BZ89" s="841"/>
      <c r="CA89" s="839"/>
      <c r="CB89" s="840"/>
      <c r="CC89" s="840"/>
      <c r="CD89" s="840"/>
      <c r="CE89" s="840"/>
      <c r="CF89" s="840"/>
      <c r="CG89" s="840"/>
      <c r="CH89" s="840"/>
      <c r="CI89" s="840"/>
      <c r="CJ89" s="840"/>
      <c r="CK89" s="840"/>
      <c r="CL89" s="840"/>
      <c r="CM89" s="840"/>
      <c r="CN89" s="840"/>
      <c r="CO89" s="840"/>
      <c r="CP89" s="840"/>
      <c r="CQ89" s="840"/>
      <c r="CR89" s="840"/>
      <c r="CS89" s="840"/>
      <c r="CT89" s="840"/>
      <c r="CU89" s="840"/>
      <c r="CV89" s="840"/>
      <c r="CW89" s="840"/>
      <c r="CX89" s="840"/>
      <c r="CY89" s="840"/>
      <c r="CZ89" s="841"/>
      <c r="DA89" s="839"/>
      <c r="DB89" s="840"/>
      <c r="DC89" s="840"/>
      <c r="DD89" s="840"/>
      <c r="DE89" s="840"/>
      <c r="DF89" s="840"/>
      <c r="DG89" s="840"/>
      <c r="DH89" s="840"/>
      <c r="DI89" s="840"/>
      <c r="DJ89" s="840"/>
      <c r="DK89" s="840"/>
      <c r="DL89" s="840"/>
      <c r="DM89" s="840"/>
      <c r="DN89" s="840"/>
      <c r="DO89" s="840"/>
      <c r="DP89" s="840"/>
      <c r="DQ89" s="840"/>
      <c r="DR89" s="840"/>
      <c r="DS89" s="840"/>
      <c r="DT89" s="840"/>
      <c r="DU89" s="840"/>
      <c r="DV89" s="840"/>
      <c r="DW89" s="840"/>
      <c r="DX89" s="840"/>
      <c r="DY89" s="840"/>
      <c r="DZ89" s="841"/>
      <c r="EA89" s="839"/>
      <c r="EB89" s="840"/>
      <c r="EC89" s="840"/>
      <c r="ED89" s="840"/>
      <c r="EE89" s="840"/>
      <c r="EF89" s="840"/>
      <c r="EG89" s="840"/>
      <c r="EH89" s="840"/>
      <c r="EI89" s="840"/>
      <c r="EJ89" s="840"/>
      <c r="EK89" s="840"/>
      <c r="EL89" s="840"/>
      <c r="EM89" s="840"/>
      <c r="EN89" s="840"/>
      <c r="EO89" s="840"/>
      <c r="EP89" s="840"/>
      <c r="EQ89" s="840"/>
      <c r="ER89" s="840"/>
      <c r="ES89" s="840"/>
      <c r="ET89" s="840"/>
      <c r="EU89" s="840"/>
      <c r="EV89" s="840"/>
      <c r="EW89" s="840"/>
      <c r="EX89" s="840"/>
      <c r="EY89" s="840"/>
      <c r="EZ89" s="841"/>
      <c r="FA89" s="839"/>
      <c r="FB89" s="840"/>
      <c r="FC89" s="840"/>
      <c r="FD89" s="840"/>
      <c r="FE89" s="840"/>
      <c r="FF89" s="840"/>
      <c r="FG89" s="840"/>
      <c r="FH89" s="840"/>
      <c r="FI89" s="840"/>
      <c r="FJ89" s="840"/>
      <c r="FK89" s="840"/>
      <c r="FL89" s="840"/>
      <c r="FM89" s="840"/>
      <c r="FN89" s="840"/>
      <c r="FO89" s="840"/>
      <c r="FP89" s="840"/>
      <c r="FQ89" s="840"/>
      <c r="FR89" s="840"/>
      <c r="FS89" s="840"/>
      <c r="FT89" s="840"/>
      <c r="FU89" s="840"/>
      <c r="FV89" s="840"/>
      <c r="FW89" s="840"/>
      <c r="FX89" s="840"/>
      <c r="FY89" s="840"/>
      <c r="FZ89" s="841"/>
      <c r="GA89" s="839"/>
      <c r="GB89" s="840"/>
      <c r="GC89" s="840"/>
      <c r="GD89" s="840"/>
      <c r="GE89" s="840"/>
      <c r="GF89" s="840"/>
      <c r="GG89" s="840"/>
      <c r="GH89" s="840"/>
      <c r="GI89" s="840"/>
      <c r="GJ89" s="840"/>
      <c r="GK89" s="840"/>
      <c r="GL89" s="840"/>
      <c r="GM89" s="840"/>
      <c r="GN89" s="840"/>
      <c r="GO89" s="840"/>
      <c r="GP89" s="840"/>
      <c r="GQ89" s="840"/>
      <c r="GR89" s="840"/>
      <c r="GS89" s="840"/>
      <c r="GT89" s="840"/>
      <c r="GU89" s="840"/>
      <c r="GV89" s="840"/>
      <c r="GW89" s="840"/>
      <c r="GX89" s="840"/>
      <c r="GY89" s="840"/>
      <c r="GZ89" s="841"/>
      <c r="HA89" s="839"/>
      <c r="HB89" s="840"/>
      <c r="HC89" s="840"/>
      <c r="HD89" s="840"/>
      <c r="HE89" s="840"/>
      <c r="HF89" s="840"/>
      <c r="HG89" s="840"/>
      <c r="HH89" s="840"/>
      <c r="HI89" s="840"/>
      <c r="HJ89" s="840"/>
      <c r="HK89" s="840"/>
      <c r="HL89" s="840"/>
      <c r="HM89" s="840"/>
      <c r="HN89" s="840"/>
      <c r="HO89" s="840"/>
      <c r="HP89" s="840"/>
      <c r="HQ89" s="840"/>
      <c r="HR89" s="840"/>
      <c r="HS89" s="840"/>
      <c r="HT89" s="840"/>
      <c r="HU89" s="840"/>
      <c r="HV89" s="840"/>
      <c r="HW89" s="840"/>
      <c r="HX89" s="840"/>
      <c r="HY89" s="840"/>
      <c r="HZ89" s="841"/>
      <c r="IA89" s="839"/>
      <c r="IB89" s="840"/>
      <c r="IC89" s="840"/>
      <c r="ID89" s="840"/>
      <c r="IE89" s="840"/>
      <c r="IF89" s="840"/>
      <c r="IG89" s="840"/>
      <c r="IH89" s="840"/>
      <c r="II89" s="840"/>
      <c r="IJ89" s="840"/>
      <c r="IK89" s="840"/>
      <c r="IL89" s="840"/>
      <c r="IM89" s="840"/>
      <c r="IN89" s="840"/>
      <c r="IO89" s="840"/>
      <c r="IP89" s="840"/>
      <c r="IQ89" s="840"/>
      <c r="IR89" s="840"/>
      <c r="IS89" s="840"/>
      <c r="IT89" s="840"/>
      <c r="IU89" s="840"/>
      <c r="IV89" s="840"/>
      <c r="IW89" s="840"/>
      <c r="IX89" s="840"/>
      <c r="IY89" s="840"/>
      <c r="IZ89" s="841"/>
    </row>
    <row r="90" spans="1:260" x14ac:dyDescent="0.25">
      <c r="AA90" s="518"/>
      <c r="AB90" s="518"/>
      <c r="AC90" s="518"/>
      <c r="AD90" s="518"/>
      <c r="AE90" s="518"/>
      <c r="AF90" s="518"/>
      <c r="AG90" s="518"/>
      <c r="AH90" s="518"/>
      <c r="AI90" s="518"/>
      <c r="AJ90" s="518"/>
      <c r="AK90" s="518"/>
      <c r="AL90" s="518"/>
      <c r="AM90" s="518"/>
      <c r="AN90" s="518"/>
      <c r="AO90" s="518"/>
      <c r="AP90" s="518"/>
      <c r="AQ90" s="518"/>
      <c r="AR90" s="518"/>
      <c r="AS90" s="518"/>
      <c r="AT90" s="518"/>
      <c r="AU90" s="518"/>
      <c r="AV90" s="518"/>
      <c r="AW90" s="518"/>
    </row>
    <row r="91" spans="1:260" x14ac:dyDescent="0.25">
      <c r="AA91" s="518"/>
      <c r="AB91" s="518"/>
      <c r="AC91" s="518"/>
      <c r="AD91" s="518"/>
      <c r="AE91" s="518"/>
      <c r="AF91" s="518"/>
      <c r="AG91" s="518"/>
      <c r="AH91" s="518"/>
      <c r="AI91" s="518"/>
      <c r="AJ91" s="518"/>
      <c r="AK91" s="518"/>
      <c r="AL91" s="518"/>
      <c r="AM91" s="518"/>
      <c r="AN91" s="518"/>
      <c r="AO91" s="518"/>
      <c r="AP91" s="518"/>
      <c r="AQ91" s="518"/>
      <c r="AR91" s="518"/>
      <c r="AS91" s="518"/>
      <c r="AT91" s="518"/>
      <c r="AU91" s="518"/>
      <c r="AV91" s="518"/>
      <c r="AW91" s="518"/>
    </row>
    <row r="92" spans="1:260" s="529" customFormat="1" x14ac:dyDescent="0.25">
      <c r="J92" s="529">
        <v>18</v>
      </c>
      <c r="K92" s="529">
        <v>19</v>
      </c>
      <c r="L92" s="529">
        <v>20</v>
      </c>
      <c r="M92" s="529">
        <v>21</v>
      </c>
      <c r="N92" s="529">
        <v>22</v>
      </c>
      <c r="O92" s="529">
        <v>23</v>
      </c>
      <c r="P92" s="529">
        <v>24</v>
      </c>
      <c r="Q92" s="529">
        <v>25</v>
      </c>
      <c r="R92" s="529">
        <v>26</v>
      </c>
      <c r="S92" s="529">
        <v>27</v>
      </c>
      <c r="T92" s="529">
        <v>28</v>
      </c>
      <c r="U92" s="529">
        <v>29</v>
      </c>
      <c r="V92" s="529">
        <v>30</v>
      </c>
      <c r="Y92" s="529">
        <f>IFERROR(IF(COUNTIF(Pedidos!$J:$J,Q$2)&gt;A92-1,MATCH(Q$2,Pedidos!$J:$J,0),""),"")</f>
        <v>22</v>
      </c>
      <c r="Z92" s="529">
        <f>IFERROR(IF(Y92="",0,COUNTIF(Pedidos!$J:$J,Procesos!Q$2)),"")</f>
        <v>1</v>
      </c>
      <c r="AJ92" s="529">
        <v>18</v>
      </c>
      <c r="AK92" s="529">
        <v>19</v>
      </c>
      <c r="AL92" s="529">
        <v>20</v>
      </c>
      <c r="AM92" s="529">
        <v>21</v>
      </c>
      <c r="AN92" s="529">
        <v>22</v>
      </c>
      <c r="AO92" s="529">
        <v>23</v>
      </c>
      <c r="AP92" s="529">
        <v>24</v>
      </c>
      <c r="AQ92" s="529">
        <v>25</v>
      </c>
      <c r="AR92" s="529">
        <v>26</v>
      </c>
      <c r="AS92" s="529">
        <v>27</v>
      </c>
      <c r="AT92" s="529">
        <v>28</v>
      </c>
      <c r="AU92" s="529">
        <v>29</v>
      </c>
      <c r="AV92" s="529">
        <v>30</v>
      </c>
      <c r="AY92" s="529">
        <f>IFERROR(IF(COUNTIF(Pedidos!$J:$J,AQ$2)&gt;AA92-1,MATCH(AQ$2,Pedidos!$J:$J,0),""),"")</f>
        <v>30</v>
      </c>
      <c r="AZ92" s="529">
        <f>IFERROR(IF(AY92="",0,COUNTIF(Pedidos!$J:$J,Procesos!AQ$2)),"")</f>
        <v>4</v>
      </c>
      <c r="BJ92" s="529">
        <v>18</v>
      </c>
      <c r="BK92" s="529">
        <v>19</v>
      </c>
      <c r="BL92" s="529">
        <v>20</v>
      </c>
      <c r="BM92" s="529">
        <v>21</v>
      </c>
      <c r="BN92" s="529">
        <v>22</v>
      </c>
      <c r="BO92" s="529">
        <v>23</v>
      </c>
      <c r="BP92" s="529">
        <v>24</v>
      </c>
      <c r="BQ92" s="529">
        <v>25</v>
      </c>
      <c r="BR92" s="529">
        <v>26</v>
      </c>
      <c r="BS92" s="529">
        <v>27</v>
      </c>
      <c r="BT92" s="529">
        <v>28</v>
      </c>
      <c r="BU92" s="529">
        <v>29</v>
      </c>
      <c r="BV92" s="529">
        <v>30</v>
      </c>
      <c r="BY92" s="529" t="str">
        <f>IFERROR(IF(COUNTIF(Pedidos!$J:$J,BQ$2)&gt;BA92-1,MATCH(BQ$2,Pedidos!$J:$J,0),""),"")</f>
        <v/>
      </c>
      <c r="BZ92" s="529">
        <f>IFERROR(IF(BY92="",0,COUNTIF(Pedidos!$J:$J,Procesos!BQ$2)),"")</f>
        <v>0</v>
      </c>
      <c r="CJ92" s="529">
        <v>18</v>
      </c>
      <c r="CK92" s="529">
        <v>19</v>
      </c>
      <c r="CL92" s="529">
        <v>20</v>
      </c>
      <c r="CM92" s="529">
        <v>21</v>
      </c>
      <c r="CN92" s="529">
        <v>22</v>
      </c>
      <c r="CO92" s="529">
        <v>23</v>
      </c>
      <c r="CP92" s="529">
        <v>24</v>
      </c>
      <c r="CQ92" s="529">
        <v>25</v>
      </c>
      <c r="CR92" s="529">
        <v>26</v>
      </c>
      <c r="CS92" s="529">
        <v>27</v>
      </c>
      <c r="CT92" s="529">
        <v>28</v>
      </c>
      <c r="CU92" s="529">
        <v>29</v>
      </c>
      <c r="CV92" s="529">
        <v>30</v>
      </c>
      <c r="CY92" s="529" t="str">
        <f>IFERROR(IF(COUNTIF(Pedidos!$J:$J,CQ$2)&gt;CA92-1,MATCH(CQ$2,Pedidos!$J:$J,0),""),"")</f>
        <v/>
      </c>
      <c r="CZ92" s="529">
        <f>IFERROR(IF(CY92="",0,COUNTIF(Pedidos!$J:$J,Procesos!CQ$2)),"")</f>
        <v>0</v>
      </c>
      <c r="DJ92" s="529">
        <v>18</v>
      </c>
      <c r="DK92" s="529">
        <v>19</v>
      </c>
      <c r="DL92" s="529">
        <v>20</v>
      </c>
      <c r="DM92" s="529">
        <v>21</v>
      </c>
      <c r="DN92" s="529">
        <v>22</v>
      </c>
      <c r="DO92" s="529">
        <v>23</v>
      </c>
      <c r="DP92" s="529">
        <v>24</v>
      </c>
      <c r="DQ92" s="529">
        <v>25</v>
      </c>
      <c r="DR92" s="529">
        <v>26</v>
      </c>
      <c r="DS92" s="529">
        <v>27</v>
      </c>
      <c r="DT92" s="529">
        <v>28</v>
      </c>
      <c r="DU92" s="529">
        <v>29</v>
      </c>
      <c r="DV92" s="529">
        <v>30</v>
      </c>
      <c r="DY92" s="529" t="str">
        <f>IFERROR(IF(COUNTIF(Pedidos!$J:$J,DQ$2)&gt;DA92-1,MATCH(DQ$2,Pedidos!$J:$J,0),""),"")</f>
        <v/>
      </c>
      <c r="DZ92" s="529">
        <f>IFERROR(IF(DY92="",0,COUNTIF(Pedidos!$J:$J,Procesos!DQ$2)),"")</f>
        <v>0</v>
      </c>
      <c r="EJ92" s="529">
        <v>18</v>
      </c>
      <c r="EK92" s="529">
        <v>19</v>
      </c>
      <c r="EL92" s="529">
        <v>20</v>
      </c>
      <c r="EM92" s="529">
        <v>21</v>
      </c>
      <c r="EN92" s="529">
        <v>22</v>
      </c>
      <c r="EO92" s="529">
        <v>23</v>
      </c>
      <c r="EP92" s="529">
        <v>24</v>
      </c>
      <c r="EQ92" s="529">
        <v>25</v>
      </c>
      <c r="ER92" s="529">
        <v>26</v>
      </c>
      <c r="ES92" s="529">
        <v>27</v>
      </c>
      <c r="ET92" s="529">
        <v>28</v>
      </c>
      <c r="EU92" s="529">
        <v>29</v>
      </c>
      <c r="EV92" s="529">
        <v>30</v>
      </c>
      <c r="EY92" s="529" t="str">
        <f>IFERROR(IF(COUNTIF(Pedidos!$J:$J,EQ$2)&gt;EA92-1,MATCH(EQ$2,Pedidos!$J:$J,0),""),"")</f>
        <v/>
      </c>
      <c r="EZ92" s="529">
        <f>IFERROR(IF(EY92="",0,COUNTIF(Pedidos!$J:$J,Procesos!EQ$2)),"")</f>
        <v>0</v>
      </c>
      <c r="FJ92" s="529">
        <v>18</v>
      </c>
      <c r="FK92" s="529">
        <v>19</v>
      </c>
      <c r="FL92" s="529">
        <v>20</v>
      </c>
      <c r="FM92" s="529">
        <v>21</v>
      </c>
      <c r="FN92" s="529">
        <v>22</v>
      </c>
      <c r="FO92" s="529">
        <v>23</v>
      </c>
      <c r="FP92" s="529">
        <v>24</v>
      </c>
      <c r="FQ92" s="529">
        <v>25</v>
      </c>
      <c r="FR92" s="529">
        <v>26</v>
      </c>
      <c r="FS92" s="529">
        <v>27</v>
      </c>
      <c r="FT92" s="529">
        <v>28</v>
      </c>
      <c r="FU92" s="529">
        <v>29</v>
      </c>
      <c r="FV92" s="529">
        <v>30</v>
      </c>
      <c r="FY92" s="529" t="str">
        <f>IFERROR(IF(COUNTIF(Pedidos!$J:$J,FQ$2)&gt;FA92-1,MATCH(FQ$2,Pedidos!$J:$J,0),""),"")</f>
        <v/>
      </c>
      <c r="FZ92" s="529">
        <f>IFERROR(IF(FY92="",0,COUNTIF(Pedidos!$J:$J,Procesos!FQ$2)),"")</f>
        <v>0</v>
      </c>
      <c r="GJ92" s="529">
        <v>18</v>
      </c>
      <c r="GK92" s="529">
        <v>19</v>
      </c>
      <c r="GL92" s="529">
        <v>20</v>
      </c>
      <c r="GM92" s="529">
        <v>21</v>
      </c>
      <c r="GN92" s="529">
        <v>22</v>
      </c>
      <c r="GO92" s="529">
        <v>23</v>
      </c>
      <c r="GP92" s="529">
        <v>24</v>
      </c>
      <c r="GQ92" s="529">
        <v>25</v>
      </c>
      <c r="GR92" s="529">
        <v>26</v>
      </c>
      <c r="GS92" s="529">
        <v>27</v>
      </c>
      <c r="GT92" s="529">
        <v>28</v>
      </c>
      <c r="GU92" s="529">
        <v>29</v>
      </c>
      <c r="GV92" s="529">
        <v>30</v>
      </c>
      <c r="GY92" s="529" t="str">
        <f>IFERROR(IF(COUNTIF(Pedidos!$J:$J,GQ$2)&gt;GA92-1,MATCH(GQ$2,Pedidos!$J:$J,0),""),"")</f>
        <v/>
      </c>
      <c r="GZ92" s="529">
        <f>IFERROR(IF(GY92="",0,COUNTIF(Pedidos!$J:$J,Procesos!GQ$2)),"")</f>
        <v>0</v>
      </c>
      <c r="HJ92" s="529">
        <v>18</v>
      </c>
      <c r="HK92" s="529">
        <v>19</v>
      </c>
      <c r="HL92" s="529">
        <v>20</v>
      </c>
      <c r="HM92" s="529">
        <v>21</v>
      </c>
      <c r="HN92" s="529">
        <v>22</v>
      </c>
      <c r="HO92" s="529">
        <v>23</v>
      </c>
      <c r="HP92" s="529">
        <v>24</v>
      </c>
      <c r="HQ92" s="529">
        <v>25</v>
      </c>
      <c r="HR92" s="529">
        <v>26</v>
      </c>
      <c r="HS92" s="529">
        <v>27</v>
      </c>
      <c r="HT92" s="529">
        <v>28</v>
      </c>
      <c r="HU92" s="529">
        <v>29</v>
      </c>
      <c r="HV92" s="529">
        <v>30</v>
      </c>
      <c r="HY92" s="529" t="str">
        <f>IFERROR(IF(COUNTIF(Pedidos!$J:$J,HQ$2)&gt;HA92-1,MATCH(HQ$2,Pedidos!$J:$J,0),""),"")</f>
        <v/>
      </c>
      <c r="HZ92" s="529">
        <f>IFERROR(IF(HY92="",0,COUNTIF(Pedidos!$J:$J,Procesos!HQ$2)),"")</f>
        <v>0</v>
      </c>
      <c r="IJ92" s="529">
        <v>18</v>
      </c>
      <c r="IK92" s="529">
        <v>19</v>
      </c>
      <c r="IL92" s="529">
        <v>20</v>
      </c>
      <c r="IM92" s="529">
        <v>21</v>
      </c>
      <c r="IN92" s="529">
        <v>22</v>
      </c>
      <c r="IO92" s="529">
        <v>23</v>
      </c>
      <c r="IP92" s="529">
        <v>24</v>
      </c>
      <c r="IQ92" s="529">
        <v>25</v>
      </c>
      <c r="IR92" s="529">
        <v>26</v>
      </c>
      <c r="IS92" s="529">
        <v>27</v>
      </c>
      <c r="IT92" s="529">
        <v>28</v>
      </c>
      <c r="IU92" s="529">
        <v>29</v>
      </c>
      <c r="IV92" s="529">
        <v>30</v>
      </c>
      <c r="IY92" s="529" t="str">
        <f>IFERROR(IF(COUNTIF(Pedidos!$J:$J,IQ$2)&gt;IA92-1,MATCH(IQ$2,Pedidos!$J:$J,0),""),"")</f>
        <v/>
      </c>
      <c r="IZ92" s="529">
        <f>IFERROR(IF(IY92="",0,COUNTIF(Pedidos!$J:$J,Procesos!IQ$2)),"")</f>
        <v>0</v>
      </c>
    </row>
    <row r="93" spans="1:260" ht="15.75" thickBot="1" x14ac:dyDescent="0.3">
      <c r="A93" s="529">
        <v>5</v>
      </c>
      <c r="B93" s="529"/>
      <c r="C93" s="529"/>
      <c r="D93" s="529"/>
      <c r="E93" s="529"/>
      <c r="F93" s="529"/>
      <c r="G93" s="529"/>
      <c r="H93" s="529"/>
      <c r="I93" s="529"/>
      <c r="J93" s="529">
        <v>18</v>
      </c>
      <c r="K93" s="529">
        <v>19</v>
      </c>
      <c r="L93" s="529">
        <v>20</v>
      </c>
      <c r="M93" s="529">
        <v>21</v>
      </c>
      <c r="N93" s="529">
        <v>22</v>
      </c>
      <c r="O93" s="529">
        <v>23</v>
      </c>
      <c r="P93" s="529">
        <v>24</v>
      </c>
      <c r="Q93" s="529">
        <v>25</v>
      </c>
      <c r="R93" s="529">
        <v>26</v>
      </c>
      <c r="S93" s="529">
        <v>27</v>
      </c>
      <c r="T93" s="529">
        <v>28</v>
      </c>
      <c r="U93" s="529">
        <v>29</v>
      </c>
      <c r="V93" s="529">
        <v>30</v>
      </c>
      <c r="W93" s="529"/>
      <c r="X93" s="529"/>
      <c r="Y93" s="529" t="str">
        <f>IFERROR(IF(COUNTIF(Pedidos!$J:$J,Q$2)&gt;A93-1,MATCH(Q$2,Pedidos!$J:$J,0),""),"")</f>
        <v/>
      </c>
      <c r="Z93" s="529">
        <f>IFERROR(IF(Y93="",0,COUNTIF(Pedidos!$J:$J,Procesos!Q$2)),"")</f>
        <v>0</v>
      </c>
      <c r="AA93" s="529">
        <v>5</v>
      </c>
      <c r="AB93" s="529"/>
      <c r="AC93" s="529"/>
      <c r="AD93" s="529"/>
      <c r="AE93" s="529"/>
      <c r="AF93" s="529"/>
      <c r="AG93" s="529"/>
      <c r="AH93" s="529"/>
      <c r="AI93" s="529"/>
      <c r="AJ93" s="529">
        <v>18</v>
      </c>
      <c r="AK93" s="529">
        <v>19</v>
      </c>
      <c r="AL93" s="529">
        <v>20</v>
      </c>
      <c r="AM93" s="529">
        <v>21</v>
      </c>
      <c r="AN93" s="529">
        <v>22</v>
      </c>
      <c r="AO93" s="529">
        <v>23</v>
      </c>
      <c r="AP93" s="529">
        <v>24</v>
      </c>
      <c r="AQ93" s="529">
        <v>25</v>
      </c>
      <c r="AR93" s="529">
        <v>26</v>
      </c>
      <c r="AS93" s="529">
        <v>27</v>
      </c>
      <c r="AT93" s="529">
        <v>28</v>
      </c>
      <c r="AU93" s="529">
        <v>29</v>
      </c>
      <c r="AV93" s="529">
        <v>30</v>
      </c>
      <c r="AW93" s="529"/>
      <c r="AX93" s="529"/>
      <c r="AY93" s="529" t="str">
        <f>IFERROR(IF(COUNTIF(Pedidos!$J:$J,AQ$2)&gt;AA93-1,MATCH(AQ$2,Pedidos!$J:$J,0),""),"")</f>
        <v/>
      </c>
      <c r="AZ93" s="529">
        <f>IFERROR(IF(AY93="",0,COUNTIF(Pedidos!$J:$J,Procesos!AQ$2)),"")</f>
        <v>0</v>
      </c>
      <c r="BA93" s="529">
        <v>5</v>
      </c>
      <c r="BB93" s="529"/>
      <c r="BC93" s="529"/>
      <c r="BD93" s="529"/>
      <c r="BE93" s="529"/>
      <c r="BF93" s="529"/>
      <c r="BG93" s="529"/>
      <c r="BH93" s="529"/>
      <c r="BI93" s="529"/>
      <c r="BJ93" s="529">
        <v>18</v>
      </c>
      <c r="BK93" s="529">
        <v>19</v>
      </c>
      <c r="BL93" s="529">
        <v>20</v>
      </c>
      <c r="BM93" s="529">
        <v>21</v>
      </c>
      <c r="BN93" s="529">
        <v>22</v>
      </c>
      <c r="BO93" s="529">
        <v>23</v>
      </c>
      <c r="BP93" s="529">
        <v>24</v>
      </c>
      <c r="BQ93" s="529">
        <v>25</v>
      </c>
      <c r="BR93" s="529">
        <v>26</v>
      </c>
      <c r="BS93" s="529">
        <v>27</v>
      </c>
      <c r="BT93" s="529">
        <v>28</v>
      </c>
      <c r="BU93" s="529">
        <v>29</v>
      </c>
      <c r="BV93" s="529">
        <v>30</v>
      </c>
      <c r="BW93" s="529"/>
      <c r="BX93" s="529"/>
      <c r="BY93" s="529" t="str">
        <f>IFERROR(IF(COUNTIF(Pedidos!$J:$J,BQ$2)&gt;BA93-1,MATCH(BQ$2,Pedidos!$J:$J,0),""),"")</f>
        <v/>
      </c>
      <c r="BZ93" s="529">
        <f>IFERROR(IF(BY93="",0,COUNTIF(Pedidos!$J:$J,Procesos!BQ$2)),"")</f>
        <v>0</v>
      </c>
      <c r="CA93" s="529">
        <v>5</v>
      </c>
      <c r="CB93" s="529"/>
      <c r="CC93" s="529"/>
      <c r="CD93" s="529"/>
      <c r="CE93" s="529"/>
      <c r="CF93" s="529"/>
      <c r="CG93" s="529"/>
      <c r="CH93" s="529"/>
      <c r="CI93" s="529"/>
      <c r="CJ93" s="529">
        <v>18</v>
      </c>
      <c r="CK93" s="529">
        <v>19</v>
      </c>
      <c r="CL93" s="529">
        <v>20</v>
      </c>
      <c r="CM93" s="529">
        <v>21</v>
      </c>
      <c r="CN93" s="529">
        <v>22</v>
      </c>
      <c r="CO93" s="529">
        <v>23</v>
      </c>
      <c r="CP93" s="529">
        <v>24</v>
      </c>
      <c r="CQ93" s="529">
        <v>25</v>
      </c>
      <c r="CR93" s="529">
        <v>26</v>
      </c>
      <c r="CS93" s="529">
        <v>27</v>
      </c>
      <c r="CT93" s="529">
        <v>28</v>
      </c>
      <c r="CU93" s="529">
        <v>29</v>
      </c>
      <c r="CV93" s="529">
        <v>30</v>
      </c>
      <c r="CW93" s="529"/>
      <c r="CX93" s="529"/>
      <c r="CY93" s="529" t="str">
        <f>IFERROR(IF(COUNTIF(Pedidos!$J:$J,CQ$2)&gt;CA93-1,MATCH(CQ$2,Pedidos!$J:$J,0),""),"")</f>
        <v/>
      </c>
      <c r="CZ93" s="529">
        <f>IFERROR(IF(CY93="",0,COUNTIF(Pedidos!$J:$J,Procesos!CQ$2)),"")</f>
        <v>0</v>
      </c>
      <c r="DA93" s="529">
        <v>5</v>
      </c>
      <c r="DB93" s="529"/>
      <c r="DC93" s="529"/>
      <c r="DD93" s="529"/>
      <c r="DE93" s="529"/>
      <c r="DF93" s="529"/>
      <c r="DG93" s="529"/>
      <c r="DH93" s="529"/>
      <c r="DI93" s="529"/>
      <c r="DJ93" s="529">
        <v>18</v>
      </c>
      <c r="DK93" s="529">
        <v>19</v>
      </c>
      <c r="DL93" s="529">
        <v>20</v>
      </c>
      <c r="DM93" s="529">
        <v>21</v>
      </c>
      <c r="DN93" s="529">
        <v>22</v>
      </c>
      <c r="DO93" s="529">
        <v>23</v>
      </c>
      <c r="DP93" s="529">
        <v>24</v>
      </c>
      <c r="DQ93" s="529">
        <v>25</v>
      </c>
      <c r="DR93" s="529">
        <v>26</v>
      </c>
      <c r="DS93" s="529">
        <v>27</v>
      </c>
      <c r="DT93" s="529">
        <v>28</v>
      </c>
      <c r="DU93" s="529">
        <v>29</v>
      </c>
      <c r="DV93" s="529">
        <v>30</v>
      </c>
      <c r="DW93" s="529"/>
      <c r="DX93" s="529"/>
      <c r="DY93" s="529" t="str">
        <f>IFERROR(IF(COUNTIF(Pedidos!$J:$J,DQ$2)&gt;DA93-1,MATCH(DQ$2,Pedidos!$J:$J,0),""),"")</f>
        <v/>
      </c>
      <c r="DZ93" s="529">
        <f>IFERROR(IF(DY93="",0,COUNTIF(Pedidos!$J:$J,Procesos!DQ$2)),"")</f>
        <v>0</v>
      </c>
      <c r="EA93" s="529">
        <v>5</v>
      </c>
      <c r="EB93" s="529"/>
      <c r="EC93" s="529"/>
      <c r="ED93" s="529"/>
      <c r="EE93" s="529"/>
      <c r="EF93" s="529"/>
      <c r="EG93" s="529"/>
      <c r="EH93" s="529"/>
      <c r="EI93" s="529"/>
      <c r="EJ93" s="529">
        <v>18</v>
      </c>
      <c r="EK93" s="529">
        <v>19</v>
      </c>
      <c r="EL93" s="529">
        <v>20</v>
      </c>
      <c r="EM93" s="529">
        <v>21</v>
      </c>
      <c r="EN93" s="529">
        <v>22</v>
      </c>
      <c r="EO93" s="529">
        <v>23</v>
      </c>
      <c r="EP93" s="529">
        <v>24</v>
      </c>
      <c r="EQ93" s="529">
        <v>25</v>
      </c>
      <c r="ER93" s="529">
        <v>26</v>
      </c>
      <c r="ES93" s="529">
        <v>27</v>
      </c>
      <c r="ET93" s="529">
        <v>28</v>
      </c>
      <c r="EU93" s="529">
        <v>29</v>
      </c>
      <c r="EV93" s="529">
        <v>30</v>
      </c>
      <c r="EW93" s="529"/>
      <c r="EX93" s="529"/>
      <c r="EY93" s="529" t="str">
        <f>IFERROR(IF(COUNTIF(Pedidos!$J:$J,EQ$2)&gt;EA93-1,MATCH(EQ$2,Pedidos!$J:$J,0),""),"")</f>
        <v/>
      </c>
      <c r="EZ93" s="529">
        <f>IFERROR(IF(EY93="",0,COUNTIF(Pedidos!$J:$J,Procesos!EQ$2)),"")</f>
        <v>0</v>
      </c>
      <c r="FA93" s="529">
        <v>5</v>
      </c>
      <c r="FB93" s="529"/>
      <c r="FC93" s="529"/>
      <c r="FD93" s="529"/>
      <c r="FE93" s="529"/>
      <c r="FF93" s="529"/>
      <c r="FG93" s="529"/>
      <c r="FH93" s="529"/>
      <c r="FI93" s="529"/>
      <c r="FJ93" s="529">
        <v>18</v>
      </c>
      <c r="FK93" s="529">
        <v>19</v>
      </c>
      <c r="FL93" s="529">
        <v>20</v>
      </c>
      <c r="FM93" s="529">
        <v>21</v>
      </c>
      <c r="FN93" s="529">
        <v>22</v>
      </c>
      <c r="FO93" s="529">
        <v>23</v>
      </c>
      <c r="FP93" s="529">
        <v>24</v>
      </c>
      <c r="FQ93" s="529">
        <v>25</v>
      </c>
      <c r="FR93" s="529">
        <v>26</v>
      </c>
      <c r="FS93" s="529">
        <v>27</v>
      </c>
      <c r="FT93" s="529">
        <v>28</v>
      </c>
      <c r="FU93" s="529">
        <v>29</v>
      </c>
      <c r="FV93" s="529">
        <v>30</v>
      </c>
      <c r="FW93" s="529"/>
      <c r="FX93" s="529"/>
      <c r="FY93" s="529" t="str">
        <f>IFERROR(IF(COUNTIF(Pedidos!$J:$J,FQ$2)&gt;FA93-1,MATCH(FQ$2,Pedidos!$J:$J,0),""),"")</f>
        <v/>
      </c>
      <c r="FZ93" s="529">
        <f>IFERROR(IF(FY93="",0,COUNTIF(Pedidos!$J:$J,Procesos!FQ$2)),"")</f>
        <v>0</v>
      </c>
      <c r="GA93" s="529">
        <v>5</v>
      </c>
      <c r="GB93" s="529"/>
      <c r="GC93" s="529"/>
      <c r="GD93" s="529"/>
      <c r="GE93" s="529"/>
      <c r="GF93" s="529"/>
      <c r="GG93" s="529"/>
      <c r="GH93" s="529"/>
      <c r="GI93" s="529"/>
      <c r="GJ93" s="529">
        <v>18</v>
      </c>
      <c r="GK93" s="529">
        <v>19</v>
      </c>
      <c r="GL93" s="529">
        <v>20</v>
      </c>
      <c r="GM93" s="529">
        <v>21</v>
      </c>
      <c r="GN93" s="529">
        <v>22</v>
      </c>
      <c r="GO93" s="529">
        <v>23</v>
      </c>
      <c r="GP93" s="529">
        <v>24</v>
      </c>
      <c r="GQ93" s="529">
        <v>25</v>
      </c>
      <c r="GR93" s="529">
        <v>26</v>
      </c>
      <c r="GS93" s="529">
        <v>27</v>
      </c>
      <c r="GT93" s="529">
        <v>28</v>
      </c>
      <c r="GU93" s="529">
        <v>29</v>
      </c>
      <c r="GV93" s="529">
        <v>30</v>
      </c>
      <c r="GW93" s="529"/>
      <c r="GX93" s="529"/>
      <c r="GY93" s="529" t="str">
        <f>IFERROR(IF(COUNTIF(Pedidos!$J:$J,GQ$2)&gt;GA93-1,MATCH(GQ$2,Pedidos!$J:$J,0),""),"")</f>
        <v/>
      </c>
      <c r="GZ93" s="529">
        <f>IFERROR(IF(GY93="",0,COUNTIF(Pedidos!$J:$J,Procesos!GQ$2)),"")</f>
        <v>0</v>
      </c>
      <c r="HA93" s="529">
        <v>5</v>
      </c>
      <c r="HB93" s="529"/>
      <c r="HC93" s="529"/>
      <c r="HD93" s="529"/>
      <c r="HE93" s="529"/>
      <c r="HF93" s="529"/>
      <c r="HG93" s="529"/>
      <c r="HH93" s="529"/>
      <c r="HI93" s="529"/>
      <c r="HJ93" s="529">
        <v>18</v>
      </c>
      <c r="HK93" s="529">
        <v>19</v>
      </c>
      <c r="HL93" s="529">
        <v>20</v>
      </c>
      <c r="HM93" s="529">
        <v>21</v>
      </c>
      <c r="HN93" s="529">
        <v>22</v>
      </c>
      <c r="HO93" s="529">
        <v>23</v>
      </c>
      <c r="HP93" s="529">
        <v>24</v>
      </c>
      <c r="HQ93" s="529">
        <v>25</v>
      </c>
      <c r="HR93" s="529">
        <v>26</v>
      </c>
      <c r="HS93" s="529">
        <v>27</v>
      </c>
      <c r="HT93" s="529">
        <v>28</v>
      </c>
      <c r="HU93" s="529">
        <v>29</v>
      </c>
      <c r="HV93" s="529">
        <v>30</v>
      </c>
      <c r="HW93" s="529"/>
      <c r="HX93" s="529"/>
      <c r="HY93" s="529" t="str">
        <f>IFERROR(IF(COUNTIF(Pedidos!$J:$J,HQ$2)&gt;HA93-1,MATCH(HQ$2,Pedidos!$J:$J,0),""),"")</f>
        <v/>
      </c>
      <c r="HZ93" s="529">
        <f>IFERROR(IF(HY93="",0,COUNTIF(Pedidos!$J:$J,Procesos!HQ$2)),"")</f>
        <v>0</v>
      </c>
      <c r="IA93" s="529">
        <v>5</v>
      </c>
      <c r="IB93" s="529"/>
      <c r="IC93" s="529"/>
      <c r="ID93" s="529"/>
      <c r="IE93" s="529"/>
      <c r="IF93" s="529"/>
      <c r="IG93" s="529"/>
      <c r="IH93" s="529"/>
      <c r="II93" s="529"/>
      <c r="IJ93" s="529">
        <v>18</v>
      </c>
      <c r="IK93" s="529">
        <v>19</v>
      </c>
      <c r="IL93" s="529">
        <v>20</v>
      </c>
      <c r="IM93" s="529">
        <v>21</v>
      </c>
      <c r="IN93" s="529">
        <v>22</v>
      </c>
      <c r="IO93" s="529">
        <v>23</v>
      </c>
      <c r="IP93" s="529">
        <v>24</v>
      </c>
      <c r="IQ93" s="529">
        <v>25</v>
      </c>
      <c r="IR93" s="529">
        <v>26</v>
      </c>
      <c r="IS93" s="529">
        <v>27</v>
      </c>
      <c r="IT93" s="529">
        <v>28</v>
      </c>
      <c r="IU93" s="529">
        <v>29</v>
      </c>
      <c r="IV93" s="529">
        <v>30</v>
      </c>
      <c r="IW93" s="529"/>
      <c r="IX93" s="529"/>
      <c r="IY93" s="529" t="str">
        <f>IFERROR(IF(COUNTIF(Pedidos!$J:$J,IQ$2)&gt;IA93-1,MATCH(IQ$2,Pedidos!$J:$J,0),""),"")</f>
        <v/>
      </c>
      <c r="IZ93" s="529">
        <f>IFERROR(IF(IY93="",0,COUNTIF(Pedidos!$J:$J,Procesos!IQ$2)),"")</f>
        <v>0</v>
      </c>
    </row>
    <row r="94" spans="1:260" x14ac:dyDescent="0.25">
      <c r="A94" s="815" t="str">
        <f>IF(Z93&gt;=A93,Q$2 &amp;"     ITEM # "&amp;A93,"")</f>
        <v/>
      </c>
      <c r="B94" s="816"/>
      <c r="C94" s="816"/>
      <c r="D94" s="816"/>
      <c r="E94" s="816"/>
      <c r="F94" s="816"/>
      <c r="G94" s="816"/>
      <c r="H94" s="816"/>
      <c r="I94" s="817"/>
      <c r="J94" s="818" t="str">
        <f>IF(Z93&gt;=A93,$J$6,"")</f>
        <v/>
      </c>
      <c r="K94" s="816"/>
      <c r="L94" s="816"/>
      <c r="M94" s="816"/>
      <c r="N94" s="816"/>
      <c r="O94" s="816"/>
      <c r="P94" s="816"/>
      <c r="Q94" s="816"/>
      <c r="R94" s="816"/>
      <c r="S94" s="816"/>
      <c r="T94" s="816"/>
      <c r="U94" s="816"/>
      <c r="V94" s="816"/>
      <c r="W94" s="816"/>
      <c r="X94" s="816"/>
      <c r="Y94" s="816"/>
      <c r="Z94" s="819"/>
      <c r="AA94" s="815" t="str">
        <f>IF(AZ93&gt;=AA93,AQ$2 &amp;"     ITEM # "&amp;AA93,"")</f>
        <v/>
      </c>
      <c r="AB94" s="816"/>
      <c r="AC94" s="816"/>
      <c r="AD94" s="816"/>
      <c r="AE94" s="816"/>
      <c r="AF94" s="816"/>
      <c r="AG94" s="816"/>
      <c r="AH94" s="816"/>
      <c r="AI94" s="817"/>
      <c r="AJ94" s="818" t="str">
        <f>IF(AZ93&gt;=AA93,$J$6,"")</f>
        <v/>
      </c>
      <c r="AK94" s="816"/>
      <c r="AL94" s="816"/>
      <c r="AM94" s="816"/>
      <c r="AN94" s="816"/>
      <c r="AO94" s="816"/>
      <c r="AP94" s="816"/>
      <c r="AQ94" s="816"/>
      <c r="AR94" s="816"/>
      <c r="AS94" s="816"/>
      <c r="AT94" s="816"/>
      <c r="AU94" s="816"/>
      <c r="AV94" s="816"/>
      <c r="AW94" s="816"/>
      <c r="AX94" s="816"/>
      <c r="AY94" s="816"/>
      <c r="AZ94" s="819"/>
      <c r="BA94" s="815" t="str">
        <f>IF(BZ93&gt;=BA93,BQ$2 &amp;"     ITEM # "&amp;BA93,"")</f>
        <v/>
      </c>
      <c r="BB94" s="816"/>
      <c r="BC94" s="816"/>
      <c r="BD94" s="816"/>
      <c r="BE94" s="816"/>
      <c r="BF94" s="816"/>
      <c r="BG94" s="816"/>
      <c r="BH94" s="816"/>
      <c r="BI94" s="817"/>
      <c r="BJ94" s="818" t="str">
        <f>IF(BZ93&gt;=BA93,$J$6,"")</f>
        <v/>
      </c>
      <c r="BK94" s="816"/>
      <c r="BL94" s="816"/>
      <c r="BM94" s="816"/>
      <c r="BN94" s="816"/>
      <c r="BO94" s="816"/>
      <c r="BP94" s="816"/>
      <c r="BQ94" s="816"/>
      <c r="BR94" s="816"/>
      <c r="BS94" s="816"/>
      <c r="BT94" s="816"/>
      <c r="BU94" s="816"/>
      <c r="BV94" s="816"/>
      <c r="BW94" s="816"/>
      <c r="BX94" s="816"/>
      <c r="BY94" s="816"/>
      <c r="BZ94" s="819"/>
      <c r="CA94" s="815" t="str">
        <f>IF(CZ93&gt;=CA93,CQ$2 &amp;"     ITEM # "&amp;CA93,"")</f>
        <v/>
      </c>
      <c r="CB94" s="816"/>
      <c r="CC94" s="816"/>
      <c r="CD94" s="816"/>
      <c r="CE94" s="816"/>
      <c r="CF94" s="816"/>
      <c r="CG94" s="816"/>
      <c r="CH94" s="816"/>
      <c r="CI94" s="817"/>
      <c r="CJ94" s="818" t="str">
        <f>IF(CZ93&gt;=CA93,$J$6,"")</f>
        <v/>
      </c>
      <c r="CK94" s="816"/>
      <c r="CL94" s="816"/>
      <c r="CM94" s="816"/>
      <c r="CN94" s="816"/>
      <c r="CO94" s="816"/>
      <c r="CP94" s="816"/>
      <c r="CQ94" s="816"/>
      <c r="CR94" s="816"/>
      <c r="CS94" s="816"/>
      <c r="CT94" s="816"/>
      <c r="CU94" s="816"/>
      <c r="CV94" s="816"/>
      <c r="CW94" s="816"/>
      <c r="CX94" s="816"/>
      <c r="CY94" s="816"/>
      <c r="CZ94" s="819"/>
      <c r="DA94" s="815" t="str">
        <f>IF(DZ93&gt;=DA93,DQ$2 &amp;"     ITEM # "&amp;DA93,"")</f>
        <v/>
      </c>
      <c r="DB94" s="816"/>
      <c r="DC94" s="816"/>
      <c r="DD94" s="816"/>
      <c r="DE94" s="816"/>
      <c r="DF94" s="816"/>
      <c r="DG94" s="816"/>
      <c r="DH94" s="816"/>
      <c r="DI94" s="817"/>
      <c r="DJ94" s="818" t="str">
        <f>IF(DZ93&gt;=DA93,$J$6,"")</f>
        <v/>
      </c>
      <c r="DK94" s="816"/>
      <c r="DL94" s="816"/>
      <c r="DM94" s="816"/>
      <c r="DN94" s="816"/>
      <c r="DO94" s="816"/>
      <c r="DP94" s="816"/>
      <c r="DQ94" s="816"/>
      <c r="DR94" s="816"/>
      <c r="DS94" s="816"/>
      <c r="DT94" s="816"/>
      <c r="DU94" s="816"/>
      <c r="DV94" s="816"/>
      <c r="DW94" s="816"/>
      <c r="DX94" s="816"/>
      <c r="DY94" s="816"/>
      <c r="DZ94" s="819"/>
      <c r="EA94" s="815" t="str">
        <f>IF(EZ93&gt;=EA93,EQ$2 &amp;"     ITEM # "&amp;EA93,"")</f>
        <v/>
      </c>
      <c r="EB94" s="816"/>
      <c r="EC94" s="816"/>
      <c r="ED94" s="816"/>
      <c r="EE94" s="816"/>
      <c r="EF94" s="816"/>
      <c r="EG94" s="816"/>
      <c r="EH94" s="816"/>
      <c r="EI94" s="817"/>
      <c r="EJ94" s="818" t="str">
        <f>IF(EZ93&gt;=EA93,$J$6,"")</f>
        <v/>
      </c>
      <c r="EK94" s="816"/>
      <c r="EL94" s="816"/>
      <c r="EM94" s="816"/>
      <c r="EN94" s="816"/>
      <c r="EO94" s="816"/>
      <c r="EP94" s="816"/>
      <c r="EQ94" s="816"/>
      <c r="ER94" s="816"/>
      <c r="ES94" s="816"/>
      <c r="ET94" s="816"/>
      <c r="EU94" s="816"/>
      <c r="EV94" s="816"/>
      <c r="EW94" s="816"/>
      <c r="EX94" s="816"/>
      <c r="EY94" s="816"/>
      <c r="EZ94" s="819"/>
      <c r="FA94" s="815" t="str">
        <f>IF(FZ93&gt;=FA93,FQ$2 &amp;"     ITEM # "&amp;FA93,"")</f>
        <v/>
      </c>
      <c r="FB94" s="816"/>
      <c r="FC94" s="816"/>
      <c r="FD94" s="816"/>
      <c r="FE94" s="816"/>
      <c r="FF94" s="816"/>
      <c r="FG94" s="816"/>
      <c r="FH94" s="816"/>
      <c r="FI94" s="817"/>
      <c r="FJ94" s="818" t="str">
        <f>IF(FZ93&gt;=FA93,$J$6,"")</f>
        <v/>
      </c>
      <c r="FK94" s="816"/>
      <c r="FL94" s="816"/>
      <c r="FM94" s="816"/>
      <c r="FN94" s="816"/>
      <c r="FO94" s="816"/>
      <c r="FP94" s="816"/>
      <c r="FQ94" s="816"/>
      <c r="FR94" s="816"/>
      <c r="FS94" s="816"/>
      <c r="FT94" s="816"/>
      <c r="FU94" s="816"/>
      <c r="FV94" s="816"/>
      <c r="FW94" s="816"/>
      <c r="FX94" s="816"/>
      <c r="FY94" s="816"/>
      <c r="FZ94" s="819"/>
      <c r="GA94" s="815" t="str">
        <f>IF(GZ93&gt;=GA93,GQ$2 &amp;"     ITEM # "&amp;GA93,"")</f>
        <v/>
      </c>
      <c r="GB94" s="816"/>
      <c r="GC94" s="816"/>
      <c r="GD94" s="816"/>
      <c r="GE94" s="816"/>
      <c r="GF94" s="816"/>
      <c r="GG94" s="816"/>
      <c r="GH94" s="816"/>
      <c r="GI94" s="817"/>
      <c r="GJ94" s="818" t="str">
        <f>IF(GZ93&gt;=GA93,$J$6,"")</f>
        <v/>
      </c>
      <c r="GK94" s="816"/>
      <c r="GL94" s="816"/>
      <c r="GM94" s="816"/>
      <c r="GN94" s="816"/>
      <c r="GO94" s="816"/>
      <c r="GP94" s="816"/>
      <c r="GQ94" s="816"/>
      <c r="GR94" s="816"/>
      <c r="GS94" s="816"/>
      <c r="GT94" s="816"/>
      <c r="GU94" s="816"/>
      <c r="GV94" s="816"/>
      <c r="GW94" s="816"/>
      <c r="GX94" s="816"/>
      <c r="GY94" s="816"/>
      <c r="GZ94" s="819"/>
      <c r="HA94" s="815" t="str">
        <f>IF(HZ93&gt;=HA93,HQ$2 &amp;"     ITEM # "&amp;HA93,"")</f>
        <v/>
      </c>
      <c r="HB94" s="816"/>
      <c r="HC94" s="816"/>
      <c r="HD94" s="816"/>
      <c r="HE94" s="816"/>
      <c r="HF94" s="816"/>
      <c r="HG94" s="816"/>
      <c r="HH94" s="816"/>
      <c r="HI94" s="817"/>
      <c r="HJ94" s="818" t="str">
        <f>IF(HZ93&gt;=HA93,$J$6,"")</f>
        <v/>
      </c>
      <c r="HK94" s="816"/>
      <c r="HL94" s="816"/>
      <c r="HM94" s="816"/>
      <c r="HN94" s="816"/>
      <c r="HO94" s="816"/>
      <c r="HP94" s="816"/>
      <c r="HQ94" s="816"/>
      <c r="HR94" s="816"/>
      <c r="HS94" s="816"/>
      <c r="HT94" s="816"/>
      <c r="HU94" s="816"/>
      <c r="HV94" s="816"/>
      <c r="HW94" s="816"/>
      <c r="HX94" s="816"/>
      <c r="HY94" s="816"/>
      <c r="HZ94" s="819"/>
      <c r="IA94" s="815" t="str">
        <f>IF(IZ93&gt;=IA93,IQ$2 &amp;"     ITEM # "&amp;IA93,"")</f>
        <v/>
      </c>
      <c r="IB94" s="816"/>
      <c r="IC94" s="816"/>
      <c r="ID94" s="816"/>
      <c r="IE94" s="816"/>
      <c r="IF94" s="816"/>
      <c r="IG94" s="816"/>
      <c r="IH94" s="816"/>
      <c r="II94" s="817"/>
      <c r="IJ94" s="818" t="str">
        <f>IF(IZ93&gt;=IA93,$J$6,"")</f>
        <v/>
      </c>
      <c r="IK94" s="816"/>
      <c r="IL94" s="816"/>
      <c r="IM94" s="816"/>
      <c r="IN94" s="816"/>
      <c r="IO94" s="816"/>
      <c r="IP94" s="816"/>
      <c r="IQ94" s="816"/>
      <c r="IR94" s="816"/>
      <c r="IS94" s="816"/>
      <c r="IT94" s="816"/>
      <c r="IU94" s="816"/>
      <c r="IV94" s="816"/>
      <c r="IW94" s="816"/>
      <c r="IX94" s="816"/>
      <c r="IY94" s="816"/>
      <c r="IZ94" s="819"/>
    </row>
    <row r="95" spans="1:260" x14ac:dyDescent="0.25">
      <c r="A95" s="848" t="str">
        <f>IFERROR(INDEX(Lista_Pedidos,Procesos!Y93+A93-1,5),"")</f>
        <v/>
      </c>
      <c r="B95" s="843"/>
      <c r="C95" s="843"/>
      <c r="D95" s="843"/>
      <c r="E95" s="843"/>
      <c r="F95" s="843"/>
      <c r="G95" s="843"/>
      <c r="H95" s="843"/>
      <c r="I95" s="844"/>
      <c r="J95" s="842" t="str">
        <f>IF(Z93&gt;=A93,$J$7,"")</f>
        <v/>
      </c>
      <c r="K95" s="843"/>
      <c r="L95" s="844"/>
      <c r="M95" s="842" t="str">
        <f>IF(Z93&gt;=A93,$M$7,"")</f>
        <v/>
      </c>
      <c r="N95" s="843"/>
      <c r="O95" s="844"/>
      <c r="P95" s="842" t="str">
        <f>IF(Z93&gt;=A93,$P$7,"")</f>
        <v/>
      </c>
      <c r="Q95" s="843"/>
      <c r="R95" s="843"/>
      <c r="S95" s="843"/>
      <c r="T95" s="843"/>
      <c r="U95" s="844"/>
      <c r="V95" s="834" t="str">
        <f>IF(Z93&gt;=A93,$V$7,"")</f>
        <v/>
      </c>
      <c r="W95" s="842" t="str">
        <f>IF(Z93&gt;=A93,$W$7,"")</f>
        <v/>
      </c>
      <c r="X95" s="843"/>
      <c r="Y95" s="843"/>
      <c r="Z95" s="850"/>
      <c r="AA95" s="848" t="str">
        <f>IFERROR(INDEX(Lista_Pedidos,Procesos!AY93+AA93-1,5),"")</f>
        <v/>
      </c>
      <c r="AB95" s="843"/>
      <c r="AC95" s="843"/>
      <c r="AD95" s="843"/>
      <c r="AE95" s="843"/>
      <c r="AF95" s="843"/>
      <c r="AG95" s="843"/>
      <c r="AH95" s="843"/>
      <c r="AI95" s="844"/>
      <c r="AJ95" s="842" t="str">
        <f>IF(AZ93&gt;=AA93,$J$7,"")</f>
        <v/>
      </c>
      <c r="AK95" s="843"/>
      <c r="AL95" s="844"/>
      <c r="AM95" s="842" t="str">
        <f>IF(AZ93&gt;=AA93,$M$7,"")</f>
        <v/>
      </c>
      <c r="AN95" s="843"/>
      <c r="AO95" s="844"/>
      <c r="AP95" s="842" t="str">
        <f>IF(AZ93&gt;=AA93,$P$7,"")</f>
        <v/>
      </c>
      <c r="AQ95" s="843"/>
      <c r="AR95" s="843"/>
      <c r="AS95" s="843"/>
      <c r="AT95" s="843"/>
      <c r="AU95" s="844"/>
      <c r="AV95" s="834" t="str">
        <f>IF(AZ93&gt;=AA93,$V$7,"")</f>
        <v/>
      </c>
      <c r="AW95" s="842" t="str">
        <f>IF(AZ93&gt;=AA93,$W$7,"")</f>
        <v/>
      </c>
      <c r="AX95" s="843"/>
      <c r="AY95" s="843"/>
      <c r="AZ95" s="850"/>
      <c r="BA95" s="848" t="str">
        <f>IFERROR(INDEX(Lista_Pedidos,Procesos!BY93+BA93-1,5),"")</f>
        <v/>
      </c>
      <c r="BB95" s="843"/>
      <c r="BC95" s="843"/>
      <c r="BD95" s="843"/>
      <c r="BE95" s="843"/>
      <c r="BF95" s="843"/>
      <c r="BG95" s="843"/>
      <c r="BH95" s="843"/>
      <c r="BI95" s="844"/>
      <c r="BJ95" s="842" t="str">
        <f>IF(BZ93&gt;=BA93,$J$7,"")</f>
        <v/>
      </c>
      <c r="BK95" s="843"/>
      <c r="BL95" s="844"/>
      <c r="BM95" s="842" t="str">
        <f>IF(BZ93&gt;=BA93,$M$7,"")</f>
        <v/>
      </c>
      <c r="BN95" s="843"/>
      <c r="BO95" s="844"/>
      <c r="BP95" s="842" t="str">
        <f>IF(BZ93&gt;=BA93,$P$7,"")</f>
        <v/>
      </c>
      <c r="BQ95" s="843"/>
      <c r="BR95" s="843"/>
      <c r="BS95" s="843"/>
      <c r="BT95" s="843"/>
      <c r="BU95" s="844"/>
      <c r="BV95" s="834" t="str">
        <f>IF(BZ93&gt;=BA93,$V$7,"")</f>
        <v/>
      </c>
      <c r="BW95" s="842" t="str">
        <f>IF(BZ93&gt;=BA93,$W$7,"")</f>
        <v/>
      </c>
      <c r="BX95" s="843"/>
      <c r="BY95" s="843"/>
      <c r="BZ95" s="850"/>
      <c r="CA95" s="848" t="str">
        <f>IFERROR(INDEX(Lista_Pedidos,Procesos!CY93+CA93-1,5),"")</f>
        <v/>
      </c>
      <c r="CB95" s="843"/>
      <c r="CC95" s="843"/>
      <c r="CD95" s="843"/>
      <c r="CE95" s="843"/>
      <c r="CF95" s="843"/>
      <c r="CG95" s="843"/>
      <c r="CH95" s="843"/>
      <c r="CI95" s="844"/>
      <c r="CJ95" s="842" t="str">
        <f>IF(CZ93&gt;=CA93,$J$7,"")</f>
        <v/>
      </c>
      <c r="CK95" s="843"/>
      <c r="CL95" s="844"/>
      <c r="CM95" s="842" t="str">
        <f>IF(CZ93&gt;=CA93,$M$7,"")</f>
        <v/>
      </c>
      <c r="CN95" s="843"/>
      <c r="CO95" s="844"/>
      <c r="CP95" s="842" t="str">
        <f>IF(CZ93&gt;=CA93,$P$7,"")</f>
        <v/>
      </c>
      <c r="CQ95" s="843"/>
      <c r="CR95" s="843"/>
      <c r="CS95" s="843"/>
      <c r="CT95" s="843"/>
      <c r="CU95" s="844"/>
      <c r="CV95" s="834" t="str">
        <f>IF(CZ93&gt;=CA93,$V$7,"")</f>
        <v/>
      </c>
      <c r="CW95" s="842" t="str">
        <f>IF(CZ93&gt;=CA93,$W$7,"")</f>
        <v/>
      </c>
      <c r="CX95" s="843"/>
      <c r="CY95" s="843"/>
      <c r="CZ95" s="850"/>
      <c r="DA95" s="848" t="str">
        <f>IFERROR(INDEX(Lista_Pedidos,Procesos!DY93+DA93-1,5),"")</f>
        <v/>
      </c>
      <c r="DB95" s="843"/>
      <c r="DC95" s="843"/>
      <c r="DD95" s="843"/>
      <c r="DE95" s="843"/>
      <c r="DF95" s="843"/>
      <c r="DG95" s="843"/>
      <c r="DH95" s="843"/>
      <c r="DI95" s="844"/>
      <c r="DJ95" s="842" t="str">
        <f>IF(DZ93&gt;=DA93,$J$7,"")</f>
        <v/>
      </c>
      <c r="DK95" s="843"/>
      <c r="DL95" s="844"/>
      <c r="DM95" s="842" t="str">
        <f>IF(DZ93&gt;=DA93,$M$7,"")</f>
        <v/>
      </c>
      <c r="DN95" s="843"/>
      <c r="DO95" s="844"/>
      <c r="DP95" s="842" t="str">
        <f>IF(DZ93&gt;=DA93,$P$7,"")</f>
        <v/>
      </c>
      <c r="DQ95" s="843"/>
      <c r="DR95" s="843"/>
      <c r="DS95" s="843"/>
      <c r="DT95" s="843"/>
      <c r="DU95" s="844"/>
      <c r="DV95" s="834" t="str">
        <f>IF(DZ93&gt;=DA93,$V$7,"")</f>
        <v/>
      </c>
      <c r="DW95" s="842" t="str">
        <f>IF(DZ93&gt;=DA93,$W$7,"")</f>
        <v/>
      </c>
      <c r="DX95" s="843"/>
      <c r="DY95" s="843"/>
      <c r="DZ95" s="850"/>
      <c r="EA95" s="848" t="str">
        <f>IFERROR(INDEX(Lista_Pedidos,Procesos!EY93+EA93-1,5),"")</f>
        <v/>
      </c>
      <c r="EB95" s="843"/>
      <c r="EC95" s="843"/>
      <c r="ED95" s="843"/>
      <c r="EE95" s="843"/>
      <c r="EF95" s="843"/>
      <c r="EG95" s="843"/>
      <c r="EH95" s="843"/>
      <c r="EI95" s="844"/>
      <c r="EJ95" s="842" t="str">
        <f>IF(EZ93&gt;=EA93,$J$7,"")</f>
        <v/>
      </c>
      <c r="EK95" s="843"/>
      <c r="EL95" s="844"/>
      <c r="EM95" s="842" t="str">
        <f>IF(EZ93&gt;=EA93,$M$7,"")</f>
        <v/>
      </c>
      <c r="EN95" s="843"/>
      <c r="EO95" s="844"/>
      <c r="EP95" s="842" t="str">
        <f>IF(EZ93&gt;=EA93,$P$7,"")</f>
        <v/>
      </c>
      <c r="EQ95" s="843"/>
      <c r="ER95" s="843"/>
      <c r="ES95" s="843"/>
      <c r="ET95" s="843"/>
      <c r="EU95" s="844"/>
      <c r="EV95" s="834" t="str">
        <f>IF(EZ93&gt;=EA93,$V$7,"")</f>
        <v/>
      </c>
      <c r="EW95" s="842" t="str">
        <f>IF(EZ93&gt;=EA93,$W$7,"")</f>
        <v/>
      </c>
      <c r="EX95" s="843"/>
      <c r="EY95" s="843"/>
      <c r="EZ95" s="850"/>
      <c r="FA95" s="848" t="str">
        <f>IFERROR(INDEX(Lista_Pedidos,Procesos!FY93+FA93-1,5),"")</f>
        <v/>
      </c>
      <c r="FB95" s="843"/>
      <c r="FC95" s="843"/>
      <c r="FD95" s="843"/>
      <c r="FE95" s="843"/>
      <c r="FF95" s="843"/>
      <c r="FG95" s="843"/>
      <c r="FH95" s="843"/>
      <c r="FI95" s="844"/>
      <c r="FJ95" s="842" t="str">
        <f>IF(FZ93&gt;=FA93,$J$7,"")</f>
        <v/>
      </c>
      <c r="FK95" s="843"/>
      <c r="FL95" s="844"/>
      <c r="FM95" s="842" t="str">
        <f>IF(FZ93&gt;=FA93,$M$7,"")</f>
        <v/>
      </c>
      <c r="FN95" s="843"/>
      <c r="FO95" s="844"/>
      <c r="FP95" s="842" t="str">
        <f>IF(FZ93&gt;=FA93,$P$7,"")</f>
        <v/>
      </c>
      <c r="FQ95" s="843"/>
      <c r="FR95" s="843"/>
      <c r="FS95" s="843"/>
      <c r="FT95" s="843"/>
      <c r="FU95" s="844"/>
      <c r="FV95" s="834" t="str">
        <f>IF(FZ93&gt;=FA93,$V$7,"")</f>
        <v/>
      </c>
      <c r="FW95" s="842" t="str">
        <f>IF(FZ93&gt;=FA93,$W$7,"")</f>
        <v/>
      </c>
      <c r="FX95" s="843"/>
      <c r="FY95" s="843"/>
      <c r="FZ95" s="850"/>
      <c r="GA95" s="848" t="str">
        <f>IFERROR(INDEX(Lista_Pedidos,Procesos!GY93+GA93-1,5),"")</f>
        <v/>
      </c>
      <c r="GB95" s="843"/>
      <c r="GC95" s="843"/>
      <c r="GD95" s="843"/>
      <c r="GE95" s="843"/>
      <c r="GF95" s="843"/>
      <c r="GG95" s="843"/>
      <c r="GH95" s="843"/>
      <c r="GI95" s="844"/>
      <c r="GJ95" s="842" t="str">
        <f>IF(GZ93&gt;=GA93,$J$7,"")</f>
        <v/>
      </c>
      <c r="GK95" s="843"/>
      <c r="GL95" s="844"/>
      <c r="GM95" s="842" t="str">
        <f>IF(GZ93&gt;=GA93,$M$7,"")</f>
        <v/>
      </c>
      <c r="GN95" s="843"/>
      <c r="GO95" s="844"/>
      <c r="GP95" s="842" t="str">
        <f>IF(GZ93&gt;=GA93,$P$7,"")</f>
        <v/>
      </c>
      <c r="GQ95" s="843"/>
      <c r="GR95" s="843"/>
      <c r="GS95" s="843"/>
      <c r="GT95" s="843"/>
      <c r="GU95" s="844"/>
      <c r="GV95" s="834" t="str">
        <f>IF(GZ93&gt;=GA93,$V$7,"")</f>
        <v/>
      </c>
      <c r="GW95" s="842" t="str">
        <f>IF(GZ93&gt;=GA93,$W$7,"")</f>
        <v/>
      </c>
      <c r="GX95" s="843"/>
      <c r="GY95" s="843"/>
      <c r="GZ95" s="850"/>
      <c r="HA95" s="848" t="str">
        <f>IFERROR(INDEX(Lista_Pedidos,Procesos!HY93+HA93-1,5),"")</f>
        <v/>
      </c>
      <c r="HB95" s="843"/>
      <c r="HC95" s="843"/>
      <c r="HD95" s="843"/>
      <c r="HE95" s="843"/>
      <c r="HF95" s="843"/>
      <c r="HG95" s="843"/>
      <c r="HH95" s="843"/>
      <c r="HI95" s="844"/>
      <c r="HJ95" s="842" t="str">
        <f>IF(HZ93&gt;=HA93,$J$7,"")</f>
        <v/>
      </c>
      <c r="HK95" s="843"/>
      <c r="HL95" s="844"/>
      <c r="HM95" s="842" t="str">
        <f>IF(HZ93&gt;=HA93,$M$7,"")</f>
        <v/>
      </c>
      <c r="HN95" s="843"/>
      <c r="HO95" s="844"/>
      <c r="HP95" s="842" t="str">
        <f>IF(HZ93&gt;=HA93,$P$7,"")</f>
        <v/>
      </c>
      <c r="HQ95" s="843"/>
      <c r="HR95" s="843"/>
      <c r="HS95" s="843"/>
      <c r="HT95" s="843"/>
      <c r="HU95" s="844"/>
      <c r="HV95" s="834" t="str">
        <f>IF(HZ93&gt;=HA93,$V$7,"")</f>
        <v/>
      </c>
      <c r="HW95" s="842" t="str">
        <f>IF(HZ93&gt;=HA93,$W$7,"")</f>
        <v/>
      </c>
      <c r="HX95" s="843"/>
      <c r="HY95" s="843"/>
      <c r="HZ95" s="850"/>
      <c r="IA95" s="848" t="str">
        <f>IFERROR(INDEX(Lista_Pedidos,Procesos!IY93+IA93-1,5),"")</f>
        <v/>
      </c>
      <c r="IB95" s="843"/>
      <c r="IC95" s="843"/>
      <c r="ID95" s="843"/>
      <c r="IE95" s="843"/>
      <c r="IF95" s="843"/>
      <c r="IG95" s="843"/>
      <c r="IH95" s="843"/>
      <c r="II95" s="844"/>
      <c r="IJ95" s="842" t="str">
        <f>IF(IZ93&gt;=IA93,$J$7,"")</f>
        <v/>
      </c>
      <c r="IK95" s="843"/>
      <c r="IL95" s="844"/>
      <c r="IM95" s="842" t="str">
        <f>IF(IZ93&gt;=IA93,$M$7,"")</f>
        <v/>
      </c>
      <c r="IN95" s="843"/>
      <c r="IO95" s="844"/>
      <c r="IP95" s="842" t="str">
        <f>IF(IZ93&gt;=IA93,$P$7,"")</f>
        <v/>
      </c>
      <c r="IQ95" s="843"/>
      <c r="IR95" s="843"/>
      <c r="IS95" s="843"/>
      <c r="IT95" s="843"/>
      <c r="IU95" s="844"/>
      <c r="IV95" s="834" t="str">
        <f>IF(IZ93&gt;=IA93,$V$7,"")</f>
        <v/>
      </c>
      <c r="IW95" s="842" t="str">
        <f>IF(IZ93&gt;=IA93,$W$7,"")</f>
        <v/>
      </c>
      <c r="IX95" s="843"/>
      <c r="IY95" s="843"/>
      <c r="IZ95" s="850"/>
    </row>
    <row r="96" spans="1:260" ht="15" customHeight="1" x14ac:dyDescent="0.25">
      <c r="A96" s="849"/>
      <c r="B96" s="846"/>
      <c r="C96" s="846"/>
      <c r="D96" s="846"/>
      <c r="E96" s="846"/>
      <c r="F96" s="846"/>
      <c r="G96" s="846"/>
      <c r="H96" s="846"/>
      <c r="I96" s="847"/>
      <c r="J96" s="845"/>
      <c r="K96" s="846"/>
      <c r="L96" s="847"/>
      <c r="M96" s="845"/>
      <c r="N96" s="846"/>
      <c r="O96" s="847"/>
      <c r="P96" s="845"/>
      <c r="Q96" s="846"/>
      <c r="R96" s="846"/>
      <c r="S96" s="846"/>
      <c r="T96" s="846"/>
      <c r="U96" s="847"/>
      <c r="V96" s="835"/>
      <c r="W96" s="845"/>
      <c r="X96" s="846"/>
      <c r="Y96" s="846"/>
      <c r="Z96" s="851"/>
      <c r="AA96" s="849"/>
      <c r="AB96" s="846"/>
      <c r="AC96" s="846"/>
      <c r="AD96" s="846"/>
      <c r="AE96" s="846"/>
      <c r="AF96" s="846"/>
      <c r="AG96" s="846"/>
      <c r="AH96" s="846"/>
      <c r="AI96" s="847"/>
      <c r="AJ96" s="845"/>
      <c r="AK96" s="846"/>
      <c r="AL96" s="847"/>
      <c r="AM96" s="845"/>
      <c r="AN96" s="846"/>
      <c r="AO96" s="847"/>
      <c r="AP96" s="845"/>
      <c r="AQ96" s="846"/>
      <c r="AR96" s="846"/>
      <c r="AS96" s="846"/>
      <c r="AT96" s="846"/>
      <c r="AU96" s="847"/>
      <c r="AV96" s="835"/>
      <c r="AW96" s="845"/>
      <c r="AX96" s="846"/>
      <c r="AY96" s="846"/>
      <c r="AZ96" s="851"/>
      <c r="BA96" s="849"/>
      <c r="BB96" s="846"/>
      <c r="BC96" s="846"/>
      <c r="BD96" s="846"/>
      <c r="BE96" s="846"/>
      <c r="BF96" s="846"/>
      <c r="BG96" s="846"/>
      <c r="BH96" s="846"/>
      <c r="BI96" s="847"/>
      <c r="BJ96" s="845"/>
      <c r="BK96" s="846"/>
      <c r="BL96" s="847"/>
      <c r="BM96" s="845"/>
      <c r="BN96" s="846"/>
      <c r="BO96" s="847"/>
      <c r="BP96" s="845"/>
      <c r="BQ96" s="846"/>
      <c r="BR96" s="846"/>
      <c r="BS96" s="846"/>
      <c r="BT96" s="846"/>
      <c r="BU96" s="847"/>
      <c r="BV96" s="835"/>
      <c r="BW96" s="845"/>
      <c r="BX96" s="846"/>
      <c r="BY96" s="846"/>
      <c r="BZ96" s="851"/>
      <c r="CA96" s="849"/>
      <c r="CB96" s="846"/>
      <c r="CC96" s="846"/>
      <c r="CD96" s="846"/>
      <c r="CE96" s="846"/>
      <c r="CF96" s="846"/>
      <c r="CG96" s="846"/>
      <c r="CH96" s="846"/>
      <c r="CI96" s="847"/>
      <c r="CJ96" s="845"/>
      <c r="CK96" s="846"/>
      <c r="CL96" s="847"/>
      <c r="CM96" s="845"/>
      <c r="CN96" s="846"/>
      <c r="CO96" s="847"/>
      <c r="CP96" s="845"/>
      <c r="CQ96" s="846"/>
      <c r="CR96" s="846"/>
      <c r="CS96" s="846"/>
      <c r="CT96" s="846"/>
      <c r="CU96" s="847"/>
      <c r="CV96" s="835"/>
      <c r="CW96" s="845"/>
      <c r="CX96" s="846"/>
      <c r="CY96" s="846"/>
      <c r="CZ96" s="851"/>
      <c r="DA96" s="849"/>
      <c r="DB96" s="846"/>
      <c r="DC96" s="846"/>
      <c r="DD96" s="846"/>
      <c r="DE96" s="846"/>
      <c r="DF96" s="846"/>
      <c r="DG96" s="846"/>
      <c r="DH96" s="846"/>
      <c r="DI96" s="847"/>
      <c r="DJ96" s="845"/>
      <c r="DK96" s="846"/>
      <c r="DL96" s="847"/>
      <c r="DM96" s="845"/>
      <c r="DN96" s="846"/>
      <c r="DO96" s="847"/>
      <c r="DP96" s="845"/>
      <c r="DQ96" s="846"/>
      <c r="DR96" s="846"/>
      <c r="DS96" s="846"/>
      <c r="DT96" s="846"/>
      <c r="DU96" s="847"/>
      <c r="DV96" s="835"/>
      <c r="DW96" s="845"/>
      <c r="DX96" s="846"/>
      <c r="DY96" s="846"/>
      <c r="DZ96" s="851"/>
      <c r="EA96" s="849"/>
      <c r="EB96" s="846"/>
      <c r="EC96" s="846"/>
      <c r="ED96" s="846"/>
      <c r="EE96" s="846"/>
      <c r="EF96" s="846"/>
      <c r="EG96" s="846"/>
      <c r="EH96" s="846"/>
      <c r="EI96" s="847"/>
      <c r="EJ96" s="845"/>
      <c r="EK96" s="846"/>
      <c r="EL96" s="847"/>
      <c r="EM96" s="845"/>
      <c r="EN96" s="846"/>
      <c r="EO96" s="847"/>
      <c r="EP96" s="845"/>
      <c r="EQ96" s="846"/>
      <c r="ER96" s="846"/>
      <c r="ES96" s="846"/>
      <c r="ET96" s="846"/>
      <c r="EU96" s="847"/>
      <c r="EV96" s="835"/>
      <c r="EW96" s="845"/>
      <c r="EX96" s="846"/>
      <c r="EY96" s="846"/>
      <c r="EZ96" s="851"/>
      <c r="FA96" s="849"/>
      <c r="FB96" s="846"/>
      <c r="FC96" s="846"/>
      <c r="FD96" s="846"/>
      <c r="FE96" s="846"/>
      <c r="FF96" s="846"/>
      <c r="FG96" s="846"/>
      <c r="FH96" s="846"/>
      <c r="FI96" s="847"/>
      <c r="FJ96" s="845"/>
      <c r="FK96" s="846"/>
      <c r="FL96" s="847"/>
      <c r="FM96" s="845"/>
      <c r="FN96" s="846"/>
      <c r="FO96" s="847"/>
      <c r="FP96" s="845"/>
      <c r="FQ96" s="846"/>
      <c r="FR96" s="846"/>
      <c r="FS96" s="846"/>
      <c r="FT96" s="846"/>
      <c r="FU96" s="847"/>
      <c r="FV96" s="835"/>
      <c r="FW96" s="845"/>
      <c r="FX96" s="846"/>
      <c r="FY96" s="846"/>
      <c r="FZ96" s="851"/>
      <c r="GA96" s="849"/>
      <c r="GB96" s="846"/>
      <c r="GC96" s="846"/>
      <c r="GD96" s="846"/>
      <c r="GE96" s="846"/>
      <c r="GF96" s="846"/>
      <c r="GG96" s="846"/>
      <c r="GH96" s="846"/>
      <c r="GI96" s="847"/>
      <c r="GJ96" s="845"/>
      <c r="GK96" s="846"/>
      <c r="GL96" s="847"/>
      <c r="GM96" s="845"/>
      <c r="GN96" s="846"/>
      <c r="GO96" s="847"/>
      <c r="GP96" s="845"/>
      <c r="GQ96" s="846"/>
      <c r="GR96" s="846"/>
      <c r="GS96" s="846"/>
      <c r="GT96" s="846"/>
      <c r="GU96" s="847"/>
      <c r="GV96" s="835"/>
      <c r="GW96" s="845"/>
      <c r="GX96" s="846"/>
      <c r="GY96" s="846"/>
      <c r="GZ96" s="851"/>
      <c r="HA96" s="849"/>
      <c r="HB96" s="846"/>
      <c r="HC96" s="846"/>
      <c r="HD96" s="846"/>
      <c r="HE96" s="846"/>
      <c r="HF96" s="846"/>
      <c r="HG96" s="846"/>
      <c r="HH96" s="846"/>
      <c r="HI96" s="847"/>
      <c r="HJ96" s="845"/>
      <c r="HK96" s="846"/>
      <c r="HL96" s="847"/>
      <c r="HM96" s="845"/>
      <c r="HN96" s="846"/>
      <c r="HO96" s="847"/>
      <c r="HP96" s="845"/>
      <c r="HQ96" s="846"/>
      <c r="HR96" s="846"/>
      <c r="HS96" s="846"/>
      <c r="HT96" s="846"/>
      <c r="HU96" s="847"/>
      <c r="HV96" s="835"/>
      <c r="HW96" s="845"/>
      <c r="HX96" s="846"/>
      <c r="HY96" s="846"/>
      <c r="HZ96" s="851"/>
      <c r="IA96" s="849"/>
      <c r="IB96" s="846"/>
      <c r="IC96" s="846"/>
      <c r="ID96" s="846"/>
      <c r="IE96" s="846"/>
      <c r="IF96" s="846"/>
      <c r="IG96" s="846"/>
      <c r="IH96" s="846"/>
      <c r="II96" s="847"/>
      <c r="IJ96" s="845"/>
      <c r="IK96" s="846"/>
      <c r="IL96" s="847"/>
      <c r="IM96" s="845"/>
      <c r="IN96" s="846"/>
      <c r="IO96" s="847"/>
      <c r="IP96" s="845"/>
      <c r="IQ96" s="846"/>
      <c r="IR96" s="846"/>
      <c r="IS96" s="846"/>
      <c r="IT96" s="846"/>
      <c r="IU96" s="847"/>
      <c r="IV96" s="835"/>
      <c r="IW96" s="845"/>
      <c r="IX96" s="846"/>
      <c r="IY96" s="846"/>
      <c r="IZ96" s="851"/>
    </row>
    <row r="97" spans="1:260" ht="15" customHeight="1" x14ac:dyDescent="0.25">
      <c r="A97" s="858" t="str">
        <f>IF(Z93&gt;=A93,$A$9,"")</f>
        <v/>
      </c>
      <c r="B97" s="806"/>
      <c r="C97" s="806"/>
      <c r="D97" s="806"/>
      <c r="E97" s="852"/>
      <c r="F97" s="805" t="str">
        <f>IF(Z93&gt;=A93,$F$9,"")</f>
        <v/>
      </c>
      <c r="G97" s="806"/>
      <c r="H97" s="806"/>
      <c r="I97" s="852"/>
      <c r="J97" s="811" t="str">
        <f>IF(Z93&gt;=A93,$J$9,"")</f>
        <v/>
      </c>
      <c r="K97" s="803" t="str">
        <f>IF(Z93&gt;=A93,$K$9,"")</f>
        <v/>
      </c>
      <c r="L97" s="803" t="str">
        <f>IF(Z93&gt;=A93,$L$9,"")</f>
        <v/>
      </c>
      <c r="M97" s="803" t="str">
        <f>IF(Z93&gt;=A93,$M$9,"")</f>
        <v/>
      </c>
      <c r="N97" s="803" t="str">
        <f>IF(Z93&gt;=A93,$N$9,"")</f>
        <v/>
      </c>
      <c r="O97" s="803" t="str">
        <f>IF(Z93&gt;=A93,$O$9,"")</f>
        <v/>
      </c>
      <c r="P97" s="803" t="str">
        <f>IF(Z93&gt;=A93,$P$9,"")</f>
        <v/>
      </c>
      <c r="Q97" s="803" t="str">
        <f>IF(Z93&gt;=A93,$Q$9,"")</f>
        <v/>
      </c>
      <c r="R97" s="803" t="str">
        <f>IF(Z93&gt;=A93,$R$9,"")</f>
        <v/>
      </c>
      <c r="S97" s="803" t="str">
        <f>IF(Z93&gt;=A93,$S$9,"")</f>
        <v/>
      </c>
      <c r="T97" s="803" t="str">
        <f>IF(Z93&gt;=A93,$T$9,"")</f>
        <v/>
      </c>
      <c r="U97" s="803" t="str">
        <f>IF(Z93&gt;=A93,$U$9,"")</f>
        <v/>
      </c>
      <c r="V97" s="803" t="str">
        <f>IF(Z93&gt;=A93,$V$9,"")</f>
        <v/>
      </c>
      <c r="W97" s="805" t="str">
        <f>IF(Z93&gt;=A93,$W$9,"")</f>
        <v/>
      </c>
      <c r="X97" s="806"/>
      <c r="Y97" s="806"/>
      <c r="Z97" s="807"/>
      <c r="AA97" s="858" t="str">
        <f>IF(AZ93&gt;=AA93,$A$9,"")</f>
        <v/>
      </c>
      <c r="AB97" s="806"/>
      <c r="AC97" s="806"/>
      <c r="AD97" s="806"/>
      <c r="AE97" s="852"/>
      <c r="AF97" s="805" t="str">
        <f>IF(AZ93&gt;=AA93,$F$9,"")</f>
        <v/>
      </c>
      <c r="AG97" s="806"/>
      <c r="AH97" s="806"/>
      <c r="AI97" s="852"/>
      <c r="AJ97" s="811" t="str">
        <f>IF(AZ93&gt;=AA93,$J$9,"")</f>
        <v/>
      </c>
      <c r="AK97" s="803" t="str">
        <f>IF(AZ93&gt;=AA93,$K$9,"")</f>
        <v/>
      </c>
      <c r="AL97" s="803" t="str">
        <f>IF(AZ93&gt;=AA93,$L$9,"")</f>
        <v/>
      </c>
      <c r="AM97" s="803" t="str">
        <f>IF(AZ93&gt;=AA93,$M$9,"")</f>
        <v/>
      </c>
      <c r="AN97" s="803" t="str">
        <f>IF(AZ93&gt;=AA93,$N$9,"")</f>
        <v/>
      </c>
      <c r="AO97" s="803" t="str">
        <f>IF(AZ93&gt;=AA93,$O$9,"")</f>
        <v/>
      </c>
      <c r="AP97" s="803" t="str">
        <f>IF(AZ93&gt;=AA93,$P$9,"")</f>
        <v/>
      </c>
      <c r="AQ97" s="803" t="str">
        <f>IF(AZ93&gt;=AA93,$Q$9,"")</f>
        <v/>
      </c>
      <c r="AR97" s="803" t="str">
        <f>IF(AZ93&gt;=AA93,$R$9,"")</f>
        <v/>
      </c>
      <c r="AS97" s="803" t="str">
        <f>IF(AZ93&gt;=AA93,$S$9,"")</f>
        <v/>
      </c>
      <c r="AT97" s="803" t="str">
        <f>IF(AZ93&gt;=AA93,$T$9,"")</f>
        <v/>
      </c>
      <c r="AU97" s="803" t="str">
        <f>IF(AZ93&gt;=AA93,$U$9,"")</f>
        <v/>
      </c>
      <c r="AV97" s="803" t="str">
        <f>IF(AZ93&gt;=AA93,$V$9,"")</f>
        <v/>
      </c>
      <c r="AW97" s="805" t="str">
        <f>IF(AZ93&gt;=AA93,$W$9,"")</f>
        <v/>
      </c>
      <c r="AX97" s="806"/>
      <c r="AY97" s="806"/>
      <c r="AZ97" s="807"/>
      <c r="BA97" s="858" t="str">
        <f>IF(BZ93&gt;=BA93,$A$9,"")</f>
        <v/>
      </c>
      <c r="BB97" s="806"/>
      <c r="BC97" s="806"/>
      <c r="BD97" s="806"/>
      <c r="BE97" s="852"/>
      <c r="BF97" s="805" t="str">
        <f>IF(BZ93&gt;=BA93,$F$9,"")</f>
        <v/>
      </c>
      <c r="BG97" s="806"/>
      <c r="BH97" s="806"/>
      <c r="BI97" s="852"/>
      <c r="BJ97" s="811" t="str">
        <f>IF(BZ93&gt;=BA93,$J$9,"")</f>
        <v/>
      </c>
      <c r="BK97" s="803" t="str">
        <f>IF(BZ93&gt;=BA93,$K$9,"")</f>
        <v/>
      </c>
      <c r="BL97" s="803" t="str">
        <f>IF(BZ93&gt;=BA93,$L$9,"")</f>
        <v/>
      </c>
      <c r="BM97" s="803" t="str">
        <f>IF(BZ93&gt;=BA93,$M$9,"")</f>
        <v/>
      </c>
      <c r="BN97" s="803" t="str">
        <f>IF(BZ93&gt;=BA93,$N$9,"")</f>
        <v/>
      </c>
      <c r="BO97" s="803" t="str">
        <f>IF(BZ93&gt;=BA93,$O$9,"")</f>
        <v/>
      </c>
      <c r="BP97" s="803" t="str">
        <f>IF(BZ93&gt;=BA93,$P$9,"")</f>
        <v/>
      </c>
      <c r="BQ97" s="803" t="str">
        <f>IF(BZ93&gt;=BA93,$Q$9,"")</f>
        <v/>
      </c>
      <c r="BR97" s="803" t="str">
        <f>IF(BZ93&gt;=BA93,$R$9,"")</f>
        <v/>
      </c>
      <c r="BS97" s="803" t="str">
        <f>IF(BZ93&gt;=BA93,$S$9,"")</f>
        <v/>
      </c>
      <c r="BT97" s="803" t="str">
        <f>IF(BZ93&gt;=BA93,$T$9,"")</f>
        <v/>
      </c>
      <c r="BU97" s="803" t="str">
        <f>IF(BZ93&gt;=BA93,$U$9,"")</f>
        <v/>
      </c>
      <c r="BV97" s="803" t="str">
        <f>IF(BZ93&gt;=BA93,$V$9,"")</f>
        <v/>
      </c>
      <c r="BW97" s="805" t="str">
        <f>IF(BZ93&gt;=BA93,$W$9,"")</f>
        <v/>
      </c>
      <c r="BX97" s="806"/>
      <c r="BY97" s="806"/>
      <c r="BZ97" s="807"/>
      <c r="CA97" s="858" t="str">
        <f>IF(CZ93&gt;=CA93,$A$9,"")</f>
        <v/>
      </c>
      <c r="CB97" s="806"/>
      <c r="CC97" s="806"/>
      <c r="CD97" s="806"/>
      <c r="CE97" s="852"/>
      <c r="CF97" s="805" t="str">
        <f>IF(CZ93&gt;=CA93,$F$9,"")</f>
        <v/>
      </c>
      <c r="CG97" s="806"/>
      <c r="CH97" s="806"/>
      <c r="CI97" s="852"/>
      <c r="CJ97" s="811" t="str">
        <f>IF(CZ93&gt;=CA93,$J$9,"")</f>
        <v/>
      </c>
      <c r="CK97" s="803" t="str">
        <f>IF(CZ93&gt;=CA93,$K$9,"")</f>
        <v/>
      </c>
      <c r="CL97" s="803" t="str">
        <f>IF(CZ93&gt;=CA93,$L$9,"")</f>
        <v/>
      </c>
      <c r="CM97" s="803" t="str">
        <f>IF(CZ93&gt;=CA93,$M$9,"")</f>
        <v/>
      </c>
      <c r="CN97" s="803" t="str">
        <f>IF(CZ93&gt;=CA93,$N$9,"")</f>
        <v/>
      </c>
      <c r="CO97" s="803" t="str">
        <f>IF(CZ93&gt;=CA93,$O$9,"")</f>
        <v/>
      </c>
      <c r="CP97" s="803" t="str">
        <f>IF(CZ93&gt;=CA93,$P$9,"")</f>
        <v/>
      </c>
      <c r="CQ97" s="803" t="str">
        <f>IF(CZ93&gt;=CA93,$Q$9,"")</f>
        <v/>
      </c>
      <c r="CR97" s="803" t="str">
        <f>IF(CZ93&gt;=CA93,$R$9,"")</f>
        <v/>
      </c>
      <c r="CS97" s="803" t="str">
        <f>IF(CZ93&gt;=CA93,$S$9,"")</f>
        <v/>
      </c>
      <c r="CT97" s="803" t="str">
        <f>IF(CZ93&gt;=CA93,$T$9,"")</f>
        <v/>
      </c>
      <c r="CU97" s="803" t="str">
        <f>IF(CZ93&gt;=CA93,$U$9,"")</f>
        <v/>
      </c>
      <c r="CV97" s="803" t="str">
        <f>IF(CZ93&gt;=CA93,$V$9,"")</f>
        <v/>
      </c>
      <c r="CW97" s="805" t="str">
        <f>IF(CZ93&gt;=CA93,$W$9,"")</f>
        <v/>
      </c>
      <c r="CX97" s="806"/>
      <c r="CY97" s="806"/>
      <c r="CZ97" s="807"/>
      <c r="DA97" s="858" t="str">
        <f>IF(DZ93&gt;=DA93,$A$9,"")</f>
        <v/>
      </c>
      <c r="DB97" s="806"/>
      <c r="DC97" s="806"/>
      <c r="DD97" s="806"/>
      <c r="DE97" s="852"/>
      <c r="DF97" s="805" t="str">
        <f>IF(DZ93&gt;=DA93,$F$9,"")</f>
        <v/>
      </c>
      <c r="DG97" s="806"/>
      <c r="DH97" s="806"/>
      <c r="DI97" s="852"/>
      <c r="DJ97" s="811" t="str">
        <f>IF(DZ93&gt;=DA93,$J$9,"")</f>
        <v/>
      </c>
      <c r="DK97" s="803" t="str">
        <f>IF(DZ93&gt;=DA93,$K$9,"")</f>
        <v/>
      </c>
      <c r="DL97" s="803" t="str">
        <f>IF(DZ93&gt;=DA93,$L$9,"")</f>
        <v/>
      </c>
      <c r="DM97" s="803" t="str">
        <f>IF(DZ93&gt;=DA93,$M$9,"")</f>
        <v/>
      </c>
      <c r="DN97" s="803" t="str">
        <f>IF(DZ93&gt;=DA93,$N$9,"")</f>
        <v/>
      </c>
      <c r="DO97" s="803" t="str">
        <f>IF(DZ93&gt;=DA93,$O$9,"")</f>
        <v/>
      </c>
      <c r="DP97" s="803" t="str">
        <f>IF(DZ93&gt;=DA93,$P$9,"")</f>
        <v/>
      </c>
      <c r="DQ97" s="803" t="str">
        <f>IF(DZ93&gt;=DA93,$Q$9,"")</f>
        <v/>
      </c>
      <c r="DR97" s="803" t="str">
        <f>IF(DZ93&gt;=DA93,$R$9,"")</f>
        <v/>
      </c>
      <c r="DS97" s="803" t="str">
        <f>IF(DZ93&gt;=DA93,$S$9,"")</f>
        <v/>
      </c>
      <c r="DT97" s="803" t="str">
        <f>IF(DZ93&gt;=DA93,$T$9,"")</f>
        <v/>
      </c>
      <c r="DU97" s="803" t="str">
        <f>IF(DZ93&gt;=DA93,$U$9,"")</f>
        <v/>
      </c>
      <c r="DV97" s="803" t="str">
        <f>IF(DZ93&gt;=DA93,$V$9,"")</f>
        <v/>
      </c>
      <c r="DW97" s="805" t="str">
        <f>IF(DZ93&gt;=DA93,$W$9,"")</f>
        <v/>
      </c>
      <c r="DX97" s="806"/>
      <c r="DY97" s="806"/>
      <c r="DZ97" s="807"/>
      <c r="EA97" s="858" t="str">
        <f>IF(EZ93&gt;=EA93,$A$9,"")</f>
        <v/>
      </c>
      <c r="EB97" s="806"/>
      <c r="EC97" s="806"/>
      <c r="ED97" s="806"/>
      <c r="EE97" s="852"/>
      <c r="EF97" s="805" t="str">
        <f>IF(EZ93&gt;=EA93,$F$9,"")</f>
        <v/>
      </c>
      <c r="EG97" s="806"/>
      <c r="EH97" s="806"/>
      <c r="EI97" s="852"/>
      <c r="EJ97" s="811" t="str">
        <f>IF(EZ93&gt;=EA93,$J$9,"")</f>
        <v/>
      </c>
      <c r="EK97" s="803" t="str">
        <f>IF(EZ93&gt;=EA93,$K$9,"")</f>
        <v/>
      </c>
      <c r="EL97" s="803" t="str">
        <f>IF(EZ93&gt;=EA93,$L$9,"")</f>
        <v/>
      </c>
      <c r="EM97" s="803" t="str">
        <f>IF(EZ93&gt;=EA93,$M$9,"")</f>
        <v/>
      </c>
      <c r="EN97" s="803" t="str">
        <f>IF(EZ93&gt;=EA93,$N$9,"")</f>
        <v/>
      </c>
      <c r="EO97" s="803" t="str">
        <f>IF(EZ93&gt;=EA93,$O$9,"")</f>
        <v/>
      </c>
      <c r="EP97" s="803" t="str">
        <f>IF(EZ93&gt;=EA93,$P$9,"")</f>
        <v/>
      </c>
      <c r="EQ97" s="803" t="str">
        <f>IF(EZ93&gt;=EA93,$Q$9,"")</f>
        <v/>
      </c>
      <c r="ER97" s="803" t="str">
        <f>IF(EZ93&gt;=EA93,$R$9,"")</f>
        <v/>
      </c>
      <c r="ES97" s="803" t="str">
        <f>IF(EZ93&gt;=EA93,$S$9,"")</f>
        <v/>
      </c>
      <c r="ET97" s="803" t="str">
        <f>IF(EZ93&gt;=EA93,$T$9,"")</f>
        <v/>
      </c>
      <c r="EU97" s="803" t="str">
        <f>IF(EZ93&gt;=EA93,$U$9,"")</f>
        <v/>
      </c>
      <c r="EV97" s="803" t="str">
        <f>IF(EZ93&gt;=EA93,$V$9,"")</f>
        <v/>
      </c>
      <c r="EW97" s="805" t="str">
        <f>IF(EZ93&gt;=EA93,$W$9,"")</f>
        <v/>
      </c>
      <c r="EX97" s="806"/>
      <c r="EY97" s="806"/>
      <c r="EZ97" s="807"/>
      <c r="FA97" s="858" t="str">
        <f>IF(FZ93&gt;=FA93,$A$9,"")</f>
        <v/>
      </c>
      <c r="FB97" s="806"/>
      <c r="FC97" s="806"/>
      <c r="FD97" s="806"/>
      <c r="FE97" s="852"/>
      <c r="FF97" s="805" t="str">
        <f>IF(FZ93&gt;=FA93,$F$9,"")</f>
        <v/>
      </c>
      <c r="FG97" s="806"/>
      <c r="FH97" s="806"/>
      <c r="FI97" s="852"/>
      <c r="FJ97" s="811" t="str">
        <f>IF(FZ93&gt;=FA93,$J$9,"")</f>
        <v/>
      </c>
      <c r="FK97" s="803" t="str">
        <f>IF(FZ93&gt;=FA93,$K$9,"")</f>
        <v/>
      </c>
      <c r="FL97" s="803" t="str">
        <f>IF(FZ93&gt;=FA93,$L$9,"")</f>
        <v/>
      </c>
      <c r="FM97" s="803" t="str">
        <f>IF(FZ93&gt;=FA93,$M$9,"")</f>
        <v/>
      </c>
      <c r="FN97" s="803" t="str">
        <f>IF(FZ93&gt;=FA93,$N$9,"")</f>
        <v/>
      </c>
      <c r="FO97" s="803" t="str">
        <f>IF(FZ93&gt;=FA93,$O$9,"")</f>
        <v/>
      </c>
      <c r="FP97" s="803" t="str">
        <f>IF(FZ93&gt;=FA93,$P$9,"")</f>
        <v/>
      </c>
      <c r="FQ97" s="803" t="str">
        <f>IF(FZ93&gt;=FA93,$Q$9,"")</f>
        <v/>
      </c>
      <c r="FR97" s="803" t="str">
        <f>IF(FZ93&gt;=FA93,$R$9,"")</f>
        <v/>
      </c>
      <c r="FS97" s="803" t="str">
        <f>IF(FZ93&gt;=FA93,$S$9,"")</f>
        <v/>
      </c>
      <c r="FT97" s="803" t="str">
        <f>IF(FZ93&gt;=FA93,$T$9,"")</f>
        <v/>
      </c>
      <c r="FU97" s="803" t="str">
        <f>IF(FZ93&gt;=FA93,$U$9,"")</f>
        <v/>
      </c>
      <c r="FV97" s="803" t="str">
        <f>IF(FZ93&gt;=FA93,$V$9,"")</f>
        <v/>
      </c>
      <c r="FW97" s="805" t="str">
        <f>IF(FZ93&gt;=FA93,$W$9,"")</f>
        <v/>
      </c>
      <c r="FX97" s="806"/>
      <c r="FY97" s="806"/>
      <c r="FZ97" s="807"/>
      <c r="GA97" s="858" t="str">
        <f>IF(GZ93&gt;=GA93,$A$9,"")</f>
        <v/>
      </c>
      <c r="GB97" s="806"/>
      <c r="GC97" s="806"/>
      <c r="GD97" s="806"/>
      <c r="GE97" s="852"/>
      <c r="GF97" s="805" t="str">
        <f>IF(GZ93&gt;=GA93,$F$9,"")</f>
        <v/>
      </c>
      <c r="GG97" s="806"/>
      <c r="GH97" s="806"/>
      <c r="GI97" s="852"/>
      <c r="GJ97" s="811" t="str">
        <f>IF(GZ93&gt;=GA93,$J$9,"")</f>
        <v/>
      </c>
      <c r="GK97" s="803" t="str">
        <f>IF(GZ93&gt;=GA93,$K$9,"")</f>
        <v/>
      </c>
      <c r="GL97" s="803" t="str">
        <f>IF(GZ93&gt;=GA93,$L$9,"")</f>
        <v/>
      </c>
      <c r="GM97" s="803" t="str">
        <f>IF(GZ93&gt;=GA93,$M$9,"")</f>
        <v/>
      </c>
      <c r="GN97" s="803" t="str">
        <f>IF(GZ93&gt;=GA93,$N$9,"")</f>
        <v/>
      </c>
      <c r="GO97" s="803" t="str">
        <f>IF(GZ93&gt;=GA93,$O$9,"")</f>
        <v/>
      </c>
      <c r="GP97" s="803" t="str">
        <f>IF(GZ93&gt;=GA93,$P$9,"")</f>
        <v/>
      </c>
      <c r="GQ97" s="803" t="str">
        <f>IF(GZ93&gt;=GA93,$Q$9,"")</f>
        <v/>
      </c>
      <c r="GR97" s="803" t="str">
        <f>IF(GZ93&gt;=GA93,$R$9,"")</f>
        <v/>
      </c>
      <c r="GS97" s="803" t="str">
        <f>IF(GZ93&gt;=GA93,$S$9,"")</f>
        <v/>
      </c>
      <c r="GT97" s="803" t="str">
        <f>IF(GZ93&gt;=GA93,$T$9,"")</f>
        <v/>
      </c>
      <c r="GU97" s="803" t="str">
        <f>IF(GZ93&gt;=GA93,$U$9,"")</f>
        <v/>
      </c>
      <c r="GV97" s="803" t="str">
        <f>IF(GZ93&gt;=GA93,$V$9,"")</f>
        <v/>
      </c>
      <c r="GW97" s="805" t="str">
        <f>IF(GZ93&gt;=GA93,$W$9,"")</f>
        <v/>
      </c>
      <c r="GX97" s="806"/>
      <c r="GY97" s="806"/>
      <c r="GZ97" s="807"/>
      <c r="HA97" s="858" t="str">
        <f>IF(HZ93&gt;=HA93,$A$9,"")</f>
        <v/>
      </c>
      <c r="HB97" s="806"/>
      <c r="HC97" s="806"/>
      <c r="HD97" s="806"/>
      <c r="HE97" s="852"/>
      <c r="HF97" s="805" t="str">
        <f>IF(HZ93&gt;=HA93,$F$9,"")</f>
        <v/>
      </c>
      <c r="HG97" s="806"/>
      <c r="HH97" s="806"/>
      <c r="HI97" s="852"/>
      <c r="HJ97" s="811" t="str">
        <f>IF(HZ93&gt;=HA93,$J$9,"")</f>
        <v/>
      </c>
      <c r="HK97" s="803" t="str">
        <f>IF(HZ93&gt;=HA93,$K$9,"")</f>
        <v/>
      </c>
      <c r="HL97" s="803" t="str">
        <f>IF(HZ93&gt;=HA93,$L$9,"")</f>
        <v/>
      </c>
      <c r="HM97" s="803" t="str">
        <f>IF(HZ93&gt;=HA93,$M$9,"")</f>
        <v/>
      </c>
      <c r="HN97" s="803" t="str">
        <f>IF(HZ93&gt;=HA93,$N$9,"")</f>
        <v/>
      </c>
      <c r="HO97" s="803" t="str">
        <f>IF(HZ93&gt;=HA93,$O$9,"")</f>
        <v/>
      </c>
      <c r="HP97" s="803" t="str">
        <f>IF(HZ93&gt;=HA93,$P$9,"")</f>
        <v/>
      </c>
      <c r="HQ97" s="803" t="str">
        <f>IF(HZ93&gt;=HA93,$Q$9,"")</f>
        <v/>
      </c>
      <c r="HR97" s="803" t="str">
        <f>IF(HZ93&gt;=HA93,$R$9,"")</f>
        <v/>
      </c>
      <c r="HS97" s="803" t="str">
        <f>IF(HZ93&gt;=HA93,$S$9,"")</f>
        <v/>
      </c>
      <c r="HT97" s="803" t="str">
        <f>IF(HZ93&gt;=HA93,$T$9,"")</f>
        <v/>
      </c>
      <c r="HU97" s="803" t="str">
        <f>IF(HZ93&gt;=HA93,$U$9,"")</f>
        <v/>
      </c>
      <c r="HV97" s="803" t="str">
        <f>IF(HZ93&gt;=HA93,$V$9,"")</f>
        <v/>
      </c>
      <c r="HW97" s="805" t="str">
        <f>IF(HZ93&gt;=HA93,$W$9,"")</f>
        <v/>
      </c>
      <c r="HX97" s="806"/>
      <c r="HY97" s="806"/>
      <c r="HZ97" s="807"/>
      <c r="IA97" s="858" t="str">
        <f>IF(IZ93&gt;=IA93,$A$9,"")</f>
        <v/>
      </c>
      <c r="IB97" s="806"/>
      <c r="IC97" s="806"/>
      <c r="ID97" s="806"/>
      <c r="IE97" s="852"/>
      <c r="IF97" s="805" t="str">
        <f>IF(IZ93&gt;=IA93,$F$9,"")</f>
        <v/>
      </c>
      <c r="IG97" s="806"/>
      <c r="IH97" s="806"/>
      <c r="II97" s="852"/>
      <c r="IJ97" s="811" t="str">
        <f>IF(IZ93&gt;=IA93,$J$9,"")</f>
        <v/>
      </c>
      <c r="IK97" s="803" t="str">
        <f>IF(IZ93&gt;=IA93,$K$9,"")</f>
        <v/>
      </c>
      <c r="IL97" s="803" t="str">
        <f>IF(IZ93&gt;=IA93,$L$9,"")</f>
        <v/>
      </c>
      <c r="IM97" s="803" t="str">
        <f>IF(IZ93&gt;=IA93,$M$9,"")</f>
        <v/>
      </c>
      <c r="IN97" s="803" t="str">
        <f>IF(IZ93&gt;=IA93,$N$9,"")</f>
        <v/>
      </c>
      <c r="IO97" s="803" t="str">
        <f>IF(IZ93&gt;=IA93,$O$9,"")</f>
        <v/>
      </c>
      <c r="IP97" s="803" t="str">
        <f>IF(IZ93&gt;=IA93,$P$9,"")</f>
        <v/>
      </c>
      <c r="IQ97" s="803" t="str">
        <f>IF(IZ93&gt;=IA93,$Q$9,"")</f>
        <v/>
      </c>
      <c r="IR97" s="803" t="str">
        <f>IF(IZ93&gt;=IA93,$R$9,"")</f>
        <v/>
      </c>
      <c r="IS97" s="803" t="str">
        <f>IF(IZ93&gt;=IA93,$S$9,"")</f>
        <v/>
      </c>
      <c r="IT97" s="803" t="str">
        <f>IF(IZ93&gt;=IA93,$T$9,"")</f>
        <v/>
      </c>
      <c r="IU97" s="803" t="str">
        <f>IF(IZ93&gt;=IA93,$U$9,"")</f>
        <v/>
      </c>
      <c r="IV97" s="803" t="str">
        <f>IF(IZ93&gt;=IA93,$V$9,"")</f>
        <v/>
      </c>
      <c r="IW97" s="805" t="str">
        <f>IF(IZ93&gt;=IA93,$W$9,"")</f>
        <v/>
      </c>
      <c r="IX97" s="806"/>
      <c r="IY97" s="806"/>
      <c r="IZ97" s="807"/>
    </row>
    <row r="98" spans="1:260" x14ac:dyDescent="0.25">
      <c r="A98" s="859"/>
      <c r="B98" s="809"/>
      <c r="C98" s="809"/>
      <c r="D98" s="809"/>
      <c r="E98" s="853"/>
      <c r="F98" s="808"/>
      <c r="G98" s="809"/>
      <c r="H98" s="809"/>
      <c r="I98" s="853"/>
      <c r="J98" s="812"/>
      <c r="K98" s="804"/>
      <c r="L98" s="804"/>
      <c r="M98" s="804"/>
      <c r="N98" s="804"/>
      <c r="O98" s="804"/>
      <c r="P98" s="804"/>
      <c r="Q98" s="804"/>
      <c r="R98" s="804"/>
      <c r="S98" s="804"/>
      <c r="T98" s="804"/>
      <c r="U98" s="804"/>
      <c r="V98" s="804"/>
      <c r="W98" s="808"/>
      <c r="X98" s="809"/>
      <c r="Y98" s="809"/>
      <c r="Z98" s="810"/>
      <c r="AA98" s="859"/>
      <c r="AB98" s="809"/>
      <c r="AC98" s="809"/>
      <c r="AD98" s="809"/>
      <c r="AE98" s="853"/>
      <c r="AF98" s="808"/>
      <c r="AG98" s="809"/>
      <c r="AH98" s="809"/>
      <c r="AI98" s="853"/>
      <c r="AJ98" s="812"/>
      <c r="AK98" s="804"/>
      <c r="AL98" s="804"/>
      <c r="AM98" s="804"/>
      <c r="AN98" s="804"/>
      <c r="AO98" s="804"/>
      <c r="AP98" s="804"/>
      <c r="AQ98" s="804"/>
      <c r="AR98" s="804"/>
      <c r="AS98" s="804"/>
      <c r="AT98" s="804"/>
      <c r="AU98" s="804"/>
      <c r="AV98" s="804"/>
      <c r="AW98" s="808"/>
      <c r="AX98" s="809"/>
      <c r="AY98" s="809"/>
      <c r="AZ98" s="810"/>
      <c r="BA98" s="859"/>
      <c r="BB98" s="809"/>
      <c r="BC98" s="809"/>
      <c r="BD98" s="809"/>
      <c r="BE98" s="853"/>
      <c r="BF98" s="808"/>
      <c r="BG98" s="809"/>
      <c r="BH98" s="809"/>
      <c r="BI98" s="853"/>
      <c r="BJ98" s="812"/>
      <c r="BK98" s="804"/>
      <c r="BL98" s="804"/>
      <c r="BM98" s="804"/>
      <c r="BN98" s="804"/>
      <c r="BO98" s="804"/>
      <c r="BP98" s="804"/>
      <c r="BQ98" s="804"/>
      <c r="BR98" s="804"/>
      <c r="BS98" s="804"/>
      <c r="BT98" s="804"/>
      <c r="BU98" s="804"/>
      <c r="BV98" s="804"/>
      <c r="BW98" s="808"/>
      <c r="BX98" s="809"/>
      <c r="BY98" s="809"/>
      <c r="BZ98" s="810"/>
      <c r="CA98" s="859"/>
      <c r="CB98" s="809"/>
      <c r="CC98" s="809"/>
      <c r="CD98" s="809"/>
      <c r="CE98" s="853"/>
      <c r="CF98" s="808"/>
      <c r="CG98" s="809"/>
      <c r="CH98" s="809"/>
      <c r="CI98" s="853"/>
      <c r="CJ98" s="812"/>
      <c r="CK98" s="804"/>
      <c r="CL98" s="804"/>
      <c r="CM98" s="804"/>
      <c r="CN98" s="804"/>
      <c r="CO98" s="804"/>
      <c r="CP98" s="804"/>
      <c r="CQ98" s="804"/>
      <c r="CR98" s="804"/>
      <c r="CS98" s="804"/>
      <c r="CT98" s="804"/>
      <c r="CU98" s="804"/>
      <c r="CV98" s="804"/>
      <c r="CW98" s="808"/>
      <c r="CX98" s="809"/>
      <c r="CY98" s="809"/>
      <c r="CZ98" s="810"/>
      <c r="DA98" s="859"/>
      <c r="DB98" s="809"/>
      <c r="DC98" s="809"/>
      <c r="DD98" s="809"/>
      <c r="DE98" s="853"/>
      <c r="DF98" s="808"/>
      <c r="DG98" s="809"/>
      <c r="DH98" s="809"/>
      <c r="DI98" s="853"/>
      <c r="DJ98" s="812"/>
      <c r="DK98" s="804"/>
      <c r="DL98" s="804"/>
      <c r="DM98" s="804"/>
      <c r="DN98" s="804"/>
      <c r="DO98" s="804"/>
      <c r="DP98" s="804"/>
      <c r="DQ98" s="804"/>
      <c r="DR98" s="804"/>
      <c r="DS98" s="804"/>
      <c r="DT98" s="804"/>
      <c r="DU98" s="804"/>
      <c r="DV98" s="804"/>
      <c r="DW98" s="808"/>
      <c r="DX98" s="809"/>
      <c r="DY98" s="809"/>
      <c r="DZ98" s="810"/>
      <c r="EA98" s="859"/>
      <c r="EB98" s="809"/>
      <c r="EC98" s="809"/>
      <c r="ED98" s="809"/>
      <c r="EE98" s="853"/>
      <c r="EF98" s="808"/>
      <c r="EG98" s="809"/>
      <c r="EH98" s="809"/>
      <c r="EI98" s="853"/>
      <c r="EJ98" s="812"/>
      <c r="EK98" s="804"/>
      <c r="EL98" s="804"/>
      <c r="EM98" s="804"/>
      <c r="EN98" s="804"/>
      <c r="EO98" s="804"/>
      <c r="EP98" s="804"/>
      <c r="EQ98" s="804"/>
      <c r="ER98" s="804"/>
      <c r="ES98" s="804"/>
      <c r="ET98" s="804"/>
      <c r="EU98" s="804"/>
      <c r="EV98" s="804"/>
      <c r="EW98" s="808"/>
      <c r="EX98" s="809"/>
      <c r="EY98" s="809"/>
      <c r="EZ98" s="810"/>
      <c r="FA98" s="859"/>
      <c r="FB98" s="809"/>
      <c r="FC98" s="809"/>
      <c r="FD98" s="809"/>
      <c r="FE98" s="853"/>
      <c r="FF98" s="808"/>
      <c r="FG98" s="809"/>
      <c r="FH98" s="809"/>
      <c r="FI98" s="853"/>
      <c r="FJ98" s="812"/>
      <c r="FK98" s="804"/>
      <c r="FL98" s="804"/>
      <c r="FM98" s="804"/>
      <c r="FN98" s="804"/>
      <c r="FO98" s="804"/>
      <c r="FP98" s="804"/>
      <c r="FQ98" s="804"/>
      <c r="FR98" s="804"/>
      <c r="FS98" s="804"/>
      <c r="FT98" s="804"/>
      <c r="FU98" s="804"/>
      <c r="FV98" s="804"/>
      <c r="FW98" s="808"/>
      <c r="FX98" s="809"/>
      <c r="FY98" s="809"/>
      <c r="FZ98" s="810"/>
      <c r="GA98" s="859"/>
      <c r="GB98" s="809"/>
      <c r="GC98" s="809"/>
      <c r="GD98" s="809"/>
      <c r="GE98" s="853"/>
      <c r="GF98" s="808"/>
      <c r="GG98" s="809"/>
      <c r="GH98" s="809"/>
      <c r="GI98" s="853"/>
      <c r="GJ98" s="812"/>
      <c r="GK98" s="804"/>
      <c r="GL98" s="804"/>
      <c r="GM98" s="804"/>
      <c r="GN98" s="804"/>
      <c r="GO98" s="804"/>
      <c r="GP98" s="804"/>
      <c r="GQ98" s="804"/>
      <c r="GR98" s="804"/>
      <c r="GS98" s="804"/>
      <c r="GT98" s="804"/>
      <c r="GU98" s="804"/>
      <c r="GV98" s="804"/>
      <c r="GW98" s="808"/>
      <c r="GX98" s="809"/>
      <c r="GY98" s="809"/>
      <c r="GZ98" s="810"/>
      <c r="HA98" s="859"/>
      <c r="HB98" s="809"/>
      <c r="HC98" s="809"/>
      <c r="HD98" s="809"/>
      <c r="HE98" s="853"/>
      <c r="HF98" s="808"/>
      <c r="HG98" s="809"/>
      <c r="HH98" s="809"/>
      <c r="HI98" s="853"/>
      <c r="HJ98" s="812"/>
      <c r="HK98" s="804"/>
      <c r="HL98" s="804"/>
      <c r="HM98" s="804"/>
      <c r="HN98" s="804"/>
      <c r="HO98" s="804"/>
      <c r="HP98" s="804"/>
      <c r="HQ98" s="804"/>
      <c r="HR98" s="804"/>
      <c r="HS98" s="804"/>
      <c r="HT98" s="804"/>
      <c r="HU98" s="804"/>
      <c r="HV98" s="804"/>
      <c r="HW98" s="808"/>
      <c r="HX98" s="809"/>
      <c r="HY98" s="809"/>
      <c r="HZ98" s="810"/>
      <c r="IA98" s="859"/>
      <c r="IB98" s="809"/>
      <c r="IC98" s="809"/>
      <c r="ID98" s="809"/>
      <c r="IE98" s="853"/>
      <c r="IF98" s="808"/>
      <c r="IG98" s="809"/>
      <c r="IH98" s="809"/>
      <c r="II98" s="853"/>
      <c r="IJ98" s="812"/>
      <c r="IK98" s="804"/>
      <c r="IL98" s="804"/>
      <c r="IM98" s="804"/>
      <c r="IN98" s="804"/>
      <c r="IO98" s="804"/>
      <c r="IP98" s="804"/>
      <c r="IQ98" s="804"/>
      <c r="IR98" s="804"/>
      <c r="IS98" s="804"/>
      <c r="IT98" s="804"/>
      <c r="IU98" s="804"/>
      <c r="IV98" s="804"/>
      <c r="IW98" s="808"/>
      <c r="IX98" s="809"/>
      <c r="IY98" s="809"/>
      <c r="IZ98" s="810"/>
    </row>
    <row r="99" spans="1:260" x14ac:dyDescent="0.25">
      <c r="A99" s="854" t="str">
        <f>IFERROR(INDEX(Lista_Pedidos,Procesos!Y93+A93-1,3),"")</f>
        <v/>
      </c>
      <c r="B99" s="855"/>
      <c r="C99" s="855"/>
      <c r="D99" s="855"/>
      <c r="E99" s="856"/>
      <c r="F99" s="857" t="str">
        <f>IF(Z93&gt;A93-1,E$11,"")</f>
        <v/>
      </c>
      <c r="G99" s="855"/>
      <c r="H99" s="855"/>
      <c r="I99" s="856"/>
      <c r="J99" s="526" t="str">
        <f>IFERROR(IF(IF(Z93&gt;A93-1,INDEX(Lista_Pedidos,Y93+A93-1,J93),"")=0,"",IF(Z93&gt;A93-1,INDEX(Lista_Pedidos,Y93+A93-1,J93),"")),"")</f>
        <v/>
      </c>
      <c r="K99" s="526" t="str">
        <f>IFERROR(IF(IF(Z93&gt;A93-1,INDEX(Lista_Pedidos,Y93+A93-1,K93),"")=0,"",IF(Z93&gt;A93-1,INDEX(Lista_Pedidos,Y93+A93-1,K93),"")),"")</f>
        <v/>
      </c>
      <c r="L99" s="526" t="str">
        <f>IFERROR(IF(IF(Z93&gt;A93-1,INDEX(Lista_Pedidos,Y93+A93-1,L93),"")=0,"",IF(Z93&gt;A93-1,INDEX(Lista_Pedidos,Y93+A93-1,L93),"")),"")</f>
        <v/>
      </c>
      <c r="M99" s="526" t="str">
        <f>IFERROR(IF(IF(Z93&gt;A93-1,INDEX(Lista_Pedidos,Y93+A93-1,M93),"")=0,"",IF(Z93&gt;A93-1,INDEX(Lista_Pedidos,Y93+A93-1,M93),"")),"")</f>
        <v/>
      </c>
      <c r="N99" s="526" t="str">
        <f>IFERROR(IF(IF(Z93&gt;A93-1,INDEX(Lista_Pedidos,Y93+A93-1,N93),"")=0,"",IF(Z93&gt;A93-1,INDEX(Lista_Pedidos,Y93+A93-1,N93),"")),"")</f>
        <v/>
      </c>
      <c r="O99" s="526" t="str">
        <f>IFERROR(IF(IF(Z93&gt;A93-1,INDEX(Lista_Pedidos,Y93+A93-1,O93),"")=0,"",IF(Z93&gt;A93-1,INDEX(Lista_Pedidos,Y93+A93-1,O93),"")),"")</f>
        <v/>
      </c>
      <c r="P99" s="526" t="str">
        <f>IFERROR(IF(IF(Z93&gt;A93-1,INDEX(Lista_Pedidos,Y93+A93-1,P93),"")=0,"",IF(Z93&gt;A93-1,INDEX(Lista_Pedidos,Y93+A93-1,P93),"")),"")</f>
        <v/>
      </c>
      <c r="Q99" s="526" t="str">
        <f>IFERROR(IF(IF(Z93&gt;A93-1,INDEX(Lista_Pedidos,Y93+A93-1,Q93),"")=0,"",IF(Z93&gt;A93-1,INDEX(Lista_Pedidos,Y93+A93-1,Q93),"")),"")</f>
        <v/>
      </c>
      <c r="R99" s="526" t="str">
        <f>IFERROR(IF(IF(Z93&gt;A93-1,INDEX(Lista_Pedidos,Y93+A93-1,R93),"")=0,"",IF(Z93&gt;A93-1,INDEX(Lista_Pedidos,Y93+A93-1,R93),"")),"")</f>
        <v/>
      </c>
      <c r="S99" s="526" t="str">
        <f>IFERROR(IF(IF(Z93&gt;A93-1,INDEX(Lista_Pedidos,Y93+A93-1,S93),"")=0,"",IF(Z93&gt;A93-1,INDEX(Lista_Pedidos,Y93+A93-1,S93),"")),"")</f>
        <v/>
      </c>
      <c r="T99" s="526" t="str">
        <f>IFERROR(IF(IF(Z93&gt;A93-1,INDEX(Lista_Pedidos,Y93+A93-1,T93),"")=0,"",IF(Z93&gt;A93-1,INDEX(Lista_Pedidos,Y93+A93-1,T93),"")),"")</f>
        <v/>
      </c>
      <c r="U99" s="526" t="str">
        <f>IFERROR(IF(IF(Z93&gt;A93-1,INDEX(Lista_Pedidos,Y93+A93-1,U93),"")=0,"",IF(Z93&gt;A93-1,INDEX(Lista_Pedidos,Y93+A93-1,U93),"")),"")</f>
        <v/>
      </c>
      <c r="V99" s="526" t="str">
        <f>IFERROR(IF(IF(Z93&gt;A93-1,INDEX(Lista_Pedidos,Y93+A93-1,V93),"")=0,"",IF(Z93&gt;A93-1,INDEX(Lista_Pedidos,Y93+A93-1,V93),"")),"")</f>
        <v/>
      </c>
      <c r="W99" s="857" t="str">
        <f>IF(SUM(J99:V99)&gt;1,SUM(J99:V99),"")</f>
        <v/>
      </c>
      <c r="X99" s="855"/>
      <c r="Y99" s="855"/>
      <c r="Z99" s="860"/>
      <c r="AA99" s="854" t="str">
        <f>IFERROR(INDEX(Lista_Pedidos,Procesos!AY93+AA93-1,3),"")</f>
        <v/>
      </c>
      <c r="AB99" s="855"/>
      <c r="AC99" s="855"/>
      <c r="AD99" s="855"/>
      <c r="AE99" s="856"/>
      <c r="AF99" s="857" t="str">
        <f>IF(AZ93&gt;AA93-1,AE$11,"")</f>
        <v/>
      </c>
      <c r="AG99" s="855"/>
      <c r="AH99" s="855"/>
      <c r="AI99" s="856"/>
      <c r="AJ99" s="526" t="str">
        <f>IFERROR(IF(IF(AZ93&gt;AA93-1,INDEX(Lista_Pedidos,AY93+AA93-1,AJ93),"")=0,"",IF(AZ93&gt;AA93-1,INDEX(Lista_Pedidos,AY93+AA93-1,AJ93),"")),"")</f>
        <v/>
      </c>
      <c r="AK99" s="526" t="str">
        <f>IFERROR(IF(IF(AZ93&gt;AA93-1,INDEX(Lista_Pedidos,AY93+AA93-1,AK93),"")=0,"",IF(AZ93&gt;AA93-1,INDEX(Lista_Pedidos,AY93+AA93-1,AK93),"")),"")</f>
        <v/>
      </c>
      <c r="AL99" s="526" t="str">
        <f>IFERROR(IF(IF(AZ93&gt;AA93-1,INDEX(Lista_Pedidos,AY93+AA93-1,AL93),"")=0,"",IF(AZ93&gt;AA93-1,INDEX(Lista_Pedidos,AY93+AA93-1,AL93),"")),"")</f>
        <v/>
      </c>
      <c r="AM99" s="526" t="str">
        <f>IFERROR(IF(IF(AZ93&gt;AA93-1,INDEX(Lista_Pedidos,AY93+AA93-1,AM93),"")=0,"",IF(AZ93&gt;AA93-1,INDEX(Lista_Pedidos,AY93+AA93-1,AM93),"")),"")</f>
        <v/>
      </c>
      <c r="AN99" s="526" t="str">
        <f>IFERROR(IF(IF(AZ93&gt;AA93-1,INDEX(Lista_Pedidos,AY93+AA93-1,AN93),"")=0,"",IF(AZ93&gt;AA93-1,INDEX(Lista_Pedidos,AY93+AA93-1,AN93),"")),"")</f>
        <v/>
      </c>
      <c r="AO99" s="526" t="str">
        <f>IFERROR(IF(IF(AZ93&gt;AA93-1,INDEX(Lista_Pedidos,AY93+AA93-1,AO93),"")=0,"",IF(AZ93&gt;AA93-1,INDEX(Lista_Pedidos,AY93+AA93-1,AO93),"")),"")</f>
        <v/>
      </c>
      <c r="AP99" s="526" t="str">
        <f>IFERROR(IF(IF(AZ93&gt;AA93-1,INDEX(Lista_Pedidos,AY93+AA93-1,AP93),"")=0,"",IF(AZ93&gt;AA93-1,INDEX(Lista_Pedidos,AY93+AA93-1,AP93),"")),"")</f>
        <v/>
      </c>
      <c r="AQ99" s="526" t="str">
        <f>IFERROR(IF(IF(AZ93&gt;AA93-1,INDEX(Lista_Pedidos,AY93+AA93-1,AQ93),"")=0,"",IF(AZ93&gt;AA93-1,INDEX(Lista_Pedidos,AY93+AA93-1,AQ93),"")),"")</f>
        <v/>
      </c>
      <c r="AR99" s="526" t="str">
        <f>IFERROR(IF(IF(AZ93&gt;AA93-1,INDEX(Lista_Pedidos,AY93+AA93-1,AR93),"")=0,"",IF(AZ93&gt;AA93-1,INDEX(Lista_Pedidos,AY93+AA93-1,AR93),"")),"")</f>
        <v/>
      </c>
      <c r="AS99" s="526" t="str">
        <f>IFERROR(IF(IF(AZ93&gt;AA93-1,INDEX(Lista_Pedidos,AY93+AA93-1,AS93),"")=0,"",IF(AZ93&gt;AA93-1,INDEX(Lista_Pedidos,AY93+AA93-1,AS93),"")),"")</f>
        <v/>
      </c>
      <c r="AT99" s="526" t="str">
        <f>IFERROR(IF(IF(AZ93&gt;AA93-1,INDEX(Lista_Pedidos,AY93+AA93-1,AT93),"")=0,"",IF(AZ93&gt;AA93-1,INDEX(Lista_Pedidos,AY93+AA93-1,AT93),"")),"")</f>
        <v/>
      </c>
      <c r="AU99" s="526" t="str">
        <f>IFERROR(IF(IF(AZ93&gt;AA93-1,INDEX(Lista_Pedidos,AY93+AA93-1,AU93),"")=0,"",IF(AZ93&gt;AA93-1,INDEX(Lista_Pedidos,AY93+AA93-1,AU93),"")),"")</f>
        <v/>
      </c>
      <c r="AV99" s="526" t="str">
        <f>IFERROR(IF(IF(AZ93&gt;AA93-1,INDEX(Lista_Pedidos,AY93+AA93-1,AV93),"")=0,"",IF(AZ93&gt;AA93-1,INDEX(Lista_Pedidos,AY93+AA93-1,AV93),"")),"")</f>
        <v/>
      </c>
      <c r="AW99" s="857" t="str">
        <f>IF(SUM(AJ99:AV99)&gt;1,SUM(AJ99:AV99),"")</f>
        <v/>
      </c>
      <c r="AX99" s="855"/>
      <c r="AY99" s="855"/>
      <c r="AZ99" s="860"/>
      <c r="BA99" s="854" t="str">
        <f>IFERROR(INDEX(Lista_Pedidos,Procesos!BY93+BA93-1,3),"")</f>
        <v/>
      </c>
      <c r="BB99" s="855"/>
      <c r="BC99" s="855"/>
      <c r="BD99" s="855"/>
      <c r="BE99" s="856"/>
      <c r="BF99" s="857" t="str">
        <f>IF(BZ93&gt;BA93-1,BE$11,"")</f>
        <v/>
      </c>
      <c r="BG99" s="855"/>
      <c r="BH99" s="855"/>
      <c r="BI99" s="856"/>
      <c r="BJ99" s="526" t="str">
        <f>IFERROR(IF(IF(BZ93&gt;BA93-1,INDEX(Lista_Pedidos,BY93+BA93-1,BJ93),"")=0,"",IF(BZ93&gt;BA93-1,INDEX(Lista_Pedidos,BY93+BA93-1,BJ93),"")),"")</f>
        <v/>
      </c>
      <c r="BK99" s="526" t="str">
        <f>IFERROR(IF(IF(BZ93&gt;BA93-1,INDEX(Lista_Pedidos,BY93+BA93-1,BK93),"")=0,"",IF(BZ93&gt;BA93-1,INDEX(Lista_Pedidos,BY93+BA93-1,BK93),"")),"")</f>
        <v/>
      </c>
      <c r="BL99" s="526" t="str">
        <f>IFERROR(IF(IF(BZ93&gt;BA93-1,INDEX(Lista_Pedidos,BY93+BA93-1,BL93),"")=0,"",IF(BZ93&gt;BA93-1,INDEX(Lista_Pedidos,BY93+BA93-1,BL93),"")),"")</f>
        <v/>
      </c>
      <c r="BM99" s="526" t="str">
        <f>IFERROR(IF(IF(BZ93&gt;BA93-1,INDEX(Lista_Pedidos,BY93+BA93-1,BM93),"")=0,"",IF(BZ93&gt;BA93-1,INDEX(Lista_Pedidos,BY93+BA93-1,BM93),"")),"")</f>
        <v/>
      </c>
      <c r="BN99" s="526" t="str">
        <f>IFERROR(IF(IF(BZ93&gt;BA93-1,INDEX(Lista_Pedidos,BY93+BA93-1,BN93),"")=0,"",IF(BZ93&gt;BA93-1,INDEX(Lista_Pedidos,BY93+BA93-1,BN93),"")),"")</f>
        <v/>
      </c>
      <c r="BO99" s="526" t="str">
        <f>IFERROR(IF(IF(BZ93&gt;BA93-1,INDEX(Lista_Pedidos,BY93+BA93-1,BO93),"")=0,"",IF(BZ93&gt;BA93-1,INDEX(Lista_Pedidos,BY93+BA93-1,BO93),"")),"")</f>
        <v/>
      </c>
      <c r="BP99" s="526" t="str">
        <f>IFERROR(IF(IF(BZ93&gt;BA93-1,INDEX(Lista_Pedidos,BY93+BA93-1,BP93),"")=0,"",IF(BZ93&gt;BA93-1,INDEX(Lista_Pedidos,BY93+BA93-1,BP93),"")),"")</f>
        <v/>
      </c>
      <c r="BQ99" s="526" t="str">
        <f>IFERROR(IF(IF(BZ93&gt;BA93-1,INDEX(Lista_Pedidos,BY93+BA93-1,BQ93),"")=0,"",IF(BZ93&gt;BA93-1,INDEX(Lista_Pedidos,BY93+BA93-1,BQ93),"")),"")</f>
        <v/>
      </c>
      <c r="BR99" s="526" t="str">
        <f>IFERROR(IF(IF(BZ93&gt;BA93-1,INDEX(Lista_Pedidos,BY93+BA93-1,BR93),"")=0,"",IF(BZ93&gt;BA93-1,INDEX(Lista_Pedidos,BY93+BA93-1,BR93),"")),"")</f>
        <v/>
      </c>
      <c r="BS99" s="526" t="str">
        <f>IFERROR(IF(IF(BZ93&gt;BA93-1,INDEX(Lista_Pedidos,BY93+BA93-1,BS93),"")=0,"",IF(BZ93&gt;BA93-1,INDEX(Lista_Pedidos,BY93+BA93-1,BS93),"")),"")</f>
        <v/>
      </c>
      <c r="BT99" s="526" t="str">
        <f>IFERROR(IF(IF(BZ93&gt;BA93-1,INDEX(Lista_Pedidos,BY93+BA93-1,BT93),"")=0,"",IF(BZ93&gt;BA93-1,INDEX(Lista_Pedidos,BY93+BA93-1,BT93),"")),"")</f>
        <v/>
      </c>
      <c r="BU99" s="526" t="str">
        <f>IFERROR(IF(IF(BZ93&gt;BA93-1,INDEX(Lista_Pedidos,BY93+BA93-1,BU93),"")=0,"",IF(BZ93&gt;BA93-1,INDEX(Lista_Pedidos,BY93+BA93-1,BU93),"")),"")</f>
        <v/>
      </c>
      <c r="BV99" s="526" t="str">
        <f>IFERROR(IF(IF(BZ93&gt;BA93-1,INDEX(Lista_Pedidos,BY93+BA93-1,BV93),"")=0,"",IF(BZ93&gt;BA93-1,INDEX(Lista_Pedidos,BY93+BA93-1,BV93),"")),"")</f>
        <v/>
      </c>
      <c r="BW99" s="857" t="str">
        <f>IF(SUM(BJ99:BV99)&gt;1,SUM(BJ99:BV99),"")</f>
        <v/>
      </c>
      <c r="BX99" s="855"/>
      <c r="BY99" s="855"/>
      <c r="BZ99" s="860"/>
      <c r="CA99" s="854" t="str">
        <f>IFERROR(INDEX(Lista_Pedidos,Procesos!CY93+CA93-1,3),"")</f>
        <v/>
      </c>
      <c r="CB99" s="855"/>
      <c r="CC99" s="855"/>
      <c r="CD99" s="855"/>
      <c r="CE99" s="856"/>
      <c r="CF99" s="857" t="str">
        <f>IF(CZ93&gt;CA93-1,CE$11,"")</f>
        <v/>
      </c>
      <c r="CG99" s="855"/>
      <c r="CH99" s="855"/>
      <c r="CI99" s="856"/>
      <c r="CJ99" s="526" t="str">
        <f>IFERROR(IF(IF(CZ93&gt;CA93-1,INDEX(Lista_Pedidos,CY93+CA93-1,CJ93),"")=0,"",IF(CZ93&gt;CA93-1,INDEX(Lista_Pedidos,CY93+CA93-1,CJ93),"")),"")</f>
        <v/>
      </c>
      <c r="CK99" s="526" t="str">
        <f>IFERROR(IF(IF(CZ93&gt;CA93-1,INDEX(Lista_Pedidos,CY93+CA93-1,CK93),"")=0,"",IF(CZ93&gt;CA93-1,INDEX(Lista_Pedidos,CY93+CA93-1,CK93),"")),"")</f>
        <v/>
      </c>
      <c r="CL99" s="526" t="str">
        <f>IFERROR(IF(IF(CZ93&gt;CA93-1,INDEX(Lista_Pedidos,CY93+CA93-1,CL93),"")=0,"",IF(CZ93&gt;CA93-1,INDEX(Lista_Pedidos,CY93+CA93-1,CL93),"")),"")</f>
        <v/>
      </c>
      <c r="CM99" s="526" t="str">
        <f>IFERROR(IF(IF(CZ93&gt;CA93-1,INDEX(Lista_Pedidos,CY93+CA93-1,CM93),"")=0,"",IF(CZ93&gt;CA93-1,INDEX(Lista_Pedidos,CY93+CA93-1,CM93),"")),"")</f>
        <v/>
      </c>
      <c r="CN99" s="526" t="str">
        <f>IFERROR(IF(IF(CZ93&gt;CA93-1,INDEX(Lista_Pedidos,CY93+CA93-1,CN93),"")=0,"",IF(CZ93&gt;CA93-1,INDEX(Lista_Pedidos,CY93+CA93-1,CN93),"")),"")</f>
        <v/>
      </c>
      <c r="CO99" s="526" t="str">
        <f>IFERROR(IF(IF(CZ93&gt;CA93-1,INDEX(Lista_Pedidos,CY93+CA93-1,CO93),"")=0,"",IF(CZ93&gt;CA93-1,INDEX(Lista_Pedidos,CY93+CA93-1,CO93),"")),"")</f>
        <v/>
      </c>
      <c r="CP99" s="526" t="str">
        <f>IFERROR(IF(IF(CZ93&gt;CA93-1,INDEX(Lista_Pedidos,CY93+CA93-1,CP93),"")=0,"",IF(CZ93&gt;CA93-1,INDEX(Lista_Pedidos,CY93+CA93-1,CP93),"")),"")</f>
        <v/>
      </c>
      <c r="CQ99" s="526" t="str">
        <f>IFERROR(IF(IF(CZ93&gt;CA93-1,INDEX(Lista_Pedidos,CY93+CA93-1,CQ93),"")=0,"",IF(CZ93&gt;CA93-1,INDEX(Lista_Pedidos,CY93+CA93-1,CQ93),"")),"")</f>
        <v/>
      </c>
      <c r="CR99" s="526" t="str">
        <f>IFERROR(IF(IF(CZ93&gt;CA93-1,INDEX(Lista_Pedidos,CY93+CA93-1,CR93),"")=0,"",IF(CZ93&gt;CA93-1,INDEX(Lista_Pedidos,CY93+CA93-1,CR93),"")),"")</f>
        <v/>
      </c>
      <c r="CS99" s="526" t="str">
        <f>IFERROR(IF(IF(CZ93&gt;CA93-1,INDEX(Lista_Pedidos,CY93+CA93-1,CS93),"")=0,"",IF(CZ93&gt;CA93-1,INDEX(Lista_Pedidos,CY93+CA93-1,CS93),"")),"")</f>
        <v/>
      </c>
      <c r="CT99" s="526" t="str">
        <f>IFERROR(IF(IF(CZ93&gt;CA93-1,INDEX(Lista_Pedidos,CY93+CA93-1,CT93),"")=0,"",IF(CZ93&gt;CA93-1,INDEX(Lista_Pedidos,CY93+CA93-1,CT93),"")),"")</f>
        <v/>
      </c>
      <c r="CU99" s="526" t="str">
        <f>IFERROR(IF(IF(CZ93&gt;CA93-1,INDEX(Lista_Pedidos,CY93+CA93-1,CU93),"")=0,"",IF(CZ93&gt;CA93-1,INDEX(Lista_Pedidos,CY93+CA93-1,CU93),"")),"")</f>
        <v/>
      </c>
      <c r="CV99" s="526" t="str">
        <f>IFERROR(IF(IF(CZ93&gt;CA93-1,INDEX(Lista_Pedidos,CY93+CA93-1,CV93),"")=0,"",IF(CZ93&gt;CA93-1,INDEX(Lista_Pedidos,CY93+CA93-1,CV93),"")),"")</f>
        <v/>
      </c>
      <c r="CW99" s="857" t="str">
        <f>IF(SUM(CJ99:CV99)&gt;1,SUM(CJ99:CV99),"")</f>
        <v/>
      </c>
      <c r="CX99" s="855"/>
      <c r="CY99" s="855"/>
      <c r="CZ99" s="860"/>
      <c r="DA99" s="854" t="str">
        <f>IFERROR(INDEX(Lista_Pedidos,Procesos!DY93+DA93-1,3),"")</f>
        <v/>
      </c>
      <c r="DB99" s="855"/>
      <c r="DC99" s="855"/>
      <c r="DD99" s="855"/>
      <c r="DE99" s="856"/>
      <c r="DF99" s="857" t="str">
        <f>IF(DZ93&gt;DA93-1,DE$11,"")</f>
        <v/>
      </c>
      <c r="DG99" s="855"/>
      <c r="DH99" s="855"/>
      <c r="DI99" s="856"/>
      <c r="DJ99" s="526" t="str">
        <f>IFERROR(IF(IF(DZ93&gt;DA93-1,INDEX(Lista_Pedidos,DY93+DA93-1,DJ93),"")=0,"",IF(DZ93&gt;DA93-1,INDEX(Lista_Pedidos,DY93+DA93-1,DJ93),"")),"")</f>
        <v/>
      </c>
      <c r="DK99" s="526" t="str">
        <f>IFERROR(IF(IF(DZ93&gt;DA93-1,INDEX(Lista_Pedidos,DY93+DA93-1,DK93),"")=0,"",IF(DZ93&gt;DA93-1,INDEX(Lista_Pedidos,DY93+DA93-1,DK93),"")),"")</f>
        <v/>
      </c>
      <c r="DL99" s="526" t="str">
        <f>IFERROR(IF(IF(DZ93&gt;DA93-1,INDEX(Lista_Pedidos,DY93+DA93-1,DL93),"")=0,"",IF(DZ93&gt;DA93-1,INDEX(Lista_Pedidos,DY93+DA93-1,DL93),"")),"")</f>
        <v/>
      </c>
      <c r="DM99" s="526" t="str">
        <f>IFERROR(IF(IF(DZ93&gt;DA93-1,INDEX(Lista_Pedidos,DY93+DA93-1,DM93),"")=0,"",IF(DZ93&gt;DA93-1,INDEX(Lista_Pedidos,DY93+DA93-1,DM93),"")),"")</f>
        <v/>
      </c>
      <c r="DN99" s="526" t="str">
        <f>IFERROR(IF(IF(DZ93&gt;DA93-1,INDEX(Lista_Pedidos,DY93+DA93-1,DN93),"")=0,"",IF(DZ93&gt;DA93-1,INDEX(Lista_Pedidos,DY93+DA93-1,DN93),"")),"")</f>
        <v/>
      </c>
      <c r="DO99" s="526" t="str">
        <f>IFERROR(IF(IF(DZ93&gt;DA93-1,INDEX(Lista_Pedidos,DY93+DA93-1,DO93),"")=0,"",IF(DZ93&gt;DA93-1,INDEX(Lista_Pedidos,DY93+DA93-1,DO93),"")),"")</f>
        <v/>
      </c>
      <c r="DP99" s="526" t="str">
        <f>IFERROR(IF(IF(DZ93&gt;DA93-1,INDEX(Lista_Pedidos,DY93+DA93-1,DP93),"")=0,"",IF(DZ93&gt;DA93-1,INDEX(Lista_Pedidos,DY93+DA93-1,DP93),"")),"")</f>
        <v/>
      </c>
      <c r="DQ99" s="526" t="str">
        <f>IFERROR(IF(IF(DZ93&gt;DA93-1,INDEX(Lista_Pedidos,DY93+DA93-1,DQ93),"")=0,"",IF(DZ93&gt;DA93-1,INDEX(Lista_Pedidos,DY93+DA93-1,DQ93),"")),"")</f>
        <v/>
      </c>
      <c r="DR99" s="526" t="str">
        <f>IFERROR(IF(IF(DZ93&gt;DA93-1,INDEX(Lista_Pedidos,DY93+DA93-1,DR93),"")=0,"",IF(DZ93&gt;DA93-1,INDEX(Lista_Pedidos,DY93+DA93-1,DR93),"")),"")</f>
        <v/>
      </c>
      <c r="DS99" s="526" t="str">
        <f>IFERROR(IF(IF(DZ93&gt;DA93-1,INDEX(Lista_Pedidos,DY93+DA93-1,DS93),"")=0,"",IF(DZ93&gt;DA93-1,INDEX(Lista_Pedidos,DY93+DA93-1,DS93),"")),"")</f>
        <v/>
      </c>
      <c r="DT99" s="526" t="str">
        <f>IFERROR(IF(IF(DZ93&gt;DA93-1,INDEX(Lista_Pedidos,DY93+DA93-1,DT93),"")=0,"",IF(DZ93&gt;DA93-1,INDEX(Lista_Pedidos,DY93+DA93-1,DT93),"")),"")</f>
        <v/>
      </c>
      <c r="DU99" s="526" t="str">
        <f>IFERROR(IF(IF(DZ93&gt;DA93-1,INDEX(Lista_Pedidos,DY93+DA93-1,DU93),"")=0,"",IF(DZ93&gt;DA93-1,INDEX(Lista_Pedidos,DY93+DA93-1,DU93),"")),"")</f>
        <v/>
      </c>
      <c r="DV99" s="526" t="str">
        <f>IFERROR(IF(IF(DZ93&gt;DA93-1,INDEX(Lista_Pedidos,DY93+DA93-1,DV93),"")=0,"",IF(DZ93&gt;DA93-1,INDEX(Lista_Pedidos,DY93+DA93-1,DV93),"")),"")</f>
        <v/>
      </c>
      <c r="DW99" s="857" t="str">
        <f>IF(SUM(DJ99:DV99)&gt;1,SUM(DJ99:DV99),"")</f>
        <v/>
      </c>
      <c r="DX99" s="855"/>
      <c r="DY99" s="855"/>
      <c r="DZ99" s="860"/>
      <c r="EA99" s="854" t="str">
        <f>IFERROR(INDEX(Lista_Pedidos,Procesos!EY93+EA93-1,3),"")</f>
        <v/>
      </c>
      <c r="EB99" s="855"/>
      <c r="EC99" s="855"/>
      <c r="ED99" s="855"/>
      <c r="EE99" s="856"/>
      <c r="EF99" s="857" t="str">
        <f>IF(EZ93&gt;EA93-1,EE$11,"")</f>
        <v/>
      </c>
      <c r="EG99" s="855"/>
      <c r="EH99" s="855"/>
      <c r="EI99" s="856"/>
      <c r="EJ99" s="526" t="str">
        <f>IFERROR(IF(IF(EZ93&gt;EA93-1,INDEX(Lista_Pedidos,EY93+EA93-1,EJ93),"")=0,"",IF(EZ93&gt;EA93-1,INDEX(Lista_Pedidos,EY93+EA93-1,EJ93),"")),"")</f>
        <v/>
      </c>
      <c r="EK99" s="526" t="str">
        <f>IFERROR(IF(IF(EZ93&gt;EA93-1,INDEX(Lista_Pedidos,EY93+EA93-1,EK93),"")=0,"",IF(EZ93&gt;EA93-1,INDEX(Lista_Pedidos,EY93+EA93-1,EK93),"")),"")</f>
        <v/>
      </c>
      <c r="EL99" s="526" t="str">
        <f>IFERROR(IF(IF(EZ93&gt;EA93-1,INDEX(Lista_Pedidos,EY93+EA93-1,EL93),"")=0,"",IF(EZ93&gt;EA93-1,INDEX(Lista_Pedidos,EY93+EA93-1,EL93),"")),"")</f>
        <v/>
      </c>
      <c r="EM99" s="526" t="str">
        <f>IFERROR(IF(IF(EZ93&gt;EA93-1,INDEX(Lista_Pedidos,EY93+EA93-1,EM93),"")=0,"",IF(EZ93&gt;EA93-1,INDEX(Lista_Pedidos,EY93+EA93-1,EM93),"")),"")</f>
        <v/>
      </c>
      <c r="EN99" s="526" t="str">
        <f>IFERROR(IF(IF(EZ93&gt;EA93-1,INDEX(Lista_Pedidos,EY93+EA93-1,EN93),"")=0,"",IF(EZ93&gt;EA93-1,INDEX(Lista_Pedidos,EY93+EA93-1,EN93),"")),"")</f>
        <v/>
      </c>
      <c r="EO99" s="526" t="str">
        <f>IFERROR(IF(IF(EZ93&gt;EA93-1,INDEX(Lista_Pedidos,EY93+EA93-1,EO93),"")=0,"",IF(EZ93&gt;EA93-1,INDEX(Lista_Pedidos,EY93+EA93-1,EO93),"")),"")</f>
        <v/>
      </c>
      <c r="EP99" s="526" t="str">
        <f>IFERROR(IF(IF(EZ93&gt;EA93-1,INDEX(Lista_Pedidos,EY93+EA93-1,EP93),"")=0,"",IF(EZ93&gt;EA93-1,INDEX(Lista_Pedidos,EY93+EA93-1,EP93),"")),"")</f>
        <v/>
      </c>
      <c r="EQ99" s="526" t="str">
        <f>IFERROR(IF(IF(EZ93&gt;EA93-1,INDEX(Lista_Pedidos,EY93+EA93-1,EQ93),"")=0,"",IF(EZ93&gt;EA93-1,INDEX(Lista_Pedidos,EY93+EA93-1,EQ93),"")),"")</f>
        <v/>
      </c>
      <c r="ER99" s="526" t="str">
        <f>IFERROR(IF(IF(EZ93&gt;EA93-1,INDEX(Lista_Pedidos,EY93+EA93-1,ER93),"")=0,"",IF(EZ93&gt;EA93-1,INDEX(Lista_Pedidos,EY93+EA93-1,ER93),"")),"")</f>
        <v/>
      </c>
      <c r="ES99" s="526" t="str">
        <f>IFERROR(IF(IF(EZ93&gt;EA93-1,INDEX(Lista_Pedidos,EY93+EA93-1,ES93),"")=0,"",IF(EZ93&gt;EA93-1,INDEX(Lista_Pedidos,EY93+EA93-1,ES93),"")),"")</f>
        <v/>
      </c>
      <c r="ET99" s="526" t="str">
        <f>IFERROR(IF(IF(EZ93&gt;EA93-1,INDEX(Lista_Pedidos,EY93+EA93-1,ET93),"")=0,"",IF(EZ93&gt;EA93-1,INDEX(Lista_Pedidos,EY93+EA93-1,ET93),"")),"")</f>
        <v/>
      </c>
      <c r="EU99" s="526" t="str">
        <f>IFERROR(IF(IF(EZ93&gt;EA93-1,INDEX(Lista_Pedidos,EY93+EA93-1,EU93),"")=0,"",IF(EZ93&gt;EA93-1,INDEX(Lista_Pedidos,EY93+EA93-1,EU93),"")),"")</f>
        <v/>
      </c>
      <c r="EV99" s="526" t="str">
        <f>IFERROR(IF(IF(EZ93&gt;EA93-1,INDEX(Lista_Pedidos,EY93+EA93-1,EV93),"")=0,"",IF(EZ93&gt;EA93-1,INDEX(Lista_Pedidos,EY93+EA93-1,EV93),"")),"")</f>
        <v/>
      </c>
      <c r="EW99" s="857" t="str">
        <f>IF(SUM(EJ99:EV99)&gt;1,SUM(EJ99:EV99),"")</f>
        <v/>
      </c>
      <c r="EX99" s="855"/>
      <c r="EY99" s="855"/>
      <c r="EZ99" s="860"/>
      <c r="FA99" s="854" t="str">
        <f>IFERROR(INDEX(Lista_Pedidos,Procesos!FY93+FA93-1,3),"")</f>
        <v/>
      </c>
      <c r="FB99" s="855"/>
      <c r="FC99" s="855"/>
      <c r="FD99" s="855"/>
      <c r="FE99" s="856"/>
      <c r="FF99" s="857" t="str">
        <f>IF(FZ93&gt;FA93-1,FE$11,"")</f>
        <v/>
      </c>
      <c r="FG99" s="855"/>
      <c r="FH99" s="855"/>
      <c r="FI99" s="856"/>
      <c r="FJ99" s="526" t="str">
        <f>IFERROR(IF(IF(FZ93&gt;FA93-1,INDEX(Lista_Pedidos,FY93+FA93-1,FJ93),"")=0,"",IF(FZ93&gt;FA93-1,INDEX(Lista_Pedidos,FY93+FA93-1,FJ93),"")),"")</f>
        <v/>
      </c>
      <c r="FK99" s="526" t="str">
        <f>IFERROR(IF(IF(FZ93&gt;FA93-1,INDEX(Lista_Pedidos,FY93+FA93-1,FK93),"")=0,"",IF(FZ93&gt;FA93-1,INDEX(Lista_Pedidos,FY93+FA93-1,FK93),"")),"")</f>
        <v/>
      </c>
      <c r="FL99" s="526" t="str">
        <f>IFERROR(IF(IF(FZ93&gt;FA93-1,INDEX(Lista_Pedidos,FY93+FA93-1,FL93),"")=0,"",IF(FZ93&gt;FA93-1,INDEX(Lista_Pedidos,FY93+FA93-1,FL93),"")),"")</f>
        <v/>
      </c>
      <c r="FM99" s="526" t="str">
        <f>IFERROR(IF(IF(FZ93&gt;FA93-1,INDEX(Lista_Pedidos,FY93+FA93-1,FM93),"")=0,"",IF(FZ93&gt;FA93-1,INDEX(Lista_Pedidos,FY93+FA93-1,FM93),"")),"")</f>
        <v/>
      </c>
      <c r="FN99" s="526" t="str">
        <f>IFERROR(IF(IF(FZ93&gt;FA93-1,INDEX(Lista_Pedidos,FY93+FA93-1,FN93),"")=0,"",IF(FZ93&gt;FA93-1,INDEX(Lista_Pedidos,FY93+FA93-1,FN93),"")),"")</f>
        <v/>
      </c>
      <c r="FO99" s="526" t="str">
        <f>IFERROR(IF(IF(FZ93&gt;FA93-1,INDEX(Lista_Pedidos,FY93+FA93-1,FO93),"")=0,"",IF(FZ93&gt;FA93-1,INDEX(Lista_Pedidos,FY93+FA93-1,FO93),"")),"")</f>
        <v/>
      </c>
      <c r="FP99" s="526" t="str">
        <f>IFERROR(IF(IF(FZ93&gt;FA93-1,INDEX(Lista_Pedidos,FY93+FA93-1,FP93),"")=0,"",IF(FZ93&gt;FA93-1,INDEX(Lista_Pedidos,FY93+FA93-1,FP93),"")),"")</f>
        <v/>
      </c>
      <c r="FQ99" s="526" t="str">
        <f>IFERROR(IF(IF(FZ93&gt;FA93-1,INDEX(Lista_Pedidos,FY93+FA93-1,FQ93),"")=0,"",IF(FZ93&gt;FA93-1,INDEX(Lista_Pedidos,FY93+FA93-1,FQ93),"")),"")</f>
        <v/>
      </c>
      <c r="FR99" s="526" t="str">
        <f>IFERROR(IF(IF(FZ93&gt;FA93-1,INDEX(Lista_Pedidos,FY93+FA93-1,FR93),"")=0,"",IF(FZ93&gt;FA93-1,INDEX(Lista_Pedidos,FY93+FA93-1,FR93),"")),"")</f>
        <v/>
      </c>
      <c r="FS99" s="526" t="str">
        <f>IFERROR(IF(IF(FZ93&gt;FA93-1,INDEX(Lista_Pedidos,FY93+FA93-1,FS93),"")=0,"",IF(FZ93&gt;FA93-1,INDEX(Lista_Pedidos,FY93+FA93-1,FS93),"")),"")</f>
        <v/>
      </c>
      <c r="FT99" s="526" t="str">
        <f>IFERROR(IF(IF(FZ93&gt;FA93-1,INDEX(Lista_Pedidos,FY93+FA93-1,FT93),"")=0,"",IF(FZ93&gt;FA93-1,INDEX(Lista_Pedidos,FY93+FA93-1,FT93),"")),"")</f>
        <v/>
      </c>
      <c r="FU99" s="526" t="str">
        <f>IFERROR(IF(IF(FZ93&gt;FA93-1,INDEX(Lista_Pedidos,FY93+FA93-1,FU93),"")=0,"",IF(FZ93&gt;FA93-1,INDEX(Lista_Pedidos,FY93+FA93-1,FU93),"")),"")</f>
        <v/>
      </c>
      <c r="FV99" s="526" t="str">
        <f>IFERROR(IF(IF(FZ93&gt;FA93-1,INDEX(Lista_Pedidos,FY93+FA93-1,FV93),"")=0,"",IF(FZ93&gt;FA93-1,INDEX(Lista_Pedidos,FY93+FA93-1,FV93),"")),"")</f>
        <v/>
      </c>
      <c r="FW99" s="857" t="str">
        <f>IF(SUM(FJ99:FV99)&gt;1,SUM(FJ99:FV99),"")</f>
        <v/>
      </c>
      <c r="FX99" s="855"/>
      <c r="FY99" s="855"/>
      <c r="FZ99" s="860"/>
      <c r="GA99" s="854" t="str">
        <f>IFERROR(INDEX(Lista_Pedidos,Procesos!GY93+GA93-1,3),"")</f>
        <v/>
      </c>
      <c r="GB99" s="855"/>
      <c r="GC99" s="855"/>
      <c r="GD99" s="855"/>
      <c r="GE99" s="856"/>
      <c r="GF99" s="857" t="str">
        <f>IF(GZ93&gt;GA93-1,GE$11,"")</f>
        <v/>
      </c>
      <c r="GG99" s="855"/>
      <c r="GH99" s="855"/>
      <c r="GI99" s="856"/>
      <c r="GJ99" s="526" t="str">
        <f>IFERROR(IF(IF(GZ93&gt;GA93-1,INDEX(Lista_Pedidos,GY93+GA93-1,GJ93),"")=0,"",IF(GZ93&gt;GA93-1,INDEX(Lista_Pedidos,GY93+GA93-1,GJ93),"")),"")</f>
        <v/>
      </c>
      <c r="GK99" s="526" t="str">
        <f>IFERROR(IF(IF(GZ93&gt;GA93-1,INDEX(Lista_Pedidos,GY93+GA93-1,GK93),"")=0,"",IF(GZ93&gt;GA93-1,INDEX(Lista_Pedidos,GY93+GA93-1,GK93),"")),"")</f>
        <v/>
      </c>
      <c r="GL99" s="526" t="str">
        <f>IFERROR(IF(IF(GZ93&gt;GA93-1,INDEX(Lista_Pedidos,GY93+GA93-1,GL93),"")=0,"",IF(GZ93&gt;GA93-1,INDEX(Lista_Pedidos,GY93+GA93-1,GL93),"")),"")</f>
        <v/>
      </c>
      <c r="GM99" s="526" t="str">
        <f>IFERROR(IF(IF(GZ93&gt;GA93-1,INDEX(Lista_Pedidos,GY93+GA93-1,GM93),"")=0,"",IF(GZ93&gt;GA93-1,INDEX(Lista_Pedidos,GY93+GA93-1,GM93),"")),"")</f>
        <v/>
      </c>
      <c r="GN99" s="526" t="str">
        <f>IFERROR(IF(IF(GZ93&gt;GA93-1,INDEX(Lista_Pedidos,GY93+GA93-1,GN93),"")=0,"",IF(GZ93&gt;GA93-1,INDEX(Lista_Pedidos,GY93+GA93-1,GN93),"")),"")</f>
        <v/>
      </c>
      <c r="GO99" s="526" t="str">
        <f>IFERROR(IF(IF(GZ93&gt;GA93-1,INDEX(Lista_Pedidos,GY93+GA93-1,GO93),"")=0,"",IF(GZ93&gt;GA93-1,INDEX(Lista_Pedidos,GY93+GA93-1,GO93),"")),"")</f>
        <v/>
      </c>
      <c r="GP99" s="526" t="str">
        <f>IFERROR(IF(IF(GZ93&gt;GA93-1,INDEX(Lista_Pedidos,GY93+GA93-1,GP93),"")=0,"",IF(GZ93&gt;GA93-1,INDEX(Lista_Pedidos,GY93+GA93-1,GP93),"")),"")</f>
        <v/>
      </c>
      <c r="GQ99" s="526" t="str">
        <f>IFERROR(IF(IF(GZ93&gt;GA93-1,INDEX(Lista_Pedidos,GY93+GA93-1,GQ93),"")=0,"",IF(GZ93&gt;GA93-1,INDEX(Lista_Pedidos,GY93+GA93-1,GQ93),"")),"")</f>
        <v/>
      </c>
      <c r="GR99" s="526" t="str">
        <f>IFERROR(IF(IF(GZ93&gt;GA93-1,INDEX(Lista_Pedidos,GY93+GA93-1,GR93),"")=0,"",IF(GZ93&gt;GA93-1,INDEX(Lista_Pedidos,GY93+GA93-1,GR93),"")),"")</f>
        <v/>
      </c>
      <c r="GS99" s="526" t="str">
        <f>IFERROR(IF(IF(GZ93&gt;GA93-1,INDEX(Lista_Pedidos,GY93+GA93-1,GS93),"")=0,"",IF(GZ93&gt;GA93-1,INDEX(Lista_Pedidos,GY93+GA93-1,GS93),"")),"")</f>
        <v/>
      </c>
      <c r="GT99" s="526" t="str">
        <f>IFERROR(IF(IF(GZ93&gt;GA93-1,INDEX(Lista_Pedidos,GY93+GA93-1,GT93),"")=0,"",IF(GZ93&gt;GA93-1,INDEX(Lista_Pedidos,GY93+GA93-1,GT93),"")),"")</f>
        <v/>
      </c>
      <c r="GU99" s="526" t="str">
        <f>IFERROR(IF(IF(GZ93&gt;GA93-1,INDEX(Lista_Pedidos,GY93+GA93-1,GU93),"")=0,"",IF(GZ93&gt;GA93-1,INDEX(Lista_Pedidos,GY93+GA93-1,GU93),"")),"")</f>
        <v/>
      </c>
      <c r="GV99" s="526" t="str">
        <f>IFERROR(IF(IF(GZ93&gt;GA93-1,INDEX(Lista_Pedidos,GY93+GA93-1,GV93),"")=0,"",IF(GZ93&gt;GA93-1,INDEX(Lista_Pedidos,GY93+GA93-1,GV93),"")),"")</f>
        <v/>
      </c>
      <c r="GW99" s="857" t="str">
        <f>IF(SUM(GJ99:GV99)&gt;1,SUM(GJ99:GV99),"")</f>
        <v/>
      </c>
      <c r="GX99" s="855"/>
      <c r="GY99" s="855"/>
      <c r="GZ99" s="860"/>
      <c r="HA99" s="854" t="str">
        <f>IFERROR(INDEX(Lista_Pedidos,Procesos!HY93+HA93-1,3),"")</f>
        <v/>
      </c>
      <c r="HB99" s="855"/>
      <c r="HC99" s="855"/>
      <c r="HD99" s="855"/>
      <c r="HE99" s="856"/>
      <c r="HF99" s="857" t="str">
        <f>IF(HZ93&gt;HA93-1,HE$11,"")</f>
        <v/>
      </c>
      <c r="HG99" s="855"/>
      <c r="HH99" s="855"/>
      <c r="HI99" s="856"/>
      <c r="HJ99" s="526" t="str">
        <f>IFERROR(IF(IF(HZ93&gt;HA93-1,INDEX(Lista_Pedidos,HY93+HA93-1,HJ93),"")=0,"",IF(HZ93&gt;HA93-1,INDEX(Lista_Pedidos,HY93+HA93-1,HJ93),"")),"")</f>
        <v/>
      </c>
      <c r="HK99" s="526" t="str">
        <f>IFERROR(IF(IF(HZ93&gt;HA93-1,INDEX(Lista_Pedidos,HY93+HA93-1,HK93),"")=0,"",IF(HZ93&gt;HA93-1,INDEX(Lista_Pedidos,HY93+HA93-1,HK93),"")),"")</f>
        <v/>
      </c>
      <c r="HL99" s="526" t="str">
        <f>IFERROR(IF(IF(HZ93&gt;HA93-1,INDEX(Lista_Pedidos,HY93+HA93-1,HL93),"")=0,"",IF(HZ93&gt;HA93-1,INDEX(Lista_Pedidos,HY93+HA93-1,HL93),"")),"")</f>
        <v/>
      </c>
      <c r="HM99" s="526" t="str">
        <f>IFERROR(IF(IF(HZ93&gt;HA93-1,INDEX(Lista_Pedidos,HY93+HA93-1,HM93),"")=0,"",IF(HZ93&gt;HA93-1,INDEX(Lista_Pedidos,HY93+HA93-1,HM93),"")),"")</f>
        <v/>
      </c>
      <c r="HN99" s="526" t="str">
        <f>IFERROR(IF(IF(HZ93&gt;HA93-1,INDEX(Lista_Pedidos,HY93+HA93-1,HN93),"")=0,"",IF(HZ93&gt;HA93-1,INDEX(Lista_Pedidos,HY93+HA93-1,HN93),"")),"")</f>
        <v/>
      </c>
      <c r="HO99" s="526" t="str">
        <f>IFERROR(IF(IF(HZ93&gt;HA93-1,INDEX(Lista_Pedidos,HY93+HA93-1,HO93),"")=0,"",IF(HZ93&gt;HA93-1,INDEX(Lista_Pedidos,HY93+HA93-1,HO93),"")),"")</f>
        <v/>
      </c>
      <c r="HP99" s="526" t="str">
        <f>IFERROR(IF(IF(HZ93&gt;HA93-1,INDEX(Lista_Pedidos,HY93+HA93-1,HP93),"")=0,"",IF(HZ93&gt;HA93-1,INDEX(Lista_Pedidos,HY93+HA93-1,HP93),"")),"")</f>
        <v/>
      </c>
      <c r="HQ99" s="526" t="str">
        <f>IFERROR(IF(IF(HZ93&gt;HA93-1,INDEX(Lista_Pedidos,HY93+HA93-1,HQ93),"")=0,"",IF(HZ93&gt;HA93-1,INDEX(Lista_Pedidos,HY93+HA93-1,HQ93),"")),"")</f>
        <v/>
      </c>
      <c r="HR99" s="526" t="str">
        <f>IFERROR(IF(IF(HZ93&gt;HA93-1,INDEX(Lista_Pedidos,HY93+HA93-1,HR93),"")=0,"",IF(HZ93&gt;HA93-1,INDEX(Lista_Pedidos,HY93+HA93-1,HR93),"")),"")</f>
        <v/>
      </c>
      <c r="HS99" s="526" t="str">
        <f>IFERROR(IF(IF(HZ93&gt;HA93-1,INDEX(Lista_Pedidos,HY93+HA93-1,HS93),"")=0,"",IF(HZ93&gt;HA93-1,INDEX(Lista_Pedidos,HY93+HA93-1,HS93),"")),"")</f>
        <v/>
      </c>
      <c r="HT99" s="526" t="str">
        <f>IFERROR(IF(IF(HZ93&gt;HA93-1,INDEX(Lista_Pedidos,HY93+HA93-1,HT93),"")=0,"",IF(HZ93&gt;HA93-1,INDEX(Lista_Pedidos,HY93+HA93-1,HT93),"")),"")</f>
        <v/>
      </c>
      <c r="HU99" s="526" t="str">
        <f>IFERROR(IF(IF(HZ93&gt;HA93-1,INDEX(Lista_Pedidos,HY93+HA93-1,HU93),"")=0,"",IF(HZ93&gt;HA93-1,INDEX(Lista_Pedidos,HY93+HA93-1,HU93),"")),"")</f>
        <v/>
      </c>
      <c r="HV99" s="526" t="str">
        <f>IFERROR(IF(IF(HZ93&gt;HA93-1,INDEX(Lista_Pedidos,HY93+HA93-1,HV93),"")=0,"",IF(HZ93&gt;HA93-1,INDEX(Lista_Pedidos,HY93+HA93-1,HV93),"")),"")</f>
        <v/>
      </c>
      <c r="HW99" s="857" t="str">
        <f>IF(SUM(HJ99:HV99)&gt;1,SUM(HJ99:HV99),"")</f>
        <v/>
      </c>
      <c r="HX99" s="855"/>
      <c r="HY99" s="855"/>
      <c r="HZ99" s="860"/>
      <c r="IA99" s="854" t="str">
        <f>IFERROR(INDEX(Lista_Pedidos,Procesos!IY93+IA93-1,3),"")</f>
        <v/>
      </c>
      <c r="IB99" s="855"/>
      <c r="IC99" s="855"/>
      <c r="ID99" s="855"/>
      <c r="IE99" s="856"/>
      <c r="IF99" s="857" t="str">
        <f>IF(IZ93&gt;IA93-1,IE$11,"")</f>
        <v/>
      </c>
      <c r="IG99" s="855"/>
      <c r="IH99" s="855"/>
      <c r="II99" s="856"/>
      <c r="IJ99" s="526" t="str">
        <f>IFERROR(IF(IF(IZ93&gt;IA93-1,INDEX(Lista_Pedidos,IY93+IA93-1,IJ93),"")=0,"",IF(IZ93&gt;IA93-1,INDEX(Lista_Pedidos,IY93+IA93-1,IJ93),"")),"")</f>
        <v/>
      </c>
      <c r="IK99" s="526" t="str">
        <f>IFERROR(IF(IF(IZ93&gt;IA93-1,INDEX(Lista_Pedidos,IY93+IA93-1,IK93),"")=0,"",IF(IZ93&gt;IA93-1,INDEX(Lista_Pedidos,IY93+IA93-1,IK93),"")),"")</f>
        <v/>
      </c>
      <c r="IL99" s="526" t="str">
        <f>IFERROR(IF(IF(IZ93&gt;IA93-1,INDEX(Lista_Pedidos,IY93+IA93-1,IL93),"")=0,"",IF(IZ93&gt;IA93-1,INDEX(Lista_Pedidos,IY93+IA93-1,IL93),"")),"")</f>
        <v/>
      </c>
      <c r="IM99" s="526" t="str">
        <f>IFERROR(IF(IF(IZ93&gt;IA93-1,INDEX(Lista_Pedidos,IY93+IA93-1,IM93),"")=0,"",IF(IZ93&gt;IA93-1,INDEX(Lista_Pedidos,IY93+IA93-1,IM93),"")),"")</f>
        <v/>
      </c>
      <c r="IN99" s="526" t="str">
        <f>IFERROR(IF(IF(IZ93&gt;IA93-1,INDEX(Lista_Pedidos,IY93+IA93-1,IN93),"")=0,"",IF(IZ93&gt;IA93-1,INDEX(Lista_Pedidos,IY93+IA93-1,IN93),"")),"")</f>
        <v/>
      </c>
      <c r="IO99" s="526" t="str">
        <f>IFERROR(IF(IF(IZ93&gt;IA93-1,INDEX(Lista_Pedidos,IY93+IA93-1,IO93),"")=0,"",IF(IZ93&gt;IA93-1,INDEX(Lista_Pedidos,IY93+IA93-1,IO93),"")),"")</f>
        <v/>
      </c>
      <c r="IP99" s="526" t="str">
        <f>IFERROR(IF(IF(IZ93&gt;IA93-1,INDEX(Lista_Pedidos,IY93+IA93-1,IP93),"")=0,"",IF(IZ93&gt;IA93-1,INDEX(Lista_Pedidos,IY93+IA93-1,IP93),"")),"")</f>
        <v/>
      </c>
      <c r="IQ99" s="526" t="str">
        <f>IFERROR(IF(IF(IZ93&gt;IA93-1,INDEX(Lista_Pedidos,IY93+IA93-1,IQ93),"")=0,"",IF(IZ93&gt;IA93-1,INDEX(Lista_Pedidos,IY93+IA93-1,IQ93),"")),"")</f>
        <v/>
      </c>
      <c r="IR99" s="526" t="str">
        <f>IFERROR(IF(IF(IZ93&gt;IA93-1,INDEX(Lista_Pedidos,IY93+IA93-1,IR93),"")=0,"",IF(IZ93&gt;IA93-1,INDEX(Lista_Pedidos,IY93+IA93-1,IR93),"")),"")</f>
        <v/>
      </c>
      <c r="IS99" s="526" t="str">
        <f>IFERROR(IF(IF(IZ93&gt;IA93-1,INDEX(Lista_Pedidos,IY93+IA93-1,IS93),"")=0,"",IF(IZ93&gt;IA93-1,INDEX(Lista_Pedidos,IY93+IA93-1,IS93),"")),"")</f>
        <v/>
      </c>
      <c r="IT99" s="526" t="str">
        <f>IFERROR(IF(IF(IZ93&gt;IA93-1,INDEX(Lista_Pedidos,IY93+IA93-1,IT93),"")=0,"",IF(IZ93&gt;IA93-1,INDEX(Lista_Pedidos,IY93+IA93-1,IT93),"")),"")</f>
        <v/>
      </c>
      <c r="IU99" s="526" t="str">
        <f>IFERROR(IF(IF(IZ93&gt;IA93-1,INDEX(Lista_Pedidos,IY93+IA93-1,IU93),"")=0,"",IF(IZ93&gt;IA93-1,INDEX(Lista_Pedidos,IY93+IA93-1,IU93),"")),"")</f>
        <v/>
      </c>
      <c r="IV99" s="526" t="str">
        <f>IFERROR(IF(IF(IZ93&gt;IA93-1,INDEX(Lista_Pedidos,IY93+IA93-1,IV93),"")=0,"",IF(IZ93&gt;IA93-1,INDEX(Lista_Pedidos,IY93+IA93-1,IV93),"")),"")</f>
        <v/>
      </c>
      <c r="IW99" s="857" t="str">
        <f>IF(SUM(IJ99:IV99)&gt;1,SUM(IJ99:IV99),"")</f>
        <v/>
      </c>
      <c r="IX99" s="855"/>
      <c r="IY99" s="855"/>
      <c r="IZ99" s="860"/>
    </row>
    <row r="100" spans="1:260" x14ac:dyDescent="0.25">
      <c r="A100" s="823"/>
      <c r="B100" s="824"/>
      <c r="C100" s="824"/>
      <c r="D100" s="824"/>
      <c r="E100" s="824"/>
      <c r="F100" s="824"/>
      <c r="G100" s="824"/>
      <c r="H100" s="824"/>
      <c r="I100" s="824"/>
      <c r="J100" s="824"/>
      <c r="K100" s="824"/>
      <c r="L100" s="824"/>
      <c r="M100" s="824"/>
      <c r="N100" s="824"/>
      <c r="O100" s="824"/>
      <c r="P100" s="824"/>
      <c r="Q100" s="824"/>
      <c r="R100" s="824"/>
      <c r="S100" s="824"/>
      <c r="T100" s="824"/>
      <c r="U100" s="824"/>
      <c r="V100" s="824"/>
      <c r="W100" s="824" t="str">
        <f>IFERROR(IF(Z93&gt;A93-1,IF(INDEX(Lista_Pedidos,Y93+A93-1,2)&lt;&gt;"",INDEX(Lista_Pedidos,Y93+A93-1,2),""),""),"")</f>
        <v/>
      </c>
      <c r="X100" s="824"/>
      <c r="Y100" s="824"/>
      <c r="Z100" s="825"/>
      <c r="AA100" s="823"/>
      <c r="AB100" s="824"/>
      <c r="AC100" s="824"/>
      <c r="AD100" s="824"/>
      <c r="AE100" s="824"/>
      <c r="AF100" s="824"/>
      <c r="AG100" s="824"/>
      <c r="AH100" s="824"/>
      <c r="AI100" s="824"/>
      <c r="AJ100" s="824"/>
      <c r="AK100" s="824"/>
      <c r="AL100" s="824"/>
      <c r="AM100" s="824"/>
      <c r="AN100" s="824"/>
      <c r="AO100" s="824"/>
      <c r="AP100" s="824"/>
      <c r="AQ100" s="824"/>
      <c r="AR100" s="824"/>
      <c r="AS100" s="824"/>
      <c r="AT100" s="824"/>
      <c r="AU100" s="824"/>
      <c r="AV100" s="824"/>
      <c r="AW100" s="824" t="str">
        <f>IFERROR(IF(AZ93&gt;AA93-1,IF(INDEX(Lista_Pedidos,AY93+AA93-1,2)&lt;&gt;"",INDEX(Lista_Pedidos,AY93+AA93-1,2),""),""),"")</f>
        <v/>
      </c>
      <c r="AX100" s="824"/>
      <c r="AY100" s="824"/>
      <c r="AZ100" s="825"/>
      <c r="BA100" s="823"/>
      <c r="BB100" s="824"/>
      <c r="BC100" s="824"/>
      <c r="BD100" s="824"/>
      <c r="BE100" s="824"/>
      <c r="BF100" s="824"/>
      <c r="BG100" s="824"/>
      <c r="BH100" s="824"/>
      <c r="BI100" s="824"/>
      <c r="BJ100" s="824"/>
      <c r="BK100" s="824"/>
      <c r="BL100" s="824"/>
      <c r="BM100" s="824"/>
      <c r="BN100" s="824"/>
      <c r="BO100" s="824"/>
      <c r="BP100" s="824"/>
      <c r="BQ100" s="824"/>
      <c r="BR100" s="824"/>
      <c r="BS100" s="824"/>
      <c r="BT100" s="824"/>
      <c r="BU100" s="824"/>
      <c r="BV100" s="824"/>
      <c r="BW100" s="824" t="str">
        <f>IFERROR(IF(BZ93&gt;BA93-1,IF(INDEX(Lista_Pedidos,BY93+BA93-1,2)&lt;&gt;"",INDEX(Lista_Pedidos,BY93+BA93-1,2),""),""),"")</f>
        <v/>
      </c>
      <c r="BX100" s="824"/>
      <c r="BY100" s="824"/>
      <c r="BZ100" s="825"/>
      <c r="CA100" s="823"/>
      <c r="CB100" s="824"/>
      <c r="CC100" s="824"/>
      <c r="CD100" s="824"/>
      <c r="CE100" s="824"/>
      <c r="CF100" s="824"/>
      <c r="CG100" s="824"/>
      <c r="CH100" s="824"/>
      <c r="CI100" s="824"/>
      <c r="CJ100" s="824"/>
      <c r="CK100" s="824"/>
      <c r="CL100" s="824"/>
      <c r="CM100" s="824"/>
      <c r="CN100" s="824"/>
      <c r="CO100" s="824"/>
      <c r="CP100" s="824"/>
      <c r="CQ100" s="824"/>
      <c r="CR100" s="824"/>
      <c r="CS100" s="824"/>
      <c r="CT100" s="824"/>
      <c r="CU100" s="824"/>
      <c r="CV100" s="824"/>
      <c r="CW100" s="824" t="str">
        <f>IFERROR(IF(CZ93&gt;CA93-1,IF(INDEX(Lista_Pedidos,CY93+CA93-1,2)&lt;&gt;"",INDEX(Lista_Pedidos,CY93+CA93-1,2),""),""),"")</f>
        <v/>
      </c>
      <c r="CX100" s="824"/>
      <c r="CY100" s="824"/>
      <c r="CZ100" s="825"/>
      <c r="DA100" s="823"/>
      <c r="DB100" s="824"/>
      <c r="DC100" s="824"/>
      <c r="DD100" s="824"/>
      <c r="DE100" s="824"/>
      <c r="DF100" s="824"/>
      <c r="DG100" s="824"/>
      <c r="DH100" s="824"/>
      <c r="DI100" s="824"/>
      <c r="DJ100" s="824"/>
      <c r="DK100" s="824"/>
      <c r="DL100" s="824"/>
      <c r="DM100" s="824"/>
      <c r="DN100" s="824"/>
      <c r="DO100" s="824"/>
      <c r="DP100" s="824"/>
      <c r="DQ100" s="824"/>
      <c r="DR100" s="824"/>
      <c r="DS100" s="824"/>
      <c r="DT100" s="824"/>
      <c r="DU100" s="824"/>
      <c r="DV100" s="824"/>
      <c r="DW100" s="824" t="str">
        <f>IFERROR(IF(DZ93&gt;DA93-1,IF(INDEX(Lista_Pedidos,DY93+DA93-1,2)&lt;&gt;"",INDEX(Lista_Pedidos,DY93+DA93-1,2),""),""),"")</f>
        <v/>
      </c>
      <c r="DX100" s="824"/>
      <c r="DY100" s="824"/>
      <c r="DZ100" s="825"/>
      <c r="EA100" s="823"/>
      <c r="EB100" s="824"/>
      <c r="EC100" s="824"/>
      <c r="ED100" s="824"/>
      <c r="EE100" s="824"/>
      <c r="EF100" s="824"/>
      <c r="EG100" s="824"/>
      <c r="EH100" s="824"/>
      <c r="EI100" s="824"/>
      <c r="EJ100" s="824"/>
      <c r="EK100" s="824"/>
      <c r="EL100" s="824"/>
      <c r="EM100" s="824"/>
      <c r="EN100" s="824"/>
      <c r="EO100" s="824"/>
      <c r="EP100" s="824"/>
      <c r="EQ100" s="824"/>
      <c r="ER100" s="824"/>
      <c r="ES100" s="824"/>
      <c r="ET100" s="824"/>
      <c r="EU100" s="824"/>
      <c r="EV100" s="824"/>
      <c r="EW100" s="824" t="str">
        <f>IFERROR(IF(EZ93&gt;EA93-1,IF(INDEX(Lista_Pedidos,EY93+EA93-1,2)&lt;&gt;"",INDEX(Lista_Pedidos,EY93+EA93-1,2),""),""),"")</f>
        <v/>
      </c>
      <c r="EX100" s="824"/>
      <c r="EY100" s="824"/>
      <c r="EZ100" s="825"/>
      <c r="FA100" s="823"/>
      <c r="FB100" s="824"/>
      <c r="FC100" s="824"/>
      <c r="FD100" s="824"/>
      <c r="FE100" s="824"/>
      <c r="FF100" s="824"/>
      <c r="FG100" s="824"/>
      <c r="FH100" s="824"/>
      <c r="FI100" s="824"/>
      <c r="FJ100" s="824"/>
      <c r="FK100" s="824"/>
      <c r="FL100" s="824"/>
      <c r="FM100" s="824"/>
      <c r="FN100" s="824"/>
      <c r="FO100" s="824"/>
      <c r="FP100" s="824"/>
      <c r="FQ100" s="824"/>
      <c r="FR100" s="824"/>
      <c r="FS100" s="824"/>
      <c r="FT100" s="824"/>
      <c r="FU100" s="824"/>
      <c r="FV100" s="824"/>
      <c r="FW100" s="824" t="str">
        <f>IFERROR(IF(FZ93&gt;FA93-1,IF(INDEX(Lista_Pedidos,FY93+FA93-1,2)&lt;&gt;"",INDEX(Lista_Pedidos,FY93+FA93-1,2),""),""),"")</f>
        <v/>
      </c>
      <c r="FX100" s="824"/>
      <c r="FY100" s="824"/>
      <c r="FZ100" s="825"/>
      <c r="GA100" s="823"/>
      <c r="GB100" s="824"/>
      <c r="GC100" s="824"/>
      <c r="GD100" s="824"/>
      <c r="GE100" s="824"/>
      <c r="GF100" s="824"/>
      <c r="GG100" s="824"/>
      <c r="GH100" s="824"/>
      <c r="GI100" s="824"/>
      <c r="GJ100" s="824"/>
      <c r="GK100" s="824"/>
      <c r="GL100" s="824"/>
      <c r="GM100" s="824"/>
      <c r="GN100" s="824"/>
      <c r="GO100" s="824"/>
      <c r="GP100" s="824"/>
      <c r="GQ100" s="824"/>
      <c r="GR100" s="824"/>
      <c r="GS100" s="824"/>
      <c r="GT100" s="824"/>
      <c r="GU100" s="824"/>
      <c r="GV100" s="824"/>
      <c r="GW100" s="824" t="str">
        <f>IFERROR(IF(GZ93&gt;GA93-1,IF(INDEX(Lista_Pedidos,GY93+GA93-1,2)&lt;&gt;"",INDEX(Lista_Pedidos,GY93+GA93-1,2),""),""),"")</f>
        <v/>
      </c>
      <c r="GX100" s="824"/>
      <c r="GY100" s="824"/>
      <c r="GZ100" s="825"/>
      <c r="HA100" s="823"/>
      <c r="HB100" s="824"/>
      <c r="HC100" s="824"/>
      <c r="HD100" s="824"/>
      <c r="HE100" s="824"/>
      <c r="HF100" s="824"/>
      <c r="HG100" s="824"/>
      <c r="HH100" s="824"/>
      <c r="HI100" s="824"/>
      <c r="HJ100" s="824"/>
      <c r="HK100" s="824"/>
      <c r="HL100" s="824"/>
      <c r="HM100" s="824"/>
      <c r="HN100" s="824"/>
      <c r="HO100" s="824"/>
      <c r="HP100" s="824"/>
      <c r="HQ100" s="824"/>
      <c r="HR100" s="824"/>
      <c r="HS100" s="824"/>
      <c r="HT100" s="824"/>
      <c r="HU100" s="824"/>
      <c r="HV100" s="824"/>
      <c r="HW100" s="824" t="str">
        <f>IFERROR(IF(HZ93&gt;HA93-1,IF(INDEX(Lista_Pedidos,HY93+HA93-1,2)&lt;&gt;"",INDEX(Lista_Pedidos,HY93+HA93-1,2),""),""),"")</f>
        <v/>
      </c>
      <c r="HX100" s="824"/>
      <c r="HY100" s="824"/>
      <c r="HZ100" s="825"/>
      <c r="IA100" s="823"/>
      <c r="IB100" s="824"/>
      <c r="IC100" s="824"/>
      <c r="ID100" s="824"/>
      <c r="IE100" s="824"/>
      <c r="IF100" s="824"/>
      <c r="IG100" s="824"/>
      <c r="IH100" s="824"/>
      <c r="II100" s="824"/>
      <c r="IJ100" s="824"/>
      <c r="IK100" s="824"/>
      <c r="IL100" s="824"/>
      <c r="IM100" s="824"/>
      <c r="IN100" s="824"/>
      <c r="IO100" s="824"/>
      <c r="IP100" s="824"/>
      <c r="IQ100" s="824"/>
      <c r="IR100" s="824"/>
      <c r="IS100" s="824"/>
      <c r="IT100" s="824"/>
      <c r="IU100" s="824"/>
      <c r="IV100" s="824"/>
      <c r="IW100" s="824" t="str">
        <f>IFERROR(IF(IZ93&gt;IA93-1,IF(INDEX(Lista_Pedidos,IY93+IA93-1,2)&lt;&gt;"",INDEX(Lista_Pedidos,IY93+IA93-1,2),""),""),"")</f>
        <v/>
      </c>
      <c r="IX100" s="824"/>
      <c r="IY100" s="824"/>
      <c r="IZ100" s="825"/>
    </row>
    <row r="101" spans="1:260" x14ac:dyDescent="0.25">
      <c r="A101" s="800" t="str">
        <f>IFERROR(IF(Z93&gt;A93-1,IF(INDEX(Lista_Pedidos,Y93+A93-1,6)&lt;&gt;"","Nombre de la Tela :     "&amp; INDEX(Lista_Pedidos,Y93+A93-1,6),""),""),"")</f>
        <v/>
      </c>
      <c r="B101" s="801"/>
      <c r="C101" s="801"/>
      <c r="D101" s="801"/>
      <c r="E101" s="801"/>
      <c r="F101" s="801"/>
      <c r="G101" s="801"/>
      <c r="H101" s="801"/>
      <c r="I101" s="801"/>
      <c r="J101" s="801"/>
      <c r="K101" s="801"/>
      <c r="L101" s="801"/>
      <c r="M101" s="801"/>
      <c r="N101" s="801"/>
      <c r="O101" s="801"/>
      <c r="P101" s="801"/>
      <c r="Q101" s="801"/>
      <c r="R101" s="801"/>
      <c r="S101" s="801"/>
      <c r="T101" s="801"/>
      <c r="U101" s="801"/>
      <c r="V101" s="801"/>
      <c r="W101" s="826"/>
      <c r="X101" s="826"/>
      <c r="Y101" s="826"/>
      <c r="Z101" s="827"/>
      <c r="AA101" s="800" t="str">
        <f>IFERROR(IF(AZ93&gt;AA93-1,IF(INDEX(Lista_Pedidos,AY93+AA93-1,6)&lt;&gt;"","Nombre de la Tela :     "&amp; INDEX(Lista_Pedidos,AY93+AA93-1,6),""),""),"")</f>
        <v/>
      </c>
      <c r="AB101" s="801"/>
      <c r="AC101" s="801"/>
      <c r="AD101" s="801"/>
      <c r="AE101" s="801"/>
      <c r="AF101" s="801"/>
      <c r="AG101" s="801"/>
      <c r="AH101" s="801"/>
      <c r="AI101" s="801"/>
      <c r="AJ101" s="801"/>
      <c r="AK101" s="801"/>
      <c r="AL101" s="801"/>
      <c r="AM101" s="801"/>
      <c r="AN101" s="801"/>
      <c r="AO101" s="801"/>
      <c r="AP101" s="801"/>
      <c r="AQ101" s="801"/>
      <c r="AR101" s="801"/>
      <c r="AS101" s="801"/>
      <c r="AT101" s="801"/>
      <c r="AU101" s="801"/>
      <c r="AV101" s="801"/>
      <c r="AW101" s="826"/>
      <c r="AX101" s="826"/>
      <c r="AY101" s="826"/>
      <c r="AZ101" s="827"/>
      <c r="BA101" s="800" t="str">
        <f>IFERROR(IF(BZ93&gt;BA93-1,IF(INDEX(Lista_Pedidos,BY93+BA93-1,6)&lt;&gt;"","Nombre de la Tela :     "&amp; INDEX(Lista_Pedidos,BY93+BA93-1,6),""),""),"")</f>
        <v/>
      </c>
      <c r="BB101" s="801"/>
      <c r="BC101" s="801"/>
      <c r="BD101" s="801"/>
      <c r="BE101" s="801"/>
      <c r="BF101" s="801"/>
      <c r="BG101" s="801"/>
      <c r="BH101" s="801"/>
      <c r="BI101" s="801"/>
      <c r="BJ101" s="801"/>
      <c r="BK101" s="801"/>
      <c r="BL101" s="801"/>
      <c r="BM101" s="801"/>
      <c r="BN101" s="801"/>
      <c r="BO101" s="801"/>
      <c r="BP101" s="801"/>
      <c r="BQ101" s="801"/>
      <c r="BR101" s="801"/>
      <c r="BS101" s="801"/>
      <c r="BT101" s="801"/>
      <c r="BU101" s="801"/>
      <c r="BV101" s="801"/>
      <c r="BW101" s="826"/>
      <c r="BX101" s="826"/>
      <c r="BY101" s="826"/>
      <c r="BZ101" s="827"/>
      <c r="CA101" s="800" t="str">
        <f>IFERROR(IF(CZ93&gt;CA93-1,IF(INDEX(Lista_Pedidos,CY93+CA93-1,6)&lt;&gt;"","Nombre de la Tela :     "&amp; INDEX(Lista_Pedidos,CY93+CA93-1,6),""),""),"")</f>
        <v/>
      </c>
      <c r="CB101" s="801"/>
      <c r="CC101" s="801"/>
      <c r="CD101" s="801"/>
      <c r="CE101" s="801"/>
      <c r="CF101" s="801"/>
      <c r="CG101" s="801"/>
      <c r="CH101" s="801"/>
      <c r="CI101" s="801"/>
      <c r="CJ101" s="801"/>
      <c r="CK101" s="801"/>
      <c r="CL101" s="801"/>
      <c r="CM101" s="801"/>
      <c r="CN101" s="801"/>
      <c r="CO101" s="801"/>
      <c r="CP101" s="801"/>
      <c r="CQ101" s="801"/>
      <c r="CR101" s="801"/>
      <c r="CS101" s="801"/>
      <c r="CT101" s="801"/>
      <c r="CU101" s="801"/>
      <c r="CV101" s="801"/>
      <c r="CW101" s="826"/>
      <c r="CX101" s="826"/>
      <c r="CY101" s="826"/>
      <c r="CZ101" s="827"/>
      <c r="DA101" s="800" t="str">
        <f>IFERROR(IF(DZ93&gt;DA93-1,IF(INDEX(Lista_Pedidos,DY93+DA93-1,6)&lt;&gt;"","Nombre de la Tela :     "&amp; INDEX(Lista_Pedidos,DY93+DA93-1,6),""),""),"")</f>
        <v/>
      </c>
      <c r="DB101" s="801"/>
      <c r="DC101" s="801"/>
      <c r="DD101" s="801"/>
      <c r="DE101" s="801"/>
      <c r="DF101" s="801"/>
      <c r="DG101" s="801"/>
      <c r="DH101" s="801"/>
      <c r="DI101" s="801"/>
      <c r="DJ101" s="801"/>
      <c r="DK101" s="801"/>
      <c r="DL101" s="801"/>
      <c r="DM101" s="801"/>
      <c r="DN101" s="801"/>
      <c r="DO101" s="801"/>
      <c r="DP101" s="801"/>
      <c r="DQ101" s="801"/>
      <c r="DR101" s="801"/>
      <c r="DS101" s="801"/>
      <c r="DT101" s="801"/>
      <c r="DU101" s="801"/>
      <c r="DV101" s="801"/>
      <c r="DW101" s="826"/>
      <c r="DX101" s="826"/>
      <c r="DY101" s="826"/>
      <c r="DZ101" s="827"/>
      <c r="EA101" s="800" t="str">
        <f>IFERROR(IF(EZ93&gt;EA93-1,IF(INDEX(Lista_Pedidos,EY93+EA93-1,6)&lt;&gt;"","Nombre de la Tela :     "&amp; INDEX(Lista_Pedidos,EY93+EA93-1,6),""),""),"")</f>
        <v/>
      </c>
      <c r="EB101" s="801"/>
      <c r="EC101" s="801"/>
      <c r="ED101" s="801"/>
      <c r="EE101" s="801"/>
      <c r="EF101" s="801"/>
      <c r="EG101" s="801"/>
      <c r="EH101" s="801"/>
      <c r="EI101" s="801"/>
      <c r="EJ101" s="801"/>
      <c r="EK101" s="801"/>
      <c r="EL101" s="801"/>
      <c r="EM101" s="801"/>
      <c r="EN101" s="801"/>
      <c r="EO101" s="801"/>
      <c r="EP101" s="801"/>
      <c r="EQ101" s="801"/>
      <c r="ER101" s="801"/>
      <c r="ES101" s="801"/>
      <c r="ET101" s="801"/>
      <c r="EU101" s="801"/>
      <c r="EV101" s="801"/>
      <c r="EW101" s="826"/>
      <c r="EX101" s="826"/>
      <c r="EY101" s="826"/>
      <c r="EZ101" s="827"/>
      <c r="FA101" s="800" t="str">
        <f>IFERROR(IF(FZ93&gt;FA93-1,IF(INDEX(Lista_Pedidos,FY93+FA93-1,6)&lt;&gt;"","Nombre de la Tela :     "&amp; INDEX(Lista_Pedidos,FY93+FA93-1,6),""),""),"")</f>
        <v/>
      </c>
      <c r="FB101" s="801"/>
      <c r="FC101" s="801"/>
      <c r="FD101" s="801"/>
      <c r="FE101" s="801"/>
      <c r="FF101" s="801"/>
      <c r="FG101" s="801"/>
      <c r="FH101" s="801"/>
      <c r="FI101" s="801"/>
      <c r="FJ101" s="801"/>
      <c r="FK101" s="801"/>
      <c r="FL101" s="801"/>
      <c r="FM101" s="801"/>
      <c r="FN101" s="801"/>
      <c r="FO101" s="801"/>
      <c r="FP101" s="801"/>
      <c r="FQ101" s="801"/>
      <c r="FR101" s="801"/>
      <c r="FS101" s="801"/>
      <c r="FT101" s="801"/>
      <c r="FU101" s="801"/>
      <c r="FV101" s="801"/>
      <c r="FW101" s="826"/>
      <c r="FX101" s="826"/>
      <c r="FY101" s="826"/>
      <c r="FZ101" s="827"/>
      <c r="GA101" s="800" t="str">
        <f>IFERROR(IF(GZ93&gt;GA93-1,IF(INDEX(Lista_Pedidos,GY93+GA93-1,6)&lt;&gt;"","Nombre de la Tela :     "&amp; INDEX(Lista_Pedidos,GY93+GA93-1,6),""),""),"")</f>
        <v/>
      </c>
      <c r="GB101" s="801"/>
      <c r="GC101" s="801"/>
      <c r="GD101" s="801"/>
      <c r="GE101" s="801"/>
      <c r="GF101" s="801"/>
      <c r="GG101" s="801"/>
      <c r="GH101" s="801"/>
      <c r="GI101" s="801"/>
      <c r="GJ101" s="801"/>
      <c r="GK101" s="801"/>
      <c r="GL101" s="801"/>
      <c r="GM101" s="801"/>
      <c r="GN101" s="801"/>
      <c r="GO101" s="801"/>
      <c r="GP101" s="801"/>
      <c r="GQ101" s="801"/>
      <c r="GR101" s="801"/>
      <c r="GS101" s="801"/>
      <c r="GT101" s="801"/>
      <c r="GU101" s="801"/>
      <c r="GV101" s="801"/>
      <c r="GW101" s="826"/>
      <c r="GX101" s="826"/>
      <c r="GY101" s="826"/>
      <c r="GZ101" s="827"/>
      <c r="HA101" s="800" t="str">
        <f>IFERROR(IF(HZ93&gt;HA93-1,IF(INDEX(Lista_Pedidos,HY93+HA93-1,6)&lt;&gt;"","Nombre de la Tela :     "&amp; INDEX(Lista_Pedidos,HY93+HA93-1,6),""),""),"")</f>
        <v/>
      </c>
      <c r="HB101" s="801"/>
      <c r="HC101" s="801"/>
      <c r="HD101" s="801"/>
      <c r="HE101" s="801"/>
      <c r="HF101" s="801"/>
      <c r="HG101" s="801"/>
      <c r="HH101" s="801"/>
      <c r="HI101" s="801"/>
      <c r="HJ101" s="801"/>
      <c r="HK101" s="801"/>
      <c r="HL101" s="801"/>
      <c r="HM101" s="801"/>
      <c r="HN101" s="801"/>
      <c r="HO101" s="801"/>
      <c r="HP101" s="801"/>
      <c r="HQ101" s="801"/>
      <c r="HR101" s="801"/>
      <c r="HS101" s="801"/>
      <c r="HT101" s="801"/>
      <c r="HU101" s="801"/>
      <c r="HV101" s="801"/>
      <c r="HW101" s="826"/>
      <c r="HX101" s="826"/>
      <c r="HY101" s="826"/>
      <c r="HZ101" s="827"/>
      <c r="IA101" s="800" t="str">
        <f>IFERROR(IF(IZ93&gt;IA93-1,IF(INDEX(Lista_Pedidos,IY93+IA93-1,6)&lt;&gt;"","Nombre de la Tela :     "&amp; INDEX(Lista_Pedidos,IY93+IA93-1,6),""),""),"")</f>
        <v/>
      </c>
      <c r="IB101" s="801"/>
      <c r="IC101" s="801"/>
      <c r="ID101" s="801"/>
      <c r="IE101" s="801"/>
      <c r="IF101" s="801"/>
      <c r="IG101" s="801"/>
      <c r="IH101" s="801"/>
      <c r="II101" s="801"/>
      <c r="IJ101" s="801"/>
      <c r="IK101" s="801"/>
      <c r="IL101" s="801"/>
      <c r="IM101" s="801"/>
      <c r="IN101" s="801"/>
      <c r="IO101" s="801"/>
      <c r="IP101" s="801"/>
      <c r="IQ101" s="801"/>
      <c r="IR101" s="801"/>
      <c r="IS101" s="801"/>
      <c r="IT101" s="801"/>
      <c r="IU101" s="801"/>
      <c r="IV101" s="801"/>
      <c r="IW101" s="826"/>
      <c r="IX101" s="826"/>
      <c r="IY101" s="826"/>
      <c r="IZ101" s="827"/>
    </row>
    <row r="102" spans="1:260" x14ac:dyDescent="0.25">
      <c r="A102" s="800" t="str">
        <f>IFERROR(IF(Z93&gt;A93-1,IF(INDEX(Lista_Pedidos,Y93+A93-1,7)&lt;&gt;"","Hilo :     "&amp; INDEX(Lista_Pedidos,Y93+A93-1,7),""),""),"")</f>
        <v/>
      </c>
      <c r="B102" s="801"/>
      <c r="C102" s="801"/>
      <c r="D102" s="801"/>
      <c r="E102" s="801"/>
      <c r="F102" s="801"/>
      <c r="G102" s="801"/>
      <c r="H102" s="801"/>
      <c r="I102" s="801"/>
      <c r="J102" s="801"/>
      <c r="K102" s="801"/>
      <c r="L102" s="801"/>
      <c r="M102" s="801"/>
      <c r="N102" s="801"/>
      <c r="O102" s="801"/>
      <c r="P102" s="801"/>
      <c r="Q102" s="801"/>
      <c r="R102" s="801"/>
      <c r="S102" s="801"/>
      <c r="T102" s="801"/>
      <c r="U102" s="801"/>
      <c r="V102" s="801"/>
      <c r="W102" s="801"/>
      <c r="X102" s="801"/>
      <c r="Y102" s="801"/>
      <c r="Z102" s="802"/>
      <c r="AA102" s="800" t="str">
        <f>IFERROR(IF(AZ93&gt;AA93-1,IF(INDEX(Lista_Pedidos,AY93+AA93-1,7)&lt;&gt;"","Hilo :     "&amp; INDEX(Lista_Pedidos,AY93+AA93-1,7),""),""),"")</f>
        <v/>
      </c>
      <c r="AB102" s="801"/>
      <c r="AC102" s="801"/>
      <c r="AD102" s="801"/>
      <c r="AE102" s="801"/>
      <c r="AF102" s="801"/>
      <c r="AG102" s="801"/>
      <c r="AH102" s="801"/>
      <c r="AI102" s="801"/>
      <c r="AJ102" s="801"/>
      <c r="AK102" s="801"/>
      <c r="AL102" s="801"/>
      <c r="AM102" s="801"/>
      <c r="AN102" s="801"/>
      <c r="AO102" s="801"/>
      <c r="AP102" s="801"/>
      <c r="AQ102" s="801"/>
      <c r="AR102" s="801"/>
      <c r="AS102" s="801"/>
      <c r="AT102" s="801"/>
      <c r="AU102" s="801"/>
      <c r="AV102" s="801"/>
      <c r="AW102" s="801"/>
      <c r="AX102" s="801"/>
      <c r="AY102" s="801"/>
      <c r="AZ102" s="802"/>
      <c r="BA102" s="800" t="str">
        <f>IFERROR(IF(BZ93&gt;BA93-1,IF(INDEX(Lista_Pedidos,BY93+BA93-1,7)&lt;&gt;"","Hilo :     "&amp; INDEX(Lista_Pedidos,BY93+BA93-1,7),""),""),"")</f>
        <v/>
      </c>
      <c r="BB102" s="801"/>
      <c r="BC102" s="801"/>
      <c r="BD102" s="801"/>
      <c r="BE102" s="801"/>
      <c r="BF102" s="801"/>
      <c r="BG102" s="801"/>
      <c r="BH102" s="801"/>
      <c r="BI102" s="801"/>
      <c r="BJ102" s="801"/>
      <c r="BK102" s="801"/>
      <c r="BL102" s="801"/>
      <c r="BM102" s="801"/>
      <c r="BN102" s="801"/>
      <c r="BO102" s="801"/>
      <c r="BP102" s="801"/>
      <c r="BQ102" s="801"/>
      <c r="BR102" s="801"/>
      <c r="BS102" s="801"/>
      <c r="BT102" s="801"/>
      <c r="BU102" s="801"/>
      <c r="BV102" s="801"/>
      <c r="BW102" s="801"/>
      <c r="BX102" s="801"/>
      <c r="BY102" s="801"/>
      <c r="BZ102" s="802"/>
      <c r="CA102" s="800" t="str">
        <f>IFERROR(IF(CZ93&gt;CA93-1,IF(INDEX(Lista_Pedidos,CY93+CA93-1,7)&lt;&gt;"","Hilo :     "&amp; INDEX(Lista_Pedidos,CY93+CA93-1,7),""),""),"")</f>
        <v/>
      </c>
      <c r="CB102" s="801"/>
      <c r="CC102" s="801"/>
      <c r="CD102" s="801"/>
      <c r="CE102" s="801"/>
      <c r="CF102" s="801"/>
      <c r="CG102" s="801"/>
      <c r="CH102" s="801"/>
      <c r="CI102" s="801"/>
      <c r="CJ102" s="801"/>
      <c r="CK102" s="801"/>
      <c r="CL102" s="801"/>
      <c r="CM102" s="801"/>
      <c r="CN102" s="801"/>
      <c r="CO102" s="801"/>
      <c r="CP102" s="801"/>
      <c r="CQ102" s="801"/>
      <c r="CR102" s="801"/>
      <c r="CS102" s="801"/>
      <c r="CT102" s="801"/>
      <c r="CU102" s="801"/>
      <c r="CV102" s="801"/>
      <c r="CW102" s="801"/>
      <c r="CX102" s="801"/>
      <c r="CY102" s="801"/>
      <c r="CZ102" s="802"/>
      <c r="DA102" s="800" t="str">
        <f>IFERROR(IF(DZ93&gt;DA93-1,IF(INDEX(Lista_Pedidos,DY93+DA93-1,7)&lt;&gt;"","Hilo :     "&amp; INDEX(Lista_Pedidos,DY93+DA93-1,7),""),""),"")</f>
        <v/>
      </c>
      <c r="DB102" s="801"/>
      <c r="DC102" s="801"/>
      <c r="DD102" s="801"/>
      <c r="DE102" s="801"/>
      <c r="DF102" s="801"/>
      <c r="DG102" s="801"/>
      <c r="DH102" s="801"/>
      <c r="DI102" s="801"/>
      <c r="DJ102" s="801"/>
      <c r="DK102" s="801"/>
      <c r="DL102" s="801"/>
      <c r="DM102" s="801"/>
      <c r="DN102" s="801"/>
      <c r="DO102" s="801"/>
      <c r="DP102" s="801"/>
      <c r="DQ102" s="801"/>
      <c r="DR102" s="801"/>
      <c r="DS102" s="801"/>
      <c r="DT102" s="801"/>
      <c r="DU102" s="801"/>
      <c r="DV102" s="801"/>
      <c r="DW102" s="801"/>
      <c r="DX102" s="801"/>
      <c r="DY102" s="801"/>
      <c r="DZ102" s="802"/>
      <c r="EA102" s="800" t="str">
        <f>IFERROR(IF(EZ93&gt;EA93-1,IF(INDEX(Lista_Pedidos,EY93+EA93-1,7)&lt;&gt;"","Hilo :     "&amp; INDEX(Lista_Pedidos,EY93+EA93-1,7),""),""),"")</f>
        <v/>
      </c>
      <c r="EB102" s="801"/>
      <c r="EC102" s="801"/>
      <c r="ED102" s="801"/>
      <c r="EE102" s="801"/>
      <c r="EF102" s="801"/>
      <c r="EG102" s="801"/>
      <c r="EH102" s="801"/>
      <c r="EI102" s="801"/>
      <c r="EJ102" s="801"/>
      <c r="EK102" s="801"/>
      <c r="EL102" s="801"/>
      <c r="EM102" s="801"/>
      <c r="EN102" s="801"/>
      <c r="EO102" s="801"/>
      <c r="EP102" s="801"/>
      <c r="EQ102" s="801"/>
      <c r="ER102" s="801"/>
      <c r="ES102" s="801"/>
      <c r="ET102" s="801"/>
      <c r="EU102" s="801"/>
      <c r="EV102" s="801"/>
      <c r="EW102" s="801"/>
      <c r="EX102" s="801"/>
      <c r="EY102" s="801"/>
      <c r="EZ102" s="802"/>
      <c r="FA102" s="800" t="str">
        <f>IFERROR(IF(FZ93&gt;FA93-1,IF(INDEX(Lista_Pedidos,FY93+FA93-1,7)&lt;&gt;"","Hilo :     "&amp; INDEX(Lista_Pedidos,FY93+FA93-1,7),""),""),"")</f>
        <v/>
      </c>
      <c r="FB102" s="801"/>
      <c r="FC102" s="801"/>
      <c r="FD102" s="801"/>
      <c r="FE102" s="801"/>
      <c r="FF102" s="801"/>
      <c r="FG102" s="801"/>
      <c r="FH102" s="801"/>
      <c r="FI102" s="801"/>
      <c r="FJ102" s="801"/>
      <c r="FK102" s="801"/>
      <c r="FL102" s="801"/>
      <c r="FM102" s="801"/>
      <c r="FN102" s="801"/>
      <c r="FO102" s="801"/>
      <c r="FP102" s="801"/>
      <c r="FQ102" s="801"/>
      <c r="FR102" s="801"/>
      <c r="FS102" s="801"/>
      <c r="FT102" s="801"/>
      <c r="FU102" s="801"/>
      <c r="FV102" s="801"/>
      <c r="FW102" s="801"/>
      <c r="FX102" s="801"/>
      <c r="FY102" s="801"/>
      <c r="FZ102" s="802"/>
      <c r="GA102" s="800" t="str">
        <f>IFERROR(IF(GZ93&gt;GA93-1,IF(INDEX(Lista_Pedidos,GY93+GA93-1,7)&lt;&gt;"","Hilo :     "&amp; INDEX(Lista_Pedidos,GY93+GA93-1,7),""),""),"")</f>
        <v/>
      </c>
      <c r="GB102" s="801"/>
      <c r="GC102" s="801"/>
      <c r="GD102" s="801"/>
      <c r="GE102" s="801"/>
      <c r="GF102" s="801"/>
      <c r="GG102" s="801"/>
      <c r="GH102" s="801"/>
      <c r="GI102" s="801"/>
      <c r="GJ102" s="801"/>
      <c r="GK102" s="801"/>
      <c r="GL102" s="801"/>
      <c r="GM102" s="801"/>
      <c r="GN102" s="801"/>
      <c r="GO102" s="801"/>
      <c r="GP102" s="801"/>
      <c r="GQ102" s="801"/>
      <c r="GR102" s="801"/>
      <c r="GS102" s="801"/>
      <c r="GT102" s="801"/>
      <c r="GU102" s="801"/>
      <c r="GV102" s="801"/>
      <c r="GW102" s="801"/>
      <c r="GX102" s="801"/>
      <c r="GY102" s="801"/>
      <c r="GZ102" s="802"/>
      <c r="HA102" s="800" t="str">
        <f>IFERROR(IF(HZ93&gt;HA93-1,IF(INDEX(Lista_Pedidos,HY93+HA93-1,7)&lt;&gt;"","Hilo :     "&amp; INDEX(Lista_Pedidos,HY93+HA93-1,7),""),""),"")</f>
        <v/>
      </c>
      <c r="HB102" s="801"/>
      <c r="HC102" s="801"/>
      <c r="HD102" s="801"/>
      <c r="HE102" s="801"/>
      <c r="HF102" s="801"/>
      <c r="HG102" s="801"/>
      <c r="HH102" s="801"/>
      <c r="HI102" s="801"/>
      <c r="HJ102" s="801"/>
      <c r="HK102" s="801"/>
      <c r="HL102" s="801"/>
      <c r="HM102" s="801"/>
      <c r="HN102" s="801"/>
      <c r="HO102" s="801"/>
      <c r="HP102" s="801"/>
      <c r="HQ102" s="801"/>
      <c r="HR102" s="801"/>
      <c r="HS102" s="801"/>
      <c r="HT102" s="801"/>
      <c r="HU102" s="801"/>
      <c r="HV102" s="801"/>
      <c r="HW102" s="801"/>
      <c r="HX102" s="801"/>
      <c r="HY102" s="801"/>
      <c r="HZ102" s="802"/>
      <c r="IA102" s="800" t="str">
        <f>IFERROR(IF(IZ93&gt;IA93-1,IF(INDEX(Lista_Pedidos,IY93+IA93-1,7)&lt;&gt;"","Hilo :     "&amp; INDEX(Lista_Pedidos,IY93+IA93-1,7),""),""),"")</f>
        <v/>
      </c>
      <c r="IB102" s="801"/>
      <c r="IC102" s="801"/>
      <c r="ID102" s="801"/>
      <c r="IE102" s="801"/>
      <c r="IF102" s="801"/>
      <c r="IG102" s="801"/>
      <c r="IH102" s="801"/>
      <c r="II102" s="801"/>
      <c r="IJ102" s="801"/>
      <c r="IK102" s="801"/>
      <c r="IL102" s="801"/>
      <c r="IM102" s="801"/>
      <c r="IN102" s="801"/>
      <c r="IO102" s="801"/>
      <c r="IP102" s="801"/>
      <c r="IQ102" s="801"/>
      <c r="IR102" s="801"/>
      <c r="IS102" s="801"/>
      <c r="IT102" s="801"/>
      <c r="IU102" s="801"/>
      <c r="IV102" s="801"/>
      <c r="IW102" s="801"/>
      <c r="IX102" s="801"/>
      <c r="IY102" s="801"/>
      <c r="IZ102" s="802"/>
    </row>
    <row r="103" spans="1:260" x14ac:dyDescent="0.25">
      <c r="A103" s="800" t="str">
        <f>IFERROR(IF(Z93&gt;A93-1,IF(INDEX(Lista_Pedidos,Y93+A93-1,8)&lt;&gt;"","Forro :     "&amp; INDEX(Lista_Pedidos,Y93+A93-1,8),""),""),"")</f>
        <v/>
      </c>
      <c r="B103" s="801"/>
      <c r="C103" s="801"/>
      <c r="D103" s="801"/>
      <c r="E103" s="801"/>
      <c r="F103" s="801"/>
      <c r="G103" s="801"/>
      <c r="H103" s="801"/>
      <c r="I103" s="801"/>
      <c r="J103" s="801"/>
      <c r="K103" s="801"/>
      <c r="L103" s="801"/>
      <c r="M103" s="801"/>
      <c r="N103" s="801"/>
      <c r="O103" s="801"/>
      <c r="P103" s="801"/>
      <c r="Q103" s="801"/>
      <c r="R103" s="801"/>
      <c r="S103" s="801"/>
      <c r="T103" s="801"/>
      <c r="U103" s="801"/>
      <c r="V103" s="801"/>
      <c r="W103" s="801"/>
      <c r="X103" s="801"/>
      <c r="Y103" s="801"/>
      <c r="Z103" s="802"/>
      <c r="AA103" s="800" t="str">
        <f>IFERROR(IF(AZ93&gt;AA93-1,IF(INDEX(Lista_Pedidos,AY93+AA93-1,8)&lt;&gt;"","Forro :     "&amp; INDEX(Lista_Pedidos,AY93+AA93-1,8),""),""),"")</f>
        <v/>
      </c>
      <c r="AB103" s="801"/>
      <c r="AC103" s="801"/>
      <c r="AD103" s="801"/>
      <c r="AE103" s="801"/>
      <c r="AF103" s="801"/>
      <c r="AG103" s="801"/>
      <c r="AH103" s="801"/>
      <c r="AI103" s="801"/>
      <c r="AJ103" s="801"/>
      <c r="AK103" s="801"/>
      <c r="AL103" s="801"/>
      <c r="AM103" s="801"/>
      <c r="AN103" s="801"/>
      <c r="AO103" s="801"/>
      <c r="AP103" s="801"/>
      <c r="AQ103" s="801"/>
      <c r="AR103" s="801"/>
      <c r="AS103" s="801"/>
      <c r="AT103" s="801"/>
      <c r="AU103" s="801"/>
      <c r="AV103" s="801"/>
      <c r="AW103" s="801"/>
      <c r="AX103" s="801"/>
      <c r="AY103" s="801"/>
      <c r="AZ103" s="802"/>
      <c r="BA103" s="800" t="str">
        <f>IFERROR(IF(BZ93&gt;BA93-1,IF(INDEX(Lista_Pedidos,BY93+BA93-1,8)&lt;&gt;"","Forro :     "&amp; INDEX(Lista_Pedidos,BY93+BA93-1,8),""),""),"")</f>
        <v/>
      </c>
      <c r="BB103" s="801"/>
      <c r="BC103" s="801"/>
      <c r="BD103" s="801"/>
      <c r="BE103" s="801"/>
      <c r="BF103" s="801"/>
      <c r="BG103" s="801"/>
      <c r="BH103" s="801"/>
      <c r="BI103" s="801"/>
      <c r="BJ103" s="801"/>
      <c r="BK103" s="801"/>
      <c r="BL103" s="801"/>
      <c r="BM103" s="801"/>
      <c r="BN103" s="801"/>
      <c r="BO103" s="801"/>
      <c r="BP103" s="801"/>
      <c r="BQ103" s="801"/>
      <c r="BR103" s="801"/>
      <c r="BS103" s="801"/>
      <c r="BT103" s="801"/>
      <c r="BU103" s="801"/>
      <c r="BV103" s="801"/>
      <c r="BW103" s="801"/>
      <c r="BX103" s="801"/>
      <c r="BY103" s="801"/>
      <c r="BZ103" s="802"/>
      <c r="CA103" s="800" t="str">
        <f>IFERROR(IF(CZ93&gt;CA93-1,IF(INDEX(Lista_Pedidos,CY93+CA93-1,8)&lt;&gt;"","Forro :     "&amp; INDEX(Lista_Pedidos,CY93+CA93-1,8),""),""),"")</f>
        <v/>
      </c>
      <c r="CB103" s="801"/>
      <c r="CC103" s="801"/>
      <c r="CD103" s="801"/>
      <c r="CE103" s="801"/>
      <c r="CF103" s="801"/>
      <c r="CG103" s="801"/>
      <c r="CH103" s="801"/>
      <c r="CI103" s="801"/>
      <c r="CJ103" s="801"/>
      <c r="CK103" s="801"/>
      <c r="CL103" s="801"/>
      <c r="CM103" s="801"/>
      <c r="CN103" s="801"/>
      <c r="CO103" s="801"/>
      <c r="CP103" s="801"/>
      <c r="CQ103" s="801"/>
      <c r="CR103" s="801"/>
      <c r="CS103" s="801"/>
      <c r="CT103" s="801"/>
      <c r="CU103" s="801"/>
      <c r="CV103" s="801"/>
      <c r="CW103" s="801"/>
      <c r="CX103" s="801"/>
      <c r="CY103" s="801"/>
      <c r="CZ103" s="802"/>
      <c r="DA103" s="800" t="str">
        <f>IFERROR(IF(DZ93&gt;DA93-1,IF(INDEX(Lista_Pedidos,DY93+DA93-1,8)&lt;&gt;"","Forro :     "&amp; INDEX(Lista_Pedidos,DY93+DA93-1,8),""),""),"")</f>
        <v/>
      </c>
      <c r="DB103" s="801"/>
      <c r="DC103" s="801"/>
      <c r="DD103" s="801"/>
      <c r="DE103" s="801"/>
      <c r="DF103" s="801"/>
      <c r="DG103" s="801"/>
      <c r="DH103" s="801"/>
      <c r="DI103" s="801"/>
      <c r="DJ103" s="801"/>
      <c r="DK103" s="801"/>
      <c r="DL103" s="801"/>
      <c r="DM103" s="801"/>
      <c r="DN103" s="801"/>
      <c r="DO103" s="801"/>
      <c r="DP103" s="801"/>
      <c r="DQ103" s="801"/>
      <c r="DR103" s="801"/>
      <c r="DS103" s="801"/>
      <c r="DT103" s="801"/>
      <c r="DU103" s="801"/>
      <c r="DV103" s="801"/>
      <c r="DW103" s="801"/>
      <c r="DX103" s="801"/>
      <c r="DY103" s="801"/>
      <c r="DZ103" s="802"/>
      <c r="EA103" s="800" t="str">
        <f>IFERROR(IF(EZ93&gt;EA93-1,IF(INDEX(Lista_Pedidos,EY93+EA93-1,8)&lt;&gt;"","Forro :     "&amp; INDEX(Lista_Pedidos,EY93+EA93-1,8),""),""),"")</f>
        <v/>
      </c>
      <c r="EB103" s="801"/>
      <c r="EC103" s="801"/>
      <c r="ED103" s="801"/>
      <c r="EE103" s="801"/>
      <c r="EF103" s="801"/>
      <c r="EG103" s="801"/>
      <c r="EH103" s="801"/>
      <c r="EI103" s="801"/>
      <c r="EJ103" s="801"/>
      <c r="EK103" s="801"/>
      <c r="EL103" s="801"/>
      <c r="EM103" s="801"/>
      <c r="EN103" s="801"/>
      <c r="EO103" s="801"/>
      <c r="EP103" s="801"/>
      <c r="EQ103" s="801"/>
      <c r="ER103" s="801"/>
      <c r="ES103" s="801"/>
      <c r="ET103" s="801"/>
      <c r="EU103" s="801"/>
      <c r="EV103" s="801"/>
      <c r="EW103" s="801"/>
      <c r="EX103" s="801"/>
      <c r="EY103" s="801"/>
      <c r="EZ103" s="802"/>
      <c r="FA103" s="800" t="str">
        <f>IFERROR(IF(FZ93&gt;FA93-1,IF(INDEX(Lista_Pedidos,FY93+FA93-1,8)&lt;&gt;"","Forro :     "&amp; INDEX(Lista_Pedidos,FY93+FA93-1,8),""),""),"")</f>
        <v/>
      </c>
      <c r="FB103" s="801"/>
      <c r="FC103" s="801"/>
      <c r="FD103" s="801"/>
      <c r="FE103" s="801"/>
      <c r="FF103" s="801"/>
      <c r="FG103" s="801"/>
      <c r="FH103" s="801"/>
      <c r="FI103" s="801"/>
      <c r="FJ103" s="801"/>
      <c r="FK103" s="801"/>
      <c r="FL103" s="801"/>
      <c r="FM103" s="801"/>
      <c r="FN103" s="801"/>
      <c r="FO103" s="801"/>
      <c r="FP103" s="801"/>
      <c r="FQ103" s="801"/>
      <c r="FR103" s="801"/>
      <c r="FS103" s="801"/>
      <c r="FT103" s="801"/>
      <c r="FU103" s="801"/>
      <c r="FV103" s="801"/>
      <c r="FW103" s="801"/>
      <c r="FX103" s="801"/>
      <c r="FY103" s="801"/>
      <c r="FZ103" s="802"/>
      <c r="GA103" s="800" t="str">
        <f>IFERROR(IF(GZ93&gt;GA93-1,IF(INDEX(Lista_Pedidos,GY93+GA93-1,8)&lt;&gt;"","Forro :     "&amp; INDEX(Lista_Pedidos,GY93+GA93-1,8),""),""),"")</f>
        <v/>
      </c>
      <c r="GB103" s="801"/>
      <c r="GC103" s="801"/>
      <c r="GD103" s="801"/>
      <c r="GE103" s="801"/>
      <c r="GF103" s="801"/>
      <c r="GG103" s="801"/>
      <c r="GH103" s="801"/>
      <c r="GI103" s="801"/>
      <c r="GJ103" s="801"/>
      <c r="GK103" s="801"/>
      <c r="GL103" s="801"/>
      <c r="GM103" s="801"/>
      <c r="GN103" s="801"/>
      <c r="GO103" s="801"/>
      <c r="GP103" s="801"/>
      <c r="GQ103" s="801"/>
      <c r="GR103" s="801"/>
      <c r="GS103" s="801"/>
      <c r="GT103" s="801"/>
      <c r="GU103" s="801"/>
      <c r="GV103" s="801"/>
      <c r="GW103" s="801"/>
      <c r="GX103" s="801"/>
      <c r="GY103" s="801"/>
      <c r="GZ103" s="802"/>
      <c r="HA103" s="800" t="str">
        <f>IFERROR(IF(HZ93&gt;HA93-1,IF(INDEX(Lista_Pedidos,HY93+HA93-1,8)&lt;&gt;"","Forro :     "&amp; INDEX(Lista_Pedidos,HY93+HA93-1,8),""),""),"")</f>
        <v/>
      </c>
      <c r="HB103" s="801"/>
      <c r="HC103" s="801"/>
      <c r="HD103" s="801"/>
      <c r="HE103" s="801"/>
      <c r="HF103" s="801"/>
      <c r="HG103" s="801"/>
      <c r="HH103" s="801"/>
      <c r="HI103" s="801"/>
      <c r="HJ103" s="801"/>
      <c r="HK103" s="801"/>
      <c r="HL103" s="801"/>
      <c r="HM103" s="801"/>
      <c r="HN103" s="801"/>
      <c r="HO103" s="801"/>
      <c r="HP103" s="801"/>
      <c r="HQ103" s="801"/>
      <c r="HR103" s="801"/>
      <c r="HS103" s="801"/>
      <c r="HT103" s="801"/>
      <c r="HU103" s="801"/>
      <c r="HV103" s="801"/>
      <c r="HW103" s="801"/>
      <c r="HX103" s="801"/>
      <c r="HY103" s="801"/>
      <c r="HZ103" s="802"/>
      <c r="IA103" s="800" t="str">
        <f>IFERROR(IF(IZ93&gt;IA93-1,IF(INDEX(Lista_Pedidos,IY93+IA93-1,8)&lt;&gt;"","Forro :     "&amp; INDEX(Lista_Pedidos,IY93+IA93-1,8),""),""),"")</f>
        <v/>
      </c>
      <c r="IB103" s="801"/>
      <c r="IC103" s="801"/>
      <c r="ID103" s="801"/>
      <c r="IE103" s="801"/>
      <c r="IF103" s="801"/>
      <c r="IG103" s="801"/>
      <c r="IH103" s="801"/>
      <c r="II103" s="801"/>
      <c r="IJ103" s="801"/>
      <c r="IK103" s="801"/>
      <c r="IL103" s="801"/>
      <c r="IM103" s="801"/>
      <c r="IN103" s="801"/>
      <c r="IO103" s="801"/>
      <c r="IP103" s="801"/>
      <c r="IQ103" s="801"/>
      <c r="IR103" s="801"/>
      <c r="IS103" s="801"/>
      <c r="IT103" s="801"/>
      <c r="IU103" s="801"/>
      <c r="IV103" s="801"/>
      <c r="IW103" s="801"/>
      <c r="IX103" s="801"/>
      <c r="IY103" s="801"/>
      <c r="IZ103" s="802"/>
    </row>
    <row r="104" spans="1:260" x14ac:dyDescent="0.25">
      <c r="A104" s="800" t="str">
        <f>IF(A$5="Cliente Especial : NEON",IF(Z93&gt;A93-1,"Neon :      Si",""),"")</f>
        <v/>
      </c>
      <c r="B104" s="801"/>
      <c r="C104" s="801"/>
      <c r="D104" s="801"/>
      <c r="E104" s="801"/>
      <c r="F104" s="801"/>
      <c r="G104" s="801"/>
      <c r="H104" s="801"/>
      <c r="I104" s="801"/>
      <c r="J104" s="801"/>
      <c r="K104" s="801"/>
      <c r="L104" s="801"/>
      <c r="M104" s="801"/>
      <c r="N104" s="801"/>
      <c r="O104" s="801"/>
      <c r="P104" s="801"/>
      <c r="Q104" s="801"/>
      <c r="R104" s="801"/>
      <c r="S104" s="801"/>
      <c r="T104" s="801"/>
      <c r="U104" s="801"/>
      <c r="V104" s="801"/>
      <c r="W104" s="801"/>
      <c r="X104" s="801"/>
      <c r="Y104" s="801"/>
      <c r="Z104" s="802"/>
      <c r="AA104" s="800" t="str">
        <f>IF(AA$5="Cliente Especial : NEON",IF(AZ93&gt;AA93-1,"Neon :      Si",""),"")</f>
        <v/>
      </c>
      <c r="AB104" s="801"/>
      <c r="AC104" s="801"/>
      <c r="AD104" s="801"/>
      <c r="AE104" s="801"/>
      <c r="AF104" s="801"/>
      <c r="AG104" s="801"/>
      <c r="AH104" s="801"/>
      <c r="AI104" s="801"/>
      <c r="AJ104" s="801"/>
      <c r="AK104" s="801"/>
      <c r="AL104" s="801"/>
      <c r="AM104" s="801"/>
      <c r="AN104" s="801"/>
      <c r="AO104" s="801"/>
      <c r="AP104" s="801"/>
      <c r="AQ104" s="801"/>
      <c r="AR104" s="801"/>
      <c r="AS104" s="801"/>
      <c r="AT104" s="801"/>
      <c r="AU104" s="801"/>
      <c r="AV104" s="801"/>
      <c r="AW104" s="801"/>
      <c r="AX104" s="801"/>
      <c r="AY104" s="801"/>
      <c r="AZ104" s="802"/>
      <c r="BA104" s="800" t="str">
        <f>IF(BA$5="Cliente Especial : NEON",IF(BZ93&gt;BA93-1,"Neon :      Si",""),"")</f>
        <v/>
      </c>
      <c r="BB104" s="801"/>
      <c r="BC104" s="801"/>
      <c r="BD104" s="801"/>
      <c r="BE104" s="801"/>
      <c r="BF104" s="801"/>
      <c r="BG104" s="801"/>
      <c r="BH104" s="801"/>
      <c r="BI104" s="801"/>
      <c r="BJ104" s="801"/>
      <c r="BK104" s="801"/>
      <c r="BL104" s="801"/>
      <c r="BM104" s="801"/>
      <c r="BN104" s="801"/>
      <c r="BO104" s="801"/>
      <c r="BP104" s="801"/>
      <c r="BQ104" s="801"/>
      <c r="BR104" s="801"/>
      <c r="BS104" s="801"/>
      <c r="BT104" s="801"/>
      <c r="BU104" s="801"/>
      <c r="BV104" s="801"/>
      <c r="BW104" s="801"/>
      <c r="BX104" s="801"/>
      <c r="BY104" s="801"/>
      <c r="BZ104" s="802"/>
      <c r="CA104" s="800" t="str">
        <f>IF(CA$5="Cliente Especial : NEON",IF(CZ93&gt;CA93-1,"Neon :      Si",""),"")</f>
        <v/>
      </c>
      <c r="CB104" s="801"/>
      <c r="CC104" s="801"/>
      <c r="CD104" s="801"/>
      <c r="CE104" s="801"/>
      <c r="CF104" s="801"/>
      <c r="CG104" s="801"/>
      <c r="CH104" s="801"/>
      <c r="CI104" s="801"/>
      <c r="CJ104" s="801"/>
      <c r="CK104" s="801"/>
      <c r="CL104" s="801"/>
      <c r="CM104" s="801"/>
      <c r="CN104" s="801"/>
      <c r="CO104" s="801"/>
      <c r="CP104" s="801"/>
      <c r="CQ104" s="801"/>
      <c r="CR104" s="801"/>
      <c r="CS104" s="801"/>
      <c r="CT104" s="801"/>
      <c r="CU104" s="801"/>
      <c r="CV104" s="801"/>
      <c r="CW104" s="801"/>
      <c r="CX104" s="801"/>
      <c r="CY104" s="801"/>
      <c r="CZ104" s="802"/>
      <c r="DA104" s="800" t="str">
        <f>IF(DA$5="Cliente Especial : NEON",IF(DZ93&gt;DA93-1,"Neon :      Si",""),"")</f>
        <v/>
      </c>
      <c r="DB104" s="801"/>
      <c r="DC104" s="801"/>
      <c r="DD104" s="801"/>
      <c r="DE104" s="801"/>
      <c r="DF104" s="801"/>
      <c r="DG104" s="801"/>
      <c r="DH104" s="801"/>
      <c r="DI104" s="801"/>
      <c r="DJ104" s="801"/>
      <c r="DK104" s="801"/>
      <c r="DL104" s="801"/>
      <c r="DM104" s="801"/>
      <c r="DN104" s="801"/>
      <c r="DO104" s="801"/>
      <c r="DP104" s="801"/>
      <c r="DQ104" s="801"/>
      <c r="DR104" s="801"/>
      <c r="DS104" s="801"/>
      <c r="DT104" s="801"/>
      <c r="DU104" s="801"/>
      <c r="DV104" s="801"/>
      <c r="DW104" s="801"/>
      <c r="DX104" s="801"/>
      <c r="DY104" s="801"/>
      <c r="DZ104" s="802"/>
      <c r="EA104" s="800" t="str">
        <f>IF(EA$5="Cliente Especial : NEON",IF(EZ93&gt;EA93-1,"Neon :      Si",""),"")</f>
        <v/>
      </c>
      <c r="EB104" s="801"/>
      <c r="EC104" s="801"/>
      <c r="ED104" s="801"/>
      <c r="EE104" s="801"/>
      <c r="EF104" s="801"/>
      <c r="EG104" s="801"/>
      <c r="EH104" s="801"/>
      <c r="EI104" s="801"/>
      <c r="EJ104" s="801"/>
      <c r="EK104" s="801"/>
      <c r="EL104" s="801"/>
      <c r="EM104" s="801"/>
      <c r="EN104" s="801"/>
      <c r="EO104" s="801"/>
      <c r="EP104" s="801"/>
      <c r="EQ104" s="801"/>
      <c r="ER104" s="801"/>
      <c r="ES104" s="801"/>
      <c r="ET104" s="801"/>
      <c r="EU104" s="801"/>
      <c r="EV104" s="801"/>
      <c r="EW104" s="801"/>
      <c r="EX104" s="801"/>
      <c r="EY104" s="801"/>
      <c r="EZ104" s="802"/>
      <c r="FA104" s="800" t="str">
        <f>IF(FA$5="Cliente Especial : NEON",IF(FZ93&gt;FA93-1,"Neon :      Si",""),"")</f>
        <v/>
      </c>
      <c r="FB104" s="801"/>
      <c r="FC104" s="801"/>
      <c r="FD104" s="801"/>
      <c r="FE104" s="801"/>
      <c r="FF104" s="801"/>
      <c r="FG104" s="801"/>
      <c r="FH104" s="801"/>
      <c r="FI104" s="801"/>
      <c r="FJ104" s="801"/>
      <c r="FK104" s="801"/>
      <c r="FL104" s="801"/>
      <c r="FM104" s="801"/>
      <c r="FN104" s="801"/>
      <c r="FO104" s="801"/>
      <c r="FP104" s="801"/>
      <c r="FQ104" s="801"/>
      <c r="FR104" s="801"/>
      <c r="FS104" s="801"/>
      <c r="FT104" s="801"/>
      <c r="FU104" s="801"/>
      <c r="FV104" s="801"/>
      <c r="FW104" s="801"/>
      <c r="FX104" s="801"/>
      <c r="FY104" s="801"/>
      <c r="FZ104" s="802"/>
      <c r="GA104" s="800" t="str">
        <f>IF(GA$5="Cliente Especial : NEON",IF(GZ93&gt;GA93-1,"Neon :      Si",""),"")</f>
        <v/>
      </c>
      <c r="GB104" s="801"/>
      <c r="GC104" s="801"/>
      <c r="GD104" s="801"/>
      <c r="GE104" s="801"/>
      <c r="GF104" s="801"/>
      <c r="GG104" s="801"/>
      <c r="GH104" s="801"/>
      <c r="GI104" s="801"/>
      <c r="GJ104" s="801"/>
      <c r="GK104" s="801"/>
      <c r="GL104" s="801"/>
      <c r="GM104" s="801"/>
      <c r="GN104" s="801"/>
      <c r="GO104" s="801"/>
      <c r="GP104" s="801"/>
      <c r="GQ104" s="801"/>
      <c r="GR104" s="801"/>
      <c r="GS104" s="801"/>
      <c r="GT104" s="801"/>
      <c r="GU104" s="801"/>
      <c r="GV104" s="801"/>
      <c r="GW104" s="801"/>
      <c r="GX104" s="801"/>
      <c r="GY104" s="801"/>
      <c r="GZ104" s="802"/>
      <c r="HA104" s="800" t="str">
        <f>IF(HA$5="Cliente Especial : NEON",IF(HZ93&gt;HA93-1,"Neon :      Si",""),"")</f>
        <v/>
      </c>
      <c r="HB104" s="801"/>
      <c r="HC104" s="801"/>
      <c r="HD104" s="801"/>
      <c r="HE104" s="801"/>
      <c r="HF104" s="801"/>
      <c r="HG104" s="801"/>
      <c r="HH104" s="801"/>
      <c r="HI104" s="801"/>
      <c r="HJ104" s="801"/>
      <c r="HK104" s="801"/>
      <c r="HL104" s="801"/>
      <c r="HM104" s="801"/>
      <c r="HN104" s="801"/>
      <c r="HO104" s="801"/>
      <c r="HP104" s="801"/>
      <c r="HQ104" s="801"/>
      <c r="HR104" s="801"/>
      <c r="HS104" s="801"/>
      <c r="HT104" s="801"/>
      <c r="HU104" s="801"/>
      <c r="HV104" s="801"/>
      <c r="HW104" s="801"/>
      <c r="HX104" s="801"/>
      <c r="HY104" s="801"/>
      <c r="HZ104" s="802"/>
      <c r="IA104" s="800" t="str">
        <f>IF(IA$5="Cliente Especial : NEON",IF(IZ93&gt;IA93-1,"Neon :      Si",""),"")</f>
        <v/>
      </c>
      <c r="IB104" s="801"/>
      <c r="IC104" s="801"/>
      <c r="ID104" s="801"/>
      <c r="IE104" s="801"/>
      <c r="IF104" s="801"/>
      <c r="IG104" s="801"/>
      <c r="IH104" s="801"/>
      <c r="II104" s="801"/>
      <c r="IJ104" s="801"/>
      <c r="IK104" s="801"/>
      <c r="IL104" s="801"/>
      <c r="IM104" s="801"/>
      <c r="IN104" s="801"/>
      <c r="IO104" s="801"/>
      <c r="IP104" s="801"/>
      <c r="IQ104" s="801"/>
      <c r="IR104" s="801"/>
      <c r="IS104" s="801"/>
      <c r="IT104" s="801"/>
      <c r="IU104" s="801"/>
      <c r="IV104" s="801"/>
      <c r="IW104" s="801"/>
      <c r="IX104" s="801"/>
      <c r="IY104" s="801"/>
      <c r="IZ104" s="802"/>
    </row>
    <row r="105" spans="1:260" x14ac:dyDescent="0.25">
      <c r="A105" s="800" t="str">
        <f>IFERROR(IF(Z93&gt;A93-1,IF(INDEX(Pedidos!J:AZ,Y93+A93-1,9)&lt;&gt;"","Cierre :     "&amp; INDEX(Pedidos!J:AZ,Y93+A93-1,9),""),""),"")</f>
        <v/>
      </c>
      <c r="B105" s="801"/>
      <c r="C105" s="801"/>
      <c r="D105" s="801"/>
      <c r="E105" s="801"/>
      <c r="F105" s="801"/>
      <c r="G105" s="801"/>
      <c r="H105" s="801"/>
      <c r="I105" s="801"/>
      <c r="J105" s="801"/>
      <c r="K105" s="801"/>
      <c r="L105" s="801"/>
      <c r="M105" s="801"/>
      <c r="N105" s="801"/>
      <c r="O105" s="801"/>
      <c r="P105" s="801"/>
      <c r="Q105" s="801"/>
      <c r="R105" s="801"/>
      <c r="S105" s="801"/>
      <c r="T105" s="801"/>
      <c r="U105" s="801"/>
      <c r="V105" s="801"/>
      <c r="W105" s="801"/>
      <c r="X105" s="801"/>
      <c r="Y105" s="801"/>
      <c r="Z105" s="802"/>
      <c r="AA105" s="800" t="str">
        <f>IFERROR(IF(AZ93&gt;AA93-1,IF(INDEX(Pedidos!AJ:BZ,AY93+AA93-1,9)&lt;&gt;"","Cierre :     "&amp; INDEX(Pedidos!AJ:BZ,AY93+AA93-1,9),""),""),"")</f>
        <v/>
      </c>
      <c r="AB105" s="801"/>
      <c r="AC105" s="801"/>
      <c r="AD105" s="801"/>
      <c r="AE105" s="801"/>
      <c r="AF105" s="801"/>
      <c r="AG105" s="801"/>
      <c r="AH105" s="801"/>
      <c r="AI105" s="801"/>
      <c r="AJ105" s="801"/>
      <c r="AK105" s="801"/>
      <c r="AL105" s="801"/>
      <c r="AM105" s="801"/>
      <c r="AN105" s="801"/>
      <c r="AO105" s="801"/>
      <c r="AP105" s="801"/>
      <c r="AQ105" s="801"/>
      <c r="AR105" s="801"/>
      <c r="AS105" s="801"/>
      <c r="AT105" s="801"/>
      <c r="AU105" s="801"/>
      <c r="AV105" s="801"/>
      <c r="AW105" s="801"/>
      <c r="AX105" s="801"/>
      <c r="AY105" s="801"/>
      <c r="AZ105" s="802"/>
      <c r="BA105" s="800" t="str">
        <f>IFERROR(IF(BZ93&gt;BA93-1,IF(INDEX(Pedidos!BJ:CZ,BY93+BA93-1,9)&lt;&gt;"","Cierre :     "&amp; INDEX(Pedidos!BJ:CZ,BY93+BA93-1,9),""),""),"")</f>
        <v/>
      </c>
      <c r="BB105" s="801"/>
      <c r="BC105" s="801"/>
      <c r="BD105" s="801"/>
      <c r="BE105" s="801"/>
      <c r="BF105" s="801"/>
      <c r="BG105" s="801"/>
      <c r="BH105" s="801"/>
      <c r="BI105" s="801"/>
      <c r="BJ105" s="801"/>
      <c r="BK105" s="801"/>
      <c r="BL105" s="801"/>
      <c r="BM105" s="801"/>
      <c r="BN105" s="801"/>
      <c r="BO105" s="801"/>
      <c r="BP105" s="801"/>
      <c r="BQ105" s="801"/>
      <c r="BR105" s="801"/>
      <c r="BS105" s="801"/>
      <c r="BT105" s="801"/>
      <c r="BU105" s="801"/>
      <c r="BV105" s="801"/>
      <c r="BW105" s="801"/>
      <c r="BX105" s="801"/>
      <c r="BY105" s="801"/>
      <c r="BZ105" s="802"/>
      <c r="CA105" s="800" t="str">
        <f>IFERROR(IF(CZ93&gt;CA93-1,IF(INDEX(Pedidos!CJ:DZ,CY93+CA93-1,9)&lt;&gt;"","Cierre :     "&amp; INDEX(Pedidos!CJ:DZ,CY93+CA93-1,9),""),""),"")</f>
        <v/>
      </c>
      <c r="CB105" s="801"/>
      <c r="CC105" s="801"/>
      <c r="CD105" s="801"/>
      <c r="CE105" s="801"/>
      <c r="CF105" s="801"/>
      <c r="CG105" s="801"/>
      <c r="CH105" s="801"/>
      <c r="CI105" s="801"/>
      <c r="CJ105" s="801"/>
      <c r="CK105" s="801"/>
      <c r="CL105" s="801"/>
      <c r="CM105" s="801"/>
      <c r="CN105" s="801"/>
      <c r="CO105" s="801"/>
      <c r="CP105" s="801"/>
      <c r="CQ105" s="801"/>
      <c r="CR105" s="801"/>
      <c r="CS105" s="801"/>
      <c r="CT105" s="801"/>
      <c r="CU105" s="801"/>
      <c r="CV105" s="801"/>
      <c r="CW105" s="801"/>
      <c r="CX105" s="801"/>
      <c r="CY105" s="801"/>
      <c r="CZ105" s="802"/>
      <c r="DA105" s="800" t="str">
        <f>IFERROR(IF(DZ93&gt;DA93-1,IF(INDEX(Pedidos!DJ:EZ,DY93+DA93-1,9)&lt;&gt;"","Cierre :     "&amp; INDEX(Pedidos!DJ:EZ,DY93+DA93-1,9),""),""),"")</f>
        <v/>
      </c>
      <c r="DB105" s="801"/>
      <c r="DC105" s="801"/>
      <c r="DD105" s="801"/>
      <c r="DE105" s="801"/>
      <c r="DF105" s="801"/>
      <c r="DG105" s="801"/>
      <c r="DH105" s="801"/>
      <c r="DI105" s="801"/>
      <c r="DJ105" s="801"/>
      <c r="DK105" s="801"/>
      <c r="DL105" s="801"/>
      <c r="DM105" s="801"/>
      <c r="DN105" s="801"/>
      <c r="DO105" s="801"/>
      <c r="DP105" s="801"/>
      <c r="DQ105" s="801"/>
      <c r="DR105" s="801"/>
      <c r="DS105" s="801"/>
      <c r="DT105" s="801"/>
      <c r="DU105" s="801"/>
      <c r="DV105" s="801"/>
      <c r="DW105" s="801"/>
      <c r="DX105" s="801"/>
      <c r="DY105" s="801"/>
      <c r="DZ105" s="802"/>
      <c r="EA105" s="800" t="str">
        <f>IFERROR(IF(EZ93&gt;EA93-1,IF(INDEX(Pedidos!EJ:FZ,EY93+EA93-1,9)&lt;&gt;"","Cierre :     "&amp; INDEX(Pedidos!EJ:FZ,EY93+EA93-1,9),""),""),"")</f>
        <v/>
      </c>
      <c r="EB105" s="801"/>
      <c r="EC105" s="801"/>
      <c r="ED105" s="801"/>
      <c r="EE105" s="801"/>
      <c r="EF105" s="801"/>
      <c r="EG105" s="801"/>
      <c r="EH105" s="801"/>
      <c r="EI105" s="801"/>
      <c r="EJ105" s="801"/>
      <c r="EK105" s="801"/>
      <c r="EL105" s="801"/>
      <c r="EM105" s="801"/>
      <c r="EN105" s="801"/>
      <c r="EO105" s="801"/>
      <c r="EP105" s="801"/>
      <c r="EQ105" s="801"/>
      <c r="ER105" s="801"/>
      <c r="ES105" s="801"/>
      <c r="ET105" s="801"/>
      <c r="EU105" s="801"/>
      <c r="EV105" s="801"/>
      <c r="EW105" s="801"/>
      <c r="EX105" s="801"/>
      <c r="EY105" s="801"/>
      <c r="EZ105" s="802"/>
      <c r="FA105" s="800" t="str">
        <f>IFERROR(IF(FZ93&gt;FA93-1,IF(INDEX(Pedidos!FJ:GZ,FY93+FA93-1,9)&lt;&gt;"","Cierre :     "&amp; INDEX(Pedidos!FJ:GZ,FY93+FA93-1,9),""),""),"")</f>
        <v/>
      </c>
      <c r="FB105" s="801"/>
      <c r="FC105" s="801"/>
      <c r="FD105" s="801"/>
      <c r="FE105" s="801"/>
      <c r="FF105" s="801"/>
      <c r="FG105" s="801"/>
      <c r="FH105" s="801"/>
      <c r="FI105" s="801"/>
      <c r="FJ105" s="801"/>
      <c r="FK105" s="801"/>
      <c r="FL105" s="801"/>
      <c r="FM105" s="801"/>
      <c r="FN105" s="801"/>
      <c r="FO105" s="801"/>
      <c r="FP105" s="801"/>
      <c r="FQ105" s="801"/>
      <c r="FR105" s="801"/>
      <c r="FS105" s="801"/>
      <c r="FT105" s="801"/>
      <c r="FU105" s="801"/>
      <c r="FV105" s="801"/>
      <c r="FW105" s="801"/>
      <c r="FX105" s="801"/>
      <c r="FY105" s="801"/>
      <c r="FZ105" s="802"/>
      <c r="GA105" s="800" t="str">
        <f>IFERROR(IF(GZ93&gt;GA93-1,IF(INDEX(Pedidos!GJ:HZ,GY93+GA93-1,9)&lt;&gt;"","Cierre :     "&amp; INDEX(Pedidos!GJ:HZ,GY93+GA93-1,9),""),""),"")</f>
        <v/>
      </c>
      <c r="GB105" s="801"/>
      <c r="GC105" s="801"/>
      <c r="GD105" s="801"/>
      <c r="GE105" s="801"/>
      <c r="GF105" s="801"/>
      <c r="GG105" s="801"/>
      <c r="GH105" s="801"/>
      <c r="GI105" s="801"/>
      <c r="GJ105" s="801"/>
      <c r="GK105" s="801"/>
      <c r="GL105" s="801"/>
      <c r="GM105" s="801"/>
      <c r="GN105" s="801"/>
      <c r="GO105" s="801"/>
      <c r="GP105" s="801"/>
      <c r="GQ105" s="801"/>
      <c r="GR105" s="801"/>
      <c r="GS105" s="801"/>
      <c r="GT105" s="801"/>
      <c r="GU105" s="801"/>
      <c r="GV105" s="801"/>
      <c r="GW105" s="801"/>
      <c r="GX105" s="801"/>
      <c r="GY105" s="801"/>
      <c r="GZ105" s="802"/>
      <c r="HA105" s="800" t="str">
        <f>IFERROR(IF(HZ93&gt;HA93-1,IF(INDEX(Pedidos!HJ:IZ,HY93+HA93-1,9)&lt;&gt;"","Cierre :     "&amp; INDEX(Pedidos!HJ:IZ,HY93+HA93-1,9),""),""),"")</f>
        <v/>
      </c>
      <c r="HB105" s="801"/>
      <c r="HC105" s="801"/>
      <c r="HD105" s="801"/>
      <c r="HE105" s="801"/>
      <c r="HF105" s="801"/>
      <c r="HG105" s="801"/>
      <c r="HH105" s="801"/>
      <c r="HI105" s="801"/>
      <c r="HJ105" s="801"/>
      <c r="HK105" s="801"/>
      <c r="HL105" s="801"/>
      <c r="HM105" s="801"/>
      <c r="HN105" s="801"/>
      <c r="HO105" s="801"/>
      <c r="HP105" s="801"/>
      <c r="HQ105" s="801"/>
      <c r="HR105" s="801"/>
      <c r="HS105" s="801"/>
      <c r="HT105" s="801"/>
      <c r="HU105" s="801"/>
      <c r="HV105" s="801"/>
      <c r="HW105" s="801"/>
      <c r="HX105" s="801"/>
      <c r="HY105" s="801"/>
      <c r="HZ105" s="802"/>
      <c r="IA105" s="800" t="str">
        <f>IFERROR(IF(IZ93&gt;IA93-1,IF(INDEX(Pedidos!IJ:JZ,IY93+IA93-1,9)&lt;&gt;"","Cierre :     "&amp; INDEX(Pedidos!IJ:JZ,IY93+IA93-1,9),""),""),"")</f>
        <v/>
      </c>
      <c r="IB105" s="801"/>
      <c r="IC105" s="801"/>
      <c r="ID105" s="801"/>
      <c r="IE105" s="801"/>
      <c r="IF105" s="801"/>
      <c r="IG105" s="801"/>
      <c r="IH105" s="801"/>
      <c r="II105" s="801"/>
      <c r="IJ105" s="801"/>
      <c r="IK105" s="801"/>
      <c r="IL105" s="801"/>
      <c r="IM105" s="801"/>
      <c r="IN105" s="801"/>
      <c r="IO105" s="801"/>
      <c r="IP105" s="801"/>
      <c r="IQ105" s="801"/>
      <c r="IR105" s="801"/>
      <c r="IS105" s="801"/>
      <c r="IT105" s="801"/>
      <c r="IU105" s="801"/>
      <c r="IV105" s="801"/>
      <c r="IW105" s="801"/>
      <c r="IX105" s="801"/>
      <c r="IY105" s="801"/>
      <c r="IZ105" s="802"/>
    </row>
    <row r="106" spans="1:260" x14ac:dyDescent="0.25">
      <c r="A106" s="800" t="str">
        <f>IFERROR(IF(Z93&gt;A93-1,IF(INDEX(Pedidos!J:AZ,Y93+A93-1,11)&lt;&gt;"","Cordon :     "&amp; INDEX(Pedidos!J:AZ,Y93+A93-1,11),""),""),"")</f>
        <v/>
      </c>
      <c r="B106" s="801"/>
      <c r="C106" s="801"/>
      <c r="D106" s="801"/>
      <c r="E106" s="801"/>
      <c r="F106" s="801"/>
      <c r="G106" s="801"/>
      <c r="H106" s="801"/>
      <c r="I106" s="801"/>
      <c r="J106" s="801"/>
      <c r="K106" s="801"/>
      <c r="L106" s="801"/>
      <c r="M106" s="801"/>
      <c r="N106" s="801"/>
      <c r="O106" s="801"/>
      <c r="P106" s="801"/>
      <c r="Q106" s="801"/>
      <c r="R106" s="801"/>
      <c r="S106" s="801"/>
      <c r="T106" s="801"/>
      <c r="U106" s="801"/>
      <c r="V106" s="801"/>
      <c r="W106" s="801"/>
      <c r="X106" s="801"/>
      <c r="Y106" s="801"/>
      <c r="Z106" s="802"/>
      <c r="AA106" s="800" t="str">
        <f>IFERROR(IF(AZ93&gt;AA93-1,IF(INDEX(Pedidos!AJ:BZ,AY93+AA93-1,11)&lt;&gt;"","Cordon :     "&amp; INDEX(Pedidos!AJ:BZ,AY93+AA93-1,11),""),""),"")</f>
        <v/>
      </c>
      <c r="AB106" s="801"/>
      <c r="AC106" s="801"/>
      <c r="AD106" s="801"/>
      <c r="AE106" s="801"/>
      <c r="AF106" s="801"/>
      <c r="AG106" s="801"/>
      <c r="AH106" s="801"/>
      <c r="AI106" s="801"/>
      <c r="AJ106" s="801"/>
      <c r="AK106" s="801"/>
      <c r="AL106" s="801"/>
      <c r="AM106" s="801"/>
      <c r="AN106" s="801"/>
      <c r="AO106" s="801"/>
      <c r="AP106" s="801"/>
      <c r="AQ106" s="801"/>
      <c r="AR106" s="801"/>
      <c r="AS106" s="801"/>
      <c r="AT106" s="801"/>
      <c r="AU106" s="801"/>
      <c r="AV106" s="801"/>
      <c r="AW106" s="801"/>
      <c r="AX106" s="801"/>
      <c r="AY106" s="801"/>
      <c r="AZ106" s="802"/>
      <c r="BA106" s="800" t="str">
        <f>IFERROR(IF(BZ93&gt;BA93-1,IF(INDEX(Pedidos!BJ:CZ,BY93+BA93-1,11)&lt;&gt;"","Cordon :     "&amp; INDEX(Pedidos!BJ:CZ,BY93+BA93-1,11),""),""),"")</f>
        <v/>
      </c>
      <c r="BB106" s="801"/>
      <c r="BC106" s="801"/>
      <c r="BD106" s="801"/>
      <c r="BE106" s="801"/>
      <c r="BF106" s="801"/>
      <c r="BG106" s="801"/>
      <c r="BH106" s="801"/>
      <c r="BI106" s="801"/>
      <c r="BJ106" s="801"/>
      <c r="BK106" s="801"/>
      <c r="BL106" s="801"/>
      <c r="BM106" s="801"/>
      <c r="BN106" s="801"/>
      <c r="BO106" s="801"/>
      <c r="BP106" s="801"/>
      <c r="BQ106" s="801"/>
      <c r="BR106" s="801"/>
      <c r="BS106" s="801"/>
      <c r="BT106" s="801"/>
      <c r="BU106" s="801"/>
      <c r="BV106" s="801"/>
      <c r="BW106" s="801"/>
      <c r="BX106" s="801"/>
      <c r="BY106" s="801"/>
      <c r="BZ106" s="802"/>
      <c r="CA106" s="800" t="str">
        <f>IFERROR(IF(CZ93&gt;CA93-1,IF(INDEX(Pedidos!CJ:DZ,CY93+CA93-1,11)&lt;&gt;"","Cordon :     "&amp; INDEX(Pedidos!CJ:DZ,CY93+CA93-1,11),""),""),"")</f>
        <v/>
      </c>
      <c r="CB106" s="801"/>
      <c r="CC106" s="801"/>
      <c r="CD106" s="801"/>
      <c r="CE106" s="801"/>
      <c r="CF106" s="801"/>
      <c r="CG106" s="801"/>
      <c r="CH106" s="801"/>
      <c r="CI106" s="801"/>
      <c r="CJ106" s="801"/>
      <c r="CK106" s="801"/>
      <c r="CL106" s="801"/>
      <c r="CM106" s="801"/>
      <c r="CN106" s="801"/>
      <c r="CO106" s="801"/>
      <c r="CP106" s="801"/>
      <c r="CQ106" s="801"/>
      <c r="CR106" s="801"/>
      <c r="CS106" s="801"/>
      <c r="CT106" s="801"/>
      <c r="CU106" s="801"/>
      <c r="CV106" s="801"/>
      <c r="CW106" s="801"/>
      <c r="CX106" s="801"/>
      <c r="CY106" s="801"/>
      <c r="CZ106" s="802"/>
      <c r="DA106" s="800" t="str">
        <f>IFERROR(IF(DZ93&gt;DA93-1,IF(INDEX(Pedidos!DJ:EZ,DY93+DA93-1,11)&lt;&gt;"","Cordon :     "&amp; INDEX(Pedidos!DJ:EZ,DY93+DA93-1,11),""),""),"")</f>
        <v/>
      </c>
      <c r="DB106" s="801"/>
      <c r="DC106" s="801"/>
      <c r="DD106" s="801"/>
      <c r="DE106" s="801"/>
      <c r="DF106" s="801"/>
      <c r="DG106" s="801"/>
      <c r="DH106" s="801"/>
      <c r="DI106" s="801"/>
      <c r="DJ106" s="801"/>
      <c r="DK106" s="801"/>
      <c r="DL106" s="801"/>
      <c r="DM106" s="801"/>
      <c r="DN106" s="801"/>
      <c r="DO106" s="801"/>
      <c r="DP106" s="801"/>
      <c r="DQ106" s="801"/>
      <c r="DR106" s="801"/>
      <c r="DS106" s="801"/>
      <c r="DT106" s="801"/>
      <c r="DU106" s="801"/>
      <c r="DV106" s="801"/>
      <c r="DW106" s="801"/>
      <c r="DX106" s="801"/>
      <c r="DY106" s="801"/>
      <c r="DZ106" s="802"/>
      <c r="EA106" s="800" t="str">
        <f>IFERROR(IF(EZ93&gt;EA93-1,IF(INDEX(Pedidos!EJ:FZ,EY93+EA93-1,11)&lt;&gt;"","Cordon :     "&amp; INDEX(Pedidos!EJ:FZ,EY93+EA93-1,11),""),""),"")</f>
        <v/>
      </c>
      <c r="EB106" s="801"/>
      <c r="EC106" s="801"/>
      <c r="ED106" s="801"/>
      <c r="EE106" s="801"/>
      <c r="EF106" s="801"/>
      <c r="EG106" s="801"/>
      <c r="EH106" s="801"/>
      <c r="EI106" s="801"/>
      <c r="EJ106" s="801"/>
      <c r="EK106" s="801"/>
      <c r="EL106" s="801"/>
      <c r="EM106" s="801"/>
      <c r="EN106" s="801"/>
      <c r="EO106" s="801"/>
      <c r="EP106" s="801"/>
      <c r="EQ106" s="801"/>
      <c r="ER106" s="801"/>
      <c r="ES106" s="801"/>
      <c r="ET106" s="801"/>
      <c r="EU106" s="801"/>
      <c r="EV106" s="801"/>
      <c r="EW106" s="801"/>
      <c r="EX106" s="801"/>
      <c r="EY106" s="801"/>
      <c r="EZ106" s="802"/>
      <c r="FA106" s="800" t="str">
        <f>IFERROR(IF(FZ93&gt;FA93-1,IF(INDEX(Pedidos!FJ:GZ,FY93+FA93-1,11)&lt;&gt;"","Cordon :     "&amp; INDEX(Pedidos!FJ:GZ,FY93+FA93-1,11),""),""),"")</f>
        <v/>
      </c>
      <c r="FB106" s="801"/>
      <c r="FC106" s="801"/>
      <c r="FD106" s="801"/>
      <c r="FE106" s="801"/>
      <c r="FF106" s="801"/>
      <c r="FG106" s="801"/>
      <c r="FH106" s="801"/>
      <c r="FI106" s="801"/>
      <c r="FJ106" s="801"/>
      <c r="FK106" s="801"/>
      <c r="FL106" s="801"/>
      <c r="FM106" s="801"/>
      <c r="FN106" s="801"/>
      <c r="FO106" s="801"/>
      <c r="FP106" s="801"/>
      <c r="FQ106" s="801"/>
      <c r="FR106" s="801"/>
      <c r="FS106" s="801"/>
      <c r="FT106" s="801"/>
      <c r="FU106" s="801"/>
      <c r="FV106" s="801"/>
      <c r="FW106" s="801"/>
      <c r="FX106" s="801"/>
      <c r="FY106" s="801"/>
      <c r="FZ106" s="802"/>
      <c r="GA106" s="800" t="str">
        <f>IFERROR(IF(GZ93&gt;GA93-1,IF(INDEX(Pedidos!GJ:HZ,GY93+GA93-1,11)&lt;&gt;"","Cordon :     "&amp; INDEX(Pedidos!GJ:HZ,GY93+GA93-1,11),""),""),"")</f>
        <v/>
      </c>
      <c r="GB106" s="801"/>
      <c r="GC106" s="801"/>
      <c r="GD106" s="801"/>
      <c r="GE106" s="801"/>
      <c r="GF106" s="801"/>
      <c r="GG106" s="801"/>
      <c r="GH106" s="801"/>
      <c r="GI106" s="801"/>
      <c r="GJ106" s="801"/>
      <c r="GK106" s="801"/>
      <c r="GL106" s="801"/>
      <c r="GM106" s="801"/>
      <c r="GN106" s="801"/>
      <c r="GO106" s="801"/>
      <c r="GP106" s="801"/>
      <c r="GQ106" s="801"/>
      <c r="GR106" s="801"/>
      <c r="GS106" s="801"/>
      <c r="GT106" s="801"/>
      <c r="GU106" s="801"/>
      <c r="GV106" s="801"/>
      <c r="GW106" s="801"/>
      <c r="GX106" s="801"/>
      <c r="GY106" s="801"/>
      <c r="GZ106" s="802"/>
      <c r="HA106" s="800" t="str">
        <f>IFERROR(IF(HZ93&gt;HA93-1,IF(INDEX(Pedidos!HJ:IZ,HY93+HA93-1,11)&lt;&gt;"","Cordon :     "&amp; INDEX(Pedidos!HJ:IZ,HY93+HA93-1,11),""),""),"")</f>
        <v/>
      </c>
      <c r="HB106" s="801"/>
      <c r="HC106" s="801"/>
      <c r="HD106" s="801"/>
      <c r="HE106" s="801"/>
      <c r="HF106" s="801"/>
      <c r="HG106" s="801"/>
      <c r="HH106" s="801"/>
      <c r="HI106" s="801"/>
      <c r="HJ106" s="801"/>
      <c r="HK106" s="801"/>
      <c r="HL106" s="801"/>
      <c r="HM106" s="801"/>
      <c r="HN106" s="801"/>
      <c r="HO106" s="801"/>
      <c r="HP106" s="801"/>
      <c r="HQ106" s="801"/>
      <c r="HR106" s="801"/>
      <c r="HS106" s="801"/>
      <c r="HT106" s="801"/>
      <c r="HU106" s="801"/>
      <c r="HV106" s="801"/>
      <c r="HW106" s="801"/>
      <c r="HX106" s="801"/>
      <c r="HY106" s="801"/>
      <c r="HZ106" s="802"/>
      <c r="IA106" s="800" t="str">
        <f>IFERROR(IF(IZ93&gt;IA93-1,IF(INDEX(Pedidos!IJ:JZ,IY93+IA93-1,11)&lt;&gt;"","Cordon :     "&amp; INDEX(Pedidos!IJ:JZ,IY93+IA93-1,11),""),""),"")</f>
        <v/>
      </c>
      <c r="IB106" s="801"/>
      <c r="IC106" s="801"/>
      <c r="ID106" s="801"/>
      <c r="IE106" s="801"/>
      <c r="IF106" s="801"/>
      <c r="IG106" s="801"/>
      <c r="IH106" s="801"/>
      <c r="II106" s="801"/>
      <c r="IJ106" s="801"/>
      <c r="IK106" s="801"/>
      <c r="IL106" s="801"/>
      <c r="IM106" s="801"/>
      <c r="IN106" s="801"/>
      <c r="IO106" s="801"/>
      <c r="IP106" s="801"/>
      <c r="IQ106" s="801"/>
      <c r="IR106" s="801"/>
      <c r="IS106" s="801"/>
      <c r="IT106" s="801"/>
      <c r="IU106" s="801"/>
      <c r="IV106" s="801"/>
      <c r="IW106" s="801"/>
      <c r="IX106" s="801"/>
      <c r="IY106" s="801"/>
      <c r="IZ106" s="802"/>
    </row>
    <row r="107" spans="1:260" x14ac:dyDescent="0.25">
      <c r="A107" s="800" t="str">
        <f>IFERROR(IF(Z93&gt;A93-1,IF(INDEX(Pedidos!J:AZ,Y93+A93-1,12)&lt;&gt;"","Color Cordon :     "&amp; INDEX(Pedidos!J:AZ,Y93+A93-1,12),""),""),"")</f>
        <v/>
      </c>
      <c r="B107" s="801"/>
      <c r="C107" s="801"/>
      <c r="D107" s="801"/>
      <c r="E107" s="801"/>
      <c r="F107" s="801"/>
      <c r="G107" s="801"/>
      <c r="H107" s="801"/>
      <c r="I107" s="801"/>
      <c r="J107" s="801"/>
      <c r="K107" s="801"/>
      <c r="L107" s="801"/>
      <c r="M107" s="801"/>
      <c r="N107" s="801"/>
      <c r="O107" s="801"/>
      <c r="P107" s="801"/>
      <c r="Q107" s="801"/>
      <c r="R107" s="801"/>
      <c r="S107" s="801"/>
      <c r="T107" s="801"/>
      <c r="U107" s="801"/>
      <c r="V107" s="801"/>
      <c r="W107" s="801"/>
      <c r="X107" s="801"/>
      <c r="Y107" s="801"/>
      <c r="Z107" s="802"/>
      <c r="AA107" s="800" t="str">
        <f>IFERROR(IF(AZ93&gt;AA93-1,IF(INDEX(Pedidos!AJ:BZ,AY93+AA93-1,12)&lt;&gt;"","Color Cordon :     "&amp; INDEX(Pedidos!AJ:BZ,AY93+AA93-1,12),""),""),"")</f>
        <v/>
      </c>
      <c r="AB107" s="801"/>
      <c r="AC107" s="801"/>
      <c r="AD107" s="801"/>
      <c r="AE107" s="801"/>
      <c r="AF107" s="801"/>
      <c r="AG107" s="801"/>
      <c r="AH107" s="801"/>
      <c r="AI107" s="801"/>
      <c r="AJ107" s="801"/>
      <c r="AK107" s="801"/>
      <c r="AL107" s="801"/>
      <c r="AM107" s="801"/>
      <c r="AN107" s="801"/>
      <c r="AO107" s="801"/>
      <c r="AP107" s="801"/>
      <c r="AQ107" s="801"/>
      <c r="AR107" s="801"/>
      <c r="AS107" s="801"/>
      <c r="AT107" s="801"/>
      <c r="AU107" s="801"/>
      <c r="AV107" s="801"/>
      <c r="AW107" s="801"/>
      <c r="AX107" s="801"/>
      <c r="AY107" s="801"/>
      <c r="AZ107" s="802"/>
      <c r="BA107" s="800" t="str">
        <f>IFERROR(IF(BZ93&gt;BA93-1,IF(INDEX(Pedidos!BJ:CZ,BY93+BA93-1,12)&lt;&gt;"","Color Cordon :     "&amp; INDEX(Pedidos!BJ:CZ,BY93+BA93-1,12),""),""),"")</f>
        <v/>
      </c>
      <c r="BB107" s="801"/>
      <c r="BC107" s="801"/>
      <c r="BD107" s="801"/>
      <c r="BE107" s="801"/>
      <c r="BF107" s="801"/>
      <c r="BG107" s="801"/>
      <c r="BH107" s="801"/>
      <c r="BI107" s="801"/>
      <c r="BJ107" s="801"/>
      <c r="BK107" s="801"/>
      <c r="BL107" s="801"/>
      <c r="BM107" s="801"/>
      <c r="BN107" s="801"/>
      <c r="BO107" s="801"/>
      <c r="BP107" s="801"/>
      <c r="BQ107" s="801"/>
      <c r="BR107" s="801"/>
      <c r="BS107" s="801"/>
      <c r="BT107" s="801"/>
      <c r="BU107" s="801"/>
      <c r="BV107" s="801"/>
      <c r="BW107" s="801"/>
      <c r="BX107" s="801"/>
      <c r="BY107" s="801"/>
      <c r="BZ107" s="802"/>
      <c r="CA107" s="800" t="str">
        <f>IFERROR(IF(CZ93&gt;CA93-1,IF(INDEX(Pedidos!CJ:DZ,CY93+CA93-1,12)&lt;&gt;"","Color Cordon :     "&amp; INDEX(Pedidos!CJ:DZ,CY93+CA93-1,12),""),""),"")</f>
        <v/>
      </c>
      <c r="CB107" s="801"/>
      <c r="CC107" s="801"/>
      <c r="CD107" s="801"/>
      <c r="CE107" s="801"/>
      <c r="CF107" s="801"/>
      <c r="CG107" s="801"/>
      <c r="CH107" s="801"/>
      <c r="CI107" s="801"/>
      <c r="CJ107" s="801"/>
      <c r="CK107" s="801"/>
      <c r="CL107" s="801"/>
      <c r="CM107" s="801"/>
      <c r="CN107" s="801"/>
      <c r="CO107" s="801"/>
      <c r="CP107" s="801"/>
      <c r="CQ107" s="801"/>
      <c r="CR107" s="801"/>
      <c r="CS107" s="801"/>
      <c r="CT107" s="801"/>
      <c r="CU107" s="801"/>
      <c r="CV107" s="801"/>
      <c r="CW107" s="801"/>
      <c r="CX107" s="801"/>
      <c r="CY107" s="801"/>
      <c r="CZ107" s="802"/>
      <c r="DA107" s="800" t="str">
        <f>IFERROR(IF(DZ93&gt;DA93-1,IF(INDEX(Pedidos!DJ:EZ,DY93+DA93-1,12)&lt;&gt;"","Color Cordon :     "&amp; INDEX(Pedidos!DJ:EZ,DY93+DA93-1,12),""),""),"")</f>
        <v/>
      </c>
      <c r="DB107" s="801"/>
      <c r="DC107" s="801"/>
      <c r="DD107" s="801"/>
      <c r="DE107" s="801"/>
      <c r="DF107" s="801"/>
      <c r="DG107" s="801"/>
      <c r="DH107" s="801"/>
      <c r="DI107" s="801"/>
      <c r="DJ107" s="801"/>
      <c r="DK107" s="801"/>
      <c r="DL107" s="801"/>
      <c r="DM107" s="801"/>
      <c r="DN107" s="801"/>
      <c r="DO107" s="801"/>
      <c r="DP107" s="801"/>
      <c r="DQ107" s="801"/>
      <c r="DR107" s="801"/>
      <c r="DS107" s="801"/>
      <c r="DT107" s="801"/>
      <c r="DU107" s="801"/>
      <c r="DV107" s="801"/>
      <c r="DW107" s="801"/>
      <c r="DX107" s="801"/>
      <c r="DY107" s="801"/>
      <c r="DZ107" s="802"/>
      <c r="EA107" s="800" t="str">
        <f>IFERROR(IF(EZ93&gt;EA93-1,IF(INDEX(Pedidos!EJ:FZ,EY93+EA93-1,12)&lt;&gt;"","Color Cordon :     "&amp; INDEX(Pedidos!EJ:FZ,EY93+EA93-1,12),""),""),"")</f>
        <v/>
      </c>
      <c r="EB107" s="801"/>
      <c r="EC107" s="801"/>
      <c r="ED107" s="801"/>
      <c r="EE107" s="801"/>
      <c r="EF107" s="801"/>
      <c r="EG107" s="801"/>
      <c r="EH107" s="801"/>
      <c r="EI107" s="801"/>
      <c r="EJ107" s="801"/>
      <c r="EK107" s="801"/>
      <c r="EL107" s="801"/>
      <c r="EM107" s="801"/>
      <c r="EN107" s="801"/>
      <c r="EO107" s="801"/>
      <c r="EP107" s="801"/>
      <c r="EQ107" s="801"/>
      <c r="ER107" s="801"/>
      <c r="ES107" s="801"/>
      <c r="ET107" s="801"/>
      <c r="EU107" s="801"/>
      <c r="EV107" s="801"/>
      <c r="EW107" s="801"/>
      <c r="EX107" s="801"/>
      <c r="EY107" s="801"/>
      <c r="EZ107" s="802"/>
      <c r="FA107" s="800" t="str">
        <f>IFERROR(IF(FZ93&gt;FA93-1,IF(INDEX(Pedidos!FJ:GZ,FY93+FA93-1,12)&lt;&gt;"","Color Cordon :     "&amp; INDEX(Pedidos!FJ:GZ,FY93+FA93-1,12),""),""),"")</f>
        <v/>
      </c>
      <c r="FB107" s="801"/>
      <c r="FC107" s="801"/>
      <c r="FD107" s="801"/>
      <c r="FE107" s="801"/>
      <c r="FF107" s="801"/>
      <c r="FG107" s="801"/>
      <c r="FH107" s="801"/>
      <c r="FI107" s="801"/>
      <c r="FJ107" s="801"/>
      <c r="FK107" s="801"/>
      <c r="FL107" s="801"/>
      <c r="FM107" s="801"/>
      <c r="FN107" s="801"/>
      <c r="FO107" s="801"/>
      <c r="FP107" s="801"/>
      <c r="FQ107" s="801"/>
      <c r="FR107" s="801"/>
      <c r="FS107" s="801"/>
      <c r="FT107" s="801"/>
      <c r="FU107" s="801"/>
      <c r="FV107" s="801"/>
      <c r="FW107" s="801"/>
      <c r="FX107" s="801"/>
      <c r="FY107" s="801"/>
      <c r="FZ107" s="802"/>
      <c r="GA107" s="800" t="str">
        <f>IFERROR(IF(GZ93&gt;GA93-1,IF(INDEX(Pedidos!GJ:HZ,GY93+GA93-1,12)&lt;&gt;"","Color Cordon :     "&amp; INDEX(Pedidos!GJ:HZ,GY93+GA93-1,12),""),""),"")</f>
        <v/>
      </c>
      <c r="GB107" s="801"/>
      <c r="GC107" s="801"/>
      <c r="GD107" s="801"/>
      <c r="GE107" s="801"/>
      <c r="GF107" s="801"/>
      <c r="GG107" s="801"/>
      <c r="GH107" s="801"/>
      <c r="GI107" s="801"/>
      <c r="GJ107" s="801"/>
      <c r="GK107" s="801"/>
      <c r="GL107" s="801"/>
      <c r="GM107" s="801"/>
      <c r="GN107" s="801"/>
      <c r="GO107" s="801"/>
      <c r="GP107" s="801"/>
      <c r="GQ107" s="801"/>
      <c r="GR107" s="801"/>
      <c r="GS107" s="801"/>
      <c r="GT107" s="801"/>
      <c r="GU107" s="801"/>
      <c r="GV107" s="801"/>
      <c r="GW107" s="801"/>
      <c r="GX107" s="801"/>
      <c r="GY107" s="801"/>
      <c r="GZ107" s="802"/>
      <c r="HA107" s="800" t="str">
        <f>IFERROR(IF(HZ93&gt;HA93-1,IF(INDEX(Pedidos!HJ:IZ,HY93+HA93-1,12)&lt;&gt;"","Color Cordon :     "&amp; INDEX(Pedidos!HJ:IZ,HY93+HA93-1,12),""),""),"")</f>
        <v/>
      </c>
      <c r="HB107" s="801"/>
      <c r="HC107" s="801"/>
      <c r="HD107" s="801"/>
      <c r="HE107" s="801"/>
      <c r="HF107" s="801"/>
      <c r="HG107" s="801"/>
      <c r="HH107" s="801"/>
      <c r="HI107" s="801"/>
      <c r="HJ107" s="801"/>
      <c r="HK107" s="801"/>
      <c r="HL107" s="801"/>
      <c r="HM107" s="801"/>
      <c r="HN107" s="801"/>
      <c r="HO107" s="801"/>
      <c r="HP107" s="801"/>
      <c r="HQ107" s="801"/>
      <c r="HR107" s="801"/>
      <c r="HS107" s="801"/>
      <c r="HT107" s="801"/>
      <c r="HU107" s="801"/>
      <c r="HV107" s="801"/>
      <c r="HW107" s="801"/>
      <c r="HX107" s="801"/>
      <c r="HY107" s="801"/>
      <c r="HZ107" s="802"/>
      <c r="IA107" s="800" t="str">
        <f>IFERROR(IF(IZ93&gt;IA93-1,IF(INDEX(Pedidos!IJ:JZ,IY93+IA93-1,12)&lt;&gt;"","Color Cordon :     "&amp; INDEX(Pedidos!IJ:JZ,IY93+IA93-1,12),""),""),"")</f>
        <v/>
      </c>
      <c r="IB107" s="801"/>
      <c r="IC107" s="801"/>
      <c r="ID107" s="801"/>
      <c r="IE107" s="801"/>
      <c r="IF107" s="801"/>
      <c r="IG107" s="801"/>
      <c r="IH107" s="801"/>
      <c r="II107" s="801"/>
      <c r="IJ107" s="801"/>
      <c r="IK107" s="801"/>
      <c r="IL107" s="801"/>
      <c r="IM107" s="801"/>
      <c r="IN107" s="801"/>
      <c r="IO107" s="801"/>
      <c r="IP107" s="801"/>
      <c r="IQ107" s="801"/>
      <c r="IR107" s="801"/>
      <c r="IS107" s="801"/>
      <c r="IT107" s="801"/>
      <c r="IU107" s="801"/>
      <c r="IV107" s="801"/>
      <c r="IW107" s="801"/>
      <c r="IX107" s="801"/>
      <c r="IY107" s="801"/>
      <c r="IZ107" s="802"/>
    </row>
    <row r="108" spans="1:260" x14ac:dyDescent="0.25">
      <c r="A108" s="800"/>
      <c r="B108" s="801"/>
      <c r="C108" s="801"/>
      <c r="D108" s="801"/>
      <c r="E108" s="801"/>
      <c r="F108" s="801"/>
      <c r="G108" s="801"/>
      <c r="H108" s="801"/>
      <c r="I108" s="801"/>
      <c r="J108" s="801"/>
      <c r="K108" s="801"/>
      <c r="L108" s="801"/>
      <c r="M108" s="801"/>
      <c r="N108" s="801"/>
      <c r="O108" s="801"/>
      <c r="P108" s="801"/>
      <c r="Q108" s="801"/>
      <c r="R108" s="801"/>
      <c r="S108" s="801"/>
      <c r="T108" s="801"/>
      <c r="U108" s="801"/>
      <c r="V108" s="801"/>
      <c r="W108" s="801"/>
      <c r="X108" s="801"/>
      <c r="Y108" s="801"/>
      <c r="Z108" s="802"/>
      <c r="AA108" s="800"/>
      <c r="AB108" s="801"/>
      <c r="AC108" s="801"/>
      <c r="AD108" s="801"/>
      <c r="AE108" s="801"/>
      <c r="AF108" s="801"/>
      <c r="AG108" s="801"/>
      <c r="AH108" s="801"/>
      <c r="AI108" s="801"/>
      <c r="AJ108" s="801"/>
      <c r="AK108" s="801"/>
      <c r="AL108" s="801"/>
      <c r="AM108" s="801"/>
      <c r="AN108" s="801"/>
      <c r="AO108" s="801"/>
      <c r="AP108" s="801"/>
      <c r="AQ108" s="801"/>
      <c r="AR108" s="801"/>
      <c r="AS108" s="801"/>
      <c r="AT108" s="801"/>
      <c r="AU108" s="801"/>
      <c r="AV108" s="801"/>
      <c r="AW108" s="801"/>
      <c r="AX108" s="801"/>
      <c r="AY108" s="801"/>
      <c r="AZ108" s="802"/>
      <c r="BA108" s="800"/>
      <c r="BB108" s="801"/>
      <c r="BC108" s="801"/>
      <c r="BD108" s="801"/>
      <c r="BE108" s="801"/>
      <c r="BF108" s="801"/>
      <c r="BG108" s="801"/>
      <c r="BH108" s="801"/>
      <c r="BI108" s="801"/>
      <c r="BJ108" s="801"/>
      <c r="BK108" s="801"/>
      <c r="BL108" s="801"/>
      <c r="BM108" s="801"/>
      <c r="BN108" s="801"/>
      <c r="BO108" s="801"/>
      <c r="BP108" s="801"/>
      <c r="BQ108" s="801"/>
      <c r="BR108" s="801"/>
      <c r="BS108" s="801"/>
      <c r="BT108" s="801"/>
      <c r="BU108" s="801"/>
      <c r="BV108" s="801"/>
      <c r="BW108" s="801"/>
      <c r="BX108" s="801"/>
      <c r="BY108" s="801"/>
      <c r="BZ108" s="802"/>
      <c r="CA108" s="800"/>
      <c r="CB108" s="801"/>
      <c r="CC108" s="801"/>
      <c r="CD108" s="801"/>
      <c r="CE108" s="801"/>
      <c r="CF108" s="801"/>
      <c r="CG108" s="801"/>
      <c r="CH108" s="801"/>
      <c r="CI108" s="801"/>
      <c r="CJ108" s="801"/>
      <c r="CK108" s="801"/>
      <c r="CL108" s="801"/>
      <c r="CM108" s="801"/>
      <c r="CN108" s="801"/>
      <c r="CO108" s="801"/>
      <c r="CP108" s="801"/>
      <c r="CQ108" s="801"/>
      <c r="CR108" s="801"/>
      <c r="CS108" s="801"/>
      <c r="CT108" s="801"/>
      <c r="CU108" s="801"/>
      <c r="CV108" s="801"/>
      <c r="CW108" s="801"/>
      <c r="CX108" s="801"/>
      <c r="CY108" s="801"/>
      <c r="CZ108" s="802"/>
      <c r="DA108" s="800"/>
      <c r="DB108" s="801"/>
      <c r="DC108" s="801"/>
      <c r="DD108" s="801"/>
      <c r="DE108" s="801"/>
      <c r="DF108" s="801"/>
      <c r="DG108" s="801"/>
      <c r="DH108" s="801"/>
      <c r="DI108" s="801"/>
      <c r="DJ108" s="801"/>
      <c r="DK108" s="801"/>
      <c r="DL108" s="801"/>
      <c r="DM108" s="801"/>
      <c r="DN108" s="801"/>
      <c r="DO108" s="801"/>
      <c r="DP108" s="801"/>
      <c r="DQ108" s="801"/>
      <c r="DR108" s="801"/>
      <c r="DS108" s="801"/>
      <c r="DT108" s="801"/>
      <c r="DU108" s="801"/>
      <c r="DV108" s="801"/>
      <c r="DW108" s="801"/>
      <c r="DX108" s="801"/>
      <c r="DY108" s="801"/>
      <c r="DZ108" s="802"/>
      <c r="EA108" s="800"/>
      <c r="EB108" s="801"/>
      <c r="EC108" s="801"/>
      <c r="ED108" s="801"/>
      <c r="EE108" s="801"/>
      <c r="EF108" s="801"/>
      <c r="EG108" s="801"/>
      <c r="EH108" s="801"/>
      <c r="EI108" s="801"/>
      <c r="EJ108" s="801"/>
      <c r="EK108" s="801"/>
      <c r="EL108" s="801"/>
      <c r="EM108" s="801"/>
      <c r="EN108" s="801"/>
      <c r="EO108" s="801"/>
      <c r="EP108" s="801"/>
      <c r="EQ108" s="801"/>
      <c r="ER108" s="801"/>
      <c r="ES108" s="801"/>
      <c r="ET108" s="801"/>
      <c r="EU108" s="801"/>
      <c r="EV108" s="801"/>
      <c r="EW108" s="801"/>
      <c r="EX108" s="801"/>
      <c r="EY108" s="801"/>
      <c r="EZ108" s="802"/>
      <c r="FA108" s="800"/>
      <c r="FB108" s="801"/>
      <c r="FC108" s="801"/>
      <c r="FD108" s="801"/>
      <c r="FE108" s="801"/>
      <c r="FF108" s="801"/>
      <c r="FG108" s="801"/>
      <c r="FH108" s="801"/>
      <c r="FI108" s="801"/>
      <c r="FJ108" s="801"/>
      <c r="FK108" s="801"/>
      <c r="FL108" s="801"/>
      <c r="FM108" s="801"/>
      <c r="FN108" s="801"/>
      <c r="FO108" s="801"/>
      <c r="FP108" s="801"/>
      <c r="FQ108" s="801"/>
      <c r="FR108" s="801"/>
      <c r="FS108" s="801"/>
      <c r="FT108" s="801"/>
      <c r="FU108" s="801"/>
      <c r="FV108" s="801"/>
      <c r="FW108" s="801"/>
      <c r="FX108" s="801"/>
      <c r="FY108" s="801"/>
      <c r="FZ108" s="802"/>
      <c r="GA108" s="800"/>
      <c r="GB108" s="801"/>
      <c r="GC108" s="801"/>
      <c r="GD108" s="801"/>
      <c r="GE108" s="801"/>
      <c r="GF108" s="801"/>
      <c r="GG108" s="801"/>
      <c r="GH108" s="801"/>
      <c r="GI108" s="801"/>
      <c r="GJ108" s="801"/>
      <c r="GK108" s="801"/>
      <c r="GL108" s="801"/>
      <c r="GM108" s="801"/>
      <c r="GN108" s="801"/>
      <c r="GO108" s="801"/>
      <c r="GP108" s="801"/>
      <c r="GQ108" s="801"/>
      <c r="GR108" s="801"/>
      <c r="GS108" s="801"/>
      <c r="GT108" s="801"/>
      <c r="GU108" s="801"/>
      <c r="GV108" s="801"/>
      <c r="GW108" s="801"/>
      <c r="GX108" s="801"/>
      <c r="GY108" s="801"/>
      <c r="GZ108" s="802"/>
      <c r="HA108" s="800"/>
      <c r="HB108" s="801"/>
      <c r="HC108" s="801"/>
      <c r="HD108" s="801"/>
      <c r="HE108" s="801"/>
      <c r="HF108" s="801"/>
      <c r="HG108" s="801"/>
      <c r="HH108" s="801"/>
      <c r="HI108" s="801"/>
      <c r="HJ108" s="801"/>
      <c r="HK108" s="801"/>
      <c r="HL108" s="801"/>
      <c r="HM108" s="801"/>
      <c r="HN108" s="801"/>
      <c r="HO108" s="801"/>
      <c r="HP108" s="801"/>
      <c r="HQ108" s="801"/>
      <c r="HR108" s="801"/>
      <c r="HS108" s="801"/>
      <c r="HT108" s="801"/>
      <c r="HU108" s="801"/>
      <c r="HV108" s="801"/>
      <c r="HW108" s="801"/>
      <c r="HX108" s="801"/>
      <c r="HY108" s="801"/>
      <c r="HZ108" s="802"/>
      <c r="IA108" s="800"/>
      <c r="IB108" s="801"/>
      <c r="IC108" s="801"/>
      <c r="ID108" s="801"/>
      <c r="IE108" s="801"/>
      <c r="IF108" s="801"/>
      <c r="IG108" s="801"/>
      <c r="IH108" s="801"/>
      <c r="II108" s="801"/>
      <c r="IJ108" s="801"/>
      <c r="IK108" s="801"/>
      <c r="IL108" s="801"/>
      <c r="IM108" s="801"/>
      <c r="IN108" s="801"/>
      <c r="IO108" s="801"/>
      <c r="IP108" s="801"/>
      <c r="IQ108" s="801"/>
      <c r="IR108" s="801"/>
      <c r="IS108" s="801"/>
      <c r="IT108" s="801"/>
      <c r="IU108" s="801"/>
      <c r="IV108" s="801"/>
      <c r="IW108" s="801"/>
      <c r="IX108" s="801"/>
      <c r="IY108" s="801"/>
      <c r="IZ108" s="802"/>
    </row>
    <row r="109" spans="1:260" x14ac:dyDescent="0.25">
      <c r="A109" s="800"/>
      <c r="B109" s="801"/>
      <c r="C109" s="801"/>
      <c r="D109" s="801"/>
      <c r="E109" s="801"/>
      <c r="F109" s="801"/>
      <c r="G109" s="801"/>
      <c r="H109" s="801"/>
      <c r="I109" s="801"/>
      <c r="J109" s="801"/>
      <c r="K109" s="801"/>
      <c r="L109" s="801"/>
      <c r="M109" s="801"/>
      <c r="N109" s="801"/>
      <c r="O109" s="801"/>
      <c r="P109" s="801"/>
      <c r="Q109" s="801"/>
      <c r="R109" s="801"/>
      <c r="S109" s="801"/>
      <c r="T109" s="801"/>
      <c r="U109" s="801"/>
      <c r="V109" s="801"/>
      <c r="W109" s="801"/>
      <c r="X109" s="801"/>
      <c r="Y109" s="801"/>
      <c r="Z109" s="802"/>
      <c r="AA109" s="800"/>
      <c r="AB109" s="801"/>
      <c r="AC109" s="801"/>
      <c r="AD109" s="801"/>
      <c r="AE109" s="801"/>
      <c r="AF109" s="801"/>
      <c r="AG109" s="801"/>
      <c r="AH109" s="801"/>
      <c r="AI109" s="801"/>
      <c r="AJ109" s="801"/>
      <c r="AK109" s="801"/>
      <c r="AL109" s="801"/>
      <c r="AM109" s="801"/>
      <c r="AN109" s="801"/>
      <c r="AO109" s="801"/>
      <c r="AP109" s="801"/>
      <c r="AQ109" s="801"/>
      <c r="AR109" s="801"/>
      <c r="AS109" s="801"/>
      <c r="AT109" s="801"/>
      <c r="AU109" s="801"/>
      <c r="AV109" s="801"/>
      <c r="AW109" s="801"/>
      <c r="AX109" s="801"/>
      <c r="AY109" s="801"/>
      <c r="AZ109" s="802"/>
      <c r="BA109" s="800"/>
      <c r="BB109" s="801"/>
      <c r="BC109" s="801"/>
      <c r="BD109" s="801"/>
      <c r="BE109" s="801"/>
      <c r="BF109" s="801"/>
      <c r="BG109" s="801"/>
      <c r="BH109" s="801"/>
      <c r="BI109" s="801"/>
      <c r="BJ109" s="801"/>
      <c r="BK109" s="801"/>
      <c r="BL109" s="801"/>
      <c r="BM109" s="801"/>
      <c r="BN109" s="801"/>
      <c r="BO109" s="801"/>
      <c r="BP109" s="801"/>
      <c r="BQ109" s="801"/>
      <c r="BR109" s="801"/>
      <c r="BS109" s="801"/>
      <c r="BT109" s="801"/>
      <c r="BU109" s="801"/>
      <c r="BV109" s="801"/>
      <c r="BW109" s="801"/>
      <c r="BX109" s="801"/>
      <c r="BY109" s="801"/>
      <c r="BZ109" s="802"/>
      <c r="CA109" s="800"/>
      <c r="CB109" s="801"/>
      <c r="CC109" s="801"/>
      <c r="CD109" s="801"/>
      <c r="CE109" s="801"/>
      <c r="CF109" s="801"/>
      <c r="CG109" s="801"/>
      <c r="CH109" s="801"/>
      <c r="CI109" s="801"/>
      <c r="CJ109" s="801"/>
      <c r="CK109" s="801"/>
      <c r="CL109" s="801"/>
      <c r="CM109" s="801"/>
      <c r="CN109" s="801"/>
      <c r="CO109" s="801"/>
      <c r="CP109" s="801"/>
      <c r="CQ109" s="801"/>
      <c r="CR109" s="801"/>
      <c r="CS109" s="801"/>
      <c r="CT109" s="801"/>
      <c r="CU109" s="801"/>
      <c r="CV109" s="801"/>
      <c r="CW109" s="801"/>
      <c r="CX109" s="801"/>
      <c r="CY109" s="801"/>
      <c r="CZ109" s="802"/>
      <c r="DA109" s="800"/>
      <c r="DB109" s="801"/>
      <c r="DC109" s="801"/>
      <c r="DD109" s="801"/>
      <c r="DE109" s="801"/>
      <c r="DF109" s="801"/>
      <c r="DG109" s="801"/>
      <c r="DH109" s="801"/>
      <c r="DI109" s="801"/>
      <c r="DJ109" s="801"/>
      <c r="DK109" s="801"/>
      <c r="DL109" s="801"/>
      <c r="DM109" s="801"/>
      <c r="DN109" s="801"/>
      <c r="DO109" s="801"/>
      <c r="DP109" s="801"/>
      <c r="DQ109" s="801"/>
      <c r="DR109" s="801"/>
      <c r="DS109" s="801"/>
      <c r="DT109" s="801"/>
      <c r="DU109" s="801"/>
      <c r="DV109" s="801"/>
      <c r="DW109" s="801"/>
      <c r="DX109" s="801"/>
      <c r="DY109" s="801"/>
      <c r="DZ109" s="802"/>
      <c r="EA109" s="800"/>
      <c r="EB109" s="801"/>
      <c r="EC109" s="801"/>
      <c r="ED109" s="801"/>
      <c r="EE109" s="801"/>
      <c r="EF109" s="801"/>
      <c r="EG109" s="801"/>
      <c r="EH109" s="801"/>
      <c r="EI109" s="801"/>
      <c r="EJ109" s="801"/>
      <c r="EK109" s="801"/>
      <c r="EL109" s="801"/>
      <c r="EM109" s="801"/>
      <c r="EN109" s="801"/>
      <c r="EO109" s="801"/>
      <c r="EP109" s="801"/>
      <c r="EQ109" s="801"/>
      <c r="ER109" s="801"/>
      <c r="ES109" s="801"/>
      <c r="ET109" s="801"/>
      <c r="EU109" s="801"/>
      <c r="EV109" s="801"/>
      <c r="EW109" s="801"/>
      <c r="EX109" s="801"/>
      <c r="EY109" s="801"/>
      <c r="EZ109" s="802"/>
      <c r="FA109" s="800"/>
      <c r="FB109" s="801"/>
      <c r="FC109" s="801"/>
      <c r="FD109" s="801"/>
      <c r="FE109" s="801"/>
      <c r="FF109" s="801"/>
      <c r="FG109" s="801"/>
      <c r="FH109" s="801"/>
      <c r="FI109" s="801"/>
      <c r="FJ109" s="801"/>
      <c r="FK109" s="801"/>
      <c r="FL109" s="801"/>
      <c r="FM109" s="801"/>
      <c r="FN109" s="801"/>
      <c r="FO109" s="801"/>
      <c r="FP109" s="801"/>
      <c r="FQ109" s="801"/>
      <c r="FR109" s="801"/>
      <c r="FS109" s="801"/>
      <c r="FT109" s="801"/>
      <c r="FU109" s="801"/>
      <c r="FV109" s="801"/>
      <c r="FW109" s="801"/>
      <c r="FX109" s="801"/>
      <c r="FY109" s="801"/>
      <c r="FZ109" s="802"/>
      <c r="GA109" s="800"/>
      <c r="GB109" s="801"/>
      <c r="GC109" s="801"/>
      <c r="GD109" s="801"/>
      <c r="GE109" s="801"/>
      <c r="GF109" s="801"/>
      <c r="GG109" s="801"/>
      <c r="GH109" s="801"/>
      <c r="GI109" s="801"/>
      <c r="GJ109" s="801"/>
      <c r="GK109" s="801"/>
      <c r="GL109" s="801"/>
      <c r="GM109" s="801"/>
      <c r="GN109" s="801"/>
      <c r="GO109" s="801"/>
      <c r="GP109" s="801"/>
      <c r="GQ109" s="801"/>
      <c r="GR109" s="801"/>
      <c r="GS109" s="801"/>
      <c r="GT109" s="801"/>
      <c r="GU109" s="801"/>
      <c r="GV109" s="801"/>
      <c r="GW109" s="801"/>
      <c r="GX109" s="801"/>
      <c r="GY109" s="801"/>
      <c r="GZ109" s="802"/>
      <c r="HA109" s="800"/>
      <c r="HB109" s="801"/>
      <c r="HC109" s="801"/>
      <c r="HD109" s="801"/>
      <c r="HE109" s="801"/>
      <c r="HF109" s="801"/>
      <c r="HG109" s="801"/>
      <c r="HH109" s="801"/>
      <c r="HI109" s="801"/>
      <c r="HJ109" s="801"/>
      <c r="HK109" s="801"/>
      <c r="HL109" s="801"/>
      <c r="HM109" s="801"/>
      <c r="HN109" s="801"/>
      <c r="HO109" s="801"/>
      <c r="HP109" s="801"/>
      <c r="HQ109" s="801"/>
      <c r="HR109" s="801"/>
      <c r="HS109" s="801"/>
      <c r="HT109" s="801"/>
      <c r="HU109" s="801"/>
      <c r="HV109" s="801"/>
      <c r="HW109" s="801"/>
      <c r="HX109" s="801"/>
      <c r="HY109" s="801"/>
      <c r="HZ109" s="802"/>
      <c r="IA109" s="800"/>
      <c r="IB109" s="801"/>
      <c r="IC109" s="801"/>
      <c r="ID109" s="801"/>
      <c r="IE109" s="801"/>
      <c r="IF109" s="801"/>
      <c r="IG109" s="801"/>
      <c r="IH109" s="801"/>
      <c r="II109" s="801"/>
      <c r="IJ109" s="801"/>
      <c r="IK109" s="801"/>
      <c r="IL109" s="801"/>
      <c r="IM109" s="801"/>
      <c r="IN109" s="801"/>
      <c r="IO109" s="801"/>
      <c r="IP109" s="801"/>
      <c r="IQ109" s="801"/>
      <c r="IR109" s="801"/>
      <c r="IS109" s="801"/>
      <c r="IT109" s="801"/>
      <c r="IU109" s="801"/>
      <c r="IV109" s="801"/>
      <c r="IW109" s="801"/>
      <c r="IX109" s="801"/>
      <c r="IY109" s="801"/>
      <c r="IZ109" s="802"/>
    </row>
    <row r="110" spans="1:260" x14ac:dyDescent="0.25">
      <c r="A110" s="800" t="str">
        <f>IFERROR(IF(Z93&gt;A93-1,IF(INDEX(Pedidos!J:AZ,Y93+A93-1,31)&lt;&gt;"","Nombres :     "&amp; INDEX(Pedidos!J:AZ,Y93+A93-1,31),""),""),"")</f>
        <v/>
      </c>
      <c r="B110" s="801"/>
      <c r="C110" s="801"/>
      <c r="D110" s="801"/>
      <c r="E110" s="801"/>
      <c r="F110" s="801"/>
      <c r="G110" s="801"/>
      <c r="H110" s="801"/>
      <c r="I110" s="801"/>
      <c r="J110" s="801"/>
      <c r="K110" s="801"/>
      <c r="L110" s="801"/>
      <c r="M110" s="801"/>
      <c r="N110" s="801"/>
      <c r="O110" s="801"/>
      <c r="P110" s="801"/>
      <c r="Q110" s="801"/>
      <c r="R110" s="801"/>
      <c r="S110" s="801"/>
      <c r="T110" s="801"/>
      <c r="U110" s="801"/>
      <c r="V110" s="801"/>
      <c r="W110" s="801"/>
      <c r="X110" s="801"/>
      <c r="Y110" s="801"/>
      <c r="Z110" s="802"/>
      <c r="AA110" s="800" t="str">
        <f>IFERROR(IF(AZ93&gt;AA93-1,IF(INDEX(Pedidos!AJ:BZ,AY93+AA93-1,31)&lt;&gt;"","Nombres :     "&amp; INDEX(Pedidos!AJ:BZ,AY93+AA93-1,31),""),""),"")</f>
        <v/>
      </c>
      <c r="AB110" s="801"/>
      <c r="AC110" s="801"/>
      <c r="AD110" s="801"/>
      <c r="AE110" s="801"/>
      <c r="AF110" s="801"/>
      <c r="AG110" s="801"/>
      <c r="AH110" s="801"/>
      <c r="AI110" s="801"/>
      <c r="AJ110" s="801"/>
      <c r="AK110" s="801"/>
      <c r="AL110" s="801"/>
      <c r="AM110" s="801"/>
      <c r="AN110" s="801"/>
      <c r="AO110" s="801"/>
      <c r="AP110" s="801"/>
      <c r="AQ110" s="801"/>
      <c r="AR110" s="801"/>
      <c r="AS110" s="801"/>
      <c r="AT110" s="801"/>
      <c r="AU110" s="801"/>
      <c r="AV110" s="801"/>
      <c r="AW110" s="801"/>
      <c r="AX110" s="801"/>
      <c r="AY110" s="801"/>
      <c r="AZ110" s="802"/>
      <c r="BA110" s="800" t="str">
        <f>IFERROR(IF(BZ93&gt;BA93-1,IF(INDEX(Pedidos!BJ:CZ,BY93+BA93-1,31)&lt;&gt;"","Nombres :     "&amp; INDEX(Pedidos!BJ:CZ,BY93+BA93-1,31),""),""),"")</f>
        <v/>
      </c>
      <c r="BB110" s="801"/>
      <c r="BC110" s="801"/>
      <c r="BD110" s="801"/>
      <c r="BE110" s="801"/>
      <c r="BF110" s="801"/>
      <c r="BG110" s="801"/>
      <c r="BH110" s="801"/>
      <c r="BI110" s="801"/>
      <c r="BJ110" s="801"/>
      <c r="BK110" s="801"/>
      <c r="BL110" s="801"/>
      <c r="BM110" s="801"/>
      <c r="BN110" s="801"/>
      <c r="BO110" s="801"/>
      <c r="BP110" s="801"/>
      <c r="BQ110" s="801"/>
      <c r="BR110" s="801"/>
      <c r="BS110" s="801"/>
      <c r="BT110" s="801"/>
      <c r="BU110" s="801"/>
      <c r="BV110" s="801"/>
      <c r="BW110" s="801"/>
      <c r="BX110" s="801"/>
      <c r="BY110" s="801"/>
      <c r="BZ110" s="802"/>
      <c r="CA110" s="800" t="str">
        <f>IFERROR(IF(CZ93&gt;CA93-1,IF(INDEX(Pedidos!CJ:DZ,CY93+CA93-1,31)&lt;&gt;"","Nombres :     "&amp; INDEX(Pedidos!CJ:DZ,CY93+CA93-1,31),""),""),"")</f>
        <v/>
      </c>
      <c r="CB110" s="801"/>
      <c r="CC110" s="801"/>
      <c r="CD110" s="801"/>
      <c r="CE110" s="801"/>
      <c r="CF110" s="801"/>
      <c r="CG110" s="801"/>
      <c r="CH110" s="801"/>
      <c r="CI110" s="801"/>
      <c r="CJ110" s="801"/>
      <c r="CK110" s="801"/>
      <c r="CL110" s="801"/>
      <c r="CM110" s="801"/>
      <c r="CN110" s="801"/>
      <c r="CO110" s="801"/>
      <c r="CP110" s="801"/>
      <c r="CQ110" s="801"/>
      <c r="CR110" s="801"/>
      <c r="CS110" s="801"/>
      <c r="CT110" s="801"/>
      <c r="CU110" s="801"/>
      <c r="CV110" s="801"/>
      <c r="CW110" s="801"/>
      <c r="CX110" s="801"/>
      <c r="CY110" s="801"/>
      <c r="CZ110" s="802"/>
      <c r="DA110" s="800" t="str">
        <f>IFERROR(IF(DZ93&gt;DA93-1,IF(INDEX(Pedidos!DJ:EZ,DY93+DA93-1,31)&lt;&gt;"","Nombres :     "&amp; INDEX(Pedidos!DJ:EZ,DY93+DA93-1,31),""),""),"")</f>
        <v/>
      </c>
      <c r="DB110" s="801"/>
      <c r="DC110" s="801"/>
      <c r="DD110" s="801"/>
      <c r="DE110" s="801"/>
      <c r="DF110" s="801"/>
      <c r="DG110" s="801"/>
      <c r="DH110" s="801"/>
      <c r="DI110" s="801"/>
      <c r="DJ110" s="801"/>
      <c r="DK110" s="801"/>
      <c r="DL110" s="801"/>
      <c r="DM110" s="801"/>
      <c r="DN110" s="801"/>
      <c r="DO110" s="801"/>
      <c r="DP110" s="801"/>
      <c r="DQ110" s="801"/>
      <c r="DR110" s="801"/>
      <c r="DS110" s="801"/>
      <c r="DT110" s="801"/>
      <c r="DU110" s="801"/>
      <c r="DV110" s="801"/>
      <c r="DW110" s="801"/>
      <c r="DX110" s="801"/>
      <c r="DY110" s="801"/>
      <c r="DZ110" s="802"/>
      <c r="EA110" s="800" t="str">
        <f>IFERROR(IF(EZ93&gt;EA93-1,IF(INDEX(Pedidos!EJ:FZ,EY93+EA93-1,31)&lt;&gt;"","Nombres :     "&amp; INDEX(Pedidos!EJ:FZ,EY93+EA93-1,31),""),""),"")</f>
        <v/>
      </c>
      <c r="EB110" s="801"/>
      <c r="EC110" s="801"/>
      <c r="ED110" s="801"/>
      <c r="EE110" s="801"/>
      <c r="EF110" s="801"/>
      <c r="EG110" s="801"/>
      <c r="EH110" s="801"/>
      <c r="EI110" s="801"/>
      <c r="EJ110" s="801"/>
      <c r="EK110" s="801"/>
      <c r="EL110" s="801"/>
      <c r="EM110" s="801"/>
      <c r="EN110" s="801"/>
      <c r="EO110" s="801"/>
      <c r="EP110" s="801"/>
      <c r="EQ110" s="801"/>
      <c r="ER110" s="801"/>
      <c r="ES110" s="801"/>
      <c r="ET110" s="801"/>
      <c r="EU110" s="801"/>
      <c r="EV110" s="801"/>
      <c r="EW110" s="801"/>
      <c r="EX110" s="801"/>
      <c r="EY110" s="801"/>
      <c r="EZ110" s="802"/>
      <c r="FA110" s="800" t="str">
        <f>IFERROR(IF(FZ93&gt;FA93-1,IF(INDEX(Pedidos!FJ:GZ,FY93+FA93-1,31)&lt;&gt;"","Nombres :     "&amp; INDEX(Pedidos!FJ:GZ,FY93+FA93-1,31),""),""),"")</f>
        <v/>
      </c>
      <c r="FB110" s="801"/>
      <c r="FC110" s="801"/>
      <c r="FD110" s="801"/>
      <c r="FE110" s="801"/>
      <c r="FF110" s="801"/>
      <c r="FG110" s="801"/>
      <c r="FH110" s="801"/>
      <c r="FI110" s="801"/>
      <c r="FJ110" s="801"/>
      <c r="FK110" s="801"/>
      <c r="FL110" s="801"/>
      <c r="FM110" s="801"/>
      <c r="FN110" s="801"/>
      <c r="FO110" s="801"/>
      <c r="FP110" s="801"/>
      <c r="FQ110" s="801"/>
      <c r="FR110" s="801"/>
      <c r="FS110" s="801"/>
      <c r="FT110" s="801"/>
      <c r="FU110" s="801"/>
      <c r="FV110" s="801"/>
      <c r="FW110" s="801"/>
      <c r="FX110" s="801"/>
      <c r="FY110" s="801"/>
      <c r="FZ110" s="802"/>
      <c r="GA110" s="800" t="str">
        <f>IFERROR(IF(GZ93&gt;GA93-1,IF(INDEX(Pedidos!GJ:HZ,GY93+GA93-1,31)&lt;&gt;"","Nombres :     "&amp; INDEX(Pedidos!GJ:HZ,GY93+GA93-1,31),""),""),"")</f>
        <v/>
      </c>
      <c r="GB110" s="801"/>
      <c r="GC110" s="801"/>
      <c r="GD110" s="801"/>
      <c r="GE110" s="801"/>
      <c r="GF110" s="801"/>
      <c r="GG110" s="801"/>
      <c r="GH110" s="801"/>
      <c r="GI110" s="801"/>
      <c r="GJ110" s="801"/>
      <c r="GK110" s="801"/>
      <c r="GL110" s="801"/>
      <c r="GM110" s="801"/>
      <c r="GN110" s="801"/>
      <c r="GO110" s="801"/>
      <c r="GP110" s="801"/>
      <c r="GQ110" s="801"/>
      <c r="GR110" s="801"/>
      <c r="GS110" s="801"/>
      <c r="GT110" s="801"/>
      <c r="GU110" s="801"/>
      <c r="GV110" s="801"/>
      <c r="GW110" s="801"/>
      <c r="GX110" s="801"/>
      <c r="GY110" s="801"/>
      <c r="GZ110" s="802"/>
      <c r="HA110" s="800" t="str">
        <f>IFERROR(IF(HZ93&gt;HA93-1,IF(INDEX(Pedidos!HJ:IZ,HY93+HA93-1,31)&lt;&gt;"","Nombres :     "&amp; INDEX(Pedidos!HJ:IZ,HY93+HA93-1,31),""),""),"")</f>
        <v/>
      </c>
      <c r="HB110" s="801"/>
      <c r="HC110" s="801"/>
      <c r="HD110" s="801"/>
      <c r="HE110" s="801"/>
      <c r="HF110" s="801"/>
      <c r="HG110" s="801"/>
      <c r="HH110" s="801"/>
      <c r="HI110" s="801"/>
      <c r="HJ110" s="801"/>
      <c r="HK110" s="801"/>
      <c r="HL110" s="801"/>
      <c r="HM110" s="801"/>
      <c r="HN110" s="801"/>
      <c r="HO110" s="801"/>
      <c r="HP110" s="801"/>
      <c r="HQ110" s="801"/>
      <c r="HR110" s="801"/>
      <c r="HS110" s="801"/>
      <c r="HT110" s="801"/>
      <c r="HU110" s="801"/>
      <c r="HV110" s="801"/>
      <c r="HW110" s="801"/>
      <c r="HX110" s="801"/>
      <c r="HY110" s="801"/>
      <c r="HZ110" s="802"/>
      <c r="IA110" s="800" t="str">
        <f>IFERROR(IF(IZ93&gt;IA93-1,IF(INDEX(Pedidos!IJ:JZ,IY93+IA93-1,31)&lt;&gt;"","Nombres :     "&amp; INDEX(Pedidos!IJ:JZ,IY93+IA93-1,31),""),""),"")</f>
        <v/>
      </c>
      <c r="IB110" s="801"/>
      <c r="IC110" s="801"/>
      <c r="ID110" s="801"/>
      <c r="IE110" s="801"/>
      <c r="IF110" s="801"/>
      <c r="IG110" s="801"/>
      <c r="IH110" s="801"/>
      <c r="II110" s="801"/>
      <c r="IJ110" s="801"/>
      <c r="IK110" s="801"/>
      <c r="IL110" s="801"/>
      <c r="IM110" s="801"/>
      <c r="IN110" s="801"/>
      <c r="IO110" s="801"/>
      <c r="IP110" s="801"/>
      <c r="IQ110" s="801"/>
      <c r="IR110" s="801"/>
      <c r="IS110" s="801"/>
      <c r="IT110" s="801"/>
      <c r="IU110" s="801"/>
      <c r="IV110" s="801"/>
      <c r="IW110" s="801"/>
      <c r="IX110" s="801"/>
      <c r="IY110" s="801"/>
      <c r="IZ110" s="802"/>
    </row>
    <row r="111" spans="1:260" ht="15" customHeight="1" x14ac:dyDescent="0.25">
      <c r="A111" s="820" t="str">
        <f>IFERROR(IF(Z93&gt;A93-1,IF(INDEX(Pedidos!J:AZ,Y93+A93-1,32)&lt;&gt;"","Localización de los Nombres :     "&amp; INDEX(Pedidos!J:AZ,Y93+A93-1,32),""),""),"")</f>
        <v/>
      </c>
      <c r="B111" s="821"/>
      <c r="C111" s="821"/>
      <c r="D111" s="821"/>
      <c r="E111" s="821"/>
      <c r="F111" s="821"/>
      <c r="G111" s="821"/>
      <c r="H111" s="821"/>
      <c r="I111" s="821"/>
      <c r="J111" s="821"/>
      <c r="K111" s="821"/>
      <c r="L111" s="821"/>
      <c r="M111" s="821"/>
      <c r="N111" s="821"/>
      <c r="O111" s="821"/>
      <c r="P111" s="821"/>
      <c r="Q111" s="821"/>
      <c r="R111" s="821"/>
      <c r="S111" s="821"/>
      <c r="T111" s="821"/>
      <c r="U111" s="821"/>
      <c r="V111" s="821"/>
      <c r="W111" s="821"/>
      <c r="X111" s="821"/>
      <c r="Y111" s="821"/>
      <c r="Z111" s="822"/>
      <c r="AA111" s="820" t="str">
        <f>IFERROR(IF(AZ93&gt;AA93-1,IF(INDEX(Pedidos!AJ:BZ,AY93+AA93-1,32)&lt;&gt;"","Localización de los Nombres :     "&amp; INDEX(Pedidos!AJ:BZ,AY93+AA93-1,32),""),""),"")</f>
        <v/>
      </c>
      <c r="AB111" s="821"/>
      <c r="AC111" s="821"/>
      <c r="AD111" s="821"/>
      <c r="AE111" s="821"/>
      <c r="AF111" s="821"/>
      <c r="AG111" s="821"/>
      <c r="AH111" s="821"/>
      <c r="AI111" s="821"/>
      <c r="AJ111" s="821"/>
      <c r="AK111" s="821"/>
      <c r="AL111" s="821"/>
      <c r="AM111" s="821"/>
      <c r="AN111" s="821"/>
      <c r="AO111" s="821"/>
      <c r="AP111" s="821"/>
      <c r="AQ111" s="821"/>
      <c r="AR111" s="821"/>
      <c r="AS111" s="821"/>
      <c r="AT111" s="821"/>
      <c r="AU111" s="821"/>
      <c r="AV111" s="821"/>
      <c r="AW111" s="821"/>
      <c r="AX111" s="821"/>
      <c r="AY111" s="821"/>
      <c r="AZ111" s="822"/>
      <c r="BA111" s="820" t="str">
        <f>IFERROR(IF(BZ93&gt;BA93-1,IF(INDEX(Pedidos!BJ:CZ,BY93+BA93-1,32)&lt;&gt;"","Localización de los Nombres :     "&amp; INDEX(Pedidos!BJ:CZ,BY93+BA93-1,32),""),""),"")</f>
        <v/>
      </c>
      <c r="BB111" s="821"/>
      <c r="BC111" s="821"/>
      <c r="BD111" s="821"/>
      <c r="BE111" s="821"/>
      <c r="BF111" s="821"/>
      <c r="BG111" s="821"/>
      <c r="BH111" s="821"/>
      <c r="BI111" s="821"/>
      <c r="BJ111" s="821"/>
      <c r="BK111" s="821"/>
      <c r="BL111" s="821"/>
      <c r="BM111" s="821"/>
      <c r="BN111" s="821"/>
      <c r="BO111" s="821"/>
      <c r="BP111" s="821"/>
      <c r="BQ111" s="821"/>
      <c r="BR111" s="821"/>
      <c r="BS111" s="821"/>
      <c r="BT111" s="821"/>
      <c r="BU111" s="821"/>
      <c r="BV111" s="821"/>
      <c r="BW111" s="821"/>
      <c r="BX111" s="821"/>
      <c r="BY111" s="821"/>
      <c r="BZ111" s="822"/>
      <c r="CA111" s="820" t="str">
        <f>IFERROR(IF(CZ93&gt;CA93-1,IF(INDEX(Pedidos!CJ:DZ,CY93+CA93-1,32)&lt;&gt;"","Localización de los Nombres :     "&amp; INDEX(Pedidos!CJ:DZ,CY93+CA93-1,32),""),""),"")</f>
        <v/>
      </c>
      <c r="CB111" s="821"/>
      <c r="CC111" s="821"/>
      <c r="CD111" s="821"/>
      <c r="CE111" s="821"/>
      <c r="CF111" s="821"/>
      <c r="CG111" s="821"/>
      <c r="CH111" s="821"/>
      <c r="CI111" s="821"/>
      <c r="CJ111" s="821"/>
      <c r="CK111" s="821"/>
      <c r="CL111" s="821"/>
      <c r="CM111" s="821"/>
      <c r="CN111" s="821"/>
      <c r="CO111" s="821"/>
      <c r="CP111" s="821"/>
      <c r="CQ111" s="821"/>
      <c r="CR111" s="821"/>
      <c r="CS111" s="821"/>
      <c r="CT111" s="821"/>
      <c r="CU111" s="821"/>
      <c r="CV111" s="821"/>
      <c r="CW111" s="821"/>
      <c r="CX111" s="821"/>
      <c r="CY111" s="821"/>
      <c r="CZ111" s="822"/>
      <c r="DA111" s="820" t="str">
        <f>IFERROR(IF(DZ93&gt;DA93-1,IF(INDEX(Pedidos!DJ:EZ,DY93+DA93-1,32)&lt;&gt;"","Localización de los Nombres :     "&amp; INDEX(Pedidos!DJ:EZ,DY93+DA93-1,32),""),""),"")</f>
        <v/>
      </c>
      <c r="DB111" s="821"/>
      <c r="DC111" s="821"/>
      <c r="DD111" s="821"/>
      <c r="DE111" s="821"/>
      <c r="DF111" s="821"/>
      <c r="DG111" s="821"/>
      <c r="DH111" s="821"/>
      <c r="DI111" s="821"/>
      <c r="DJ111" s="821"/>
      <c r="DK111" s="821"/>
      <c r="DL111" s="821"/>
      <c r="DM111" s="821"/>
      <c r="DN111" s="821"/>
      <c r="DO111" s="821"/>
      <c r="DP111" s="821"/>
      <c r="DQ111" s="821"/>
      <c r="DR111" s="821"/>
      <c r="DS111" s="821"/>
      <c r="DT111" s="821"/>
      <c r="DU111" s="821"/>
      <c r="DV111" s="821"/>
      <c r="DW111" s="821"/>
      <c r="DX111" s="821"/>
      <c r="DY111" s="821"/>
      <c r="DZ111" s="822"/>
      <c r="EA111" s="820" t="str">
        <f>IFERROR(IF(EZ93&gt;EA93-1,IF(INDEX(Pedidos!EJ:FZ,EY93+EA93-1,32)&lt;&gt;"","Localización de los Nombres :     "&amp; INDEX(Pedidos!EJ:FZ,EY93+EA93-1,32),""),""),"")</f>
        <v/>
      </c>
      <c r="EB111" s="821"/>
      <c r="EC111" s="821"/>
      <c r="ED111" s="821"/>
      <c r="EE111" s="821"/>
      <c r="EF111" s="821"/>
      <c r="EG111" s="821"/>
      <c r="EH111" s="821"/>
      <c r="EI111" s="821"/>
      <c r="EJ111" s="821"/>
      <c r="EK111" s="821"/>
      <c r="EL111" s="821"/>
      <c r="EM111" s="821"/>
      <c r="EN111" s="821"/>
      <c r="EO111" s="821"/>
      <c r="EP111" s="821"/>
      <c r="EQ111" s="821"/>
      <c r="ER111" s="821"/>
      <c r="ES111" s="821"/>
      <c r="ET111" s="821"/>
      <c r="EU111" s="821"/>
      <c r="EV111" s="821"/>
      <c r="EW111" s="821"/>
      <c r="EX111" s="821"/>
      <c r="EY111" s="821"/>
      <c r="EZ111" s="822"/>
      <c r="FA111" s="820" t="str">
        <f>IFERROR(IF(FZ93&gt;FA93-1,IF(INDEX(Pedidos!FJ:GZ,FY93+FA93-1,32)&lt;&gt;"","Localización de los Nombres :     "&amp; INDEX(Pedidos!FJ:GZ,FY93+FA93-1,32),""),""),"")</f>
        <v/>
      </c>
      <c r="FB111" s="821"/>
      <c r="FC111" s="821"/>
      <c r="FD111" s="821"/>
      <c r="FE111" s="821"/>
      <c r="FF111" s="821"/>
      <c r="FG111" s="821"/>
      <c r="FH111" s="821"/>
      <c r="FI111" s="821"/>
      <c r="FJ111" s="821"/>
      <c r="FK111" s="821"/>
      <c r="FL111" s="821"/>
      <c r="FM111" s="821"/>
      <c r="FN111" s="821"/>
      <c r="FO111" s="821"/>
      <c r="FP111" s="821"/>
      <c r="FQ111" s="821"/>
      <c r="FR111" s="821"/>
      <c r="FS111" s="821"/>
      <c r="FT111" s="821"/>
      <c r="FU111" s="821"/>
      <c r="FV111" s="821"/>
      <c r="FW111" s="821"/>
      <c r="FX111" s="821"/>
      <c r="FY111" s="821"/>
      <c r="FZ111" s="822"/>
      <c r="GA111" s="820" t="str">
        <f>IFERROR(IF(GZ93&gt;GA93-1,IF(INDEX(Pedidos!GJ:HZ,GY93+GA93-1,32)&lt;&gt;"","Localización de los Nombres :     "&amp; INDEX(Pedidos!GJ:HZ,GY93+GA93-1,32),""),""),"")</f>
        <v/>
      </c>
      <c r="GB111" s="821"/>
      <c r="GC111" s="821"/>
      <c r="GD111" s="821"/>
      <c r="GE111" s="821"/>
      <c r="GF111" s="821"/>
      <c r="GG111" s="821"/>
      <c r="GH111" s="821"/>
      <c r="GI111" s="821"/>
      <c r="GJ111" s="821"/>
      <c r="GK111" s="821"/>
      <c r="GL111" s="821"/>
      <c r="GM111" s="821"/>
      <c r="GN111" s="821"/>
      <c r="GO111" s="821"/>
      <c r="GP111" s="821"/>
      <c r="GQ111" s="821"/>
      <c r="GR111" s="821"/>
      <c r="GS111" s="821"/>
      <c r="GT111" s="821"/>
      <c r="GU111" s="821"/>
      <c r="GV111" s="821"/>
      <c r="GW111" s="821"/>
      <c r="GX111" s="821"/>
      <c r="GY111" s="821"/>
      <c r="GZ111" s="822"/>
      <c r="HA111" s="820" t="str">
        <f>IFERROR(IF(HZ93&gt;HA93-1,IF(INDEX(Pedidos!HJ:IZ,HY93+HA93-1,32)&lt;&gt;"","Localización de los Nombres :     "&amp; INDEX(Pedidos!HJ:IZ,HY93+HA93-1,32),""),""),"")</f>
        <v/>
      </c>
      <c r="HB111" s="821"/>
      <c r="HC111" s="821"/>
      <c r="HD111" s="821"/>
      <c r="HE111" s="821"/>
      <c r="HF111" s="821"/>
      <c r="HG111" s="821"/>
      <c r="HH111" s="821"/>
      <c r="HI111" s="821"/>
      <c r="HJ111" s="821"/>
      <c r="HK111" s="821"/>
      <c r="HL111" s="821"/>
      <c r="HM111" s="821"/>
      <c r="HN111" s="821"/>
      <c r="HO111" s="821"/>
      <c r="HP111" s="821"/>
      <c r="HQ111" s="821"/>
      <c r="HR111" s="821"/>
      <c r="HS111" s="821"/>
      <c r="HT111" s="821"/>
      <c r="HU111" s="821"/>
      <c r="HV111" s="821"/>
      <c r="HW111" s="821"/>
      <c r="HX111" s="821"/>
      <c r="HY111" s="821"/>
      <c r="HZ111" s="822"/>
      <c r="IA111" s="820" t="str">
        <f>IFERROR(IF(IZ93&gt;IA93-1,IF(INDEX(Pedidos!IJ:JZ,IY93+IA93-1,32)&lt;&gt;"","Localización de los Nombres :     "&amp; INDEX(Pedidos!IJ:JZ,IY93+IA93-1,32),""),""),"")</f>
        <v/>
      </c>
      <c r="IB111" s="821"/>
      <c r="IC111" s="821"/>
      <c r="ID111" s="821"/>
      <c r="IE111" s="821"/>
      <c r="IF111" s="821"/>
      <c r="IG111" s="821"/>
      <c r="IH111" s="821"/>
      <c r="II111" s="821"/>
      <c r="IJ111" s="821"/>
      <c r="IK111" s="821"/>
      <c r="IL111" s="821"/>
      <c r="IM111" s="821"/>
      <c r="IN111" s="821"/>
      <c r="IO111" s="821"/>
      <c r="IP111" s="821"/>
      <c r="IQ111" s="821"/>
      <c r="IR111" s="821"/>
      <c r="IS111" s="821"/>
      <c r="IT111" s="821"/>
      <c r="IU111" s="821"/>
      <c r="IV111" s="821"/>
      <c r="IW111" s="821"/>
      <c r="IX111" s="821"/>
      <c r="IY111" s="821"/>
      <c r="IZ111" s="822"/>
    </row>
    <row r="112" spans="1:260" x14ac:dyDescent="0.25">
      <c r="A112" s="836" t="str">
        <f>IFERROR(IF(Z93&gt;A93-1,IF(INDEX(Pedidos!J:AZ,Y93+A93-1,37)&lt;&gt;"","Otras Instrucciones Especiales :     "&amp; INDEX(Pedidos!J:AZ,Y93+A93-1,37),""),""),"")</f>
        <v/>
      </c>
      <c r="B112" s="837"/>
      <c r="C112" s="837"/>
      <c r="D112" s="837"/>
      <c r="E112" s="837"/>
      <c r="F112" s="837"/>
      <c r="G112" s="837"/>
      <c r="H112" s="837"/>
      <c r="I112" s="837"/>
      <c r="J112" s="837"/>
      <c r="K112" s="837"/>
      <c r="L112" s="837"/>
      <c r="M112" s="837"/>
      <c r="N112" s="837"/>
      <c r="O112" s="837"/>
      <c r="P112" s="837"/>
      <c r="Q112" s="837"/>
      <c r="R112" s="837"/>
      <c r="S112" s="837"/>
      <c r="T112" s="837"/>
      <c r="U112" s="837"/>
      <c r="V112" s="837"/>
      <c r="W112" s="837"/>
      <c r="X112" s="837"/>
      <c r="Y112" s="837"/>
      <c r="Z112" s="838"/>
      <c r="AA112" s="836" t="str">
        <f>IFERROR(IF(AZ93&gt;AA93-1,IF(INDEX(Pedidos!AJ:BZ,AY93+AA93-1,37)&lt;&gt;"","Otras Instrucciones Especiales :     "&amp; INDEX(Pedidos!AJ:BZ,AY93+AA93-1,37),""),""),"")</f>
        <v/>
      </c>
      <c r="AB112" s="837"/>
      <c r="AC112" s="837"/>
      <c r="AD112" s="837"/>
      <c r="AE112" s="837"/>
      <c r="AF112" s="837"/>
      <c r="AG112" s="837"/>
      <c r="AH112" s="837"/>
      <c r="AI112" s="837"/>
      <c r="AJ112" s="837"/>
      <c r="AK112" s="837"/>
      <c r="AL112" s="837"/>
      <c r="AM112" s="837"/>
      <c r="AN112" s="837"/>
      <c r="AO112" s="837"/>
      <c r="AP112" s="837"/>
      <c r="AQ112" s="837"/>
      <c r="AR112" s="837"/>
      <c r="AS112" s="837"/>
      <c r="AT112" s="837"/>
      <c r="AU112" s="837"/>
      <c r="AV112" s="837"/>
      <c r="AW112" s="837"/>
      <c r="AX112" s="837"/>
      <c r="AY112" s="837"/>
      <c r="AZ112" s="838"/>
      <c r="BA112" s="836" t="str">
        <f>IFERROR(IF(BZ93&gt;BA93-1,IF(INDEX(Pedidos!BJ:CZ,BY93+BA93-1,37)&lt;&gt;"","Otras Instrucciones Especiales :     "&amp; INDEX(Pedidos!BJ:CZ,BY93+BA93-1,37),""),""),"")</f>
        <v/>
      </c>
      <c r="BB112" s="837"/>
      <c r="BC112" s="837"/>
      <c r="BD112" s="837"/>
      <c r="BE112" s="837"/>
      <c r="BF112" s="837"/>
      <c r="BG112" s="837"/>
      <c r="BH112" s="837"/>
      <c r="BI112" s="837"/>
      <c r="BJ112" s="837"/>
      <c r="BK112" s="837"/>
      <c r="BL112" s="837"/>
      <c r="BM112" s="837"/>
      <c r="BN112" s="837"/>
      <c r="BO112" s="837"/>
      <c r="BP112" s="837"/>
      <c r="BQ112" s="837"/>
      <c r="BR112" s="837"/>
      <c r="BS112" s="837"/>
      <c r="BT112" s="837"/>
      <c r="BU112" s="837"/>
      <c r="BV112" s="837"/>
      <c r="BW112" s="837"/>
      <c r="BX112" s="837"/>
      <c r="BY112" s="837"/>
      <c r="BZ112" s="838"/>
      <c r="CA112" s="836" t="str">
        <f>IFERROR(IF(CZ93&gt;CA93-1,IF(INDEX(Pedidos!CJ:DZ,CY93+CA93-1,37)&lt;&gt;"","Otras Instrucciones Especiales :     "&amp; INDEX(Pedidos!CJ:DZ,CY93+CA93-1,37),""),""),"")</f>
        <v/>
      </c>
      <c r="CB112" s="837"/>
      <c r="CC112" s="837"/>
      <c r="CD112" s="837"/>
      <c r="CE112" s="837"/>
      <c r="CF112" s="837"/>
      <c r="CG112" s="837"/>
      <c r="CH112" s="837"/>
      <c r="CI112" s="837"/>
      <c r="CJ112" s="837"/>
      <c r="CK112" s="837"/>
      <c r="CL112" s="837"/>
      <c r="CM112" s="837"/>
      <c r="CN112" s="837"/>
      <c r="CO112" s="837"/>
      <c r="CP112" s="837"/>
      <c r="CQ112" s="837"/>
      <c r="CR112" s="837"/>
      <c r="CS112" s="837"/>
      <c r="CT112" s="837"/>
      <c r="CU112" s="837"/>
      <c r="CV112" s="837"/>
      <c r="CW112" s="837"/>
      <c r="CX112" s="837"/>
      <c r="CY112" s="837"/>
      <c r="CZ112" s="838"/>
      <c r="DA112" s="836" t="str">
        <f>IFERROR(IF(DZ93&gt;DA93-1,IF(INDEX(Pedidos!DJ:EZ,DY93+DA93-1,37)&lt;&gt;"","Otras Instrucciones Especiales :     "&amp; INDEX(Pedidos!DJ:EZ,DY93+DA93-1,37),""),""),"")</f>
        <v/>
      </c>
      <c r="DB112" s="837"/>
      <c r="DC112" s="837"/>
      <c r="DD112" s="837"/>
      <c r="DE112" s="837"/>
      <c r="DF112" s="837"/>
      <c r="DG112" s="837"/>
      <c r="DH112" s="837"/>
      <c r="DI112" s="837"/>
      <c r="DJ112" s="837"/>
      <c r="DK112" s="837"/>
      <c r="DL112" s="837"/>
      <c r="DM112" s="837"/>
      <c r="DN112" s="837"/>
      <c r="DO112" s="837"/>
      <c r="DP112" s="837"/>
      <c r="DQ112" s="837"/>
      <c r="DR112" s="837"/>
      <c r="DS112" s="837"/>
      <c r="DT112" s="837"/>
      <c r="DU112" s="837"/>
      <c r="DV112" s="837"/>
      <c r="DW112" s="837"/>
      <c r="DX112" s="837"/>
      <c r="DY112" s="837"/>
      <c r="DZ112" s="838"/>
      <c r="EA112" s="836" t="str">
        <f>IFERROR(IF(EZ93&gt;EA93-1,IF(INDEX(Pedidos!EJ:FZ,EY93+EA93-1,37)&lt;&gt;"","Otras Instrucciones Especiales :     "&amp; INDEX(Pedidos!EJ:FZ,EY93+EA93-1,37),""),""),"")</f>
        <v/>
      </c>
      <c r="EB112" s="837"/>
      <c r="EC112" s="837"/>
      <c r="ED112" s="837"/>
      <c r="EE112" s="837"/>
      <c r="EF112" s="837"/>
      <c r="EG112" s="837"/>
      <c r="EH112" s="837"/>
      <c r="EI112" s="837"/>
      <c r="EJ112" s="837"/>
      <c r="EK112" s="837"/>
      <c r="EL112" s="837"/>
      <c r="EM112" s="837"/>
      <c r="EN112" s="837"/>
      <c r="EO112" s="837"/>
      <c r="EP112" s="837"/>
      <c r="EQ112" s="837"/>
      <c r="ER112" s="837"/>
      <c r="ES112" s="837"/>
      <c r="ET112" s="837"/>
      <c r="EU112" s="837"/>
      <c r="EV112" s="837"/>
      <c r="EW112" s="837"/>
      <c r="EX112" s="837"/>
      <c r="EY112" s="837"/>
      <c r="EZ112" s="838"/>
      <c r="FA112" s="836" t="str">
        <f>IFERROR(IF(FZ93&gt;FA93-1,IF(INDEX(Pedidos!FJ:GZ,FY93+FA93-1,37)&lt;&gt;"","Otras Instrucciones Especiales :     "&amp; INDEX(Pedidos!FJ:GZ,FY93+FA93-1,37),""),""),"")</f>
        <v/>
      </c>
      <c r="FB112" s="837"/>
      <c r="FC112" s="837"/>
      <c r="FD112" s="837"/>
      <c r="FE112" s="837"/>
      <c r="FF112" s="837"/>
      <c r="FG112" s="837"/>
      <c r="FH112" s="837"/>
      <c r="FI112" s="837"/>
      <c r="FJ112" s="837"/>
      <c r="FK112" s="837"/>
      <c r="FL112" s="837"/>
      <c r="FM112" s="837"/>
      <c r="FN112" s="837"/>
      <c r="FO112" s="837"/>
      <c r="FP112" s="837"/>
      <c r="FQ112" s="837"/>
      <c r="FR112" s="837"/>
      <c r="FS112" s="837"/>
      <c r="FT112" s="837"/>
      <c r="FU112" s="837"/>
      <c r="FV112" s="837"/>
      <c r="FW112" s="837"/>
      <c r="FX112" s="837"/>
      <c r="FY112" s="837"/>
      <c r="FZ112" s="838"/>
      <c r="GA112" s="836" t="str">
        <f>IFERROR(IF(GZ93&gt;GA93-1,IF(INDEX(Pedidos!GJ:HZ,GY93+GA93-1,37)&lt;&gt;"","Otras Instrucciones Especiales :     "&amp; INDEX(Pedidos!GJ:HZ,GY93+GA93-1,37),""),""),"")</f>
        <v/>
      </c>
      <c r="GB112" s="837"/>
      <c r="GC112" s="837"/>
      <c r="GD112" s="837"/>
      <c r="GE112" s="837"/>
      <c r="GF112" s="837"/>
      <c r="GG112" s="837"/>
      <c r="GH112" s="837"/>
      <c r="GI112" s="837"/>
      <c r="GJ112" s="837"/>
      <c r="GK112" s="837"/>
      <c r="GL112" s="837"/>
      <c r="GM112" s="837"/>
      <c r="GN112" s="837"/>
      <c r="GO112" s="837"/>
      <c r="GP112" s="837"/>
      <c r="GQ112" s="837"/>
      <c r="GR112" s="837"/>
      <c r="GS112" s="837"/>
      <c r="GT112" s="837"/>
      <c r="GU112" s="837"/>
      <c r="GV112" s="837"/>
      <c r="GW112" s="837"/>
      <c r="GX112" s="837"/>
      <c r="GY112" s="837"/>
      <c r="GZ112" s="838"/>
      <c r="HA112" s="836" t="str">
        <f>IFERROR(IF(HZ93&gt;HA93-1,IF(INDEX(Pedidos!HJ:IZ,HY93+HA93-1,37)&lt;&gt;"","Otras Instrucciones Especiales :     "&amp; INDEX(Pedidos!HJ:IZ,HY93+HA93-1,37),""),""),"")</f>
        <v/>
      </c>
      <c r="HB112" s="837"/>
      <c r="HC112" s="837"/>
      <c r="HD112" s="837"/>
      <c r="HE112" s="837"/>
      <c r="HF112" s="837"/>
      <c r="HG112" s="837"/>
      <c r="HH112" s="837"/>
      <c r="HI112" s="837"/>
      <c r="HJ112" s="837"/>
      <c r="HK112" s="837"/>
      <c r="HL112" s="837"/>
      <c r="HM112" s="837"/>
      <c r="HN112" s="837"/>
      <c r="HO112" s="837"/>
      <c r="HP112" s="837"/>
      <c r="HQ112" s="837"/>
      <c r="HR112" s="837"/>
      <c r="HS112" s="837"/>
      <c r="HT112" s="837"/>
      <c r="HU112" s="837"/>
      <c r="HV112" s="837"/>
      <c r="HW112" s="837"/>
      <c r="HX112" s="837"/>
      <c r="HY112" s="837"/>
      <c r="HZ112" s="838"/>
      <c r="IA112" s="836" t="str">
        <f>IFERROR(IF(IZ93&gt;IA93-1,IF(INDEX(Pedidos!IJ:JZ,IY93+IA93-1,37)&lt;&gt;"","Otras Instrucciones Especiales :     "&amp; INDEX(Pedidos!IJ:JZ,IY93+IA93-1,37),""),""),"")</f>
        <v/>
      </c>
      <c r="IB112" s="837"/>
      <c r="IC112" s="837"/>
      <c r="ID112" s="837"/>
      <c r="IE112" s="837"/>
      <c r="IF112" s="837"/>
      <c r="IG112" s="837"/>
      <c r="IH112" s="837"/>
      <c r="II112" s="837"/>
      <c r="IJ112" s="837"/>
      <c r="IK112" s="837"/>
      <c r="IL112" s="837"/>
      <c r="IM112" s="837"/>
      <c r="IN112" s="837"/>
      <c r="IO112" s="837"/>
      <c r="IP112" s="837"/>
      <c r="IQ112" s="837"/>
      <c r="IR112" s="837"/>
      <c r="IS112" s="837"/>
      <c r="IT112" s="837"/>
      <c r="IU112" s="837"/>
      <c r="IV112" s="837"/>
      <c r="IW112" s="837"/>
      <c r="IX112" s="837"/>
      <c r="IY112" s="837"/>
      <c r="IZ112" s="838"/>
    </row>
    <row r="113" spans="1:260" ht="15.75" thickBot="1" x14ac:dyDescent="0.3">
      <c r="A113" s="839"/>
      <c r="B113" s="840"/>
      <c r="C113" s="840"/>
      <c r="D113" s="840"/>
      <c r="E113" s="840"/>
      <c r="F113" s="840"/>
      <c r="G113" s="840"/>
      <c r="H113" s="840"/>
      <c r="I113" s="840"/>
      <c r="J113" s="840"/>
      <c r="K113" s="840"/>
      <c r="L113" s="840"/>
      <c r="M113" s="840"/>
      <c r="N113" s="840"/>
      <c r="O113" s="840"/>
      <c r="P113" s="840"/>
      <c r="Q113" s="840"/>
      <c r="R113" s="840"/>
      <c r="S113" s="840"/>
      <c r="T113" s="840"/>
      <c r="U113" s="840"/>
      <c r="V113" s="840"/>
      <c r="W113" s="840"/>
      <c r="X113" s="840"/>
      <c r="Y113" s="840"/>
      <c r="Z113" s="841"/>
      <c r="AA113" s="839"/>
      <c r="AB113" s="840"/>
      <c r="AC113" s="840"/>
      <c r="AD113" s="840"/>
      <c r="AE113" s="840"/>
      <c r="AF113" s="840"/>
      <c r="AG113" s="840"/>
      <c r="AH113" s="840"/>
      <c r="AI113" s="840"/>
      <c r="AJ113" s="840"/>
      <c r="AK113" s="840"/>
      <c r="AL113" s="840"/>
      <c r="AM113" s="840"/>
      <c r="AN113" s="840"/>
      <c r="AO113" s="840"/>
      <c r="AP113" s="840"/>
      <c r="AQ113" s="840"/>
      <c r="AR113" s="840"/>
      <c r="AS113" s="840"/>
      <c r="AT113" s="840"/>
      <c r="AU113" s="840"/>
      <c r="AV113" s="840"/>
      <c r="AW113" s="840"/>
      <c r="AX113" s="840"/>
      <c r="AY113" s="840"/>
      <c r="AZ113" s="841"/>
      <c r="BA113" s="839"/>
      <c r="BB113" s="840"/>
      <c r="BC113" s="840"/>
      <c r="BD113" s="840"/>
      <c r="BE113" s="840"/>
      <c r="BF113" s="840"/>
      <c r="BG113" s="840"/>
      <c r="BH113" s="840"/>
      <c r="BI113" s="840"/>
      <c r="BJ113" s="840"/>
      <c r="BK113" s="840"/>
      <c r="BL113" s="840"/>
      <c r="BM113" s="840"/>
      <c r="BN113" s="840"/>
      <c r="BO113" s="840"/>
      <c r="BP113" s="840"/>
      <c r="BQ113" s="840"/>
      <c r="BR113" s="840"/>
      <c r="BS113" s="840"/>
      <c r="BT113" s="840"/>
      <c r="BU113" s="840"/>
      <c r="BV113" s="840"/>
      <c r="BW113" s="840"/>
      <c r="BX113" s="840"/>
      <c r="BY113" s="840"/>
      <c r="BZ113" s="841"/>
      <c r="CA113" s="839"/>
      <c r="CB113" s="840"/>
      <c r="CC113" s="840"/>
      <c r="CD113" s="840"/>
      <c r="CE113" s="840"/>
      <c r="CF113" s="840"/>
      <c r="CG113" s="840"/>
      <c r="CH113" s="840"/>
      <c r="CI113" s="840"/>
      <c r="CJ113" s="840"/>
      <c r="CK113" s="840"/>
      <c r="CL113" s="840"/>
      <c r="CM113" s="840"/>
      <c r="CN113" s="840"/>
      <c r="CO113" s="840"/>
      <c r="CP113" s="840"/>
      <c r="CQ113" s="840"/>
      <c r="CR113" s="840"/>
      <c r="CS113" s="840"/>
      <c r="CT113" s="840"/>
      <c r="CU113" s="840"/>
      <c r="CV113" s="840"/>
      <c r="CW113" s="840"/>
      <c r="CX113" s="840"/>
      <c r="CY113" s="840"/>
      <c r="CZ113" s="841"/>
      <c r="DA113" s="839"/>
      <c r="DB113" s="840"/>
      <c r="DC113" s="840"/>
      <c r="DD113" s="840"/>
      <c r="DE113" s="840"/>
      <c r="DF113" s="840"/>
      <c r="DG113" s="840"/>
      <c r="DH113" s="840"/>
      <c r="DI113" s="840"/>
      <c r="DJ113" s="840"/>
      <c r="DK113" s="840"/>
      <c r="DL113" s="840"/>
      <c r="DM113" s="840"/>
      <c r="DN113" s="840"/>
      <c r="DO113" s="840"/>
      <c r="DP113" s="840"/>
      <c r="DQ113" s="840"/>
      <c r="DR113" s="840"/>
      <c r="DS113" s="840"/>
      <c r="DT113" s="840"/>
      <c r="DU113" s="840"/>
      <c r="DV113" s="840"/>
      <c r="DW113" s="840"/>
      <c r="DX113" s="840"/>
      <c r="DY113" s="840"/>
      <c r="DZ113" s="841"/>
      <c r="EA113" s="839"/>
      <c r="EB113" s="840"/>
      <c r="EC113" s="840"/>
      <c r="ED113" s="840"/>
      <c r="EE113" s="840"/>
      <c r="EF113" s="840"/>
      <c r="EG113" s="840"/>
      <c r="EH113" s="840"/>
      <c r="EI113" s="840"/>
      <c r="EJ113" s="840"/>
      <c r="EK113" s="840"/>
      <c r="EL113" s="840"/>
      <c r="EM113" s="840"/>
      <c r="EN113" s="840"/>
      <c r="EO113" s="840"/>
      <c r="EP113" s="840"/>
      <c r="EQ113" s="840"/>
      <c r="ER113" s="840"/>
      <c r="ES113" s="840"/>
      <c r="ET113" s="840"/>
      <c r="EU113" s="840"/>
      <c r="EV113" s="840"/>
      <c r="EW113" s="840"/>
      <c r="EX113" s="840"/>
      <c r="EY113" s="840"/>
      <c r="EZ113" s="841"/>
      <c r="FA113" s="839"/>
      <c r="FB113" s="840"/>
      <c r="FC113" s="840"/>
      <c r="FD113" s="840"/>
      <c r="FE113" s="840"/>
      <c r="FF113" s="840"/>
      <c r="FG113" s="840"/>
      <c r="FH113" s="840"/>
      <c r="FI113" s="840"/>
      <c r="FJ113" s="840"/>
      <c r="FK113" s="840"/>
      <c r="FL113" s="840"/>
      <c r="FM113" s="840"/>
      <c r="FN113" s="840"/>
      <c r="FO113" s="840"/>
      <c r="FP113" s="840"/>
      <c r="FQ113" s="840"/>
      <c r="FR113" s="840"/>
      <c r="FS113" s="840"/>
      <c r="FT113" s="840"/>
      <c r="FU113" s="840"/>
      <c r="FV113" s="840"/>
      <c r="FW113" s="840"/>
      <c r="FX113" s="840"/>
      <c r="FY113" s="840"/>
      <c r="FZ113" s="841"/>
      <c r="GA113" s="839"/>
      <c r="GB113" s="840"/>
      <c r="GC113" s="840"/>
      <c r="GD113" s="840"/>
      <c r="GE113" s="840"/>
      <c r="GF113" s="840"/>
      <c r="GG113" s="840"/>
      <c r="GH113" s="840"/>
      <c r="GI113" s="840"/>
      <c r="GJ113" s="840"/>
      <c r="GK113" s="840"/>
      <c r="GL113" s="840"/>
      <c r="GM113" s="840"/>
      <c r="GN113" s="840"/>
      <c r="GO113" s="840"/>
      <c r="GP113" s="840"/>
      <c r="GQ113" s="840"/>
      <c r="GR113" s="840"/>
      <c r="GS113" s="840"/>
      <c r="GT113" s="840"/>
      <c r="GU113" s="840"/>
      <c r="GV113" s="840"/>
      <c r="GW113" s="840"/>
      <c r="GX113" s="840"/>
      <c r="GY113" s="840"/>
      <c r="GZ113" s="841"/>
      <c r="HA113" s="839"/>
      <c r="HB113" s="840"/>
      <c r="HC113" s="840"/>
      <c r="HD113" s="840"/>
      <c r="HE113" s="840"/>
      <c r="HF113" s="840"/>
      <c r="HG113" s="840"/>
      <c r="HH113" s="840"/>
      <c r="HI113" s="840"/>
      <c r="HJ113" s="840"/>
      <c r="HK113" s="840"/>
      <c r="HL113" s="840"/>
      <c r="HM113" s="840"/>
      <c r="HN113" s="840"/>
      <c r="HO113" s="840"/>
      <c r="HP113" s="840"/>
      <c r="HQ113" s="840"/>
      <c r="HR113" s="840"/>
      <c r="HS113" s="840"/>
      <c r="HT113" s="840"/>
      <c r="HU113" s="840"/>
      <c r="HV113" s="840"/>
      <c r="HW113" s="840"/>
      <c r="HX113" s="840"/>
      <c r="HY113" s="840"/>
      <c r="HZ113" s="841"/>
      <c r="IA113" s="839"/>
      <c r="IB113" s="840"/>
      <c r="IC113" s="840"/>
      <c r="ID113" s="840"/>
      <c r="IE113" s="840"/>
      <c r="IF113" s="840"/>
      <c r="IG113" s="840"/>
      <c r="IH113" s="840"/>
      <c r="II113" s="840"/>
      <c r="IJ113" s="840"/>
      <c r="IK113" s="840"/>
      <c r="IL113" s="840"/>
      <c r="IM113" s="840"/>
      <c r="IN113" s="840"/>
      <c r="IO113" s="840"/>
      <c r="IP113" s="840"/>
      <c r="IQ113" s="840"/>
      <c r="IR113" s="840"/>
      <c r="IS113" s="840"/>
      <c r="IT113" s="840"/>
      <c r="IU113" s="840"/>
      <c r="IV113" s="840"/>
      <c r="IW113" s="840"/>
      <c r="IX113" s="840"/>
      <c r="IY113" s="840"/>
      <c r="IZ113" s="841"/>
    </row>
    <row r="114" spans="1:260" x14ac:dyDescent="0.25">
      <c r="AA114" s="518"/>
      <c r="AB114" s="518"/>
      <c r="AC114" s="518"/>
      <c r="AD114" s="518"/>
      <c r="AE114" s="518"/>
      <c r="AF114" s="518"/>
      <c r="AG114" s="518"/>
      <c r="AH114" s="518"/>
      <c r="AI114" s="518"/>
      <c r="AJ114" s="518"/>
      <c r="AK114" s="518"/>
      <c r="AL114" s="518"/>
      <c r="AM114" s="518"/>
      <c r="AN114" s="518"/>
      <c r="AO114" s="518"/>
      <c r="AP114" s="518"/>
      <c r="AQ114" s="518"/>
      <c r="AR114" s="518"/>
      <c r="AS114" s="518"/>
      <c r="AT114" s="518"/>
      <c r="AU114" s="518"/>
      <c r="AV114" s="518"/>
      <c r="AW114" s="518"/>
    </row>
    <row r="115" spans="1:260" ht="15.75" thickBot="1" x14ac:dyDescent="0.3">
      <c r="A115" s="529">
        <v>6</v>
      </c>
      <c r="B115" s="529"/>
      <c r="C115" s="529"/>
      <c r="D115" s="529"/>
      <c r="E115" s="529"/>
      <c r="F115" s="529"/>
      <c r="G115" s="529"/>
      <c r="H115" s="529"/>
      <c r="I115" s="529"/>
      <c r="J115" s="529">
        <v>18</v>
      </c>
      <c r="K115" s="529">
        <v>19</v>
      </c>
      <c r="L115" s="529">
        <v>20</v>
      </c>
      <c r="M115" s="529">
        <v>21</v>
      </c>
      <c r="N115" s="529">
        <v>22</v>
      </c>
      <c r="O115" s="529">
        <v>23</v>
      </c>
      <c r="P115" s="529">
        <v>24</v>
      </c>
      <c r="Q115" s="529">
        <v>25</v>
      </c>
      <c r="R115" s="529">
        <v>26</v>
      </c>
      <c r="S115" s="529">
        <v>27</v>
      </c>
      <c r="T115" s="529">
        <v>28</v>
      </c>
      <c r="U115" s="529">
        <v>29</v>
      </c>
      <c r="V115" s="529">
        <v>30</v>
      </c>
      <c r="W115" s="529"/>
      <c r="X115" s="529"/>
      <c r="Y115" s="529" t="str">
        <f>IFERROR(IF(COUNTIF(Pedidos!$J:$J,Q$2)&gt;A115-1,MATCH(Q$2,Pedidos!$J:$J,0),""),"")</f>
        <v/>
      </c>
      <c r="Z115" s="529">
        <f>IFERROR(IF(Y115="",0,COUNTIF(Pedidos!$J:$J,Procesos!Q$2)),"")</f>
        <v>0</v>
      </c>
      <c r="AA115" s="529">
        <v>6</v>
      </c>
      <c r="AB115" s="529"/>
      <c r="AC115" s="529"/>
      <c r="AD115" s="529"/>
      <c r="AE115" s="529"/>
      <c r="AF115" s="529"/>
      <c r="AG115" s="529"/>
      <c r="AH115" s="529"/>
      <c r="AI115" s="529"/>
      <c r="AJ115" s="529">
        <v>18</v>
      </c>
      <c r="AK115" s="529">
        <v>19</v>
      </c>
      <c r="AL115" s="529">
        <v>20</v>
      </c>
      <c r="AM115" s="529">
        <v>21</v>
      </c>
      <c r="AN115" s="529">
        <v>22</v>
      </c>
      <c r="AO115" s="529">
        <v>23</v>
      </c>
      <c r="AP115" s="529">
        <v>24</v>
      </c>
      <c r="AQ115" s="529">
        <v>25</v>
      </c>
      <c r="AR115" s="529">
        <v>26</v>
      </c>
      <c r="AS115" s="529">
        <v>27</v>
      </c>
      <c r="AT115" s="529">
        <v>28</v>
      </c>
      <c r="AU115" s="529">
        <v>29</v>
      </c>
      <c r="AV115" s="529">
        <v>30</v>
      </c>
      <c r="AW115" s="529"/>
      <c r="AX115" s="529"/>
      <c r="AY115" s="529" t="str">
        <f>IFERROR(IF(COUNTIF(Pedidos!$J:$J,AQ$2)&gt;AA115-1,MATCH(AQ$2,Pedidos!$J:$J,0),""),"")</f>
        <v/>
      </c>
      <c r="AZ115" s="529">
        <f>IFERROR(IF(AY115="",0,COUNTIF(Pedidos!$J:$J,Procesos!AQ$2)),"")</f>
        <v>0</v>
      </c>
      <c r="BA115" s="529">
        <v>6</v>
      </c>
      <c r="BB115" s="529"/>
      <c r="BC115" s="529"/>
      <c r="BD115" s="529"/>
      <c r="BE115" s="529"/>
      <c r="BF115" s="529"/>
      <c r="BG115" s="529"/>
      <c r="BH115" s="529"/>
      <c r="BI115" s="529"/>
      <c r="BJ115" s="529">
        <v>18</v>
      </c>
      <c r="BK115" s="529">
        <v>19</v>
      </c>
      <c r="BL115" s="529">
        <v>20</v>
      </c>
      <c r="BM115" s="529">
        <v>21</v>
      </c>
      <c r="BN115" s="529">
        <v>22</v>
      </c>
      <c r="BO115" s="529">
        <v>23</v>
      </c>
      <c r="BP115" s="529">
        <v>24</v>
      </c>
      <c r="BQ115" s="529">
        <v>25</v>
      </c>
      <c r="BR115" s="529">
        <v>26</v>
      </c>
      <c r="BS115" s="529">
        <v>27</v>
      </c>
      <c r="BT115" s="529">
        <v>28</v>
      </c>
      <c r="BU115" s="529">
        <v>29</v>
      </c>
      <c r="BV115" s="529">
        <v>30</v>
      </c>
      <c r="BW115" s="529"/>
      <c r="BX115" s="529"/>
      <c r="BY115" s="529" t="str">
        <f>IFERROR(IF(COUNTIF(Pedidos!$J:$J,BQ$2)&gt;BA115-1,MATCH(BQ$2,Pedidos!$J:$J,0),""),"")</f>
        <v/>
      </c>
      <c r="BZ115" s="529">
        <f>IFERROR(IF(BY115="",0,COUNTIF(Pedidos!$J:$J,Procesos!BQ$2)),"")</f>
        <v>0</v>
      </c>
      <c r="CA115" s="529">
        <v>6</v>
      </c>
      <c r="CB115" s="529"/>
      <c r="CC115" s="529"/>
      <c r="CD115" s="529"/>
      <c r="CE115" s="529"/>
      <c r="CF115" s="529"/>
      <c r="CG115" s="529"/>
      <c r="CH115" s="529"/>
      <c r="CI115" s="529"/>
      <c r="CJ115" s="529">
        <v>18</v>
      </c>
      <c r="CK115" s="529">
        <v>19</v>
      </c>
      <c r="CL115" s="529">
        <v>20</v>
      </c>
      <c r="CM115" s="529">
        <v>21</v>
      </c>
      <c r="CN115" s="529">
        <v>22</v>
      </c>
      <c r="CO115" s="529">
        <v>23</v>
      </c>
      <c r="CP115" s="529">
        <v>24</v>
      </c>
      <c r="CQ115" s="529">
        <v>25</v>
      </c>
      <c r="CR115" s="529">
        <v>26</v>
      </c>
      <c r="CS115" s="529">
        <v>27</v>
      </c>
      <c r="CT115" s="529">
        <v>28</v>
      </c>
      <c r="CU115" s="529">
        <v>29</v>
      </c>
      <c r="CV115" s="529">
        <v>30</v>
      </c>
      <c r="CW115" s="529"/>
      <c r="CX115" s="529"/>
      <c r="CY115" s="529" t="str">
        <f>IFERROR(IF(COUNTIF(Pedidos!$J:$J,CQ$2)&gt;CA115-1,MATCH(CQ$2,Pedidos!$J:$J,0),""),"")</f>
        <v/>
      </c>
      <c r="CZ115" s="529">
        <f>IFERROR(IF(CY115="",0,COUNTIF(Pedidos!$J:$J,Procesos!CQ$2)),"")</f>
        <v>0</v>
      </c>
      <c r="DA115" s="529">
        <v>6</v>
      </c>
      <c r="DB115" s="529"/>
      <c r="DC115" s="529"/>
      <c r="DD115" s="529"/>
      <c r="DE115" s="529"/>
      <c r="DF115" s="529"/>
      <c r="DG115" s="529"/>
      <c r="DH115" s="529"/>
      <c r="DI115" s="529"/>
      <c r="DJ115" s="529">
        <v>18</v>
      </c>
      <c r="DK115" s="529">
        <v>19</v>
      </c>
      <c r="DL115" s="529">
        <v>20</v>
      </c>
      <c r="DM115" s="529">
        <v>21</v>
      </c>
      <c r="DN115" s="529">
        <v>22</v>
      </c>
      <c r="DO115" s="529">
        <v>23</v>
      </c>
      <c r="DP115" s="529">
        <v>24</v>
      </c>
      <c r="DQ115" s="529">
        <v>25</v>
      </c>
      <c r="DR115" s="529">
        <v>26</v>
      </c>
      <c r="DS115" s="529">
        <v>27</v>
      </c>
      <c r="DT115" s="529">
        <v>28</v>
      </c>
      <c r="DU115" s="529">
        <v>29</v>
      </c>
      <c r="DV115" s="529">
        <v>30</v>
      </c>
      <c r="DW115" s="529"/>
      <c r="DX115" s="529"/>
      <c r="DY115" s="529" t="str">
        <f>IFERROR(IF(COUNTIF(Pedidos!$J:$J,DQ$2)&gt;DA115-1,MATCH(DQ$2,Pedidos!$J:$J,0),""),"")</f>
        <v/>
      </c>
      <c r="DZ115" s="529">
        <f>IFERROR(IF(DY115="",0,COUNTIF(Pedidos!$J:$J,Procesos!DQ$2)),"")</f>
        <v>0</v>
      </c>
      <c r="EA115" s="529">
        <v>6</v>
      </c>
      <c r="EB115" s="529"/>
      <c r="EC115" s="529"/>
      <c r="ED115" s="529"/>
      <c r="EE115" s="529"/>
      <c r="EF115" s="529"/>
      <c r="EG115" s="529"/>
      <c r="EH115" s="529"/>
      <c r="EI115" s="529"/>
      <c r="EJ115" s="529">
        <v>18</v>
      </c>
      <c r="EK115" s="529">
        <v>19</v>
      </c>
      <c r="EL115" s="529">
        <v>20</v>
      </c>
      <c r="EM115" s="529">
        <v>21</v>
      </c>
      <c r="EN115" s="529">
        <v>22</v>
      </c>
      <c r="EO115" s="529">
        <v>23</v>
      </c>
      <c r="EP115" s="529">
        <v>24</v>
      </c>
      <c r="EQ115" s="529">
        <v>25</v>
      </c>
      <c r="ER115" s="529">
        <v>26</v>
      </c>
      <c r="ES115" s="529">
        <v>27</v>
      </c>
      <c r="ET115" s="529">
        <v>28</v>
      </c>
      <c r="EU115" s="529">
        <v>29</v>
      </c>
      <c r="EV115" s="529">
        <v>30</v>
      </c>
      <c r="EW115" s="529"/>
      <c r="EX115" s="529"/>
      <c r="EY115" s="529" t="str">
        <f>IFERROR(IF(COUNTIF(Pedidos!$J:$J,EQ$2)&gt;EA115-1,MATCH(EQ$2,Pedidos!$J:$J,0),""),"")</f>
        <v/>
      </c>
      <c r="EZ115" s="529">
        <f>IFERROR(IF(EY115="",0,COUNTIF(Pedidos!$J:$J,Procesos!EQ$2)),"")</f>
        <v>0</v>
      </c>
      <c r="FA115" s="529">
        <v>6</v>
      </c>
      <c r="FB115" s="529"/>
      <c r="FC115" s="529"/>
      <c r="FD115" s="529"/>
      <c r="FE115" s="529"/>
      <c r="FF115" s="529"/>
      <c r="FG115" s="529"/>
      <c r="FH115" s="529"/>
      <c r="FI115" s="529"/>
      <c r="FJ115" s="529">
        <v>18</v>
      </c>
      <c r="FK115" s="529">
        <v>19</v>
      </c>
      <c r="FL115" s="529">
        <v>20</v>
      </c>
      <c r="FM115" s="529">
        <v>21</v>
      </c>
      <c r="FN115" s="529">
        <v>22</v>
      </c>
      <c r="FO115" s="529">
        <v>23</v>
      </c>
      <c r="FP115" s="529">
        <v>24</v>
      </c>
      <c r="FQ115" s="529">
        <v>25</v>
      </c>
      <c r="FR115" s="529">
        <v>26</v>
      </c>
      <c r="FS115" s="529">
        <v>27</v>
      </c>
      <c r="FT115" s="529">
        <v>28</v>
      </c>
      <c r="FU115" s="529">
        <v>29</v>
      </c>
      <c r="FV115" s="529">
        <v>30</v>
      </c>
      <c r="FW115" s="529"/>
      <c r="FX115" s="529"/>
      <c r="FY115" s="529" t="str">
        <f>IFERROR(IF(COUNTIF(Pedidos!$J:$J,FQ$2)&gt;FA115-1,MATCH(FQ$2,Pedidos!$J:$J,0),""),"")</f>
        <v/>
      </c>
      <c r="FZ115" s="529">
        <f>IFERROR(IF(FY115="",0,COUNTIF(Pedidos!$J:$J,Procesos!FQ$2)),"")</f>
        <v>0</v>
      </c>
      <c r="GA115" s="529">
        <v>6</v>
      </c>
      <c r="GB115" s="529"/>
      <c r="GC115" s="529"/>
      <c r="GD115" s="529"/>
      <c r="GE115" s="529"/>
      <c r="GF115" s="529"/>
      <c r="GG115" s="529"/>
      <c r="GH115" s="529"/>
      <c r="GI115" s="529"/>
      <c r="GJ115" s="529">
        <v>18</v>
      </c>
      <c r="GK115" s="529">
        <v>19</v>
      </c>
      <c r="GL115" s="529">
        <v>20</v>
      </c>
      <c r="GM115" s="529">
        <v>21</v>
      </c>
      <c r="GN115" s="529">
        <v>22</v>
      </c>
      <c r="GO115" s="529">
        <v>23</v>
      </c>
      <c r="GP115" s="529">
        <v>24</v>
      </c>
      <c r="GQ115" s="529">
        <v>25</v>
      </c>
      <c r="GR115" s="529">
        <v>26</v>
      </c>
      <c r="GS115" s="529">
        <v>27</v>
      </c>
      <c r="GT115" s="529">
        <v>28</v>
      </c>
      <c r="GU115" s="529">
        <v>29</v>
      </c>
      <c r="GV115" s="529">
        <v>30</v>
      </c>
      <c r="GW115" s="529"/>
      <c r="GX115" s="529"/>
      <c r="GY115" s="529" t="str">
        <f>IFERROR(IF(COUNTIF(Pedidos!$J:$J,GQ$2)&gt;GA115-1,MATCH(GQ$2,Pedidos!$J:$J,0),""),"")</f>
        <v/>
      </c>
      <c r="GZ115" s="529">
        <f>IFERROR(IF(GY115="",0,COUNTIF(Pedidos!$J:$J,Procesos!GQ$2)),"")</f>
        <v>0</v>
      </c>
      <c r="HA115" s="529">
        <v>6</v>
      </c>
      <c r="HB115" s="529"/>
      <c r="HC115" s="529"/>
      <c r="HD115" s="529"/>
      <c r="HE115" s="529"/>
      <c r="HF115" s="529"/>
      <c r="HG115" s="529"/>
      <c r="HH115" s="529"/>
      <c r="HI115" s="529"/>
      <c r="HJ115" s="529">
        <v>18</v>
      </c>
      <c r="HK115" s="529">
        <v>19</v>
      </c>
      <c r="HL115" s="529">
        <v>20</v>
      </c>
      <c r="HM115" s="529">
        <v>21</v>
      </c>
      <c r="HN115" s="529">
        <v>22</v>
      </c>
      <c r="HO115" s="529">
        <v>23</v>
      </c>
      <c r="HP115" s="529">
        <v>24</v>
      </c>
      <c r="HQ115" s="529">
        <v>25</v>
      </c>
      <c r="HR115" s="529">
        <v>26</v>
      </c>
      <c r="HS115" s="529">
        <v>27</v>
      </c>
      <c r="HT115" s="529">
        <v>28</v>
      </c>
      <c r="HU115" s="529">
        <v>29</v>
      </c>
      <c r="HV115" s="529">
        <v>30</v>
      </c>
      <c r="HW115" s="529"/>
      <c r="HX115" s="529"/>
      <c r="HY115" s="529" t="str">
        <f>IFERROR(IF(COUNTIF(Pedidos!$J:$J,HQ$2)&gt;HA115-1,MATCH(HQ$2,Pedidos!$J:$J,0),""),"")</f>
        <v/>
      </c>
      <c r="HZ115" s="529">
        <f>IFERROR(IF(HY115="",0,COUNTIF(Pedidos!$J:$J,Procesos!HQ$2)),"")</f>
        <v>0</v>
      </c>
      <c r="IA115" s="529">
        <v>6</v>
      </c>
      <c r="IB115" s="529"/>
      <c r="IC115" s="529"/>
      <c r="ID115" s="529"/>
      <c r="IE115" s="529"/>
      <c r="IF115" s="529"/>
      <c r="IG115" s="529"/>
      <c r="IH115" s="529"/>
      <c r="II115" s="529"/>
      <c r="IJ115" s="529">
        <v>18</v>
      </c>
      <c r="IK115" s="529">
        <v>19</v>
      </c>
      <c r="IL115" s="529">
        <v>20</v>
      </c>
      <c r="IM115" s="529">
        <v>21</v>
      </c>
      <c r="IN115" s="529">
        <v>22</v>
      </c>
      <c r="IO115" s="529">
        <v>23</v>
      </c>
      <c r="IP115" s="529">
        <v>24</v>
      </c>
      <c r="IQ115" s="529">
        <v>25</v>
      </c>
      <c r="IR115" s="529">
        <v>26</v>
      </c>
      <c r="IS115" s="529">
        <v>27</v>
      </c>
      <c r="IT115" s="529">
        <v>28</v>
      </c>
      <c r="IU115" s="529">
        <v>29</v>
      </c>
      <c r="IV115" s="529">
        <v>30</v>
      </c>
      <c r="IW115" s="529"/>
      <c r="IX115" s="529"/>
      <c r="IY115" s="529" t="str">
        <f>IFERROR(IF(COUNTIF(Pedidos!$J:$J,IQ$2)&gt;IA115-1,MATCH(IQ$2,Pedidos!$J:$J,0),""),"")</f>
        <v/>
      </c>
      <c r="IZ115" s="529">
        <f>IFERROR(IF(IY115="",0,COUNTIF(Pedidos!$J:$J,Procesos!IQ$2)),"")</f>
        <v>0</v>
      </c>
    </row>
    <row r="116" spans="1:260" x14ac:dyDescent="0.25">
      <c r="A116" s="815" t="str">
        <f>IF(Z115&gt;=A115,Q$2 &amp;"     ITEM # "&amp;A115,"")</f>
        <v/>
      </c>
      <c r="B116" s="816"/>
      <c r="C116" s="816"/>
      <c r="D116" s="816"/>
      <c r="E116" s="816"/>
      <c r="F116" s="816"/>
      <c r="G116" s="816"/>
      <c r="H116" s="816"/>
      <c r="I116" s="817"/>
      <c r="J116" s="818" t="str">
        <f>IF(Z115&gt;=A115,$J$6,"")</f>
        <v/>
      </c>
      <c r="K116" s="816"/>
      <c r="L116" s="816"/>
      <c r="M116" s="816"/>
      <c r="N116" s="816"/>
      <c r="O116" s="816"/>
      <c r="P116" s="816"/>
      <c r="Q116" s="816"/>
      <c r="R116" s="816"/>
      <c r="S116" s="816"/>
      <c r="T116" s="816"/>
      <c r="U116" s="816"/>
      <c r="V116" s="816"/>
      <c r="W116" s="816"/>
      <c r="X116" s="816"/>
      <c r="Y116" s="816"/>
      <c r="Z116" s="819"/>
      <c r="AA116" s="815" t="str">
        <f>IF(AZ115&gt;=AA115,AQ$2 &amp;"     ITEM # "&amp;AA115,"")</f>
        <v/>
      </c>
      <c r="AB116" s="816"/>
      <c r="AC116" s="816"/>
      <c r="AD116" s="816"/>
      <c r="AE116" s="816"/>
      <c r="AF116" s="816"/>
      <c r="AG116" s="816"/>
      <c r="AH116" s="816"/>
      <c r="AI116" s="817"/>
      <c r="AJ116" s="818" t="str">
        <f>IF(AZ115&gt;=AA115,$J$6,"")</f>
        <v/>
      </c>
      <c r="AK116" s="816"/>
      <c r="AL116" s="816"/>
      <c r="AM116" s="816"/>
      <c r="AN116" s="816"/>
      <c r="AO116" s="816"/>
      <c r="AP116" s="816"/>
      <c r="AQ116" s="816"/>
      <c r="AR116" s="816"/>
      <c r="AS116" s="816"/>
      <c r="AT116" s="816"/>
      <c r="AU116" s="816"/>
      <c r="AV116" s="816"/>
      <c r="AW116" s="816"/>
      <c r="AX116" s="816"/>
      <c r="AY116" s="816"/>
      <c r="AZ116" s="819"/>
      <c r="BA116" s="815" t="str">
        <f>IF(BZ115&gt;=BA115,BQ$2 &amp;"     ITEM # "&amp;BA115,"")</f>
        <v/>
      </c>
      <c r="BB116" s="816"/>
      <c r="BC116" s="816"/>
      <c r="BD116" s="816"/>
      <c r="BE116" s="816"/>
      <c r="BF116" s="816"/>
      <c r="BG116" s="816"/>
      <c r="BH116" s="816"/>
      <c r="BI116" s="817"/>
      <c r="BJ116" s="818" t="str">
        <f>IF(BZ115&gt;=BA115,$J$6,"")</f>
        <v/>
      </c>
      <c r="BK116" s="816"/>
      <c r="BL116" s="816"/>
      <c r="BM116" s="816"/>
      <c r="BN116" s="816"/>
      <c r="BO116" s="816"/>
      <c r="BP116" s="816"/>
      <c r="BQ116" s="816"/>
      <c r="BR116" s="816"/>
      <c r="BS116" s="816"/>
      <c r="BT116" s="816"/>
      <c r="BU116" s="816"/>
      <c r="BV116" s="816"/>
      <c r="BW116" s="816"/>
      <c r="BX116" s="816"/>
      <c r="BY116" s="816"/>
      <c r="BZ116" s="819"/>
      <c r="CA116" s="815" t="str">
        <f>IF(CZ115&gt;=CA115,CQ$2 &amp;"     ITEM # "&amp;CA115,"")</f>
        <v/>
      </c>
      <c r="CB116" s="816"/>
      <c r="CC116" s="816"/>
      <c r="CD116" s="816"/>
      <c r="CE116" s="816"/>
      <c r="CF116" s="816"/>
      <c r="CG116" s="816"/>
      <c r="CH116" s="816"/>
      <c r="CI116" s="817"/>
      <c r="CJ116" s="818" t="str">
        <f>IF(CZ115&gt;=CA115,$J$6,"")</f>
        <v/>
      </c>
      <c r="CK116" s="816"/>
      <c r="CL116" s="816"/>
      <c r="CM116" s="816"/>
      <c r="CN116" s="816"/>
      <c r="CO116" s="816"/>
      <c r="CP116" s="816"/>
      <c r="CQ116" s="816"/>
      <c r="CR116" s="816"/>
      <c r="CS116" s="816"/>
      <c r="CT116" s="816"/>
      <c r="CU116" s="816"/>
      <c r="CV116" s="816"/>
      <c r="CW116" s="816"/>
      <c r="CX116" s="816"/>
      <c r="CY116" s="816"/>
      <c r="CZ116" s="819"/>
      <c r="DA116" s="815" t="str">
        <f>IF(DZ115&gt;=DA115,DQ$2 &amp;"     ITEM # "&amp;DA115,"")</f>
        <v/>
      </c>
      <c r="DB116" s="816"/>
      <c r="DC116" s="816"/>
      <c r="DD116" s="816"/>
      <c r="DE116" s="816"/>
      <c r="DF116" s="816"/>
      <c r="DG116" s="816"/>
      <c r="DH116" s="816"/>
      <c r="DI116" s="817"/>
      <c r="DJ116" s="818" t="str">
        <f>IF(DZ115&gt;=DA115,$J$6,"")</f>
        <v/>
      </c>
      <c r="DK116" s="816"/>
      <c r="DL116" s="816"/>
      <c r="DM116" s="816"/>
      <c r="DN116" s="816"/>
      <c r="DO116" s="816"/>
      <c r="DP116" s="816"/>
      <c r="DQ116" s="816"/>
      <c r="DR116" s="816"/>
      <c r="DS116" s="816"/>
      <c r="DT116" s="816"/>
      <c r="DU116" s="816"/>
      <c r="DV116" s="816"/>
      <c r="DW116" s="816"/>
      <c r="DX116" s="816"/>
      <c r="DY116" s="816"/>
      <c r="DZ116" s="819"/>
      <c r="EA116" s="815" t="str">
        <f>IF(EZ115&gt;=EA115,EQ$2 &amp;"     ITEM # "&amp;EA115,"")</f>
        <v/>
      </c>
      <c r="EB116" s="816"/>
      <c r="EC116" s="816"/>
      <c r="ED116" s="816"/>
      <c r="EE116" s="816"/>
      <c r="EF116" s="816"/>
      <c r="EG116" s="816"/>
      <c r="EH116" s="816"/>
      <c r="EI116" s="817"/>
      <c r="EJ116" s="818" t="str">
        <f>IF(EZ115&gt;=EA115,$J$6,"")</f>
        <v/>
      </c>
      <c r="EK116" s="816"/>
      <c r="EL116" s="816"/>
      <c r="EM116" s="816"/>
      <c r="EN116" s="816"/>
      <c r="EO116" s="816"/>
      <c r="EP116" s="816"/>
      <c r="EQ116" s="816"/>
      <c r="ER116" s="816"/>
      <c r="ES116" s="816"/>
      <c r="ET116" s="816"/>
      <c r="EU116" s="816"/>
      <c r="EV116" s="816"/>
      <c r="EW116" s="816"/>
      <c r="EX116" s="816"/>
      <c r="EY116" s="816"/>
      <c r="EZ116" s="819"/>
      <c r="FA116" s="815" t="str">
        <f>IF(FZ115&gt;=FA115,FQ$2 &amp;"     ITEM # "&amp;FA115,"")</f>
        <v/>
      </c>
      <c r="FB116" s="816"/>
      <c r="FC116" s="816"/>
      <c r="FD116" s="816"/>
      <c r="FE116" s="816"/>
      <c r="FF116" s="816"/>
      <c r="FG116" s="816"/>
      <c r="FH116" s="816"/>
      <c r="FI116" s="817"/>
      <c r="FJ116" s="818" t="str">
        <f>IF(FZ115&gt;=FA115,$J$6,"")</f>
        <v/>
      </c>
      <c r="FK116" s="816"/>
      <c r="FL116" s="816"/>
      <c r="FM116" s="816"/>
      <c r="FN116" s="816"/>
      <c r="FO116" s="816"/>
      <c r="FP116" s="816"/>
      <c r="FQ116" s="816"/>
      <c r="FR116" s="816"/>
      <c r="FS116" s="816"/>
      <c r="FT116" s="816"/>
      <c r="FU116" s="816"/>
      <c r="FV116" s="816"/>
      <c r="FW116" s="816"/>
      <c r="FX116" s="816"/>
      <c r="FY116" s="816"/>
      <c r="FZ116" s="819"/>
      <c r="GA116" s="815" t="str">
        <f>IF(GZ115&gt;=GA115,GQ$2 &amp;"     ITEM # "&amp;GA115,"")</f>
        <v/>
      </c>
      <c r="GB116" s="816"/>
      <c r="GC116" s="816"/>
      <c r="GD116" s="816"/>
      <c r="GE116" s="816"/>
      <c r="GF116" s="816"/>
      <c r="GG116" s="816"/>
      <c r="GH116" s="816"/>
      <c r="GI116" s="817"/>
      <c r="GJ116" s="818" t="str">
        <f>IF(GZ115&gt;=GA115,$J$6,"")</f>
        <v/>
      </c>
      <c r="GK116" s="816"/>
      <c r="GL116" s="816"/>
      <c r="GM116" s="816"/>
      <c r="GN116" s="816"/>
      <c r="GO116" s="816"/>
      <c r="GP116" s="816"/>
      <c r="GQ116" s="816"/>
      <c r="GR116" s="816"/>
      <c r="GS116" s="816"/>
      <c r="GT116" s="816"/>
      <c r="GU116" s="816"/>
      <c r="GV116" s="816"/>
      <c r="GW116" s="816"/>
      <c r="GX116" s="816"/>
      <c r="GY116" s="816"/>
      <c r="GZ116" s="819"/>
      <c r="HA116" s="815" t="str">
        <f>IF(HZ115&gt;=HA115,HQ$2 &amp;"     ITEM # "&amp;HA115,"")</f>
        <v/>
      </c>
      <c r="HB116" s="816"/>
      <c r="HC116" s="816"/>
      <c r="HD116" s="816"/>
      <c r="HE116" s="816"/>
      <c r="HF116" s="816"/>
      <c r="HG116" s="816"/>
      <c r="HH116" s="816"/>
      <c r="HI116" s="817"/>
      <c r="HJ116" s="818" t="str">
        <f>IF(HZ115&gt;=HA115,$J$6,"")</f>
        <v/>
      </c>
      <c r="HK116" s="816"/>
      <c r="HL116" s="816"/>
      <c r="HM116" s="816"/>
      <c r="HN116" s="816"/>
      <c r="HO116" s="816"/>
      <c r="HP116" s="816"/>
      <c r="HQ116" s="816"/>
      <c r="HR116" s="816"/>
      <c r="HS116" s="816"/>
      <c r="HT116" s="816"/>
      <c r="HU116" s="816"/>
      <c r="HV116" s="816"/>
      <c r="HW116" s="816"/>
      <c r="HX116" s="816"/>
      <c r="HY116" s="816"/>
      <c r="HZ116" s="819"/>
      <c r="IA116" s="815" t="str">
        <f>IF(IZ115&gt;=IA115,IQ$2 &amp;"     ITEM # "&amp;IA115,"")</f>
        <v/>
      </c>
      <c r="IB116" s="816"/>
      <c r="IC116" s="816"/>
      <c r="ID116" s="816"/>
      <c r="IE116" s="816"/>
      <c r="IF116" s="816"/>
      <c r="IG116" s="816"/>
      <c r="IH116" s="816"/>
      <c r="II116" s="817"/>
      <c r="IJ116" s="818" t="str">
        <f>IF(IZ115&gt;=IA115,$J$6,"")</f>
        <v/>
      </c>
      <c r="IK116" s="816"/>
      <c r="IL116" s="816"/>
      <c r="IM116" s="816"/>
      <c r="IN116" s="816"/>
      <c r="IO116" s="816"/>
      <c r="IP116" s="816"/>
      <c r="IQ116" s="816"/>
      <c r="IR116" s="816"/>
      <c r="IS116" s="816"/>
      <c r="IT116" s="816"/>
      <c r="IU116" s="816"/>
      <c r="IV116" s="816"/>
      <c r="IW116" s="816"/>
      <c r="IX116" s="816"/>
      <c r="IY116" s="816"/>
      <c r="IZ116" s="819"/>
    </row>
    <row r="117" spans="1:260" x14ac:dyDescent="0.25">
      <c r="A117" s="848" t="str">
        <f>IFERROR(INDEX(Lista_Pedidos,Procesos!Y115+A115-1,5),"")</f>
        <v/>
      </c>
      <c r="B117" s="843"/>
      <c r="C117" s="843"/>
      <c r="D117" s="843"/>
      <c r="E117" s="843"/>
      <c r="F117" s="843"/>
      <c r="G117" s="843"/>
      <c r="H117" s="843"/>
      <c r="I117" s="844"/>
      <c r="J117" s="842" t="str">
        <f>IF(Z115&gt;=A115,$J$7,"")</f>
        <v/>
      </c>
      <c r="K117" s="843"/>
      <c r="L117" s="844"/>
      <c r="M117" s="842" t="str">
        <f>IF(Z115&gt;=A115,$M$7,"")</f>
        <v/>
      </c>
      <c r="N117" s="843"/>
      <c r="O117" s="844"/>
      <c r="P117" s="842" t="str">
        <f>IF(Z115&gt;=A115,$P$7,"")</f>
        <v/>
      </c>
      <c r="Q117" s="843"/>
      <c r="R117" s="843"/>
      <c r="S117" s="843"/>
      <c r="T117" s="843"/>
      <c r="U117" s="844"/>
      <c r="V117" s="834" t="str">
        <f>IF(Z115&gt;=A115,$V$7,"")</f>
        <v/>
      </c>
      <c r="W117" s="842" t="str">
        <f>IF(Z115&gt;=A115,$W$7,"")</f>
        <v/>
      </c>
      <c r="X117" s="843"/>
      <c r="Y117" s="843"/>
      <c r="Z117" s="850"/>
      <c r="AA117" s="848" t="str">
        <f>IFERROR(INDEX(Lista_Pedidos,Procesos!AY115+AA115-1,5),"")</f>
        <v/>
      </c>
      <c r="AB117" s="843"/>
      <c r="AC117" s="843"/>
      <c r="AD117" s="843"/>
      <c r="AE117" s="843"/>
      <c r="AF117" s="843"/>
      <c r="AG117" s="843"/>
      <c r="AH117" s="843"/>
      <c r="AI117" s="844"/>
      <c r="AJ117" s="842" t="str">
        <f>IF(AZ115&gt;=AA115,$J$7,"")</f>
        <v/>
      </c>
      <c r="AK117" s="843"/>
      <c r="AL117" s="844"/>
      <c r="AM117" s="842" t="str">
        <f>IF(AZ115&gt;=AA115,$M$7,"")</f>
        <v/>
      </c>
      <c r="AN117" s="843"/>
      <c r="AO117" s="844"/>
      <c r="AP117" s="842" t="str">
        <f>IF(AZ115&gt;=AA115,$P$7,"")</f>
        <v/>
      </c>
      <c r="AQ117" s="843"/>
      <c r="AR117" s="843"/>
      <c r="AS117" s="843"/>
      <c r="AT117" s="843"/>
      <c r="AU117" s="844"/>
      <c r="AV117" s="834" t="str">
        <f>IF(AZ115&gt;=AA115,$V$7,"")</f>
        <v/>
      </c>
      <c r="AW117" s="842" t="str">
        <f>IF(AZ115&gt;=AA115,$W$7,"")</f>
        <v/>
      </c>
      <c r="AX117" s="843"/>
      <c r="AY117" s="843"/>
      <c r="AZ117" s="850"/>
      <c r="BA117" s="848" t="str">
        <f>IFERROR(INDEX(Lista_Pedidos,Procesos!BY115+BA115-1,5),"")</f>
        <v/>
      </c>
      <c r="BB117" s="843"/>
      <c r="BC117" s="843"/>
      <c r="BD117" s="843"/>
      <c r="BE117" s="843"/>
      <c r="BF117" s="843"/>
      <c r="BG117" s="843"/>
      <c r="BH117" s="843"/>
      <c r="BI117" s="844"/>
      <c r="BJ117" s="842" t="str">
        <f>IF(BZ115&gt;=BA115,$J$7,"")</f>
        <v/>
      </c>
      <c r="BK117" s="843"/>
      <c r="BL117" s="844"/>
      <c r="BM117" s="842" t="str">
        <f>IF(BZ115&gt;=BA115,$M$7,"")</f>
        <v/>
      </c>
      <c r="BN117" s="843"/>
      <c r="BO117" s="844"/>
      <c r="BP117" s="842" t="str">
        <f>IF(BZ115&gt;=BA115,$P$7,"")</f>
        <v/>
      </c>
      <c r="BQ117" s="843"/>
      <c r="BR117" s="843"/>
      <c r="BS117" s="843"/>
      <c r="BT117" s="843"/>
      <c r="BU117" s="844"/>
      <c r="BV117" s="834" t="str">
        <f>IF(BZ115&gt;=BA115,$V$7,"")</f>
        <v/>
      </c>
      <c r="BW117" s="842" t="str">
        <f>IF(BZ115&gt;=BA115,$W$7,"")</f>
        <v/>
      </c>
      <c r="BX117" s="843"/>
      <c r="BY117" s="843"/>
      <c r="BZ117" s="850"/>
      <c r="CA117" s="848" t="str">
        <f>IFERROR(INDEX(Lista_Pedidos,Procesos!CY115+CA115-1,5),"")</f>
        <v/>
      </c>
      <c r="CB117" s="843"/>
      <c r="CC117" s="843"/>
      <c r="CD117" s="843"/>
      <c r="CE117" s="843"/>
      <c r="CF117" s="843"/>
      <c r="CG117" s="843"/>
      <c r="CH117" s="843"/>
      <c r="CI117" s="844"/>
      <c r="CJ117" s="842" t="str">
        <f>IF(CZ115&gt;=CA115,$J$7,"")</f>
        <v/>
      </c>
      <c r="CK117" s="843"/>
      <c r="CL117" s="844"/>
      <c r="CM117" s="842" t="str">
        <f>IF(CZ115&gt;=CA115,$M$7,"")</f>
        <v/>
      </c>
      <c r="CN117" s="843"/>
      <c r="CO117" s="844"/>
      <c r="CP117" s="842" t="str">
        <f>IF(CZ115&gt;=CA115,$P$7,"")</f>
        <v/>
      </c>
      <c r="CQ117" s="843"/>
      <c r="CR117" s="843"/>
      <c r="CS117" s="843"/>
      <c r="CT117" s="843"/>
      <c r="CU117" s="844"/>
      <c r="CV117" s="834" t="str">
        <f>IF(CZ115&gt;=CA115,$V$7,"")</f>
        <v/>
      </c>
      <c r="CW117" s="842" t="str">
        <f>IF(CZ115&gt;=CA115,$W$7,"")</f>
        <v/>
      </c>
      <c r="CX117" s="843"/>
      <c r="CY117" s="843"/>
      <c r="CZ117" s="850"/>
      <c r="DA117" s="848" t="str">
        <f>IFERROR(INDEX(Lista_Pedidos,Procesos!DY115+DA115-1,5),"")</f>
        <v/>
      </c>
      <c r="DB117" s="843"/>
      <c r="DC117" s="843"/>
      <c r="DD117" s="843"/>
      <c r="DE117" s="843"/>
      <c r="DF117" s="843"/>
      <c r="DG117" s="843"/>
      <c r="DH117" s="843"/>
      <c r="DI117" s="844"/>
      <c r="DJ117" s="842" t="str">
        <f>IF(DZ115&gt;=DA115,$J$7,"")</f>
        <v/>
      </c>
      <c r="DK117" s="843"/>
      <c r="DL117" s="844"/>
      <c r="DM117" s="842" t="str">
        <f>IF(DZ115&gt;=DA115,$M$7,"")</f>
        <v/>
      </c>
      <c r="DN117" s="843"/>
      <c r="DO117" s="844"/>
      <c r="DP117" s="842" t="str">
        <f>IF(DZ115&gt;=DA115,$P$7,"")</f>
        <v/>
      </c>
      <c r="DQ117" s="843"/>
      <c r="DR117" s="843"/>
      <c r="DS117" s="843"/>
      <c r="DT117" s="843"/>
      <c r="DU117" s="844"/>
      <c r="DV117" s="834" t="str">
        <f>IF(DZ115&gt;=DA115,$V$7,"")</f>
        <v/>
      </c>
      <c r="DW117" s="842" t="str">
        <f>IF(DZ115&gt;=DA115,$W$7,"")</f>
        <v/>
      </c>
      <c r="DX117" s="843"/>
      <c r="DY117" s="843"/>
      <c r="DZ117" s="850"/>
      <c r="EA117" s="848" t="str">
        <f>IFERROR(INDEX(Lista_Pedidos,Procesos!EY115+EA115-1,5),"")</f>
        <v/>
      </c>
      <c r="EB117" s="843"/>
      <c r="EC117" s="843"/>
      <c r="ED117" s="843"/>
      <c r="EE117" s="843"/>
      <c r="EF117" s="843"/>
      <c r="EG117" s="843"/>
      <c r="EH117" s="843"/>
      <c r="EI117" s="844"/>
      <c r="EJ117" s="842" t="str">
        <f>IF(EZ115&gt;=EA115,$J$7,"")</f>
        <v/>
      </c>
      <c r="EK117" s="843"/>
      <c r="EL117" s="844"/>
      <c r="EM117" s="842" t="str">
        <f>IF(EZ115&gt;=EA115,$M$7,"")</f>
        <v/>
      </c>
      <c r="EN117" s="843"/>
      <c r="EO117" s="844"/>
      <c r="EP117" s="842" t="str">
        <f>IF(EZ115&gt;=EA115,$P$7,"")</f>
        <v/>
      </c>
      <c r="EQ117" s="843"/>
      <c r="ER117" s="843"/>
      <c r="ES117" s="843"/>
      <c r="ET117" s="843"/>
      <c r="EU117" s="844"/>
      <c r="EV117" s="834" t="str">
        <f>IF(EZ115&gt;=EA115,$V$7,"")</f>
        <v/>
      </c>
      <c r="EW117" s="842" t="str">
        <f>IF(EZ115&gt;=EA115,$W$7,"")</f>
        <v/>
      </c>
      <c r="EX117" s="843"/>
      <c r="EY117" s="843"/>
      <c r="EZ117" s="850"/>
      <c r="FA117" s="848" t="str">
        <f>IFERROR(INDEX(Lista_Pedidos,Procesos!FY115+FA115-1,5),"")</f>
        <v/>
      </c>
      <c r="FB117" s="843"/>
      <c r="FC117" s="843"/>
      <c r="FD117" s="843"/>
      <c r="FE117" s="843"/>
      <c r="FF117" s="843"/>
      <c r="FG117" s="843"/>
      <c r="FH117" s="843"/>
      <c r="FI117" s="844"/>
      <c r="FJ117" s="842" t="str">
        <f>IF(FZ115&gt;=FA115,$J$7,"")</f>
        <v/>
      </c>
      <c r="FK117" s="843"/>
      <c r="FL117" s="844"/>
      <c r="FM117" s="842" t="str">
        <f>IF(FZ115&gt;=FA115,$M$7,"")</f>
        <v/>
      </c>
      <c r="FN117" s="843"/>
      <c r="FO117" s="844"/>
      <c r="FP117" s="842" t="str">
        <f>IF(FZ115&gt;=FA115,$P$7,"")</f>
        <v/>
      </c>
      <c r="FQ117" s="843"/>
      <c r="FR117" s="843"/>
      <c r="FS117" s="843"/>
      <c r="FT117" s="843"/>
      <c r="FU117" s="844"/>
      <c r="FV117" s="834" t="str">
        <f>IF(FZ115&gt;=FA115,$V$7,"")</f>
        <v/>
      </c>
      <c r="FW117" s="842" t="str">
        <f>IF(FZ115&gt;=FA115,$W$7,"")</f>
        <v/>
      </c>
      <c r="FX117" s="843"/>
      <c r="FY117" s="843"/>
      <c r="FZ117" s="850"/>
      <c r="GA117" s="848" t="str">
        <f>IFERROR(INDEX(Lista_Pedidos,Procesos!GY115+GA115-1,5),"")</f>
        <v/>
      </c>
      <c r="GB117" s="843"/>
      <c r="GC117" s="843"/>
      <c r="GD117" s="843"/>
      <c r="GE117" s="843"/>
      <c r="GF117" s="843"/>
      <c r="GG117" s="843"/>
      <c r="GH117" s="843"/>
      <c r="GI117" s="844"/>
      <c r="GJ117" s="842" t="str">
        <f>IF(GZ115&gt;=GA115,$J$7,"")</f>
        <v/>
      </c>
      <c r="GK117" s="843"/>
      <c r="GL117" s="844"/>
      <c r="GM117" s="842" t="str">
        <f>IF(GZ115&gt;=GA115,$M$7,"")</f>
        <v/>
      </c>
      <c r="GN117" s="843"/>
      <c r="GO117" s="844"/>
      <c r="GP117" s="842" t="str">
        <f>IF(GZ115&gt;=GA115,$P$7,"")</f>
        <v/>
      </c>
      <c r="GQ117" s="843"/>
      <c r="GR117" s="843"/>
      <c r="GS117" s="843"/>
      <c r="GT117" s="843"/>
      <c r="GU117" s="844"/>
      <c r="GV117" s="834" t="str">
        <f>IF(GZ115&gt;=GA115,$V$7,"")</f>
        <v/>
      </c>
      <c r="GW117" s="842" t="str">
        <f>IF(GZ115&gt;=GA115,$W$7,"")</f>
        <v/>
      </c>
      <c r="GX117" s="843"/>
      <c r="GY117" s="843"/>
      <c r="GZ117" s="850"/>
      <c r="HA117" s="848" t="str">
        <f>IFERROR(INDEX(Lista_Pedidos,Procesos!HY115+HA115-1,5),"")</f>
        <v/>
      </c>
      <c r="HB117" s="843"/>
      <c r="HC117" s="843"/>
      <c r="HD117" s="843"/>
      <c r="HE117" s="843"/>
      <c r="HF117" s="843"/>
      <c r="HG117" s="843"/>
      <c r="HH117" s="843"/>
      <c r="HI117" s="844"/>
      <c r="HJ117" s="842" t="str">
        <f>IF(HZ115&gt;=HA115,$J$7,"")</f>
        <v/>
      </c>
      <c r="HK117" s="843"/>
      <c r="HL117" s="844"/>
      <c r="HM117" s="842" t="str">
        <f>IF(HZ115&gt;=HA115,$M$7,"")</f>
        <v/>
      </c>
      <c r="HN117" s="843"/>
      <c r="HO117" s="844"/>
      <c r="HP117" s="842" t="str">
        <f>IF(HZ115&gt;=HA115,$P$7,"")</f>
        <v/>
      </c>
      <c r="HQ117" s="843"/>
      <c r="HR117" s="843"/>
      <c r="HS117" s="843"/>
      <c r="HT117" s="843"/>
      <c r="HU117" s="844"/>
      <c r="HV117" s="834" t="str">
        <f>IF(HZ115&gt;=HA115,$V$7,"")</f>
        <v/>
      </c>
      <c r="HW117" s="842" t="str">
        <f>IF(HZ115&gt;=HA115,$W$7,"")</f>
        <v/>
      </c>
      <c r="HX117" s="843"/>
      <c r="HY117" s="843"/>
      <c r="HZ117" s="850"/>
      <c r="IA117" s="848" t="str">
        <f>IFERROR(INDEX(Lista_Pedidos,Procesos!IY115+IA115-1,5),"")</f>
        <v/>
      </c>
      <c r="IB117" s="843"/>
      <c r="IC117" s="843"/>
      <c r="ID117" s="843"/>
      <c r="IE117" s="843"/>
      <c r="IF117" s="843"/>
      <c r="IG117" s="843"/>
      <c r="IH117" s="843"/>
      <c r="II117" s="844"/>
      <c r="IJ117" s="842" t="str">
        <f>IF(IZ115&gt;=IA115,$J$7,"")</f>
        <v/>
      </c>
      <c r="IK117" s="843"/>
      <c r="IL117" s="844"/>
      <c r="IM117" s="842" t="str">
        <f>IF(IZ115&gt;=IA115,$M$7,"")</f>
        <v/>
      </c>
      <c r="IN117" s="843"/>
      <c r="IO117" s="844"/>
      <c r="IP117" s="842" t="str">
        <f>IF(IZ115&gt;=IA115,$P$7,"")</f>
        <v/>
      </c>
      <c r="IQ117" s="843"/>
      <c r="IR117" s="843"/>
      <c r="IS117" s="843"/>
      <c r="IT117" s="843"/>
      <c r="IU117" s="844"/>
      <c r="IV117" s="834" t="str">
        <f>IF(IZ115&gt;=IA115,$V$7,"")</f>
        <v/>
      </c>
      <c r="IW117" s="842" t="str">
        <f>IF(IZ115&gt;=IA115,$W$7,"")</f>
        <v/>
      </c>
      <c r="IX117" s="843"/>
      <c r="IY117" s="843"/>
      <c r="IZ117" s="850"/>
    </row>
    <row r="118" spans="1:260" ht="15" customHeight="1" x14ac:dyDescent="0.25">
      <c r="A118" s="849"/>
      <c r="B118" s="846"/>
      <c r="C118" s="846"/>
      <c r="D118" s="846"/>
      <c r="E118" s="846"/>
      <c r="F118" s="846"/>
      <c r="G118" s="846"/>
      <c r="H118" s="846"/>
      <c r="I118" s="847"/>
      <c r="J118" s="845"/>
      <c r="K118" s="846"/>
      <c r="L118" s="847"/>
      <c r="M118" s="845"/>
      <c r="N118" s="846"/>
      <c r="O118" s="847"/>
      <c r="P118" s="845"/>
      <c r="Q118" s="846"/>
      <c r="R118" s="846"/>
      <c r="S118" s="846"/>
      <c r="T118" s="846"/>
      <c r="U118" s="847"/>
      <c r="V118" s="835"/>
      <c r="W118" s="845"/>
      <c r="X118" s="846"/>
      <c r="Y118" s="846"/>
      <c r="Z118" s="851"/>
      <c r="AA118" s="849"/>
      <c r="AB118" s="846"/>
      <c r="AC118" s="846"/>
      <c r="AD118" s="846"/>
      <c r="AE118" s="846"/>
      <c r="AF118" s="846"/>
      <c r="AG118" s="846"/>
      <c r="AH118" s="846"/>
      <c r="AI118" s="847"/>
      <c r="AJ118" s="845"/>
      <c r="AK118" s="846"/>
      <c r="AL118" s="847"/>
      <c r="AM118" s="845"/>
      <c r="AN118" s="846"/>
      <c r="AO118" s="847"/>
      <c r="AP118" s="845"/>
      <c r="AQ118" s="846"/>
      <c r="AR118" s="846"/>
      <c r="AS118" s="846"/>
      <c r="AT118" s="846"/>
      <c r="AU118" s="847"/>
      <c r="AV118" s="835"/>
      <c r="AW118" s="845"/>
      <c r="AX118" s="846"/>
      <c r="AY118" s="846"/>
      <c r="AZ118" s="851"/>
      <c r="BA118" s="849"/>
      <c r="BB118" s="846"/>
      <c r="BC118" s="846"/>
      <c r="BD118" s="846"/>
      <c r="BE118" s="846"/>
      <c r="BF118" s="846"/>
      <c r="BG118" s="846"/>
      <c r="BH118" s="846"/>
      <c r="BI118" s="847"/>
      <c r="BJ118" s="845"/>
      <c r="BK118" s="846"/>
      <c r="BL118" s="847"/>
      <c r="BM118" s="845"/>
      <c r="BN118" s="846"/>
      <c r="BO118" s="847"/>
      <c r="BP118" s="845"/>
      <c r="BQ118" s="846"/>
      <c r="BR118" s="846"/>
      <c r="BS118" s="846"/>
      <c r="BT118" s="846"/>
      <c r="BU118" s="847"/>
      <c r="BV118" s="835"/>
      <c r="BW118" s="845"/>
      <c r="BX118" s="846"/>
      <c r="BY118" s="846"/>
      <c r="BZ118" s="851"/>
      <c r="CA118" s="849"/>
      <c r="CB118" s="846"/>
      <c r="CC118" s="846"/>
      <c r="CD118" s="846"/>
      <c r="CE118" s="846"/>
      <c r="CF118" s="846"/>
      <c r="CG118" s="846"/>
      <c r="CH118" s="846"/>
      <c r="CI118" s="847"/>
      <c r="CJ118" s="845"/>
      <c r="CK118" s="846"/>
      <c r="CL118" s="847"/>
      <c r="CM118" s="845"/>
      <c r="CN118" s="846"/>
      <c r="CO118" s="847"/>
      <c r="CP118" s="845"/>
      <c r="CQ118" s="846"/>
      <c r="CR118" s="846"/>
      <c r="CS118" s="846"/>
      <c r="CT118" s="846"/>
      <c r="CU118" s="847"/>
      <c r="CV118" s="835"/>
      <c r="CW118" s="845"/>
      <c r="CX118" s="846"/>
      <c r="CY118" s="846"/>
      <c r="CZ118" s="851"/>
      <c r="DA118" s="849"/>
      <c r="DB118" s="846"/>
      <c r="DC118" s="846"/>
      <c r="DD118" s="846"/>
      <c r="DE118" s="846"/>
      <c r="DF118" s="846"/>
      <c r="DG118" s="846"/>
      <c r="DH118" s="846"/>
      <c r="DI118" s="847"/>
      <c r="DJ118" s="845"/>
      <c r="DK118" s="846"/>
      <c r="DL118" s="847"/>
      <c r="DM118" s="845"/>
      <c r="DN118" s="846"/>
      <c r="DO118" s="847"/>
      <c r="DP118" s="845"/>
      <c r="DQ118" s="846"/>
      <c r="DR118" s="846"/>
      <c r="DS118" s="846"/>
      <c r="DT118" s="846"/>
      <c r="DU118" s="847"/>
      <c r="DV118" s="835"/>
      <c r="DW118" s="845"/>
      <c r="DX118" s="846"/>
      <c r="DY118" s="846"/>
      <c r="DZ118" s="851"/>
      <c r="EA118" s="849"/>
      <c r="EB118" s="846"/>
      <c r="EC118" s="846"/>
      <c r="ED118" s="846"/>
      <c r="EE118" s="846"/>
      <c r="EF118" s="846"/>
      <c r="EG118" s="846"/>
      <c r="EH118" s="846"/>
      <c r="EI118" s="847"/>
      <c r="EJ118" s="845"/>
      <c r="EK118" s="846"/>
      <c r="EL118" s="847"/>
      <c r="EM118" s="845"/>
      <c r="EN118" s="846"/>
      <c r="EO118" s="847"/>
      <c r="EP118" s="845"/>
      <c r="EQ118" s="846"/>
      <c r="ER118" s="846"/>
      <c r="ES118" s="846"/>
      <c r="ET118" s="846"/>
      <c r="EU118" s="847"/>
      <c r="EV118" s="835"/>
      <c r="EW118" s="845"/>
      <c r="EX118" s="846"/>
      <c r="EY118" s="846"/>
      <c r="EZ118" s="851"/>
      <c r="FA118" s="849"/>
      <c r="FB118" s="846"/>
      <c r="FC118" s="846"/>
      <c r="FD118" s="846"/>
      <c r="FE118" s="846"/>
      <c r="FF118" s="846"/>
      <c r="FG118" s="846"/>
      <c r="FH118" s="846"/>
      <c r="FI118" s="847"/>
      <c r="FJ118" s="845"/>
      <c r="FK118" s="846"/>
      <c r="FL118" s="847"/>
      <c r="FM118" s="845"/>
      <c r="FN118" s="846"/>
      <c r="FO118" s="847"/>
      <c r="FP118" s="845"/>
      <c r="FQ118" s="846"/>
      <c r="FR118" s="846"/>
      <c r="FS118" s="846"/>
      <c r="FT118" s="846"/>
      <c r="FU118" s="847"/>
      <c r="FV118" s="835"/>
      <c r="FW118" s="845"/>
      <c r="FX118" s="846"/>
      <c r="FY118" s="846"/>
      <c r="FZ118" s="851"/>
      <c r="GA118" s="849"/>
      <c r="GB118" s="846"/>
      <c r="GC118" s="846"/>
      <c r="GD118" s="846"/>
      <c r="GE118" s="846"/>
      <c r="GF118" s="846"/>
      <c r="GG118" s="846"/>
      <c r="GH118" s="846"/>
      <c r="GI118" s="847"/>
      <c r="GJ118" s="845"/>
      <c r="GK118" s="846"/>
      <c r="GL118" s="847"/>
      <c r="GM118" s="845"/>
      <c r="GN118" s="846"/>
      <c r="GO118" s="847"/>
      <c r="GP118" s="845"/>
      <c r="GQ118" s="846"/>
      <c r="GR118" s="846"/>
      <c r="GS118" s="846"/>
      <c r="GT118" s="846"/>
      <c r="GU118" s="847"/>
      <c r="GV118" s="835"/>
      <c r="GW118" s="845"/>
      <c r="GX118" s="846"/>
      <c r="GY118" s="846"/>
      <c r="GZ118" s="851"/>
      <c r="HA118" s="849"/>
      <c r="HB118" s="846"/>
      <c r="HC118" s="846"/>
      <c r="HD118" s="846"/>
      <c r="HE118" s="846"/>
      <c r="HF118" s="846"/>
      <c r="HG118" s="846"/>
      <c r="HH118" s="846"/>
      <c r="HI118" s="847"/>
      <c r="HJ118" s="845"/>
      <c r="HK118" s="846"/>
      <c r="HL118" s="847"/>
      <c r="HM118" s="845"/>
      <c r="HN118" s="846"/>
      <c r="HO118" s="847"/>
      <c r="HP118" s="845"/>
      <c r="HQ118" s="846"/>
      <c r="HR118" s="846"/>
      <c r="HS118" s="846"/>
      <c r="HT118" s="846"/>
      <c r="HU118" s="847"/>
      <c r="HV118" s="835"/>
      <c r="HW118" s="845"/>
      <c r="HX118" s="846"/>
      <c r="HY118" s="846"/>
      <c r="HZ118" s="851"/>
      <c r="IA118" s="849"/>
      <c r="IB118" s="846"/>
      <c r="IC118" s="846"/>
      <c r="ID118" s="846"/>
      <c r="IE118" s="846"/>
      <c r="IF118" s="846"/>
      <c r="IG118" s="846"/>
      <c r="IH118" s="846"/>
      <c r="II118" s="847"/>
      <c r="IJ118" s="845"/>
      <c r="IK118" s="846"/>
      <c r="IL118" s="847"/>
      <c r="IM118" s="845"/>
      <c r="IN118" s="846"/>
      <c r="IO118" s="847"/>
      <c r="IP118" s="845"/>
      <c r="IQ118" s="846"/>
      <c r="IR118" s="846"/>
      <c r="IS118" s="846"/>
      <c r="IT118" s="846"/>
      <c r="IU118" s="847"/>
      <c r="IV118" s="835"/>
      <c r="IW118" s="845"/>
      <c r="IX118" s="846"/>
      <c r="IY118" s="846"/>
      <c r="IZ118" s="851"/>
    </row>
    <row r="119" spans="1:260" ht="15" customHeight="1" x14ac:dyDescent="0.25">
      <c r="A119" s="858" t="str">
        <f>IF(Z115&gt;=A115,$A$9,"")</f>
        <v/>
      </c>
      <c r="B119" s="806"/>
      <c r="C119" s="806"/>
      <c r="D119" s="806"/>
      <c r="E119" s="852"/>
      <c r="F119" s="805" t="str">
        <f>IF(Z115&gt;=A115,$F$9,"")</f>
        <v/>
      </c>
      <c r="G119" s="806"/>
      <c r="H119" s="806"/>
      <c r="I119" s="852"/>
      <c r="J119" s="811" t="str">
        <f>IF(Z115&gt;=A115,$J$9,"")</f>
        <v/>
      </c>
      <c r="K119" s="803" t="str">
        <f>IF(Z115&gt;=A115,$K$9,"")</f>
        <v/>
      </c>
      <c r="L119" s="803" t="str">
        <f>IF(Z115&gt;=A115,$L$9,"")</f>
        <v/>
      </c>
      <c r="M119" s="803" t="str">
        <f>IF(Z115&gt;=A115,$M$9,"")</f>
        <v/>
      </c>
      <c r="N119" s="803" t="str">
        <f>IF(Z115&gt;=A115,$N$9,"")</f>
        <v/>
      </c>
      <c r="O119" s="803" t="str">
        <f>IF(Z115&gt;=A115,$O$9,"")</f>
        <v/>
      </c>
      <c r="P119" s="803" t="str">
        <f>IF(Z115&gt;=A115,$P$9,"")</f>
        <v/>
      </c>
      <c r="Q119" s="803" t="str">
        <f>IF(Z115&gt;=A115,$Q$9,"")</f>
        <v/>
      </c>
      <c r="R119" s="803" t="str">
        <f>IF(Z115&gt;=A115,$R$9,"")</f>
        <v/>
      </c>
      <c r="S119" s="803" t="str">
        <f>IF(Z115&gt;=A115,$S$9,"")</f>
        <v/>
      </c>
      <c r="T119" s="803" t="str">
        <f>IF(Z115&gt;=A115,$T$9,"")</f>
        <v/>
      </c>
      <c r="U119" s="803" t="str">
        <f>IF(Z115&gt;=A115,$U$9,"")</f>
        <v/>
      </c>
      <c r="V119" s="803" t="str">
        <f>IF(Z115&gt;=A115,$V$9,"")</f>
        <v/>
      </c>
      <c r="W119" s="805" t="str">
        <f>IF(Z115&gt;=A115,$W$9,"")</f>
        <v/>
      </c>
      <c r="X119" s="806"/>
      <c r="Y119" s="806"/>
      <c r="Z119" s="807"/>
      <c r="AA119" s="858" t="str">
        <f>IF(AZ115&gt;=AA115,$A$9,"")</f>
        <v/>
      </c>
      <c r="AB119" s="806"/>
      <c r="AC119" s="806"/>
      <c r="AD119" s="806"/>
      <c r="AE119" s="852"/>
      <c r="AF119" s="805" t="str">
        <f>IF(AZ115&gt;=AA115,$F$9,"")</f>
        <v/>
      </c>
      <c r="AG119" s="806"/>
      <c r="AH119" s="806"/>
      <c r="AI119" s="852"/>
      <c r="AJ119" s="811" t="str">
        <f>IF(AZ115&gt;=AA115,$J$9,"")</f>
        <v/>
      </c>
      <c r="AK119" s="803" t="str">
        <f>IF(AZ115&gt;=AA115,$K$9,"")</f>
        <v/>
      </c>
      <c r="AL119" s="803" t="str">
        <f>IF(AZ115&gt;=AA115,$L$9,"")</f>
        <v/>
      </c>
      <c r="AM119" s="803" t="str">
        <f>IF(AZ115&gt;=AA115,$M$9,"")</f>
        <v/>
      </c>
      <c r="AN119" s="803" t="str">
        <f>IF(AZ115&gt;=AA115,$N$9,"")</f>
        <v/>
      </c>
      <c r="AO119" s="803" t="str">
        <f>IF(AZ115&gt;=AA115,$O$9,"")</f>
        <v/>
      </c>
      <c r="AP119" s="803" t="str">
        <f>IF(AZ115&gt;=AA115,$P$9,"")</f>
        <v/>
      </c>
      <c r="AQ119" s="803" t="str">
        <f>IF(AZ115&gt;=AA115,$Q$9,"")</f>
        <v/>
      </c>
      <c r="AR119" s="803" t="str">
        <f>IF(AZ115&gt;=AA115,$R$9,"")</f>
        <v/>
      </c>
      <c r="AS119" s="803" t="str">
        <f>IF(AZ115&gt;=AA115,$S$9,"")</f>
        <v/>
      </c>
      <c r="AT119" s="803" t="str">
        <f>IF(AZ115&gt;=AA115,$T$9,"")</f>
        <v/>
      </c>
      <c r="AU119" s="803" t="str">
        <f>IF(AZ115&gt;=AA115,$U$9,"")</f>
        <v/>
      </c>
      <c r="AV119" s="803" t="str">
        <f>IF(AZ115&gt;=AA115,$V$9,"")</f>
        <v/>
      </c>
      <c r="AW119" s="805" t="str">
        <f>IF(AZ115&gt;=AA115,$W$9,"")</f>
        <v/>
      </c>
      <c r="AX119" s="806"/>
      <c r="AY119" s="806"/>
      <c r="AZ119" s="807"/>
      <c r="BA119" s="858" t="str">
        <f>IF(BZ115&gt;=BA115,$A$9,"")</f>
        <v/>
      </c>
      <c r="BB119" s="806"/>
      <c r="BC119" s="806"/>
      <c r="BD119" s="806"/>
      <c r="BE119" s="852"/>
      <c r="BF119" s="805" t="str">
        <f>IF(BZ115&gt;=BA115,$F$9,"")</f>
        <v/>
      </c>
      <c r="BG119" s="806"/>
      <c r="BH119" s="806"/>
      <c r="BI119" s="852"/>
      <c r="BJ119" s="811" t="str">
        <f>IF(BZ115&gt;=BA115,$J$9,"")</f>
        <v/>
      </c>
      <c r="BK119" s="803" t="str">
        <f>IF(BZ115&gt;=BA115,$K$9,"")</f>
        <v/>
      </c>
      <c r="BL119" s="803" t="str">
        <f>IF(BZ115&gt;=BA115,$L$9,"")</f>
        <v/>
      </c>
      <c r="BM119" s="803" t="str">
        <f>IF(BZ115&gt;=BA115,$M$9,"")</f>
        <v/>
      </c>
      <c r="BN119" s="803" t="str">
        <f>IF(BZ115&gt;=BA115,$N$9,"")</f>
        <v/>
      </c>
      <c r="BO119" s="803" t="str">
        <f>IF(BZ115&gt;=BA115,$O$9,"")</f>
        <v/>
      </c>
      <c r="BP119" s="803" t="str">
        <f>IF(BZ115&gt;=BA115,$P$9,"")</f>
        <v/>
      </c>
      <c r="BQ119" s="803" t="str">
        <f>IF(BZ115&gt;=BA115,$Q$9,"")</f>
        <v/>
      </c>
      <c r="BR119" s="803" t="str">
        <f>IF(BZ115&gt;=BA115,$R$9,"")</f>
        <v/>
      </c>
      <c r="BS119" s="803" t="str">
        <f>IF(BZ115&gt;=BA115,$S$9,"")</f>
        <v/>
      </c>
      <c r="BT119" s="803" t="str">
        <f>IF(BZ115&gt;=BA115,$T$9,"")</f>
        <v/>
      </c>
      <c r="BU119" s="803" t="str">
        <f>IF(BZ115&gt;=BA115,$U$9,"")</f>
        <v/>
      </c>
      <c r="BV119" s="803" t="str">
        <f>IF(BZ115&gt;=BA115,$V$9,"")</f>
        <v/>
      </c>
      <c r="BW119" s="805" t="str">
        <f>IF(BZ115&gt;=BA115,$W$9,"")</f>
        <v/>
      </c>
      <c r="BX119" s="806"/>
      <c r="BY119" s="806"/>
      <c r="BZ119" s="807"/>
      <c r="CA119" s="858" t="str">
        <f>IF(CZ115&gt;=CA115,$A$9,"")</f>
        <v/>
      </c>
      <c r="CB119" s="806"/>
      <c r="CC119" s="806"/>
      <c r="CD119" s="806"/>
      <c r="CE119" s="852"/>
      <c r="CF119" s="805" t="str">
        <f>IF(CZ115&gt;=CA115,$F$9,"")</f>
        <v/>
      </c>
      <c r="CG119" s="806"/>
      <c r="CH119" s="806"/>
      <c r="CI119" s="852"/>
      <c r="CJ119" s="811" t="str">
        <f>IF(CZ115&gt;=CA115,$J$9,"")</f>
        <v/>
      </c>
      <c r="CK119" s="803" t="str">
        <f>IF(CZ115&gt;=CA115,$K$9,"")</f>
        <v/>
      </c>
      <c r="CL119" s="803" t="str">
        <f>IF(CZ115&gt;=CA115,$L$9,"")</f>
        <v/>
      </c>
      <c r="CM119" s="803" t="str">
        <f>IF(CZ115&gt;=CA115,$M$9,"")</f>
        <v/>
      </c>
      <c r="CN119" s="803" t="str">
        <f>IF(CZ115&gt;=CA115,$N$9,"")</f>
        <v/>
      </c>
      <c r="CO119" s="803" t="str">
        <f>IF(CZ115&gt;=CA115,$O$9,"")</f>
        <v/>
      </c>
      <c r="CP119" s="803" t="str">
        <f>IF(CZ115&gt;=CA115,$P$9,"")</f>
        <v/>
      </c>
      <c r="CQ119" s="803" t="str">
        <f>IF(CZ115&gt;=CA115,$Q$9,"")</f>
        <v/>
      </c>
      <c r="CR119" s="803" t="str">
        <f>IF(CZ115&gt;=CA115,$R$9,"")</f>
        <v/>
      </c>
      <c r="CS119" s="803" t="str">
        <f>IF(CZ115&gt;=CA115,$S$9,"")</f>
        <v/>
      </c>
      <c r="CT119" s="803" t="str">
        <f>IF(CZ115&gt;=CA115,$T$9,"")</f>
        <v/>
      </c>
      <c r="CU119" s="803" t="str">
        <f>IF(CZ115&gt;=CA115,$U$9,"")</f>
        <v/>
      </c>
      <c r="CV119" s="803" t="str">
        <f>IF(CZ115&gt;=CA115,$V$9,"")</f>
        <v/>
      </c>
      <c r="CW119" s="805" t="str">
        <f>IF(CZ115&gt;=CA115,$W$9,"")</f>
        <v/>
      </c>
      <c r="CX119" s="806"/>
      <c r="CY119" s="806"/>
      <c r="CZ119" s="807"/>
      <c r="DA119" s="858" t="str">
        <f>IF(DZ115&gt;=DA115,$A$9,"")</f>
        <v/>
      </c>
      <c r="DB119" s="806"/>
      <c r="DC119" s="806"/>
      <c r="DD119" s="806"/>
      <c r="DE119" s="852"/>
      <c r="DF119" s="805" t="str">
        <f>IF(DZ115&gt;=DA115,$F$9,"")</f>
        <v/>
      </c>
      <c r="DG119" s="806"/>
      <c r="DH119" s="806"/>
      <c r="DI119" s="852"/>
      <c r="DJ119" s="811" t="str">
        <f>IF(DZ115&gt;=DA115,$J$9,"")</f>
        <v/>
      </c>
      <c r="DK119" s="803" t="str">
        <f>IF(DZ115&gt;=DA115,$K$9,"")</f>
        <v/>
      </c>
      <c r="DL119" s="803" t="str">
        <f>IF(DZ115&gt;=DA115,$L$9,"")</f>
        <v/>
      </c>
      <c r="DM119" s="803" t="str">
        <f>IF(DZ115&gt;=DA115,$M$9,"")</f>
        <v/>
      </c>
      <c r="DN119" s="803" t="str">
        <f>IF(DZ115&gt;=DA115,$N$9,"")</f>
        <v/>
      </c>
      <c r="DO119" s="803" t="str">
        <f>IF(DZ115&gt;=DA115,$O$9,"")</f>
        <v/>
      </c>
      <c r="DP119" s="803" t="str">
        <f>IF(DZ115&gt;=DA115,$P$9,"")</f>
        <v/>
      </c>
      <c r="DQ119" s="803" t="str">
        <f>IF(DZ115&gt;=DA115,$Q$9,"")</f>
        <v/>
      </c>
      <c r="DR119" s="803" t="str">
        <f>IF(DZ115&gt;=DA115,$R$9,"")</f>
        <v/>
      </c>
      <c r="DS119" s="803" t="str">
        <f>IF(DZ115&gt;=DA115,$S$9,"")</f>
        <v/>
      </c>
      <c r="DT119" s="803" t="str">
        <f>IF(DZ115&gt;=DA115,$T$9,"")</f>
        <v/>
      </c>
      <c r="DU119" s="803" t="str">
        <f>IF(DZ115&gt;=DA115,$U$9,"")</f>
        <v/>
      </c>
      <c r="DV119" s="803" t="str">
        <f>IF(DZ115&gt;=DA115,$V$9,"")</f>
        <v/>
      </c>
      <c r="DW119" s="805" t="str">
        <f>IF(DZ115&gt;=DA115,$W$9,"")</f>
        <v/>
      </c>
      <c r="DX119" s="806"/>
      <c r="DY119" s="806"/>
      <c r="DZ119" s="807"/>
      <c r="EA119" s="858" t="str">
        <f>IF(EZ115&gt;=EA115,$A$9,"")</f>
        <v/>
      </c>
      <c r="EB119" s="806"/>
      <c r="EC119" s="806"/>
      <c r="ED119" s="806"/>
      <c r="EE119" s="852"/>
      <c r="EF119" s="805" t="str">
        <f>IF(EZ115&gt;=EA115,$F$9,"")</f>
        <v/>
      </c>
      <c r="EG119" s="806"/>
      <c r="EH119" s="806"/>
      <c r="EI119" s="852"/>
      <c r="EJ119" s="811" t="str">
        <f>IF(EZ115&gt;=EA115,$J$9,"")</f>
        <v/>
      </c>
      <c r="EK119" s="803" t="str">
        <f>IF(EZ115&gt;=EA115,$K$9,"")</f>
        <v/>
      </c>
      <c r="EL119" s="803" t="str">
        <f>IF(EZ115&gt;=EA115,$L$9,"")</f>
        <v/>
      </c>
      <c r="EM119" s="803" t="str">
        <f>IF(EZ115&gt;=EA115,$M$9,"")</f>
        <v/>
      </c>
      <c r="EN119" s="803" t="str">
        <f>IF(EZ115&gt;=EA115,$N$9,"")</f>
        <v/>
      </c>
      <c r="EO119" s="803" t="str">
        <f>IF(EZ115&gt;=EA115,$O$9,"")</f>
        <v/>
      </c>
      <c r="EP119" s="803" t="str">
        <f>IF(EZ115&gt;=EA115,$P$9,"")</f>
        <v/>
      </c>
      <c r="EQ119" s="803" t="str">
        <f>IF(EZ115&gt;=EA115,$Q$9,"")</f>
        <v/>
      </c>
      <c r="ER119" s="803" t="str">
        <f>IF(EZ115&gt;=EA115,$R$9,"")</f>
        <v/>
      </c>
      <c r="ES119" s="803" t="str">
        <f>IF(EZ115&gt;=EA115,$S$9,"")</f>
        <v/>
      </c>
      <c r="ET119" s="803" t="str">
        <f>IF(EZ115&gt;=EA115,$T$9,"")</f>
        <v/>
      </c>
      <c r="EU119" s="803" t="str">
        <f>IF(EZ115&gt;=EA115,$U$9,"")</f>
        <v/>
      </c>
      <c r="EV119" s="803" t="str">
        <f>IF(EZ115&gt;=EA115,$V$9,"")</f>
        <v/>
      </c>
      <c r="EW119" s="805" t="str">
        <f>IF(EZ115&gt;=EA115,$W$9,"")</f>
        <v/>
      </c>
      <c r="EX119" s="806"/>
      <c r="EY119" s="806"/>
      <c r="EZ119" s="807"/>
      <c r="FA119" s="858" t="str">
        <f>IF(FZ115&gt;=FA115,$A$9,"")</f>
        <v/>
      </c>
      <c r="FB119" s="806"/>
      <c r="FC119" s="806"/>
      <c r="FD119" s="806"/>
      <c r="FE119" s="852"/>
      <c r="FF119" s="805" t="str">
        <f>IF(FZ115&gt;=FA115,$F$9,"")</f>
        <v/>
      </c>
      <c r="FG119" s="806"/>
      <c r="FH119" s="806"/>
      <c r="FI119" s="852"/>
      <c r="FJ119" s="811" t="str">
        <f>IF(FZ115&gt;=FA115,$J$9,"")</f>
        <v/>
      </c>
      <c r="FK119" s="803" t="str">
        <f>IF(FZ115&gt;=FA115,$K$9,"")</f>
        <v/>
      </c>
      <c r="FL119" s="803" t="str">
        <f>IF(FZ115&gt;=FA115,$L$9,"")</f>
        <v/>
      </c>
      <c r="FM119" s="803" t="str">
        <f>IF(FZ115&gt;=FA115,$M$9,"")</f>
        <v/>
      </c>
      <c r="FN119" s="803" t="str">
        <f>IF(FZ115&gt;=FA115,$N$9,"")</f>
        <v/>
      </c>
      <c r="FO119" s="803" t="str">
        <f>IF(FZ115&gt;=FA115,$O$9,"")</f>
        <v/>
      </c>
      <c r="FP119" s="803" t="str">
        <f>IF(FZ115&gt;=FA115,$P$9,"")</f>
        <v/>
      </c>
      <c r="FQ119" s="803" t="str">
        <f>IF(FZ115&gt;=FA115,$Q$9,"")</f>
        <v/>
      </c>
      <c r="FR119" s="803" t="str">
        <f>IF(FZ115&gt;=FA115,$R$9,"")</f>
        <v/>
      </c>
      <c r="FS119" s="803" t="str">
        <f>IF(FZ115&gt;=FA115,$S$9,"")</f>
        <v/>
      </c>
      <c r="FT119" s="803" t="str">
        <f>IF(FZ115&gt;=FA115,$T$9,"")</f>
        <v/>
      </c>
      <c r="FU119" s="803" t="str">
        <f>IF(FZ115&gt;=FA115,$U$9,"")</f>
        <v/>
      </c>
      <c r="FV119" s="803" t="str">
        <f>IF(FZ115&gt;=FA115,$V$9,"")</f>
        <v/>
      </c>
      <c r="FW119" s="805" t="str">
        <f>IF(FZ115&gt;=FA115,$W$9,"")</f>
        <v/>
      </c>
      <c r="FX119" s="806"/>
      <c r="FY119" s="806"/>
      <c r="FZ119" s="807"/>
      <c r="GA119" s="858" t="str">
        <f>IF(GZ115&gt;=GA115,$A$9,"")</f>
        <v/>
      </c>
      <c r="GB119" s="806"/>
      <c r="GC119" s="806"/>
      <c r="GD119" s="806"/>
      <c r="GE119" s="852"/>
      <c r="GF119" s="805" t="str">
        <f>IF(GZ115&gt;=GA115,$F$9,"")</f>
        <v/>
      </c>
      <c r="GG119" s="806"/>
      <c r="GH119" s="806"/>
      <c r="GI119" s="852"/>
      <c r="GJ119" s="811" t="str">
        <f>IF(GZ115&gt;=GA115,$J$9,"")</f>
        <v/>
      </c>
      <c r="GK119" s="803" t="str">
        <f>IF(GZ115&gt;=GA115,$K$9,"")</f>
        <v/>
      </c>
      <c r="GL119" s="803" t="str">
        <f>IF(GZ115&gt;=GA115,$L$9,"")</f>
        <v/>
      </c>
      <c r="GM119" s="803" t="str">
        <f>IF(GZ115&gt;=GA115,$M$9,"")</f>
        <v/>
      </c>
      <c r="GN119" s="803" t="str">
        <f>IF(GZ115&gt;=GA115,$N$9,"")</f>
        <v/>
      </c>
      <c r="GO119" s="803" t="str">
        <f>IF(GZ115&gt;=GA115,$O$9,"")</f>
        <v/>
      </c>
      <c r="GP119" s="803" t="str">
        <f>IF(GZ115&gt;=GA115,$P$9,"")</f>
        <v/>
      </c>
      <c r="GQ119" s="803" t="str">
        <f>IF(GZ115&gt;=GA115,$Q$9,"")</f>
        <v/>
      </c>
      <c r="GR119" s="803" t="str">
        <f>IF(GZ115&gt;=GA115,$R$9,"")</f>
        <v/>
      </c>
      <c r="GS119" s="803" t="str">
        <f>IF(GZ115&gt;=GA115,$S$9,"")</f>
        <v/>
      </c>
      <c r="GT119" s="803" t="str">
        <f>IF(GZ115&gt;=GA115,$T$9,"")</f>
        <v/>
      </c>
      <c r="GU119" s="803" t="str">
        <f>IF(GZ115&gt;=GA115,$U$9,"")</f>
        <v/>
      </c>
      <c r="GV119" s="803" t="str">
        <f>IF(GZ115&gt;=GA115,$V$9,"")</f>
        <v/>
      </c>
      <c r="GW119" s="805" t="str">
        <f>IF(GZ115&gt;=GA115,$W$9,"")</f>
        <v/>
      </c>
      <c r="GX119" s="806"/>
      <c r="GY119" s="806"/>
      <c r="GZ119" s="807"/>
      <c r="HA119" s="858" t="str">
        <f>IF(HZ115&gt;=HA115,$A$9,"")</f>
        <v/>
      </c>
      <c r="HB119" s="806"/>
      <c r="HC119" s="806"/>
      <c r="HD119" s="806"/>
      <c r="HE119" s="852"/>
      <c r="HF119" s="805" t="str">
        <f>IF(HZ115&gt;=HA115,$F$9,"")</f>
        <v/>
      </c>
      <c r="HG119" s="806"/>
      <c r="HH119" s="806"/>
      <c r="HI119" s="852"/>
      <c r="HJ119" s="811" t="str">
        <f>IF(HZ115&gt;=HA115,$J$9,"")</f>
        <v/>
      </c>
      <c r="HK119" s="803" t="str">
        <f>IF(HZ115&gt;=HA115,$K$9,"")</f>
        <v/>
      </c>
      <c r="HL119" s="803" t="str">
        <f>IF(HZ115&gt;=HA115,$L$9,"")</f>
        <v/>
      </c>
      <c r="HM119" s="803" t="str">
        <f>IF(HZ115&gt;=HA115,$M$9,"")</f>
        <v/>
      </c>
      <c r="HN119" s="803" t="str">
        <f>IF(HZ115&gt;=HA115,$N$9,"")</f>
        <v/>
      </c>
      <c r="HO119" s="803" t="str">
        <f>IF(HZ115&gt;=HA115,$O$9,"")</f>
        <v/>
      </c>
      <c r="HP119" s="803" t="str">
        <f>IF(HZ115&gt;=HA115,$P$9,"")</f>
        <v/>
      </c>
      <c r="HQ119" s="803" t="str">
        <f>IF(HZ115&gt;=HA115,$Q$9,"")</f>
        <v/>
      </c>
      <c r="HR119" s="803" t="str">
        <f>IF(HZ115&gt;=HA115,$R$9,"")</f>
        <v/>
      </c>
      <c r="HS119" s="803" t="str">
        <f>IF(HZ115&gt;=HA115,$S$9,"")</f>
        <v/>
      </c>
      <c r="HT119" s="803" t="str">
        <f>IF(HZ115&gt;=HA115,$T$9,"")</f>
        <v/>
      </c>
      <c r="HU119" s="803" t="str">
        <f>IF(HZ115&gt;=HA115,$U$9,"")</f>
        <v/>
      </c>
      <c r="HV119" s="803" t="str">
        <f>IF(HZ115&gt;=HA115,$V$9,"")</f>
        <v/>
      </c>
      <c r="HW119" s="805" t="str">
        <f>IF(HZ115&gt;=HA115,$W$9,"")</f>
        <v/>
      </c>
      <c r="HX119" s="806"/>
      <c r="HY119" s="806"/>
      <c r="HZ119" s="807"/>
      <c r="IA119" s="858" t="str">
        <f>IF(IZ115&gt;=IA115,$A$9,"")</f>
        <v/>
      </c>
      <c r="IB119" s="806"/>
      <c r="IC119" s="806"/>
      <c r="ID119" s="806"/>
      <c r="IE119" s="852"/>
      <c r="IF119" s="805" t="str">
        <f>IF(IZ115&gt;=IA115,$F$9,"")</f>
        <v/>
      </c>
      <c r="IG119" s="806"/>
      <c r="IH119" s="806"/>
      <c r="II119" s="852"/>
      <c r="IJ119" s="811" t="str">
        <f>IF(IZ115&gt;=IA115,$J$9,"")</f>
        <v/>
      </c>
      <c r="IK119" s="803" t="str">
        <f>IF(IZ115&gt;=IA115,$K$9,"")</f>
        <v/>
      </c>
      <c r="IL119" s="803" t="str">
        <f>IF(IZ115&gt;=IA115,$L$9,"")</f>
        <v/>
      </c>
      <c r="IM119" s="803" t="str">
        <f>IF(IZ115&gt;=IA115,$M$9,"")</f>
        <v/>
      </c>
      <c r="IN119" s="803" t="str">
        <f>IF(IZ115&gt;=IA115,$N$9,"")</f>
        <v/>
      </c>
      <c r="IO119" s="803" t="str">
        <f>IF(IZ115&gt;=IA115,$O$9,"")</f>
        <v/>
      </c>
      <c r="IP119" s="803" t="str">
        <f>IF(IZ115&gt;=IA115,$P$9,"")</f>
        <v/>
      </c>
      <c r="IQ119" s="803" t="str">
        <f>IF(IZ115&gt;=IA115,$Q$9,"")</f>
        <v/>
      </c>
      <c r="IR119" s="803" t="str">
        <f>IF(IZ115&gt;=IA115,$R$9,"")</f>
        <v/>
      </c>
      <c r="IS119" s="803" t="str">
        <f>IF(IZ115&gt;=IA115,$S$9,"")</f>
        <v/>
      </c>
      <c r="IT119" s="803" t="str">
        <f>IF(IZ115&gt;=IA115,$T$9,"")</f>
        <v/>
      </c>
      <c r="IU119" s="803" t="str">
        <f>IF(IZ115&gt;=IA115,$U$9,"")</f>
        <v/>
      </c>
      <c r="IV119" s="803" t="str">
        <f>IF(IZ115&gt;=IA115,$V$9,"")</f>
        <v/>
      </c>
      <c r="IW119" s="805" t="str">
        <f>IF(IZ115&gt;=IA115,$W$9,"")</f>
        <v/>
      </c>
      <c r="IX119" s="806"/>
      <c r="IY119" s="806"/>
      <c r="IZ119" s="807"/>
    </row>
    <row r="120" spans="1:260" ht="15" customHeight="1" x14ac:dyDescent="0.25">
      <c r="A120" s="859"/>
      <c r="B120" s="809"/>
      <c r="C120" s="809"/>
      <c r="D120" s="809"/>
      <c r="E120" s="853"/>
      <c r="F120" s="808"/>
      <c r="G120" s="809"/>
      <c r="H120" s="809"/>
      <c r="I120" s="853"/>
      <c r="J120" s="812"/>
      <c r="K120" s="804"/>
      <c r="L120" s="804"/>
      <c r="M120" s="804"/>
      <c r="N120" s="804"/>
      <c r="O120" s="804"/>
      <c r="P120" s="804"/>
      <c r="Q120" s="804"/>
      <c r="R120" s="804"/>
      <c r="S120" s="804"/>
      <c r="T120" s="804"/>
      <c r="U120" s="804"/>
      <c r="V120" s="804"/>
      <c r="W120" s="808"/>
      <c r="X120" s="809"/>
      <c r="Y120" s="809"/>
      <c r="Z120" s="810"/>
      <c r="AA120" s="859"/>
      <c r="AB120" s="809"/>
      <c r="AC120" s="809"/>
      <c r="AD120" s="809"/>
      <c r="AE120" s="853"/>
      <c r="AF120" s="808"/>
      <c r="AG120" s="809"/>
      <c r="AH120" s="809"/>
      <c r="AI120" s="853"/>
      <c r="AJ120" s="812"/>
      <c r="AK120" s="804"/>
      <c r="AL120" s="804"/>
      <c r="AM120" s="804"/>
      <c r="AN120" s="804"/>
      <c r="AO120" s="804"/>
      <c r="AP120" s="804"/>
      <c r="AQ120" s="804"/>
      <c r="AR120" s="804"/>
      <c r="AS120" s="804"/>
      <c r="AT120" s="804"/>
      <c r="AU120" s="804"/>
      <c r="AV120" s="804"/>
      <c r="AW120" s="808"/>
      <c r="AX120" s="809"/>
      <c r="AY120" s="809"/>
      <c r="AZ120" s="810"/>
      <c r="BA120" s="859"/>
      <c r="BB120" s="809"/>
      <c r="BC120" s="809"/>
      <c r="BD120" s="809"/>
      <c r="BE120" s="853"/>
      <c r="BF120" s="808"/>
      <c r="BG120" s="809"/>
      <c r="BH120" s="809"/>
      <c r="BI120" s="853"/>
      <c r="BJ120" s="812"/>
      <c r="BK120" s="804"/>
      <c r="BL120" s="804"/>
      <c r="BM120" s="804"/>
      <c r="BN120" s="804"/>
      <c r="BO120" s="804"/>
      <c r="BP120" s="804"/>
      <c r="BQ120" s="804"/>
      <c r="BR120" s="804"/>
      <c r="BS120" s="804"/>
      <c r="BT120" s="804"/>
      <c r="BU120" s="804"/>
      <c r="BV120" s="804"/>
      <c r="BW120" s="808"/>
      <c r="BX120" s="809"/>
      <c r="BY120" s="809"/>
      <c r="BZ120" s="810"/>
      <c r="CA120" s="859"/>
      <c r="CB120" s="809"/>
      <c r="CC120" s="809"/>
      <c r="CD120" s="809"/>
      <c r="CE120" s="853"/>
      <c r="CF120" s="808"/>
      <c r="CG120" s="809"/>
      <c r="CH120" s="809"/>
      <c r="CI120" s="853"/>
      <c r="CJ120" s="812"/>
      <c r="CK120" s="804"/>
      <c r="CL120" s="804"/>
      <c r="CM120" s="804"/>
      <c r="CN120" s="804"/>
      <c r="CO120" s="804"/>
      <c r="CP120" s="804"/>
      <c r="CQ120" s="804"/>
      <c r="CR120" s="804"/>
      <c r="CS120" s="804"/>
      <c r="CT120" s="804"/>
      <c r="CU120" s="804"/>
      <c r="CV120" s="804"/>
      <c r="CW120" s="808"/>
      <c r="CX120" s="809"/>
      <c r="CY120" s="809"/>
      <c r="CZ120" s="810"/>
      <c r="DA120" s="859"/>
      <c r="DB120" s="809"/>
      <c r="DC120" s="809"/>
      <c r="DD120" s="809"/>
      <c r="DE120" s="853"/>
      <c r="DF120" s="808"/>
      <c r="DG120" s="809"/>
      <c r="DH120" s="809"/>
      <c r="DI120" s="853"/>
      <c r="DJ120" s="812"/>
      <c r="DK120" s="804"/>
      <c r="DL120" s="804"/>
      <c r="DM120" s="804"/>
      <c r="DN120" s="804"/>
      <c r="DO120" s="804"/>
      <c r="DP120" s="804"/>
      <c r="DQ120" s="804"/>
      <c r="DR120" s="804"/>
      <c r="DS120" s="804"/>
      <c r="DT120" s="804"/>
      <c r="DU120" s="804"/>
      <c r="DV120" s="804"/>
      <c r="DW120" s="808"/>
      <c r="DX120" s="809"/>
      <c r="DY120" s="809"/>
      <c r="DZ120" s="810"/>
      <c r="EA120" s="859"/>
      <c r="EB120" s="809"/>
      <c r="EC120" s="809"/>
      <c r="ED120" s="809"/>
      <c r="EE120" s="853"/>
      <c r="EF120" s="808"/>
      <c r="EG120" s="809"/>
      <c r="EH120" s="809"/>
      <c r="EI120" s="853"/>
      <c r="EJ120" s="812"/>
      <c r="EK120" s="804"/>
      <c r="EL120" s="804"/>
      <c r="EM120" s="804"/>
      <c r="EN120" s="804"/>
      <c r="EO120" s="804"/>
      <c r="EP120" s="804"/>
      <c r="EQ120" s="804"/>
      <c r="ER120" s="804"/>
      <c r="ES120" s="804"/>
      <c r="ET120" s="804"/>
      <c r="EU120" s="804"/>
      <c r="EV120" s="804"/>
      <c r="EW120" s="808"/>
      <c r="EX120" s="809"/>
      <c r="EY120" s="809"/>
      <c r="EZ120" s="810"/>
      <c r="FA120" s="859"/>
      <c r="FB120" s="809"/>
      <c r="FC120" s="809"/>
      <c r="FD120" s="809"/>
      <c r="FE120" s="853"/>
      <c r="FF120" s="808"/>
      <c r="FG120" s="809"/>
      <c r="FH120" s="809"/>
      <c r="FI120" s="853"/>
      <c r="FJ120" s="812"/>
      <c r="FK120" s="804"/>
      <c r="FL120" s="804"/>
      <c r="FM120" s="804"/>
      <c r="FN120" s="804"/>
      <c r="FO120" s="804"/>
      <c r="FP120" s="804"/>
      <c r="FQ120" s="804"/>
      <c r="FR120" s="804"/>
      <c r="FS120" s="804"/>
      <c r="FT120" s="804"/>
      <c r="FU120" s="804"/>
      <c r="FV120" s="804"/>
      <c r="FW120" s="808"/>
      <c r="FX120" s="809"/>
      <c r="FY120" s="809"/>
      <c r="FZ120" s="810"/>
      <c r="GA120" s="859"/>
      <c r="GB120" s="809"/>
      <c r="GC120" s="809"/>
      <c r="GD120" s="809"/>
      <c r="GE120" s="853"/>
      <c r="GF120" s="808"/>
      <c r="GG120" s="809"/>
      <c r="GH120" s="809"/>
      <c r="GI120" s="853"/>
      <c r="GJ120" s="812"/>
      <c r="GK120" s="804"/>
      <c r="GL120" s="804"/>
      <c r="GM120" s="804"/>
      <c r="GN120" s="804"/>
      <c r="GO120" s="804"/>
      <c r="GP120" s="804"/>
      <c r="GQ120" s="804"/>
      <c r="GR120" s="804"/>
      <c r="GS120" s="804"/>
      <c r="GT120" s="804"/>
      <c r="GU120" s="804"/>
      <c r="GV120" s="804"/>
      <c r="GW120" s="808"/>
      <c r="GX120" s="809"/>
      <c r="GY120" s="809"/>
      <c r="GZ120" s="810"/>
      <c r="HA120" s="859"/>
      <c r="HB120" s="809"/>
      <c r="HC120" s="809"/>
      <c r="HD120" s="809"/>
      <c r="HE120" s="853"/>
      <c r="HF120" s="808"/>
      <c r="HG120" s="809"/>
      <c r="HH120" s="809"/>
      <c r="HI120" s="853"/>
      <c r="HJ120" s="812"/>
      <c r="HK120" s="804"/>
      <c r="HL120" s="804"/>
      <c r="HM120" s="804"/>
      <c r="HN120" s="804"/>
      <c r="HO120" s="804"/>
      <c r="HP120" s="804"/>
      <c r="HQ120" s="804"/>
      <c r="HR120" s="804"/>
      <c r="HS120" s="804"/>
      <c r="HT120" s="804"/>
      <c r="HU120" s="804"/>
      <c r="HV120" s="804"/>
      <c r="HW120" s="808"/>
      <c r="HX120" s="809"/>
      <c r="HY120" s="809"/>
      <c r="HZ120" s="810"/>
      <c r="IA120" s="859"/>
      <c r="IB120" s="809"/>
      <c r="IC120" s="809"/>
      <c r="ID120" s="809"/>
      <c r="IE120" s="853"/>
      <c r="IF120" s="808"/>
      <c r="IG120" s="809"/>
      <c r="IH120" s="809"/>
      <c r="II120" s="853"/>
      <c r="IJ120" s="812"/>
      <c r="IK120" s="804"/>
      <c r="IL120" s="804"/>
      <c r="IM120" s="804"/>
      <c r="IN120" s="804"/>
      <c r="IO120" s="804"/>
      <c r="IP120" s="804"/>
      <c r="IQ120" s="804"/>
      <c r="IR120" s="804"/>
      <c r="IS120" s="804"/>
      <c r="IT120" s="804"/>
      <c r="IU120" s="804"/>
      <c r="IV120" s="804"/>
      <c r="IW120" s="808"/>
      <c r="IX120" s="809"/>
      <c r="IY120" s="809"/>
      <c r="IZ120" s="810"/>
    </row>
    <row r="121" spans="1:260" x14ac:dyDescent="0.25">
      <c r="A121" s="854" t="str">
        <f>IFERROR(INDEX(Lista_Pedidos,Procesos!Y115+A115-1,3),"")</f>
        <v/>
      </c>
      <c r="B121" s="855"/>
      <c r="C121" s="855"/>
      <c r="D121" s="855"/>
      <c r="E121" s="856"/>
      <c r="F121" s="857" t="str">
        <f>IF(Z115&gt;A115-1,E$11,"")</f>
        <v/>
      </c>
      <c r="G121" s="855"/>
      <c r="H121" s="855"/>
      <c r="I121" s="856"/>
      <c r="J121" s="526" t="str">
        <f>IFERROR(IF(IF(Z115&gt;A115-1,INDEX(Lista_Pedidos,Y115+A115-1,J115),"")=0,"",IF(Z115&gt;A115-1,INDEX(Lista_Pedidos,Y115+A115-1,J115),"")),"")</f>
        <v/>
      </c>
      <c r="K121" s="526" t="str">
        <f>IFERROR(IF(IF(Z115&gt;A115-1,INDEX(Lista_Pedidos,Y115+A115-1,K115),"")=0,"",IF(Z115&gt;A115-1,INDEX(Lista_Pedidos,Y115+A115-1,K115),"")),"")</f>
        <v/>
      </c>
      <c r="L121" s="526" t="str">
        <f>IFERROR(IF(IF(Z115&gt;A115-1,INDEX(Lista_Pedidos,Y115+A115-1,L115),"")=0,"",IF(Z115&gt;A115-1,INDEX(Lista_Pedidos,Y115+A115-1,L115),"")),"")</f>
        <v/>
      </c>
      <c r="M121" s="526" t="str">
        <f>IFERROR(IF(IF(Z115&gt;A115-1,INDEX(Lista_Pedidos,Y115+A115-1,M115),"")=0,"",IF(Z115&gt;A115-1,INDEX(Lista_Pedidos,Y115+A115-1,M115),"")),"")</f>
        <v/>
      </c>
      <c r="N121" s="526" t="str">
        <f>IFERROR(IF(IF(Z115&gt;A115-1,INDEX(Lista_Pedidos,Y115+A115-1,N115),"")=0,"",IF(Z115&gt;A115-1,INDEX(Lista_Pedidos,Y115+A115-1,N115),"")),"")</f>
        <v/>
      </c>
      <c r="O121" s="526" t="str">
        <f>IFERROR(IF(IF(Z115&gt;A115-1,INDEX(Lista_Pedidos,Y115+A115-1,O115),"")=0,"",IF(Z115&gt;A115-1,INDEX(Lista_Pedidos,Y115+A115-1,O115),"")),"")</f>
        <v/>
      </c>
      <c r="P121" s="526" t="str">
        <f>IFERROR(IF(IF(Z115&gt;A115-1,INDEX(Lista_Pedidos,Y115+A115-1,P115),"")=0,"",IF(Z115&gt;A115-1,INDEX(Lista_Pedidos,Y115+A115-1,P115),"")),"")</f>
        <v/>
      </c>
      <c r="Q121" s="526" t="str">
        <f>IFERROR(IF(IF(Z115&gt;A115-1,INDEX(Lista_Pedidos,Y115+A115-1,Q115),"")=0,"",IF(Z115&gt;A115-1,INDEX(Lista_Pedidos,Y115+A115-1,Q115),"")),"")</f>
        <v/>
      </c>
      <c r="R121" s="526" t="str">
        <f>IFERROR(IF(IF(Z115&gt;A115-1,INDEX(Lista_Pedidos,Y115+A115-1,R115),"")=0,"",IF(Z115&gt;A115-1,INDEX(Lista_Pedidos,Y115+A115-1,R115),"")),"")</f>
        <v/>
      </c>
      <c r="S121" s="526" t="str">
        <f>IFERROR(IF(IF(Z115&gt;A115-1,INDEX(Lista_Pedidos,Y115+A115-1,S115),"")=0,"",IF(Z115&gt;A115-1,INDEX(Lista_Pedidos,Y115+A115-1,S115),"")),"")</f>
        <v/>
      </c>
      <c r="T121" s="526" t="str">
        <f>IFERROR(IF(IF(Z115&gt;A115-1,INDEX(Lista_Pedidos,Y115+A115-1,T115),"")=0,"",IF(Z115&gt;A115-1,INDEX(Lista_Pedidos,Y115+A115-1,T115),"")),"")</f>
        <v/>
      </c>
      <c r="U121" s="526" t="str">
        <f>IFERROR(IF(IF(Z115&gt;A115-1,INDEX(Lista_Pedidos,Y115+A115-1,U115),"")=0,"",IF(Z115&gt;A115-1,INDEX(Lista_Pedidos,Y115+A115-1,U115),"")),"")</f>
        <v/>
      </c>
      <c r="V121" s="526" t="str">
        <f>IFERROR(IF(IF(Z115&gt;A115-1,INDEX(Lista_Pedidos,Y115+A115-1,V115),"")=0,"",IF(Z115&gt;A115-1,INDEX(Lista_Pedidos,Y115+A115-1,V115),"")),"")</f>
        <v/>
      </c>
      <c r="W121" s="857" t="str">
        <f>IF(SUM(J121:V121)&gt;1,SUM(J121:V121),"")</f>
        <v/>
      </c>
      <c r="X121" s="855"/>
      <c r="Y121" s="855"/>
      <c r="Z121" s="860"/>
      <c r="AA121" s="854" t="str">
        <f>IFERROR(INDEX(Lista_Pedidos,Procesos!AY115+AA115-1,3),"")</f>
        <v/>
      </c>
      <c r="AB121" s="855"/>
      <c r="AC121" s="855"/>
      <c r="AD121" s="855"/>
      <c r="AE121" s="856"/>
      <c r="AF121" s="857" t="str">
        <f>IF(AZ115&gt;AA115-1,AE$11,"")</f>
        <v/>
      </c>
      <c r="AG121" s="855"/>
      <c r="AH121" s="855"/>
      <c r="AI121" s="856"/>
      <c r="AJ121" s="526" t="str">
        <f>IFERROR(IF(IF(AZ115&gt;AA115-1,INDEX(Lista_Pedidos,AY115+AA115-1,AJ115),"")=0,"",IF(AZ115&gt;AA115-1,INDEX(Lista_Pedidos,AY115+AA115-1,AJ115),"")),"")</f>
        <v/>
      </c>
      <c r="AK121" s="526" t="str">
        <f>IFERROR(IF(IF(AZ115&gt;AA115-1,INDEX(Lista_Pedidos,AY115+AA115-1,AK115),"")=0,"",IF(AZ115&gt;AA115-1,INDEX(Lista_Pedidos,AY115+AA115-1,AK115),"")),"")</f>
        <v/>
      </c>
      <c r="AL121" s="526" t="str">
        <f>IFERROR(IF(IF(AZ115&gt;AA115-1,INDEX(Lista_Pedidos,AY115+AA115-1,AL115),"")=0,"",IF(AZ115&gt;AA115-1,INDEX(Lista_Pedidos,AY115+AA115-1,AL115),"")),"")</f>
        <v/>
      </c>
      <c r="AM121" s="526" t="str">
        <f>IFERROR(IF(IF(AZ115&gt;AA115-1,INDEX(Lista_Pedidos,AY115+AA115-1,AM115),"")=0,"",IF(AZ115&gt;AA115-1,INDEX(Lista_Pedidos,AY115+AA115-1,AM115),"")),"")</f>
        <v/>
      </c>
      <c r="AN121" s="526" t="str">
        <f>IFERROR(IF(IF(AZ115&gt;AA115-1,INDEX(Lista_Pedidos,AY115+AA115-1,AN115),"")=0,"",IF(AZ115&gt;AA115-1,INDEX(Lista_Pedidos,AY115+AA115-1,AN115),"")),"")</f>
        <v/>
      </c>
      <c r="AO121" s="526" t="str">
        <f>IFERROR(IF(IF(AZ115&gt;AA115-1,INDEX(Lista_Pedidos,AY115+AA115-1,AO115),"")=0,"",IF(AZ115&gt;AA115-1,INDEX(Lista_Pedidos,AY115+AA115-1,AO115),"")),"")</f>
        <v/>
      </c>
      <c r="AP121" s="526" t="str">
        <f>IFERROR(IF(IF(AZ115&gt;AA115-1,INDEX(Lista_Pedidos,AY115+AA115-1,AP115),"")=0,"",IF(AZ115&gt;AA115-1,INDEX(Lista_Pedidos,AY115+AA115-1,AP115),"")),"")</f>
        <v/>
      </c>
      <c r="AQ121" s="526" t="str">
        <f>IFERROR(IF(IF(AZ115&gt;AA115-1,INDEX(Lista_Pedidos,AY115+AA115-1,AQ115),"")=0,"",IF(AZ115&gt;AA115-1,INDEX(Lista_Pedidos,AY115+AA115-1,AQ115),"")),"")</f>
        <v/>
      </c>
      <c r="AR121" s="526" t="str">
        <f>IFERROR(IF(IF(AZ115&gt;AA115-1,INDEX(Lista_Pedidos,AY115+AA115-1,AR115),"")=0,"",IF(AZ115&gt;AA115-1,INDEX(Lista_Pedidos,AY115+AA115-1,AR115),"")),"")</f>
        <v/>
      </c>
      <c r="AS121" s="526" t="str">
        <f>IFERROR(IF(IF(AZ115&gt;AA115-1,INDEX(Lista_Pedidos,AY115+AA115-1,AS115),"")=0,"",IF(AZ115&gt;AA115-1,INDEX(Lista_Pedidos,AY115+AA115-1,AS115),"")),"")</f>
        <v/>
      </c>
      <c r="AT121" s="526" t="str">
        <f>IFERROR(IF(IF(AZ115&gt;AA115-1,INDEX(Lista_Pedidos,AY115+AA115-1,AT115),"")=0,"",IF(AZ115&gt;AA115-1,INDEX(Lista_Pedidos,AY115+AA115-1,AT115),"")),"")</f>
        <v/>
      </c>
      <c r="AU121" s="526" t="str">
        <f>IFERROR(IF(IF(AZ115&gt;AA115-1,INDEX(Lista_Pedidos,AY115+AA115-1,AU115),"")=0,"",IF(AZ115&gt;AA115-1,INDEX(Lista_Pedidos,AY115+AA115-1,AU115),"")),"")</f>
        <v/>
      </c>
      <c r="AV121" s="526" t="str">
        <f>IFERROR(IF(IF(AZ115&gt;AA115-1,INDEX(Lista_Pedidos,AY115+AA115-1,AV115),"")=0,"",IF(AZ115&gt;AA115-1,INDEX(Lista_Pedidos,AY115+AA115-1,AV115),"")),"")</f>
        <v/>
      </c>
      <c r="AW121" s="857" t="str">
        <f>IF(SUM(AJ121:AV121)&gt;1,SUM(AJ121:AV121),"")</f>
        <v/>
      </c>
      <c r="AX121" s="855"/>
      <c r="AY121" s="855"/>
      <c r="AZ121" s="860"/>
      <c r="BA121" s="854" t="str">
        <f>IFERROR(INDEX(Lista_Pedidos,Procesos!BY115+BA115-1,3),"")</f>
        <v/>
      </c>
      <c r="BB121" s="855"/>
      <c r="BC121" s="855"/>
      <c r="BD121" s="855"/>
      <c r="BE121" s="856"/>
      <c r="BF121" s="857" t="str">
        <f>IF(BZ115&gt;BA115-1,BE$11,"")</f>
        <v/>
      </c>
      <c r="BG121" s="855"/>
      <c r="BH121" s="855"/>
      <c r="BI121" s="856"/>
      <c r="BJ121" s="526" t="str">
        <f>IFERROR(IF(IF(BZ115&gt;BA115-1,INDEX(Lista_Pedidos,BY115+BA115-1,BJ115),"")=0,"",IF(BZ115&gt;BA115-1,INDEX(Lista_Pedidos,BY115+BA115-1,BJ115),"")),"")</f>
        <v/>
      </c>
      <c r="BK121" s="526" t="str">
        <f>IFERROR(IF(IF(BZ115&gt;BA115-1,INDEX(Lista_Pedidos,BY115+BA115-1,BK115),"")=0,"",IF(BZ115&gt;BA115-1,INDEX(Lista_Pedidos,BY115+BA115-1,BK115),"")),"")</f>
        <v/>
      </c>
      <c r="BL121" s="526" t="str">
        <f>IFERROR(IF(IF(BZ115&gt;BA115-1,INDEX(Lista_Pedidos,BY115+BA115-1,BL115),"")=0,"",IF(BZ115&gt;BA115-1,INDEX(Lista_Pedidos,BY115+BA115-1,BL115),"")),"")</f>
        <v/>
      </c>
      <c r="BM121" s="526" t="str">
        <f>IFERROR(IF(IF(BZ115&gt;BA115-1,INDEX(Lista_Pedidos,BY115+BA115-1,BM115),"")=0,"",IF(BZ115&gt;BA115-1,INDEX(Lista_Pedidos,BY115+BA115-1,BM115),"")),"")</f>
        <v/>
      </c>
      <c r="BN121" s="526" t="str">
        <f>IFERROR(IF(IF(BZ115&gt;BA115-1,INDEX(Lista_Pedidos,BY115+BA115-1,BN115),"")=0,"",IF(BZ115&gt;BA115-1,INDEX(Lista_Pedidos,BY115+BA115-1,BN115),"")),"")</f>
        <v/>
      </c>
      <c r="BO121" s="526" t="str">
        <f>IFERROR(IF(IF(BZ115&gt;BA115-1,INDEX(Lista_Pedidos,BY115+BA115-1,BO115),"")=0,"",IF(BZ115&gt;BA115-1,INDEX(Lista_Pedidos,BY115+BA115-1,BO115),"")),"")</f>
        <v/>
      </c>
      <c r="BP121" s="526" t="str">
        <f>IFERROR(IF(IF(BZ115&gt;BA115-1,INDEX(Lista_Pedidos,BY115+BA115-1,BP115),"")=0,"",IF(BZ115&gt;BA115-1,INDEX(Lista_Pedidos,BY115+BA115-1,BP115),"")),"")</f>
        <v/>
      </c>
      <c r="BQ121" s="526" t="str">
        <f>IFERROR(IF(IF(BZ115&gt;BA115-1,INDEX(Lista_Pedidos,BY115+BA115-1,BQ115),"")=0,"",IF(BZ115&gt;BA115-1,INDEX(Lista_Pedidos,BY115+BA115-1,BQ115),"")),"")</f>
        <v/>
      </c>
      <c r="BR121" s="526" t="str">
        <f>IFERROR(IF(IF(BZ115&gt;BA115-1,INDEX(Lista_Pedidos,BY115+BA115-1,BR115),"")=0,"",IF(BZ115&gt;BA115-1,INDEX(Lista_Pedidos,BY115+BA115-1,BR115),"")),"")</f>
        <v/>
      </c>
      <c r="BS121" s="526" t="str">
        <f>IFERROR(IF(IF(BZ115&gt;BA115-1,INDEX(Lista_Pedidos,BY115+BA115-1,BS115),"")=0,"",IF(BZ115&gt;BA115-1,INDEX(Lista_Pedidos,BY115+BA115-1,BS115),"")),"")</f>
        <v/>
      </c>
      <c r="BT121" s="526" t="str">
        <f>IFERROR(IF(IF(BZ115&gt;BA115-1,INDEX(Lista_Pedidos,BY115+BA115-1,BT115),"")=0,"",IF(BZ115&gt;BA115-1,INDEX(Lista_Pedidos,BY115+BA115-1,BT115),"")),"")</f>
        <v/>
      </c>
      <c r="BU121" s="526" t="str">
        <f>IFERROR(IF(IF(BZ115&gt;BA115-1,INDEX(Lista_Pedidos,BY115+BA115-1,BU115),"")=0,"",IF(BZ115&gt;BA115-1,INDEX(Lista_Pedidos,BY115+BA115-1,BU115),"")),"")</f>
        <v/>
      </c>
      <c r="BV121" s="526" t="str">
        <f>IFERROR(IF(IF(BZ115&gt;BA115-1,INDEX(Lista_Pedidos,BY115+BA115-1,BV115),"")=0,"",IF(BZ115&gt;BA115-1,INDEX(Lista_Pedidos,BY115+BA115-1,BV115),"")),"")</f>
        <v/>
      </c>
      <c r="BW121" s="857" t="str">
        <f>IF(SUM(BJ121:BV121)&gt;1,SUM(BJ121:BV121),"")</f>
        <v/>
      </c>
      <c r="BX121" s="855"/>
      <c r="BY121" s="855"/>
      <c r="BZ121" s="860"/>
      <c r="CA121" s="854" t="str">
        <f>IFERROR(INDEX(Lista_Pedidos,Procesos!CY115+CA115-1,3),"")</f>
        <v/>
      </c>
      <c r="CB121" s="855"/>
      <c r="CC121" s="855"/>
      <c r="CD121" s="855"/>
      <c r="CE121" s="856"/>
      <c r="CF121" s="857" t="str">
        <f>IF(CZ115&gt;CA115-1,CE$11,"")</f>
        <v/>
      </c>
      <c r="CG121" s="855"/>
      <c r="CH121" s="855"/>
      <c r="CI121" s="856"/>
      <c r="CJ121" s="526" t="str">
        <f>IFERROR(IF(IF(CZ115&gt;CA115-1,INDEX(Lista_Pedidos,CY115+CA115-1,CJ115),"")=0,"",IF(CZ115&gt;CA115-1,INDEX(Lista_Pedidos,CY115+CA115-1,CJ115),"")),"")</f>
        <v/>
      </c>
      <c r="CK121" s="526" t="str">
        <f>IFERROR(IF(IF(CZ115&gt;CA115-1,INDEX(Lista_Pedidos,CY115+CA115-1,CK115),"")=0,"",IF(CZ115&gt;CA115-1,INDEX(Lista_Pedidos,CY115+CA115-1,CK115),"")),"")</f>
        <v/>
      </c>
      <c r="CL121" s="526" t="str">
        <f>IFERROR(IF(IF(CZ115&gt;CA115-1,INDEX(Lista_Pedidos,CY115+CA115-1,CL115),"")=0,"",IF(CZ115&gt;CA115-1,INDEX(Lista_Pedidos,CY115+CA115-1,CL115),"")),"")</f>
        <v/>
      </c>
      <c r="CM121" s="526" t="str">
        <f>IFERROR(IF(IF(CZ115&gt;CA115-1,INDEX(Lista_Pedidos,CY115+CA115-1,CM115),"")=0,"",IF(CZ115&gt;CA115-1,INDEX(Lista_Pedidos,CY115+CA115-1,CM115),"")),"")</f>
        <v/>
      </c>
      <c r="CN121" s="526" t="str">
        <f>IFERROR(IF(IF(CZ115&gt;CA115-1,INDEX(Lista_Pedidos,CY115+CA115-1,CN115),"")=0,"",IF(CZ115&gt;CA115-1,INDEX(Lista_Pedidos,CY115+CA115-1,CN115),"")),"")</f>
        <v/>
      </c>
      <c r="CO121" s="526" t="str">
        <f>IFERROR(IF(IF(CZ115&gt;CA115-1,INDEX(Lista_Pedidos,CY115+CA115-1,CO115),"")=0,"",IF(CZ115&gt;CA115-1,INDEX(Lista_Pedidos,CY115+CA115-1,CO115),"")),"")</f>
        <v/>
      </c>
      <c r="CP121" s="526" t="str">
        <f>IFERROR(IF(IF(CZ115&gt;CA115-1,INDEX(Lista_Pedidos,CY115+CA115-1,CP115),"")=0,"",IF(CZ115&gt;CA115-1,INDEX(Lista_Pedidos,CY115+CA115-1,CP115),"")),"")</f>
        <v/>
      </c>
      <c r="CQ121" s="526" t="str">
        <f>IFERROR(IF(IF(CZ115&gt;CA115-1,INDEX(Lista_Pedidos,CY115+CA115-1,CQ115),"")=0,"",IF(CZ115&gt;CA115-1,INDEX(Lista_Pedidos,CY115+CA115-1,CQ115),"")),"")</f>
        <v/>
      </c>
      <c r="CR121" s="526" t="str">
        <f>IFERROR(IF(IF(CZ115&gt;CA115-1,INDEX(Lista_Pedidos,CY115+CA115-1,CR115),"")=0,"",IF(CZ115&gt;CA115-1,INDEX(Lista_Pedidos,CY115+CA115-1,CR115),"")),"")</f>
        <v/>
      </c>
      <c r="CS121" s="526" t="str">
        <f>IFERROR(IF(IF(CZ115&gt;CA115-1,INDEX(Lista_Pedidos,CY115+CA115-1,CS115),"")=0,"",IF(CZ115&gt;CA115-1,INDEX(Lista_Pedidos,CY115+CA115-1,CS115),"")),"")</f>
        <v/>
      </c>
      <c r="CT121" s="526" t="str">
        <f>IFERROR(IF(IF(CZ115&gt;CA115-1,INDEX(Lista_Pedidos,CY115+CA115-1,CT115),"")=0,"",IF(CZ115&gt;CA115-1,INDEX(Lista_Pedidos,CY115+CA115-1,CT115),"")),"")</f>
        <v/>
      </c>
      <c r="CU121" s="526" t="str">
        <f>IFERROR(IF(IF(CZ115&gt;CA115-1,INDEX(Lista_Pedidos,CY115+CA115-1,CU115),"")=0,"",IF(CZ115&gt;CA115-1,INDEX(Lista_Pedidos,CY115+CA115-1,CU115),"")),"")</f>
        <v/>
      </c>
      <c r="CV121" s="526" t="str">
        <f>IFERROR(IF(IF(CZ115&gt;CA115-1,INDEX(Lista_Pedidos,CY115+CA115-1,CV115),"")=0,"",IF(CZ115&gt;CA115-1,INDEX(Lista_Pedidos,CY115+CA115-1,CV115),"")),"")</f>
        <v/>
      </c>
      <c r="CW121" s="857" t="str">
        <f>IF(SUM(CJ121:CV121)&gt;1,SUM(CJ121:CV121),"")</f>
        <v/>
      </c>
      <c r="CX121" s="855"/>
      <c r="CY121" s="855"/>
      <c r="CZ121" s="860"/>
      <c r="DA121" s="854" t="str">
        <f>IFERROR(INDEX(Lista_Pedidos,Procesos!DY115+DA115-1,3),"")</f>
        <v/>
      </c>
      <c r="DB121" s="855"/>
      <c r="DC121" s="855"/>
      <c r="DD121" s="855"/>
      <c r="DE121" s="856"/>
      <c r="DF121" s="857" t="str">
        <f>IF(DZ115&gt;DA115-1,DE$11,"")</f>
        <v/>
      </c>
      <c r="DG121" s="855"/>
      <c r="DH121" s="855"/>
      <c r="DI121" s="856"/>
      <c r="DJ121" s="526" t="str">
        <f>IFERROR(IF(IF(DZ115&gt;DA115-1,INDEX(Lista_Pedidos,DY115+DA115-1,DJ115),"")=0,"",IF(DZ115&gt;DA115-1,INDEX(Lista_Pedidos,DY115+DA115-1,DJ115),"")),"")</f>
        <v/>
      </c>
      <c r="DK121" s="526" t="str">
        <f>IFERROR(IF(IF(DZ115&gt;DA115-1,INDEX(Lista_Pedidos,DY115+DA115-1,DK115),"")=0,"",IF(DZ115&gt;DA115-1,INDEX(Lista_Pedidos,DY115+DA115-1,DK115),"")),"")</f>
        <v/>
      </c>
      <c r="DL121" s="526" t="str">
        <f>IFERROR(IF(IF(DZ115&gt;DA115-1,INDEX(Lista_Pedidos,DY115+DA115-1,DL115),"")=0,"",IF(DZ115&gt;DA115-1,INDEX(Lista_Pedidos,DY115+DA115-1,DL115),"")),"")</f>
        <v/>
      </c>
      <c r="DM121" s="526" t="str">
        <f>IFERROR(IF(IF(DZ115&gt;DA115-1,INDEX(Lista_Pedidos,DY115+DA115-1,DM115),"")=0,"",IF(DZ115&gt;DA115-1,INDEX(Lista_Pedidos,DY115+DA115-1,DM115),"")),"")</f>
        <v/>
      </c>
      <c r="DN121" s="526" t="str">
        <f>IFERROR(IF(IF(DZ115&gt;DA115-1,INDEX(Lista_Pedidos,DY115+DA115-1,DN115),"")=0,"",IF(DZ115&gt;DA115-1,INDEX(Lista_Pedidos,DY115+DA115-1,DN115),"")),"")</f>
        <v/>
      </c>
      <c r="DO121" s="526" t="str">
        <f>IFERROR(IF(IF(DZ115&gt;DA115-1,INDEX(Lista_Pedidos,DY115+DA115-1,DO115),"")=0,"",IF(DZ115&gt;DA115-1,INDEX(Lista_Pedidos,DY115+DA115-1,DO115),"")),"")</f>
        <v/>
      </c>
      <c r="DP121" s="526" t="str">
        <f>IFERROR(IF(IF(DZ115&gt;DA115-1,INDEX(Lista_Pedidos,DY115+DA115-1,DP115),"")=0,"",IF(DZ115&gt;DA115-1,INDEX(Lista_Pedidos,DY115+DA115-1,DP115),"")),"")</f>
        <v/>
      </c>
      <c r="DQ121" s="526" t="str">
        <f>IFERROR(IF(IF(DZ115&gt;DA115-1,INDEX(Lista_Pedidos,DY115+DA115-1,DQ115),"")=0,"",IF(DZ115&gt;DA115-1,INDEX(Lista_Pedidos,DY115+DA115-1,DQ115),"")),"")</f>
        <v/>
      </c>
      <c r="DR121" s="526" t="str">
        <f>IFERROR(IF(IF(DZ115&gt;DA115-1,INDEX(Lista_Pedidos,DY115+DA115-1,DR115),"")=0,"",IF(DZ115&gt;DA115-1,INDEX(Lista_Pedidos,DY115+DA115-1,DR115),"")),"")</f>
        <v/>
      </c>
      <c r="DS121" s="526" t="str">
        <f>IFERROR(IF(IF(DZ115&gt;DA115-1,INDEX(Lista_Pedidos,DY115+DA115-1,DS115),"")=0,"",IF(DZ115&gt;DA115-1,INDEX(Lista_Pedidos,DY115+DA115-1,DS115),"")),"")</f>
        <v/>
      </c>
      <c r="DT121" s="526" t="str">
        <f>IFERROR(IF(IF(DZ115&gt;DA115-1,INDEX(Lista_Pedidos,DY115+DA115-1,DT115),"")=0,"",IF(DZ115&gt;DA115-1,INDEX(Lista_Pedidos,DY115+DA115-1,DT115),"")),"")</f>
        <v/>
      </c>
      <c r="DU121" s="526" t="str">
        <f>IFERROR(IF(IF(DZ115&gt;DA115-1,INDEX(Lista_Pedidos,DY115+DA115-1,DU115),"")=0,"",IF(DZ115&gt;DA115-1,INDEX(Lista_Pedidos,DY115+DA115-1,DU115),"")),"")</f>
        <v/>
      </c>
      <c r="DV121" s="526" t="str">
        <f>IFERROR(IF(IF(DZ115&gt;DA115-1,INDEX(Lista_Pedidos,DY115+DA115-1,DV115),"")=0,"",IF(DZ115&gt;DA115-1,INDEX(Lista_Pedidos,DY115+DA115-1,DV115),"")),"")</f>
        <v/>
      </c>
      <c r="DW121" s="857" t="str">
        <f>IF(SUM(DJ121:DV121)&gt;1,SUM(DJ121:DV121),"")</f>
        <v/>
      </c>
      <c r="DX121" s="855"/>
      <c r="DY121" s="855"/>
      <c r="DZ121" s="860"/>
      <c r="EA121" s="854" t="str">
        <f>IFERROR(INDEX(Lista_Pedidos,Procesos!EY115+EA115-1,3),"")</f>
        <v/>
      </c>
      <c r="EB121" s="855"/>
      <c r="EC121" s="855"/>
      <c r="ED121" s="855"/>
      <c r="EE121" s="856"/>
      <c r="EF121" s="857" t="str">
        <f>IF(EZ115&gt;EA115-1,EE$11,"")</f>
        <v/>
      </c>
      <c r="EG121" s="855"/>
      <c r="EH121" s="855"/>
      <c r="EI121" s="856"/>
      <c r="EJ121" s="526" t="str">
        <f>IFERROR(IF(IF(EZ115&gt;EA115-1,INDEX(Lista_Pedidos,EY115+EA115-1,EJ115),"")=0,"",IF(EZ115&gt;EA115-1,INDEX(Lista_Pedidos,EY115+EA115-1,EJ115),"")),"")</f>
        <v/>
      </c>
      <c r="EK121" s="526" t="str">
        <f>IFERROR(IF(IF(EZ115&gt;EA115-1,INDEX(Lista_Pedidos,EY115+EA115-1,EK115),"")=0,"",IF(EZ115&gt;EA115-1,INDEX(Lista_Pedidos,EY115+EA115-1,EK115),"")),"")</f>
        <v/>
      </c>
      <c r="EL121" s="526" t="str">
        <f>IFERROR(IF(IF(EZ115&gt;EA115-1,INDEX(Lista_Pedidos,EY115+EA115-1,EL115),"")=0,"",IF(EZ115&gt;EA115-1,INDEX(Lista_Pedidos,EY115+EA115-1,EL115),"")),"")</f>
        <v/>
      </c>
      <c r="EM121" s="526" t="str">
        <f>IFERROR(IF(IF(EZ115&gt;EA115-1,INDEX(Lista_Pedidos,EY115+EA115-1,EM115),"")=0,"",IF(EZ115&gt;EA115-1,INDEX(Lista_Pedidos,EY115+EA115-1,EM115),"")),"")</f>
        <v/>
      </c>
      <c r="EN121" s="526" t="str">
        <f>IFERROR(IF(IF(EZ115&gt;EA115-1,INDEX(Lista_Pedidos,EY115+EA115-1,EN115),"")=0,"",IF(EZ115&gt;EA115-1,INDEX(Lista_Pedidos,EY115+EA115-1,EN115),"")),"")</f>
        <v/>
      </c>
      <c r="EO121" s="526" t="str">
        <f>IFERROR(IF(IF(EZ115&gt;EA115-1,INDEX(Lista_Pedidos,EY115+EA115-1,EO115),"")=0,"",IF(EZ115&gt;EA115-1,INDEX(Lista_Pedidos,EY115+EA115-1,EO115),"")),"")</f>
        <v/>
      </c>
      <c r="EP121" s="526" t="str">
        <f>IFERROR(IF(IF(EZ115&gt;EA115-1,INDEX(Lista_Pedidos,EY115+EA115-1,EP115),"")=0,"",IF(EZ115&gt;EA115-1,INDEX(Lista_Pedidos,EY115+EA115-1,EP115),"")),"")</f>
        <v/>
      </c>
      <c r="EQ121" s="526" t="str">
        <f>IFERROR(IF(IF(EZ115&gt;EA115-1,INDEX(Lista_Pedidos,EY115+EA115-1,EQ115),"")=0,"",IF(EZ115&gt;EA115-1,INDEX(Lista_Pedidos,EY115+EA115-1,EQ115),"")),"")</f>
        <v/>
      </c>
      <c r="ER121" s="526" t="str">
        <f>IFERROR(IF(IF(EZ115&gt;EA115-1,INDEX(Lista_Pedidos,EY115+EA115-1,ER115),"")=0,"",IF(EZ115&gt;EA115-1,INDEX(Lista_Pedidos,EY115+EA115-1,ER115),"")),"")</f>
        <v/>
      </c>
      <c r="ES121" s="526" t="str">
        <f>IFERROR(IF(IF(EZ115&gt;EA115-1,INDEX(Lista_Pedidos,EY115+EA115-1,ES115),"")=0,"",IF(EZ115&gt;EA115-1,INDEX(Lista_Pedidos,EY115+EA115-1,ES115),"")),"")</f>
        <v/>
      </c>
      <c r="ET121" s="526" t="str">
        <f>IFERROR(IF(IF(EZ115&gt;EA115-1,INDEX(Lista_Pedidos,EY115+EA115-1,ET115),"")=0,"",IF(EZ115&gt;EA115-1,INDEX(Lista_Pedidos,EY115+EA115-1,ET115),"")),"")</f>
        <v/>
      </c>
      <c r="EU121" s="526" t="str">
        <f>IFERROR(IF(IF(EZ115&gt;EA115-1,INDEX(Lista_Pedidos,EY115+EA115-1,EU115),"")=0,"",IF(EZ115&gt;EA115-1,INDEX(Lista_Pedidos,EY115+EA115-1,EU115),"")),"")</f>
        <v/>
      </c>
      <c r="EV121" s="526" t="str">
        <f>IFERROR(IF(IF(EZ115&gt;EA115-1,INDEX(Lista_Pedidos,EY115+EA115-1,EV115),"")=0,"",IF(EZ115&gt;EA115-1,INDEX(Lista_Pedidos,EY115+EA115-1,EV115),"")),"")</f>
        <v/>
      </c>
      <c r="EW121" s="857" t="str">
        <f>IF(SUM(EJ121:EV121)&gt;1,SUM(EJ121:EV121),"")</f>
        <v/>
      </c>
      <c r="EX121" s="855"/>
      <c r="EY121" s="855"/>
      <c r="EZ121" s="860"/>
      <c r="FA121" s="854" t="str">
        <f>IFERROR(INDEX(Lista_Pedidos,Procesos!FY115+FA115-1,3),"")</f>
        <v/>
      </c>
      <c r="FB121" s="855"/>
      <c r="FC121" s="855"/>
      <c r="FD121" s="855"/>
      <c r="FE121" s="856"/>
      <c r="FF121" s="857" t="str">
        <f>IF(FZ115&gt;FA115-1,FE$11,"")</f>
        <v/>
      </c>
      <c r="FG121" s="855"/>
      <c r="FH121" s="855"/>
      <c r="FI121" s="856"/>
      <c r="FJ121" s="526" t="str">
        <f>IFERROR(IF(IF(FZ115&gt;FA115-1,INDEX(Lista_Pedidos,FY115+FA115-1,FJ115),"")=0,"",IF(FZ115&gt;FA115-1,INDEX(Lista_Pedidos,FY115+FA115-1,FJ115),"")),"")</f>
        <v/>
      </c>
      <c r="FK121" s="526" t="str">
        <f>IFERROR(IF(IF(FZ115&gt;FA115-1,INDEX(Lista_Pedidos,FY115+FA115-1,FK115),"")=0,"",IF(FZ115&gt;FA115-1,INDEX(Lista_Pedidos,FY115+FA115-1,FK115),"")),"")</f>
        <v/>
      </c>
      <c r="FL121" s="526" t="str">
        <f>IFERROR(IF(IF(FZ115&gt;FA115-1,INDEX(Lista_Pedidos,FY115+FA115-1,FL115),"")=0,"",IF(FZ115&gt;FA115-1,INDEX(Lista_Pedidos,FY115+FA115-1,FL115),"")),"")</f>
        <v/>
      </c>
      <c r="FM121" s="526" t="str">
        <f>IFERROR(IF(IF(FZ115&gt;FA115-1,INDEX(Lista_Pedidos,FY115+FA115-1,FM115),"")=0,"",IF(FZ115&gt;FA115-1,INDEX(Lista_Pedidos,FY115+FA115-1,FM115),"")),"")</f>
        <v/>
      </c>
      <c r="FN121" s="526" t="str">
        <f>IFERROR(IF(IF(FZ115&gt;FA115-1,INDEX(Lista_Pedidos,FY115+FA115-1,FN115),"")=0,"",IF(FZ115&gt;FA115-1,INDEX(Lista_Pedidos,FY115+FA115-1,FN115),"")),"")</f>
        <v/>
      </c>
      <c r="FO121" s="526" t="str">
        <f>IFERROR(IF(IF(FZ115&gt;FA115-1,INDEX(Lista_Pedidos,FY115+FA115-1,FO115),"")=0,"",IF(FZ115&gt;FA115-1,INDEX(Lista_Pedidos,FY115+FA115-1,FO115),"")),"")</f>
        <v/>
      </c>
      <c r="FP121" s="526" t="str">
        <f>IFERROR(IF(IF(FZ115&gt;FA115-1,INDEX(Lista_Pedidos,FY115+FA115-1,FP115),"")=0,"",IF(FZ115&gt;FA115-1,INDEX(Lista_Pedidos,FY115+FA115-1,FP115),"")),"")</f>
        <v/>
      </c>
      <c r="FQ121" s="526" t="str">
        <f>IFERROR(IF(IF(FZ115&gt;FA115-1,INDEX(Lista_Pedidos,FY115+FA115-1,FQ115),"")=0,"",IF(FZ115&gt;FA115-1,INDEX(Lista_Pedidos,FY115+FA115-1,FQ115),"")),"")</f>
        <v/>
      </c>
      <c r="FR121" s="526" t="str">
        <f>IFERROR(IF(IF(FZ115&gt;FA115-1,INDEX(Lista_Pedidos,FY115+FA115-1,FR115),"")=0,"",IF(FZ115&gt;FA115-1,INDEX(Lista_Pedidos,FY115+FA115-1,FR115),"")),"")</f>
        <v/>
      </c>
      <c r="FS121" s="526" t="str">
        <f>IFERROR(IF(IF(FZ115&gt;FA115-1,INDEX(Lista_Pedidos,FY115+FA115-1,FS115),"")=0,"",IF(FZ115&gt;FA115-1,INDEX(Lista_Pedidos,FY115+FA115-1,FS115),"")),"")</f>
        <v/>
      </c>
      <c r="FT121" s="526" t="str">
        <f>IFERROR(IF(IF(FZ115&gt;FA115-1,INDEX(Lista_Pedidos,FY115+FA115-1,FT115),"")=0,"",IF(FZ115&gt;FA115-1,INDEX(Lista_Pedidos,FY115+FA115-1,FT115),"")),"")</f>
        <v/>
      </c>
      <c r="FU121" s="526" t="str">
        <f>IFERROR(IF(IF(FZ115&gt;FA115-1,INDEX(Lista_Pedidos,FY115+FA115-1,FU115),"")=0,"",IF(FZ115&gt;FA115-1,INDEX(Lista_Pedidos,FY115+FA115-1,FU115),"")),"")</f>
        <v/>
      </c>
      <c r="FV121" s="526" t="str">
        <f>IFERROR(IF(IF(FZ115&gt;FA115-1,INDEX(Lista_Pedidos,FY115+FA115-1,FV115),"")=0,"",IF(FZ115&gt;FA115-1,INDEX(Lista_Pedidos,FY115+FA115-1,FV115),"")),"")</f>
        <v/>
      </c>
      <c r="FW121" s="857" t="str">
        <f>IF(SUM(FJ121:FV121)&gt;1,SUM(FJ121:FV121),"")</f>
        <v/>
      </c>
      <c r="FX121" s="855"/>
      <c r="FY121" s="855"/>
      <c r="FZ121" s="860"/>
      <c r="GA121" s="854" t="str">
        <f>IFERROR(INDEX(Lista_Pedidos,Procesos!GY115+GA115-1,3),"")</f>
        <v/>
      </c>
      <c r="GB121" s="855"/>
      <c r="GC121" s="855"/>
      <c r="GD121" s="855"/>
      <c r="GE121" s="856"/>
      <c r="GF121" s="857" t="str">
        <f>IF(GZ115&gt;GA115-1,GE$11,"")</f>
        <v/>
      </c>
      <c r="GG121" s="855"/>
      <c r="GH121" s="855"/>
      <c r="GI121" s="856"/>
      <c r="GJ121" s="526" t="str">
        <f>IFERROR(IF(IF(GZ115&gt;GA115-1,INDEX(Lista_Pedidos,GY115+GA115-1,GJ115),"")=0,"",IF(GZ115&gt;GA115-1,INDEX(Lista_Pedidos,GY115+GA115-1,GJ115),"")),"")</f>
        <v/>
      </c>
      <c r="GK121" s="526" t="str">
        <f>IFERROR(IF(IF(GZ115&gt;GA115-1,INDEX(Lista_Pedidos,GY115+GA115-1,GK115),"")=0,"",IF(GZ115&gt;GA115-1,INDEX(Lista_Pedidos,GY115+GA115-1,GK115),"")),"")</f>
        <v/>
      </c>
      <c r="GL121" s="526" t="str">
        <f>IFERROR(IF(IF(GZ115&gt;GA115-1,INDEX(Lista_Pedidos,GY115+GA115-1,GL115),"")=0,"",IF(GZ115&gt;GA115-1,INDEX(Lista_Pedidos,GY115+GA115-1,GL115),"")),"")</f>
        <v/>
      </c>
      <c r="GM121" s="526" t="str">
        <f>IFERROR(IF(IF(GZ115&gt;GA115-1,INDEX(Lista_Pedidos,GY115+GA115-1,GM115),"")=0,"",IF(GZ115&gt;GA115-1,INDEX(Lista_Pedidos,GY115+GA115-1,GM115),"")),"")</f>
        <v/>
      </c>
      <c r="GN121" s="526" t="str">
        <f>IFERROR(IF(IF(GZ115&gt;GA115-1,INDEX(Lista_Pedidos,GY115+GA115-1,GN115),"")=0,"",IF(GZ115&gt;GA115-1,INDEX(Lista_Pedidos,GY115+GA115-1,GN115),"")),"")</f>
        <v/>
      </c>
      <c r="GO121" s="526" t="str">
        <f>IFERROR(IF(IF(GZ115&gt;GA115-1,INDEX(Lista_Pedidos,GY115+GA115-1,GO115),"")=0,"",IF(GZ115&gt;GA115-1,INDEX(Lista_Pedidos,GY115+GA115-1,GO115),"")),"")</f>
        <v/>
      </c>
      <c r="GP121" s="526" t="str">
        <f>IFERROR(IF(IF(GZ115&gt;GA115-1,INDEX(Lista_Pedidos,GY115+GA115-1,GP115),"")=0,"",IF(GZ115&gt;GA115-1,INDEX(Lista_Pedidos,GY115+GA115-1,GP115),"")),"")</f>
        <v/>
      </c>
      <c r="GQ121" s="526" t="str">
        <f>IFERROR(IF(IF(GZ115&gt;GA115-1,INDEX(Lista_Pedidos,GY115+GA115-1,GQ115),"")=0,"",IF(GZ115&gt;GA115-1,INDEX(Lista_Pedidos,GY115+GA115-1,GQ115),"")),"")</f>
        <v/>
      </c>
      <c r="GR121" s="526" t="str">
        <f>IFERROR(IF(IF(GZ115&gt;GA115-1,INDEX(Lista_Pedidos,GY115+GA115-1,GR115),"")=0,"",IF(GZ115&gt;GA115-1,INDEX(Lista_Pedidos,GY115+GA115-1,GR115),"")),"")</f>
        <v/>
      </c>
      <c r="GS121" s="526" t="str">
        <f>IFERROR(IF(IF(GZ115&gt;GA115-1,INDEX(Lista_Pedidos,GY115+GA115-1,GS115),"")=0,"",IF(GZ115&gt;GA115-1,INDEX(Lista_Pedidos,GY115+GA115-1,GS115),"")),"")</f>
        <v/>
      </c>
      <c r="GT121" s="526" t="str">
        <f>IFERROR(IF(IF(GZ115&gt;GA115-1,INDEX(Lista_Pedidos,GY115+GA115-1,GT115),"")=0,"",IF(GZ115&gt;GA115-1,INDEX(Lista_Pedidos,GY115+GA115-1,GT115),"")),"")</f>
        <v/>
      </c>
      <c r="GU121" s="526" t="str">
        <f>IFERROR(IF(IF(GZ115&gt;GA115-1,INDEX(Lista_Pedidos,GY115+GA115-1,GU115),"")=0,"",IF(GZ115&gt;GA115-1,INDEX(Lista_Pedidos,GY115+GA115-1,GU115),"")),"")</f>
        <v/>
      </c>
      <c r="GV121" s="526" t="str">
        <f>IFERROR(IF(IF(GZ115&gt;GA115-1,INDEX(Lista_Pedidos,GY115+GA115-1,GV115),"")=0,"",IF(GZ115&gt;GA115-1,INDEX(Lista_Pedidos,GY115+GA115-1,GV115),"")),"")</f>
        <v/>
      </c>
      <c r="GW121" s="857" t="str">
        <f>IF(SUM(GJ121:GV121)&gt;1,SUM(GJ121:GV121),"")</f>
        <v/>
      </c>
      <c r="GX121" s="855"/>
      <c r="GY121" s="855"/>
      <c r="GZ121" s="860"/>
      <c r="HA121" s="854" t="str">
        <f>IFERROR(INDEX(Lista_Pedidos,Procesos!HY115+HA115-1,3),"")</f>
        <v/>
      </c>
      <c r="HB121" s="855"/>
      <c r="HC121" s="855"/>
      <c r="HD121" s="855"/>
      <c r="HE121" s="856"/>
      <c r="HF121" s="857" t="str">
        <f>IF(HZ115&gt;HA115-1,HE$11,"")</f>
        <v/>
      </c>
      <c r="HG121" s="855"/>
      <c r="HH121" s="855"/>
      <c r="HI121" s="856"/>
      <c r="HJ121" s="526" t="str">
        <f>IFERROR(IF(IF(HZ115&gt;HA115-1,INDEX(Lista_Pedidos,HY115+HA115-1,HJ115),"")=0,"",IF(HZ115&gt;HA115-1,INDEX(Lista_Pedidos,HY115+HA115-1,HJ115),"")),"")</f>
        <v/>
      </c>
      <c r="HK121" s="526" t="str">
        <f>IFERROR(IF(IF(HZ115&gt;HA115-1,INDEX(Lista_Pedidos,HY115+HA115-1,HK115),"")=0,"",IF(HZ115&gt;HA115-1,INDEX(Lista_Pedidos,HY115+HA115-1,HK115),"")),"")</f>
        <v/>
      </c>
      <c r="HL121" s="526" t="str">
        <f>IFERROR(IF(IF(HZ115&gt;HA115-1,INDEX(Lista_Pedidos,HY115+HA115-1,HL115),"")=0,"",IF(HZ115&gt;HA115-1,INDEX(Lista_Pedidos,HY115+HA115-1,HL115),"")),"")</f>
        <v/>
      </c>
      <c r="HM121" s="526" t="str">
        <f>IFERROR(IF(IF(HZ115&gt;HA115-1,INDEX(Lista_Pedidos,HY115+HA115-1,HM115),"")=0,"",IF(HZ115&gt;HA115-1,INDEX(Lista_Pedidos,HY115+HA115-1,HM115),"")),"")</f>
        <v/>
      </c>
      <c r="HN121" s="526" t="str">
        <f>IFERROR(IF(IF(HZ115&gt;HA115-1,INDEX(Lista_Pedidos,HY115+HA115-1,HN115),"")=0,"",IF(HZ115&gt;HA115-1,INDEX(Lista_Pedidos,HY115+HA115-1,HN115),"")),"")</f>
        <v/>
      </c>
      <c r="HO121" s="526" t="str">
        <f>IFERROR(IF(IF(HZ115&gt;HA115-1,INDEX(Lista_Pedidos,HY115+HA115-1,HO115),"")=0,"",IF(HZ115&gt;HA115-1,INDEX(Lista_Pedidos,HY115+HA115-1,HO115),"")),"")</f>
        <v/>
      </c>
      <c r="HP121" s="526" t="str">
        <f>IFERROR(IF(IF(HZ115&gt;HA115-1,INDEX(Lista_Pedidos,HY115+HA115-1,HP115),"")=0,"",IF(HZ115&gt;HA115-1,INDEX(Lista_Pedidos,HY115+HA115-1,HP115),"")),"")</f>
        <v/>
      </c>
      <c r="HQ121" s="526" t="str">
        <f>IFERROR(IF(IF(HZ115&gt;HA115-1,INDEX(Lista_Pedidos,HY115+HA115-1,HQ115),"")=0,"",IF(HZ115&gt;HA115-1,INDEX(Lista_Pedidos,HY115+HA115-1,HQ115),"")),"")</f>
        <v/>
      </c>
      <c r="HR121" s="526" t="str">
        <f>IFERROR(IF(IF(HZ115&gt;HA115-1,INDEX(Lista_Pedidos,HY115+HA115-1,HR115),"")=0,"",IF(HZ115&gt;HA115-1,INDEX(Lista_Pedidos,HY115+HA115-1,HR115),"")),"")</f>
        <v/>
      </c>
      <c r="HS121" s="526" t="str">
        <f>IFERROR(IF(IF(HZ115&gt;HA115-1,INDEX(Lista_Pedidos,HY115+HA115-1,HS115),"")=0,"",IF(HZ115&gt;HA115-1,INDEX(Lista_Pedidos,HY115+HA115-1,HS115),"")),"")</f>
        <v/>
      </c>
      <c r="HT121" s="526" t="str">
        <f>IFERROR(IF(IF(HZ115&gt;HA115-1,INDEX(Lista_Pedidos,HY115+HA115-1,HT115),"")=0,"",IF(HZ115&gt;HA115-1,INDEX(Lista_Pedidos,HY115+HA115-1,HT115),"")),"")</f>
        <v/>
      </c>
      <c r="HU121" s="526" t="str">
        <f>IFERROR(IF(IF(HZ115&gt;HA115-1,INDEX(Lista_Pedidos,HY115+HA115-1,HU115),"")=0,"",IF(HZ115&gt;HA115-1,INDEX(Lista_Pedidos,HY115+HA115-1,HU115),"")),"")</f>
        <v/>
      </c>
      <c r="HV121" s="526" t="str">
        <f>IFERROR(IF(IF(HZ115&gt;HA115-1,INDEX(Lista_Pedidos,HY115+HA115-1,HV115),"")=0,"",IF(HZ115&gt;HA115-1,INDEX(Lista_Pedidos,HY115+HA115-1,HV115),"")),"")</f>
        <v/>
      </c>
      <c r="HW121" s="857" t="str">
        <f>IF(SUM(HJ121:HV121)&gt;1,SUM(HJ121:HV121),"")</f>
        <v/>
      </c>
      <c r="HX121" s="855"/>
      <c r="HY121" s="855"/>
      <c r="HZ121" s="860"/>
      <c r="IA121" s="854" t="str">
        <f>IFERROR(INDEX(Lista_Pedidos,Procesos!IY115+IA115-1,3),"")</f>
        <v/>
      </c>
      <c r="IB121" s="855"/>
      <c r="IC121" s="855"/>
      <c r="ID121" s="855"/>
      <c r="IE121" s="856"/>
      <c r="IF121" s="857" t="str">
        <f>IF(IZ115&gt;IA115-1,IE$11,"")</f>
        <v/>
      </c>
      <c r="IG121" s="855"/>
      <c r="IH121" s="855"/>
      <c r="II121" s="856"/>
      <c r="IJ121" s="526" t="str">
        <f>IFERROR(IF(IF(IZ115&gt;IA115-1,INDEX(Lista_Pedidos,IY115+IA115-1,IJ115),"")=0,"",IF(IZ115&gt;IA115-1,INDEX(Lista_Pedidos,IY115+IA115-1,IJ115),"")),"")</f>
        <v/>
      </c>
      <c r="IK121" s="526" t="str">
        <f>IFERROR(IF(IF(IZ115&gt;IA115-1,INDEX(Lista_Pedidos,IY115+IA115-1,IK115),"")=0,"",IF(IZ115&gt;IA115-1,INDEX(Lista_Pedidos,IY115+IA115-1,IK115),"")),"")</f>
        <v/>
      </c>
      <c r="IL121" s="526" t="str">
        <f>IFERROR(IF(IF(IZ115&gt;IA115-1,INDEX(Lista_Pedidos,IY115+IA115-1,IL115),"")=0,"",IF(IZ115&gt;IA115-1,INDEX(Lista_Pedidos,IY115+IA115-1,IL115),"")),"")</f>
        <v/>
      </c>
      <c r="IM121" s="526" t="str">
        <f>IFERROR(IF(IF(IZ115&gt;IA115-1,INDEX(Lista_Pedidos,IY115+IA115-1,IM115),"")=0,"",IF(IZ115&gt;IA115-1,INDEX(Lista_Pedidos,IY115+IA115-1,IM115),"")),"")</f>
        <v/>
      </c>
      <c r="IN121" s="526" t="str">
        <f>IFERROR(IF(IF(IZ115&gt;IA115-1,INDEX(Lista_Pedidos,IY115+IA115-1,IN115),"")=0,"",IF(IZ115&gt;IA115-1,INDEX(Lista_Pedidos,IY115+IA115-1,IN115),"")),"")</f>
        <v/>
      </c>
      <c r="IO121" s="526" t="str">
        <f>IFERROR(IF(IF(IZ115&gt;IA115-1,INDEX(Lista_Pedidos,IY115+IA115-1,IO115),"")=0,"",IF(IZ115&gt;IA115-1,INDEX(Lista_Pedidos,IY115+IA115-1,IO115),"")),"")</f>
        <v/>
      </c>
      <c r="IP121" s="526" t="str">
        <f>IFERROR(IF(IF(IZ115&gt;IA115-1,INDEX(Lista_Pedidos,IY115+IA115-1,IP115),"")=0,"",IF(IZ115&gt;IA115-1,INDEX(Lista_Pedidos,IY115+IA115-1,IP115),"")),"")</f>
        <v/>
      </c>
      <c r="IQ121" s="526" t="str">
        <f>IFERROR(IF(IF(IZ115&gt;IA115-1,INDEX(Lista_Pedidos,IY115+IA115-1,IQ115),"")=0,"",IF(IZ115&gt;IA115-1,INDEX(Lista_Pedidos,IY115+IA115-1,IQ115),"")),"")</f>
        <v/>
      </c>
      <c r="IR121" s="526" t="str">
        <f>IFERROR(IF(IF(IZ115&gt;IA115-1,INDEX(Lista_Pedidos,IY115+IA115-1,IR115),"")=0,"",IF(IZ115&gt;IA115-1,INDEX(Lista_Pedidos,IY115+IA115-1,IR115),"")),"")</f>
        <v/>
      </c>
      <c r="IS121" s="526" t="str">
        <f>IFERROR(IF(IF(IZ115&gt;IA115-1,INDEX(Lista_Pedidos,IY115+IA115-1,IS115),"")=0,"",IF(IZ115&gt;IA115-1,INDEX(Lista_Pedidos,IY115+IA115-1,IS115),"")),"")</f>
        <v/>
      </c>
      <c r="IT121" s="526" t="str">
        <f>IFERROR(IF(IF(IZ115&gt;IA115-1,INDEX(Lista_Pedidos,IY115+IA115-1,IT115),"")=0,"",IF(IZ115&gt;IA115-1,INDEX(Lista_Pedidos,IY115+IA115-1,IT115),"")),"")</f>
        <v/>
      </c>
      <c r="IU121" s="526" t="str">
        <f>IFERROR(IF(IF(IZ115&gt;IA115-1,INDEX(Lista_Pedidos,IY115+IA115-1,IU115),"")=0,"",IF(IZ115&gt;IA115-1,INDEX(Lista_Pedidos,IY115+IA115-1,IU115),"")),"")</f>
        <v/>
      </c>
      <c r="IV121" s="526" t="str">
        <f>IFERROR(IF(IF(IZ115&gt;IA115-1,INDEX(Lista_Pedidos,IY115+IA115-1,IV115),"")=0,"",IF(IZ115&gt;IA115-1,INDEX(Lista_Pedidos,IY115+IA115-1,IV115),"")),"")</f>
        <v/>
      </c>
      <c r="IW121" s="857" t="str">
        <f>IF(SUM(IJ121:IV121)&gt;1,SUM(IJ121:IV121),"")</f>
        <v/>
      </c>
      <c r="IX121" s="855"/>
      <c r="IY121" s="855"/>
      <c r="IZ121" s="860"/>
    </row>
    <row r="122" spans="1:260" x14ac:dyDescent="0.25">
      <c r="A122" s="823"/>
      <c r="B122" s="824"/>
      <c r="C122" s="824"/>
      <c r="D122" s="824"/>
      <c r="E122" s="824"/>
      <c r="F122" s="824"/>
      <c r="G122" s="824"/>
      <c r="H122" s="824"/>
      <c r="I122" s="824"/>
      <c r="J122" s="824"/>
      <c r="K122" s="824"/>
      <c r="L122" s="824"/>
      <c r="M122" s="824"/>
      <c r="N122" s="824"/>
      <c r="O122" s="824"/>
      <c r="P122" s="824"/>
      <c r="Q122" s="824"/>
      <c r="R122" s="824"/>
      <c r="S122" s="824"/>
      <c r="T122" s="824"/>
      <c r="U122" s="824"/>
      <c r="V122" s="824"/>
      <c r="W122" s="824" t="str">
        <f>IFERROR(IF(Z115&gt;A115-1,IF(INDEX(Lista_Pedidos,Y115+A115-1,2)&lt;&gt;"",INDEX(Lista_Pedidos,Y115+A115-1,2),""),""),"")</f>
        <v/>
      </c>
      <c r="X122" s="824"/>
      <c r="Y122" s="824"/>
      <c r="Z122" s="825"/>
      <c r="AA122" s="823"/>
      <c r="AB122" s="824"/>
      <c r="AC122" s="824"/>
      <c r="AD122" s="824"/>
      <c r="AE122" s="824"/>
      <c r="AF122" s="824"/>
      <c r="AG122" s="824"/>
      <c r="AH122" s="824"/>
      <c r="AI122" s="824"/>
      <c r="AJ122" s="824"/>
      <c r="AK122" s="824"/>
      <c r="AL122" s="824"/>
      <c r="AM122" s="824"/>
      <c r="AN122" s="824"/>
      <c r="AO122" s="824"/>
      <c r="AP122" s="824"/>
      <c r="AQ122" s="824"/>
      <c r="AR122" s="824"/>
      <c r="AS122" s="824"/>
      <c r="AT122" s="824"/>
      <c r="AU122" s="824"/>
      <c r="AV122" s="824"/>
      <c r="AW122" s="824" t="str">
        <f>IFERROR(IF(AZ115&gt;AA115-1,IF(INDEX(Lista_Pedidos,AY115+AA115-1,2)&lt;&gt;"",INDEX(Lista_Pedidos,AY115+AA115-1,2),""),""),"")</f>
        <v/>
      </c>
      <c r="AX122" s="824"/>
      <c r="AY122" s="824"/>
      <c r="AZ122" s="825"/>
      <c r="BA122" s="823"/>
      <c r="BB122" s="824"/>
      <c r="BC122" s="824"/>
      <c r="BD122" s="824"/>
      <c r="BE122" s="824"/>
      <c r="BF122" s="824"/>
      <c r="BG122" s="824"/>
      <c r="BH122" s="824"/>
      <c r="BI122" s="824"/>
      <c r="BJ122" s="824"/>
      <c r="BK122" s="824"/>
      <c r="BL122" s="824"/>
      <c r="BM122" s="824"/>
      <c r="BN122" s="824"/>
      <c r="BO122" s="824"/>
      <c r="BP122" s="824"/>
      <c r="BQ122" s="824"/>
      <c r="BR122" s="824"/>
      <c r="BS122" s="824"/>
      <c r="BT122" s="824"/>
      <c r="BU122" s="824"/>
      <c r="BV122" s="824"/>
      <c r="BW122" s="824" t="str">
        <f>IFERROR(IF(BZ115&gt;BA115-1,IF(INDEX(Lista_Pedidos,BY115+BA115-1,2)&lt;&gt;"",INDEX(Lista_Pedidos,BY115+BA115-1,2),""),""),"")</f>
        <v/>
      </c>
      <c r="BX122" s="824"/>
      <c r="BY122" s="824"/>
      <c r="BZ122" s="825"/>
      <c r="CA122" s="823"/>
      <c r="CB122" s="824"/>
      <c r="CC122" s="824"/>
      <c r="CD122" s="824"/>
      <c r="CE122" s="824"/>
      <c r="CF122" s="824"/>
      <c r="CG122" s="824"/>
      <c r="CH122" s="824"/>
      <c r="CI122" s="824"/>
      <c r="CJ122" s="824"/>
      <c r="CK122" s="824"/>
      <c r="CL122" s="824"/>
      <c r="CM122" s="824"/>
      <c r="CN122" s="824"/>
      <c r="CO122" s="824"/>
      <c r="CP122" s="824"/>
      <c r="CQ122" s="824"/>
      <c r="CR122" s="824"/>
      <c r="CS122" s="824"/>
      <c r="CT122" s="824"/>
      <c r="CU122" s="824"/>
      <c r="CV122" s="824"/>
      <c r="CW122" s="824" t="str">
        <f>IFERROR(IF(CZ115&gt;CA115-1,IF(INDEX(Lista_Pedidos,CY115+CA115-1,2)&lt;&gt;"",INDEX(Lista_Pedidos,CY115+CA115-1,2),""),""),"")</f>
        <v/>
      </c>
      <c r="CX122" s="824"/>
      <c r="CY122" s="824"/>
      <c r="CZ122" s="825"/>
      <c r="DA122" s="823"/>
      <c r="DB122" s="824"/>
      <c r="DC122" s="824"/>
      <c r="DD122" s="824"/>
      <c r="DE122" s="824"/>
      <c r="DF122" s="824"/>
      <c r="DG122" s="824"/>
      <c r="DH122" s="824"/>
      <c r="DI122" s="824"/>
      <c r="DJ122" s="824"/>
      <c r="DK122" s="824"/>
      <c r="DL122" s="824"/>
      <c r="DM122" s="824"/>
      <c r="DN122" s="824"/>
      <c r="DO122" s="824"/>
      <c r="DP122" s="824"/>
      <c r="DQ122" s="824"/>
      <c r="DR122" s="824"/>
      <c r="DS122" s="824"/>
      <c r="DT122" s="824"/>
      <c r="DU122" s="824"/>
      <c r="DV122" s="824"/>
      <c r="DW122" s="824" t="str">
        <f>IFERROR(IF(DZ115&gt;DA115-1,IF(INDEX(Lista_Pedidos,DY115+DA115-1,2)&lt;&gt;"",INDEX(Lista_Pedidos,DY115+DA115-1,2),""),""),"")</f>
        <v/>
      </c>
      <c r="DX122" s="824"/>
      <c r="DY122" s="824"/>
      <c r="DZ122" s="825"/>
      <c r="EA122" s="823"/>
      <c r="EB122" s="824"/>
      <c r="EC122" s="824"/>
      <c r="ED122" s="824"/>
      <c r="EE122" s="824"/>
      <c r="EF122" s="824"/>
      <c r="EG122" s="824"/>
      <c r="EH122" s="824"/>
      <c r="EI122" s="824"/>
      <c r="EJ122" s="824"/>
      <c r="EK122" s="824"/>
      <c r="EL122" s="824"/>
      <c r="EM122" s="824"/>
      <c r="EN122" s="824"/>
      <c r="EO122" s="824"/>
      <c r="EP122" s="824"/>
      <c r="EQ122" s="824"/>
      <c r="ER122" s="824"/>
      <c r="ES122" s="824"/>
      <c r="ET122" s="824"/>
      <c r="EU122" s="824"/>
      <c r="EV122" s="824"/>
      <c r="EW122" s="824" t="str">
        <f>IFERROR(IF(EZ115&gt;EA115-1,IF(INDEX(Lista_Pedidos,EY115+EA115-1,2)&lt;&gt;"",INDEX(Lista_Pedidos,EY115+EA115-1,2),""),""),"")</f>
        <v/>
      </c>
      <c r="EX122" s="824"/>
      <c r="EY122" s="824"/>
      <c r="EZ122" s="825"/>
      <c r="FA122" s="823"/>
      <c r="FB122" s="824"/>
      <c r="FC122" s="824"/>
      <c r="FD122" s="824"/>
      <c r="FE122" s="824"/>
      <c r="FF122" s="824"/>
      <c r="FG122" s="824"/>
      <c r="FH122" s="824"/>
      <c r="FI122" s="824"/>
      <c r="FJ122" s="824"/>
      <c r="FK122" s="824"/>
      <c r="FL122" s="824"/>
      <c r="FM122" s="824"/>
      <c r="FN122" s="824"/>
      <c r="FO122" s="824"/>
      <c r="FP122" s="824"/>
      <c r="FQ122" s="824"/>
      <c r="FR122" s="824"/>
      <c r="FS122" s="824"/>
      <c r="FT122" s="824"/>
      <c r="FU122" s="824"/>
      <c r="FV122" s="824"/>
      <c r="FW122" s="824" t="str">
        <f>IFERROR(IF(FZ115&gt;FA115-1,IF(INDEX(Lista_Pedidos,FY115+FA115-1,2)&lt;&gt;"",INDEX(Lista_Pedidos,FY115+FA115-1,2),""),""),"")</f>
        <v/>
      </c>
      <c r="FX122" s="824"/>
      <c r="FY122" s="824"/>
      <c r="FZ122" s="825"/>
      <c r="GA122" s="823"/>
      <c r="GB122" s="824"/>
      <c r="GC122" s="824"/>
      <c r="GD122" s="824"/>
      <c r="GE122" s="824"/>
      <c r="GF122" s="824"/>
      <c r="GG122" s="824"/>
      <c r="GH122" s="824"/>
      <c r="GI122" s="824"/>
      <c r="GJ122" s="824"/>
      <c r="GK122" s="824"/>
      <c r="GL122" s="824"/>
      <c r="GM122" s="824"/>
      <c r="GN122" s="824"/>
      <c r="GO122" s="824"/>
      <c r="GP122" s="824"/>
      <c r="GQ122" s="824"/>
      <c r="GR122" s="824"/>
      <c r="GS122" s="824"/>
      <c r="GT122" s="824"/>
      <c r="GU122" s="824"/>
      <c r="GV122" s="824"/>
      <c r="GW122" s="824" t="str">
        <f>IFERROR(IF(GZ115&gt;GA115-1,IF(INDEX(Lista_Pedidos,GY115+GA115-1,2)&lt;&gt;"",INDEX(Lista_Pedidos,GY115+GA115-1,2),""),""),"")</f>
        <v/>
      </c>
      <c r="GX122" s="824"/>
      <c r="GY122" s="824"/>
      <c r="GZ122" s="825"/>
      <c r="HA122" s="823"/>
      <c r="HB122" s="824"/>
      <c r="HC122" s="824"/>
      <c r="HD122" s="824"/>
      <c r="HE122" s="824"/>
      <c r="HF122" s="824"/>
      <c r="HG122" s="824"/>
      <c r="HH122" s="824"/>
      <c r="HI122" s="824"/>
      <c r="HJ122" s="824"/>
      <c r="HK122" s="824"/>
      <c r="HL122" s="824"/>
      <c r="HM122" s="824"/>
      <c r="HN122" s="824"/>
      <c r="HO122" s="824"/>
      <c r="HP122" s="824"/>
      <c r="HQ122" s="824"/>
      <c r="HR122" s="824"/>
      <c r="HS122" s="824"/>
      <c r="HT122" s="824"/>
      <c r="HU122" s="824"/>
      <c r="HV122" s="824"/>
      <c r="HW122" s="824" t="str">
        <f>IFERROR(IF(HZ115&gt;HA115-1,IF(INDEX(Lista_Pedidos,HY115+HA115-1,2)&lt;&gt;"",INDEX(Lista_Pedidos,HY115+HA115-1,2),""),""),"")</f>
        <v/>
      </c>
      <c r="HX122" s="824"/>
      <c r="HY122" s="824"/>
      <c r="HZ122" s="825"/>
      <c r="IA122" s="823"/>
      <c r="IB122" s="824"/>
      <c r="IC122" s="824"/>
      <c r="ID122" s="824"/>
      <c r="IE122" s="824"/>
      <c r="IF122" s="824"/>
      <c r="IG122" s="824"/>
      <c r="IH122" s="824"/>
      <c r="II122" s="824"/>
      <c r="IJ122" s="824"/>
      <c r="IK122" s="824"/>
      <c r="IL122" s="824"/>
      <c r="IM122" s="824"/>
      <c r="IN122" s="824"/>
      <c r="IO122" s="824"/>
      <c r="IP122" s="824"/>
      <c r="IQ122" s="824"/>
      <c r="IR122" s="824"/>
      <c r="IS122" s="824"/>
      <c r="IT122" s="824"/>
      <c r="IU122" s="824"/>
      <c r="IV122" s="824"/>
      <c r="IW122" s="824" t="str">
        <f>IFERROR(IF(IZ115&gt;IA115-1,IF(INDEX(Lista_Pedidos,IY115+IA115-1,2)&lt;&gt;"",INDEX(Lista_Pedidos,IY115+IA115-1,2),""),""),"")</f>
        <v/>
      </c>
      <c r="IX122" s="824"/>
      <c r="IY122" s="824"/>
      <c r="IZ122" s="825"/>
    </row>
    <row r="123" spans="1:260" x14ac:dyDescent="0.25">
      <c r="A123" s="800" t="str">
        <f>IFERROR(IF(Z115&gt;A115-1,IF(INDEX(Lista_Pedidos,Y115+A115-1,6)&lt;&gt;"","Nombre de la Tela :     "&amp; INDEX(Lista_Pedidos,Y115+A115-1,6),""),""),"")</f>
        <v/>
      </c>
      <c r="B123" s="801"/>
      <c r="C123" s="801"/>
      <c r="D123" s="801"/>
      <c r="E123" s="801"/>
      <c r="F123" s="801"/>
      <c r="G123" s="801"/>
      <c r="H123" s="801"/>
      <c r="I123" s="801"/>
      <c r="J123" s="801"/>
      <c r="K123" s="801"/>
      <c r="L123" s="801"/>
      <c r="M123" s="801"/>
      <c r="N123" s="801"/>
      <c r="O123" s="801"/>
      <c r="P123" s="801"/>
      <c r="Q123" s="801"/>
      <c r="R123" s="801"/>
      <c r="S123" s="801"/>
      <c r="T123" s="801"/>
      <c r="U123" s="801"/>
      <c r="V123" s="801"/>
      <c r="W123" s="826"/>
      <c r="X123" s="826"/>
      <c r="Y123" s="826"/>
      <c r="Z123" s="827"/>
      <c r="AA123" s="800" t="str">
        <f>IFERROR(IF(AZ115&gt;AA115-1,IF(INDEX(Lista_Pedidos,AY115+AA115-1,6)&lt;&gt;"","Nombre de la Tela :     "&amp; INDEX(Lista_Pedidos,AY115+AA115-1,6),""),""),"")</f>
        <v/>
      </c>
      <c r="AB123" s="801"/>
      <c r="AC123" s="801"/>
      <c r="AD123" s="801"/>
      <c r="AE123" s="801"/>
      <c r="AF123" s="801"/>
      <c r="AG123" s="801"/>
      <c r="AH123" s="801"/>
      <c r="AI123" s="801"/>
      <c r="AJ123" s="801"/>
      <c r="AK123" s="801"/>
      <c r="AL123" s="801"/>
      <c r="AM123" s="801"/>
      <c r="AN123" s="801"/>
      <c r="AO123" s="801"/>
      <c r="AP123" s="801"/>
      <c r="AQ123" s="801"/>
      <c r="AR123" s="801"/>
      <c r="AS123" s="801"/>
      <c r="AT123" s="801"/>
      <c r="AU123" s="801"/>
      <c r="AV123" s="801"/>
      <c r="AW123" s="826"/>
      <c r="AX123" s="826"/>
      <c r="AY123" s="826"/>
      <c r="AZ123" s="827"/>
      <c r="BA123" s="800" t="str">
        <f>IFERROR(IF(BZ115&gt;BA115-1,IF(INDEX(Lista_Pedidos,BY115+BA115-1,6)&lt;&gt;"","Nombre de la Tela :     "&amp; INDEX(Lista_Pedidos,BY115+BA115-1,6),""),""),"")</f>
        <v/>
      </c>
      <c r="BB123" s="801"/>
      <c r="BC123" s="801"/>
      <c r="BD123" s="801"/>
      <c r="BE123" s="801"/>
      <c r="BF123" s="801"/>
      <c r="BG123" s="801"/>
      <c r="BH123" s="801"/>
      <c r="BI123" s="801"/>
      <c r="BJ123" s="801"/>
      <c r="BK123" s="801"/>
      <c r="BL123" s="801"/>
      <c r="BM123" s="801"/>
      <c r="BN123" s="801"/>
      <c r="BO123" s="801"/>
      <c r="BP123" s="801"/>
      <c r="BQ123" s="801"/>
      <c r="BR123" s="801"/>
      <c r="BS123" s="801"/>
      <c r="BT123" s="801"/>
      <c r="BU123" s="801"/>
      <c r="BV123" s="801"/>
      <c r="BW123" s="826"/>
      <c r="BX123" s="826"/>
      <c r="BY123" s="826"/>
      <c r="BZ123" s="827"/>
      <c r="CA123" s="800" t="str">
        <f>IFERROR(IF(CZ115&gt;CA115-1,IF(INDEX(Lista_Pedidos,CY115+CA115-1,6)&lt;&gt;"","Nombre de la Tela :     "&amp; INDEX(Lista_Pedidos,CY115+CA115-1,6),""),""),"")</f>
        <v/>
      </c>
      <c r="CB123" s="801"/>
      <c r="CC123" s="801"/>
      <c r="CD123" s="801"/>
      <c r="CE123" s="801"/>
      <c r="CF123" s="801"/>
      <c r="CG123" s="801"/>
      <c r="CH123" s="801"/>
      <c r="CI123" s="801"/>
      <c r="CJ123" s="801"/>
      <c r="CK123" s="801"/>
      <c r="CL123" s="801"/>
      <c r="CM123" s="801"/>
      <c r="CN123" s="801"/>
      <c r="CO123" s="801"/>
      <c r="CP123" s="801"/>
      <c r="CQ123" s="801"/>
      <c r="CR123" s="801"/>
      <c r="CS123" s="801"/>
      <c r="CT123" s="801"/>
      <c r="CU123" s="801"/>
      <c r="CV123" s="801"/>
      <c r="CW123" s="826"/>
      <c r="CX123" s="826"/>
      <c r="CY123" s="826"/>
      <c r="CZ123" s="827"/>
      <c r="DA123" s="800" t="str">
        <f>IFERROR(IF(DZ115&gt;DA115-1,IF(INDEX(Lista_Pedidos,DY115+DA115-1,6)&lt;&gt;"","Nombre de la Tela :     "&amp; INDEX(Lista_Pedidos,DY115+DA115-1,6),""),""),"")</f>
        <v/>
      </c>
      <c r="DB123" s="801"/>
      <c r="DC123" s="801"/>
      <c r="DD123" s="801"/>
      <c r="DE123" s="801"/>
      <c r="DF123" s="801"/>
      <c r="DG123" s="801"/>
      <c r="DH123" s="801"/>
      <c r="DI123" s="801"/>
      <c r="DJ123" s="801"/>
      <c r="DK123" s="801"/>
      <c r="DL123" s="801"/>
      <c r="DM123" s="801"/>
      <c r="DN123" s="801"/>
      <c r="DO123" s="801"/>
      <c r="DP123" s="801"/>
      <c r="DQ123" s="801"/>
      <c r="DR123" s="801"/>
      <c r="DS123" s="801"/>
      <c r="DT123" s="801"/>
      <c r="DU123" s="801"/>
      <c r="DV123" s="801"/>
      <c r="DW123" s="826"/>
      <c r="DX123" s="826"/>
      <c r="DY123" s="826"/>
      <c r="DZ123" s="827"/>
      <c r="EA123" s="800" t="str">
        <f>IFERROR(IF(EZ115&gt;EA115-1,IF(INDEX(Lista_Pedidos,EY115+EA115-1,6)&lt;&gt;"","Nombre de la Tela :     "&amp; INDEX(Lista_Pedidos,EY115+EA115-1,6),""),""),"")</f>
        <v/>
      </c>
      <c r="EB123" s="801"/>
      <c r="EC123" s="801"/>
      <c r="ED123" s="801"/>
      <c r="EE123" s="801"/>
      <c r="EF123" s="801"/>
      <c r="EG123" s="801"/>
      <c r="EH123" s="801"/>
      <c r="EI123" s="801"/>
      <c r="EJ123" s="801"/>
      <c r="EK123" s="801"/>
      <c r="EL123" s="801"/>
      <c r="EM123" s="801"/>
      <c r="EN123" s="801"/>
      <c r="EO123" s="801"/>
      <c r="EP123" s="801"/>
      <c r="EQ123" s="801"/>
      <c r="ER123" s="801"/>
      <c r="ES123" s="801"/>
      <c r="ET123" s="801"/>
      <c r="EU123" s="801"/>
      <c r="EV123" s="801"/>
      <c r="EW123" s="826"/>
      <c r="EX123" s="826"/>
      <c r="EY123" s="826"/>
      <c r="EZ123" s="827"/>
      <c r="FA123" s="800" t="str">
        <f>IFERROR(IF(FZ115&gt;FA115-1,IF(INDEX(Lista_Pedidos,FY115+FA115-1,6)&lt;&gt;"","Nombre de la Tela :     "&amp; INDEX(Lista_Pedidos,FY115+FA115-1,6),""),""),"")</f>
        <v/>
      </c>
      <c r="FB123" s="801"/>
      <c r="FC123" s="801"/>
      <c r="FD123" s="801"/>
      <c r="FE123" s="801"/>
      <c r="FF123" s="801"/>
      <c r="FG123" s="801"/>
      <c r="FH123" s="801"/>
      <c r="FI123" s="801"/>
      <c r="FJ123" s="801"/>
      <c r="FK123" s="801"/>
      <c r="FL123" s="801"/>
      <c r="FM123" s="801"/>
      <c r="FN123" s="801"/>
      <c r="FO123" s="801"/>
      <c r="FP123" s="801"/>
      <c r="FQ123" s="801"/>
      <c r="FR123" s="801"/>
      <c r="FS123" s="801"/>
      <c r="FT123" s="801"/>
      <c r="FU123" s="801"/>
      <c r="FV123" s="801"/>
      <c r="FW123" s="826"/>
      <c r="FX123" s="826"/>
      <c r="FY123" s="826"/>
      <c r="FZ123" s="827"/>
      <c r="GA123" s="800" t="str">
        <f>IFERROR(IF(GZ115&gt;GA115-1,IF(INDEX(Lista_Pedidos,GY115+GA115-1,6)&lt;&gt;"","Nombre de la Tela :     "&amp; INDEX(Lista_Pedidos,GY115+GA115-1,6),""),""),"")</f>
        <v/>
      </c>
      <c r="GB123" s="801"/>
      <c r="GC123" s="801"/>
      <c r="GD123" s="801"/>
      <c r="GE123" s="801"/>
      <c r="GF123" s="801"/>
      <c r="GG123" s="801"/>
      <c r="GH123" s="801"/>
      <c r="GI123" s="801"/>
      <c r="GJ123" s="801"/>
      <c r="GK123" s="801"/>
      <c r="GL123" s="801"/>
      <c r="GM123" s="801"/>
      <c r="GN123" s="801"/>
      <c r="GO123" s="801"/>
      <c r="GP123" s="801"/>
      <c r="GQ123" s="801"/>
      <c r="GR123" s="801"/>
      <c r="GS123" s="801"/>
      <c r="GT123" s="801"/>
      <c r="GU123" s="801"/>
      <c r="GV123" s="801"/>
      <c r="GW123" s="826"/>
      <c r="GX123" s="826"/>
      <c r="GY123" s="826"/>
      <c r="GZ123" s="827"/>
      <c r="HA123" s="800" t="str">
        <f>IFERROR(IF(HZ115&gt;HA115-1,IF(INDEX(Lista_Pedidos,HY115+HA115-1,6)&lt;&gt;"","Nombre de la Tela :     "&amp; INDEX(Lista_Pedidos,HY115+HA115-1,6),""),""),"")</f>
        <v/>
      </c>
      <c r="HB123" s="801"/>
      <c r="HC123" s="801"/>
      <c r="HD123" s="801"/>
      <c r="HE123" s="801"/>
      <c r="HF123" s="801"/>
      <c r="HG123" s="801"/>
      <c r="HH123" s="801"/>
      <c r="HI123" s="801"/>
      <c r="HJ123" s="801"/>
      <c r="HK123" s="801"/>
      <c r="HL123" s="801"/>
      <c r="HM123" s="801"/>
      <c r="HN123" s="801"/>
      <c r="HO123" s="801"/>
      <c r="HP123" s="801"/>
      <c r="HQ123" s="801"/>
      <c r="HR123" s="801"/>
      <c r="HS123" s="801"/>
      <c r="HT123" s="801"/>
      <c r="HU123" s="801"/>
      <c r="HV123" s="801"/>
      <c r="HW123" s="826"/>
      <c r="HX123" s="826"/>
      <c r="HY123" s="826"/>
      <c r="HZ123" s="827"/>
      <c r="IA123" s="800" t="str">
        <f>IFERROR(IF(IZ115&gt;IA115-1,IF(INDEX(Lista_Pedidos,IY115+IA115-1,6)&lt;&gt;"","Nombre de la Tela :     "&amp; INDEX(Lista_Pedidos,IY115+IA115-1,6),""),""),"")</f>
        <v/>
      </c>
      <c r="IB123" s="801"/>
      <c r="IC123" s="801"/>
      <c r="ID123" s="801"/>
      <c r="IE123" s="801"/>
      <c r="IF123" s="801"/>
      <c r="IG123" s="801"/>
      <c r="IH123" s="801"/>
      <c r="II123" s="801"/>
      <c r="IJ123" s="801"/>
      <c r="IK123" s="801"/>
      <c r="IL123" s="801"/>
      <c r="IM123" s="801"/>
      <c r="IN123" s="801"/>
      <c r="IO123" s="801"/>
      <c r="IP123" s="801"/>
      <c r="IQ123" s="801"/>
      <c r="IR123" s="801"/>
      <c r="IS123" s="801"/>
      <c r="IT123" s="801"/>
      <c r="IU123" s="801"/>
      <c r="IV123" s="801"/>
      <c r="IW123" s="826"/>
      <c r="IX123" s="826"/>
      <c r="IY123" s="826"/>
      <c r="IZ123" s="827"/>
    </row>
    <row r="124" spans="1:260" x14ac:dyDescent="0.25">
      <c r="A124" s="800" t="str">
        <f>IFERROR(IF(Z115&gt;A115-1,IF(INDEX(Lista_Pedidos,Y115+A115-1,7)&lt;&gt;"","Hilo :     "&amp; INDEX(Lista_Pedidos,Y115+A115-1,7),""),""),"")</f>
        <v/>
      </c>
      <c r="B124" s="801"/>
      <c r="C124" s="801"/>
      <c r="D124" s="801"/>
      <c r="E124" s="801"/>
      <c r="F124" s="801"/>
      <c r="G124" s="801"/>
      <c r="H124" s="801"/>
      <c r="I124" s="801"/>
      <c r="J124" s="801"/>
      <c r="K124" s="801"/>
      <c r="L124" s="801"/>
      <c r="M124" s="801"/>
      <c r="N124" s="801"/>
      <c r="O124" s="801"/>
      <c r="P124" s="801"/>
      <c r="Q124" s="801"/>
      <c r="R124" s="801"/>
      <c r="S124" s="801"/>
      <c r="T124" s="801"/>
      <c r="U124" s="801"/>
      <c r="V124" s="801"/>
      <c r="W124" s="801"/>
      <c r="X124" s="801"/>
      <c r="Y124" s="801"/>
      <c r="Z124" s="802"/>
      <c r="AA124" s="800" t="str">
        <f>IFERROR(IF(AZ115&gt;AA115-1,IF(INDEX(Lista_Pedidos,AY115+AA115-1,7)&lt;&gt;"","Hilo :     "&amp; INDEX(Lista_Pedidos,AY115+AA115-1,7),""),""),"")</f>
        <v/>
      </c>
      <c r="AB124" s="801"/>
      <c r="AC124" s="801"/>
      <c r="AD124" s="801"/>
      <c r="AE124" s="801"/>
      <c r="AF124" s="801"/>
      <c r="AG124" s="801"/>
      <c r="AH124" s="801"/>
      <c r="AI124" s="801"/>
      <c r="AJ124" s="801"/>
      <c r="AK124" s="801"/>
      <c r="AL124" s="801"/>
      <c r="AM124" s="801"/>
      <c r="AN124" s="801"/>
      <c r="AO124" s="801"/>
      <c r="AP124" s="801"/>
      <c r="AQ124" s="801"/>
      <c r="AR124" s="801"/>
      <c r="AS124" s="801"/>
      <c r="AT124" s="801"/>
      <c r="AU124" s="801"/>
      <c r="AV124" s="801"/>
      <c r="AW124" s="801"/>
      <c r="AX124" s="801"/>
      <c r="AY124" s="801"/>
      <c r="AZ124" s="802"/>
      <c r="BA124" s="800" t="str">
        <f>IFERROR(IF(BZ115&gt;BA115-1,IF(INDEX(Lista_Pedidos,BY115+BA115-1,7)&lt;&gt;"","Hilo :     "&amp; INDEX(Lista_Pedidos,BY115+BA115-1,7),""),""),"")</f>
        <v/>
      </c>
      <c r="BB124" s="801"/>
      <c r="BC124" s="801"/>
      <c r="BD124" s="801"/>
      <c r="BE124" s="801"/>
      <c r="BF124" s="801"/>
      <c r="BG124" s="801"/>
      <c r="BH124" s="801"/>
      <c r="BI124" s="801"/>
      <c r="BJ124" s="801"/>
      <c r="BK124" s="801"/>
      <c r="BL124" s="801"/>
      <c r="BM124" s="801"/>
      <c r="BN124" s="801"/>
      <c r="BO124" s="801"/>
      <c r="BP124" s="801"/>
      <c r="BQ124" s="801"/>
      <c r="BR124" s="801"/>
      <c r="BS124" s="801"/>
      <c r="BT124" s="801"/>
      <c r="BU124" s="801"/>
      <c r="BV124" s="801"/>
      <c r="BW124" s="801"/>
      <c r="BX124" s="801"/>
      <c r="BY124" s="801"/>
      <c r="BZ124" s="802"/>
      <c r="CA124" s="800" t="str">
        <f>IFERROR(IF(CZ115&gt;CA115-1,IF(INDEX(Lista_Pedidos,CY115+CA115-1,7)&lt;&gt;"","Hilo :     "&amp; INDEX(Lista_Pedidos,CY115+CA115-1,7),""),""),"")</f>
        <v/>
      </c>
      <c r="CB124" s="801"/>
      <c r="CC124" s="801"/>
      <c r="CD124" s="801"/>
      <c r="CE124" s="801"/>
      <c r="CF124" s="801"/>
      <c r="CG124" s="801"/>
      <c r="CH124" s="801"/>
      <c r="CI124" s="801"/>
      <c r="CJ124" s="801"/>
      <c r="CK124" s="801"/>
      <c r="CL124" s="801"/>
      <c r="CM124" s="801"/>
      <c r="CN124" s="801"/>
      <c r="CO124" s="801"/>
      <c r="CP124" s="801"/>
      <c r="CQ124" s="801"/>
      <c r="CR124" s="801"/>
      <c r="CS124" s="801"/>
      <c r="CT124" s="801"/>
      <c r="CU124" s="801"/>
      <c r="CV124" s="801"/>
      <c r="CW124" s="801"/>
      <c r="CX124" s="801"/>
      <c r="CY124" s="801"/>
      <c r="CZ124" s="802"/>
      <c r="DA124" s="800" t="str">
        <f>IFERROR(IF(DZ115&gt;DA115-1,IF(INDEX(Lista_Pedidos,DY115+DA115-1,7)&lt;&gt;"","Hilo :     "&amp; INDEX(Lista_Pedidos,DY115+DA115-1,7),""),""),"")</f>
        <v/>
      </c>
      <c r="DB124" s="801"/>
      <c r="DC124" s="801"/>
      <c r="DD124" s="801"/>
      <c r="DE124" s="801"/>
      <c r="DF124" s="801"/>
      <c r="DG124" s="801"/>
      <c r="DH124" s="801"/>
      <c r="DI124" s="801"/>
      <c r="DJ124" s="801"/>
      <c r="DK124" s="801"/>
      <c r="DL124" s="801"/>
      <c r="DM124" s="801"/>
      <c r="DN124" s="801"/>
      <c r="DO124" s="801"/>
      <c r="DP124" s="801"/>
      <c r="DQ124" s="801"/>
      <c r="DR124" s="801"/>
      <c r="DS124" s="801"/>
      <c r="DT124" s="801"/>
      <c r="DU124" s="801"/>
      <c r="DV124" s="801"/>
      <c r="DW124" s="801"/>
      <c r="DX124" s="801"/>
      <c r="DY124" s="801"/>
      <c r="DZ124" s="802"/>
      <c r="EA124" s="800" t="str">
        <f>IFERROR(IF(EZ115&gt;EA115-1,IF(INDEX(Lista_Pedidos,EY115+EA115-1,7)&lt;&gt;"","Hilo :     "&amp; INDEX(Lista_Pedidos,EY115+EA115-1,7),""),""),"")</f>
        <v/>
      </c>
      <c r="EB124" s="801"/>
      <c r="EC124" s="801"/>
      <c r="ED124" s="801"/>
      <c r="EE124" s="801"/>
      <c r="EF124" s="801"/>
      <c r="EG124" s="801"/>
      <c r="EH124" s="801"/>
      <c r="EI124" s="801"/>
      <c r="EJ124" s="801"/>
      <c r="EK124" s="801"/>
      <c r="EL124" s="801"/>
      <c r="EM124" s="801"/>
      <c r="EN124" s="801"/>
      <c r="EO124" s="801"/>
      <c r="EP124" s="801"/>
      <c r="EQ124" s="801"/>
      <c r="ER124" s="801"/>
      <c r="ES124" s="801"/>
      <c r="ET124" s="801"/>
      <c r="EU124" s="801"/>
      <c r="EV124" s="801"/>
      <c r="EW124" s="801"/>
      <c r="EX124" s="801"/>
      <c r="EY124" s="801"/>
      <c r="EZ124" s="802"/>
      <c r="FA124" s="800" t="str">
        <f>IFERROR(IF(FZ115&gt;FA115-1,IF(INDEX(Lista_Pedidos,FY115+FA115-1,7)&lt;&gt;"","Hilo :     "&amp; INDEX(Lista_Pedidos,FY115+FA115-1,7),""),""),"")</f>
        <v/>
      </c>
      <c r="FB124" s="801"/>
      <c r="FC124" s="801"/>
      <c r="FD124" s="801"/>
      <c r="FE124" s="801"/>
      <c r="FF124" s="801"/>
      <c r="FG124" s="801"/>
      <c r="FH124" s="801"/>
      <c r="FI124" s="801"/>
      <c r="FJ124" s="801"/>
      <c r="FK124" s="801"/>
      <c r="FL124" s="801"/>
      <c r="FM124" s="801"/>
      <c r="FN124" s="801"/>
      <c r="FO124" s="801"/>
      <c r="FP124" s="801"/>
      <c r="FQ124" s="801"/>
      <c r="FR124" s="801"/>
      <c r="FS124" s="801"/>
      <c r="FT124" s="801"/>
      <c r="FU124" s="801"/>
      <c r="FV124" s="801"/>
      <c r="FW124" s="801"/>
      <c r="FX124" s="801"/>
      <c r="FY124" s="801"/>
      <c r="FZ124" s="802"/>
      <c r="GA124" s="800" t="str">
        <f>IFERROR(IF(GZ115&gt;GA115-1,IF(INDEX(Lista_Pedidos,GY115+GA115-1,7)&lt;&gt;"","Hilo :     "&amp; INDEX(Lista_Pedidos,GY115+GA115-1,7),""),""),"")</f>
        <v/>
      </c>
      <c r="GB124" s="801"/>
      <c r="GC124" s="801"/>
      <c r="GD124" s="801"/>
      <c r="GE124" s="801"/>
      <c r="GF124" s="801"/>
      <c r="GG124" s="801"/>
      <c r="GH124" s="801"/>
      <c r="GI124" s="801"/>
      <c r="GJ124" s="801"/>
      <c r="GK124" s="801"/>
      <c r="GL124" s="801"/>
      <c r="GM124" s="801"/>
      <c r="GN124" s="801"/>
      <c r="GO124" s="801"/>
      <c r="GP124" s="801"/>
      <c r="GQ124" s="801"/>
      <c r="GR124" s="801"/>
      <c r="GS124" s="801"/>
      <c r="GT124" s="801"/>
      <c r="GU124" s="801"/>
      <c r="GV124" s="801"/>
      <c r="GW124" s="801"/>
      <c r="GX124" s="801"/>
      <c r="GY124" s="801"/>
      <c r="GZ124" s="802"/>
      <c r="HA124" s="800" t="str">
        <f>IFERROR(IF(HZ115&gt;HA115-1,IF(INDEX(Lista_Pedidos,HY115+HA115-1,7)&lt;&gt;"","Hilo :     "&amp; INDEX(Lista_Pedidos,HY115+HA115-1,7),""),""),"")</f>
        <v/>
      </c>
      <c r="HB124" s="801"/>
      <c r="HC124" s="801"/>
      <c r="HD124" s="801"/>
      <c r="HE124" s="801"/>
      <c r="HF124" s="801"/>
      <c r="HG124" s="801"/>
      <c r="HH124" s="801"/>
      <c r="HI124" s="801"/>
      <c r="HJ124" s="801"/>
      <c r="HK124" s="801"/>
      <c r="HL124" s="801"/>
      <c r="HM124" s="801"/>
      <c r="HN124" s="801"/>
      <c r="HO124" s="801"/>
      <c r="HP124" s="801"/>
      <c r="HQ124" s="801"/>
      <c r="HR124" s="801"/>
      <c r="HS124" s="801"/>
      <c r="HT124" s="801"/>
      <c r="HU124" s="801"/>
      <c r="HV124" s="801"/>
      <c r="HW124" s="801"/>
      <c r="HX124" s="801"/>
      <c r="HY124" s="801"/>
      <c r="HZ124" s="802"/>
      <c r="IA124" s="800" t="str">
        <f>IFERROR(IF(IZ115&gt;IA115-1,IF(INDEX(Lista_Pedidos,IY115+IA115-1,7)&lt;&gt;"","Hilo :     "&amp; INDEX(Lista_Pedidos,IY115+IA115-1,7),""),""),"")</f>
        <v/>
      </c>
      <c r="IB124" s="801"/>
      <c r="IC124" s="801"/>
      <c r="ID124" s="801"/>
      <c r="IE124" s="801"/>
      <c r="IF124" s="801"/>
      <c r="IG124" s="801"/>
      <c r="IH124" s="801"/>
      <c r="II124" s="801"/>
      <c r="IJ124" s="801"/>
      <c r="IK124" s="801"/>
      <c r="IL124" s="801"/>
      <c r="IM124" s="801"/>
      <c r="IN124" s="801"/>
      <c r="IO124" s="801"/>
      <c r="IP124" s="801"/>
      <c r="IQ124" s="801"/>
      <c r="IR124" s="801"/>
      <c r="IS124" s="801"/>
      <c r="IT124" s="801"/>
      <c r="IU124" s="801"/>
      <c r="IV124" s="801"/>
      <c r="IW124" s="801"/>
      <c r="IX124" s="801"/>
      <c r="IY124" s="801"/>
      <c r="IZ124" s="802"/>
    </row>
    <row r="125" spans="1:260" x14ac:dyDescent="0.25">
      <c r="A125" s="800" t="str">
        <f>IFERROR(IF(Z115&gt;A115-1,IF(INDEX(Lista_Pedidos,Y115+A115-1,8)&lt;&gt;"","Forro :     "&amp; INDEX(Lista_Pedidos,Y115+A115-1,8),""),""),"")</f>
        <v/>
      </c>
      <c r="B125" s="801"/>
      <c r="C125" s="801"/>
      <c r="D125" s="801"/>
      <c r="E125" s="801"/>
      <c r="F125" s="801"/>
      <c r="G125" s="801"/>
      <c r="H125" s="801"/>
      <c r="I125" s="801"/>
      <c r="J125" s="801"/>
      <c r="K125" s="801"/>
      <c r="L125" s="801"/>
      <c r="M125" s="801"/>
      <c r="N125" s="801"/>
      <c r="O125" s="801"/>
      <c r="P125" s="801"/>
      <c r="Q125" s="801"/>
      <c r="R125" s="801"/>
      <c r="S125" s="801"/>
      <c r="T125" s="801"/>
      <c r="U125" s="801"/>
      <c r="V125" s="801"/>
      <c r="W125" s="801"/>
      <c r="X125" s="801"/>
      <c r="Y125" s="801"/>
      <c r="Z125" s="802"/>
      <c r="AA125" s="800" t="str">
        <f>IFERROR(IF(AZ115&gt;AA115-1,IF(INDEX(Lista_Pedidos,AY115+AA115-1,8)&lt;&gt;"","Forro :     "&amp; INDEX(Lista_Pedidos,AY115+AA115-1,8),""),""),"")</f>
        <v/>
      </c>
      <c r="AB125" s="801"/>
      <c r="AC125" s="801"/>
      <c r="AD125" s="801"/>
      <c r="AE125" s="801"/>
      <c r="AF125" s="801"/>
      <c r="AG125" s="801"/>
      <c r="AH125" s="801"/>
      <c r="AI125" s="801"/>
      <c r="AJ125" s="801"/>
      <c r="AK125" s="801"/>
      <c r="AL125" s="801"/>
      <c r="AM125" s="801"/>
      <c r="AN125" s="801"/>
      <c r="AO125" s="801"/>
      <c r="AP125" s="801"/>
      <c r="AQ125" s="801"/>
      <c r="AR125" s="801"/>
      <c r="AS125" s="801"/>
      <c r="AT125" s="801"/>
      <c r="AU125" s="801"/>
      <c r="AV125" s="801"/>
      <c r="AW125" s="801"/>
      <c r="AX125" s="801"/>
      <c r="AY125" s="801"/>
      <c r="AZ125" s="802"/>
      <c r="BA125" s="800" t="str">
        <f>IFERROR(IF(BZ115&gt;BA115-1,IF(INDEX(Lista_Pedidos,BY115+BA115-1,8)&lt;&gt;"","Forro :     "&amp; INDEX(Lista_Pedidos,BY115+BA115-1,8),""),""),"")</f>
        <v/>
      </c>
      <c r="BB125" s="801"/>
      <c r="BC125" s="801"/>
      <c r="BD125" s="801"/>
      <c r="BE125" s="801"/>
      <c r="BF125" s="801"/>
      <c r="BG125" s="801"/>
      <c r="BH125" s="801"/>
      <c r="BI125" s="801"/>
      <c r="BJ125" s="801"/>
      <c r="BK125" s="801"/>
      <c r="BL125" s="801"/>
      <c r="BM125" s="801"/>
      <c r="BN125" s="801"/>
      <c r="BO125" s="801"/>
      <c r="BP125" s="801"/>
      <c r="BQ125" s="801"/>
      <c r="BR125" s="801"/>
      <c r="BS125" s="801"/>
      <c r="BT125" s="801"/>
      <c r="BU125" s="801"/>
      <c r="BV125" s="801"/>
      <c r="BW125" s="801"/>
      <c r="BX125" s="801"/>
      <c r="BY125" s="801"/>
      <c r="BZ125" s="802"/>
      <c r="CA125" s="800" t="str">
        <f>IFERROR(IF(CZ115&gt;CA115-1,IF(INDEX(Lista_Pedidos,CY115+CA115-1,8)&lt;&gt;"","Forro :     "&amp; INDEX(Lista_Pedidos,CY115+CA115-1,8),""),""),"")</f>
        <v/>
      </c>
      <c r="CB125" s="801"/>
      <c r="CC125" s="801"/>
      <c r="CD125" s="801"/>
      <c r="CE125" s="801"/>
      <c r="CF125" s="801"/>
      <c r="CG125" s="801"/>
      <c r="CH125" s="801"/>
      <c r="CI125" s="801"/>
      <c r="CJ125" s="801"/>
      <c r="CK125" s="801"/>
      <c r="CL125" s="801"/>
      <c r="CM125" s="801"/>
      <c r="CN125" s="801"/>
      <c r="CO125" s="801"/>
      <c r="CP125" s="801"/>
      <c r="CQ125" s="801"/>
      <c r="CR125" s="801"/>
      <c r="CS125" s="801"/>
      <c r="CT125" s="801"/>
      <c r="CU125" s="801"/>
      <c r="CV125" s="801"/>
      <c r="CW125" s="801"/>
      <c r="CX125" s="801"/>
      <c r="CY125" s="801"/>
      <c r="CZ125" s="802"/>
      <c r="DA125" s="800" t="str">
        <f>IFERROR(IF(DZ115&gt;DA115-1,IF(INDEX(Lista_Pedidos,DY115+DA115-1,8)&lt;&gt;"","Forro :     "&amp; INDEX(Lista_Pedidos,DY115+DA115-1,8),""),""),"")</f>
        <v/>
      </c>
      <c r="DB125" s="801"/>
      <c r="DC125" s="801"/>
      <c r="DD125" s="801"/>
      <c r="DE125" s="801"/>
      <c r="DF125" s="801"/>
      <c r="DG125" s="801"/>
      <c r="DH125" s="801"/>
      <c r="DI125" s="801"/>
      <c r="DJ125" s="801"/>
      <c r="DK125" s="801"/>
      <c r="DL125" s="801"/>
      <c r="DM125" s="801"/>
      <c r="DN125" s="801"/>
      <c r="DO125" s="801"/>
      <c r="DP125" s="801"/>
      <c r="DQ125" s="801"/>
      <c r="DR125" s="801"/>
      <c r="DS125" s="801"/>
      <c r="DT125" s="801"/>
      <c r="DU125" s="801"/>
      <c r="DV125" s="801"/>
      <c r="DW125" s="801"/>
      <c r="DX125" s="801"/>
      <c r="DY125" s="801"/>
      <c r="DZ125" s="802"/>
      <c r="EA125" s="800" t="str">
        <f>IFERROR(IF(EZ115&gt;EA115-1,IF(INDEX(Lista_Pedidos,EY115+EA115-1,8)&lt;&gt;"","Forro :     "&amp; INDEX(Lista_Pedidos,EY115+EA115-1,8),""),""),"")</f>
        <v/>
      </c>
      <c r="EB125" s="801"/>
      <c r="EC125" s="801"/>
      <c r="ED125" s="801"/>
      <c r="EE125" s="801"/>
      <c r="EF125" s="801"/>
      <c r="EG125" s="801"/>
      <c r="EH125" s="801"/>
      <c r="EI125" s="801"/>
      <c r="EJ125" s="801"/>
      <c r="EK125" s="801"/>
      <c r="EL125" s="801"/>
      <c r="EM125" s="801"/>
      <c r="EN125" s="801"/>
      <c r="EO125" s="801"/>
      <c r="EP125" s="801"/>
      <c r="EQ125" s="801"/>
      <c r="ER125" s="801"/>
      <c r="ES125" s="801"/>
      <c r="ET125" s="801"/>
      <c r="EU125" s="801"/>
      <c r="EV125" s="801"/>
      <c r="EW125" s="801"/>
      <c r="EX125" s="801"/>
      <c r="EY125" s="801"/>
      <c r="EZ125" s="802"/>
      <c r="FA125" s="800" t="str">
        <f>IFERROR(IF(FZ115&gt;FA115-1,IF(INDEX(Lista_Pedidos,FY115+FA115-1,8)&lt;&gt;"","Forro :     "&amp; INDEX(Lista_Pedidos,FY115+FA115-1,8),""),""),"")</f>
        <v/>
      </c>
      <c r="FB125" s="801"/>
      <c r="FC125" s="801"/>
      <c r="FD125" s="801"/>
      <c r="FE125" s="801"/>
      <c r="FF125" s="801"/>
      <c r="FG125" s="801"/>
      <c r="FH125" s="801"/>
      <c r="FI125" s="801"/>
      <c r="FJ125" s="801"/>
      <c r="FK125" s="801"/>
      <c r="FL125" s="801"/>
      <c r="FM125" s="801"/>
      <c r="FN125" s="801"/>
      <c r="FO125" s="801"/>
      <c r="FP125" s="801"/>
      <c r="FQ125" s="801"/>
      <c r="FR125" s="801"/>
      <c r="FS125" s="801"/>
      <c r="FT125" s="801"/>
      <c r="FU125" s="801"/>
      <c r="FV125" s="801"/>
      <c r="FW125" s="801"/>
      <c r="FX125" s="801"/>
      <c r="FY125" s="801"/>
      <c r="FZ125" s="802"/>
      <c r="GA125" s="800" t="str">
        <f>IFERROR(IF(GZ115&gt;GA115-1,IF(INDEX(Lista_Pedidos,GY115+GA115-1,8)&lt;&gt;"","Forro :     "&amp; INDEX(Lista_Pedidos,GY115+GA115-1,8),""),""),"")</f>
        <v/>
      </c>
      <c r="GB125" s="801"/>
      <c r="GC125" s="801"/>
      <c r="GD125" s="801"/>
      <c r="GE125" s="801"/>
      <c r="GF125" s="801"/>
      <c r="GG125" s="801"/>
      <c r="GH125" s="801"/>
      <c r="GI125" s="801"/>
      <c r="GJ125" s="801"/>
      <c r="GK125" s="801"/>
      <c r="GL125" s="801"/>
      <c r="GM125" s="801"/>
      <c r="GN125" s="801"/>
      <c r="GO125" s="801"/>
      <c r="GP125" s="801"/>
      <c r="GQ125" s="801"/>
      <c r="GR125" s="801"/>
      <c r="GS125" s="801"/>
      <c r="GT125" s="801"/>
      <c r="GU125" s="801"/>
      <c r="GV125" s="801"/>
      <c r="GW125" s="801"/>
      <c r="GX125" s="801"/>
      <c r="GY125" s="801"/>
      <c r="GZ125" s="802"/>
      <c r="HA125" s="800" t="str">
        <f>IFERROR(IF(HZ115&gt;HA115-1,IF(INDEX(Lista_Pedidos,HY115+HA115-1,8)&lt;&gt;"","Forro :     "&amp; INDEX(Lista_Pedidos,HY115+HA115-1,8),""),""),"")</f>
        <v/>
      </c>
      <c r="HB125" s="801"/>
      <c r="HC125" s="801"/>
      <c r="HD125" s="801"/>
      <c r="HE125" s="801"/>
      <c r="HF125" s="801"/>
      <c r="HG125" s="801"/>
      <c r="HH125" s="801"/>
      <c r="HI125" s="801"/>
      <c r="HJ125" s="801"/>
      <c r="HK125" s="801"/>
      <c r="HL125" s="801"/>
      <c r="HM125" s="801"/>
      <c r="HN125" s="801"/>
      <c r="HO125" s="801"/>
      <c r="HP125" s="801"/>
      <c r="HQ125" s="801"/>
      <c r="HR125" s="801"/>
      <c r="HS125" s="801"/>
      <c r="HT125" s="801"/>
      <c r="HU125" s="801"/>
      <c r="HV125" s="801"/>
      <c r="HW125" s="801"/>
      <c r="HX125" s="801"/>
      <c r="HY125" s="801"/>
      <c r="HZ125" s="802"/>
      <c r="IA125" s="800" t="str">
        <f>IFERROR(IF(IZ115&gt;IA115-1,IF(INDEX(Lista_Pedidos,IY115+IA115-1,8)&lt;&gt;"","Forro :     "&amp; INDEX(Lista_Pedidos,IY115+IA115-1,8),""),""),"")</f>
        <v/>
      </c>
      <c r="IB125" s="801"/>
      <c r="IC125" s="801"/>
      <c r="ID125" s="801"/>
      <c r="IE125" s="801"/>
      <c r="IF125" s="801"/>
      <c r="IG125" s="801"/>
      <c r="IH125" s="801"/>
      <c r="II125" s="801"/>
      <c r="IJ125" s="801"/>
      <c r="IK125" s="801"/>
      <c r="IL125" s="801"/>
      <c r="IM125" s="801"/>
      <c r="IN125" s="801"/>
      <c r="IO125" s="801"/>
      <c r="IP125" s="801"/>
      <c r="IQ125" s="801"/>
      <c r="IR125" s="801"/>
      <c r="IS125" s="801"/>
      <c r="IT125" s="801"/>
      <c r="IU125" s="801"/>
      <c r="IV125" s="801"/>
      <c r="IW125" s="801"/>
      <c r="IX125" s="801"/>
      <c r="IY125" s="801"/>
      <c r="IZ125" s="802"/>
    </row>
    <row r="126" spans="1:260" x14ac:dyDescent="0.25">
      <c r="A126" s="800" t="str">
        <f>IF(A$5="Cliente Especial : NEON",IF(Z115&gt;A115-1,"Neon :      Si",""),"")</f>
        <v/>
      </c>
      <c r="B126" s="801"/>
      <c r="C126" s="801"/>
      <c r="D126" s="801"/>
      <c r="E126" s="801"/>
      <c r="F126" s="801"/>
      <c r="G126" s="801"/>
      <c r="H126" s="801"/>
      <c r="I126" s="801"/>
      <c r="J126" s="801"/>
      <c r="K126" s="801"/>
      <c r="L126" s="801"/>
      <c r="M126" s="801"/>
      <c r="N126" s="801"/>
      <c r="O126" s="801"/>
      <c r="P126" s="801"/>
      <c r="Q126" s="801"/>
      <c r="R126" s="801"/>
      <c r="S126" s="801"/>
      <c r="T126" s="801"/>
      <c r="U126" s="801"/>
      <c r="V126" s="801"/>
      <c r="W126" s="801"/>
      <c r="X126" s="801"/>
      <c r="Y126" s="801"/>
      <c r="Z126" s="802"/>
      <c r="AA126" s="800" t="str">
        <f>IF(AA$5="Cliente Especial : NEON",IF(AZ115&gt;AA115-1,"Neon :      Si",""),"")</f>
        <v/>
      </c>
      <c r="AB126" s="801"/>
      <c r="AC126" s="801"/>
      <c r="AD126" s="801"/>
      <c r="AE126" s="801"/>
      <c r="AF126" s="801"/>
      <c r="AG126" s="801"/>
      <c r="AH126" s="801"/>
      <c r="AI126" s="801"/>
      <c r="AJ126" s="801"/>
      <c r="AK126" s="801"/>
      <c r="AL126" s="801"/>
      <c r="AM126" s="801"/>
      <c r="AN126" s="801"/>
      <c r="AO126" s="801"/>
      <c r="AP126" s="801"/>
      <c r="AQ126" s="801"/>
      <c r="AR126" s="801"/>
      <c r="AS126" s="801"/>
      <c r="AT126" s="801"/>
      <c r="AU126" s="801"/>
      <c r="AV126" s="801"/>
      <c r="AW126" s="801"/>
      <c r="AX126" s="801"/>
      <c r="AY126" s="801"/>
      <c r="AZ126" s="802"/>
      <c r="BA126" s="800" t="str">
        <f>IF(BA$5="Cliente Especial : NEON",IF(BZ115&gt;BA115-1,"Neon :      Si",""),"")</f>
        <v/>
      </c>
      <c r="BB126" s="801"/>
      <c r="BC126" s="801"/>
      <c r="BD126" s="801"/>
      <c r="BE126" s="801"/>
      <c r="BF126" s="801"/>
      <c r="BG126" s="801"/>
      <c r="BH126" s="801"/>
      <c r="BI126" s="801"/>
      <c r="BJ126" s="801"/>
      <c r="BK126" s="801"/>
      <c r="BL126" s="801"/>
      <c r="BM126" s="801"/>
      <c r="BN126" s="801"/>
      <c r="BO126" s="801"/>
      <c r="BP126" s="801"/>
      <c r="BQ126" s="801"/>
      <c r="BR126" s="801"/>
      <c r="BS126" s="801"/>
      <c r="BT126" s="801"/>
      <c r="BU126" s="801"/>
      <c r="BV126" s="801"/>
      <c r="BW126" s="801"/>
      <c r="BX126" s="801"/>
      <c r="BY126" s="801"/>
      <c r="BZ126" s="802"/>
      <c r="CA126" s="800" t="str">
        <f>IF(CA$5="Cliente Especial : NEON",IF(CZ115&gt;CA115-1,"Neon :      Si",""),"")</f>
        <v/>
      </c>
      <c r="CB126" s="801"/>
      <c r="CC126" s="801"/>
      <c r="CD126" s="801"/>
      <c r="CE126" s="801"/>
      <c r="CF126" s="801"/>
      <c r="CG126" s="801"/>
      <c r="CH126" s="801"/>
      <c r="CI126" s="801"/>
      <c r="CJ126" s="801"/>
      <c r="CK126" s="801"/>
      <c r="CL126" s="801"/>
      <c r="CM126" s="801"/>
      <c r="CN126" s="801"/>
      <c r="CO126" s="801"/>
      <c r="CP126" s="801"/>
      <c r="CQ126" s="801"/>
      <c r="CR126" s="801"/>
      <c r="CS126" s="801"/>
      <c r="CT126" s="801"/>
      <c r="CU126" s="801"/>
      <c r="CV126" s="801"/>
      <c r="CW126" s="801"/>
      <c r="CX126" s="801"/>
      <c r="CY126" s="801"/>
      <c r="CZ126" s="802"/>
      <c r="DA126" s="800" t="str">
        <f>IF(DA$5="Cliente Especial : NEON",IF(DZ115&gt;DA115-1,"Neon :      Si",""),"")</f>
        <v/>
      </c>
      <c r="DB126" s="801"/>
      <c r="DC126" s="801"/>
      <c r="DD126" s="801"/>
      <c r="DE126" s="801"/>
      <c r="DF126" s="801"/>
      <c r="DG126" s="801"/>
      <c r="DH126" s="801"/>
      <c r="DI126" s="801"/>
      <c r="DJ126" s="801"/>
      <c r="DK126" s="801"/>
      <c r="DL126" s="801"/>
      <c r="DM126" s="801"/>
      <c r="DN126" s="801"/>
      <c r="DO126" s="801"/>
      <c r="DP126" s="801"/>
      <c r="DQ126" s="801"/>
      <c r="DR126" s="801"/>
      <c r="DS126" s="801"/>
      <c r="DT126" s="801"/>
      <c r="DU126" s="801"/>
      <c r="DV126" s="801"/>
      <c r="DW126" s="801"/>
      <c r="DX126" s="801"/>
      <c r="DY126" s="801"/>
      <c r="DZ126" s="802"/>
      <c r="EA126" s="800" t="str">
        <f>IF(EA$5="Cliente Especial : NEON",IF(EZ115&gt;EA115-1,"Neon :      Si",""),"")</f>
        <v/>
      </c>
      <c r="EB126" s="801"/>
      <c r="EC126" s="801"/>
      <c r="ED126" s="801"/>
      <c r="EE126" s="801"/>
      <c r="EF126" s="801"/>
      <c r="EG126" s="801"/>
      <c r="EH126" s="801"/>
      <c r="EI126" s="801"/>
      <c r="EJ126" s="801"/>
      <c r="EK126" s="801"/>
      <c r="EL126" s="801"/>
      <c r="EM126" s="801"/>
      <c r="EN126" s="801"/>
      <c r="EO126" s="801"/>
      <c r="EP126" s="801"/>
      <c r="EQ126" s="801"/>
      <c r="ER126" s="801"/>
      <c r="ES126" s="801"/>
      <c r="ET126" s="801"/>
      <c r="EU126" s="801"/>
      <c r="EV126" s="801"/>
      <c r="EW126" s="801"/>
      <c r="EX126" s="801"/>
      <c r="EY126" s="801"/>
      <c r="EZ126" s="802"/>
      <c r="FA126" s="800" t="str">
        <f>IF(FA$5="Cliente Especial : NEON",IF(FZ115&gt;FA115-1,"Neon :      Si",""),"")</f>
        <v/>
      </c>
      <c r="FB126" s="801"/>
      <c r="FC126" s="801"/>
      <c r="FD126" s="801"/>
      <c r="FE126" s="801"/>
      <c r="FF126" s="801"/>
      <c r="FG126" s="801"/>
      <c r="FH126" s="801"/>
      <c r="FI126" s="801"/>
      <c r="FJ126" s="801"/>
      <c r="FK126" s="801"/>
      <c r="FL126" s="801"/>
      <c r="FM126" s="801"/>
      <c r="FN126" s="801"/>
      <c r="FO126" s="801"/>
      <c r="FP126" s="801"/>
      <c r="FQ126" s="801"/>
      <c r="FR126" s="801"/>
      <c r="FS126" s="801"/>
      <c r="FT126" s="801"/>
      <c r="FU126" s="801"/>
      <c r="FV126" s="801"/>
      <c r="FW126" s="801"/>
      <c r="FX126" s="801"/>
      <c r="FY126" s="801"/>
      <c r="FZ126" s="802"/>
      <c r="GA126" s="800" t="str">
        <f>IF(GA$5="Cliente Especial : NEON",IF(GZ115&gt;GA115-1,"Neon :      Si",""),"")</f>
        <v/>
      </c>
      <c r="GB126" s="801"/>
      <c r="GC126" s="801"/>
      <c r="GD126" s="801"/>
      <c r="GE126" s="801"/>
      <c r="GF126" s="801"/>
      <c r="GG126" s="801"/>
      <c r="GH126" s="801"/>
      <c r="GI126" s="801"/>
      <c r="GJ126" s="801"/>
      <c r="GK126" s="801"/>
      <c r="GL126" s="801"/>
      <c r="GM126" s="801"/>
      <c r="GN126" s="801"/>
      <c r="GO126" s="801"/>
      <c r="GP126" s="801"/>
      <c r="GQ126" s="801"/>
      <c r="GR126" s="801"/>
      <c r="GS126" s="801"/>
      <c r="GT126" s="801"/>
      <c r="GU126" s="801"/>
      <c r="GV126" s="801"/>
      <c r="GW126" s="801"/>
      <c r="GX126" s="801"/>
      <c r="GY126" s="801"/>
      <c r="GZ126" s="802"/>
      <c r="HA126" s="800" t="str">
        <f>IF(HA$5="Cliente Especial : NEON",IF(HZ115&gt;HA115-1,"Neon :      Si",""),"")</f>
        <v/>
      </c>
      <c r="HB126" s="801"/>
      <c r="HC126" s="801"/>
      <c r="HD126" s="801"/>
      <c r="HE126" s="801"/>
      <c r="HF126" s="801"/>
      <c r="HG126" s="801"/>
      <c r="HH126" s="801"/>
      <c r="HI126" s="801"/>
      <c r="HJ126" s="801"/>
      <c r="HK126" s="801"/>
      <c r="HL126" s="801"/>
      <c r="HM126" s="801"/>
      <c r="HN126" s="801"/>
      <c r="HO126" s="801"/>
      <c r="HP126" s="801"/>
      <c r="HQ126" s="801"/>
      <c r="HR126" s="801"/>
      <c r="HS126" s="801"/>
      <c r="HT126" s="801"/>
      <c r="HU126" s="801"/>
      <c r="HV126" s="801"/>
      <c r="HW126" s="801"/>
      <c r="HX126" s="801"/>
      <c r="HY126" s="801"/>
      <c r="HZ126" s="802"/>
      <c r="IA126" s="800" t="str">
        <f>IF(IA$5="Cliente Especial : NEON",IF(IZ115&gt;IA115-1,"Neon :      Si",""),"")</f>
        <v/>
      </c>
      <c r="IB126" s="801"/>
      <c r="IC126" s="801"/>
      <c r="ID126" s="801"/>
      <c r="IE126" s="801"/>
      <c r="IF126" s="801"/>
      <c r="IG126" s="801"/>
      <c r="IH126" s="801"/>
      <c r="II126" s="801"/>
      <c r="IJ126" s="801"/>
      <c r="IK126" s="801"/>
      <c r="IL126" s="801"/>
      <c r="IM126" s="801"/>
      <c r="IN126" s="801"/>
      <c r="IO126" s="801"/>
      <c r="IP126" s="801"/>
      <c r="IQ126" s="801"/>
      <c r="IR126" s="801"/>
      <c r="IS126" s="801"/>
      <c r="IT126" s="801"/>
      <c r="IU126" s="801"/>
      <c r="IV126" s="801"/>
      <c r="IW126" s="801"/>
      <c r="IX126" s="801"/>
      <c r="IY126" s="801"/>
      <c r="IZ126" s="802"/>
    </row>
    <row r="127" spans="1:260" x14ac:dyDescent="0.25">
      <c r="A127" s="800" t="str">
        <f>IFERROR(IF(Z115&gt;A115-1,IF(INDEX(Pedidos!J:AZ,Y115+A115-1,9)&lt;&gt;"","Cierre :     "&amp; INDEX(Pedidos!J:AZ,Y115+A115-1,9),""),""),"")</f>
        <v/>
      </c>
      <c r="B127" s="801"/>
      <c r="C127" s="801"/>
      <c r="D127" s="801"/>
      <c r="E127" s="801"/>
      <c r="F127" s="801"/>
      <c r="G127" s="801"/>
      <c r="H127" s="801"/>
      <c r="I127" s="801"/>
      <c r="J127" s="801"/>
      <c r="K127" s="801"/>
      <c r="L127" s="801"/>
      <c r="M127" s="801"/>
      <c r="N127" s="801"/>
      <c r="O127" s="801"/>
      <c r="P127" s="801"/>
      <c r="Q127" s="801"/>
      <c r="R127" s="801"/>
      <c r="S127" s="801"/>
      <c r="T127" s="801"/>
      <c r="U127" s="801"/>
      <c r="V127" s="801"/>
      <c r="W127" s="801"/>
      <c r="X127" s="801"/>
      <c r="Y127" s="801"/>
      <c r="Z127" s="802"/>
      <c r="AA127" s="800" t="str">
        <f>IFERROR(IF(AZ115&gt;AA115-1,IF(INDEX(Pedidos!AJ:BZ,AY115+AA115-1,9)&lt;&gt;"","Cierre :     "&amp; INDEX(Pedidos!AJ:BZ,AY115+AA115-1,9),""),""),"")</f>
        <v/>
      </c>
      <c r="AB127" s="801"/>
      <c r="AC127" s="801"/>
      <c r="AD127" s="801"/>
      <c r="AE127" s="801"/>
      <c r="AF127" s="801"/>
      <c r="AG127" s="801"/>
      <c r="AH127" s="801"/>
      <c r="AI127" s="801"/>
      <c r="AJ127" s="801"/>
      <c r="AK127" s="801"/>
      <c r="AL127" s="801"/>
      <c r="AM127" s="801"/>
      <c r="AN127" s="801"/>
      <c r="AO127" s="801"/>
      <c r="AP127" s="801"/>
      <c r="AQ127" s="801"/>
      <c r="AR127" s="801"/>
      <c r="AS127" s="801"/>
      <c r="AT127" s="801"/>
      <c r="AU127" s="801"/>
      <c r="AV127" s="801"/>
      <c r="AW127" s="801"/>
      <c r="AX127" s="801"/>
      <c r="AY127" s="801"/>
      <c r="AZ127" s="802"/>
      <c r="BA127" s="800" t="str">
        <f>IFERROR(IF(BZ115&gt;BA115-1,IF(INDEX(Pedidos!BJ:CZ,BY115+BA115-1,9)&lt;&gt;"","Cierre :     "&amp; INDEX(Pedidos!BJ:CZ,BY115+BA115-1,9),""),""),"")</f>
        <v/>
      </c>
      <c r="BB127" s="801"/>
      <c r="BC127" s="801"/>
      <c r="BD127" s="801"/>
      <c r="BE127" s="801"/>
      <c r="BF127" s="801"/>
      <c r="BG127" s="801"/>
      <c r="BH127" s="801"/>
      <c r="BI127" s="801"/>
      <c r="BJ127" s="801"/>
      <c r="BK127" s="801"/>
      <c r="BL127" s="801"/>
      <c r="BM127" s="801"/>
      <c r="BN127" s="801"/>
      <c r="BO127" s="801"/>
      <c r="BP127" s="801"/>
      <c r="BQ127" s="801"/>
      <c r="BR127" s="801"/>
      <c r="BS127" s="801"/>
      <c r="BT127" s="801"/>
      <c r="BU127" s="801"/>
      <c r="BV127" s="801"/>
      <c r="BW127" s="801"/>
      <c r="BX127" s="801"/>
      <c r="BY127" s="801"/>
      <c r="BZ127" s="802"/>
      <c r="CA127" s="800" t="str">
        <f>IFERROR(IF(CZ115&gt;CA115-1,IF(INDEX(Pedidos!CJ:DZ,CY115+CA115-1,9)&lt;&gt;"","Cierre :     "&amp; INDEX(Pedidos!CJ:DZ,CY115+CA115-1,9),""),""),"")</f>
        <v/>
      </c>
      <c r="CB127" s="801"/>
      <c r="CC127" s="801"/>
      <c r="CD127" s="801"/>
      <c r="CE127" s="801"/>
      <c r="CF127" s="801"/>
      <c r="CG127" s="801"/>
      <c r="CH127" s="801"/>
      <c r="CI127" s="801"/>
      <c r="CJ127" s="801"/>
      <c r="CK127" s="801"/>
      <c r="CL127" s="801"/>
      <c r="CM127" s="801"/>
      <c r="CN127" s="801"/>
      <c r="CO127" s="801"/>
      <c r="CP127" s="801"/>
      <c r="CQ127" s="801"/>
      <c r="CR127" s="801"/>
      <c r="CS127" s="801"/>
      <c r="CT127" s="801"/>
      <c r="CU127" s="801"/>
      <c r="CV127" s="801"/>
      <c r="CW127" s="801"/>
      <c r="CX127" s="801"/>
      <c r="CY127" s="801"/>
      <c r="CZ127" s="802"/>
      <c r="DA127" s="800" t="str">
        <f>IFERROR(IF(DZ115&gt;DA115-1,IF(INDEX(Pedidos!DJ:EZ,DY115+DA115-1,9)&lt;&gt;"","Cierre :     "&amp; INDEX(Pedidos!DJ:EZ,DY115+DA115-1,9),""),""),"")</f>
        <v/>
      </c>
      <c r="DB127" s="801"/>
      <c r="DC127" s="801"/>
      <c r="DD127" s="801"/>
      <c r="DE127" s="801"/>
      <c r="DF127" s="801"/>
      <c r="DG127" s="801"/>
      <c r="DH127" s="801"/>
      <c r="DI127" s="801"/>
      <c r="DJ127" s="801"/>
      <c r="DK127" s="801"/>
      <c r="DL127" s="801"/>
      <c r="DM127" s="801"/>
      <c r="DN127" s="801"/>
      <c r="DO127" s="801"/>
      <c r="DP127" s="801"/>
      <c r="DQ127" s="801"/>
      <c r="DR127" s="801"/>
      <c r="DS127" s="801"/>
      <c r="DT127" s="801"/>
      <c r="DU127" s="801"/>
      <c r="DV127" s="801"/>
      <c r="DW127" s="801"/>
      <c r="DX127" s="801"/>
      <c r="DY127" s="801"/>
      <c r="DZ127" s="802"/>
      <c r="EA127" s="800" t="str">
        <f>IFERROR(IF(EZ115&gt;EA115-1,IF(INDEX(Pedidos!EJ:FZ,EY115+EA115-1,9)&lt;&gt;"","Cierre :     "&amp; INDEX(Pedidos!EJ:FZ,EY115+EA115-1,9),""),""),"")</f>
        <v/>
      </c>
      <c r="EB127" s="801"/>
      <c r="EC127" s="801"/>
      <c r="ED127" s="801"/>
      <c r="EE127" s="801"/>
      <c r="EF127" s="801"/>
      <c r="EG127" s="801"/>
      <c r="EH127" s="801"/>
      <c r="EI127" s="801"/>
      <c r="EJ127" s="801"/>
      <c r="EK127" s="801"/>
      <c r="EL127" s="801"/>
      <c r="EM127" s="801"/>
      <c r="EN127" s="801"/>
      <c r="EO127" s="801"/>
      <c r="EP127" s="801"/>
      <c r="EQ127" s="801"/>
      <c r="ER127" s="801"/>
      <c r="ES127" s="801"/>
      <c r="ET127" s="801"/>
      <c r="EU127" s="801"/>
      <c r="EV127" s="801"/>
      <c r="EW127" s="801"/>
      <c r="EX127" s="801"/>
      <c r="EY127" s="801"/>
      <c r="EZ127" s="802"/>
      <c r="FA127" s="800" t="str">
        <f>IFERROR(IF(FZ115&gt;FA115-1,IF(INDEX(Pedidos!FJ:GZ,FY115+FA115-1,9)&lt;&gt;"","Cierre :     "&amp; INDEX(Pedidos!FJ:GZ,FY115+FA115-1,9),""),""),"")</f>
        <v/>
      </c>
      <c r="FB127" s="801"/>
      <c r="FC127" s="801"/>
      <c r="FD127" s="801"/>
      <c r="FE127" s="801"/>
      <c r="FF127" s="801"/>
      <c r="FG127" s="801"/>
      <c r="FH127" s="801"/>
      <c r="FI127" s="801"/>
      <c r="FJ127" s="801"/>
      <c r="FK127" s="801"/>
      <c r="FL127" s="801"/>
      <c r="FM127" s="801"/>
      <c r="FN127" s="801"/>
      <c r="FO127" s="801"/>
      <c r="FP127" s="801"/>
      <c r="FQ127" s="801"/>
      <c r="FR127" s="801"/>
      <c r="FS127" s="801"/>
      <c r="FT127" s="801"/>
      <c r="FU127" s="801"/>
      <c r="FV127" s="801"/>
      <c r="FW127" s="801"/>
      <c r="FX127" s="801"/>
      <c r="FY127" s="801"/>
      <c r="FZ127" s="802"/>
      <c r="GA127" s="800" t="str">
        <f>IFERROR(IF(GZ115&gt;GA115-1,IF(INDEX(Pedidos!GJ:HZ,GY115+GA115-1,9)&lt;&gt;"","Cierre :     "&amp; INDEX(Pedidos!GJ:HZ,GY115+GA115-1,9),""),""),"")</f>
        <v/>
      </c>
      <c r="GB127" s="801"/>
      <c r="GC127" s="801"/>
      <c r="GD127" s="801"/>
      <c r="GE127" s="801"/>
      <c r="GF127" s="801"/>
      <c r="GG127" s="801"/>
      <c r="GH127" s="801"/>
      <c r="GI127" s="801"/>
      <c r="GJ127" s="801"/>
      <c r="GK127" s="801"/>
      <c r="GL127" s="801"/>
      <c r="GM127" s="801"/>
      <c r="GN127" s="801"/>
      <c r="GO127" s="801"/>
      <c r="GP127" s="801"/>
      <c r="GQ127" s="801"/>
      <c r="GR127" s="801"/>
      <c r="GS127" s="801"/>
      <c r="GT127" s="801"/>
      <c r="GU127" s="801"/>
      <c r="GV127" s="801"/>
      <c r="GW127" s="801"/>
      <c r="GX127" s="801"/>
      <c r="GY127" s="801"/>
      <c r="GZ127" s="802"/>
      <c r="HA127" s="800" t="str">
        <f>IFERROR(IF(HZ115&gt;HA115-1,IF(INDEX(Pedidos!HJ:IZ,HY115+HA115-1,9)&lt;&gt;"","Cierre :     "&amp; INDEX(Pedidos!HJ:IZ,HY115+HA115-1,9),""),""),"")</f>
        <v/>
      </c>
      <c r="HB127" s="801"/>
      <c r="HC127" s="801"/>
      <c r="HD127" s="801"/>
      <c r="HE127" s="801"/>
      <c r="HF127" s="801"/>
      <c r="HG127" s="801"/>
      <c r="HH127" s="801"/>
      <c r="HI127" s="801"/>
      <c r="HJ127" s="801"/>
      <c r="HK127" s="801"/>
      <c r="HL127" s="801"/>
      <c r="HM127" s="801"/>
      <c r="HN127" s="801"/>
      <c r="HO127" s="801"/>
      <c r="HP127" s="801"/>
      <c r="HQ127" s="801"/>
      <c r="HR127" s="801"/>
      <c r="HS127" s="801"/>
      <c r="HT127" s="801"/>
      <c r="HU127" s="801"/>
      <c r="HV127" s="801"/>
      <c r="HW127" s="801"/>
      <c r="HX127" s="801"/>
      <c r="HY127" s="801"/>
      <c r="HZ127" s="802"/>
      <c r="IA127" s="800" t="str">
        <f>IFERROR(IF(IZ115&gt;IA115-1,IF(INDEX(Pedidos!IJ:JZ,IY115+IA115-1,9)&lt;&gt;"","Cierre :     "&amp; INDEX(Pedidos!IJ:JZ,IY115+IA115-1,9),""),""),"")</f>
        <v/>
      </c>
      <c r="IB127" s="801"/>
      <c r="IC127" s="801"/>
      <c r="ID127" s="801"/>
      <c r="IE127" s="801"/>
      <c r="IF127" s="801"/>
      <c r="IG127" s="801"/>
      <c r="IH127" s="801"/>
      <c r="II127" s="801"/>
      <c r="IJ127" s="801"/>
      <c r="IK127" s="801"/>
      <c r="IL127" s="801"/>
      <c r="IM127" s="801"/>
      <c r="IN127" s="801"/>
      <c r="IO127" s="801"/>
      <c r="IP127" s="801"/>
      <c r="IQ127" s="801"/>
      <c r="IR127" s="801"/>
      <c r="IS127" s="801"/>
      <c r="IT127" s="801"/>
      <c r="IU127" s="801"/>
      <c r="IV127" s="801"/>
      <c r="IW127" s="801"/>
      <c r="IX127" s="801"/>
      <c r="IY127" s="801"/>
      <c r="IZ127" s="802"/>
    </row>
    <row r="128" spans="1:260" x14ac:dyDescent="0.25">
      <c r="A128" s="800" t="str">
        <f>IFERROR(IF(Z115&gt;A115-1,IF(INDEX(Pedidos!J:AZ,Y115+A115-1,11)&lt;&gt;"","Cordon :     "&amp; INDEX(Pedidos!J:AZ,Y115+A115-1,11),""),""),"")</f>
        <v/>
      </c>
      <c r="B128" s="801"/>
      <c r="C128" s="801"/>
      <c r="D128" s="801"/>
      <c r="E128" s="801"/>
      <c r="F128" s="801"/>
      <c r="G128" s="801"/>
      <c r="H128" s="801"/>
      <c r="I128" s="801"/>
      <c r="J128" s="801"/>
      <c r="K128" s="801"/>
      <c r="L128" s="801"/>
      <c r="M128" s="801"/>
      <c r="N128" s="801"/>
      <c r="O128" s="801"/>
      <c r="P128" s="801"/>
      <c r="Q128" s="801"/>
      <c r="R128" s="801"/>
      <c r="S128" s="801"/>
      <c r="T128" s="801"/>
      <c r="U128" s="801"/>
      <c r="V128" s="801"/>
      <c r="W128" s="801"/>
      <c r="X128" s="801"/>
      <c r="Y128" s="801"/>
      <c r="Z128" s="802"/>
      <c r="AA128" s="800" t="str">
        <f>IFERROR(IF(AZ115&gt;AA115-1,IF(INDEX(Pedidos!AJ:BZ,AY115+AA115-1,11)&lt;&gt;"","Cordon :     "&amp; INDEX(Pedidos!AJ:BZ,AY115+AA115-1,11),""),""),"")</f>
        <v/>
      </c>
      <c r="AB128" s="801"/>
      <c r="AC128" s="801"/>
      <c r="AD128" s="801"/>
      <c r="AE128" s="801"/>
      <c r="AF128" s="801"/>
      <c r="AG128" s="801"/>
      <c r="AH128" s="801"/>
      <c r="AI128" s="801"/>
      <c r="AJ128" s="801"/>
      <c r="AK128" s="801"/>
      <c r="AL128" s="801"/>
      <c r="AM128" s="801"/>
      <c r="AN128" s="801"/>
      <c r="AO128" s="801"/>
      <c r="AP128" s="801"/>
      <c r="AQ128" s="801"/>
      <c r="AR128" s="801"/>
      <c r="AS128" s="801"/>
      <c r="AT128" s="801"/>
      <c r="AU128" s="801"/>
      <c r="AV128" s="801"/>
      <c r="AW128" s="801"/>
      <c r="AX128" s="801"/>
      <c r="AY128" s="801"/>
      <c r="AZ128" s="802"/>
      <c r="BA128" s="800" t="str">
        <f>IFERROR(IF(BZ115&gt;BA115-1,IF(INDEX(Pedidos!BJ:CZ,BY115+BA115-1,11)&lt;&gt;"","Cordon :     "&amp; INDEX(Pedidos!BJ:CZ,BY115+BA115-1,11),""),""),"")</f>
        <v/>
      </c>
      <c r="BB128" s="801"/>
      <c r="BC128" s="801"/>
      <c r="BD128" s="801"/>
      <c r="BE128" s="801"/>
      <c r="BF128" s="801"/>
      <c r="BG128" s="801"/>
      <c r="BH128" s="801"/>
      <c r="BI128" s="801"/>
      <c r="BJ128" s="801"/>
      <c r="BK128" s="801"/>
      <c r="BL128" s="801"/>
      <c r="BM128" s="801"/>
      <c r="BN128" s="801"/>
      <c r="BO128" s="801"/>
      <c r="BP128" s="801"/>
      <c r="BQ128" s="801"/>
      <c r="BR128" s="801"/>
      <c r="BS128" s="801"/>
      <c r="BT128" s="801"/>
      <c r="BU128" s="801"/>
      <c r="BV128" s="801"/>
      <c r="BW128" s="801"/>
      <c r="BX128" s="801"/>
      <c r="BY128" s="801"/>
      <c r="BZ128" s="802"/>
      <c r="CA128" s="800" t="str">
        <f>IFERROR(IF(CZ115&gt;CA115-1,IF(INDEX(Pedidos!CJ:DZ,CY115+CA115-1,11)&lt;&gt;"","Cordon :     "&amp; INDEX(Pedidos!CJ:DZ,CY115+CA115-1,11),""),""),"")</f>
        <v/>
      </c>
      <c r="CB128" s="801"/>
      <c r="CC128" s="801"/>
      <c r="CD128" s="801"/>
      <c r="CE128" s="801"/>
      <c r="CF128" s="801"/>
      <c r="CG128" s="801"/>
      <c r="CH128" s="801"/>
      <c r="CI128" s="801"/>
      <c r="CJ128" s="801"/>
      <c r="CK128" s="801"/>
      <c r="CL128" s="801"/>
      <c r="CM128" s="801"/>
      <c r="CN128" s="801"/>
      <c r="CO128" s="801"/>
      <c r="CP128" s="801"/>
      <c r="CQ128" s="801"/>
      <c r="CR128" s="801"/>
      <c r="CS128" s="801"/>
      <c r="CT128" s="801"/>
      <c r="CU128" s="801"/>
      <c r="CV128" s="801"/>
      <c r="CW128" s="801"/>
      <c r="CX128" s="801"/>
      <c r="CY128" s="801"/>
      <c r="CZ128" s="802"/>
      <c r="DA128" s="800" t="str">
        <f>IFERROR(IF(DZ115&gt;DA115-1,IF(INDEX(Pedidos!DJ:EZ,DY115+DA115-1,11)&lt;&gt;"","Cordon :     "&amp; INDEX(Pedidos!DJ:EZ,DY115+DA115-1,11),""),""),"")</f>
        <v/>
      </c>
      <c r="DB128" s="801"/>
      <c r="DC128" s="801"/>
      <c r="DD128" s="801"/>
      <c r="DE128" s="801"/>
      <c r="DF128" s="801"/>
      <c r="DG128" s="801"/>
      <c r="DH128" s="801"/>
      <c r="DI128" s="801"/>
      <c r="DJ128" s="801"/>
      <c r="DK128" s="801"/>
      <c r="DL128" s="801"/>
      <c r="DM128" s="801"/>
      <c r="DN128" s="801"/>
      <c r="DO128" s="801"/>
      <c r="DP128" s="801"/>
      <c r="DQ128" s="801"/>
      <c r="DR128" s="801"/>
      <c r="DS128" s="801"/>
      <c r="DT128" s="801"/>
      <c r="DU128" s="801"/>
      <c r="DV128" s="801"/>
      <c r="DW128" s="801"/>
      <c r="DX128" s="801"/>
      <c r="DY128" s="801"/>
      <c r="DZ128" s="802"/>
      <c r="EA128" s="800" t="str">
        <f>IFERROR(IF(EZ115&gt;EA115-1,IF(INDEX(Pedidos!EJ:FZ,EY115+EA115-1,11)&lt;&gt;"","Cordon :     "&amp; INDEX(Pedidos!EJ:FZ,EY115+EA115-1,11),""),""),"")</f>
        <v/>
      </c>
      <c r="EB128" s="801"/>
      <c r="EC128" s="801"/>
      <c r="ED128" s="801"/>
      <c r="EE128" s="801"/>
      <c r="EF128" s="801"/>
      <c r="EG128" s="801"/>
      <c r="EH128" s="801"/>
      <c r="EI128" s="801"/>
      <c r="EJ128" s="801"/>
      <c r="EK128" s="801"/>
      <c r="EL128" s="801"/>
      <c r="EM128" s="801"/>
      <c r="EN128" s="801"/>
      <c r="EO128" s="801"/>
      <c r="EP128" s="801"/>
      <c r="EQ128" s="801"/>
      <c r="ER128" s="801"/>
      <c r="ES128" s="801"/>
      <c r="ET128" s="801"/>
      <c r="EU128" s="801"/>
      <c r="EV128" s="801"/>
      <c r="EW128" s="801"/>
      <c r="EX128" s="801"/>
      <c r="EY128" s="801"/>
      <c r="EZ128" s="802"/>
      <c r="FA128" s="800" t="str">
        <f>IFERROR(IF(FZ115&gt;FA115-1,IF(INDEX(Pedidos!FJ:GZ,FY115+FA115-1,11)&lt;&gt;"","Cordon :     "&amp; INDEX(Pedidos!FJ:GZ,FY115+FA115-1,11),""),""),"")</f>
        <v/>
      </c>
      <c r="FB128" s="801"/>
      <c r="FC128" s="801"/>
      <c r="FD128" s="801"/>
      <c r="FE128" s="801"/>
      <c r="FF128" s="801"/>
      <c r="FG128" s="801"/>
      <c r="FH128" s="801"/>
      <c r="FI128" s="801"/>
      <c r="FJ128" s="801"/>
      <c r="FK128" s="801"/>
      <c r="FL128" s="801"/>
      <c r="FM128" s="801"/>
      <c r="FN128" s="801"/>
      <c r="FO128" s="801"/>
      <c r="FP128" s="801"/>
      <c r="FQ128" s="801"/>
      <c r="FR128" s="801"/>
      <c r="FS128" s="801"/>
      <c r="FT128" s="801"/>
      <c r="FU128" s="801"/>
      <c r="FV128" s="801"/>
      <c r="FW128" s="801"/>
      <c r="FX128" s="801"/>
      <c r="FY128" s="801"/>
      <c r="FZ128" s="802"/>
      <c r="GA128" s="800" t="str">
        <f>IFERROR(IF(GZ115&gt;GA115-1,IF(INDEX(Pedidos!GJ:HZ,GY115+GA115-1,11)&lt;&gt;"","Cordon :     "&amp; INDEX(Pedidos!GJ:HZ,GY115+GA115-1,11),""),""),"")</f>
        <v/>
      </c>
      <c r="GB128" s="801"/>
      <c r="GC128" s="801"/>
      <c r="GD128" s="801"/>
      <c r="GE128" s="801"/>
      <c r="GF128" s="801"/>
      <c r="GG128" s="801"/>
      <c r="GH128" s="801"/>
      <c r="GI128" s="801"/>
      <c r="GJ128" s="801"/>
      <c r="GK128" s="801"/>
      <c r="GL128" s="801"/>
      <c r="GM128" s="801"/>
      <c r="GN128" s="801"/>
      <c r="GO128" s="801"/>
      <c r="GP128" s="801"/>
      <c r="GQ128" s="801"/>
      <c r="GR128" s="801"/>
      <c r="GS128" s="801"/>
      <c r="GT128" s="801"/>
      <c r="GU128" s="801"/>
      <c r="GV128" s="801"/>
      <c r="GW128" s="801"/>
      <c r="GX128" s="801"/>
      <c r="GY128" s="801"/>
      <c r="GZ128" s="802"/>
      <c r="HA128" s="800" t="str">
        <f>IFERROR(IF(HZ115&gt;HA115-1,IF(INDEX(Pedidos!HJ:IZ,HY115+HA115-1,11)&lt;&gt;"","Cordon :     "&amp; INDEX(Pedidos!HJ:IZ,HY115+HA115-1,11),""),""),"")</f>
        <v/>
      </c>
      <c r="HB128" s="801"/>
      <c r="HC128" s="801"/>
      <c r="HD128" s="801"/>
      <c r="HE128" s="801"/>
      <c r="HF128" s="801"/>
      <c r="HG128" s="801"/>
      <c r="HH128" s="801"/>
      <c r="HI128" s="801"/>
      <c r="HJ128" s="801"/>
      <c r="HK128" s="801"/>
      <c r="HL128" s="801"/>
      <c r="HM128" s="801"/>
      <c r="HN128" s="801"/>
      <c r="HO128" s="801"/>
      <c r="HP128" s="801"/>
      <c r="HQ128" s="801"/>
      <c r="HR128" s="801"/>
      <c r="HS128" s="801"/>
      <c r="HT128" s="801"/>
      <c r="HU128" s="801"/>
      <c r="HV128" s="801"/>
      <c r="HW128" s="801"/>
      <c r="HX128" s="801"/>
      <c r="HY128" s="801"/>
      <c r="HZ128" s="802"/>
      <c r="IA128" s="800" t="str">
        <f>IFERROR(IF(IZ115&gt;IA115-1,IF(INDEX(Pedidos!IJ:JZ,IY115+IA115-1,11)&lt;&gt;"","Cordon :     "&amp; INDEX(Pedidos!IJ:JZ,IY115+IA115-1,11),""),""),"")</f>
        <v/>
      </c>
      <c r="IB128" s="801"/>
      <c r="IC128" s="801"/>
      <c r="ID128" s="801"/>
      <c r="IE128" s="801"/>
      <c r="IF128" s="801"/>
      <c r="IG128" s="801"/>
      <c r="IH128" s="801"/>
      <c r="II128" s="801"/>
      <c r="IJ128" s="801"/>
      <c r="IK128" s="801"/>
      <c r="IL128" s="801"/>
      <c r="IM128" s="801"/>
      <c r="IN128" s="801"/>
      <c r="IO128" s="801"/>
      <c r="IP128" s="801"/>
      <c r="IQ128" s="801"/>
      <c r="IR128" s="801"/>
      <c r="IS128" s="801"/>
      <c r="IT128" s="801"/>
      <c r="IU128" s="801"/>
      <c r="IV128" s="801"/>
      <c r="IW128" s="801"/>
      <c r="IX128" s="801"/>
      <c r="IY128" s="801"/>
      <c r="IZ128" s="802"/>
    </row>
    <row r="129" spans="1:260" x14ac:dyDescent="0.25">
      <c r="A129" s="800" t="str">
        <f>IFERROR(IF(Z115&gt;A115-1,IF(INDEX(Pedidos!J:AZ,Y115+A115-1,12)&lt;&gt;"","Color Cordon :     "&amp; INDEX(Pedidos!J:AZ,Y115+A115-1,12),""),""),"")</f>
        <v/>
      </c>
      <c r="B129" s="801"/>
      <c r="C129" s="801"/>
      <c r="D129" s="801"/>
      <c r="E129" s="801"/>
      <c r="F129" s="801"/>
      <c r="G129" s="801"/>
      <c r="H129" s="801"/>
      <c r="I129" s="801"/>
      <c r="J129" s="801"/>
      <c r="K129" s="801"/>
      <c r="L129" s="801"/>
      <c r="M129" s="801"/>
      <c r="N129" s="801"/>
      <c r="O129" s="801"/>
      <c r="P129" s="801"/>
      <c r="Q129" s="801"/>
      <c r="R129" s="801"/>
      <c r="S129" s="801"/>
      <c r="T129" s="801"/>
      <c r="U129" s="801"/>
      <c r="V129" s="801"/>
      <c r="W129" s="801"/>
      <c r="X129" s="801"/>
      <c r="Y129" s="801"/>
      <c r="Z129" s="802"/>
      <c r="AA129" s="800" t="str">
        <f>IFERROR(IF(AZ115&gt;AA115-1,IF(INDEX(Pedidos!AJ:BZ,AY115+AA115-1,12)&lt;&gt;"","Color Cordon :     "&amp; INDEX(Pedidos!AJ:BZ,AY115+AA115-1,12),""),""),"")</f>
        <v/>
      </c>
      <c r="AB129" s="801"/>
      <c r="AC129" s="801"/>
      <c r="AD129" s="801"/>
      <c r="AE129" s="801"/>
      <c r="AF129" s="801"/>
      <c r="AG129" s="801"/>
      <c r="AH129" s="801"/>
      <c r="AI129" s="801"/>
      <c r="AJ129" s="801"/>
      <c r="AK129" s="801"/>
      <c r="AL129" s="801"/>
      <c r="AM129" s="801"/>
      <c r="AN129" s="801"/>
      <c r="AO129" s="801"/>
      <c r="AP129" s="801"/>
      <c r="AQ129" s="801"/>
      <c r="AR129" s="801"/>
      <c r="AS129" s="801"/>
      <c r="AT129" s="801"/>
      <c r="AU129" s="801"/>
      <c r="AV129" s="801"/>
      <c r="AW129" s="801"/>
      <c r="AX129" s="801"/>
      <c r="AY129" s="801"/>
      <c r="AZ129" s="802"/>
      <c r="BA129" s="800" t="str">
        <f>IFERROR(IF(BZ115&gt;BA115-1,IF(INDEX(Pedidos!BJ:CZ,BY115+BA115-1,12)&lt;&gt;"","Color Cordon :     "&amp; INDEX(Pedidos!BJ:CZ,BY115+BA115-1,12),""),""),"")</f>
        <v/>
      </c>
      <c r="BB129" s="801"/>
      <c r="BC129" s="801"/>
      <c r="BD129" s="801"/>
      <c r="BE129" s="801"/>
      <c r="BF129" s="801"/>
      <c r="BG129" s="801"/>
      <c r="BH129" s="801"/>
      <c r="BI129" s="801"/>
      <c r="BJ129" s="801"/>
      <c r="BK129" s="801"/>
      <c r="BL129" s="801"/>
      <c r="BM129" s="801"/>
      <c r="BN129" s="801"/>
      <c r="BO129" s="801"/>
      <c r="BP129" s="801"/>
      <c r="BQ129" s="801"/>
      <c r="BR129" s="801"/>
      <c r="BS129" s="801"/>
      <c r="BT129" s="801"/>
      <c r="BU129" s="801"/>
      <c r="BV129" s="801"/>
      <c r="BW129" s="801"/>
      <c r="BX129" s="801"/>
      <c r="BY129" s="801"/>
      <c r="BZ129" s="802"/>
      <c r="CA129" s="800" t="str">
        <f>IFERROR(IF(CZ115&gt;CA115-1,IF(INDEX(Pedidos!CJ:DZ,CY115+CA115-1,12)&lt;&gt;"","Color Cordon :     "&amp; INDEX(Pedidos!CJ:DZ,CY115+CA115-1,12),""),""),"")</f>
        <v/>
      </c>
      <c r="CB129" s="801"/>
      <c r="CC129" s="801"/>
      <c r="CD129" s="801"/>
      <c r="CE129" s="801"/>
      <c r="CF129" s="801"/>
      <c r="CG129" s="801"/>
      <c r="CH129" s="801"/>
      <c r="CI129" s="801"/>
      <c r="CJ129" s="801"/>
      <c r="CK129" s="801"/>
      <c r="CL129" s="801"/>
      <c r="CM129" s="801"/>
      <c r="CN129" s="801"/>
      <c r="CO129" s="801"/>
      <c r="CP129" s="801"/>
      <c r="CQ129" s="801"/>
      <c r="CR129" s="801"/>
      <c r="CS129" s="801"/>
      <c r="CT129" s="801"/>
      <c r="CU129" s="801"/>
      <c r="CV129" s="801"/>
      <c r="CW129" s="801"/>
      <c r="CX129" s="801"/>
      <c r="CY129" s="801"/>
      <c r="CZ129" s="802"/>
      <c r="DA129" s="800" t="str">
        <f>IFERROR(IF(DZ115&gt;DA115-1,IF(INDEX(Pedidos!DJ:EZ,DY115+DA115-1,12)&lt;&gt;"","Color Cordon :     "&amp; INDEX(Pedidos!DJ:EZ,DY115+DA115-1,12),""),""),"")</f>
        <v/>
      </c>
      <c r="DB129" s="801"/>
      <c r="DC129" s="801"/>
      <c r="DD129" s="801"/>
      <c r="DE129" s="801"/>
      <c r="DF129" s="801"/>
      <c r="DG129" s="801"/>
      <c r="DH129" s="801"/>
      <c r="DI129" s="801"/>
      <c r="DJ129" s="801"/>
      <c r="DK129" s="801"/>
      <c r="DL129" s="801"/>
      <c r="DM129" s="801"/>
      <c r="DN129" s="801"/>
      <c r="DO129" s="801"/>
      <c r="DP129" s="801"/>
      <c r="DQ129" s="801"/>
      <c r="DR129" s="801"/>
      <c r="DS129" s="801"/>
      <c r="DT129" s="801"/>
      <c r="DU129" s="801"/>
      <c r="DV129" s="801"/>
      <c r="DW129" s="801"/>
      <c r="DX129" s="801"/>
      <c r="DY129" s="801"/>
      <c r="DZ129" s="802"/>
      <c r="EA129" s="800" t="str">
        <f>IFERROR(IF(EZ115&gt;EA115-1,IF(INDEX(Pedidos!EJ:FZ,EY115+EA115-1,12)&lt;&gt;"","Color Cordon :     "&amp; INDEX(Pedidos!EJ:FZ,EY115+EA115-1,12),""),""),"")</f>
        <v/>
      </c>
      <c r="EB129" s="801"/>
      <c r="EC129" s="801"/>
      <c r="ED129" s="801"/>
      <c r="EE129" s="801"/>
      <c r="EF129" s="801"/>
      <c r="EG129" s="801"/>
      <c r="EH129" s="801"/>
      <c r="EI129" s="801"/>
      <c r="EJ129" s="801"/>
      <c r="EK129" s="801"/>
      <c r="EL129" s="801"/>
      <c r="EM129" s="801"/>
      <c r="EN129" s="801"/>
      <c r="EO129" s="801"/>
      <c r="EP129" s="801"/>
      <c r="EQ129" s="801"/>
      <c r="ER129" s="801"/>
      <c r="ES129" s="801"/>
      <c r="ET129" s="801"/>
      <c r="EU129" s="801"/>
      <c r="EV129" s="801"/>
      <c r="EW129" s="801"/>
      <c r="EX129" s="801"/>
      <c r="EY129" s="801"/>
      <c r="EZ129" s="802"/>
      <c r="FA129" s="800" t="str">
        <f>IFERROR(IF(FZ115&gt;FA115-1,IF(INDEX(Pedidos!FJ:GZ,FY115+FA115-1,12)&lt;&gt;"","Color Cordon :     "&amp; INDEX(Pedidos!FJ:GZ,FY115+FA115-1,12),""),""),"")</f>
        <v/>
      </c>
      <c r="FB129" s="801"/>
      <c r="FC129" s="801"/>
      <c r="FD129" s="801"/>
      <c r="FE129" s="801"/>
      <c r="FF129" s="801"/>
      <c r="FG129" s="801"/>
      <c r="FH129" s="801"/>
      <c r="FI129" s="801"/>
      <c r="FJ129" s="801"/>
      <c r="FK129" s="801"/>
      <c r="FL129" s="801"/>
      <c r="FM129" s="801"/>
      <c r="FN129" s="801"/>
      <c r="FO129" s="801"/>
      <c r="FP129" s="801"/>
      <c r="FQ129" s="801"/>
      <c r="FR129" s="801"/>
      <c r="FS129" s="801"/>
      <c r="FT129" s="801"/>
      <c r="FU129" s="801"/>
      <c r="FV129" s="801"/>
      <c r="FW129" s="801"/>
      <c r="FX129" s="801"/>
      <c r="FY129" s="801"/>
      <c r="FZ129" s="802"/>
      <c r="GA129" s="800" t="str">
        <f>IFERROR(IF(GZ115&gt;GA115-1,IF(INDEX(Pedidos!GJ:HZ,GY115+GA115-1,12)&lt;&gt;"","Color Cordon :     "&amp; INDEX(Pedidos!GJ:HZ,GY115+GA115-1,12),""),""),"")</f>
        <v/>
      </c>
      <c r="GB129" s="801"/>
      <c r="GC129" s="801"/>
      <c r="GD129" s="801"/>
      <c r="GE129" s="801"/>
      <c r="GF129" s="801"/>
      <c r="GG129" s="801"/>
      <c r="GH129" s="801"/>
      <c r="GI129" s="801"/>
      <c r="GJ129" s="801"/>
      <c r="GK129" s="801"/>
      <c r="GL129" s="801"/>
      <c r="GM129" s="801"/>
      <c r="GN129" s="801"/>
      <c r="GO129" s="801"/>
      <c r="GP129" s="801"/>
      <c r="GQ129" s="801"/>
      <c r="GR129" s="801"/>
      <c r="GS129" s="801"/>
      <c r="GT129" s="801"/>
      <c r="GU129" s="801"/>
      <c r="GV129" s="801"/>
      <c r="GW129" s="801"/>
      <c r="GX129" s="801"/>
      <c r="GY129" s="801"/>
      <c r="GZ129" s="802"/>
      <c r="HA129" s="800" t="str">
        <f>IFERROR(IF(HZ115&gt;HA115-1,IF(INDEX(Pedidos!HJ:IZ,HY115+HA115-1,12)&lt;&gt;"","Color Cordon :     "&amp; INDEX(Pedidos!HJ:IZ,HY115+HA115-1,12),""),""),"")</f>
        <v/>
      </c>
      <c r="HB129" s="801"/>
      <c r="HC129" s="801"/>
      <c r="HD129" s="801"/>
      <c r="HE129" s="801"/>
      <c r="HF129" s="801"/>
      <c r="HG129" s="801"/>
      <c r="HH129" s="801"/>
      <c r="HI129" s="801"/>
      <c r="HJ129" s="801"/>
      <c r="HK129" s="801"/>
      <c r="HL129" s="801"/>
      <c r="HM129" s="801"/>
      <c r="HN129" s="801"/>
      <c r="HO129" s="801"/>
      <c r="HP129" s="801"/>
      <c r="HQ129" s="801"/>
      <c r="HR129" s="801"/>
      <c r="HS129" s="801"/>
      <c r="HT129" s="801"/>
      <c r="HU129" s="801"/>
      <c r="HV129" s="801"/>
      <c r="HW129" s="801"/>
      <c r="HX129" s="801"/>
      <c r="HY129" s="801"/>
      <c r="HZ129" s="802"/>
      <c r="IA129" s="800" t="str">
        <f>IFERROR(IF(IZ115&gt;IA115-1,IF(INDEX(Pedidos!IJ:JZ,IY115+IA115-1,12)&lt;&gt;"","Color Cordon :     "&amp; INDEX(Pedidos!IJ:JZ,IY115+IA115-1,12),""),""),"")</f>
        <v/>
      </c>
      <c r="IB129" s="801"/>
      <c r="IC129" s="801"/>
      <c r="ID129" s="801"/>
      <c r="IE129" s="801"/>
      <c r="IF129" s="801"/>
      <c r="IG129" s="801"/>
      <c r="IH129" s="801"/>
      <c r="II129" s="801"/>
      <c r="IJ129" s="801"/>
      <c r="IK129" s="801"/>
      <c r="IL129" s="801"/>
      <c r="IM129" s="801"/>
      <c r="IN129" s="801"/>
      <c r="IO129" s="801"/>
      <c r="IP129" s="801"/>
      <c r="IQ129" s="801"/>
      <c r="IR129" s="801"/>
      <c r="IS129" s="801"/>
      <c r="IT129" s="801"/>
      <c r="IU129" s="801"/>
      <c r="IV129" s="801"/>
      <c r="IW129" s="801"/>
      <c r="IX129" s="801"/>
      <c r="IY129" s="801"/>
      <c r="IZ129" s="802"/>
    </row>
    <row r="130" spans="1:260" x14ac:dyDescent="0.25">
      <c r="A130" s="800"/>
      <c r="B130" s="801"/>
      <c r="C130" s="801"/>
      <c r="D130" s="801"/>
      <c r="E130" s="801"/>
      <c r="F130" s="801"/>
      <c r="G130" s="801"/>
      <c r="H130" s="801"/>
      <c r="I130" s="801"/>
      <c r="J130" s="801"/>
      <c r="K130" s="801"/>
      <c r="L130" s="801"/>
      <c r="M130" s="801"/>
      <c r="N130" s="801"/>
      <c r="O130" s="801"/>
      <c r="P130" s="801"/>
      <c r="Q130" s="801"/>
      <c r="R130" s="801"/>
      <c r="S130" s="801"/>
      <c r="T130" s="801"/>
      <c r="U130" s="801"/>
      <c r="V130" s="801"/>
      <c r="W130" s="801"/>
      <c r="X130" s="801"/>
      <c r="Y130" s="801"/>
      <c r="Z130" s="802"/>
      <c r="AA130" s="800"/>
      <c r="AB130" s="801"/>
      <c r="AC130" s="801"/>
      <c r="AD130" s="801"/>
      <c r="AE130" s="801"/>
      <c r="AF130" s="801"/>
      <c r="AG130" s="801"/>
      <c r="AH130" s="801"/>
      <c r="AI130" s="801"/>
      <c r="AJ130" s="801"/>
      <c r="AK130" s="801"/>
      <c r="AL130" s="801"/>
      <c r="AM130" s="801"/>
      <c r="AN130" s="801"/>
      <c r="AO130" s="801"/>
      <c r="AP130" s="801"/>
      <c r="AQ130" s="801"/>
      <c r="AR130" s="801"/>
      <c r="AS130" s="801"/>
      <c r="AT130" s="801"/>
      <c r="AU130" s="801"/>
      <c r="AV130" s="801"/>
      <c r="AW130" s="801"/>
      <c r="AX130" s="801"/>
      <c r="AY130" s="801"/>
      <c r="AZ130" s="802"/>
      <c r="BA130" s="800"/>
      <c r="BB130" s="801"/>
      <c r="BC130" s="801"/>
      <c r="BD130" s="801"/>
      <c r="BE130" s="801"/>
      <c r="BF130" s="801"/>
      <c r="BG130" s="801"/>
      <c r="BH130" s="801"/>
      <c r="BI130" s="801"/>
      <c r="BJ130" s="801"/>
      <c r="BK130" s="801"/>
      <c r="BL130" s="801"/>
      <c r="BM130" s="801"/>
      <c r="BN130" s="801"/>
      <c r="BO130" s="801"/>
      <c r="BP130" s="801"/>
      <c r="BQ130" s="801"/>
      <c r="BR130" s="801"/>
      <c r="BS130" s="801"/>
      <c r="BT130" s="801"/>
      <c r="BU130" s="801"/>
      <c r="BV130" s="801"/>
      <c r="BW130" s="801"/>
      <c r="BX130" s="801"/>
      <c r="BY130" s="801"/>
      <c r="BZ130" s="802"/>
      <c r="CA130" s="800"/>
      <c r="CB130" s="801"/>
      <c r="CC130" s="801"/>
      <c r="CD130" s="801"/>
      <c r="CE130" s="801"/>
      <c r="CF130" s="801"/>
      <c r="CG130" s="801"/>
      <c r="CH130" s="801"/>
      <c r="CI130" s="801"/>
      <c r="CJ130" s="801"/>
      <c r="CK130" s="801"/>
      <c r="CL130" s="801"/>
      <c r="CM130" s="801"/>
      <c r="CN130" s="801"/>
      <c r="CO130" s="801"/>
      <c r="CP130" s="801"/>
      <c r="CQ130" s="801"/>
      <c r="CR130" s="801"/>
      <c r="CS130" s="801"/>
      <c r="CT130" s="801"/>
      <c r="CU130" s="801"/>
      <c r="CV130" s="801"/>
      <c r="CW130" s="801"/>
      <c r="CX130" s="801"/>
      <c r="CY130" s="801"/>
      <c r="CZ130" s="802"/>
      <c r="DA130" s="800"/>
      <c r="DB130" s="801"/>
      <c r="DC130" s="801"/>
      <c r="DD130" s="801"/>
      <c r="DE130" s="801"/>
      <c r="DF130" s="801"/>
      <c r="DG130" s="801"/>
      <c r="DH130" s="801"/>
      <c r="DI130" s="801"/>
      <c r="DJ130" s="801"/>
      <c r="DK130" s="801"/>
      <c r="DL130" s="801"/>
      <c r="DM130" s="801"/>
      <c r="DN130" s="801"/>
      <c r="DO130" s="801"/>
      <c r="DP130" s="801"/>
      <c r="DQ130" s="801"/>
      <c r="DR130" s="801"/>
      <c r="DS130" s="801"/>
      <c r="DT130" s="801"/>
      <c r="DU130" s="801"/>
      <c r="DV130" s="801"/>
      <c r="DW130" s="801"/>
      <c r="DX130" s="801"/>
      <c r="DY130" s="801"/>
      <c r="DZ130" s="802"/>
      <c r="EA130" s="800"/>
      <c r="EB130" s="801"/>
      <c r="EC130" s="801"/>
      <c r="ED130" s="801"/>
      <c r="EE130" s="801"/>
      <c r="EF130" s="801"/>
      <c r="EG130" s="801"/>
      <c r="EH130" s="801"/>
      <c r="EI130" s="801"/>
      <c r="EJ130" s="801"/>
      <c r="EK130" s="801"/>
      <c r="EL130" s="801"/>
      <c r="EM130" s="801"/>
      <c r="EN130" s="801"/>
      <c r="EO130" s="801"/>
      <c r="EP130" s="801"/>
      <c r="EQ130" s="801"/>
      <c r="ER130" s="801"/>
      <c r="ES130" s="801"/>
      <c r="ET130" s="801"/>
      <c r="EU130" s="801"/>
      <c r="EV130" s="801"/>
      <c r="EW130" s="801"/>
      <c r="EX130" s="801"/>
      <c r="EY130" s="801"/>
      <c r="EZ130" s="802"/>
      <c r="FA130" s="800"/>
      <c r="FB130" s="801"/>
      <c r="FC130" s="801"/>
      <c r="FD130" s="801"/>
      <c r="FE130" s="801"/>
      <c r="FF130" s="801"/>
      <c r="FG130" s="801"/>
      <c r="FH130" s="801"/>
      <c r="FI130" s="801"/>
      <c r="FJ130" s="801"/>
      <c r="FK130" s="801"/>
      <c r="FL130" s="801"/>
      <c r="FM130" s="801"/>
      <c r="FN130" s="801"/>
      <c r="FO130" s="801"/>
      <c r="FP130" s="801"/>
      <c r="FQ130" s="801"/>
      <c r="FR130" s="801"/>
      <c r="FS130" s="801"/>
      <c r="FT130" s="801"/>
      <c r="FU130" s="801"/>
      <c r="FV130" s="801"/>
      <c r="FW130" s="801"/>
      <c r="FX130" s="801"/>
      <c r="FY130" s="801"/>
      <c r="FZ130" s="802"/>
      <c r="GA130" s="800"/>
      <c r="GB130" s="801"/>
      <c r="GC130" s="801"/>
      <c r="GD130" s="801"/>
      <c r="GE130" s="801"/>
      <c r="GF130" s="801"/>
      <c r="GG130" s="801"/>
      <c r="GH130" s="801"/>
      <c r="GI130" s="801"/>
      <c r="GJ130" s="801"/>
      <c r="GK130" s="801"/>
      <c r="GL130" s="801"/>
      <c r="GM130" s="801"/>
      <c r="GN130" s="801"/>
      <c r="GO130" s="801"/>
      <c r="GP130" s="801"/>
      <c r="GQ130" s="801"/>
      <c r="GR130" s="801"/>
      <c r="GS130" s="801"/>
      <c r="GT130" s="801"/>
      <c r="GU130" s="801"/>
      <c r="GV130" s="801"/>
      <c r="GW130" s="801"/>
      <c r="GX130" s="801"/>
      <c r="GY130" s="801"/>
      <c r="GZ130" s="802"/>
      <c r="HA130" s="800"/>
      <c r="HB130" s="801"/>
      <c r="HC130" s="801"/>
      <c r="HD130" s="801"/>
      <c r="HE130" s="801"/>
      <c r="HF130" s="801"/>
      <c r="HG130" s="801"/>
      <c r="HH130" s="801"/>
      <c r="HI130" s="801"/>
      <c r="HJ130" s="801"/>
      <c r="HK130" s="801"/>
      <c r="HL130" s="801"/>
      <c r="HM130" s="801"/>
      <c r="HN130" s="801"/>
      <c r="HO130" s="801"/>
      <c r="HP130" s="801"/>
      <c r="HQ130" s="801"/>
      <c r="HR130" s="801"/>
      <c r="HS130" s="801"/>
      <c r="HT130" s="801"/>
      <c r="HU130" s="801"/>
      <c r="HV130" s="801"/>
      <c r="HW130" s="801"/>
      <c r="HX130" s="801"/>
      <c r="HY130" s="801"/>
      <c r="HZ130" s="802"/>
      <c r="IA130" s="800"/>
      <c r="IB130" s="801"/>
      <c r="IC130" s="801"/>
      <c r="ID130" s="801"/>
      <c r="IE130" s="801"/>
      <c r="IF130" s="801"/>
      <c r="IG130" s="801"/>
      <c r="IH130" s="801"/>
      <c r="II130" s="801"/>
      <c r="IJ130" s="801"/>
      <c r="IK130" s="801"/>
      <c r="IL130" s="801"/>
      <c r="IM130" s="801"/>
      <c r="IN130" s="801"/>
      <c r="IO130" s="801"/>
      <c r="IP130" s="801"/>
      <c r="IQ130" s="801"/>
      <c r="IR130" s="801"/>
      <c r="IS130" s="801"/>
      <c r="IT130" s="801"/>
      <c r="IU130" s="801"/>
      <c r="IV130" s="801"/>
      <c r="IW130" s="801"/>
      <c r="IX130" s="801"/>
      <c r="IY130" s="801"/>
      <c r="IZ130" s="802"/>
    </row>
    <row r="131" spans="1:260" x14ac:dyDescent="0.25">
      <c r="A131" s="800"/>
      <c r="B131" s="801"/>
      <c r="C131" s="801"/>
      <c r="D131" s="801"/>
      <c r="E131" s="801"/>
      <c r="F131" s="801"/>
      <c r="G131" s="801"/>
      <c r="H131" s="801"/>
      <c r="I131" s="801"/>
      <c r="J131" s="801"/>
      <c r="K131" s="801"/>
      <c r="L131" s="801"/>
      <c r="M131" s="801"/>
      <c r="N131" s="801"/>
      <c r="O131" s="801"/>
      <c r="P131" s="801"/>
      <c r="Q131" s="801"/>
      <c r="R131" s="801"/>
      <c r="S131" s="801"/>
      <c r="T131" s="801"/>
      <c r="U131" s="801"/>
      <c r="V131" s="801"/>
      <c r="W131" s="801"/>
      <c r="X131" s="801"/>
      <c r="Y131" s="801"/>
      <c r="Z131" s="802"/>
      <c r="AA131" s="800"/>
      <c r="AB131" s="801"/>
      <c r="AC131" s="801"/>
      <c r="AD131" s="801"/>
      <c r="AE131" s="801"/>
      <c r="AF131" s="801"/>
      <c r="AG131" s="801"/>
      <c r="AH131" s="801"/>
      <c r="AI131" s="801"/>
      <c r="AJ131" s="801"/>
      <c r="AK131" s="801"/>
      <c r="AL131" s="801"/>
      <c r="AM131" s="801"/>
      <c r="AN131" s="801"/>
      <c r="AO131" s="801"/>
      <c r="AP131" s="801"/>
      <c r="AQ131" s="801"/>
      <c r="AR131" s="801"/>
      <c r="AS131" s="801"/>
      <c r="AT131" s="801"/>
      <c r="AU131" s="801"/>
      <c r="AV131" s="801"/>
      <c r="AW131" s="801"/>
      <c r="AX131" s="801"/>
      <c r="AY131" s="801"/>
      <c r="AZ131" s="802"/>
      <c r="BA131" s="800"/>
      <c r="BB131" s="801"/>
      <c r="BC131" s="801"/>
      <c r="BD131" s="801"/>
      <c r="BE131" s="801"/>
      <c r="BF131" s="801"/>
      <c r="BG131" s="801"/>
      <c r="BH131" s="801"/>
      <c r="BI131" s="801"/>
      <c r="BJ131" s="801"/>
      <c r="BK131" s="801"/>
      <c r="BL131" s="801"/>
      <c r="BM131" s="801"/>
      <c r="BN131" s="801"/>
      <c r="BO131" s="801"/>
      <c r="BP131" s="801"/>
      <c r="BQ131" s="801"/>
      <c r="BR131" s="801"/>
      <c r="BS131" s="801"/>
      <c r="BT131" s="801"/>
      <c r="BU131" s="801"/>
      <c r="BV131" s="801"/>
      <c r="BW131" s="801"/>
      <c r="BX131" s="801"/>
      <c r="BY131" s="801"/>
      <c r="BZ131" s="802"/>
      <c r="CA131" s="800"/>
      <c r="CB131" s="801"/>
      <c r="CC131" s="801"/>
      <c r="CD131" s="801"/>
      <c r="CE131" s="801"/>
      <c r="CF131" s="801"/>
      <c r="CG131" s="801"/>
      <c r="CH131" s="801"/>
      <c r="CI131" s="801"/>
      <c r="CJ131" s="801"/>
      <c r="CK131" s="801"/>
      <c r="CL131" s="801"/>
      <c r="CM131" s="801"/>
      <c r="CN131" s="801"/>
      <c r="CO131" s="801"/>
      <c r="CP131" s="801"/>
      <c r="CQ131" s="801"/>
      <c r="CR131" s="801"/>
      <c r="CS131" s="801"/>
      <c r="CT131" s="801"/>
      <c r="CU131" s="801"/>
      <c r="CV131" s="801"/>
      <c r="CW131" s="801"/>
      <c r="CX131" s="801"/>
      <c r="CY131" s="801"/>
      <c r="CZ131" s="802"/>
      <c r="DA131" s="800"/>
      <c r="DB131" s="801"/>
      <c r="DC131" s="801"/>
      <c r="DD131" s="801"/>
      <c r="DE131" s="801"/>
      <c r="DF131" s="801"/>
      <c r="DG131" s="801"/>
      <c r="DH131" s="801"/>
      <c r="DI131" s="801"/>
      <c r="DJ131" s="801"/>
      <c r="DK131" s="801"/>
      <c r="DL131" s="801"/>
      <c r="DM131" s="801"/>
      <c r="DN131" s="801"/>
      <c r="DO131" s="801"/>
      <c r="DP131" s="801"/>
      <c r="DQ131" s="801"/>
      <c r="DR131" s="801"/>
      <c r="DS131" s="801"/>
      <c r="DT131" s="801"/>
      <c r="DU131" s="801"/>
      <c r="DV131" s="801"/>
      <c r="DW131" s="801"/>
      <c r="DX131" s="801"/>
      <c r="DY131" s="801"/>
      <c r="DZ131" s="802"/>
      <c r="EA131" s="800"/>
      <c r="EB131" s="801"/>
      <c r="EC131" s="801"/>
      <c r="ED131" s="801"/>
      <c r="EE131" s="801"/>
      <c r="EF131" s="801"/>
      <c r="EG131" s="801"/>
      <c r="EH131" s="801"/>
      <c r="EI131" s="801"/>
      <c r="EJ131" s="801"/>
      <c r="EK131" s="801"/>
      <c r="EL131" s="801"/>
      <c r="EM131" s="801"/>
      <c r="EN131" s="801"/>
      <c r="EO131" s="801"/>
      <c r="EP131" s="801"/>
      <c r="EQ131" s="801"/>
      <c r="ER131" s="801"/>
      <c r="ES131" s="801"/>
      <c r="ET131" s="801"/>
      <c r="EU131" s="801"/>
      <c r="EV131" s="801"/>
      <c r="EW131" s="801"/>
      <c r="EX131" s="801"/>
      <c r="EY131" s="801"/>
      <c r="EZ131" s="802"/>
      <c r="FA131" s="800"/>
      <c r="FB131" s="801"/>
      <c r="FC131" s="801"/>
      <c r="FD131" s="801"/>
      <c r="FE131" s="801"/>
      <c r="FF131" s="801"/>
      <c r="FG131" s="801"/>
      <c r="FH131" s="801"/>
      <c r="FI131" s="801"/>
      <c r="FJ131" s="801"/>
      <c r="FK131" s="801"/>
      <c r="FL131" s="801"/>
      <c r="FM131" s="801"/>
      <c r="FN131" s="801"/>
      <c r="FO131" s="801"/>
      <c r="FP131" s="801"/>
      <c r="FQ131" s="801"/>
      <c r="FR131" s="801"/>
      <c r="FS131" s="801"/>
      <c r="FT131" s="801"/>
      <c r="FU131" s="801"/>
      <c r="FV131" s="801"/>
      <c r="FW131" s="801"/>
      <c r="FX131" s="801"/>
      <c r="FY131" s="801"/>
      <c r="FZ131" s="802"/>
      <c r="GA131" s="800"/>
      <c r="GB131" s="801"/>
      <c r="GC131" s="801"/>
      <c r="GD131" s="801"/>
      <c r="GE131" s="801"/>
      <c r="GF131" s="801"/>
      <c r="GG131" s="801"/>
      <c r="GH131" s="801"/>
      <c r="GI131" s="801"/>
      <c r="GJ131" s="801"/>
      <c r="GK131" s="801"/>
      <c r="GL131" s="801"/>
      <c r="GM131" s="801"/>
      <c r="GN131" s="801"/>
      <c r="GO131" s="801"/>
      <c r="GP131" s="801"/>
      <c r="GQ131" s="801"/>
      <c r="GR131" s="801"/>
      <c r="GS131" s="801"/>
      <c r="GT131" s="801"/>
      <c r="GU131" s="801"/>
      <c r="GV131" s="801"/>
      <c r="GW131" s="801"/>
      <c r="GX131" s="801"/>
      <c r="GY131" s="801"/>
      <c r="GZ131" s="802"/>
      <c r="HA131" s="800"/>
      <c r="HB131" s="801"/>
      <c r="HC131" s="801"/>
      <c r="HD131" s="801"/>
      <c r="HE131" s="801"/>
      <c r="HF131" s="801"/>
      <c r="HG131" s="801"/>
      <c r="HH131" s="801"/>
      <c r="HI131" s="801"/>
      <c r="HJ131" s="801"/>
      <c r="HK131" s="801"/>
      <c r="HL131" s="801"/>
      <c r="HM131" s="801"/>
      <c r="HN131" s="801"/>
      <c r="HO131" s="801"/>
      <c r="HP131" s="801"/>
      <c r="HQ131" s="801"/>
      <c r="HR131" s="801"/>
      <c r="HS131" s="801"/>
      <c r="HT131" s="801"/>
      <c r="HU131" s="801"/>
      <c r="HV131" s="801"/>
      <c r="HW131" s="801"/>
      <c r="HX131" s="801"/>
      <c r="HY131" s="801"/>
      <c r="HZ131" s="802"/>
      <c r="IA131" s="800"/>
      <c r="IB131" s="801"/>
      <c r="IC131" s="801"/>
      <c r="ID131" s="801"/>
      <c r="IE131" s="801"/>
      <c r="IF131" s="801"/>
      <c r="IG131" s="801"/>
      <c r="IH131" s="801"/>
      <c r="II131" s="801"/>
      <c r="IJ131" s="801"/>
      <c r="IK131" s="801"/>
      <c r="IL131" s="801"/>
      <c r="IM131" s="801"/>
      <c r="IN131" s="801"/>
      <c r="IO131" s="801"/>
      <c r="IP131" s="801"/>
      <c r="IQ131" s="801"/>
      <c r="IR131" s="801"/>
      <c r="IS131" s="801"/>
      <c r="IT131" s="801"/>
      <c r="IU131" s="801"/>
      <c r="IV131" s="801"/>
      <c r="IW131" s="801"/>
      <c r="IX131" s="801"/>
      <c r="IY131" s="801"/>
      <c r="IZ131" s="802"/>
    </row>
    <row r="132" spans="1:260" x14ac:dyDescent="0.25">
      <c r="A132" s="800" t="str">
        <f>IFERROR(IF(Z115&gt;A115-1,IF(INDEX(Pedidos!J:AZ,Y115+A115-1,31)&lt;&gt;"","Nombres :     "&amp; INDEX(Pedidos!J:AZ,Y115+A115-1,31),""),""),"")</f>
        <v/>
      </c>
      <c r="B132" s="801"/>
      <c r="C132" s="801"/>
      <c r="D132" s="801"/>
      <c r="E132" s="801"/>
      <c r="F132" s="801"/>
      <c r="G132" s="801"/>
      <c r="H132" s="801"/>
      <c r="I132" s="801"/>
      <c r="J132" s="801"/>
      <c r="K132" s="801"/>
      <c r="L132" s="801"/>
      <c r="M132" s="801"/>
      <c r="N132" s="801"/>
      <c r="O132" s="801"/>
      <c r="P132" s="801"/>
      <c r="Q132" s="801"/>
      <c r="R132" s="801"/>
      <c r="S132" s="801"/>
      <c r="T132" s="801"/>
      <c r="U132" s="801"/>
      <c r="V132" s="801"/>
      <c r="W132" s="801"/>
      <c r="X132" s="801"/>
      <c r="Y132" s="801"/>
      <c r="Z132" s="802"/>
      <c r="AA132" s="800" t="str">
        <f>IFERROR(IF(AZ115&gt;AA115-1,IF(INDEX(Pedidos!AJ:BZ,AY115+AA115-1,31)&lt;&gt;"","Nombres :     "&amp; INDEX(Pedidos!AJ:BZ,AY115+AA115-1,31),""),""),"")</f>
        <v/>
      </c>
      <c r="AB132" s="801"/>
      <c r="AC132" s="801"/>
      <c r="AD132" s="801"/>
      <c r="AE132" s="801"/>
      <c r="AF132" s="801"/>
      <c r="AG132" s="801"/>
      <c r="AH132" s="801"/>
      <c r="AI132" s="801"/>
      <c r="AJ132" s="801"/>
      <c r="AK132" s="801"/>
      <c r="AL132" s="801"/>
      <c r="AM132" s="801"/>
      <c r="AN132" s="801"/>
      <c r="AO132" s="801"/>
      <c r="AP132" s="801"/>
      <c r="AQ132" s="801"/>
      <c r="AR132" s="801"/>
      <c r="AS132" s="801"/>
      <c r="AT132" s="801"/>
      <c r="AU132" s="801"/>
      <c r="AV132" s="801"/>
      <c r="AW132" s="801"/>
      <c r="AX132" s="801"/>
      <c r="AY132" s="801"/>
      <c r="AZ132" s="802"/>
      <c r="BA132" s="800" t="str">
        <f>IFERROR(IF(BZ115&gt;BA115-1,IF(INDEX(Pedidos!BJ:CZ,BY115+BA115-1,31)&lt;&gt;"","Nombres :     "&amp; INDEX(Pedidos!BJ:CZ,BY115+BA115-1,31),""),""),"")</f>
        <v/>
      </c>
      <c r="BB132" s="801"/>
      <c r="BC132" s="801"/>
      <c r="BD132" s="801"/>
      <c r="BE132" s="801"/>
      <c r="BF132" s="801"/>
      <c r="BG132" s="801"/>
      <c r="BH132" s="801"/>
      <c r="BI132" s="801"/>
      <c r="BJ132" s="801"/>
      <c r="BK132" s="801"/>
      <c r="BL132" s="801"/>
      <c r="BM132" s="801"/>
      <c r="BN132" s="801"/>
      <c r="BO132" s="801"/>
      <c r="BP132" s="801"/>
      <c r="BQ132" s="801"/>
      <c r="BR132" s="801"/>
      <c r="BS132" s="801"/>
      <c r="BT132" s="801"/>
      <c r="BU132" s="801"/>
      <c r="BV132" s="801"/>
      <c r="BW132" s="801"/>
      <c r="BX132" s="801"/>
      <c r="BY132" s="801"/>
      <c r="BZ132" s="802"/>
      <c r="CA132" s="800" t="str">
        <f>IFERROR(IF(CZ115&gt;CA115-1,IF(INDEX(Pedidos!CJ:DZ,CY115+CA115-1,31)&lt;&gt;"","Nombres :     "&amp; INDEX(Pedidos!CJ:DZ,CY115+CA115-1,31),""),""),"")</f>
        <v/>
      </c>
      <c r="CB132" s="801"/>
      <c r="CC132" s="801"/>
      <c r="CD132" s="801"/>
      <c r="CE132" s="801"/>
      <c r="CF132" s="801"/>
      <c r="CG132" s="801"/>
      <c r="CH132" s="801"/>
      <c r="CI132" s="801"/>
      <c r="CJ132" s="801"/>
      <c r="CK132" s="801"/>
      <c r="CL132" s="801"/>
      <c r="CM132" s="801"/>
      <c r="CN132" s="801"/>
      <c r="CO132" s="801"/>
      <c r="CP132" s="801"/>
      <c r="CQ132" s="801"/>
      <c r="CR132" s="801"/>
      <c r="CS132" s="801"/>
      <c r="CT132" s="801"/>
      <c r="CU132" s="801"/>
      <c r="CV132" s="801"/>
      <c r="CW132" s="801"/>
      <c r="CX132" s="801"/>
      <c r="CY132" s="801"/>
      <c r="CZ132" s="802"/>
      <c r="DA132" s="800" t="str">
        <f>IFERROR(IF(DZ115&gt;DA115-1,IF(INDEX(Pedidos!DJ:EZ,DY115+DA115-1,31)&lt;&gt;"","Nombres :     "&amp; INDEX(Pedidos!DJ:EZ,DY115+DA115-1,31),""),""),"")</f>
        <v/>
      </c>
      <c r="DB132" s="801"/>
      <c r="DC132" s="801"/>
      <c r="DD132" s="801"/>
      <c r="DE132" s="801"/>
      <c r="DF132" s="801"/>
      <c r="DG132" s="801"/>
      <c r="DH132" s="801"/>
      <c r="DI132" s="801"/>
      <c r="DJ132" s="801"/>
      <c r="DK132" s="801"/>
      <c r="DL132" s="801"/>
      <c r="DM132" s="801"/>
      <c r="DN132" s="801"/>
      <c r="DO132" s="801"/>
      <c r="DP132" s="801"/>
      <c r="DQ132" s="801"/>
      <c r="DR132" s="801"/>
      <c r="DS132" s="801"/>
      <c r="DT132" s="801"/>
      <c r="DU132" s="801"/>
      <c r="DV132" s="801"/>
      <c r="DW132" s="801"/>
      <c r="DX132" s="801"/>
      <c r="DY132" s="801"/>
      <c r="DZ132" s="802"/>
      <c r="EA132" s="800" t="str">
        <f>IFERROR(IF(EZ115&gt;EA115-1,IF(INDEX(Pedidos!EJ:FZ,EY115+EA115-1,31)&lt;&gt;"","Nombres :     "&amp; INDEX(Pedidos!EJ:FZ,EY115+EA115-1,31),""),""),"")</f>
        <v/>
      </c>
      <c r="EB132" s="801"/>
      <c r="EC132" s="801"/>
      <c r="ED132" s="801"/>
      <c r="EE132" s="801"/>
      <c r="EF132" s="801"/>
      <c r="EG132" s="801"/>
      <c r="EH132" s="801"/>
      <c r="EI132" s="801"/>
      <c r="EJ132" s="801"/>
      <c r="EK132" s="801"/>
      <c r="EL132" s="801"/>
      <c r="EM132" s="801"/>
      <c r="EN132" s="801"/>
      <c r="EO132" s="801"/>
      <c r="EP132" s="801"/>
      <c r="EQ132" s="801"/>
      <c r="ER132" s="801"/>
      <c r="ES132" s="801"/>
      <c r="ET132" s="801"/>
      <c r="EU132" s="801"/>
      <c r="EV132" s="801"/>
      <c r="EW132" s="801"/>
      <c r="EX132" s="801"/>
      <c r="EY132" s="801"/>
      <c r="EZ132" s="802"/>
      <c r="FA132" s="800" t="str">
        <f>IFERROR(IF(FZ115&gt;FA115-1,IF(INDEX(Pedidos!FJ:GZ,FY115+FA115-1,31)&lt;&gt;"","Nombres :     "&amp; INDEX(Pedidos!FJ:GZ,FY115+FA115-1,31),""),""),"")</f>
        <v/>
      </c>
      <c r="FB132" s="801"/>
      <c r="FC132" s="801"/>
      <c r="FD132" s="801"/>
      <c r="FE132" s="801"/>
      <c r="FF132" s="801"/>
      <c r="FG132" s="801"/>
      <c r="FH132" s="801"/>
      <c r="FI132" s="801"/>
      <c r="FJ132" s="801"/>
      <c r="FK132" s="801"/>
      <c r="FL132" s="801"/>
      <c r="FM132" s="801"/>
      <c r="FN132" s="801"/>
      <c r="FO132" s="801"/>
      <c r="FP132" s="801"/>
      <c r="FQ132" s="801"/>
      <c r="FR132" s="801"/>
      <c r="FS132" s="801"/>
      <c r="FT132" s="801"/>
      <c r="FU132" s="801"/>
      <c r="FV132" s="801"/>
      <c r="FW132" s="801"/>
      <c r="FX132" s="801"/>
      <c r="FY132" s="801"/>
      <c r="FZ132" s="802"/>
      <c r="GA132" s="800" t="str">
        <f>IFERROR(IF(GZ115&gt;GA115-1,IF(INDEX(Pedidos!GJ:HZ,GY115+GA115-1,31)&lt;&gt;"","Nombres :     "&amp; INDEX(Pedidos!GJ:HZ,GY115+GA115-1,31),""),""),"")</f>
        <v/>
      </c>
      <c r="GB132" s="801"/>
      <c r="GC132" s="801"/>
      <c r="GD132" s="801"/>
      <c r="GE132" s="801"/>
      <c r="GF132" s="801"/>
      <c r="GG132" s="801"/>
      <c r="GH132" s="801"/>
      <c r="GI132" s="801"/>
      <c r="GJ132" s="801"/>
      <c r="GK132" s="801"/>
      <c r="GL132" s="801"/>
      <c r="GM132" s="801"/>
      <c r="GN132" s="801"/>
      <c r="GO132" s="801"/>
      <c r="GP132" s="801"/>
      <c r="GQ132" s="801"/>
      <c r="GR132" s="801"/>
      <c r="GS132" s="801"/>
      <c r="GT132" s="801"/>
      <c r="GU132" s="801"/>
      <c r="GV132" s="801"/>
      <c r="GW132" s="801"/>
      <c r="GX132" s="801"/>
      <c r="GY132" s="801"/>
      <c r="GZ132" s="802"/>
      <c r="HA132" s="800" t="str">
        <f>IFERROR(IF(HZ115&gt;HA115-1,IF(INDEX(Pedidos!HJ:IZ,HY115+HA115-1,31)&lt;&gt;"","Nombres :     "&amp; INDEX(Pedidos!HJ:IZ,HY115+HA115-1,31),""),""),"")</f>
        <v/>
      </c>
      <c r="HB132" s="801"/>
      <c r="HC132" s="801"/>
      <c r="HD132" s="801"/>
      <c r="HE132" s="801"/>
      <c r="HF132" s="801"/>
      <c r="HG132" s="801"/>
      <c r="HH132" s="801"/>
      <c r="HI132" s="801"/>
      <c r="HJ132" s="801"/>
      <c r="HK132" s="801"/>
      <c r="HL132" s="801"/>
      <c r="HM132" s="801"/>
      <c r="HN132" s="801"/>
      <c r="HO132" s="801"/>
      <c r="HP132" s="801"/>
      <c r="HQ132" s="801"/>
      <c r="HR132" s="801"/>
      <c r="HS132" s="801"/>
      <c r="HT132" s="801"/>
      <c r="HU132" s="801"/>
      <c r="HV132" s="801"/>
      <c r="HW132" s="801"/>
      <c r="HX132" s="801"/>
      <c r="HY132" s="801"/>
      <c r="HZ132" s="802"/>
      <c r="IA132" s="800" t="str">
        <f>IFERROR(IF(IZ115&gt;IA115-1,IF(INDEX(Pedidos!IJ:JZ,IY115+IA115-1,31)&lt;&gt;"","Nombres :     "&amp; INDEX(Pedidos!IJ:JZ,IY115+IA115-1,31),""),""),"")</f>
        <v/>
      </c>
      <c r="IB132" s="801"/>
      <c r="IC132" s="801"/>
      <c r="ID132" s="801"/>
      <c r="IE132" s="801"/>
      <c r="IF132" s="801"/>
      <c r="IG132" s="801"/>
      <c r="IH132" s="801"/>
      <c r="II132" s="801"/>
      <c r="IJ132" s="801"/>
      <c r="IK132" s="801"/>
      <c r="IL132" s="801"/>
      <c r="IM132" s="801"/>
      <c r="IN132" s="801"/>
      <c r="IO132" s="801"/>
      <c r="IP132" s="801"/>
      <c r="IQ132" s="801"/>
      <c r="IR132" s="801"/>
      <c r="IS132" s="801"/>
      <c r="IT132" s="801"/>
      <c r="IU132" s="801"/>
      <c r="IV132" s="801"/>
      <c r="IW132" s="801"/>
      <c r="IX132" s="801"/>
      <c r="IY132" s="801"/>
      <c r="IZ132" s="802"/>
    </row>
    <row r="133" spans="1:260" ht="15" customHeight="1" x14ac:dyDescent="0.25">
      <c r="A133" s="820" t="str">
        <f>IFERROR(IF(Z115&gt;A115-1,IF(INDEX(Pedidos!J:AZ,Y115+A115-1,32)&lt;&gt;"","Localización de los Nombres :     "&amp; INDEX(Pedidos!J:AZ,Y115+A115-1,32),""),""),"")</f>
        <v/>
      </c>
      <c r="B133" s="821"/>
      <c r="C133" s="821"/>
      <c r="D133" s="821"/>
      <c r="E133" s="821"/>
      <c r="F133" s="821"/>
      <c r="G133" s="821"/>
      <c r="H133" s="821"/>
      <c r="I133" s="821"/>
      <c r="J133" s="821"/>
      <c r="K133" s="821"/>
      <c r="L133" s="821"/>
      <c r="M133" s="821"/>
      <c r="N133" s="821"/>
      <c r="O133" s="821"/>
      <c r="P133" s="821"/>
      <c r="Q133" s="821"/>
      <c r="R133" s="821"/>
      <c r="S133" s="821"/>
      <c r="T133" s="821"/>
      <c r="U133" s="821"/>
      <c r="V133" s="821"/>
      <c r="W133" s="821"/>
      <c r="X133" s="821"/>
      <c r="Y133" s="821"/>
      <c r="Z133" s="822"/>
      <c r="AA133" s="820" t="str">
        <f>IFERROR(IF(AZ115&gt;AA115-1,IF(INDEX(Pedidos!AJ:BZ,AY115+AA115-1,32)&lt;&gt;"","Localización de los Nombres :     "&amp; INDEX(Pedidos!AJ:BZ,AY115+AA115-1,32),""),""),"")</f>
        <v/>
      </c>
      <c r="AB133" s="821"/>
      <c r="AC133" s="821"/>
      <c r="AD133" s="821"/>
      <c r="AE133" s="821"/>
      <c r="AF133" s="821"/>
      <c r="AG133" s="821"/>
      <c r="AH133" s="821"/>
      <c r="AI133" s="821"/>
      <c r="AJ133" s="821"/>
      <c r="AK133" s="821"/>
      <c r="AL133" s="821"/>
      <c r="AM133" s="821"/>
      <c r="AN133" s="821"/>
      <c r="AO133" s="821"/>
      <c r="AP133" s="821"/>
      <c r="AQ133" s="821"/>
      <c r="AR133" s="821"/>
      <c r="AS133" s="821"/>
      <c r="AT133" s="821"/>
      <c r="AU133" s="821"/>
      <c r="AV133" s="821"/>
      <c r="AW133" s="821"/>
      <c r="AX133" s="821"/>
      <c r="AY133" s="821"/>
      <c r="AZ133" s="822"/>
      <c r="BA133" s="820" t="str">
        <f>IFERROR(IF(BZ115&gt;BA115-1,IF(INDEX(Pedidos!BJ:CZ,BY115+BA115-1,32)&lt;&gt;"","Localización de los Nombres :     "&amp; INDEX(Pedidos!BJ:CZ,BY115+BA115-1,32),""),""),"")</f>
        <v/>
      </c>
      <c r="BB133" s="821"/>
      <c r="BC133" s="821"/>
      <c r="BD133" s="821"/>
      <c r="BE133" s="821"/>
      <c r="BF133" s="821"/>
      <c r="BG133" s="821"/>
      <c r="BH133" s="821"/>
      <c r="BI133" s="821"/>
      <c r="BJ133" s="821"/>
      <c r="BK133" s="821"/>
      <c r="BL133" s="821"/>
      <c r="BM133" s="821"/>
      <c r="BN133" s="821"/>
      <c r="BO133" s="821"/>
      <c r="BP133" s="821"/>
      <c r="BQ133" s="821"/>
      <c r="BR133" s="821"/>
      <c r="BS133" s="821"/>
      <c r="BT133" s="821"/>
      <c r="BU133" s="821"/>
      <c r="BV133" s="821"/>
      <c r="BW133" s="821"/>
      <c r="BX133" s="821"/>
      <c r="BY133" s="821"/>
      <c r="BZ133" s="822"/>
      <c r="CA133" s="820" t="str">
        <f>IFERROR(IF(CZ115&gt;CA115-1,IF(INDEX(Pedidos!CJ:DZ,CY115+CA115-1,32)&lt;&gt;"","Localización de los Nombres :     "&amp; INDEX(Pedidos!CJ:DZ,CY115+CA115-1,32),""),""),"")</f>
        <v/>
      </c>
      <c r="CB133" s="821"/>
      <c r="CC133" s="821"/>
      <c r="CD133" s="821"/>
      <c r="CE133" s="821"/>
      <c r="CF133" s="821"/>
      <c r="CG133" s="821"/>
      <c r="CH133" s="821"/>
      <c r="CI133" s="821"/>
      <c r="CJ133" s="821"/>
      <c r="CK133" s="821"/>
      <c r="CL133" s="821"/>
      <c r="CM133" s="821"/>
      <c r="CN133" s="821"/>
      <c r="CO133" s="821"/>
      <c r="CP133" s="821"/>
      <c r="CQ133" s="821"/>
      <c r="CR133" s="821"/>
      <c r="CS133" s="821"/>
      <c r="CT133" s="821"/>
      <c r="CU133" s="821"/>
      <c r="CV133" s="821"/>
      <c r="CW133" s="821"/>
      <c r="CX133" s="821"/>
      <c r="CY133" s="821"/>
      <c r="CZ133" s="822"/>
      <c r="DA133" s="820" t="str">
        <f>IFERROR(IF(DZ115&gt;DA115-1,IF(INDEX(Pedidos!DJ:EZ,DY115+DA115-1,32)&lt;&gt;"","Localización de los Nombres :     "&amp; INDEX(Pedidos!DJ:EZ,DY115+DA115-1,32),""),""),"")</f>
        <v/>
      </c>
      <c r="DB133" s="821"/>
      <c r="DC133" s="821"/>
      <c r="DD133" s="821"/>
      <c r="DE133" s="821"/>
      <c r="DF133" s="821"/>
      <c r="DG133" s="821"/>
      <c r="DH133" s="821"/>
      <c r="DI133" s="821"/>
      <c r="DJ133" s="821"/>
      <c r="DK133" s="821"/>
      <c r="DL133" s="821"/>
      <c r="DM133" s="821"/>
      <c r="DN133" s="821"/>
      <c r="DO133" s="821"/>
      <c r="DP133" s="821"/>
      <c r="DQ133" s="821"/>
      <c r="DR133" s="821"/>
      <c r="DS133" s="821"/>
      <c r="DT133" s="821"/>
      <c r="DU133" s="821"/>
      <c r="DV133" s="821"/>
      <c r="DW133" s="821"/>
      <c r="DX133" s="821"/>
      <c r="DY133" s="821"/>
      <c r="DZ133" s="822"/>
      <c r="EA133" s="820" t="str">
        <f>IFERROR(IF(EZ115&gt;EA115-1,IF(INDEX(Pedidos!EJ:FZ,EY115+EA115-1,32)&lt;&gt;"","Localización de los Nombres :     "&amp; INDEX(Pedidos!EJ:FZ,EY115+EA115-1,32),""),""),"")</f>
        <v/>
      </c>
      <c r="EB133" s="821"/>
      <c r="EC133" s="821"/>
      <c r="ED133" s="821"/>
      <c r="EE133" s="821"/>
      <c r="EF133" s="821"/>
      <c r="EG133" s="821"/>
      <c r="EH133" s="821"/>
      <c r="EI133" s="821"/>
      <c r="EJ133" s="821"/>
      <c r="EK133" s="821"/>
      <c r="EL133" s="821"/>
      <c r="EM133" s="821"/>
      <c r="EN133" s="821"/>
      <c r="EO133" s="821"/>
      <c r="EP133" s="821"/>
      <c r="EQ133" s="821"/>
      <c r="ER133" s="821"/>
      <c r="ES133" s="821"/>
      <c r="ET133" s="821"/>
      <c r="EU133" s="821"/>
      <c r="EV133" s="821"/>
      <c r="EW133" s="821"/>
      <c r="EX133" s="821"/>
      <c r="EY133" s="821"/>
      <c r="EZ133" s="822"/>
      <c r="FA133" s="820" t="str">
        <f>IFERROR(IF(FZ115&gt;FA115-1,IF(INDEX(Pedidos!FJ:GZ,FY115+FA115-1,32)&lt;&gt;"","Localización de los Nombres :     "&amp; INDEX(Pedidos!FJ:GZ,FY115+FA115-1,32),""),""),"")</f>
        <v/>
      </c>
      <c r="FB133" s="821"/>
      <c r="FC133" s="821"/>
      <c r="FD133" s="821"/>
      <c r="FE133" s="821"/>
      <c r="FF133" s="821"/>
      <c r="FG133" s="821"/>
      <c r="FH133" s="821"/>
      <c r="FI133" s="821"/>
      <c r="FJ133" s="821"/>
      <c r="FK133" s="821"/>
      <c r="FL133" s="821"/>
      <c r="FM133" s="821"/>
      <c r="FN133" s="821"/>
      <c r="FO133" s="821"/>
      <c r="FP133" s="821"/>
      <c r="FQ133" s="821"/>
      <c r="FR133" s="821"/>
      <c r="FS133" s="821"/>
      <c r="FT133" s="821"/>
      <c r="FU133" s="821"/>
      <c r="FV133" s="821"/>
      <c r="FW133" s="821"/>
      <c r="FX133" s="821"/>
      <c r="FY133" s="821"/>
      <c r="FZ133" s="822"/>
      <c r="GA133" s="820" t="str">
        <f>IFERROR(IF(GZ115&gt;GA115-1,IF(INDEX(Pedidos!GJ:HZ,GY115+GA115-1,32)&lt;&gt;"","Localización de los Nombres :     "&amp; INDEX(Pedidos!GJ:HZ,GY115+GA115-1,32),""),""),"")</f>
        <v/>
      </c>
      <c r="GB133" s="821"/>
      <c r="GC133" s="821"/>
      <c r="GD133" s="821"/>
      <c r="GE133" s="821"/>
      <c r="GF133" s="821"/>
      <c r="GG133" s="821"/>
      <c r="GH133" s="821"/>
      <c r="GI133" s="821"/>
      <c r="GJ133" s="821"/>
      <c r="GK133" s="821"/>
      <c r="GL133" s="821"/>
      <c r="GM133" s="821"/>
      <c r="GN133" s="821"/>
      <c r="GO133" s="821"/>
      <c r="GP133" s="821"/>
      <c r="GQ133" s="821"/>
      <c r="GR133" s="821"/>
      <c r="GS133" s="821"/>
      <c r="GT133" s="821"/>
      <c r="GU133" s="821"/>
      <c r="GV133" s="821"/>
      <c r="GW133" s="821"/>
      <c r="GX133" s="821"/>
      <c r="GY133" s="821"/>
      <c r="GZ133" s="822"/>
      <c r="HA133" s="820" t="str">
        <f>IFERROR(IF(HZ115&gt;HA115-1,IF(INDEX(Pedidos!HJ:IZ,HY115+HA115-1,32)&lt;&gt;"","Localización de los Nombres :     "&amp; INDEX(Pedidos!HJ:IZ,HY115+HA115-1,32),""),""),"")</f>
        <v/>
      </c>
      <c r="HB133" s="821"/>
      <c r="HC133" s="821"/>
      <c r="HD133" s="821"/>
      <c r="HE133" s="821"/>
      <c r="HF133" s="821"/>
      <c r="HG133" s="821"/>
      <c r="HH133" s="821"/>
      <c r="HI133" s="821"/>
      <c r="HJ133" s="821"/>
      <c r="HK133" s="821"/>
      <c r="HL133" s="821"/>
      <c r="HM133" s="821"/>
      <c r="HN133" s="821"/>
      <c r="HO133" s="821"/>
      <c r="HP133" s="821"/>
      <c r="HQ133" s="821"/>
      <c r="HR133" s="821"/>
      <c r="HS133" s="821"/>
      <c r="HT133" s="821"/>
      <c r="HU133" s="821"/>
      <c r="HV133" s="821"/>
      <c r="HW133" s="821"/>
      <c r="HX133" s="821"/>
      <c r="HY133" s="821"/>
      <c r="HZ133" s="822"/>
      <c r="IA133" s="820" t="str">
        <f>IFERROR(IF(IZ115&gt;IA115-1,IF(INDEX(Pedidos!IJ:JZ,IY115+IA115-1,32)&lt;&gt;"","Localización de los Nombres :     "&amp; INDEX(Pedidos!IJ:JZ,IY115+IA115-1,32),""),""),"")</f>
        <v/>
      </c>
      <c r="IB133" s="821"/>
      <c r="IC133" s="821"/>
      <c r="ID133" s="821"/>
      <c r="IE133" s="821"/>
      <c r="IF133" s="821"/>
      <c r="IG133" s="821"/>
      <c r="IH133" s="821"/>
      <c r="II133" s="821"/>
      <c r="IJ133" s="821"/>
      <c r="IK133" s="821"/>
      <c r="IL133" s="821"/>
      <c r="IM133" s="821"/>
      <c r="IN133" s="821"/>
      <c r="IO133" s="821"/>
      <c r="IP133" s="821"/>
      <c r="IQ133" s="821"/>
      <c r="IR133" s="821"/>
      <c r="IS133" s="821"/>
      <c r="IT133" s="821"/>
      <c r="IU133" s="821"/>
      <c r="IV133" s="821"/>
      <c r="IW133" s="821"/>
      <c r="IX133" s="821"/>
      <c r="IY133" s="821"/>
      <c r="IZ133" s="822"/>
    </row>
    <row r="134" spans="1:260" ht="15" customHeight="1" x14ac:dyDescent="0.25">
      <c r="A134" s="836" t="str">
        <f>IFERROR(IF(Z115&gt;A115-1,IF(INDEX(Pedidos!J:AZ,Y115+A115-1,37)&lt;&gt;"","Otras Instrucciones Especiales :     "&amp; INDEX(Pedidos!J:AZ,Y115+A115-1,37),""),""),"")</f>
        <v/>
      </c>
      <c r="B134" s="837"/>
      <c r="C134" s="837"/>
      <c r="D134" s="837"/>
      <c r="E134" s="837"/>
      <c r="F134" s="837"/>
      <c r="G134" s="837"/>
      <c r="H134" s="837"/>
      <c r="I134" s="837"/>
      <c r="J134" s="837"/>
      <c r="K134" s="837"/>
      <c r="L134" s="837"/>
      <c r="M134" s="837"/>
      <c r="N134" s="837"/>
      <c r="O134" s="837"/>
      <c r="P134" s="837"/>
      <c r="Q134" s="837"/>
      <c r="R134" s="837"/>
      <c r="S134" s="837"/>
      <c r="T134" s="837"/>
      <c r="U134" s="837"/>
      <c r="V134" s="837"/>
      <c r="W134" s="837"/>
      <c r="X134" s="837"/>
      <c r="Y134" s="837"/>
      <c r="Z134" s="838"/>
      <c r="AA134" s="836" t="str">
        <f>IFERROR(IF(AZ115&gt;AA115-1,IF(INDEX(Pedidos!AJ:BZ,AY115+AA115-1,37)&lt;&gt;"","Otras Instrucciones Especiales :     "&amp; INDEX(Pedidos!AJ:BZ,AY115+AA115-1,37),""),""),"")</f>
        <v/>
      </c>
      <c r="AB134" s="837"/>
      <c r="AC134" s="837"/>
      <c r="AD134" s="837"/>
      <c r="AE134" s="837"/>
      <c r="AF134" s="837"/>
      <c r="AG134" s="837"/>
      <c r="AH134" s="837"/>
      <c r="AI134" s="837"/>
      <c r="AJ134" s="837"/>
      <c r="AK134" s="837"/>
      <c r="AL134" s="837"/>
      <c r="AM134" s="837"/>
      <c r="AN134" s="837"/>
      <c r="AO134" s="837"/>
      <c r="AP134" s="837"/>
      <c r="AQ134" s="837"/>
      <c r="AR134" s="837"/>
      <c r="AS134" s="837"/>
      <c r="AT134" s="837"/>
      <c r="AU134" s="837"/>
      <c r="AV134" s="837"/>
      <c r="AW134" s="837"/>
      <c r="AX134" s="837"/>
      <c r="AY134" s="837"/>
      <c r="AZ134" s="838"/>
      <c r="BA134" s="836" t="str">
        <f>IFERROR(IF(BZ115&gt;BA115-1,IF(INDEX(Pedidos!BJ:CZ,BY115+BA115-1,37)&lt;&gt;"","Otras Instrucciones Especiales :     "&amp; INDEX(Pedidos!BJ:CZ,BY115+BA115-1,37),""),""),"")</f>
        <v/>
      </c>
      <c r="BB134" s="837"/>
      <c r="BC134" s="837"/>
      <c r="BD134" s="837"/>
      <c r="BE134" s="837"/>
      <c r="BF134" s="837"/>
      <c r="BG134" s="837"/>
      <c r="BH134" s="837"/>
      <c r="BI134" s="837"/>
      <c r="BJ134" s="837"/>
      <c r="BK134" s="837"/>
      <c r="BL134" s="837"/>
      <c r="BM134" s="837"/>
      <c r="BN134" s="837"/>
      <c r="BO134" s="837"/>
      <c r="BP134" s="837"/>
      <c r="BQ134" s="837"/>
      <c r="BR134" s="837"/>
      <c r="BS134" s="837"/>
      <c r="BT134" s="837"/>
      <c r="BU134" s="837"/>
      <c r="BV134" s="837"/>
      <c r="BW134" s="837"/>
      <c r="BX134" s="837"/>
      <c r="BY134" s="837"/>
      <c r="BZ134" s="838"/>
      <c r="CA134" s="836" t="str">
        <f>IFERROR(IF(CZ115&gt;CA115-1,IF(INDEX(Pedidos!CJ:DZ,CY115+CA115-1,37)&lt;&gt;"","Otras Instrucciones Especiales :     "&amp; INDEX(Pedidos!CJ:DZ,CY115+CA115-1,37),""),""),"")</f>
        <v/>
      </c>
      <c r="CB134" s="837"/>
      <c r="CC134" s="837"/>
      <c r="CD134" s="837"/>
      <c r="CE134" s="837"/>
      <c r="CF134" s="837"/>
      <c r="CG134" s="837"/>
      <c r="CH134" s="837"/>
      <c r="CI134" s="837"/>
      <c r="CJ134" s="837"/>
      <c r="CK134" s="837"/>
      <c r="CL134" s="837"/>
      <c r="CM134" s="837"/>
      <c r="CN134" s="837"/>
      <c r="CO134" s="837"/>
      <c r="CP134" s="837"/>
      <c r="CQ134" s="837"/>
      <c r="CR134" s="837"/>
      <c r="CS134" s="837"/>
      <c r="CT134" s="837"/>
      <c r="CU134" s="837"/>
      <c r="CV134" s="837"/>
      <c r="CW134" s="837"/>
      <c r="CX134" s="837"/>
      <c r="CY134" s="837"/>
      <c r="CZ134" s="838"/>
      <c r="DA134" s="836" t="str">
        <f>IFERROR(IF(DZ115&gt;DA115-1,IF(INDEX(Pedidos!DJ:EZ,DY115+DA115-1,37)&lt;&gt;"","Otras Instrucciones Especiales :     "&amp; INDEX(Pedidos!DJ:EZ,DY115+DA115-1,37),""),""),"")</f>
        <v/>
      </c>
      <c r="DB134" s="837"/>
      <c r="DC134" s="837"/>
      <c r="DD134" s="837"/>
      <c r="DE134" s="837"/>
      <c r="DF134" s="837"/>
      <c r="DG134" s="837"/>
      <c r="DH134" s="837"/>
      <c r="DI134" s="837"/>
      <c r="DJ134" s="837"/>
      <c r="DK134" s="837"/>
      <c r="DL134" s="837"/>
      <c r="DM134" s="837"/>
      <c r="DN134" s="837"/>
      <c r="DO134" s="837"/>
      <c r="DP134" s="837"/>
      <c r="DQ134" s="837"/>
      <c r="DR134" s="837"/>
      <c r="DS134" s="837"/>
      <c r="DT134" s="837"/>
      <c r="DU134" s="837"/>
      <c r="DV134" s="837"/>
      <c r="DW134" s="837"/>
      <c r="DX134" s="837"/>
      <c r="DY134" s="837"/>
      <c r="DZ134" s="838"/>
      <c r="EA134" s="836" t="str">
        <f>IFERROR(IF(EZ115&gt;EA115-1,IF(INDEX(Pedidos!EJ:FZ,EY115+EA115-1,37)&lt;&gt;"","Otras Instrucciones Especiales :     "&amp; INDEX(Pedidos!EJ:FZ,EY115+EA115-1,37),""),""),"")</f>
        <v/>
      </c>
      <c r="EB134" s="837"/>
      <c r="EC134" s="837"/>
      <c r="ED134" s="837"/>
      <c r="EE134" s="837"/>
      <c r="EF134" s="837"/>
      <c r="EG134" s="837"/>
      <c r="EH134" s="837"/>
      <c r="EI134" s="837"/>
      <c r="EJ134" s="837"/>
      <c r="EK134" s="837"/>
      <c r="EL134" s="837"/>
      <c r="EM134" s="837"/>
      <c r="EN134" s="837"/>
      <c r="EO134" s="837"/>
      <c r="EP134" s="837"/>
      <c r="EQ134" s="837"/>
      <c r="ER134" s="837"/>
      <c r="ES134" s="837"/>
      <c r="ET134" s="837"/>
      <c r="EU134" s="837"/>
      <c r="EV134" s="837"/>
      <c r="EW134" s="837"/>
      <c r="EX134" s="837"/>
      <c r="EY134" s="837"/>
      <c r="EZ134" s="838"/>
      <c r="FA134" s="836" t="str">
        <f>IFERROR(IF(FZ115&gt;FA115-1,IF(INDEX(Pedidos!FJ:GZ,FY115+FA115-1,37)&lt;&gt;"","Otras Instrucciones Especiales :     "&amp; INDEX(Pedidos!FJ:GZ,FY115+FA115-1,37),""),""),"")</f>
        <v/>
      </c>
      <c r="FB134" s="837"/>
      <c r="FC134" s="837"/>
      <c r="FD134" s="837"/>
      <c r="FE134" s="837"/>
      <c r="FF134" s="837"/>
      <c r="FG134" s="837"/>
      <c r="FH134" s="837"/>
      <c r="FI134" s="837"/>
      <c r="FJ134" s="837"/>
      <c r="FK134" s="837"/>
      <c r="FL134" s="837"/>
      <c r="FM134" s="837"/>
      <c r="FN134" s="837"/>
      <c r="FO134" s="837"/>
      <c r="FP134" s="837"/>
      <c r="FQ134" s="837"/>
      <c r="FR134" s="837"/>
      <c r="FS134" s="837"/>
      <c r="FT134" s="837"/>
      <c r="FU134" s="837"/>
      <c r="FV134" s="837"/>
      <c r="FW134" s="837"/>
      <c r="FX134" s="837"/>
      <c r="FY134" s="837"/>
      <c r="FZ134" s="838"/>
      <c r="GA134" s="836" t="str">
        <f>IFERROR(IF(GZ115&gt;GA115-1,IF(INDEX(Pedidos!GJ:HZ,GY115+GA115-1,37)&lt;&gt;"","Otras Instrucciones Especiales :     "&amp; INDEX(Pedidos!GJ:HZ,GY115+GA115-1,37),""),""),"")</f>
        <v/>
      </c>
      <c r="GB134" s="837"/>
      <c r="GC134" s="837"/>
      <c r="GD134" s="837"/>
      <c r="GE134" s="837"/>
      <c r="GF134" s="837"/>
      <c r="GG134" s="837"/>
      <c r="GH134" s="837"/>
      <c r="GI134" s="837"/>
      <c r="GJ134" s="837"/>
      <c r="GK134" s="837"/>
      <c r="GL134" s="837"/>
      <c r="GM134" s="837"/>
      <c r="GN134" s="837"/>
      <c r="GO134" s="837"/>
      <c r="GP134" s="837"/>
      <c r="GQ134" s="837"/>
      <c r="GR134" s="837"/>
      <c r="GS134" s="837"/>
      <c r="GT134" s="837"/>
      <c r="GU134" s="837"/>
      <c r="GV134" s="837"/>
      <c r="GW134" s="837"/>
      <c r="GX134" s="837"/>
      <c r="GY134" s="837"/>
      <c r="GZ134" s="838"/>
      <c r="HA134" s="836" t="str">
        <f>IFERROR(IF(HZ115&gt;HA115-1,IF(INDEX(Pedidos!HJ:IZ,HY115+HA115-1,37)&lt;&gt;"","Otras Instrucciones Especiales :     "&amp; INDEX(Pedidos!HJ:IZ,HY115+HA115-1,37),""),""),"")</f>
        <v/>
      </c>
      <c r="HB134" s="837"/>
      <c r="HC134" s="837"/>
      <c r="HD134" s="837"/>
      <c r="HE134" s="837"/>
      <c r="HF134" s="837"/>
      <c r="HG134" s="837"/>
      <c r="HH134" s="837"/>
      <c r="HI134" s="837"/>
      <c r="HJ134" s="837"/>
      <c r="HK134" s="837"/>
      <c r="HL134" s="837"/>
      <c r="HM134" s="837"/>
      <c r="HN134" s="837"/>
      <c r="HO134" s="837"/>
      <c r="HP134" s="837"/>
      <c r="HQ134" s="837"/>
      <c r="HR134" s="837"/>
      <c r="HS134" s="837"/>
      <c r="HT134" s="837"/>
      <c r="HU134" s="837"/>
      <c r="HV134" s="837"/>
      <c r="HW134" s="837"/>
      <c r="HX134" s="837"/>
      <c r="HY134" s="837"/>
      <c r="HZ134" s="838"/>
      <c r="IA134" s="836" t="str">
        <f>IFERROR(IF(IZ115&gt;IA115-1,IF(INDEX(Pedidos!IJ:JZ,IY115+IA115-1,37)&lt;&gt;"","Otras Instrucciones Especiales :     "&amp; INDEX(Pedidos!IJ:JZ,IY115+IA115-1,37),""),""),"")</f>
        <v/>
      </c>
      <c r="IB134" s="837"/>
      <c r="IC134" s="837"/>
      <c r="ID134" s="837"/>
      <c r="IE134" s="837"/>
      <c r="IF134" s="837"/>
      <c r="IG134" s="837"/>
      <c r="IH134" s="837"/>
      <c r="II134" s="837"/>
      <c r="IJ134" s="837"/>
      <c r="IK134" s="837"/>
      <c r="IL134" s="837"/>
      <c r="IM134" s="837"/>
      <c r="IN134" s="837"/>
      <c r="IO134" s="837"/>
      <c r="IP134" s="837"/>
      <c r="IQ134" s="837"/>
      <c r="IR134" s="837"/>
      <c r="IS134" s="837"/>
      <c r="IT134" s="837"/>
      <c r="IU134" s="837"/>
      <c r="IV134" s="837"/>
      <c r="IW134" s="837"/>
      <c r="IX134" s="837"/>
      <c r="IY134" s="837"/>
      <c r="IZ134" s="838"/>
    </row>
    <row r="135" spans="1:260" ht="15.75" customHeight="1" thickBot="1" x14ac:dyDescent="0.3">
      <c r="A135" s="839"/>
      <c r="B135" s="840"/>
      <c r="C135" s="840"/>
      <c r="D135" s="840"/>
      <c r="E135" s="840"/>
      <c r="F135" s="840"/>
      <c r="G135" s="840"/>
      <c r="H135" s="840"/>
      <c r="I135" s="840"/>
      <c r="J135" s="840"/>
      <c r="K135" s="840"/>
      <c r="L135" s="840"/>
      <c r="M135" s="840"/>
      <c r="N135" s="840"/>
      <c r="O135" s="840"/>
      <c r="P135" s="840"/>
      <c r="Q135" s="840"/>
      <c r="R135" s="840"/>
      <c r="S135" s="840"/>
      <c r="T135" s="840"/>
      <c r="U135" s="840"/>
      <c r="V135" s="840"/>
      <c r="W135" s="840"/>
      <c r="X135" s="840"/>
      <c r="Y135" s="840"/>
      <c r="Z135" s="841"/>
      <c r="AA135" s="839"/>
      <c r="AB135" s="840"/>
      <c r="AC135" s="840"/>
      <c r="AD135" s="840"/>
      <c r="AE135" s="840"/>
      <c r="AF135" s="840"/>
      <c r="AG135" s="840"/>
      <c r="AH135" s="840"/>
      <c r="AI135" s="840"/>
      <c r="AJ135" s="840"/>
      <c r="AK135" s="840"/>
      <c r="AL135" s="840"/>
      <c r="AM135" s="840"/>
      <c r="AN135" s="840"/>
      <c r="AO135" s="840"/>
      <c r="AP135" s="840"/>
      <c r="AQ135" s="840"/>
      <c r="AR135" s="840"/>
      <c r="AS135" s="840"/>
      <c r="AT135" s="840"/>
      <c r="AU135" s="840"/>
      <c r="AV135" s="840"/>
      <c r="AW135" s="840"/>
      <c r="AX135" s="840"/>
      <c r="AY135" s="840"/>
      <c r="AZ135" s="841"/>
      <c r="BA135" s="839"/>
      <c r="BB135" s="840"/>
      <c r="BC135" s="840"/>
      <c r="BD135" s="840"/>
      <c r="BE135" s="840"/>
      <c r="BF135" s="840"/>
      <c r="BG135" s="840"/>
      <c r="BH135" s="840"/>
      <c r="BI135" s="840"/>
      <c r="BJ135" s="840"/>
      <c r="BK135" s="840"/>
      <c r="BL135" s="840"/>
      <c r="BM135" s="840"/>
      <c r="BN135" s="840"/>
      <c r="BO135" s="840"/>
      <c r="BP135" s="840"/>
      <c r="BQ135" s="840"/>
      <c r="BR135" s="840"/>
      <c r="BS135" s="840"/>
      <c r="BT135" s="840"/>
      <c r="BU135" s="840"/>
      <c r="BV135" s="840"/>
      <c r="BW135" s="840"/>
      <c r="BX135" s="840"/>
      <c r="BY135" s="840"/>
      <c r="BZ135" s="841"/>
      <c r="CA135" s="839"/>
      <c r="CB135" s="840"/>
      <c r="CC135" s="840"/>
      <c r="CD135" s="840"/>
      <c r="CE135" s="840"/>
      <c r="CF135" s="840"/>
      <c r="CG135" s="840"/>
      <c r="CH135" s="840"/>
      <c r="CI135" s="840"/>
      <c r="CJ135" s="840"/>
      <c r="CK135" s="840"/>
      <c r="CL135" s="840"/>
      <c r="CM135" s="840"/>
      <c r="CN135" s="840"/>
      <c r="CO135" s="840"/>
      <c r="CP135" s="840"/>
      <c r="CQ135" s="840"/>
      <c r="CR135" s="840"/>
      <c r="CS135" s="840"/>
      <c r="CT135" s="840"/>
      <c r="CU135" s="840"/>
      <c r="CV135" s="840"/>
      <c r="CW135" s="840"/>
      <c r="CX135" s="840"/>
      <c r="CY135" s="840"/>
      <c r="CZ135" s="841"/>
      <c r="DA135" s="839"/>
      <c r="DB135" s="840"/>
      <c r="DC135" s="840"/>
      <c r="DD135" s="840"/>
      <c r="DE135" s="840"/>
      <c r="DF135" s="840"/>
      <c r="DG135" s="840"/>
      <c r="DH135" s="840"/>
      <c r="DI135" s="840"/>
      <c r="DJ135" s="840"/>
      <c r="DK135" s="840"/>
      <c r="DL135" s="840"/>
      <c r="DM135" s="840"/>
      <c r="DN135" s="840"/>
      <c r="DO135" s="840"/>
      <c r="DP135" s="840"/>
      <c r="DQ135" s="840"/>
      <c r="DR135" s="840"/>
      <c r="DS135" s="840"/>
      <c r="DT135" s="840"/>
      <c r="DU135" s="840"/>
      <c r="DV135" s="840"/>
      <c r="DW135" s="840"/>
      <c r="DX135" s="840"/>
      <c r="DY135" s="840"/>
      <c r="DZ135" s="841"/>
      <c r="EA135" s="839"/>
      <c r="EB135" s="840"/>
      <c r="EC135" s="840"/>
      <c r="ED135" s="840"/>
      <c r="EE135" s="840"/>
      <c r="EF135" s="840"/>
      <c r="EG135" s="840"/>
      <c r="EH135" s="840"/>
      <c r="EI135" s="840"/>
      <c r="EJ135" s="840"/>
      <c r="EK135" s="840"/>
      <c r="EL135" s="840"/>
      <c r="EM135" s="840"/>
      <c r="EN135" s="840"/>
      <c r="EO135" s="840"/>
      <c r="EP135" s="840"/>
      <c r="EQ135" s="840"/>
      <c r="ER135" s="840"/>
      <c r="ES135" s="840"/>
      <c r="ET135" s="840"/>
      <c r="EU135" s="840"/>
      <c r="EV135" s="840"/>
      <c r="EW135" s="840"/>
      <c r="EX135" s="840"/>
      <c r="EY135" s="840"/>
      <c r="EZ135" s="841"/>
      <c r="FA135" s="839"/>
      <c r="FB135" s="840"/>
      <c r="FC135" s="840"/>
      <c r="FD135" s="840"/>
      <c r="FE135" s="840"/>
      <c r="FF135" s="840"/>
      <c r="FG135" s="840"/>
      <c r="FH135" s="840"/>
      <c r="FI135" s="840"/>
      <c r="FJ135" s="840"/>
      <c r="FK135" s="840"/>
      <c r="FL135" s="840"/>
      <c r="FM135" s="840"/>
      <c r="FN135" s="840"/>
      <c r="FO135" s="840"/>
      <c r="FP135" s="840"/>
      <c r="FQ135" s="840"/>
      <c r="FR135" s="840"/>
      <c r="FS135" s="840"/>
      <c r="FT135" s="840"/>
      <c r="FU135" s="840"/>
      <c r="FV135" s="840"/>
      <c r="FW135" s="840"/>
      <c r="FX135" s="840"/>
      <c r="FY135" s="840"/>
      <c r="FZ135" s="841"/>
      <c r="GA135" s="839"/>
      <c r="GB135" s="840"/>
      <c r="GC135" s="840"/>
      <c r="GD135" s="840"/>
      <c r="GE135" s="840"/>
      <c r="GF135" s="840"/>
      <c r="GG135" s="840"/>
      <c r="GH135" s="840"/>
      <c r="GI135" s="840"/>
      <c r="GJ135" s="840"/>
      <c r="GK135" s="840"/>
      <c r="GL135" s="840"/>
      <c r="GM135" s="840"/>
      <c r="GN135" s="840"/>
      <c r="GO135" s="840"/>
      <c r="GP135" s="840"/>
      <c r="GQ135" s="840"/>
      <c r="GR135" s="840"/>
      <c r="GS135" s="840"/>
      <c r="GT135" s="840"/>
      <c r="GU135" s="840"/>
      <c r="GV135" s="840"/>
      <c r="GW135" s="840"/>
      <c r="GX135" s="840"/>
      <c r="GY135" s="840"/>
      <c r="GZ135" s="841"/>
      <c r="HA135" s="839"/>
      <c r="HB135" s="840"/>
      <c r="HC135" s="840"/>
      <c r="HD135" s="840"/>
      <c r="HE135" s="840"/>
      <c r="HF135" s="840"/>
      <c r="HG135" s="840"/>
      <c r="HH135" s="840"/>
      <c r="HI135" s="840"/>
      <c r="HJ135" s="840"/>
      <c r="HK135" s="840"/>
      <c r="HL135" s="840"/>
      <c r="HM135" s="840"/>
      <c r="HN135" s="840"/>
      <c r="HO135" s="840"/>
      <c r="HP135" s="840"/>
      <c r="HQ135" s="840"/>
      <c r="HR135" s="840"/>
      <c r="HS135" s="840"/>
      <c r="HT135" s="840"/>
      <c r="HU135" s="840"/>
      <c r="HV135" s="840"/>
      <c r="HW135" s="840"/>
      <c r="HX135" s="840"/>
      <c r="HY135" s="840"/>
      <c r="HZ135" s="841"/>
      <c r="IA135" s="839"/>
      <c r="IB135" s="840"/>
      <c r="IC135" s="840"/>
      <c r="ID135" s="840"/>
      <c r="IE135" s="840"/>
      <c r="IF135" s="840"/>
      <c r="IG135" s="840"/>
      <c r="IH135" s="840"/>
      <c r="II135" s="840"/>
      <c r="IJ135" s="840"/>
      <c r="IK135" s="840"/>
      <c r="IL135" s="840"/>
      <c r="IM135" s="840"/>
      <c r="IN135" s="840"/>
      <c r="IO135" s="840"/>
      <c r="IP135" s="840"/>
      <c r="IQ135" s="840"/>
      <c r="IR135" s="840"/>
      <c r="IS135" s="840"/>
      <c r="IT135" s="840"/>
      <c r="IU135" s="840"/>
      <c r="IV135" s="840"/>
      <c r="IW135" s="840"/>
      <c r="IX135" s="840"/>
      <c r="IY135" s="840"/>
      <c r="IZ135" s="841"/>
    </row>
    <row r="136" spans="1:260" x14ac:dyDescent="0.25">
      <c r="AA136" s="518"/>
      <c r="AB136" s="518"/>
      <c r="AC136" s="518"/>
      <c r="AD136" s="518"/>
      <c r="AE136" s="518"/>
      <c r="AF136" s="518"/>
      <c r="AG136" s="518"/>
      <c r="AH136" s="518"/>
      <c r="AI136" s="518"/>
      <c r="AJ136" s="518"/>
      <c r="AK136" s="518"/>
      <c r="AL136" s="518"/>
      <c r="AM136" s="518"/>
      <c r="AN136" s="518"/>
      <c r="AO136" s="518"/>
      <c r="AP136" s="518"/>
      <c r="AQ136" s="518"/>
      <c r="AR136" s="518"/>
      <c r="AS136" s="518"/>
      <c r="AT136" s="518"/>
      <c r="AU136" s="518"/>
      <c r="AV136" s="518"/>
      <c r="AW136" s="518"/>
    </row>
    <row r="137" spans="1:260" x14ac:dyDescent="0.25">
      <c r="AA137" s="518"/>
      <c r="AB137" s="518"/>
      <c r="AC137" s="518"/>
      <c r="AD137" s="518"/>
      <c r="AE137" s="518"/>
      <c r="AF137" s="518"/>
      <c r="AG137" s="518"/>
      <c r="AH137" s="518"/>
      <c r="AI137" s="518"/>
      <c r="AJ137" s="518"/>
      <c r="AK137" s="518"/>
      <c r="AL137" s="518"/>
      <c r="AM137" s="518"/>
      <c r="AN137" s="518"/>
      <c r="AO137" s="518"/>
      <c r="AP137" s="518"/>
      <c r="AQ137" s="518"/>
      <c r="AR137" s="518"/>
      <c r="AS137" s="518"/>
      <c r="AT137" s="518"/>
      <c r="AU137" s="518"/>
      <c r="AV137" s="518"/>
      <c r="AW137" s="518"/>
    </row>
    <row r="138" spans="1:260" x14ac:dyDescent="0.25">
      <c r="A138" s="529"/>
      <c r="B138" s="529"/>
      <c r="C138" s="529"/>
      <c r="D138" s="529"/>
      <c r="E138" s="529"/>
      <c r="F138" s="529"/>
      <c r="G138" s="529"/>
      <c r="H138" s="529"/>
      <c r="I138" s="529"/>
      <c r="J138" s="529">
        <v>18</v>
      </c>
      <c r="K138" s="529">
        <v>19</v>
      </c>
      <c r="L138" s="529">
        <v>20</v>
      </c>
      <c r="M138" s="529">
        <v>21</v>
      </c>
      <c r="N138" s="529">
        <v>22</v>
      </c>
      <c r="O138" s="529">
        <v>23</v>
      </c>
      <c r="P138" s="529">
        <v>24</v>
      </c>
      <c r="Q138" s="529">
        <v>25</v>
      </c>
      <c r="R138" s="529">
        <v>26</v>
      </c>
      <c r="S138" s="529">
        <v>27</v>
      </c>
      <c r="T138" s="529">
        <v>28</v>
      </c>
      <c r="U138" s="529">
        <v>29</v>
      </c>
      <c r="V138" s="529">
        <v>30</v>
      </c>
      <c r="W138" s="529"/>
      <c r="X138" s="529"/>
      <c r="Y138" s="529">
        <f>IFERROR(IF(COUNTIF(Pedidos!$J:$J,Q$2)&gt;A138-1,MATCH(Q$2,Pedidos!$J:$J,0),""),"")</f>
        <v>22</v>
      </c>
      <c r="Z138" s="529">
        <f>IFERROR(IF(Y138="",0,COUNTIF(Pedidos!$J:$J,Procesos!Q$2)),"")</f>
        <v>1</v>
      </c>
      <c r="AA138" s="529"/>
      <c r="AB138" s="529"/>
      <c r="AC138" s="529"/>
      <c r="AD138" s="529"/>
      <c r="AE138" s="529"/>
      <c r="AF138" s="529"/>
      <c r="AG138" s="529"/>
      <c r="AH138" s="529"/>
      <c r="AI138" s="529"/>
      <c r="AJ138" s="529">
        <v>18</v>
      </c>
      <c r="AK138" s="529">
        <v>19</v>
      </c>
      <c r="AL138" s="529">
        <v>20</v>
      </c>
      <c r="AM138" s="529">
        <v>21</v>
      </c>
      <c r="AN138" s="529">
        <v>22</v>
      </c>
      <c r="AO138" s="529">
        <v>23</v>
      </c>
      <c r="AP138" s="529">
        <v>24</v>
      </c>
      <c r="AQ138" s="529">
        <v>25</v>
      </c>
      <c r="AR138" s="529">
        <v>26</v>
      </c>
      <c r="AS138" s="529">
        <v>27</v>
      </c>
      <c r="AT138" s="529">
        <v>28</v>
      </c>
      <c r="AU138" s="529">
        <v>29</v>
      </c>
      <c r="AV138" s="529">
        <v>30</v>
      </c>
      <c r="AW138" s="529"/>
      <c r="AX138" s="529"/>
      <c r="AY138" s="529">
        <f>IFERROR(IF(COUNTIF(Pedidos!$J:$J,AQ$2)&gt;AA138-1,MATCH(AQ$2,Pedidos!$J:$J,0),""),"")</f>
        <v>30</v>
      </c>
      <c r="AZ138" s="529">
        <f>IFERROR(IF(AY138="",0,COUNTIF(Pedidos!$J:$J,Procesos!AQ$2)),"")</f>
        <v>4</v>
      </c>
      <c r="BA138" s="529"/>
      <c r="BB138" s="529"/>
      <c r="BC138" s="529"/>
      <c r="BD138" s="529"/>
      <c r="BE138" s="529"/>
      <c r="BF138" s="529"/>
      <c r="BG138" s="529"/>
      <c r="BH138" s="529"/>
      <c r="BI138" s="529"/>
      <c r="BJ138" s="529">
        <v>18</v>
      </c>
      <c r="BK138" s="529">
        <v>19</v>
      </c>
      <c r="BL138" s="529">
        <v>20</v>
      </c>
      <c r="BM138" s="529">
        <v>21</v>
      </c>
      <c r="BN138" s="529">
        <v>22</v>
      </c>
      <c r="BO138" s="529">
        <v>23</v>
      </c>
      <c r="BP138" s="529">
        <v>24</v>
      </c>
      <c r="BQ138" s="529">
        <v>25</v>
      </c>
      <c r="BR138" s="529">
        <v>26</v>
      </c>
      <c r="BS138" s="529">
        <v>27</v>
      </c>
      <c r="BT138" s="529">
        <v>28</v>
      </c>
      <c r="BU138" s="529">
        <v>29</v>
      </c>
      <c r="BV138" s="529">
        <v>30</v>
      </c>
      <c r="BW138" s="529"/>
      <c r="BX138" s="529"/>
      <c r="BY138" s="529" t="str">
        <f>IFERROR(IF(COUNTIF(Pedidos!$J:$J,BQ$2)&gt;BA138-1,MATCH(BQ$2,Pedidos!$J:$J,0),""),"")</f>
        <v/>
      </c>
      <c r="BZ138" s="529">
        <f>IFERROR(IF(BY138="",0,COUNTIF(Pedidos!$J:$J,Procesos!BQ$2)),"")</f>
        <v>0</v>
      </c>
      <c r="CA138" s="529"/>
      <c r="CB138" s="529"/>
      <c r="CC138" s="529"/>
      <c r="CD138" s="529"/>
      <c r="CE138" s="529"/>
      <c r="CF138" s="529"/>
      <c r="CG138" s="529"/>
      <c r="CH138" s="529"/>
      <c r="CI138" s="529"/>
      <c r="CJ138" s="529">
        <v>18</v>
      </c>
      <c r="CK138" s="529">
        <v>19</v>
      </c>
      <c r="CL138" s="529">
        <v>20</v>
      </c>
      <c r="CM138" s="529">
        <v>21</v>
      </c>
      <c r="CN138" s="529">
        <v>22</v>
      </c>
      <c r="CO138" s="529">
        <v>23</v>
      </c>
      <c r="CP138" s="529">
        <v>24</v>
      </c>
      <c r="CQ138" s="529">
        <v>25</v>
      </c>
      <c r="CR138" s="529">
        <v>26</v>
      </c>
      <c r="CS138" s="529">
        <v>27</v>
      </c>
      <c r="CT138" s="529">
        <v>28</v>
      </c>
      <c r="CU138" s="529">
        <v>29</v>
      </c>
      <c r="CV138" s="529">
        <v>30</v>
      </c>
      <c r="CW138" s="529"/>
      <c r="CX138" s="529"/>
      <c r="CY138" s="529" t="str">
        <f>IFERROR(IF(COUNTIF(Pedidos!$J:$J,CQ$2)&gt;CA138-1,MATCH(CQ$2,Pedidos!$J:$J,0),""),"")</f>
        <v/>
      </c>
      <c r="CZ138" s="529">
        <f>IFERROR(IF(CY138="",0,COUNTIF(Pedidos!$J:$J,Procesos!CQ$2)),"")</f>
        <v>0</v>
      </c>
      <c r="DA138" s="529"/>
      <c r="DB138" s="529"/>
      <c r="DC138" s="529"/>
      <c r="DD138" s="529"/>
      <c r="DE138" s="529"/>
      <c r="DF138" s="529"/>
      <c r="DG138" s="529"/>
      <c r="DH138" s="529"/>
      <c r="DI138" s="529"/>
      <c r="DJ138" s="529">
        <v>18</v>
      </c>
      <c r="DK138" s="529">
        <v>19</v>
      </c>
      <c r="DL138" s="529">
        <v>20</v>
      </c>
      <c r="DM138" s="529">
        <v>21</v>
      </c>
      <c r="DN138" s="529">
        <v>22</v>
      </c>
      <c r="DO138" s="529">
        <v>23</v>
      </c>
      <c r="DP138" s="529">
        <v>24</v>
      </c>
      <c r="DQ138" s="529">
        <v>25</v>
      </c>
      <c r="DR138" s="529">
        <v>26</v>
      </c>
      <c r="DS138" s="529">
        <v>27</v>
      </c>
      <c r="DT138" s="529">
        <v>28</v>
      </c>
      <c r="DU138" s="529">
        <v>29</v>
      </c>
      <c r="DV138" s="529">
        <v>30</v>
      </c>
      <c r="DW138" s="529"/>
      <c r="DX138" s="529"/>
      <c r="DY138" s="529" t="str">
        <f>IFERROR(IF(COUNTIF(Pedidos!$J:$J,DQ$2)&gt;DA138-1,MATCH(DQ$2,Pedidos!$J:$J,0),""),"")</f>
        <v/>
      </c>
      <c r="DZ138" s="529">
        <f>IFERROR(IF(DY138="",0,COUNTIF(Pedidos!$J:$J,Procesos!DQ$2)),"")</f>
        <v>0</v>
      </c>
      <c r="EA138" s="529"/>
      <c r="EB138" s="529"/>
      <c r="EC138" s="529"/>
      <c r="ED138" s="529"/>
      <c r="EE138" s="529"/>
      <c r="EF138" s="529"/>
      <c r="EG138" s="529"/>
      <c r="EH138" s="529"/>
      <c r="EI138" s="529"/>
      <c r="EJ138" s="529">
        <v>18</v>
      </c>
      <c r="EK138" s="529">
        <v>19</v>
      </c>
      <c r="EL138" s="529">
        <v>20</v>
      </c>
      <c r="EM138" s="529">
        <v>21</v>
      </c>
      <c r="EN138" s="529">
        <v>22</v>
      </c>
      <c r="EO138" s="529">
        <v>23</v>
      </c>
      <c r="EP138" s="529">
        <v>24</v>
      </c>
      <c r="EQ138" s="529">
        <v>25</v>
      </c>
      <c r="ER138" s="529">
        <v>26</v>
      </c>
      <c r="ES138" s="529">
        <v>27</v>
      </c>
      <c r="ET138" s="529">
        <v>28</v>
      </c>
      <c r="EU138" s="529">
        <v>29</v>
      </c>
      <c r="EV138" s="529">
        <v>30</v>
      </c>
      <c r="EW138" s="529"/>
      <c r="EX138" s="529"/>
      <c r="EY138" s="529" t="str">
        <f>IFERROR(IF(COUNTIF(Pedidos!$J:$J,EQ$2)&gt;EA138-1,MATCH(EQ$2,Pedidos!$J:$J,0),""),"")</f>
        <v/>
      </c>
      <c r="EZ138" s="529">
        <f>IFERROR(IF(EY138="",0,COUNTIF(Pedidos!$J:$J,Procesos!EQ$2)),"")</f>
        <v>0</v>
      </c>
      <c r="FA138" s="529"/>
      <c r="FB138" s="529"/>
      <c r="FC138" s="529"/>
      <c r="FD138" s="529"/>
      <c r="FE138" s="529"/>
      <c r="FF138" s="529"/>
      <c r="FG138" s="529"/>
      <c r="FH138" s="529"/>
      <c r="FI138" s="529"/>
      <c r="FJ138" s="529">
        <v>18</v>
      </c>
      <c r="FK138" s="529">
        <v>19</v>
      </c>
      <c r="FL138" s="529">
        <v>20</v>
      </c>
      <c r="FM138" s="529">
        <v>21</v>
      </c>
      <c r="FN138" s="529">
        <v>22</v>
      </c>
      <c r="FO138" s="529">
        <v>23</v>
      </c>
      <c r="FP138" s="529">
        <v>24</v>
      </c>
      <c r="FQ138" s="529">
        <v>25</v>
      </c>
      <c r="FR138" s="529">
        <v>26</v>
      </c>
      <c r="FS138" s="529">
        <v>27</v>
      </c>
      <c r="FT138" s="529">
        <v>28</v>
      </c>
      <c r="FU138" s="529">
        <v>29</v>
      </c>
      <c r="FV138" s="529">
        <v>30</v>
      </c>
      <c r="FW138" s="529"/>
      <c r="FX138" s="529"/>
      <c r="FY138" s="529" t="str">
        <f>IFERROR(IF(COUNTIF(Pedidos!$J:$J,FQ$2)&gt;FA138-1,MATCH(FQ$2,Pedidos!$J:$J,0),""),"")</f>
        <v/>
      </c>
      <c r="FZ138" s="529">
        <f>IFERROR(IF(FY138="",0,COUNTIF(Pedidos!$J:$J,Procesos!FQ$2)),"")</f>
        <v>0</v>
      </c>
      <c r="GA138" s="529"/>
      <c r="GB138" s="529"/>
      <c r="GC138" s="529"/>
      <c r="GD138" s="529"/>
      <c r="GE138" s="529"/>
      <c r="GF138" s="529"/>
      <c r="GG138" s="529"/>
      <c r="GH138" s="529"/>
      <c r="GI138" s="529"/>
      <c r="GJ138" s="529">
        <v>18</v>
      </c>
      <c r="GK138" s="529">
        <v>19</v>
      </c>
      <c r="GL138" s="529">
        <v>20</v>
      </c>
      <c r="GM138" s="529">
        <v>21</v>
      </c>
      <c r="GN138" s="529">
        <v>22</v>
      </c>
      <c r="GO138" s="529">
        <v>23</v>
      </c>
      <c r="GP138" s="529">
        <v>24</v>
      </c>
      <c r="GQ138" s="529">
        <v>25</v>
      </c>
      <c r="GR138" s="529">
        <v>26</v>
      </c>
      <c r="GS138" s="529">
        <v>27</v>
      </c>
      <c r="GT138" s="529">
        <v>28</v>
      </c>
      <c r="GU138" s="529">
        <v>29</v>
      </c>
      <c r="GV138" s="529">
        <v>30</v>
      </c>
      <c r="GW138" s="529"/>
      <c r="GX138" s="529"/>
      <c r="GY138" s="529" t="str">
        <f>IFERROR(IF(COUNTIF(Pedidos!$J:$J,GQ$2)&gt;GA138-1,MATCH(GQ$2,Pedidos!$J:$J,0),""),"")</f>
        <v/>
      </c>
      <c r="GZ138" s="529">
        <f>IFERROR(IF(GY138="",0,COUNTIF(Pedidos!$J:$J,Procesos!GQ$2)),"")</f>
        <v>0</v>
      </c>
      <c r="HA138" s="529"/>
      <c r="HB138" s="529"/>
      <c r="HC138" s="529"/>
      <c r="HD138" s="529"/>
      <c r="HE138" s="529"/>
      <c r="HF138" s="529"/>
      <c r="HG138" s="529"/>
      <c r="HH138" s="529"/>
      <c r="HI138" s="529"/>
      <c r="HJ138" s="529">
        <v>18</v>
      </c>
      <c r="HK138" s="529">
        <v>19</v>
      </c>
      <c r="HL138" s="529">
        <v>20</v>
      </c>
      <c r="HM138" s="529">
        <v>21</v>
      </c>
      <c r="HN138" s="529">
        <v>22</v>
      </c>
      <c r="HO138" s="529">
        <v>23</v>
      </c>
      <c r="HP138" s="529">
        <v>24</v>
      </c>
      <c r="HQ138" s="529">
        <v>25</v>
      </c>
      <c r="HR138" s="529">
        <v>26</v>
      </c>
      <c r="HS138" s="529">
        <v>27</v>
      </c>
      <c r="HT138" s="529">
        <v>28</v>
      </c>
      <c r="HU138" s="529">
        <v>29</v>
      </c>
      <c r="HV138" s="529">
        <v>30</v>
      </c>
      <c r="HW138" s="529"/>
      <c r="HX138" s="529"/>
      <c r="HY138" s="529" t="str">
        <f>IFERROR(IF(COUNTIF(Pedidos!$J:$J,HQ$2)&gt;HA138-1,MATCH(HQ$2,Pedidos!$J:$J,0),""),"")</f>
        <v/>
      </c>
      <c r="HZ138" s="529">
        <f>IFERROR(IF(HY138="",0,COUNTIF(Pedidos!$J:$J,Procesos!HQ$2)),"")</f>
        <v>0</v>
      </c>
      <c r="IA138" s="529"/>
      <c r="IB138" s="529"/>
      <c r="IC138" s="529"/>
      <c r="ID138" s="529"/>
      <c r="IE138" s="529"/>
      <c r="IF138" s="529"/>
      <c r="IG138" s="529"/>
      <c r="IH138" s="529"/>
      <c r="II138" s="529"/>
      <c r="IJ138" s="529">
        <v>18</v>
      </c>
      <c r="IK138" s="529">
        <v>19</v>
      </c>
      <c r="IL138" s="529">
        <v>20</v>
      </c>
      <c r="IM138" s="529">
        <v>21</v>
      </c>
      <c r="IN138" s="529">
        <v>22</v>
      </c>
      <c r="IO138" s="529">
        <v>23</v>
      </c>
      <c r="IP138" s="529">
        <v>24</v>
      </c>
      <c r="IQ138" s="529">
        <v>25</v>
      </c>
      <c r="IR138" s="529">
        <v>26</v>
      </c>
      <c r="IS138" s="529">
        <v>27</v>
      </c>
      <c r="IT138" s="529">
        <v>28</v>
      </c>
      <c r="IU138" s="529">
        <v>29</v>
      </c>
      <c r="IV138" s="529">
        <v>30</v>
      </c>
      <c r="IW138" s="529"/>
      <c r="IX138" s="529"/>
      <c r="IY138" s="529" t="str">
        <f>IFERROR(IF(COUNTIF(Pedidos!$J:$J,IQ$2)&gt;IA138-1,MATCH(IQ$2,Pedidos!$J:$J,0),""),"")</f>
        <v/>
      </c>
      <c r="IZ138" s="529">
        <f>IFERROR(IF(IY138="",0,COUNTIF(Pedidos!$J:$J,Procesos!IQ$2)),"")</f>
        <v>0</v>
      </c>
    </row>
    <row r="139" spans="1:260" ht="15.75" thickBot="1" x14ac:dyDescent="0.3">
      <c r="A139" s="529">
        <v>7</v>
      </c>
      <c r="B139" s="529"/>
      <c r="C139" s="529"/>
      <c r="D139" s="529"/>
      <c r="E139" s="529"/>
      <c r="F139" s="529"/>
      <c r="G139" s="529"/>
      <c r="H139" s="529"/>
      <c r="I139" s="529"/>
      <c r="J139" s="529">
        <v>18</v>
      </c>
      <c r="K139" s="529">
        <v>19</v>
      </c>
      <c r="L139" s="529">
        <v>20</v>
      </c>
      <c r="M139" s="529">
        <v>21</v>
      </c>
      <c r="N139" s="529">
        <v>22</v>
      </c>
      <c r="O139" s="529">
        <v>23</v>
      </c>
      <c r="P139" s="529">
        <v>24</v>
      </c>
      <c r="Q139" s="529">
        <v>25</v>
      </c>
      <c r="R139" s="529">
        <v>26</v>
      </c>
      <c r="S139" s="529">
        <v>27</v>
      </c>
      <c r="T139" s="529">
        <v>28</v>
      </c>
      <c r="U139" s="529">
        <v>29</v>
      </c>
      <c r="V139" s="529">
        <v>30</v>
      </c>
      <c r="W139" s="529"/>
      <c r="X139" s="529"/>
      <c r="Y139" s="529" t="str">
        <f>IFERROR(IF(COUNTIF(Pedidos!$J:$J,Q$2)&gt;A139-1,MATCH(Q$2,Pedidos!$J:$J,0),""),"")</f>
        <v/>
      </c>
      <c r="Z139" s="529">
        <f>IFERROR(IF(Y139="",0,COUNTIF(Pedidos!$J:$J,Procesos!Q$2)),"")</f>
        <v>0</v>
      </c>
      <c r="AA139" s="529">
        <v>7</v>
      </c>
      <c r="AB139" s="529"/>
      <c r="AC139" s="529"/>
      <c r="AD139" s="529"/>
      <c r="AE139" s="529"/>
      <c r="AF139" s="529"/>
      <c r="AG139" s="529"/>
      <c r="AH139" s="529"/>
      <c r="AI139" s="529"/>
      <c r="AJ139" s="529">
        <v>18</v>
      </c>
      <c r="AK139" s="529">
        <v>19</v>
      </c>
      <c r="AL139" s="529">
        <v>20</v>
      </c>
      <c r="AM139" s="529">
        <v>21</v>
      </c>
      <c r="AN139" s="529">
        <v>22</v>
      </c>
      <c r="AO139" s="529">
        <v>23</v>
      </c>
      <c r="AP139" s="529">
        <v>24</v>
      </c>
      <c r="AQ139" s="529">
        <v>25</v>
      </c>
      <c r="AR139" s="529">
        <v>26</v>
      </c>
      <c r="AS139" s="529">
        <v>27</v>
      </c>
      <c r="AT139" s="529">
        <v>28</v>
      </c>
      <c r="AU139" s="529">
        <v>29</v>
      </c>
      <c r="AV139" s="529">
        <v>30</v>
      </c>
      <c r="AW139" s="529"/>
      <c r="AX139" s="529"/>
      <c r="AY139" s="529" t="str">
        <f>IFERROR(IF(COUNTIF(Pedidos!$J:$J,AQ$2)&gt;AA139-1,MATCH(AQ$2,Pedidos!$J:$J,0),""),"")</f>
        <v/>
      </c>
      <c r="AZ139" s="529">
        <f>IFERROR(IF(AY139="",0,COUNTIF(Pedidos!$J:$J,Procesos!AQ$2)),"")</f>
        <v>0</v>
      </c>
      <c r="BA139" s="529">
        <v>7</v>
      </c>
      <c r="BB139" s="529"/>
      <c r="BC139" s="529"/>
      <c r="BD139" s="529"/>
      <c r="BE139" s="529"/>
      <c r="BF139" s="529"/>
      <c r="BG139" s="529"/>
      <c r="BH139" s="529"/>
      <c r="BI139" s="529"/>
      <c r="BJ139" s="529">
        <v>18</v>
      </c>
      <c r="BK139" s="529">
        <v>19</v>
      </c>
      <c r="BL139" s="529">
        <v>20</v>
      </c>
      <c r="BM139" s="529">
        <v>21</v>
      </c>
      <c r="BN139" s="529">
        <v>22</v>
      </c>
      <c r="BO139" s="529">
        <v>23</v>
      </c>
      <c r="BP139" s="529">
        <v>24</v>
      </c>
      <c r="BQ139" s="529">
        <v>25</v>
      </c>
      <c r="BR139" s="529">
        <v>26</v>
      </c>
      <c r="BS139" s="529">
        <v>27</v>
      </c>
      <c r="BT139" s="529">
        <v>28</v>
      </c>
      <c r="BU139" s="529">
        <v>29</v>
      </c>
      <c r="BV139" s="529">
        <v>30</v>
      </c>
      <c r="BW139" s="529"/>
      <c r="BX139" s="529"/>
      <c r="BY139" s="529" t="str">
        <f>IFERROR(IF(COUNTIF(Pedidos!$J:$J,BQ$2)&gt;BA139-1,MATCH(BQ$2,Pedidos!$J:$J,0),""),"")</f>
        <v/>
      </c>
      <c r="BZ139" s="529">
        <f>IFERROR(IF(BY139="",0,COUNTIF(Pedidos!$J:$J,Procesos!BQ$2)),"")</f>
        <v>0</v>
      </c>
      <c r="CA139" s="529">
        <v>7</v>
      </c>
      <c r="CB139" s="529"/>
      <c r="CC139" s="529"/>
      <c r="CD139" s="529"/>
      <c r="CE139" s="529"/>
      <c r="CF139" s="529"/>
      <c r="CG139" s="529"/>
      <c r="CH139" s="529"/>
      <c r="CI139" s="529"/>
      <c r="CJ139" s="529">
        <v>18</v>
      </c>
      <c r="CK139" s="529">
        <v>19</v>
      </c>
      <c r="CL139" s="529">
        <v>20</v>
      </c>
      <c r="CM139" s="529">
        <v>21</v>
      </c>
      <c r="CN139" s="529">
        <v>22</v>
      </c>
      <c r="CO139" s="529">
        <v>23</v>
      </c>
      <c r="CP139" s="529">
        <v>24</v>
      </c>
      <c r="CQ139" s="529">
        <v>25</v>
      </c>
      <c r="CR139" s="529">
        <v>26</v>
      </c>
      <c r="CS139" s="529">
        <v>27</v>
      </c>
      <c r="CT139" s="529">
        <v>28</v>
      </c>
      <c r="CU139" s="529">
        <v>29</v>
      </c>
      <c r="CV139" s="529">
        <v>30</v>
      </c>
      <c r="CW139" s="529"/>
      <c r="CX139" s="529"/>
      <c r="CY139" s="529" t="str">
        <f>IFERROR(IF(COUNTIF(Pedidos!$J:$J,CQ$2)&gt;CA139-1,MATCH(CQ$2,Pedidos!$J:$J,0),""),"")</f>
        <v/>
      </c>
      <c r="CZ139" s="529">
        <f>IFERROR(IF(CY139="",0,COUNTIF(Pedidos!$J:$J,Procesos!CQ$2)),"")</f>
        <v>0</v>
      </c>
      <c r="DA139" s="529">
        <v>7</v>
      </c>
      <c r="DB139" s="529"/>
      <c r="DC139" s="529"/>
      <c r="DD139" s="529"/>
      <c r="DE139" s="529"/>
      <c r="DF139" s="529"/>
      <c r="DG139" s="529"/>
      <c r="DH139" s="529"/>
      <c r="DI139" s="529"/>
      <c r="DJ139" s="529">
        <v>18</v>
      </c>
      <c r="DK139" s="529">
        <v>19</v>
      </c>
      <c r="DL139" s="529">
        <v>20</v>
      </c>
      <c r="DM139" s="529">
        <v>21</v>
      </c>
      <c r="DN139" s="529">
        <v>22</v>
      </c>
      <c r="DO139" s="529">
        <v>23</v>
      </c>
      <c r="DP139" s="529">
        <v>24</v>
      </c>
      <c r="DQ139" s="529">
        <v>25</v>
      </c>
      <c r="DR139" s="529">
        <v>26</v>
      </c>
      <c r="DS139" s="529">
        <v>27</v>
      </c>
      <c r="DT139" s="529">
        <v>28</v>
      </c>
      <c r="DU139" s="529">
        <v>29</v>
      </c>
      <c r="DV139" s="529">
        <v>30</v>
      </c>
      <c r="DW139" s="529"/>
      <c r="DX139" s="529"/>
      <c r="DY139" s="529" t="str">
        <f>IFERROR(IF(COUNTIF(Pedidos!$J:$J,DQ$2)&gt;DA139-1,MATCH(DQ$2,Pedidos!$J:$J,0),""),"")</f>
        <v/>
      </c>
      <c r="DZ139" s="529">
        <f>IFERROR(IF(DY139="",0,COUNTIF(Pedidos!$J:$J,Procesos!DQ$2)),"")</f>
        <v>0</v>
      </c>
      <c r="EA139" s="529">
        <v>7</v>
      </c>
      <c r="EB139" s="529"/>
      <c r="EC139" s="529"/>
      <c r="ED139" s="529"/>
      <c r="EE139" s="529"/>
      <c r="EF139" s="529"/>
      <c r="EG139" s="529"/>
      <c r="EH139" s="529"/>
      <c r="EI139" s="529"/>
      <c r="EJ139" s="529">
        <v>18</v>
      </c>
      <c r="EK139" s="529">
        <v>19</v>
      </c>
      <c r="EL139" s="529">
        <v>20</v>
      </c>
      <c r="EM139" s="529">
        <v>21</v>
      </c>
      <c r="EN139" s="529">
        <v>22</v>
      </c>
      <c r="EO139" s="529">
        <v>23</v>
      </c>
      <c r="EP139" s="529">
        <v>24</v>
      </c>
      <c r="EQ139" s="529">
        <v>25</v>
      </c>
      <c r="ER139" s="529">
        <v>26</v>
      </c>
      <c r="ES139" s="529">
        <v>27</v>
      </c>
      <c r="ET139" s="529">
        <v>28</v>
      </c>
      <c r="EU139" s="529">
        <v>29</v>
      </c>
      <c r="EV139" s="529">
        <v>30</v>
      </c>
      <c r="EW139" s="529"/>
      <c r="EX139" s="529"/>
      <c r="EY139" s="529" t="str">
        <f>IFERROR(IF(COUNTIF(Pedidos!$J:$J,EQ$2)&gt;EA139-1,MATCH(EQ$2,Pedidos!$J:$J,0),""),"")</f>
        <v/>
      </c>
      <c r="EZ139" s="529">
        <f>IFERROR(IF(EY139="",0,COUNTIF(Pedidos!$J:$J,Procesos!EQ$2)),"")</f>
        <v>0</v>
      </c>
      <c r="FA139" s="529">
        <v>7</v>
      </c>
      <c r="FB139" s="529"/>
      <c r="FC139" s="529"/>
      <c r="FD139" s="529"/>
      <c r="FE139" s="529"/>
      <c r="FF139" s="529"/>
      <c r="FG139" s="529"/>
      <c r="FH139" s="529"/>
      <c r="FI139" s="529"/>
      <c r="FJ139" s="529">
        <v>18</v>
      </c>
      <c r="FK139" s="529">
        <v>19</v>
      </c>
      <c r="FL139" s="529">
        <v>20</v>
      </c>
      <c r="FM139" s="529">
        <v>21</v>
      </c>
      <c r="FN139" s="529">
        <v>22</v>
      </c>
      <c r="FO139" s="529">
        <v>23</v>
      </c>
      <c r="FP139" s="529">
        <v>24</v>
      </c>
      <c r="FQ139" s="529">
        <v>25</v>
      </c>
      <c r="FR139" s="529">
        <v>26</v>
      </c>
      <c r="FS139" s="529">
        <v>27</v>
      </c>
      <c r="FT139" s="529">
        <v>28</v>
      </c>
      <c r="FU139" s="529">
        <v>29</v>
      </c>
      <c r="FV139" s="529">
        <v>30</v>
      </c>
      <c r="FW139" s="529"/>
      <c r="FX139" s="529"/>
      <c r="FY139" s="529" t="str">
        <f>IFERROR(IF(COUNTIF(Pedidos!$J:$J,FQ$2)&gt;FA139-1,MATCH(FQ$2,Pedidos!$J:$J,0),""),"")</f>
        <v/>
      </c>
      <c r="FZ139" s="529">
        <f>IFERROR(IF(FY139="",0,COUNTIF(Pedidos!$J:$J,Procesos!FQ$2)),"")</f>
        <v>0</v>
      </c>
      <c r="GA139" s="529">
        <v>7</v>
      </c>
      <c r="GB139" s="529"/>
      <c r="GC139" s="529"/>
      <c r="GD139" s="529"/>
      <c r="GE139" s="529"/>
      <c r="GF139" s="529"/>
      <c r="GG139" s="529"/>
      <c r="GH139" s="529"/>
      <c r="GI139" s="529"/>
      <c r="GJ139" s="529">
        <v>18</v>
      </c>
      <c r="GK139" s="529">
        <v>19</v>
      </c>
      <c r="GL139" s="529">
        <v>20</v>
      </c>
      <c r="GM139" s="529">
        <v>21</v>
      </c>
      <c r="GN139" s="529">
        <v>22</v>
      </c>
      <c r="GO139" s="529">
        <v>23</v>
      </c>
      <c r="GP139" s="529">
        <v>24</v>
      </c>
      <c r="GQ139" s="529">
        <v>25</v>
      </c>
      <c r="GR139" s="529">
        <v>26</v>
      </c>
      <c r="GS139" s="529">
        <v>27</v>
      </c>
      <c r="GT139" s="529">
        <v>28</v>
      </c>
      <c r="GU139" s="529">
        <v>29</v>
      </c>
      <c r="GV139" s="529">
        <v>30</v>
      </c>
      <c r="GW139" s="529"/>
      <c r="GX139" s="529"/>
      <c r="GY139" s="529" t="str">
        <f>IFERROR(IF(COUNTIF(Pedidos!$J:$J,GQ$2)&gt;GA139-1,MATCH(GQ$2,Pedidos!$J:$J,0),""),"")</f>
        <v/>
      </c>
      <c r="GZ139" s="529">
        <f>IFERROR(IF(GY139="",0,COUNTIF(Pedidos!$J:$J,Procesos!GQ$2)),"")</f>
        <v>0</v>
      </c>
      <c r="HA139" s="529">
        <v>7</v>
      </c>
      <c r="HB139" s="529"/>
      <c r="HC139" s="529"/>
      <c r="HD139" s="529"/>
      <c r="HE139" s="529"/>
      <c r="HF139" s="529"/>
      <c r="HG139" s="529"/>
      <c r="HH139" s="529"/>
      <c r="HI139" s="529"/>
      <c r="HJ139" s="529">
        <v>18</v>
      </c>
      <c r="HK139" s="529">
        <v>19</v>
      </c>
      <c r="HL139" s="529">
        <v>20</v>
      </c>
      <c r="HM139" s="529">
        <v>21</v>
      </c>
      <c r="HN139" s="529">
        <v>22</v>
      </c>
      <c r="HO139" s="529">
        <v>23</v>
      </c>
      <c r="HP139" s="529">
        <v>24</v>
      </c>
      <c r="HQ139" s="529">
        <v>25</v>
      </c>
      <c r="HR139" s="529">
        <v>26</v>
      </c>
      <c r="HS139" s="529">
        <v>27</v>
      </c>
      <c r="HT139" s="529">
        <v>28</v>
      </c>
      <c r="HU139" s="529">
        <v>29</v>
      </c>
      <c r="HV139" s="529">
        <v>30</v>
      </c>
      <c r="HW139" s="529"/>
      <c r="HX139" s="529"/>
      <c r="HY139" s="529" t="str">
        <f>IFERROR(IF(COUNTIF(Pedidos!$J:$J,HQ$2)&gt;HA139-1,MATCH(HQ$2,Pedidos!$J:$J,0),""),"")</f>
        <v/>
      </c>
      <c r="HZ139" s="529">
        <f>IFERROR(IF(HY139="",0,COUNTIF(Pedidos!$J:$J,Procesos!HQ$2)),"")</f>
        <v>0</v>
      </c>
      <c r="IA139" s="529">
        <v>7</v>
      </c>
      <c r="IB139" s="529"/>
      <c r="IC139" s="529"/>
      <c r="ID139" s="529"/>
      <c r="IE139" s="529"/>
      <c r="IF139" s="529"/>
      <c r="IG139" s="529"/>
      <c r="IH139" s="529"/>
      <c r="II139" s="529"/>
      <c r="IJ139" s="529">
        <v>18</v>
      </c>
      <c r="IK139" s="529">
        <v>19</v>
      </c>
      <c r="IL139" s="529">
        <v>20</v>
      </c>
      <c r="IM139" s="529">
        <v>21</v>
      </c>
      <c r="IN139" s="529">
        <v>22</v>
      </c>
      <c r="IO139" s="529">
        <v>23</v>
      </c>
      <c r="IP139" s="529">
        <v>24</v>
      </c>
      <c r="IQ139" s="529">
        <v>25</v>
      </c>
      <c r="IR139" s="529">
        <v>26</v>
      </c>
      <c r="IS139" s="529">
        <v>27</v>
      </c>
      <c r="IT139" s="529">
        <v>28</v>
      </c>
      <c r="IU139" s="529">
        <v>29</v>
      </c>
      <c r="IV139" s="529">
        <v>30</v>
      </c>
      <c r="IW139" s="529"/>
      <c r="IX139" s="529"/>
      <c r="IY139" s="529" t="str">
        <f>IFERROR(IF(COUNTIF(Pedidos!$J:$J,IQ$2)&gt;IA139-1,MATCH(IQ$2,Pedidos!$J:$J,0),""),"")</f>
        <v/>
      </c>
      <c r="IZ139" s="529">
        <f>IFERROR(IF(IY139="",0,COUNTIF(Pedidos!$J:$J,Procesos!IQ$2)),"")</f>
        <v>0</v>
      </c>
    </row>
    <row r="140" spans="1:260" x14ac:dyDescent="0.25">
      <c r="A140" s="815" t="str">
        <f>IF(Z139&gt;=A139,Q$2 &amp;"     ITEM # "&amp;A139,"")</f>
        <v/>
      </c>
      <c r="B140" s="816"/>
      <c r="C140" s="816"/>
      <c r="D140" s="816"/>
      <c r="E140" s="816"/>
      <c r="F140" s="816"/>
      <c r="G140" s="816"/>
      <c r="H140" s="816"/>
      <c r="I140" s="817"/>
      <c r="J140" s="818" t="str">
        <f>IF(Z139&gt;=A139,$J$6,"")</f>
        <v/>
      </c>
      <c r="K140" s="816"/>
      <c r="L140" s="816"/>
      <c r="M140" s="816"/>
      <c r="N140" s="816"/>
      <c r="O140" s="816"/>
      <c r="P140" s="816"/>
      <c r="Q140" s="816"/>
      <c r="R140" s="816"/>
      <c r="S140" s="816"/>
      <c r="T140" s="816"/>
      <c r="U140" s="816"/>
      <c r="V140" s="816"/>
      <c r="W140" s="816"/>
      <c r="X140" s="816"/>
      <c r="Y140" s="816"/>
      <c r="Z140" s="819"/>
      <c r="AA140" s="815" t="str">
        <f>IF(AZ139&gt;=AA139,AQ$2 &amp;"     ITEM # "&amp;AA139,"")</f>
        <v/>
      </c>
      <c r="AB140" s="816"/>
      <c r="AC140" s="816"/>
      <c r="AD140" s="816"/>
      <c r="AE140" s="816"/>
      <c r="AF140" s="816"/>
      <c r="AG140" s="816"/>
      <c r="AH140" s="816"/>
      <c r="AI140" s="817"/>
      <c r="AJ140" s="818" t="str">
        <f>IF(AZ139&gt;=AA139,$J$6,"")</f>
        <v/>
      </c>
      <c r="AK140" s="816"/>
      <c r="AL140" s="816"/>
      <c r="AM140" s="816"/>
      <c r="AN140" s="816"/>
      <c r="AO140" s="816"/>
      <c r="AP140" s="816"/>
      <c r="AQ140" s="816"/>
      <c r="AR140" s="816"/>
      <c r="AS140" s="816"/>
      <c r="AT140" s="816"/>
      <c r="AU140" s="816"/>
      <c r="AV140" s="816"/>
      <c r="AW140" s="816"/>
      <c r="AX140" s="816"/>
      <c r="AY140" s="816"/>
      <c r="AZ140" s="819"/>
      <c r="BA140" s="815" t="str">
        <f>IF(BZ139&gt;=BA139,BQ$2 &amp;"     ITEM # "&amp;BA139,"")</f>
        <v/>
      </c>
      <c r="BB140" s="816"/>
      <c r="BC140" s="816"/>
      <c r="BD140" s="816"/>
      <c r="BE140" s="816"/>
      <c r="BF140" s="816"/>
      <c r="BG140" s="816"/>
      <c r="BH140" s="816"/>
      <c r="BI140" s="817"/>
      <c r="BJ140" s="818" t="str">
        <f>IF(BZ139&gt;=BA139,$J$6,"")</f>
        <v/>
      </c>
      <c r="BK140" s="816"/>
      <c r="BL140" s="816"/>
      <c r="BM140" s="816"/>
      <c r="BN140" s="816"/>
      <c r="BO140" s="816"/>
      <c r="BP140" s="816"/>
      <c r="BQ140" s="816"/>
      <c r="BR140" s="816"/>
      <c r="BS140" s="816"/>
      <c r="BT140" s="816"/>
      <c r="BU140" s="816"/>
      <c r="BV140" s="816"/>
      <c r="BW140" s="816"/>
      <c r="BX140" s="816"/>
      <c r="BY140" s="816"/>
      <c r="BZ140" s="819"/>
      <c r="CA140" s="815" t="str">
        <f>IF(CZ139&gt;=CA139,CQ$2 &amp;"     ITEM # "&amp;CA139,"")</f>
        <v/>
      </c>
      <c r="CB140" s="816"/>
      <c r="CC140" s="816"/>
      <c r="CD140" s="816"/>
      <c r="CE140" s="816"/>
      <c r="CF140" s="816"/>
      <c r="CG140" s="816"/>
      <c r="CH140" s="816"/>
      <c r="CI140" s="817"/>
      <c r="CJ140" s="818" t="str">
        <f>IF(CZ139&gt;=CA139,$J$6,"")</f>
        <v/>
      </c>
      <c r="CK140" s="816"/>
      <c r="CL140" s="816"/>
      <c r="CM140" s="816"/>
      <c r="CN140" s="816"/>
      <c r="CO140" s="816"/>
      <c r="CP140" s="816"/>
      <c r="CQ140" s="816"/>
      <c r="CR140" s="816"/>
      <c r="CS140" s="816"/>
      <c r="CT140" s="816"/>
      <c r="CU140" s="816"/>
      <c r="CV140" s="816"/>
      <c r="CW140" s="816"/>
      <c r="CX140" s="816"/>
      <c r="CY140" s="816"/>
      <c r="CZ140" s="819"/>
      <c r="DA140" s="815" t="str">
        <f>IF(DZ139&gt;=DA139,DQ$2 &amp;"     ITEM # "&amp;DA139,"")</f>
        <v/>
      </c>
      <c r="DB140" s="816"/>
      <c r="DC140" s="816"/>
      <c r="DD140" s="816"/>
      <c r="DE140" s="816"/>
      <c r="DF140" s="816"/>
      <c r="DG140" s="816"/>
      <c r="DH140" s="816"/>
      <c r="DI140" s="817"/>
      <c r="DJ140" s="818" t="str">
        <f>IF(DZ139&gt;=DA139,$J$6,"")</f>
        <v/>
      </c>
      <c r="DK140" s="816"/>
      <c r="DL140" s="816"/>
      <c r="DM140" s="816"/>
      <c r="DN140" s="816"/>
      <c r="DO140" s="816"/>
      <c r="DP140" s="816"/>
      <c r="DQ140" s="816"/>
      <c r="DR140" s="816"/>
      <c r="DS140" s="816"/>
      <c r="DT140" s="816"/>
      <c r="DU140" s="816"/>
      <c r="DV140" s="816"/>
      <c r="DW140" s="816"/>
      <c r="DX140" s="816"/>
      <c r="DY140" s="816"/>
      <c r="DZ140" s="819"/>
      <c r="EA140" s="815" t="str">
        <f>IF(EZ139&gt;=EA139,EQ$2 &amp;"     ITEM # "&amp;EA139,"")</f>
        <v/>
      </c>
      <c r="EB140" s="816"/>
      <c r="EC140" s="816"/>
      <c r="ED140" s="816"/>
      <c r="EE140" s="816"/>
      <c r="EF140" s="816"/>
      <c r="EG140" s="816"/>
      <c r="EH140" s="816"/>
      <c r="EI140" s="817"/>
      <c r="EJ140" s="818" t="str">
        <f>IF(EZ139&gt;=EA139,$J$6,"")</f>
        <v/>
      </c>
      <c r="EK140" s="816"/>
      <c r="EL140" s="816"/>
      <c r="EM140" s="816"/>
      <c r="EN140" s="816"/>
      <c r="EO140" s="816"/>
      <c r="EP140" s="816"/>
      <c r="EQ140" s="816"/>
      <c r="ER140" s="816"/>
      <c r="ES140" s="816"/>
      <c r="ET140" s="816"/>
      <c r="EU140" s="816"/>
      <c r="EV140" s="816"/>
      <c r="EW140" s="816"/>
      <c r="EX140" s="816"/>
      <c r="EY140" s="816"/>
      <c r="EZ140" s="819"/>
      <c r="FA140" s="815" t="str">
        <f>IF(FZ139&gt;=FA139,FQ$2 &amp;"     ITEM # "&amp;FA139,"")</f>
        <v/>
      </c>
      <c r="FB140" s="816"/>
      <c r="FC140" s="816"/>
      <c r="FD140" s="816"/>
      <c r="FE140" s="816"/>
      <c r="FF140" s="816"/>
      <c r="FG140" s="816"/>
      <c r="FH140" s="816"/>
      <c r="FI140" s="817"/>
      <c r="FJ140" s="818" t="str">
        <f>IF(FZ139&gt;=FA139,$J$6,"")</f>
        <v/>
      </c>
      <c r="FK140" s="816"/>
      <c r="FL140" s="816"/>
      <c r="FM140" s="816"/>
      <c r="FN140" s="816"/>
      <c r="FO140" s="816"/>
      <c r="FP140" s="816"/>
      <c r="FQ140" s="816"/>
      <c r="FR140" s="816"/>
      <c r="FS140" s="816"/>
      <c r="FT140" s="816"/>
      <c r="FU140" s="816"/>
      <c r="FV140" s="816"/>
      <c r="FW140" s="816"/>
      <c r="FX140" s="816"/>
      <c r="FY140" s="816"/>
      <c r="FZ140" s="819"/>
      <c r="GA140" s="815" t="str">
        <f>IF(GZ139&gt;=GA139,GQ$2 &amp;"     ITEM # "&amp;GA139,"")</f>
        <v/>
      </c>
      <c r="GB140" s="816"/>
      <c r="GC140" s="816"/>
      <c r="GD140" s="816"/>
      <c r="GE140" s="816"/>
      <c r="GF140" s="816"/>
      <c r="GG140" s="816"/>
      <c r="GH140" s="816"/>
      <c r="GI140" s="817"/>
      <c r="GJ140" s="818" t="str">
        <f>IF(GZ139&gt;=GA139,$J$6,"")</f>
        <v/>
      </c>
      <c r="GK140" s="816"/>
      <c r="GL140" s="816"/>
      <c r="GM140" s="816"/>
      <c r="GN140" s="816"/>
      <c r="GO140" s="816"/>
      <c r="GP140" s="816"/>
      <c r="GQ140" s="816"/>
      <c r="GR140" s="816"/>
      <c r="GS140" s="816"/>
      <c r="GT140" s="816"/>
      <c r="GU140" s="816"/>
      <c r="GV140" s="816"/>
      <c r="GW140" s="816"/>
      <c r="GX140" s="816"/>
      <c r="GY140" s="816"/>
      <c r="GZ140" s="819"/>
      <c r="HA140" s="815" t="str">
        <f>IF(HZ139&gt;=HA139,HQ$2 &amp;"     ITEM # "&amp;HA139,"")</f>
        <v/>
      </c>
      <c r="HB140" s="816"/>
      <c r="HC140" s="816"/>
      <c r="HD140" s="816"/>
      <c r="HE140" s="816"/>
      <c r="HF140" s="816"/>
      <c r="HG140" s="816"/>
      <c r="HH140" s="816"/>
      <c r="HI140" s="817"/>
      <c r="HJ140" s="818" t="str">
        <f>IF(HZ139&gt;=HA139,$J$6,"")</f>
        <v/>
      </c>
      <c r="HK140" s="816"/>
      <c r="HL140" s="816"/>
      <c r="HM140" s="816"/>
      <c r="HN140" s="816"/>
      <c r="HO140" s="816"/>
      <c r="HP140" s="816"/>
      <c r="HQ140" s="816"/>
      <c r="HR140" s="816"/>
      <c r="HS140" s="816"/>
      <c r="HT140" s="816"/>
      <c r="HU140" s="816"/>
      <c r="HV140" s="816"/>
      <c r="HW140" s="816"/>
      <c r="HX140" s="816"/>
      <c r="HY140" s="816"/>
      <c r="HZ140" s="819"/>
      <c r="IA140" s="815" t="str">
        <f>IF(IZ139&gt;=IA139,IQ$2 &amp;"     ITEM # "&amp;IA139,"")</f>
        <v/>
      </c>
      <c r="IB140" s="816"/>
      <c r="IC140" s="816"/>
      <c r="ID140" s="816"/>
      <c r="IE140" s="816"/>
      <c r="IF140" s="816"/>
      <c r="IG140" s="816"/>
      <c r="IH140" s="816"/>
      <c r="II140" s="817"/>
      <c r="IJ140" s="818" t="str">
        <f>IF(IZ139&gt;=IA139,$J$6,"")</f>
        <v/>
      </c>
      <c r="IK140" s="816"/>
      <c r="IL140" s="816"/>
      <c r="IM140" s="816"/>
      <c r="IN140" s="816"/>
      <c r="IO140" s="816"/>
      <c r="IP140" s="816"/>
      <c r="IQ140" s="816"/>
      <c r="IR140" s="816"/>
      <c r="IS140" s="816"/>
      <c r="IT140" s="816"/>
      <c r="IU140" s="816"/>
      <c r="IV140" s="816"/>
      <c r="IW140" s="816"/>
      <c r="IX140" s="816"/>
      <c r="IY140" s="816"/>
      <c r="IZ140" s="819"/>
    </row>
    <row r="141" spans="1:260" x14ac:dyDescent="0.25">
      <c r="A141" s="848" t="str">
        <f>IFERROR(INDEX(Lista_Pedidos,Procesos!Y139+A139-1,5),"")</f>
        <v/>
      </c>
      <c r="B141" s="843"/>
      <c r="C141" s="843"/>
      <c r="D141" s="843"/>
      <c r="E141" s="843"/>
      <c r="F141" s="843"/>
      <c r="G141" s="843"/>
      <c r="H141" s="843"/>
      <c r="I141" s="844"/>
      <c r="J141" s="842" t="str">
        <f>IF(Z139&gt;=A139,$J$7,"")</f>
        <v/>
      </c>
      <c r="K141" s="843"/>
      <c r="L141" s="844"/>
      <c r="M141" s="842" t="str">
        <f>IF(Z139&gt;=A139,$M$7,"")</f>
        <v/>
      </c>
      <c r="N141" s="843"/>
      <c r="O141" s="844"/>
      <c r="P141" s="842" t="str">
        <f>IF(Z139&gt;=A139,$P$7,"")</f>
        <v/>
      </c>
      <c r="Q141" s="843"/>
      <c r="R141" s="843"/>
      <c r="S141" s="843"/>
      <c r="T141" s="843"/>
      <c r="U141" s="844"/>
      <c r="V141" s="834" t="str">
        <f>IF(Z139&gt;=A139,$V$7,"")</f>
        <v/>
      </c>
      <c r="W141" s="842" t="str">
        <f>IF(Z139&gt;=A139,$W$7,"")</f>
        <v/>
      </c>
      <c r="X141" s="843"/>
      <c r="Y141" s="843"/>
      <c r="Z141" s="850"/>
      <c r="AA141" s="848" t="str">
        <f>IFERROR(INDEX(Lista_Pedidos,Procesos!AY139+AA139-1,5),"")</f>
        <v/>
      </c>
      <c r="AB141" s="843"/>
      <c r="AC141" s="843"/>
      <c r="AD141" s="843"/>
      <c r="AE141" s="843"/>
      <c r="AF141" s="843"/>
      <c r="AG141" s="843"/>
      <c r="AH141" s="843"/>
      <c r="AI141" s="844"/>
      <c r="AJ141" s="842" t="str">
        <f>IF(AZ139&gt;=AA139,$J$7,"")</f>
        <v/>
      </c>
      <c r="AK141" s="843"/>
      <c r="AL141" s="844"/>
      <c r="AM141" s="842" t="str">
        <f>IF(AZ139&gt;=AA139,$M$7,"")</f>
        <v/>
      </c>
      <c r="AN141" s="843"/>
      <c r="AO141" s="844"/>
      <c r="AP141" s="842" t="str">
        <f>IF(AZ139&gt;=AA139,$P$7,"")</f>
        <v/>
      </c>
      <c r="AQ141" s="843"/>
      <c r="AR141" s="843"/>
      <c r="AS141" s="843"/>
      <c r="AT141" s="843"/>
      <c r="AU141" s="844"/>
      <c r="AV141" s="834" t="str">
        <f>IF(AZ139&gt;=AA139,$V$7,"")</f>
        <v/>
      </c>
      <c r="AW141" s="842" t="str">
        <f>IF(AZ139&gt;=AA139,$W$7,"")</f>
        <v/>
      </c>
      <c r="AX141" s="843"/>
      <c r="AY141" s="843"/>
      <c r="AZ141" s="850"/>
      <c r="BA141" s="848" t="str">
        <f>IFERROR(INDEX(Lista_Pedidos,Procesos!BY139+BA139-1,5),"")</f>
        <v/>
      </c>
      <c r="BB141" s="843"/>
      <c r="BC141" s="843"/>
      <c r="BD141" s="843"/>
      <c r="BE141" s="843"/>
      <c r="BF141" s="843"/>
      <c r="BG141" s="843"/>
      <c r="BH141" s="843"/>
      <c r="BI141" s="844"/>
      <c r="BJ141" s="842" t="str">
        <f>IF(BZ139&gt;=BA139,$J$7,"")</f>
        <v/>
      </c>
      <c r="BK141" s="843"/>
      <c r="BL141" s="844"/>
      <c r="BM141" s="842" t="str">
        <f>IF(BZ139&gt;=BA139,$M$7,"")</f>
        <v/>
      </c>
      <c r="BN141" s="843"/>
      <c r="BO141" s="844"/>
      <c r="BP141" s="842" t="str">
        <f>IF(BZ139&gt;=BA139,$P$7,"")</f>
        <v/>
      </c>
      <c r="BQ141" s="843"/>
      <c r="BR141" s="843"/>
      <c r="BS141" s="843"/>
      <c r="BT141" s="843"/>
      <c r="BU141" s="844"/>
      <c r="BV141" s="834" t="str">
        <f>IF(BZ139&gt;=BA139,$V$7,"")</f>
        <v/>
      </c>
      <c r="BW141" s="842" t="str">
        <f>IF(BZ139&gt;=BA139,$W$7,"")</f>
        <v/>
      </c>
      <c r="BX141" s="843"/>
      <c r="BY141" s="843"/>
      <c r="BZ141" s="850"/>
      <c r="CA141" s="848" t="str">
        <f>IFERROR(INDEX(Lista_Pedidos,Procesos!CY139+CA139-1,5),"")</f>
        <v/>
      </c>
      <c r="CB141" s="843"/>
      <c r="CC141" s="843"/>
      <c r="CD141" s="843"/>
      <c r="CE141" s="843"/>
      <c r="CF141" s="843"/>
      <c r="CG141" s="843"/>
      <c r="CH141" s="843"/>
      <c r="CI141" s="844"/>
      <c r="CJ141" s="842" t="str">
        <f>IF(CZ139&gt;=CA139,$J$7,"")</f>
        <v/>
      </c>
      <c r="CK141" s="843"/>
      <c r="CL141" s="844"/>
      <c r="CM141" s="842" t="str">
        <f>IF(CZ139&gt;=CA139,$M$7,"")</f>
        <v/>
      </c>
      <c r="CN141" s="843"/>
      <c r="CO141" s="844"/>
      <c r="CP141" s="842" t="str">
        <f>IF(CZ139&gt;=CA139,$P$7,"")</f>
        <v/>
      </c>
      <c r="CQ141" s="843"/>
      <c r="CR141" s="843"/>
      <c r="CS141" s="843"/>
      <c r="CT141" s="843"/>
      <c r="CU141" s="844"/>
      <c r="CV141" s="834" t="str">
        <f>IF(CZ139&gt;=CA139,$V$7,"")</f>
        <v/>
      </c>
      <c r="CW141" s="842" t="str">
        <f>IF(CZ139&gt;=CA139,$W$7,"")</f>
        <v/>
      </c>
      <c r="CX141" s="843"/>
      <c r="CY141" s="843"/>
      <c r="CZ141" s="850"/>
      <c r="DA141" s="848" t="str">
        <f>IFERROR(INDEX(Lista_Pedidos,Procesos!DY139+DA139-1,5),"")</f>
        <v/>
      </c>
      <c r="DB141" s="843"/>
      <c r="DC141" s="843"/>
      <c r="DD141" s="843"/>
      <c r="DE141" s="843"/>
      <c r="DF141" s="843"/>
      <c r="DG141" s="843"/>
      <c r="DH141" s="843"/>
      <c r="DI141" s="844"/>
      <c r="DJ141" s="842" t="str">
        <f>IF(DZ139&gt;=DA139,$J$7,"")</f>
        <v/>
      </c>
      <c r="DK141" s="843"/>
      <c r="DL141" s="844"/>
      <c r="DM141" s="842" t="str">
        <f>IF(DZ139&gt;=DA139,$M$7,"")</f>
        <v/>
      </c>
      <c r="DN141" s="843"/>
      <c r="DO141" s="844"/>
      <c r="DP141" s="842" t="str">
        <f>IF(DZ139&gt;=DA139,$P$7,"")</f>
        <v/>
      </c>
      <c r="DQ141" s="843"/>
      <c r="DR141" s="843"/>
      <c r="DS141" s="843"/>
      <c r="DT141" s="843"/>
      <c r="DU141" s="844"/>
      <c r="DV141" s="834" t="str">
        <f>IF(DZ139&gt;=DA139,$V$7,"")</f>
        <v/>
      </c>
      <c r="DW141" s="842" t="str">
        <f>IF(DZ139&gt;=DA139,$W$7,"")</f>
        <v/>
      </c>
      <c r="DX141" s="843"/>
      <c r="DY141" s="843"/>
      <c r="DZ141" s="850"/>
      <c r="EA141" s="848" t="str">
        <f>IFERROR(INDEX(Lista_Pedidos,Procesos!EY139+EA139-1,5),"")</f>
        <v/>
      </c>
      <c r="EB141" s="843"/>
      <c r="EC141" s="843"/>
      <c r="ED141" s="843"/>
      <c r="EE141" s="843"/>
      <c r="EF141" s="843"/>
      <c r="EG141" s="843"/>
      <c r="EH141" s="843"/>
      <c r="EI141" s="844"/>
      <c r="EJ141" s="842" t="str">
        <f>IF(EZ139&gt;=EA139,$J$7,"")</f>
        <v/>
      </c>
      <c r="EK141" s="843"/>
      <c r="EL141" s="844"/>
      <c r="EM141" s="842" t="str">
        <f>IF(EZ139&gt;=EA139,$M$7,"")</f>
        <v/>
      </c>
      <c r="EN141" s="843"/>
      <c r="EO141" s="844"/>
      <c r="EP141" s="842" t="str">
        <f>IF(EZ139&gt;=EA139,$P$7,"")</f>
        <v/>
      </c>
      <c r="EQ141" s="843"/>
      <c r="ER141" s="843"/>
      <c r="ES141" s="843"/>
      <c r="ET141" s="843"/>
      <c r="EU141" s="844"/>
      <c r="EV141" s="834" t="str">
        <f>IF(EZ139&gt;=EA139,$V$7,"")</f>
        <v/>
      </c>
      <c r="EW141" s="842" t="str">
        <f>IF(EZ139&gt;=EA139,$W$7,"")</f>
        <v/>
      </c>
      <c r="EX141" s="843"/>
      <c r="EY141" s="843"/>
      <c r="EZ141" s="850"/>
      <c r="FA141" s="848" t="str">
        <f>IFERROR(INDEX(Lista_Pedidos,Procesos!FY139+FA139-1,5),"")</f>
        <v/>
      </c>
      <c r="FB141" s="843"/>
      <c r="FC141" s="843"/>
      <c r="FD141" s="843"/>
      <c r="FE141" s="843"/>
      <c r="FF141" s="843"/>
      <c r="FG141" s="843"/>
      <c r="FH141" s="843"/>
      <c r="FI141" s="844"/>
      <c r="FJ141" s="842" t="str">
        <f>IF(FZ139&gt;=FA139,$J$7,"")</f>
        <v/>
      </c>
      <c r="FK141" s="843"/>
      <c r="FL141" s="844"/>
      <c r="FM141" s="842" t="str">
        <f>IF(FZ139&gt;=FA139,$M$7,"")</f>
        <v/>
      </c>
      <c r="FN141" s="843"/>
      <c r="FO141" s="844"/>
      <c r="FP141" s="842" t="str">
        <f>IF(FZ139&gt;=FA139,$P$7,"")</f>
        <v/>
      </c>
      <c r="FQ141" s="843"/>
      <c r="FR141" s="843"/>
      <c r="FS141" s="843"/>
      <c r="FT141" s="843"/>
      <c r="FU141" s="844"/>
      <c r="FV141" s="834" t="str">
        <f>IF(FZ139&gt;=FA139,$V$7,"")</f>
        <v/>
      </c>
      <c r="FW141" s="842" t="str">
        <f>IF(FZ139&gt;=FA139,$W$7,"")</f>
        <v/>
      </c>
      <c r="FX141" s="843"/>
      <c r="FY141" s="843"/>
      <c r="FZ141" s="850"/>
      <c r="GA141" s="848" t="str">
        <f>IFERROR(INDEX(Lista_Pedidos,Procesos!GY139+GA139-1,5),"")</f>
        <v/>
      </c>
      <c r="GB141" s="843"/>
      <c r="GC141" s="843"/>
      <c r="GD141" s="843"/>
      <c r="GE141" s="843"/>
      <c r="GF141" s="843"/>
      <c r="GG141" s="843"/>
      <c r="GH141" s="843"/>
      <c r="GI141" s="844"/>
      <c r="GJ141" s="842" t="str">
        <f>IF(GZ139&gt;=GA139,$J$7,"")</f>
        <v/>
      </c>
      <c r="GK141" s="843"/>
      <c r="GL141" s="844"/>
      <c r="GM141" s="842" t="str">
        <f>IF(GZ139&gt;=GA139,$M$7,"")</f>
        <v/>
      </c>
      <c r="GN141" s="843"/>
      <c r="GO141" s="844"/>
      <c r="GP141" s="842" t="str">
        <f>IF(GZ139&gt;=GA139,$P$7,"")</f>
        <v/>
      </c>
      <c r="GQ141" s="843"/>
      <c r="GR141" s="843"/>
      <c r="GS141" s="843"/>
      <c r="GT141" s="843"/>
      <c r="GU141" s="844"/>
      <c r="GV141" s="834" t="str">
        <f>IF(GZ139&gt;=GA139,$V$7,"")</f>
        <v/>
      </c>
      <c r="GW141" s="842" t="str">
        <f>IF(GZ139&gt;=GA139,$W$7,"")</f>
        <v/>
      </c>
      <c r="GX141" s="843"/>
      <c r="GY141" s="843"/>
      <c r="GZ141" s="850"/>
      <c r="HA141" s="848" t="str">
        <f>IFERROR(INDEX(Lista_Pedidos,Procesos!HY139+HA139-1,5),"")</f>
        <v/>
      </c>
      <c r="HB141" s="843"/>
      <c r="HC141" s="843"/>
      <c r="HD141" s="843"/>
      <c r="HE141" s="843"/>
      <c r="HF141" s="843"/>
      <c r="HG141" s="843"/>
      <c r="HH141" s="843"/>
      <c r="HI141" s="844"/>
      <c r="HJ141" s="842" t="str">
        <f>IF(HZ139&gt;=HA139,$J$7,"")</f>
        <v/>
      </c>
      <c r="HK141" s="843"/>
      <c r="HL141" s="844"/>
      <c r="HM141" s="842" t="str">
        <f>IF(HZ139&gt;=HA139,$M$7,"")</f>
        <v/>
      </c>
      <c r="HN141" s="843"/>
      <c r="HO141" s="844"/>
      <c r="HP141" s="842" t="str">
        <f>IF(HZ139&gt;=HA139,$P$7,"")</f>
        <v/>
      </c>
      <c r="HQ141" s="843"/>
      <c r="HR141" s="843"/>
      <c r="HS141" s="843"/>
      <c r="HT141" s="843"/>
      <c r="HU141" s="844"/>
      <c r="HV141" s="834" t="str">
        <f>IF(HZ139&gt;=HA139,$V$7,"")</f>
        <v/>
      </c>
      <c r="HW141" s="842" t="str">
        <f>IF(HZ139&gt;=HA139,$W$7,"")</f>
        <v/>
      </c>
      <c r="HX141" s="843"/>
      <c r="HY141" s="843"/>
      <c r="HZ141" s="850"/>
      <c r="IA141" s="848" t="str">
        <f>IFERROR(INDEX(Lista_Pedidos,Procesos!IY139+IA139-1,5),"")</f>
        <v/>
      </c>
      <c r="IB141" s="843"/>
      <c r="IC141" s="843"/>
      <c r="ID141" s="843"/>
      <c r="IE141" s="843"/>
      <c r="IF141" s="843"/>
      <c r="IG141" s="843"/>
      <c r="IH141" s="843"/>
      <c r="II141" s="844"/>
      <c r="IJ141" s="842" t="str">
        <f>IF(IZ139&gt;=IA139,$J$7,"")</f>
        <v/>
      </c>
      <c r="IK141" s="843"/>
      <c r="IL141" s="844"/>
      <c r="IM141" s="842" t="str">
        <f>IF(IZ139&gt;=IA139,$M$7,"")</f>
        <v/>
      </c>
      <c r="IN141" s="843"/>
      <c r="IO141" s="844"/>
      <c r="IP141" s="842" t="str">
        <f>IF(IZ139&gt;=IA139,$P$7,"")</f>
        <v/>
      </c>
      <c r="IQ141" s="843"/>
      <c r="IR141" s="843"/>
      <c r="IS141" s="843"/>
      <c r="IT141" s="843"/>
      <c r="IU141" s="844"/>
      <c r="IV141" s="834" t="str">
        <f>IF(IZ139&gt;=IA139,$V$7,"")</f>
        <v/>
      </c>
      <c r="IW141" s="842" t="str">
        <f>IF(IZ139&gt;=IA139,$W$7,"")</f>
        <v/>
      </c>
      <c r="IX141" s="843"/>
      <c r="IY141" s="843"/>
      <c r="IZ141" s="850"/>
    </row>
    <row r="142" spans="1:260" x14ac:dyDescent="0.25">
      <c r="A142" s="849"/>
      <c r="B142" s="846"/>
      <c r="C142" s="846"/>
      <c r="D142" s="846"/>
      <c r="E142" s="846"/>
      <c r="F142" s="846"/>
      <c r="G142" s="846"/>
      <c r="H142" s="846"/>
      <c r="I142" s="847"/>
      <c r="J142" s="845"/>
      <c r="K142" s="846"/>
      <c r="L142" s="847"/>
      <c r="M142" s="845"/>
      <c r="N142" s="846"/>
      <c r="O142" s="847"/>
      <c r="P142" s="845"/>
      <c r="Q142" s="846"/>
      <c r="R142" s="846"/>
      <c r="S142" s="846"/>
      <c r="T142" s="846"/>
      <c r="U142" s="847"/>
      <c r="V142" s="835"/>
      <c r="W142" s="845"/>
      <c r="X142" s="846"/>
      <c r="Y142" s="846"/>
      <c r="Z142" s="851"/>
      <c r="AA142" s="849"/>
      <c r="AB142" s="846"/>
      <c r="AC142" s="846"/>
      <c r="AD142" s="846"/>
      <c r="AE142" s="846"/>
      <c r="AF142" s="846"/>
      <c r="AG142" s="846"/>
      <c r="AH142" s="846"/>
      <c r="AI142" s="847"/>
      <c r="AJ142" s="845"/>
      <c r="AK142" s="846"/>
      <c r="AL142" s="847"/>
      <c r="AM142" s="845"/>
      <c r="AN142" s="846"/>
      <c r="AO142" s="847"/>
      <c r="AP142" s="845"/>
      <c r="AQ142" s="846"/>
      <c r="AR142" s="846"/>
      <c r="AS142" s="846"/>
      <c r="AT142" s="846"/>
      <c r="AU142" s="847"/>
      <c r="AV142" s="835"/>
      <c r="AW142" s="845"/>
      <c r="AX142" s="846"/>
      <c r="AY142" s="846"/>
      <c r="AZ142" s="851"/>
      <c r="BA142" s="849"/>
      <c r="BB142" s="846"/>
      <c r="BC142" s="846"/>
      <c r="BD142" s="846"/>
      <c r="BE142" s="846"/>
      <c r="BF142" s="846"/>
      <c r="BG142" s="846"/>
      <c r="BH142" s="846"/>
      <c r="BI142" s="847"/>
      <c r="BJ142" s="845"/>
      <c r="BK142" s="846"/>
      <c r="BL142" s="847"/>
      <c r="BM142" s="845"/>
      <c r="BN142" s="846"/>
      <c r="BO142" s="847"/>
      <c r="BP142" s="845"/>
      <c r="BQ142" s="846"/>
      <c r="BR142" s="846"/>
      <c r="BS142" s="846"/>
      <c r="BT142" s="846"/>
      <c r="BU142" s="847"/>
      <c r="BV142" s="835"/>
      <c r="BW142" s="845"/>
      <c r="BX142" s="846"/>
      <c r="BY142" s="846"/>
      <c r="BZ142" s="851"/>
      <c r="CA142" s="849"/>
      <c r="CB142" s="846"/>
      <c r="CC142" s="846"/>
      <c r="CD142" s="846"/>
      <c r="CE142" s="846"/>
      <c r="CF142" s="846"/>
      <c r="CG142" s="846"/>
      <c r="CH142" s="846"/>
      <c r="CI142" s="847"/>
      <c r="CJ142" s="845"/>
      <c r="CK142" s="846"/>
      <c r="CL142" s="847"/>
      <c r="CM142" s="845"/>
      <c r="CN142" s="846"/>
      <c r="CO142" s="847"/>
      <c r="CP142" s="845"/>
      <c r="CQ142" s="846"/>
      <c r="CR142" s="846"/>
      <c r="CS142" s="846"/>
      <c r="CT142" s="846"/>
      <c r="CU142" s="847"/>
      <c r="CV142" s="835"/>
      <c r="CW142" s="845"/>
      <c r="CX142" s="846"/>
      <c r="CY142" s="846"/>
      <c r="CZ142" s="851"/>
      <c r="DA142" s="849"/>
      <c r="DB142" s="846"/>
      <c r="DC142" s="846"/>
      <c r="DD142" s="846"/>
      <c r="DE142" s="846"/>
      <c r="DF142" s="846"/>
      <c r="DG142" s="846"/>
      <c r="DH142" s="846"/>
      <c r="DI142" s="847"/>
      <c r="DJ142" s="845"/>
      <c r="DK142" s="846"/>
      <c r="DL142" s="847"/>
      <c r="DM142" s="845"/>
      <c r="DN142" s="846"/>
      <c r="DO142" s="847"/>
      <c r="DP142" s="845"/>
      <c r="DQ142" s="846"/>
      <c r="DR142" s="846"/>
      <c r="DS142" s="846"/>
      <c r="DT142" s="846"/>
      <c r="DU142" s="847"/>
      <c r="DV142" s="835"/>
      <c r="DW142" s="845"/>
      <c r="DX142" s="846"/>
      <c r="DY142" s="846"/>
      <c r="DZ142" s="851"/>
      <c r="EA142" s="849"/>
      <c r="EB142" s="846"/>
      <c r="EC142" s="846"/>
      <c r="ED142" s="846"/>
      <c r="EE142" s="846"/>
      <c r="EF142" s="846"/>
      <c r="EG142" s="846"/>
      <c r="EH142" s="846"/>
      <c r="EI142" s="847"/>
      <c r="EJ142" s="845"/>
      <c r="EK142" s="846"/>
      <c r="EL142" s="847"/>
      <c r="EM142" s="845"/>
      <c r="EN142" s="846"/>
      <c r="EO142" s="847"/>
      <c r="EP142" s="845"/>
      <c r="EQ142" s="846"/>
      <c r="ER142" s="846"/>
      <c r="ES142" s="846"/>
      <c r="ET142" s="846"/>
      <c r="EU142" s="847"/>
      <c r="EV142" s="835"/>
      <c r="EW142" s="845"/>
      <c r="EX142" s="846"/>
      <c r="EY142" s="846"/>
      <c r="EZ142" s="851"/>
      <c r="FA142" s="849"/>
      <c r="FB142" s="846"/>
      <c r="FC142" s="846"/>
      <c r="FD142" s="846"/>
      <c r="FE142" s="846"/>
      <c r="FF142" s="846"/>
      <c r="FG142" s="846"/>
      <c r="FH142" s="846"/>
      <c r="FI142" s="847"/>
      <c r="FJ142" s="845"/>
      <c r="FK142" s="846"/>
      <c r="FL142" s="847"/>
      <c r="FM142" s="845"/>
      <c r="FN142" s="846"/>
      <c r="FO142" s="847"/>
      <c r="FP142" s="845"/>
      <c r="FQ142" s="846"/>
      <c r="FR142" s="846"/>
      <c r="FS142" s="846"/>
      <c r="FT142" s="846"/>
      <c r="FU142" s="847"/>
      <c r="FV142" s="835"/>
      <c r="FW142" s="845"/>
      <c r="FX142" s="846"/>
      <c r="FY142" s="846"/>
      <c r="FZ142" s="851"/>
      <c r="GA142" s="849"/>
      <c r="GB142" s="846"/>
      <c r="GC142" s="846"/>
      <c r="GD142" s="846"/>
      <c r="GE142" s="846"/>
      <c r="GF142" s="846"/>
      <c r="GG142" s="846"/>
      <c r="GH142" s="846"/>
      <c r="GI142" s="847"/>
      <c r="GJ142" s="845"/>
      <c r="GK142" s="846"/>
      <c r="GL142" s="847"/>
      <c r="GM142" s="845"/>
      <c r="GN142" s="846"/>
      <c r="GO142" s="847"/>
      <c r="GP142" s="845"/>
      <c r="GQ142" s="846"/>
      <c r="GR142" s="846"/>
      <c r="GS142" s="846"/>
      <c r="GT142" s="846"/>
      <c r="GU142" s="847"/>
      <c r="GV142" s="835"/>
      <c r="GW142" s="845"/>
      <c r="GX142" s="846"/>
      <c r="GY142" s="846"/>
      <c r="GZ142" s="851"/>
      <c r="HA142" s="849"/>
      <c r="HB142" s="846"/>
      <c r="HC142" s="846"/>
      <c r="HD142" s="846"/>
      <c r="HE142" s="846"/>
      <c r="HF142" s="846"/>
      <c r="HG142" s="846"/>
      <c r="HH142" s="846"/>
      <c r="HI142" s="847"/>
      <c r="HJ142" s="845"/>
      <c r="HK142" s="846"/>
      <c r="HL142" s="847"/>
      <c r="HM142" s="845"/>
      <c r="HN142" s="846"/>
      <c r="HO142" s="847"/>
      <c r="HP142" s="845"/>
      <c r="HQ142" s="846"/>
      <c r="HR142" s="846"/>
      <c r="HS142" s="846"/>
      <c r="HT142" s="846"/>
      <c r="HU142" s="847"/>
      <c r="HV142" s="835"/>
      <c r="HW142" s="845"/>
      <c r="HX142" s="846"/>
      <c r="HY142" s="846"/>
      <c r="HZ142" s="851"/>
      <c r="IA142" s="849"/>
      <c r="IB142" s="846"/>
      <c r="IC142" s="846"/>
      <c r="ID142" s="846"/>
      <c r="IE142" s="846"/>
      <c r="IF142" s="846"/>
      <c r="IG142" s="846"/>
      <c r="IH142" s="846"/>
      <c r="II142" s="847"/>
      <c r="IJ142" s="845"/>
      <c r="IK142" s="846"/>
      <c r="IL142" s="847"/>
      <c r="IM142" s="845"/>
      <c r="IN142" s="846"/>
      <c r="IO142" s="847"/>
      <c r="IP142" s="845"/>
      <c r="IQ142" s="846"/>
      <c r="IR142" s="846"/>
      <c r="IS142" s="846"/>
      <c r="IT142" s="846"/>
      <c r="IU142" s="847"/>
      <c r="IV142" s="835"/>
      <c r="IW142" s="845"/>
      <c r="IX142" s="846"/>
      <c r="IY142" s="846"/>
      <c r="IZ142" s="851"/>
    </row>
    <row r="143" spans="1:260" ht="15" customHeight="1" x14ac:dyDescent="0.25">
      <c r="A143" s="858" t="str">
        <f>IF(Z139&gt;=A139,$A$9,"")</f>
        <v/>
      </c>
      <c r="B143" s="806"/>
      <c r="C143" s="806"/>
      <c r="D143" s="806"/>
      <c r="E143" s="852"/>
      <c r="F143" s="805" t="str">
        <f>IF(Z139&gt;=A139,$F$9,"")</f>
        <v/>
      </c>
      <c r="G143" s="806"/>
      <c r="H143" s="806"/>
      <c r="I143" s="852"/>
      <c r="J143" s="811" t="str">
        <f>IF(Z139&gt;=A139,$J$9,"")</f>
        <v/>
      </c>
      <c r="K143" s="803" t="str">
        <f>IF(Z139&gt;=A139,$K$9,"")</f>
        <v/>
      </c>
      <c r="L143" s="803" t="str">
        <f>IF(Z139&gt;=A139,$L$9,"")</f>
        <v/>
      </c>
      <c r="M143" s="803" t="str">
        <f>IF(Z139&gt;=A139,$M$9,"")</f>
        <v/>
      </c>
      <c r="N143" s="803" t="str">
        <f>IF(Z139&gt;=A139,$N$9,"")</f>
        <v/>
      </c>
      <c r="O143" s="803" t="str">
        <f>IF(Z139&gt;=A139,$O$9,"")</f>
        <v/>
      </c>
      <c r="P143" s="803" t="str">
        <f>IF(Z139&gt;=A139,$P$9,"")</f>
        <v/>
      </c>
      <c r="Q143" s="803" t="str">
        <f>IF(Z139&gt;=A139,$Q$9,"")</f>
        <v/>
      </c>
      <c r="R143" s="803" t="str">
        <f>IF(Z139&gt;=A139,$R$9,"")</f>
        <v/>
      </c>
      <c r="S143" s="803" t="str">
        <f>IF(Z139&gt;=A139,$S$9,"")</f>
        <v/>
      </c>
      <c r="T143" s="803" t="str">
        <f>IF(Z139&gt;=A139,$T$9,"")</f>
        <v/>
      </c>
      <c r="U143" s="803" t="str">
        <f>IF(Z139&gt;=A139,$U$9,"")</f>
        <v/>
      </c>
      <c r="V143" s="803" t="str">
        <f>IF(Z139&gt;=A139,$V$9,"")</f>
        <v/>
      </c>
      <c r="W143" s="805" t="str">
        <f>IF(Z139&gt;=A139,$W$9,"")</f>
        <v/>
      </c>
      <c r="X143" s="806"/>
      <c r="Y143" s="806"/>
      <c r="Z143" s="807"/>
      <c r="AA143" s="858" t="str">
        <f>IF(AZ139&gt;=AA139,$A$9,"")</f>
        <v/>
      </c>
      <c r="AB143" s="806"/>
      <c r="AC143" s="806"/>
      <c r="AD143" s="806"/>
      <c r="AE143" s="852"/>
      <c r="AF143" s="805" t="str">
        <f>IF(AZ139&gt;=AA139,$F$9,"")</f>
        <v/>
      </c>
      <c r="AG143" s="806"/>
      <c r="AH143" s="806"/>
      <c r="AI143" s="852"/>
      <c r="AJ143" s="811" t="str">
        <f>IF(AZ139&gt;=AA139,$J$9,"")</f>
        <v/>
      </c>
      <c r="AK143" s="803" t="str">
        <f>IF(AZ139&gt;=AA139,$K$9,"")</f>
        <v/>
      </c>
      <c r="AL143" s="803" t="str">
        <f>IF(AZ139&gt;=AA139,$L$9,"")</f>
        <v/>
      </c>
      <c r="AM143" s="803" t="str">
        <f>IF(AZ139&gt;=AA139,$M$9,"")</f>
        <v/>
      </c>
      <c r="AN143" s="803" t="str">
        <f>IF(AZ139&gt;=AA139,$N$9,"")</f>
        <v/>
      </c>
      <c r="AO143" s="803" t="str">
        <f>IF(AZ139&gt;=AA139,$O$9,"")</f>
        <v/>
      </c>
      <c r="AP143" s="803" t="str">
        <f>IF(AZ139&gt;=AA139,$P$9,"")</f>
        <v/>
      </c>
      <c r="AQ143" s="803" t="str">
        <f>IF(AZ139&gt;=AA139,$Q$9,"")</f>
        <v/>
      </c>
      <c r="AR143" s="803" t="str">
        <f>IF(AZ139&gt;=AA139,$R$9,"")</f>
        <v/>
      </c>
      <c r="AS143" s="803" t="str">
        <f>IF(AZ139&gt;=AA139,$S$9,"")</f>
        <v/>
      </c>
      <c r="AT143" s="803" t="str">
        <f>IF(AZ139&gt;=AA139,$T$9,"")</f>
        <v/>
      </c>
      <c r="AU143" s="803" t="str">
        <f>IF(AZ139&gt;=AA139,$U$9,"")</f>
        <v/>
      </c>
      <c r="AV143" s="803" t="str">
        <f>IF(AZ139&gt;=AA139,$V$9,"")</f>
        <v/>
      </c>
      <c r="AW143" s="805" t="str">
        <f>IF(AZ139&gt;=AA139,$W$9,"")</f>
        <v/>
      </c>
      <c r="AX143" s="806"/>
      <c r="AY143" s="806"/>
      <c r="AZ143" s="807"/>
      <c r="BA143" s="858" t="str">
        <f>IF(BZ139&gt;=BA139,$A$9,"")</f>
        <v/>
      </c>
      <c r="BB143" s="806"/>
      <c r="BC143" s="806"/>
      <c r="BD143" s="806"/>
      <c r="BE143" s="852"/>
      <c r="BF143" s="805" t="str">
        <f>IF(BZ139&gt;=BA139,$F$9,"")</f>
        <v/>
      </c>
      <c r="BG143" s="806"/>
      <c r="BH143" s="806"/>
      <c r="BI143" s="852"/>
      <c r="BJ143" s="811" t="str">
        <f>IF(BZ139&gt;=BA139,$J$9,"")</f>
        <v/>
      </c>
      <c r="BK143" s="803" t="str">
        <f>IF(BZ139&gt;=BA139,$K$9,"")</f>
        <v/>
      </c>
      <c r="BL143" s="803" t="str">
        <f>IF(BZ139&gt;=BA139,$L$9,"")</f>
        <v/>
      </c>
      <c r="BM143" s="803" t="str">
        <f>IF(BZ139&gt;=BA139,$M$9,"")</f>
        <v/>
      </c>
      <c r="BN143" s="803" t="str">
        <f>IF(BZ139&gt;=BA139,$N$9,"")</f>
        <v/>
      </c>
      <c r="BO143" s="803" t="str">
        <f>IF(BZ139&gt;=BA139,$O$9,"")</f>
        <v/>
      </c>
      <c r="BP143" s="803" t="str">
        <f>IF(BZ139&gt;=BA139,$P$9,"")</f>
        <v/>
      </c>
      <c r="BQ143" s="803" t="str">
        <f>IF(BZ139&gt;=BA139,$Q$9,"")</f>
        <v/>
      </c>
      <c r="BR143" s="803" t="str">
        <f>IF(BZ139&gt;=BA139,$R$9,"")</f>
        <v/>
      </c>
      <c r="BS143" s="803" t="str">
        <f>IF(BZ139&gt;=BA139,$S$9,"")</f>
        <v/>
      </c>
      <c r="BT143" s="803" t="str">
        <f>IF(BZ139&gt;=BA139,$T$9,"")</f>
        <v/>
      </c>
      <c r="BU143" s="803" t="str">
        <f>IF(BZ139&gt;=BA139,$U$9,"")</f>
        <v/>
      </c>
      <c r="BV143" s="803" t="str">
        <f>IF(BZ139&gt;=BA139,$V$9,"")</f>
        <v/>
      </c>
      <c r="BW143" s="805" t="str">
        <f>IF(BZ139&gt;=BA139,$W$9,"")</f>
        <v/>
      </c>
      <c r="BX143" s="806"/>
      <c r="BY143" s="806"/>
      <c r="BZ143" s="807"/>
      <c r="CA143" s="858" t="str">
        <f>IF(CZ139&gt;=CA139,$A$9,"")</f>
        <v/>
      </c>
      <c r="CB143" s="806"/>
      <c r="CC143" s="806"/>
      <c r="CD143" s="806"/>
      <c r="CE143" s="852"/>
      <c r="CF143" s="805" t="str">
        <f>IF(CZ139&gt;=CA139,$F$9,"")</f>
        <v/>
      </c>
      <c r="CG143" s="806"/>
      <c r="CH143" s="806"/>
      <c r="CI143" s="852"/>
      <c r="CJ143" s="811" t="str">
        <f>IF(CZ139&gt;=CA139,$J$9,"")</f>
        <v/>
      </c>
      <c r="CK143" s="803" t="str">
        <f>IF(CZ139&gt;=CA139,$K$9,"")</f>
        <v/>
      </c>
      <c r="CL143" s="803" t="str">
        <f>IF(CZ139&gt;=CA139,$L$9,"")</f>
        <v/>
      </c>
      <c r="CM143" s="803" t="str">
        <f>IF(CZ139&gt;=CA139,$M$9,"")</f>
        <v/>
      </c>
      <c r="CN143" s="803" t="str">
        <f>IF(CZ139&gt;=CA139,$N$9,"")</f>
        <v/>
      </c>
      <c r="CO143" s="803" t="str">
        <f>IF(CZ139&gt;=CA139,$O$9,"")</f>
        <v/>
      </c>
      <c r="CP143" s="803" t="str">
        <f>IF(CZ139&gt;=CA139,$P$9,"")</f>
        <v/>
      </c>
      <c r="CQ143" s="803" t="str">
        <f>IF(CZ139&gt;=CA139,$Q$9,"")</f>
        <v/>
      </c>
      <c r="CR143" s="803" t="str">
        <f>IF(CZ139&gt;=CA139,$R$9,"")</f>
        <v/>
      </c>
      <c r="CS143" s="803" t="str">
        <f>IF(CZ139&gt;=CA139,$S$9,"")</f>
        <v/>
      </c>
      <c r="CT143" s="803" t="str">
        <f>IF(CZ139&gt;=CA139,$T$9,"")</f>
        <v/>
      </c>
      <c r="CU143" s="803" t="str">
        <f>IF(CZ139&gt;=CA139,$U$9,"")</f>
        <v/>
      </c>
      <c r="CV143" s="803" t="str">
        <f>IF(CZ139&gt;=CA139,$V$9,"")</f>
        <v/>
      </c>
      <c r="CW143" s="805" t="str">
        <f>IF(CZ139&gt;=CA139,$W$9,"")</f>
        <v/>
      </c>
      <c r="CX143" s="806"/>
      <c r="CY143" s="806"/>
      <c r="CZ143" s="807"/>
      <c r="DA143" s="858" t="str">
        <f>IF(DZ139&gt;=DA139,$A$9,"")</f>
        <v/>
      </c>
      <c r="DB143" s="806"/>
      <c r="DC143" s="806"/>
      <c r="DD143" s="806"/>
      <c r="DE143" s="852"/>
      <c r="DF143" s="805" t="str">
        <f>IF(DZ139&gt;=DA139,$F$9,"")</f>
        <v/>
      </c>
      <c r="DG143" s="806"/>
      <c r="DH143" s="806"/>
      <c r="DI143" s="852"/>
      <c r="DJ143" s="811" t="str">
        <f>IF(DZ139&gt;=DA139,$J$9,"")</f>
        <v/>
      </c>
      <c r="DK143" s="803" t="str">
        <f>IF(DZ139&gt;=DA139,$K$9,"")</f>
        <v/>
      </c>
      <c r="DL143" s="803" t="str">
        <f>IF(DZ139&gt;=DA139,$L$9,"")</f>
        <v/>
      </c>
      <c r="DM143" s="803" t="str">
        <f>IF(DZ139&gt;=DA139,$M$9,"")</f>
        <v/>
      </c>
      <c r="DN143" s="803" t="str">
        <f>IF(DZ139&gt;=DA139,$N$9,"")</f>
        <v/>
      </c>
      <c r="DO143" s="803" t="str">
        <f>IF(DZ139&gt;=DA139,$O$9,"")</f>
        <v/>
      </c>
      <c r="DP143" s="803" t="str">
        <f>IF(DZ139&gt;=DA139,$P$9,"")</f>
        <v/>
      </c>
      <c r="DQ143" s="803" t="str">
        <f>IF(DZ139&gt;=DA139,$Q$9,"")</f>
        <v/>
      </c>
      <c r="DR143" s="803" t="str">
        <f>IF(DZ139&gt;=DA139,$R$9,"")</f>
        <v/>
      </c>
      <c r="DS143" s="803" t="str">
        <f>IF(DZ139&gt;=DA139,$S$9,"")</f>
        <v/>
      </c>
      <c r="DT143" s="803" t="str">
        <f>IF(DZ139&gt;=DA139,$T$9,"")</f>
        <v/>
      </c>
      <c r="DU143" s="803" t="str">
        <f>IF(DZ139&gt;=DA139,$U$9,"")</f>
        <v/>
      </c>
      <c r="DV143" s="803" t="str">
        <f>IF(DZ139&gt;=DA139,$V$9,"")</f>
        <v/>
      </c>
      <c r="DW143" s="805" t="str">
        <f>IF(DZ139&gt;=DA139,$W$9,"")</f>
        <v/>
      </c>
      <c r="DX143" s="806"/>
      <c r="DY143" s="806"/>
      <c r="DZ143" s="807"/>
      <c r="EA143" s="858" t="str">
        <f>IF(EZ139&gt;=EA139,$A$9,"")</f>
        <v/>
      </c>
      <c r="EB143" s="806"/>
      <c r="EC143" s="806"/>
      <c r="ED143" s="806"/>
      <c r="EE143" s="852"/>
      <c r="EF143" s="805" t="str">
        <f>IF(EZ139&gt;=EA139,$F$9,"")</f>
        <v/>
      </c>
      <c r="EG143" s="806"/>
      <c r="EH143" s="806"/>
      <c r="EI143" s="852"/>
      <c r="EJ143" s="811" t="str">
        <f>IF(EZ139&gt;=EA139,$J$9,"")</f>
        <v/>
      </c>
      <c r="EK143" s="803" t="str">
        <f>IF(EZ139&gt;=EA139,$K$9,"")</f>
        <v/>
      </c>
      <c r="EL143" s="803" t="str">
        <f>IF(EZ139&gt;=EA139,$L$9,"")</f>
        <v/>
      </c>
      <c r="EM143" s="803" t="str">
        <f>IF(EZ139&gt;=EA139,$M$9,"")</f>
        <v/>
      </c>
      <c r="EN143" s="803" t="str">
        <f>IF(EZ139&gt;=EA139,$N$9,"")</f>
        <v/>
      </c>
      <c r="EO143" s="803" t="str">
        <f>IF(EZ139&gt;=EA139,$O$9,"")</f>
        <v/>
      </c>
      <c r="EP143" s="803" t="str">
        <f>IF(EZ139&gt;=EA139,$P$9,"")</f>
        <v/>
      </c>
      <c r="EQ143" s="803" t="str">
        <f>IF(EZ139&gt;=EA139,$Q$9,"")</f>
        <v/>
      </c>
      <c r="ER143" s="803" t="str">
        <f>IF(EZ139&gt;=EA139,$R$9,"")</f>
        <v/>
      </c>
      <c r="ES143" s="803" t="str">
        <f>IF(EZ139&gt;=EA139,$S$9,"")</f>
        <v/>
      </c>
      <c r="ET143" s="803" t="str">
        <f>IF(EZ139&gt;=EA139,$T$9,"")</f>
        <v/>
      </c>
      <c r="EU143" s="803" t="str">
        <f>IF(EZ139&gt;=EA139,$U$9,"")</f>
        <v/>
      </c>
      <c r="EV143" s="803" t="str">
        <f>IF(EZ139&gt;=EA139,$V$9,"")</f>
        <v/>
      </c>
      <c r="EW143" s="805" t="str">
        <f>IF(EZ139&gt;=EA139,$W$9,"")</f>
        <v/>
      </c>
      <c r="EX143" s="806"/>
      <c r="EY143" s="806"/>
      <c r="EZ143" s="807"/>
      <c r="FA143" s="858" t="str">
        <f>IF(FZ139&gt;=FA139,$A$9,"")</f>
        <v/>
      </c>
      <c r="FB143" s="806"/>
      <c r="FC143" s="806"/>
      <c r="FD143" s="806"/>
      <c r="FE143" s="852"/>
      <c r="FF143" s="805" t="str">
        <f>IF(FZ139&gt;=FA139,$F$9,"")</f>
        <v/>
      </c>
      <c r="FG143" s="806"/>
      <c r="FH143" s="806"/>
      <c r="FI143" s="852"/>
      <c r="FJ143" s="811" t="str">
        <f>IF(FZ139&gt;=FA139,$J$9,"")</f>
        <v/>
      </c>
      <c r="FK143" s="803" t="str">
        <f>IF(FZ139&gt;=FA139,$K$9,"")</f>
        <v/>
      </c>
      <c r="FL143" s="803" t="str">
        <f>IF(FZ139&gt;=FA139,$L$9,"")</f>
        <v/>
      </c>
      <c r="FM143" s="803" t="str">
        <f>IF(FZ139&gt;=FA139,$M$9,"")</f>
        <v/>
      </c>
      <c r="FN143" s="803" t="str">
        <f>IF(FZ139&gt;=FA139,$N$9,"")</f>
        <v/>
      </c>
      <c r="FO143" s="803" t="str">
        <f>IF(FZ139&gt;=FA139,$O$9,"")</f>
        <v/>
      </c>
      <c r="FP143" s="803" t="str">
        <f>IF(FZ139&gt;=FA139,$P$9,"")</f>
        <v/>
      </c>
      <c r="FQ143" s="803" t="str">
        <f>IF(FZ139&gt;=FA139,$Q$9,"")</f>
        <v/>
      </c>
      <c r="FR143" s="803" t="str">
        <f>IF(FZ139&gt;=FA139,$R$9,"")</f>
        <v/>
      </c>
      <c r="FS143" s="803" t="str">
        <f>IF(FZ139&gt;=FA139,$S$9,"")</f>
        <v/>
      </c>
      <c r="FT143" s="803" t="str">
        <f>IF(FZ139&gt;=FA139,$T$9,"")</f>
        <v/>
      </c>
      <c r="FU143" s="803" t="str">
        <f>IF(FZ139&gt;=FA139,$U$9,"")</f>
        <v/>
      </c>
      <c r="FV143" s="803" t="str">
        <f>IF(FZ139&gt;=FA139,$V$9,"")</f>
        <v/>
      </c>
      <c r="FW143" s="805" t="str">
        <f>IF(FZ139&gt;=FA139,$W$9,"")</f>
        <v/>
      </c>
      <c r="FX143" s="806"/>
      <c r="FY143" s="806"/>
      <c r="FZ143" s="807"/>
      <c r="GA143" s="858" t="str">
        <f>IF(GZ139&gt;=GA139,$A$9,"")</f>
        <v/>
      </c>
      <c r="GB143" s="806"/>
      <c r="GC143" s="806"/>
      <c r="GD143" s="806"/>
      <c r="GE143" s="852"/>
      <c r="GF143" s="805" t="str">
        <f>IF(GZ139&gt;=GA139,$F$9,"")</f>
        <v/>
      </c>
      <c r="GG143" s="806"/>
      <c r="GH143" s="806"/>
      <c r="GI143" s="852"/>
      <c r="GJ143" s="811" t="str">
        <f>IF(GZ139&gt;=GA139,$J$9,"")</f>
        <v/>
      </c>
      <c r="GK143" s="803" t="str">
        <f>IF(GZ139&gt;=GA139,$K$9,"")</f>
        <v/>
      </c>
      <c r="GL143" s="803" t="str">
        <f>IF(GZ139&gt;=GA139,$L$9,"")</f>
        <v/>
      </c>
      <c r="GM143" s="803" t="str">
        <f>IF(GZ139&gt;=GA139,$M$9,"")</f>
        <v/>
      </c>
      <c r="GN143" s="803" t="str">
        <f>IF(GZ139&gt;=GA139,$N$9,"")</f>
        <v/>
      </c>
      <c r="GO143" s="803" t="str">
        <f>IF(GZ139&gt;=GA139,$O$9,"")</f>
        <v/>
      </c>
      <c r="GP143" s="803" t="str">
        <f>IF(GZ139&gt;=GA139,$P$9,"")</f>
        <v/>
      </c>
      <c r="GQ143" s="803" t="str">
        <f>IF(GZ139&gt;=GA139,$Q$9,"")</f>
        <v/>
      </c>
      <c r="GR143" s="803" t="str">
        <f>IF(GZ139&gt;=GA139,$R$9,"")</f>
        <v/>
      </c>
      <c r="GS143" s="803" t="str">
        <f>IF(GZ139&gt;=GA139,$S$9,"")</f>
        <v/>
      </c>
      <c r="GT143" s="803" t="str">
        <f>IF(GZ139&gt;=GA139,$T$9,"")</f>
        <v/>
      </c>
      <c r="GU143" s="803" t="str">
        <f>IF(GZ139&gt;=GA139,$U$9,"")</f>
        <v/>
      </c>
      <c r="GV143" s="803" t="str">
        <f>IF(GZ139&gt;=GA139,$V$9,"")</f>
        <v/>
      </c>
      <c r="GW143" s="805" t="str">
        <f>IF(GZ139&gt;=GA139,$W$9,"")</f>
        <v/>
      </c>
      <c r="GX143" s="806"/>
      <c r="GY143" s="806"/>
      <c r="GZ143" s="807"/>
      <c r="HA143" s="858" t="str">
        <f>IF(HZ139&gt;=HA139,$A$9,"")</f>
        <v/>
      </c>
      <c r="HB143" s="806"/>
      <c r="HC143" s="806"/>
      <c r="HD143" s="806"/>
      <c r="HE143" s="852"/>
      <c r="HF143" s="805" t="str">
        <f>IF(HZ139&gt;=HA139,$F$9,"")</f>
        <v/>
      </c>
      <c r="HG143" s="806"/>
      <c r="HH143" s="806"/>
      <c r="HI143" s="852"/>
      <c r="HJ143" s="811" t="str">
        <f>IF(HZ139&gt;=HA139,$J$9,"")</f>
        <v/>
      </c>
      <c r="HK143" s="803" t="str">
        <f>IF(HZ139&gt;=HA139,$K$9,"")</f>
        <v/>
      </c>
      <c r="HL143" s="803" t="str">
        <f>IF(HZ139&gt;=HA139,$L$9,"")</f>
        <v/>
      </c>
      <c r="HM143" s="803" t="str">
        <f>IF(HZ139&gt;=HA139,$M$9,"")</f>
        <v/>
      </c>
      <c r="HN143" s="803" t="str">
        <f>IF(HZ139&gt;=HA139,$N$9,"")</f>
        <v/>
      </c>
      <c r="HO143" s="803" t="str">
        <f>IF(HZ139&gt;=HA139,$O$9,"")</f>
        <v/>
      </c>
      <c r="HP143" s="803" t="str">
        <f>IF(HZ139&gt;=HA139,$P$9,"")</f>
        <v/>
      </c>
      <c r="HQ143" s="803" t="str">
        <f>IF(HZ139&gt;=HA139,$Q$9,"")</f>
        <v/>
      </c>
      <c r="HR143" s="803" t="str">
        <f>IF(HZ139&gt;=HA139,$R$9,"")</f>
        <v/>
      </c>
      <c r="HS143" s="803" t="str">
        <f>IF(HZ139&gt;=HA139,$S$9,"")</f>
        <v/>
      </c>
      <c r="HT143" s="803" t="str">
        <f>IF(HZ139&gt;=HA139,$T$9,"")</f>
        <v/>
      </c>
      <c r="HU143" s="803" t="str">
        <f>IF(HZ139&gt;=HA139,$U$9,"")</f>
        <v/>
      </c>
      <c r="HV143" s="803" t="str">
        <f>IF(HZ139&gt;=HA139,$V$9,"")</f>
        <v/>
      </c>
      <c r="HW143" s="805" t="str">
        <f>IF(HZ139&gt;=HA139,$W$9,"")</f>
        <v/>
      </c>
      <c r="HX143" s="806"/>
      <c r="HY143" s="806"/>
      <c r="HZ143" s="807"/>
      <c r="IA143" s="858" t="str">
        <f>IF(IZ139&gt;=IA139,$A$9,"")</f>
        <v/>
      </c>
      <c r="IB143" s="806"/>
      <c r="IC143" s="806"/>
      <c r="ID143" s="806"/>
      <c r="IE143" s="852"/>
      <c r="IF143" s="805" t="str">
        <f>IF(IZ139&gt;=IA139,$F$9,"")</f>
        <v/>
      </c>
      <c r="IG143" s="806"/>
      <c r="IH143" s="806"/>
      <c r="II143" s="852"/>
      <c r="IJ143" s="811" t="str">
        <f>IF(IZ139&gt;=IA139,$J$9,"")</f>
        <v/>
      </c>
      <c r="IK143" s="803" t="str">
        <f>IF(IZ139&gt;=IA139,$K$9,"")</f>
        <v/>
      </c>
      <c r="IL143" s="803" t="str">
        <f>IF(IZ139&gt;=IA139,$L$9,"")</f>
        <v/>
      </c>
      <c r="IM143" s="803" t="str">
        <f>IF(IZ139&gt;=IA139,$M$9,"")</f>
        <v/>
      </c>
      <c r="IN143" s="803" t="str">
        <f>IF(IZ139&gt;=IA139,$N$9,"")</f>
        <v/>
      </c>
      <c r="IO143" s="803" t="str">
        <f>IF(IZ139&gt;=IA139,$O$9,"")</f>
        <v/>
      </c>
      <c r="IP143" s="803" t="str">
        <f>IF(IZ139&gt;=IA139,$P$9,"")</f>
        <v/>
      </c>
      <c r="IQ143" s="803" t="str">
        <f>IF(IZ139&gt;=IA139,$Q$9,"")</f>
        <v/>
      </c>
      <c r="IR143" s="803" t="str">
        <f>IF(IZ139&gt;=IA139,$R$9,"")</f>
        <v/>
      </c>
      <c r="IS143" s="803" t="str">
        <f>IF(IZ139&gt;=IA139,$S$9,"")</f>
        <v/>
      </c>
      <c r="IT143" s="803" t="str">
        <f>IF(IZ139&gt;=IA139,$T$9,"")</f>
        <v/>
      </c>
      <c r="IU143" s="803" t="str">
        <f>IF(IZ139&gt;=IA139,$U$9,"")</f>
        <v/>
      </c>
      <c r="IV143" s="803" t="str">
        <f>IF(IZ139&gt;=IA139,$V$9,"")</f>
        <v/>
      </c>
      <c r="IW143" s="805" t="str">
        <f>IF(IZ139&gt;=IA139,$W$9,"")</f>
        <v/>
      </c>
      <c r="IX143" s="806"/>
      <c r="IY143" s="806"/>
      <c r="IZ143" s="807"/>
    </row>
    <row r="144" spans="1:260" ht="15" customHeight="1" x14ac:dyDescent="0.25">
      <c r="A144" s="859"/>
      <c r="B144" s="809"/>
      <c r="C144" s="809"/>
      <c r="D144" s="809"/>
      <c r="E144" s="853"/>
      <c r="F144" s="808"/>
      <c r="G144" s="809"/>
      <c r="H144" s="809"/>
      <c r="I144" s="853"/>
      <c r="J144" s="812"/>
      <c r="K144" s="804"/>
      <c r="L144" s="804"/>
      <c r="M144" s="804"/>
      <c r="N144" s="804"/>
      <c r="O144" s="804"/>
      <c r="P144" s="804"/>
      <c r="Q144" s="804"/>
      <c r="R144" s="804"/>
      <c r="S144" s="804"/>
      <c r="T144" s="804"/>
      <c r="U144" s="804"/>
      <c r="V144" s="804"/>
      <c r="W144" s="808"/>
      <c r="X144" s="809"/>
      <c r="Y144" s="809"/>
      <c r="Z144" s="810"/>
      <c r="AA144" s="859"/>
      <c r="AB144" s="809"/>
      <c r="AC144" s="809"/>
      <c r="AD144" s="809"/>
      <c r="AE144" s="853"/>
      <c r="AF144" s="808"/>
      <c r="AG144" s="809"/>
      <c r="AH144" s="809"/>
      <c r="AI144" s="853"/>
      <c r="AJ144" s="812"/>
      <c r="AK144" s="804"/>
      <c r="AL144" s="804"/>
      <c r="AM144" s="804"/>
      <c r="AN144" s="804"/>
      <c r="AO144" s="804"/>
      <c r="AP144" s="804"/>
      <c r="AQ144" s="804"/>
      <c r="AR144" s="804"/>
      <c r="AS144" s="804"/>
      <c r="AT144" s="804"/>
      <c r="AU144" s="804"/>
      <c r="AV144" s="804"/>
      <c r="AW144" s="808"/>
      <c r="AX144" s="809"/>
      <c r="AY144" s="809"/>
      <c r="AZ144" s="810"/>
      <c r="BA144" s="859"/>
      <c r="BB144" s="809"/>
      <c r="BC144" s="809"/>
      <c r="BD144" s="809"/>
      <c r="BE144" s="853"/>
      <c r="BF144" s="808"/>
      <c r="BG144" s="809"/>
      <c r="BH144" s="809"/>
      <c r="BI144" s="853"/>
      <c r="BJ144" s="812"/>
      <c r="BK144" s="804"/>
      <c r="BL144" s="804"/>
      <c r="BM144" s="804"/>
      <c r="BN144" s="804"/>
      <c r="BO144" s="804"/>
      <c r="BP144" s="804"/>
      <c r="BQ144" s="804"/>
      <c r="BR144" s="804"/>
      <c r="BS144" s="804"/>
      <c r="BT144" s="804"/>
      <c r="BU144" s="804"/>
      <c r="BV144" s="804"/>
      <c r="BW144" s="808"/>
      <c r="BX144" s="809"/>
      <c r="BY144" s="809"/>
      <c r="BZ144" s="810"/>
      <c r="CA144" s="859"/>
      <c r="CB144" s="809"/>
      <c r="CC144" s="809"/>
      <c r="CD144" s="809"/>
      <c r="CE144" s="853"/>
      <c r="CF144" s="808"/>
      <c r="CG144" s="809"/>
      <c r="CH144" s="809"/>
      <c r="CI144" s="853"/>
      <c r="CJ144" s="812"/>
      <c r="CK144" s="804"/>
      <c r="CL144" s="804"/>
      <c r="CM144" s="804"/>
      <c r="CN144" s="804"/>
      <c r="CO144" s="804"/>
      <c r="CP144" s="804"/>
      <c r="CQ144" s="804"/>
      <c r="CR144" s="804"/>
      <c r="CS144" s="804"/>
      <c r="CT144" s="804"/>
      <c r="CU144" s="804"/>
      <c r="CV144" s="804"/>
      <c r="CW144" s="808"/>
      <c r="CX144" s="809"/>
      <c r="CY144" s="809"/>
      <c r="CZ144" s="810"/>
      <c r="DA144" s="859"/>
      <c r="DB144" s="809"/>
      <c r="DC144" s="809"/>
      <c r="DD144" s="809"/>
      <c r="DE144" s="853"/>
      <c r="DF144" s="808"/>
      <c r="DG144" s="809"/>
      <c r="DH144" s="809"/>
      <c r="DI144" s="853"/>
      <c r="DJ144" s="812"/>
      <c r="DK144" s="804"/>
      <c r="DL144" s="804"/>
      <c r="DM144" s="804"/>
      <c r="DN144" s="804"/>
      <c r="DO144" s="804"/>
      <c r="DP144" s="804"/>
      <c r="DQ144" s="804"/>
      <c r="DR144" s="804"/>
      <c r="DS144" s="804"/>
      <c r="DT144" s="804"/>
      <c r="DU144" s="804"/>
      <c r="DV144" s="804"/>
      <c r="DW144" s="808"/>
      <c r="DX144" s="809"/>
      <c r="DY144" s="809"/>
      <c r="DZ144" s="810"/>
      <c r="EA144" s="859"/>
      <c r="EB144" s="809"/>
      <c r="EC144" s="809"/>
      <c r="ED144" s="809"/>
      <c r="EE144" s="853"/>
      <c r="EF144" s="808"/>
      <c r="EG144" s="809"/>
      <c r="EH144" s="809"/>
      <c r="EI144" s="853"/>
      <c r="EJ144" s="812"/>
      <c r="EK144" s="804"/>
      <c r="EL144" s="804"/>
      <c r="EM144" s="804"/>
      <c r="EN144" s="804"/>
      <c r="EO144" s="804"/>
      <c r="EP144" s="804"/>
      <c r="EQ144" s="804"/>
      <c r="ER144" s="804"/>
      <c r="ES144" s="804"/>
      <c r="ET144" s="804"/>
      <c r="EU144" s="804"/>
      <c r="EV144" s="804"/>
      <c r="EW144" s="808"/>
      <c r="EX144" s="809"/>
      <c r="EY144" s="809"/>
      <c r="EZ144" s="810"/>
      <c r="FA144" s="859"/>
      <c r="FB144" s="809"/>
      <c r="FC144" s="809"/>
      <c r="FD144" s="809"/>
      <c r="FE144" s="853"/>
      <c r="FF144" s="808"/>
      <c r="FG144" s="809"/>
      <c r="FH144" s="809"/>
      <c r="FI144" s="853"/>
      <c r="FJ144" s="812"/>
      <c r="FK144" s="804"/>
      <c r="FL144" s="804"/>
      <c r="FM144" s="804"/>
      <c r="FN144" s="804"/>
      <c r="FO144" s="804"/>
      <c r="FP144" s="804"/>
      <c r="FQ144" s="804"/>
      <c r="FR144" s="804"/>
      <c r="FS144" s="804"/>
      <c r="FT144" s="804"/>
      <c r="FU144" s="804"/>
      <c r="FV144" s="804"/>
      <c r="FW144" s="808"/>
      <c r="FX144" s="809"/>
      <c r="FY144" s="809"/>
      <c r="FZ144" s="810"/>
      <c r="GA144" s="859"/>
      <c r="GB144" s="809"/>
      <c r="GC144" s="809"/>
      <c r="GD144" s="809"/>
      <c r="GE144" s="853"/>
      <c r="GF144" s="808"/>
      <c r="GG144" s="809"/>
      <c r="GH144" s="809"/>
      <c r="GI144" s="853"/>
      <c r="GJ144" s="812"/>
      <c r="GK144" s="804"/>
      <c r="GL144" s="804"/>
      <c r="GM144" s="804"/>
      <c r="GN144" s="804"/>
      <c r="GO144" s="804"/>
      <c r="GP144" s="804"/>
      <c r="GQ144" s="804"/>
      <c r="GR144" s="804"/>
      <c r="GS144" s="804"/>
      <c r="GT144" s="804"/>
      <c r="GU144" s="804"/>
      <c r="GV144" s="804"/>
      <c r="GW144" s="808"/>
      <c r="GX144" s="809"/>
      <c r="GY144" s="809"/>
      <c r="GZ144" s="810"/>
      <c r="HA144" s="859"/>
      <c r="HB144" s="809"/>
      <c r="HC144" s="809"/>
      <c r="HD144" s="809"/>
      <c r="HE144" s="853"/>
      <c r="HF144" s="808"/>
      <c r="HG144" s="809"/>
      <c r="HH144" s="809"/>
      <c r="HI144" s="853"/>
      <c r="HJ144" s="812"/>
      <c r="HK144" s="804"/>
      <c r="HL144" s="804"/>
      <c r="HM144" s="804"/>
      <c r="HN144" s="804"/>
      <c r="HO144" s="804"/>
      <c r="HP144" s="804"/>
      <c r="HQ144" s="804"/>
      <c r="HR144" s="804"/>
      <c r="HS144" s="804"/>
      <c r="HT144" s="804"/>
      <c r="HU144" s="804"/>
      <c r="HV144" s="804"/>
      <c r="HW144" s="808"/>
      <c r="HX144" s="809"/>
      <c r="HY144" s="809"/>
      <c r="HZ144" s="810"/>
      <c r="IA144" s="859"/>
      <c r="IB144" s="809"/>
      <c r="IC144" s="809"/>
      <c r="ID144" s="809"/>
      <c r="IE144" s="853"/>
      <c r="IF144" s="808"/>
      <c r="IG144" s="809"/>
      <c r="IH144" s="809"/>
      <c r="II144" s="853"/>
      <c r="IJ144" s="812"/>
      <c r="IK144" s="804"/>
      <c r="IL144" s="804"/>
      <c r="IM144" s="804"/>
      <c r="IN144" s="804"/>
      <c r="IO144" s="804"/>
      <c r="IP144" s="804"/>
      <c r="IQ144" s="804"/>
      <c r="IR144" s="804"/>
      <c r="IS144" s="804"/>
      <c r="IT144" s="804"/>
      <c r="IU144" s="804"/>
      <c r="IV144" s="804"/>
      <c r="IW144" s="808"/>
      <c r="IX144" s="809"/>
      <c r="IY144" s="809"/>
      <c r="IZ144" s="810"/>
    </row>
    <row r="145" spans="1:260" x14ac:dyDescent="0.25">
      <c r="A145" s="854" t="str">
        <f>IFERROR(INDEX(Lista_Pedidos,Procesos!Y139+A139-1,3),"")</f>
        <v/>
      </c>
      <c r="B145" s="855"/>
      <c r="C145" s="855"/>
      <c r="D145" s="855"/>
      <c r="E145" s="856"/>
      <c r="F145" s="857" t="str">
        <f>IF(Z139&gt;A139-1,E$11,"")</f>
        <v/>
      </c>
      <c r="G145" s="855"/>
      <c r="H145" s="855"/>
      <c r="I145" s="856"/>
      <c r="J145" s="526" t="str">
        <f>IFERROR(IF(IF(Z139&gt;A139-1,INDEX(Lista_Pedidos,Y139+A139-1,J139),"")=0,"",IF(Z139&gt;A139-1,INDEX(Lista_Pedidos,Y139+A139-1,J139),"")),"")</f>
        <v/>
      </c>
      <c r="K145" s="526" t="str">
        <f>IFERROR(IF(IF(Z139&gt;A139-1,INDEX(Lista_Pedidos,Y139+A139-1,K139),"")=0,"",IF(Z139&gt;A139-1,INDEX(Lista_Pedidos,Y139+A139-1,K139),"")),"")</f>
        <v/>
      </c>
      <c r="L145" s="526" t="str">
        <f>IFERROR(IF(IF(Z139&gt;A139-1,INDEX(Lista_Pedidos,Y139+A139-1,L139),"")=0,"",IF(Z139&gt;A139-1,INDEX(Lista_Pedidos,Y139+A139-1,L139),"")),"")</f>
        <v/>
      </c>
      <c r="M145" s="526" t="str">
        <f>IFERROR(IF(IF(Z139&gt;A139-1,INDEX(Lista_Pedidos,Y139+A139-1,M139),"")=0,"",IF(Z139&gt;A139-1,INDEX(Lista_Pedidos,Y139+A139-1,M139),"")),"")</f>
        <v/>
      </c>
      <c r="N145" s="526" t="str">
        <f>IFERROR(IF(IF(Z139&gt;A139-1,INDEX(Lista_Pedidos,Y139+A139-1,N139),"")=0,"",IF(Z139&gt;A139-1,INDEX(Lista_Pedidos,Y139+A139-1,N139),"")),"")</f>
        <v/>
      </c>
      <c r="O145" s="526" t="str">
        <f>IFERROR(IF(IF(Z139&gt;A139-1,INDEX(Lista_Pedidos,Y139+A139-1,O139),"")=0,"",IF(Z139&gt;A139-1,INDEX(Lista_Pedidos,Y139+A139-1,O139),"")),"")</f>
        <v/>
      </c>
      <c r="P145" s="526" t="str">
        <f>IFERROR(IF(IF(Z139&gt;A139-1,INDEX(Lista_Pedidos,Y139+A139-1,P139),"")=0,"",IF(Z139&gt;A139-1,INDEX(Lista_Pedidos,Y139+A139-1,P139),"")),"")</f>
        <v/>
      </c>
      <c r="Q145" s="526" t="str">
        <f>IFERROR(IF(IF(Z139&gt;A139-1,INDEX(Lista_Pedidos,Y139+A139-1,Q139),"")=0,"",IF(Z139&gt;A139-1,INDEX(Lista_Pedidos,Y139+A139-1,Q139),"")),"")</f>
        <v/>
      </c>
      <c r="R145" s="526" t="str">
        <f>IFERROR(IF(IF(Z139&gt;A139-1,INDEX(Lista_Pedidos,Y139+A139-1,R139),"")=0,"",IF(Z139&gt;A139-1,INDEX(Lista_Pedidos,Y139+A139-1,R139),"")),"")</f>
        <v/>
      </c>
      <c r="S145" s="526" t="str">
        <f>IFERROR(IF(IF(Z139&gt;A139-1,INDEX(Lista_Pedidos,Y139+A139-1,S139),"")=0,"",IF(Z139&gt;A139-1,INDEX(Lista_Pedidos,Y139+A139-1,S139),"")),"")</f>
        <v/>
      </c>
      <c r="T145" s="526" t="str">
        <f>IFERROR(IF(IF(Z139&gt;A139-1,INDEX(Lista_Pedidos,Y139+A139-1,T139),"")=0,"",IF(Z139&gt;A139-1,INDEX(Lista_Pedidos,Y139+A139-1,T139),"")),"")</f>
        <v/>
      </c>
      <c r="U145" s="526" t="str">
        <f>IFERROR(IF(IF(Z139&gt;A139-1,INDEX(Lista_Pedidos,Y139+A139-1,U139),"")=0,"",IF(Z139&gt;A139-1,INDEX(Lista_Pedidos,Y139+A139-1,U139),"")),"")</f>
        <v/>
      </c>
      <c r="V145" s="526" t="str">
        <f>IFERROR(IF(IF(Z139&gt;A139-1,INDEX(Lista_Pedidos,Y139+A139-1,V139),"")=0,"",IF(Z139&gt;A139-1,INDEX(Lista_Pedidos,Y139+A139-1,V139),"")),"")</f>
        <v/>
      </c>
      <c r="W145" s="857" t="str">
        <f>IF(SUM(J145:V145)&gt;1,SUM(J145:V145),"")</f>
        <v/>
      </c>
      <c r="X145" s="855"/>
      <c r="Y145" s="855"/>
      <c r="Z145" s="860"/>
      <c r="AA145" s="854" t="str">
        <f>IFERROR(INDEX(Lista_Pedidos,Procesos!AY139+AA139-1,3),"")</f>
        <v/>
      </c>
      <c r="AB145" s="855"/>
      <c r="AC145" s="855"/>
      <c r="AD145" s="855"/>
      <c r="AE145" s="856"/>
      <c r="AF145" s="857" t="str">
        <f>IF(AZ139&gt;AA139-1,AE$11,"")</f>
        <v/>
      </c>
      <c r="AG145" s="855"/>
      <c r="AH145" s="855"/>
      <c r="AI145" s="856"/>
      <c r="AJ145" s="526" t="str">
        <f>IFERROR(IF(IF(AZ139&gt;AA139-1,INDEX(Lista_Pedidos,AY139+AA139-1,AJ139),"")=0,"",IF(AZ139&gt;AA139-1,INDEX(Lista_Pedidos,AY139+AA139-1,AJ139),"")),"")</f>
        <v/>
      </c>
      <c r="AK145" s="526" t="str">
        <f>IFERROR(IF(IF(AZ139&gt;AA139-1,INDEX(Lista_Pedidos,AY139+AA139-1,AK139),"")=0,"",IF(AZ139&gt;AA139-1,INDEX(Lista_Pedidos,AY139+AA139-1,AK139),"")),"")</f>
        <v/>
      </c>
      <c r="AL145" s="526" t="str">
        <f>IFERROR(IF(IF(AZ139&gt;AA139-1,INDEX(Lista_Pedidos,AY139+AA139-1,AL139),"")=0,"",IF(AZ139&gt;AA139-1,INDEX(Lista_Pedidos,AY139+AA139-1,AL139),"")),"")</f>
        <v/>
      </c>
      <c r="AM145" s="526" t="str">
        <f>IFERROR(IF(IF(AZ139&gt;AA139-1,INDEX(Lista_Pedidos,AY139+AA139-1,AM139),"")=0,"",IF(AZ139&gt;AA139-1,INDEX(Lista_Pedidos,AY139+AA139-1,AM139),"")),"")</f>
        <v/>
      </c>
      <c r="AN145" s="526" t="str">
        <f>IFERROR(IF(IF(AZ139&gt;AA139-1,INDEX(Lista_Pedidos,AY139+AA139-1,AN139),"")=0,"",IF(AZ139&gt;AA139-1,INDEX(Lista_Pedidos,AY139+AA139-1,AN139),"")),"")</f>
        <v/>
      </c>
      <c r="AO145" s="526" t="str">
        <f>IFERROR(IF(IF(AZ139&gt;AA139-1,INDEX(Lista_Pedidos,AY139+AA139-1,AO139),"")=0,"",IF(AZ139&gt;AA139-1,INDEX(Lista_Pedidos,AY139+AA139-1,AO139),"")),"")</f>
        <v/>
      </c>
      <c r="AP145" s="526" t="str">
        <f>IFERROR(IF(IF(AZ139&gt;AA139-1,INDEX(Lista_Pedidos,AY139+AA139-1,AP139),"")=0,"",IF(AZ139&gt;AA139-1,INDEX(Lista_Pedidos,AY139+AA139-1,AP139),"")),"")</f>
        <v/>
      </c>
      <c r="AQ145" s="526" t="str">
        <f>IFERROR(IF(IF(AZ139&gt;AA139-1,INDEX(Lista_Pedidos,AY139+AA139-1,AQ139),"")=0,"",IF(AZ139&gt;AA139-1,INDEX(Lista_Pedidos,AY139+AA139-1,AQ139),"")),"")</f>
        <v/>
      </c>
      <c r="AR145" s="526" t="str">
        <f>IFERROR(IF(IF(AZ139&gt;AA139-1,INDEX(Lista_Pedidos,AY139+AA139-1,AR139),"")=0,"",IF(AZ139&gt;AA139-1,INDEX(Lista_Pedidos,AY139+AA139-1,AR139),"")),"")</f>
        <v/>
      </c>
      <c r="AS145" s="526" t="str">
        <f>IFERROR(IF(IF(AZ139&gt;AA139-1,INDEX(Lista_Pedidos,AY139+AA139-1,AS139),"")=0,"",IF(AZ139&gt;AA139-1,INDEX(Lista_Pedidos,AY139+AA139-1,AS139),"")),"")</f>
        <v/>
      </c>
      <c r="AT145" s="526" t="str">
        <f>IFERROR(IF(IF(AZ139&gt;AA139-1,INDEX(Lista_Pedidos,AY139+AA139-1,AT139),"")=0,"",IF(AZ139&gt;AA139-1,INDEX(Lista_Pedidos,AY139+AA139-1,AT139),"")),"")</f>
        <v/>
      </c>
      <c r="AU145" s="526" t="str">
        <f>IFERROR(IF(IF(AZ139&gt;AA139-1,INDEX(Lista_Pedidos,AY139+AA139-1,AU139),"")=0,"",IF(AZ139&gt;AA139-1,INDEX(Lista_Pedidos,AY139+AA139-1,AU139),"")),"")</f>
        <v/>
      </c>
      <c r="AV145" s="526" t="str">
        <f>IFERROR(IF(IF(AZ139&gt;AA139-1,INDEX(Lista_Pedidos,AY139+AA139-1,AV139),"")=0,"",IF(AZ139&gt;AA139-1,INDEX(Lista_Pedidos,AY139+AA139-1,AV139),"")),"")</f>
        <v/>
      </c>
      <c r="AW145" s="857" t="str">
        <f>IF(SUM(AJ145:AV145)&gt;1,SUM(AJ145:AV145),"")</f>
        <v/>
      </c>
      <c r="AX145" s="855"/>
      <c r="AY145" s="855"/>
      <c r="AZ145" s="860"/>
      <c r="BA145" s="854" t="str">
        <f>IFERROR(INDEX(Lista_Pedidos,Procesos!BY139+BA139-1,3),"")</f>
        <v/>
      </c>
      <c r="BB145" s="855"/>
      <c r="BC145" s="855"/>
      <c r="BD145" s="855"/>
      <c r="BE145" s="856"/>
      <c r="BF145" s="857" t="str">
        <f>IF(BZ139&gt;BA139-1,BE$11,"")</f>
        <v/>
      </c>
      <c r="BG145" s="855"/>
      <c r="BH145" s="855"/>
      <c r="BI145" s="856"/>
      <c r="BJ145" s="526" t="str">
        <f>IFERROR(IF(IF(BZ139&gt;BA139-1,INDEX(Lista_Pedidos,BY139+BA139-1,BJ139),"")=0,"",IF(BZ139&gt;BA139-1,INDEX(Lista_Pedidos,BY139+BA139-1,BJ139),"")),"")</f>
        <v/>
      </c>
      <c r="BK145" s="526" t="str">
        <f>IFERROR(IF(IF(BZ139&gt;BA139-1,INDEX(Lista_Pedidos,BY139+BA139-1,BK139),"")=0,"",IF(BZ139&gt;BA139-1,INDEX(Lista_Pedidos,BY139+BA139-1,BK139),"")),"")</f>
        <v/>
      </c>
      <c r="BL145" s="526" t="str">
        <f>IFERROR(IF(IF(BZ139&gt;BA139-1,INDEX(Lista_Pedidos,BY139+BA139-1,BL139),"")=0,"",IF(BZ139&gt;BA139-1,INDEX(Lista_Pedidos,BY139+BA139-1,BL139),"")),"")</f>
        <v/>
      </c>
      <c r="BM145" s="526" t="str">
        <f>IFERROR(IF(IF(BZ139&gt;BA139-1,INDEX(Lista_Pedidos,BY139+BA139-1,BM139),"")=0,"",IF(BZ139&gt;BA139-1,INDEX(Lista_Pedidos,BY139+BA139-1,BM139),"")),"")</f>
        <v/>
      </c>
      <c r="BN145" s="526" t="str">
        <f>IFERROR(IF(IF(BZ139&gt;BA139-1,INDEX(Lista_Pedidos,BY139+BA139-1,BN139),"")=0,"",IF(BZ139&gt;BA139-1,INDEX(Lista_Pedidos,BY139+BA139-1,BN139),"")),"")</f>
        <v/>
      </c>
      <c r="BO145" s="526" t="str">
        <f>IFERROR(IF(IF(BZ139&gt;BA139-1,INDEX(Lista_Pedidos,BY139+BA139-1,BO139),"")=0,"",IF(BZ139&gt;BA139-1,INDEX(Lista_Pedidos,BY139+BA139-1,BO139),"")),"")</f>
        <v/>
      </c>
      <c r="BP145" s="526" t="str">
        <f>IFERROR(IF(IF(BZ139&gt;BA139-1,INDEX(Lista_Pedidos,BY139+BA139-1,BP139),"")=0,"",IF(BZ139&gt;BA139-1,INDEX(Lista_Pedidos,BY139+BA139-1,BP139),"")),"")</f>
        <v/>
      </c>
      <c r="BQ145" s="526" t="str">
        <f>IFERROR(IF(IF(BZ139&gt;BA139-1,INDEX(Lista_Pedidos,BY139+BA139-1,BQ139),"")=0,"",IF(BZ139&gt;BA139-1,INDEX(Lista_Pedidos,BY139+BA139-1,BQ139),"")),"")</f>
        <v/>
      </c>
      <c r="BR145" s="526" t="str">
        <f>IFERROR(IF(IF(BZ139&gt;BA139-1,INDEX(Lista_Pedidos,BY139+BA139-1,BR139),"")=0,"",IF(BZ139&gt;BA139-1,INDEX(Lista_Pedidos,BY139+BA139-1,BR139),"")),"")</f>
        <v/>
      </c>
      <c r="BS145" s="526" t="str">
        <f>IFERROR(IF(IF(BZ139&gt;BA139-1,INDEX(Lista_Pedidos,BY139+BA139-1,BS139),"")=0,"",IF(BZ139&gt;BA139-1,INDEX(Lista_Pedidos,BY139+BA139-1,BS139),"")),"")</f>
        <v/>
      </c>
      <c r="BT145" s="526" t="str">
        <f>IFERROR(IF(IF(BZ139&gt;BA139-1,INDEX(Lista_Pedidos,BY139+BA139-1,BT139),"")=0,"",IF(BZ139&gt;BA139-1,INDEX(Lista_Pedidos,BY139+BA139-1,BT139),"")),"")</f>
        <v/>
      </c>
      <c r="BU145" s="526" t="str">
        <f>IFERROR(IF(IF(BZ139&gt;BA139-1,INDEX(Lista_Pedidos,BY139+BA139-1,BU139),"")=0,"",IF(BZ139&gt;BA139-1,INDEX(Lista_Pedidos,BY139+BA139-1,BU139),"")),"")</f>
        <v/>
      </c>
      <c r="BV145" s="526" t="str">
        <f>IFERROR(IF(IF(BZ139&gt;BA139-1,INDEX(Lista_Pedidos,BY139+BA139-1,BV139),"")=0,"",IF(BZ139&gt;BA139-1,INDEX(Lista_Pedidos,BY139+BA139-1,BV139),"")),"")</f>
        <v/>
      </c>
      <c r="BW145" s="857" t="str">
        <f>IF(SUM(BJ145:BV145)&gt;1,SUM(BJ145:BV145),"")</f>
        <v/>
      </c>
      <c r="BX145" s="855"/>
      <c r="BY145" s="855"/>
      <c r="BZ145" s="860"/>
      <c r="CA145" s="854" t="str">
        <f>IFERROR(INDEX(Lista_Pedidos,Procesos!CY139+CA139-1,3),"")</f>
        <v/>
      </c>
      <c r="CB145" s="855"/>
      <c r="CC145" s="855"/>
      <c r="CD145" s="855"/>
      <c r="CE145" s="856"/>
      <c r="CF145" s="857" t="str">
        <f>IF(CZ139&gt;CA139-1,CE$11,"")</f>
        <v/>
      </c>
      <c r="CG145" s="855"/>
      <c r="CH145" s="855"/>
      <c r="CI145" s="856"/>
      <c r="CJ145" s="526" t="str">
        <f>IFERROR(IF(IF(CZ139&gt;CA139-1,INDEX(Lista_Pedidos,CY139+CA139-1,CJ139),"")=0,"",IF(CZ139&gt;CA139-1,INDEX(Lista_Pedidos,CY139+CA139-1,CJ139),"")),"")</f>
        <v/>
      </c>
      <c r="CK145" s="526" t="str">
        <f>IFERROR(IF(IF(CZ139&gt;CA139-1,INDEX(Lista_Pedidos,CY139+CA139-1,CK139),"")=0,"",IF(CZ139&gt;CA139-1,INDEX(Lista_Pedidos,CY139+CA139-1,CK139),"")),"")</f>
        <v/>
      </c>
      <c r="CL145" s="526" t="str">
        <f>IFERROR(IF(IF(CZ139&gt;CA139-1,INDEX(Lista_Pedidos,CY139+CA139-1,CL139),"")=0,"",IF(CZ139&gt;CA139-1,INDEX(Lista_Pedidos,CY139+CA139-1,CL139),"")),"")</f>
        <v/>
      </c>
      <c r="CM145" s="526" t="str">
        <f>IFERROR(IF(IF(CZ139&gt;CA139-1,INDEX(Lista_Pedidos,CY139+CA139-1,CM139),"")=0,"",IF(CZ139&gt;CA139-1,INDEX(Lista_Pedidos,CY139+CA139-1,CM139),"")),"")</f>
        <v/>
      </c>
      <c r="CN145" s="526" t="str">
        <f>IFERROR(IF(IF(CZ139&gt;CA139-1,INDEX(Lista_Pedidos,CY139+CA139-1,CN139),"")=0,"",IF(CZ139&gt;CA139-1,INDEX(Lista_Pedidos,CY139+CA139-1,CN139),"")),"")</f>
        <v/>
      </c>
      <c r="CO145" s="526" t="str">
        <f>IFERROR(IF(IF(CZ139&gt;CA139-1,INDEX(Lista_Pedidos,CY139+CA139-1,CO139),"")=0,"",IF(CZ139&gt;CA139-1,INDEX(Lista_Pedidos,CY139+CA139-1,CO139),"")),"")</f>
        <v/>
      </c>
      <c r="CP145" s="526" t="str">
        <f>IFERROR(IF(IF(CZ139&gt;CA139-1,INDEX(Lista_Pedidos,CY139+CA139-1,CP139),"")=0,"",IF(CZ139&gt;CA139-1,INDEX(Lista_Pedidos,CY139+CA139-1,CP139),"")),"")</f>
        <v/>
      </c>
      <c r="CQ145" s="526" t="str">
        <f>IFERROR(IF(IF(CZ139&gt;CA139-1,INDEX(Lista_Pedidos,CY139+CA139-1,CQ139),"")=0,"",IF(CZ139&gt;CA139-1,INDEX(Lista_Pedidos,CY139+CA139-1,CQ139),"")),"")</f>
        <v/>
      </c>
      <c r="CR145" s="526" t="str">
        <f>IFERROR(IF(IF(CZ139&gt;CA139-1,INDEX(Lista_Pedidos,CY139+CA139-1,CR139),"")=0,"",IF(CZ139&gt;CA139-1,INDEX(Lista_Pedidos,CY139+CA139-1,CR139),"")),"")</f>
        <v/>
      </c>
      <c r="CS145" s="526" t="str">
        <f>IFERROR(IF(IF(CZ139&gt;CA139-1,INDEX(Lista_Pedidos,CY139+CA139-1,CS139),"")=0,"",IF(CZ139&gt;CA139-1,INDEX(Lista_Pedidos,CY139+CA139-1,CS139),"")),"")</f>
        <v/>
      </c>
      <c r="CT145" s="526" t="str">
        <f>IFERROR(IF(IF(CZ139&gt;CA139-1,INDEX(Lista_Pedidos,CY139+CA139-1,CT139),"")=0,"",IF(CZ139&gt;CA139-1,INDEX(Lista_Pedidos,CY139+CA139-1,CT139),"")),"")</f>
        <v/>
      </c>
      <c r="CU145" s="526" t="str">
        <f>IFERROR(IF(IF(CZ139&gt;CA139-1,INDEX(Lista_Pedidos,CY139+CA139-1,CU139),"")=0,"",IF(CZ139&gt;CA139-1,INDEX(Lista_Pedidos,CY139+CA139-1,CU139),"")),"")</f>
        <v/>
      </c>
      <c r="CV145" s="526" t="str">
        <f>IFERROR(IF(IF(CZ139&gt;CA139-1,INDEX(Lista_Pedidos,CY139+CA139-1,CV139),"")=0,"",IF(CZ139&gt;CA139-1,INDEX(Lista_Pedidos,CY139+CA139-1,CV139),"")),"")</f>
        <v/>
      </c>
      <c r="CW145" s="857" t="str">
        <f>IF(SUM(CJ145:CV145)&gt;1,SUM(CJ145:CV145),"")</f>
        <v/>
      </c>
      <c r="CX145" s="855"/>
      <c r="CY145" s="855"/>
      <c r="CZ145" s="860"/>
      <c r="DA145" s="854" t="str">
        <f>IFERROR(INDEX(Lista_Pedidos,Procesos!DY139+DA139-1,3),"")</f>
        <v/>
      </c>
      <c r="DB145" s="855"/>
      <c r="DC145" s="855"/>
      <c r="DD145" s="855"/>
      <c r="DE145" s="856"/>
      <c r="DF145" s="857" t="str">
        <f>IF(DZ139&gt;DA139-1,DE$11,"")</f>
        <v/>
      </c>
      <c r="DG145" s="855"/>
      <c r="DH145" s="855"/>
      <c r="DI145" s="856"/>
      <c r="DJ145" s="526" t="str">
        <f>IFERROR(IF(IF(DZ139&gt;DA139-1,INDEX(Lista_Pedidos,DY139+DA139-1,DJ139),"")=0,"",IF(DZ139&gt;DA139-1,INDEX(Lista_Pedidos,DY139+DA139-1,DJ139),"")),"")</f>
        <v/>
      </c>
      <c r="DK145" s="526" t="str">
        <f>IFERROR(IF(IF(DZ139&gt;DA139-1,INDEX(Lista_Pedidos,DY139+DA139-1,DK139),"")=0,"",IF(DZ139&gt;DA139-1,INDEX(Lista_Pedidos,DY139+DA139-1,DK139),"")),"")</f>
        <v/>
      </c>
      <c r="DL145" s="526" t="str">
        <f>IFERROR(IF(IF(DZ139&gt;DA139-1,INDEX(Lista_Pedidos,DY139+DA139-1,DL139),"")=0,"",IF(DZ139&gt;DA139-1,INDEX(Lista_Pedidos,DY139+DA139-1,DL139),"")),"")</f>
        <v/>
      </c>
      <c r="DM145" s="526" t="str">
        <f>IFERROR(IF(IF(DZ139&gt;DA139-1,INDEX(Lista_Pedidos,DY139+DA139-1,DM139),"")=0,"",IF(DZ139&gt;DA139-1,INDEX(Lista_Pedidos,DY139+DA139-1,DM139),"")),"")</f>
        <v/>
      </c>
      <c r="DN145" s="526" t="str">
        <f>IFERROR(IF(IF(DZ139&gt;DA139-1,INDEX(Lista_Pedidos,DY139+DA139-1,DN139),"")=0,"",IF(DZ139&gt;DA139-1,INDEX(Lista_Pedidos,DY139+DA139-1,DN139),"")),"")</f>
        <v/>
      </c>
      <c r="DO145" s="526" t="str">
        <f>IFERROR(IF(IF(DZ139&gt;DA139-1,INDEX(Lista_Pedidos,DY139+DA139-1,DO139),"")=0,"",IF(DZ139&gt;DA139-1,INDEX(Lista_Pedidos,DY139+DA139-1,DO139),"")),"")</f>
        <v/>
      </c>
      <c r="DP145" s="526" t="str">
        <f>IFERROR(IF(IF(DZ139&gt;DA139-1,INDEX(Lista_Pedidos,DY139+DA139-1,DP139),"")=0,"",IF(DZ139&gt;DA139-1,INDEX(Lista_Pedidos,DY139+DA139-1,DP139),"")),"")</f>
        <v/>
      </c>
      <c r="DQ145" s="526" t="str">
        <f>IFERROR(IF(IF(DZ139&gt;DA139-1,INDEX(Lista_Pedidos,DY139+DA139-1,DQ139),"")=0,"",IF(DZ139&gt;DA139-1,INDEX(Lista_Pedidos,DY139+DA139-1,DQ139),"")),"")</f>
        <v/>
      </c>
      <c r="DR145" s="526" t="str">
        <f>IFERROR(IF(IF(DZ139&gt;DA139-1,INDEX(Lista_Pedidos,DY139+DA139-1,DR139),"")=0,"",IF(DZ139&gt;DA139-1,INDEX(Lista_Pedidos,DY139+DA139-1,DR139),"")),"")</f>
        <v/>
      </c>
      <c r="DS145" s="526" t="str">
        <f>IFERROR(IF(IF(DZ139&gt;DA139-1,INDEX(Lista_Pedidos,DY139+DA139-1,DS139),"")=0,"",IF(DZ139&gt;DA139-1,INDEX(Lista_Pedidos,DY139+DA139-1,DS139),"")),"")</f>
        <v/>
      </c>
      <c r="DT145" s="526" t="str">
        <f>IFERROR(IF(IF(DZ139&gt;DA139-1,INDEX(Lista_Pedidos,DY139+DA139-1,DT139),"")=0,"",IF(DZ139&gt;DA139-1,INDEX(Lista_Pedidos,DY139+DA139-1,DT139),"")),"")</f>
        <v/>
      </c>
      <c r="DU145" s="526" t="str">
        <f>IFERROR(IF(IF(DZ139&gt;DA139-1,INDEX(Lista_Pedidos,DY139+DA139-1,DU139),"")=0,"",IF(DZ139&gt;DA139-1,INDEX(Lista_Pedidos,DY139+DA139-1,DU139),"")),"")</f>
        <v/>
      </c>
      <c r="DV145" s="526" t="str">
        <f>IFERROR(IF(IF(DZ139&gt;DA139-1,INDEX(Lista_Pedidos,DY139+DA139-1,DV139),"")=0,"",IF(DZ139&gt;DA139-1,INDEX(Lista_Pedidos,DY139+DA139-1,DV139),"")),"")</f>
        <v/>
      </c>
      <c r="DW145" s="857" t="str">
        <f>IF(SUM(DJ145:DV145)&gt;1,SUM(DJ145:DV145),"")</f>
        <v/>
      </c>
      <c r="DX145" s="855"/>
      <c r="DY145" s="855"/>
      <c r="DZ145" s="860"/>
      <c r="EA145" s="854" t="str">
        <f>IFERROR(INDEX(Lista_Pedidos,Procesos!EY139+EA139-1,3),"")</f>
        <v/>
      </c>
      <c r="EB145" s="855"/>
      <c r="EC145" s="855"/>
      <c r="ED145" s="855"/>
      <c r="EE145" s="856"/>
      <c r="EF145" s="857" t="str">
        <f>IF(EZ139&gt;EA139-1,EE$11,"")</f>
        <v/>
      </c>
      <c r="EG145" s="855"/>
      <c r="EH145" s="855"/>
      <c r="EI145" s="856"/>
      <c r="EJ145" s="526" t="str">
        <f>IFERROR(IF(IF(EZ139&gt;EA139-1,INDEX(Lista_Pedidos,EY139+EA139-1,EJ139),"")=0,"",IF(EZ139&gt;EA139-1,INDEX(Lista_Pedidos,EY139+EA139-1,EJ139),"")),"")</f>
        <v/>
      </c>
      <c r="EK145" s="526" t="str">
        <f>IFERROR(IF(IF(EZ139&gt;EA139-1,INDEX(Lista_Pedidos,EY139+EA139-1,EK139),"")=0,"",IF(EZ139&gt;EA139-1,INDEX(Lista_Pedidos,EY139+EA139-1,EK139),"")),"")</f>
        <v/>
      </c>
      <c r="EL145" s="526" t="str">
        <f>IFERROR(IF(IF(EZ139&gt;EA139-1,INDEX(Lista_Pedidos,EY139+EA139-1,EL139),"")=0,"",IF(EZ139&gt;EA139-1,INDEX(Lista_Pedidos,EY139+EA139-1,EL139),"")),"")</f>
        <v/>
      </c>
      <c r="EM145" s="526" t="str">
        <f>IFERROR(IF(IF(EZ139&gt;EA139-1,INDEX(Lista_Pedidos,EY139+EA139-1,EM139),"")=0,"",IF(EZ139&gt;EA139-1,INDEX(Lista_Pedidos,EY139+EA139-1,EM139),"")),"")</f>
        <v/>
      </c>
      <c r="EN145" s="526" t="str">
        <f>IFERROR(IF(IF(EZ139&gt;EA139-1,INDEX(Lista_Pedidos,EY139+EA139-1,EN139),"")=0,"",IF(EZ139&gt;EA139-1,INDEX(Lista_Pedidos,EY139+EA139-1,EN139),"")),"")</f>
        <v/>
      </c>
      <c r="EO145" s="526" t="str">
        <f>IFERROR(IF(IF(EZ139&gt;EA139-1,INDEX(Lista_Pedidos,EY139+EA139-1,EO139),"")=0,"",IF(EZ139&gt;EA139-1,INDEX(Lista_Pedidos,EY139+EA139-1,EO139),"")),"")</f>
        <v/>
      </c>
      <c r="EP145" s="526" t="str">
        <f>IFERROR(IF(IF(EZ139&gt;EA139-1,INDEX(Lista_Pedidos,EY139+EA139-1,EP139),"")=0,"",IF(EZ139&gt;EA139-1,INDEX(Lista_Pedidos,EY139+EA139-1,EP139),"")),"")</f>
        <v/>
      </c>
      <c r="EQ145" s="526" t="str">
        <f>IFERROR(IF(IF(EZ139&gt;EA139-1,INDEX(Lista_Pedidos,EY139+EA139-1,EQ139),"")=0,"",IF(EZ139&gt;EA139-1,INDEX(Lista_Pedidos,EY139+EA139-1,EQ139),"")),"")</f>
        <v/>
      </c>
      <c r="ER145" s="526" t="str">
        <f>IFERROR(IF(IF(EZ139&gt;EA139-1,INDEX(Lista_Pedidos,EY139+EA139-1,ER139),"")=0,"",IF(EZ139&gt;EA139-1,INDEX(Lista_Pedidos,EY139+EA139-1,ER139),"")),"")</f>
        <v/>
      </c>
      <c r="ES145" s="526" t="str">
        <f>IFERROR(IF(IF(EZ139&gt;EA139-1,INDEX(Lista_Pedidos,EY139+EA139-1,ES139),"")=0,"",IF(EZ139&gt;EA139-1,INDEX(Lista_Pedidos,EY139+EA139-1,ES139),"")),"")</f>
        <v/>
      </c>
      <c r="ET145" s="526" t="str">
        <f>IFERROR(IF(IF(EZ139&gt;EA139-1,INDEX(Lista_Pedidos,EY139+EA139-1,ET139),"")=0,"",IF(EZ139&gt;EA139-1,INDEX(Lista_Pedidos,EY139+EA139-1,ET139),"")),"")</f>
        <v/>
      </c>
      <c r="EU145" s="526" t="str">
        <f>IFERROR(IF(IF(EZ139&gt;EA139-1,INDEX(Lista_Pedidos,EY139+EA139-1,EU139),"")=0,"",IF(EZ139&gt;EA139-1,INDEX(Lista_Pedidos,EY139+EA139-1,EU139),"")),"")</f>
        <v/>
      </c>
      <c r="EV145" s="526" t="str">
        <f>IFERROR(IF(IF(EZ139&gt;EA139-1,INDEX(Lista_Pedidos,EY139+EA139-1,EV139),"")=0,"",IF(EZ139&gt;EA139-1,INDEX(Lista_Pedidos,EY139+EA139-1,EV139),"")),"")</f>
        <v/>
      </c>
      <c r="EW145" s="857" t="str">
        <f>IF(SUM(EJ145:EV145)&gt;1,SUM(EJ145:EV145),"")</f>
        <v/>
      </c>
      <c r="EX145" s="855"/>
      <c r="EY145" s="855"/>
      <c r="EZ145" s="860"/>
      <c r="FA145" s="854" t="str">
        <f>IFERROR(INDEX(Lista_Pedidos,Procesos!FY139+FA139-1,3),"")</f>
        <v/>
      </c>
      <c r="FB145" s="855"/>
      <c r="FC145" s="855"/>
      <c r="FD145" s="855"/>
      <c r="FE145" s="856"/>
      <c r="FF145" s="857" t="str">
        <f>IF(FZ139&gt;FA139-1,FE$11,"")</f>
        <v/>
      </c>
      <c r="FG145" s="855"/>
      <c r="FH145" s="855"/>
      <c r="FI145" s="856"/>
      <c r="FJ145" s="526" t="str">
        <f>IFERROR(IF(IF(FZ139&gt;FA139-1,INDEX(Lista_Pedidos,FY139+FA139-1,FJ139),"")=0,"",IF(FZ139&gt;FA139-1,INDEX(Lista_Pedidos,FY139+FA139-1,FJ139),"")),"")</f>
        <v/>
      </c>
      <c r="FK145" s="526" t="str">
        <f>IFERROR(IF(IF(FZ139&gt;FA139-1,INDEX(Lista_Pedidos,FY139+FA139-1,FK139),"")=0,"",IF(FZ139&gt;FA139-1,INDEX(Lista_Pedidos,FY139+FA139-1,FK139),"")),"")</f>
        <v/>
      </c>
      <c r="FL145" s="526" t="str">
        <f>IFERROR(IF(IF(FZ139&gt;FA139-1,INDEX(Lista_Pedidos,FY139+FA139-1,FL139),"")=0,"",IF(FZ139&gt;FA139-1,INDEX(Lista_Pedidos,FY139+FA139-1,FL139),"")),"")</f>
        <v/>
      </c>
      <c r="FM145" s="526" t="str">
        <f>IFERROR(IF(IF(FZ139&gt;FA139-1,INDEX(Lista_Pedidos,FY139+FA139-1,FM139),"")=0,"",IF(FZ139&gt;FA139-1,INDEX(Lista_Pedidos,FY139+FA139-1,FM139),"")),"")</f>
        <v/>
      </c>
      <c r="FN145" s="526" t="str">
        <f>IFERROR(IF(IF(FZ139&gt;FA139-1,INDEX(Lista_Pedidos,FY139+FA139-1,FN139),"")=0,"",IF(FZ139&gt;FA139-1,INDEX(Lista_Pedidos,FY139+FA139-1,FN139),"")),"")</f>
        <v/>
      </c>
      <c r="FO145" s="526" t="str">
        <f>IFERROR(IF(IF(FZ139&gt;FA139-1,INDEX(Lista_Pedidos,FY139+FA139-1,FO139),"")=0,"",IF(FZ139&gt;FA139-1,INDEX(Lista_Pedidos,FY139+FA139-1,FO139),"")),"")</f>
        <v/>
      </c>
      <c r="FP145" s="526" t="str">
        <f>IFERROR(IF(IF(FZ139&gt;FA139-1,INDEX(Lista_Pedidos,FY139+FA139-1,FP139),"")=0,"",IF(FZ139&gt;FA139-1,INDEX(Lista_Pedidos,FY139+FA139-1,FP139),"")),"")</f>
        <v/>
      </c>
      <c r="FQ145" s="526" t="str">
        <f>IFERROR(IF(IF(FZ139&gt;FA139-1,INDEX(Lista_Pedidos,FY139+FA139-1,FQ139),"")=0,"",IF(FZ139&gt;FA139-1,INDEX(Lista_Pedidos,FY139+FA139-1,FQ139),"")),"")</f>
        <v/>
      </c>
      <c r="FR145" s="526" t="str">
        <f>IFERROR(IF(IF(FZ139&gt;FA139-1,INDEX(Lista_Pedidos,FY139+FA139-1,FR139),"")=0,"",IF(FZ139&gt;FA139-1,INDEX(Lista_Pedidos,FY139+FA139-1,FR139),"")),"")</f>
        <v/>
      </c>
      <c r="FS145" s="526" t="str">
        <f>IFERROR(IF(IF(FZ139&gt;FA139-1,INDEX(Lista_Pedidos,FY139+FA139-1,FS139),"")=0,"",IF(FZ139&gt;FA139-1,INDEX(Lista_Pedidos,FY139+FA139-1,FS139),"")),"")</f>
        <v/>
      </c>
      <c r="FT145" s="526" t="str">
        <f>IFERROR(IF(IF(FZ139&gt;FA139-1,INDEX(Lista_Pedidos,FY139+FA139-1,FT139),"")=0,"",IF(FZ139&gt;FA139-1,INDEX(Lista_Pedidos,FY139+FA139-1,FT139),"")),"")</f>
        <v/>
      </c>
      <c r="FU145" s="526" t="str">
        <f>IFERROR(IF(IF(FZ139&gt;FA139-1,INDEX(Lista_Pedidos,FY139+FA139-1,FU139),"")=0,"",IF(FZ139&gt;FA139-1,INDEX(Lista_Pedidos,FY139+FA139-1,FU139),"")),"")</f>
        <v/>
      </c>
      <c r="FV145" s="526" t="str">
        <f>IFERROR(IF(IF(FZ139&gt;FA139-1,INDEX(Lista_Pedidos,FY139+FA139-1,FV139),"")=0,"",IF(FZ139&gt;FA139-1,INDEX(Lista_Pedidos,FY139+FA139-1,FV139),"")),"")</f>
        <v/>
      </c>
      <c r="FW145" s="857" t="str">
        <f>IF(SUM(FJ145:FV145)&gt;1,SUM(FJ145:FV145),"")</f>
        <v/>
      </c>
      <c r="FX145" s="855"/>
      <c r="FY145" s="855"/>
      <c r="FZ145" s="860"/>
      <c r="GA145" s="854" t="str">
        <f>IFERROR(INDEX(Lista_Pedidos,Procesos!GY139+GA139-1,3),"")</f>
        <v/>
      </c>
      <c r="GB145" s="855"/>
      <c r="GC145" s="855"/>
      <c r="GD145" s="855"/>
      <c r="GE145" s="856"/>
      <c r="GF145" s="857" t="str">
        <f>IF(GZ139&gt;GA139-1,GE$11,"")</f>
        <v/>
      </c>
      <c r="GG145" s="855"/>
      <c r="GH145" s="855"/>
      <c r="GI145" s="856"/>
      <c r="GJ145" s="526" t="str">
        <f>IFERROR(IF(IF(GZ139&gt;GA139-1,INDEX(Lista_Pedidos,GY139+GA139-1,GJ139),"")=0,"",IF(GZ139&gt;GA139-1,INDEX(Lista_Pedidos,GY139+GA139-1,GJ139),"")),"")</f>
        <v/>
      </c>
      <c r="GK145" s="526" t="str">
        <f>IFERROR(IF(IF(GZ139&gt;GA139-1,INDEX(Lista_Pedidos,GY139+GA139-1,GK139),"")=0,"",IF(GZ139&gt;GA139-1,INDEX(Lista_Pedidos,GY139+GA139-1,GK139),"")),"")</f>
        <v/>
      </c>
      <c r="GL145" s="526" t="str">
        <f>IFERROR(IF(IF(GZ139&gt;GA139-1,INDEX(Lista_Pedidos,GY139+GA139-1,GL139),"")=0,"",IF(GZ139&gt;GA139-1,INDEX(Lista_Pedidos,GY139+GA139-1,GL139),"")),"")</f>
        <v/>
      </c>
      <c r="GM145" s="526" t="str">
        <f>IFERROR(IF(IF(GZ139&gt;GA139-1,INDEX(Lista_Pedidos,GY139+GA139-1,GM139),"")=0,"",IF(GZ139&gt;GA139-1,INDEX(Lista_Pedidos,GY139+GA139-1,GM139),"")),"")</f>
        <v/>
      </c>
      <c r="GN145" s="526" t="str">
        <f>IFERROR(IF(IF(GZ139&gt;GA139-1,INDEX(Lista_Pedidos,GY139+GA139-1,GN139),"")=0,"",IF(GZ139&gt;GA139-1,INDEX(Lista_Pedidos,GY139+GA139-1,GN139),"")),"")</f>
        <v/>
      </c>
      <c r="GO145" s="526" t="str">
        <f>IFERROR(IF(IF(GZ139&gt;GA139-1,INDEX(Lista_Pedidos,GY139+GA139-1,GO139),"")=0,"",IF(GZ139&gt;GA139-1,INDEX(Lista_Pedidos,GY139+GA139-1,GO139),"")),"")</f>
        <v/>
      </c>
      <c r="GP145" s="526" t="str">
        <f>IFERROR(IF(IF(GZ139&gt;GA139-1,INDEX(Lista_Pedidos,GY139+GA139-1,GP139),"")=0,"",IF(GZ139&gt;GA139-1,INDEX(Lista_Pedidos,GY139+GA139-1,GP139),"")),"")</f>
        <v/>
      </c>
      <c r="GQ145" s="526" t="str">
        <f>IFERROR(IF(IF(GZ139&gt;GA139-1,INDEX(Lista_Pedidos,GY139+GA139-1,GQ139),"")=0,"",IF(GZ139&gt;GA139-1,INDEX(Lista_Pedidos,GY139+GA139-1,GQ139),"")),"")</f>
        <v/>
      </c>
      <c r="GR145" s="526" t="str">
        <f>IFERROR(IF(IF(GZ139&gt;GA139-1,INDEX(Lista_Pedidos,GY139+GA139-1,GR139),"")=0,"",IF(GZ139&gt;GA139-1,INDEX(Lista_Pedidos,GY139+GA139-1,GR139),"")),"")</f>
        <v/>
      </c>
      <c r="GS145" s="526" t="str">
        <f>IFERROR(IF(IF(GZ139&gt;GA139-1,INDEX(Lista_Pedidos,GY139+GA139-1,GS139),"")=0,"",IF(GZ139&gt;GA139-1,INDEX(Lista_Pedidos,GY139+GA139-1,GS139),"")),"")</f>
        <v/>
      </c>
      <c r="GT145" s="526" t="str">
        <f>IFERROR(IF(IF(GZ139&gt;GA139-1,INDEX(Lista_Pedidos,GY139+GA139-1,GT139),"")=0,"",IF(GZ139&gt;GA139-1,INDEX(Lista_Pedidos,GY139+GA139-1,GT139),"")),"")</f>
        <v/>
      </c>
      <c r="GU145" s="526" t="str">
        <f>IFERROR(IF(IF(GZ139&gt;GA139-1,INDEX(Lista_Pedidos,GY139+GA139-1,GU139),"")=0,"",IF(GZ139&gt;GA139-1,INDEX(Lista_Pedidos,GY139+GA139-1,GU139),"")),"")</f>
        <v/>
      </c>
      <c r="GV145" s="526" t="str">
        <f>IFERROR(IF(IF(GZ139&gt;GA139-1,INDEX(Lista_Pedidos,GY139+GA139-1,GV139),"")=0,"",IF(GZ139&gt;GA139-1,INDEX(Lista_Pedidos,GY139+GA139-1,GV139),"")),"")</f>
        <v/>
      </c>
      <c r="GW145" s="857" t="str">
        <f>IF(SUM(GJ145:GV145)&gt;1,SUM(GJ145:GV145),"")</f>
        <v/>
      </c>
      <c r="GX145" s="855"/>
      <c r="GY145" s="855"/>
      <c r="GZ145" s="860"/>
      <c r="HA145" s="854" t="str">
        <f>IFERROR(INDEX(Lista_Pedidos,Procesos!HY139+HA139-1,3),"")</f>
        <v/>
      </c>
      <c r="HB145" s="855"/>
      <c r="HC145" s="855"/>
      <c r="HD145" s="855"/>
      <c r="HE145" s="856"/>
      <c r="HF145" s="857" t="str">
        <f>IF(HZ139&gt;HA139-1,HE$11,"")</f>
        <v/>
      </c>
      <c r="HG145" s="855"/>
      <c r="HH145" s="855"/>
      <c r="HI145" s="856"/>
      <c r="HJ145" s="526" t="str">
        <f>IFERROR(IF(IF(HZ139&gt;HA139-1,INDEX(Lista_Pedidos,HY139+HA139-1,HJ139),"")=0,"",IF(HZ139&gt;HA139-1,INDEX(Lista_Pedidos,HY139+HA139-1,HJ139),"")),"")</f>
        <v/>
      </c>
      <c r="HK145" s="526" t="str">
        <f>IFERROR(IF(IF(HZ139&gt;HA139-1,INDEX(Lista_Pedidos,HY139+HA139-1,HK139),"")=0,"",IF(HZ139&gt;HA139-1,INDEX(Lista_Pedidos,HY139+HA139-1,HK139),"")),"")</f>
        <v/>
      </c>
      <c r="HL145" s="526" t="str">
        <f>IFERROR(IF(IF(HZ139&gt;HA139-1,INDEX(Lista_Pedidos,HY139+HA139-1,HL139),"")=0,"",IF(HZ139&gt;HA139-1,INDEX(Lista_Pedidos,HY139+HA139-1,HL139),"")),"")</f>
        <v/>
      </c>
      <c r="HM145" s="526" t="str">
        <f>IFERROR(IF(IF(HZ139&gt;HA139-1,INDEX(Lista_Pedidos,HY139+HA139-1,HM139),"")=0,"",IF(HZ139&gt;HA139-1,INDEX(Lista_Pedidos,HY139+HA139-1,HM139),"")),"")</f>
        <v/>
      </c>
      <c r="HN145" s="526" t="str">
        <f>IFERROR(IF(IF(HZ139&gt;HA139-1,INDEX(Lista_Pedidos,HY139+HA139-1,HN139),"")=0,"",IF(HZ139&gt;HA139-1,INDEX(Lista_Pedidos,HY139+HA139-1,HN139),"")),"")</f>
        <v/>
      </c>
      <c r="HO145" s="526" t="str">
        <f>IFERROR(IF(IF(HZ139&gt;HA139-1,INDEX(Lista_Pedidos,HY139+HA139-1,HO139),"")=0,"",IF(HZ139&gt;HA139-1,INDEX(Lista_Pedidos,HY139+HA139-1,HO139),"")),"")</f>
        <v/>
      </c>
      <c r="HP145" s="526" t="str">
        <f>IFERROR(IF(IF(HZ139&gt;HA139-1,INDEX(Lista_Pedidos,HY139+HA139-1,HP139),"")=0,"",IF(HZ139&gt;HA139-1,INDEX(Lista_Pedidos,HY139+HA139-1,HP139),"")),"")</f>
        <v/>
      </c>
      <c r="HQ145" s="526" t="str">
        <f>IFERROR(IF(IF(HZ139&gt;HA139-1,INDEX(Lista_Pedidos,HY139+HA139-1,HQ139),"")=0,"",IF(HZ139&gt;HA139-1,INDEX(Lista_Pedidos,HY139+HA139-1,HQ139),"")),"")</f>
        <v/>
      </c>
      <c r="HR145" s="526" t="str">
        <f>IFERROR(IF(IF(HZ139&gt;HA139-1,INDEX(Lista_Pedidos,HY139+HA139-1,HR139),"")=0,"",IF(HZ139&gt;HA139-1,INDEX(Lista_Pedidos,HY139+HA139-1,HR139),"")),"")</f>
        <v/>
      </c>
      <c r="HS145" s="526" t="str">
        <f>IFERROR(IF(IF(HZ139&gt;HA139-1,INDEX(Lista_Pedidos,HY139+HA139-1,HS139),"")=0,"",IF(HZ139&gt;HA139-1,INDEX(Lista_Pedidos,HY139+HA139-1,HS139),"")),"")</f>
        <v/>
      </c>
      <c r="HT145" s="526" t="str">
        <f>IFERROR(IF(IF(HZ139&gt;HA139-1,INDEX(Lista_Pedidos,HY139+HA139-1,HT139),"")=0,"",IF(HZ139&gt;HA139-1,INDEX(Lista_Pedidos,HY139+HA139-1,HT139),"")),"")</f>
        <v/>
      </c>
      <c r="HU145" s="526" t="str">
        <f>IFERROR(IF(IF(HZ139&gt;HA139-1,INDEX(Lista_Pedidos,HY139+HA139-1,HU139),"")=0,"",IF(HZ139&gt;HA139-1,INDEX(Lista_Pedidos,HY139+HA139-1,HU139),"")),"")</f>
        <v/>
      </c>
      <c r="HV145" s="526" t="str">
        <f>IFERROR(IF(IF(HZ139&gt;HA139-1,INDEX(Lista_Pedidos,HY139+HA139-1,HV139),"")=0,"",IF(HZ139&gt;HA139-1,INDEX(Lista_Pedidos,HY139+HA139-1,HV139),"")),"")</f>
        <v/>
      </c>
      <c r="HW145" s="857" t="str">
        <f>IF(SUM(HJ145:HV145)&gt;1,SUM(HJ145:HV145),"")</f>
        <v/>
      </c>
      <c r="HX145" s="855"/>
      <c r="HY145" s="855"/>
      <c r="HZ145" s="860"/>
      <c r="IA145" s="854" t="str">
        <f>IFERROR(INDEX(Lista_Pedidos,Procesos!IY139+IA139-1,3),"")</f>
        <v/>
      </c>
      <c r="IB145" s="855"/>
      <c r="IC145" s="855"/>
      <c r="ID145" s="855"/>
      <c r="IE145" s="856"/>
      <c r="IF145" s="857" t="str">
        <f>IF(IZ139&gt;IA139-1,IE$11,"")</f>
        <v/>
      </c>
      <c r="IG145" s="855"/>
      <c r="IH145" s="855"/>
      <c r="II145" s="856"/>
      <c r="IJ145" s="526" t="str">
        <f>IFERROR(IF(IF(IZ139&gt;IA139-1,INDEX(Lista_Pedidos,IY139+IA139-1,IJ139),"")=0,"",IF(IZ139&gt;IA139-1,INDEX(Lista_Pedidos,IY139+IA139-1,IJ139),"")),"")</f>
        <v/>
      </c>
      <c r="IK145" s="526" t="str">
        <f>IFERROR(IF(IF(IZ139&gt;IA139-1,INDEX(Lista_Pedidos,IY139+IA139-1,IK139),"")=0,"",IF(IZ139&gt;IA139-1,INDEX(Lista_Pedidos,IY139+IA139-1,IK139),"")),"")</f>
        <v/>
      </c>
      <c r="IL145" s="526" t="str">
        <f>IFERROR(IF(IF(IZ139&gt;IA139-1,INDEX(Lista_Pedidos,IY139+IA139-1,IL139),"")=0,"",IF(IZ139&gt;IA139-1,INDEX(Lista_Pedidos,IY139+IA139-1,IL139),"")),"")</f>
        <v/>
      </c>
      <c r="IM145" s="526" t="str">
        <f>IFERROR(IF(IF(IZ139&gt;IA139-1,INDEX(Lista_Pedidos,IY139+IA139-1,IM139),"")=0,"",IF(IZ139&gt;IA139-1,INDEX(Lista_Pedidos,IY139+IA139-1,IM139),"")),"")</f>
        <v/>
      </c>
      <c r="IN145" s="526" t="str">
        <f>IFERROR(IF(IF(IZ139&gt;IA139-1,INDEX(Lista_Pedidos,IY139+IA139-1,IN139),"")=0,"",IF(IZ139&gt;IA139-1,INDEX(Lista_Pedidos,IY139+IA139-1,IN139),"")),"")</f>
        <v/>
      </c>
      <c r="IO145" s="526" t="str">
        <f>IFERROR(IF(IF(IZ139&gt;IA139-1,INDEX(Lista_Pedidos,IY139+IA139-1,IO139),"")=0,"",IF(IZ139&gt;IA139-1,INDEX(Lista_Pedidos,IY139+IA139-1,IO139),"")),"")</f>
        <v/>
      </c>
      <c r="IP145" s="526" t="str">
        <f>IFERROR(IF(IF(IZ139&gt;IA139-1,INDEX(Lista_Pedidos,IY139+IA139-1,IP139),"")=0,"",IF(IZ139&gt;IA139-1,INDEX(Lista_Pedidos,IY139+IA139-1,IP139),"")),"")</f>
        <v/>
      </c>
      <c r="IQ145" s="526" t="str">
        <f>IFERROR(IF(IF(IZ139&gt;IA139-1,INDEX(Lista_Pedidos,IY139+IA139-1,IQ139),"")=0,"",IF(IZ139&gt;IA139-1,INDEX(Lista_Pedidos,IY139+IA139-1,IQ139),"")),"")</f>
        <v/>
      </c>
      <c r="IR145" s="526" t="str">
        <f>IFERROR(IF(IF(IZ139&gt;IA139-1,INDEX(Lista_Pedidos,IY139+IA139-1,IR139),"")=0,"",IF(IZ139&gt;IA139-1,INDEX(Lista_Pedidos,IY139+IA139-1,IR139),"")),"")</f>
        <v/>
      </c>
      <c r="IS145" s="526" t="str">
        <f>IFERROR(IF(IF(IZ139&gt;IA139-1,INDEX(Lista_Pedidos,IY139+IA139-1,IS139),"")=0,"",IF(IZ139&gt;IA139-1,INDEX(Lista_Pedidos,IY139+IA139-1,IS139),"")),"")</f>
        <v/>
      </c>
      <c r="IT145" s="526" t="str">
        <f>IFERROR(IF(IF(IZ139&gt;IA139-1,INDEX(Lista_Pedidos,IY139+IA139-1,IT139),"")=0,"",IF(IZ139&gt;IA139-1,INDEX(Lista_Pedidos,IY139+IA139-1,IT139),"")),"")</f>
        <v/>
      </c>
      <c r="IU145" s="526" t="str">
        <f>IFERROR(IF(IF(IZ139&gt;IA139-1,INDEX(Lista_Pedidos,IY139+IA139-1,IU139),"")=0,"",IF(IZ139&gt;IA139-1,INDEX(Lista_Pedidos,IY139+IA139-1,IU139),"")),"")</f>
        <v/>
      </c>
      <c r="IV145" s="526" t="str">
        <f>IFERROR(IF(IF(IZ139&gt;IA139-1,INDEX(Lista_Pedidos,IY139+IA139-1,IV139),"")=0,"",IF(IZ139&gt;IA139-1,INDEX(Lista_Pedidos,IY139+IA139-1,IV139),"")),"")</f>
        <v/>
      </c>
      <c r="IW145" s="857" t="str">
        <f>IF(SUM(IJ145:IV145)&gt;1,SUM(IJ145:IV145),"")</f>
        <v/>
      </c>
      <c r="IX145" s="855"/>
      <c r="IY145" s="855"/>
      <c r="IZ145" s="860"/>
    </row>
    <row r="146" spans="1:260" x14ac:dyDescent="0.25">
      <c r="A146" s="823"/>
      <c r="B146" s="824"/>
      <c r="C146" s="824"/>
      <c r="D146" s="824"/>
      <c r="E146" s="824"/>
      <c r="F146" s="824"/>
      <c r="G146" s="824"/>
      <c r="H146" s="824"/>
      <c r="I146" s="824"/>
      <c r="J146" s="824"/>
      <c r="K146" s="824"/>
      <c r="L146" s="824"/>
      <c r="M146" s="824"/>
      <c r="N146" s="824"/>
      <c r="O146" s="824"/>
      <c r="P146" s="824"/>
      <c r="Q146" s="824"/>
      <c r="R146" s="824"/>
      <c r="S146" s="824"/>
      <c r="T146" s="824"/>
      <c r="U146" s="824"/>
      <c r="V146" s="824"/>
      <c r="W146" s="824" t="str">
        <f>IFERROR(IF(Z139&gt;A139-1,IF(INDEX(Lista_Pedidos,Y139+A139-1,2)&lt;&gt;"",INDEX(Lista_Pedidos,Y139+A139-1,2),""),""),"")</f>
        <v/>
      </c>
      <c r="X146" s="824"/>
      <c r="Y146" s="824"/>
      <c r="Z146" s="825"/>
      <c r="AA146" s="823"/>
      <c r="AB146" s="824"/>
      <c r="AC146" s="824"/>
      <c r="AD146" s="824"/>
      <c r="AE146" s="824"/>
      <c r="AF146" s="824"/>
      <c r="AG146" s="824"/>
      <c r="AH146" s="824"/>
      <c r="AI146" s="824"/>
      <c r="AJ146" s="824"/>
      <c r="AK146" s="824"/>
      <c r="AL146" s="824"/>
      <c r="AM146" s="824"/>
      <c r="AN146" s="824"/>
      <c r="AO146" s="824"/>
      <c r="AP146" s="824"/>
      <c r="AQ146" s="824"/>
      <c r="AR146" s="824"/>
      <c r="AS146" s="824"/>
      <c r="AT146" s="824"/>
      <c r="AU146" s="824"/>
      <c r="AV146" s="824"/>
      <c r="AW146" s="824" t="str">
        <f>IFERROR(IF(AZ139&gt;AA139-1,IF(INDEX(Lista_Pedidos,AY139+AA139-1,2)&lt;&gt;"",INDEX(Lista_Pedidos,AY139+AA139-1,2),""),""),"")</f>
        <v/>
      </c>
      <c r="AX146" s="824"/>
      <c r="AY146" s="824"/>
      <c r="AZ146" s="825"/>
      <c r="BA146" s="823"/>
      <c r="BB146" s="824"/>
      <c r="BC146" s="824"/>
      <c r="BD146" s="824"/>
      <c r="BE146" s="824"/>
      <c r="BF146" s="824"/>
      <c r="BG146" s="824"/>
      <c r="BH146" s="824"/>
      <c r="BI146" s="824"/>
      <c r="BJ146" s="824"/>
      <c r="BK146" s="824"/>
      <c r="BL146" s="824"/>
      <c r="BM146" s="824"/>
      <c r="BN146" s="824"/>
      <c r="BO146" s="824"/>
      <c r="BP146" s="824"/>
      <c r="BQ146" s="824"/>
      <c r="BR146" s="824"/>
      <c r="BS146" s="824"/>
      <c r="BT146" s="824"/>
      <c r="BU146" s="824"/>
      <c r="BV146" s="824"/>
      <c r="BW146" s="824" t="str">
        <f>IFERROR(IF(BZ139&gt;BA139-1,IF(INDEX(Lista_Pedidos,BY139+BA139-1,2)&lt;&gt;"",INDEX(Lista_Pedidos,BY139+BA139-1,2),""),""),"")</f>
        <v/>
      </c>
      <c r="BX146" s="824"/>
      <c r="BY146" s="824"/>
      <c r="BZ146" s="825"/>
      <c r="CA146" s="823"/>
      <c r="CB146" s="824"/>
      <c r="CC146" s="824"/>
      <c r="CD146" s="824"/>
      <c r="CE146" s="824"/>
      <c r="CF146" s="824"/>
      <c r="CG146" s="824"/>
      <c r="CH146" s="824"/>
      <c r="CI146" s="824"/>
      <c r="CJ146" s="824"/>
      <c r="CK146" s="824"/>
      <c r="CL146" s="824"/>
      <c r="CM146" s="824"/>
      <c r="CN146" s="824"/>
      <c r="CO146" s="824"/>
      <c r="CP146" s="824"/>
      <c r="CQ146" s="824"/>
      <c r="CR146" s="824"/>
      <c r="CS146" s="824"/>
      <c r="CT146" s="824"/>
      <c r="CU146" s="824"/>
      <c r="CV146" s="824"/>
      <c r="CW146" s="824" t="str">
        <f>IFERROR(IF(CZ139&gt;CA139-1,IF(INDEX(Lista_Pedidos,CY139+CA139-1,2)&lt;&gt;"",INDEX(Lista_Pedidos,CY139+CA139-1,2),""),""),"")</f>
        <v/>
      </c>
      <c r="CX146" s="824"/>
      <c r="CY146" s="824"/>
      <c r="CZ146" s="825"/>
      <c r="DA146" s="823"/>
      <c r="DB146" s="824"/>
      <c r="DC146" s="824"/>
      <c r="DD146" s="824"/>
      <c r="DE146" s="824"/>
      <c r="DF146" s="824"/>
      <c r="DG146" s="824"/>
      <c r="DH146" s="824"/>
      <c r="DI146" s="824"/>
      <c r="DJ146" s="824"/>
      <c r="DK146" s="824"/>
      <c r="DL146" s="824"/>
      <c r="DM146" s="824"/>
      <c r="DN146" s="824"/>
      <c r="DO146" s="824"/>
      <c r="DP146" s="824"/>
      <c r="DQ146" s="824"/>
      <c r="DR146" s="824"/>
      <c r="DS146" s="824"/>
      <c r="DT146" s="824"/>
      <c r="DU146" s="824"/>
      <c r="DV146" s="824"/>
      <c r="DW146" s="824" t="str">
        <f>IFERROR(IF(DZ139&gt;DA139-1,IF(INDEX(Lista_Pedidos,DY139+DA139-1,2)&lt;&gt;"",INDEX(Lista_Pedidos,DY139+DA139-1,2),""),""),"")</f>
        <v/>
      </c>
      <c r="DX146" s="824"/>
      <c r="DY146" s="824"/>
      <c r="DZ146" s="825"/>
      <c r="EA146" s="823"/>
      <c r="EB146" s="824"/>
      <c r="EC146" s="824"/>
      <c r="ED146" s="824"/>
      <c r="EE146" s="824"/>
      <c r="EF146" s="824"/>
      <c r="EG146" s="824"/>
      <c r="EH146" s="824"/>
      <c r="EI146" s="824"/>
      <c r="EJ146" s="824"/>
      <c r="EK146" s="824"/>
      <c r="EL146" s="824"/>
      <c r="EM146" s="824"/>
      <c r="EN146" s="824"/>
      <c r="EO146" s="824"/>
      <c r="EP146" s="824"/>
      <c r="EQ146" s="824"/>
      <c r="ER146" s="824"/>
      <c r="ES146" s="824"/>
      <c r="ET146" s="824"/>
      <c r="EU146" s="824"/>
      <c r="EV146" s="824"/>
      <c r="EW146" s="824" t="str">
        <f>IFERROR(IF(EZ139&gt;EA139-1,IF(INDEX(Lista_Pedidos,EY139+EA139-1,2)&lt;&gt;"",INDEX(Lista_Pedidos,EY139+EA139-1,2),""),""),"")</f>
        <v/>
      </c>
      <c r="EX146" s="824"/>
      <c r="EY146" s="824"/>
      <c r="EZ146" s="825"/>
      <c r="FA146" s="823"/>
      <c r="FB146" s="824"/>
      <c r="FC146" s="824"/>
      <c r="FD146" s="824"/>
      <c r="FE146" s="824"/>
      <c r="FF146" s="824"/>
      <c r="FG146" s="824"/>
      <c r="FH146" s="824"/>
      <c r="FI146" s="824"/>
      <c r="FJ146" s="824"/>
      <c r="FK146" s="824"/>
      <c r="FL146" s="824"/>
      <c r="FM146" s="824"/>
      <c r="FN146" s="824"/>
      <c r="FO146" s="824"/>
      <c r="FP146" s="824"/>
      <c r="FQ146" s="824"/>
      <c r="FR146" s="824"/>
      <c r="FS146" s="824"/>
      <c r="FT146" s="824"/>
      <c r="FU146" s="824"/>
      <c r="FV146" s="824"/>
      <c r="FW146" s="824" t="str">
        <f>IFERROR(IF(FZ139&gt;FA139-1,IF(INDEX(Lista_Pedidos,FY139+FA139-1,2)&lt;&gt;"",INDEX(Lista_Pedidos,FY139+FA139-1,2),""),""),"")</f>
        <v/>
      </c>
      <c r="FX146" s="824"/>
      <c r="FY146" s="824"/>
      <c r="FZ146" s="825"/>
      <c r="GA146" s="823"/>
      <c r="GB146" s="824"/>
      <c r="GC146" s="824"/>
      <c r="GD146" s="824"/>
      <c r="GE146" s="824"/>
      <c r="GF146" s="824"/>
      <c r="GG146" s="824"/>
      <c r="GH146" s="824"/>
      <c r="GI146" s="824"/>
      <c r="GJ146" s="824"/>
      <c r="GK146" s="824"/>
      <c r="GL146" s="824"/>
      <c r="GM146" s="824"/>
      <c r="GN146" s="824"/>
      <c r="GO146" s="824"/>
      <c r="GP146" s="824"/>
      <c r="GQ146" s="824"/>
      <c r="GR146" s="824"/>
      <c r="GS146" s="824"/>
      <c r="GT146" s="824"/>
      <c r="GU146" s="824"/>
      <c r="GV146" s="824"/>
      <c r="GW146" s="824" t="str">
        <f>IFERROR(IF(GZ139&gt;GA139-1,IF(INDEX(Lista_Pedidos,GY139+GA139-1,2)&lt;&gt;"",INDEX(Lista_Pedidos,GY139+GA139-1,2),""),""),"")</f>
        <v/>
      </c>
      <c r="GX146" s="824"/>
      <c r="GY146" s="824"/>
      <c r="GZ146" s="825"/>
      <c r="HA146" s="823"/>
      <c r="HB146" s="824"/>
      <c r="HC146" s="824"/>
      <c r="HD146" s="824"/>
      <c r="HE146" s="824"/>
      <c r="HF146" s="824"/>
      <c r="HG146" s="824"/>
      <c r="HH146" s="824"/>
      <c r="HI146" s="824"/>
      <c r="HJ146" s="824"/>
      <c r="HK146" s="824"/>
      <c r="HL146" s="824"/>
      <c r="HM146" s="824"/>
      <c r="HN146" s="824"/>
      <c r="HO146" s="824"/>
      <c r="HP146" s="824"/>
      <c r="HQ146" s="824"/>
      <c r="HR146" s="824"/>
      <c r="HS146" s="824"/>
      <c r="HT146" s="824"/>
      <c r="HU146" s="824"/>
      <c r="HV146" s="824"/>
      <c r="HW146" s="824" t="str">
        <f>IFERROR(IF(HZ139&gt;HA139-1,IF(INDEX(Lista_Pedidos,HY139+HA139-1,2)&lt;&gt;"",INDEX(Lista_Pedidos,HY139+HA139-1,2),""),""),"")</f>
        <v/>
      </c>
      <c r="HX146" s="824"/>
      <c r="HY146" s="824"/>
      <c r="HZ146" s="825"/>
      <c r="IA146" s="823"/>
      <c r="IB146" s="824"/>
      <c r="IC146" s="824"/>
      <c r="ID146" s="824"/>
      <c r="IE146" s="824"/>
      <c r="IF146" s="824"/>
      <c r="IG146" s="824"/>
      <c r="IH146" s="824"/>
      <c r="II146" s="824"/>
      <c r="IJ146" s="824"/>
      <c r="IK146" s="824"/>
      <c r="IL146" s="824"/>
      <c r="IM146" s="824"/>
      <c r="IN146" s="824"/>
      <c r="IO146" s="824"/>
      <c r="IP146" s="824"/>
      <c r="IQ146" s="824"/>
      <c r="IR146" s="824"/>
      <c r="IS146" s="824"/>
      <c r="IT146" s="824"/>
      <c r="IU146" s="824"/>
      <c r="IV146" s="824"/>
      <c r="IW146" s="824" t="str">
        <f>IFERROR(IF(IZ139&gt;IA139-1,IF(INDEX(Lista_Pedidos,IY139+IA139-1,2)&lt;&gt;"",INDEX(Lista_Pedidos,IY139+IA139-1,2),""),""),"")</f>
        <v/>
      </c>
      <c r="IX146" s="824"/>
      <c r="IY146" s="824"/>
      <c r="IZ146" s="825"/>
    </row>
    <row r="147" spans="1:260" x14ac:dyDescent="0.25">
      <c r="A147" s="800" t="str">
        <f>IFERROR(IF(Z139&gt;A139-1,IF(INDEX(Lista_Pedidos,Y139+A139-1,6)&lt;&gt;"","Nombre de la Tela :     "&amp; INDEX(Lista_Pedidos,Y139+A139-1,6),""),""),"")</f>
        <v/>
      </c>
      <c r="B147" s="801"/>
      <c r="C147" s="801"/>
      <c r="D147" s="801"/>
      <c r="E147" s="801"/>
      <c r="F147" s="801"/>
      <c r="G147" s="801"/>
      <c r="H147" s="801"/>
      <c r="I147" s="801"/>
      <c r="J147" s="801"/>
      <c r="K147" s="801"/>
      <c r="L147" s="801"/>
      <c r="M147" s="801"/>
      <c r="N147" s="801"/>
      <c r="O147" s="801"/>
      <c r="P147" s="801"/>
      <c r="Q147" s="801"/>
      <c r="R147" s="801"/>
      <c r="S147" s="801"/>
      <c r="T147" s="801"/>
      <c r="U147" s="801"/>
      <c r="V147" s="801"/>
      <c r="W147" s="826"/>
      <c r="X147" s="826"/>
      <c r="Y147" s="826"/>
      <c r="Z147" s="827"/>
      <c r="AA147" s="800" t="str">
        <f>IFERROR(IF(AZ139&gt;AA139-1,IF(INDEX(Lista_Pedidos,AY139+AA139-1,6)&lt;&gt;"","Nombre de la Tela :     "&amp; INDEX(Lista_Pedidos,AY139+AA139-1,6),""),""),"")</f>
        <v/>
      </c>
      <c r="AB147" s="801"/>
      <c r="AC147" s="801"/>
      <c r="AD147" s="801"/>
      <c r="AE147" s="801"/>
      <c r="AF147" s="801"/>
      <c r="AG147" s="801"/>
      <c r="AH147" s="801"/>
      <c r="AI147" s="801"/>
      <c r="AJ147" s="801"/>
      <c r="AK147" s="801"/>
      <c r="AL147" s="801"/>
      <c r="AM147" s="801"/>
      <c r="AN147" s="801"/>
      <c r="AO147" s="801"/>
      <c r="AP147" s="801"/>
      <c r="AQ147" s="801"/>
      <c r="AR147" s="801"/>
      <c r="AS147" s="801"/>
      <c r="AT147" s="801"/>
      <c r="AU147" s="801"/>
      <c r="AV147" s="801"/>
      <c r="AW147" s="826"/>
      <c r="AX147" s="826"/>
      <c r="AY147" s="826"/>
      <c r="AZ147" s="827"/>
      <c r="BA147" s="800" t="str">
        <f>IFERROR(IF(BZ139&gt;BA139-1,IF(INDEX(Lista_Pedidos,BY139+BA139-1,6)&lt;&gt;"","Nombre de la Tela :     "&amp; INDEX(Lista_Pedidos,BY139+BA139-1,6),""),""),"")</f>
        <v/>
      </c>
      <c r="BB147" s="801"/>
      <c r="BC147" s="801"/>
      <c r="BD147" s="801"/>
      <c r="BE147" s="801"/>
      <c r="BF147" s="801"/>
      <c r="BG147" s="801"/>
      <c r="BH147" s="801"/>
      <c r="BI147" s="801"/>
      <c r="BJ147" s="801"/>
      <c r="BK147" s="801"/>
      <c r="BL147" s="801"/>
      <c r="BM147" s="801"/>
      <c r="BN147" s="801"/>
      <c r="BO147" s="801"/>
      <c r="BP147" s="801"/>
      <c r="BQ147" s="801"/>
      <c r="BR147" s="801"/>
      <c r="BS147" s="801"/>
      <c r="BT147" s="801"/>
      <c r="BU147" s="801"/>
      <c r="BV147" s="801"/>
      <c r="BW147" s="826"/>
      <c r="BX147" s="826"/>
      <c r="BY147" s="826"/>
      <c r="BZ147" s="827"/>
      <c r="CA147" s="800" t="str">
        <f>IFERROR(IF(CZ139&gt;CA139-1,IF(INDEX(Lista_Pedidos,CY139+CA139-1,6)&lt;&gt;"","Nombre de la Tela :     "&amp; INDEX(Lista_Pedidos,CY139+CA139-1,6),""),""),"")</f>
        <v/>
      </c>
      <c r="CB147" s="801"/>
      <c r="CC147" s="801"/>
      <c r="CD147" s="801"/>
      <c r="CE147" s="801"/>
      <c r="CF147" s="801"/>
      <c r="CG147" s="801"/>
      <c r="CH147" s="801"/>
      <c r="CI147" s="801"/>
      <c r="CJ147" s="801"/>
      <c r="CK147" s="801"/>
      <c r="CL147" s="801"/>
      <c r="CM147" s="801"/>
      <c r="CN147" s="801"/>
      <c r="CO147" s="801"/>
      <c r="CP147" s="801"/>
      <c r="CQ147" s="801"/>
      <c r="CR147" s="801"/>
      <c r="CS147" s="801"/>
      <c r="CT147" s="801"/>
      <c r="CU147" s="801"/>
      <c r="CV147" s="801"/>
      <c r="CW147" s="826"/>
      <c r="CX147" s="826"/>
      <c r="CY147" s="826"/>
      <c r="CZ147" s="827"/>
      <c r="DA147" s="800" t="str">
        <f>IFERROR(IF(DZ139&gt;DA139-1,IF(INDEX(Lista_Pedidos,DY139+DA139-1,6)&lt;&gt;"","Nombre de la Tela :     "&amp; INDEX(Lista_Pedidos,DY139+DA139-1,6),""),""),"")</f>
        <v/>
      </c>
      <c r="DB147" s="801"/>
      <c r="DC147" s="801"/>
      <c r="DD147" s="801"/>
      <c r="DE147" s="801"/>
      <c r="DF147" s="801"/>
      <c r="DG147" s="801"/>
      <c r="DH147" s="801"/>
      <c r="DI147" s="801"/>
      <c r="DJ147" s="801"/>
      <c r="DK147" s="801"/>
      <c r="DL147" s="801"/>
      <c r="DM147" s="801"/>
      <c r="DN147" s="801"/>
      <c r="DO147" s="801"/>
      <c r="DP147" s="801"/>
      <c r="DQ147" s="801"/>
      <c r="DR147" s="801"/>
      <c r="DS147" s="801"/>
      <c r="DT147" s="801"/>
      <c r="DU147" s="801"/>
      <c r="DV147" s="801"/>
      <c r="DW147" s="826"/>
      <c r="DX147" s="826"/>
      <c r="DY147" s="826"/>
      <c r="DZ147" s="827"/>
      <c r="EA147" s="800" t="str">
        <f>IFERROR(IF(EZ139&gt;EA139-1,IF(INDEX(Lista_Pedidos,EY139+EA139-1,6)&lt;&gt;"","Nombre de la Tela :     "&amp; INDEX(Lista_Pedidos,EY139+EA139-1,6),""),""),"")</f>
        <v/>
      </c>
      <c r="EB147" s="801"/>
      <c r="EC147" s="801"/>
      <c r="ED147" s="801"/>
      <c r="EE147" s="801"/>
      <c r="EF147" s="801"/>
      <c r="EG147" s="801"/>
      <c r="EH147" s="801"/>
      <c r="EI147" s="801"/>
      <c r="EJ147" s="801"/>
      <c r="EK147" s="801"/>
      <c r="EL147" s="801"/>
      <c r="EM147" s="801"/>
      <c r="EN147" s="801"/>
      <c r="EO147" s="801"/>
      <c r="EP147" s="801"/>
      <c r="EQ147" s="801"/>
      <c r="ER147" s="801"/>
      <c r="ES147" s="801"/>
      <c r="ET147" s="801"/>
      <c r="EU147" s="801"/>
      <c r="EV147" s="801"/>
      <c r="EW147" s="826"/>
      <c r="EX147" s="826"/>
      <c r="EY147" s="826"/>
      <c r="EZ147" s="827"/>
      <c r="FA147" s="800" t="str">
        <f>IFERROR(IF(FZ139&gt;FA139-1,IF(INDEX(Lista_Pedidos,FY139+FA139-1,6)&lt;&gt;"","Nombre de la Tela :     "&amp; INDEX(Lista_Pedidos,FY139+FA139-1,6),""),""),"")</f>
        <v/>
      </c>
      <c r="FB147" s="801"/>
      <c r="FC147" s="801"/>
      <c r="FD147" s="801"/>
      <c r="FE147" s="801"/>
      <c r="FF147" s="801"/>
      <c r="FG147" s="801"/>
      <c r="FH147" s="801"/>
      <c r="FI147" s="801"/>
      <c r="FJ147" s="801"/>
      <c r="FK147" s="801"/>
      <c r="FL147" s="801"/>
      <c r="FM147" s="801"/>
      <c r="FN147" s="801"/>
      <c r="FO147" s="801"/>
      <c r="FP147" s="801"/>
      <c r="FQ147" s="801"/>
      <c r="FR147" s="801"/>
      <c r="FS147" s="801"/>
      <c r="FT147" s="801"/>
      <c r="FU147" s="801"/>
      <c r="FV147" s="801"/>
      <c r="FW147" s="826"/>
      <c r="FX147" s="826"/>
      <c r="FY147" s="826"/>
      <c r="FZ147" s="827"/>
      <c r="GA147" s="800" t="str">
        <f>IFERROR(IF(GZ139&gt;GA139-1,IF(INDEX(Lista_Pedidos,GY139+GA139-1,6)&lt;&gt;"","Nombre de la Tela :     "&amp; INDEX(Lista_Pedidos,GY139+GA139-1,6),""),""),"")</f>
        <v/>
      </c>
      <c r="GB147" s="801"/>
      <c r="GC147" s="801"/>
      <c r="GD147" s="801"/>
      <c r="GE147" s="801"/>
      <c r="GF147" s="801"/>
      <c r="GG147" s="801"/>
      <c r="GH147" s="801"/>
      <c r="GI147" s="801"/>
      <c r="GJ147" s="801"/>
      <c r="GK147" s="801"/>
      <c r="GL147" s="801"/>
      <c r="GM147" s="801"/>
      <c r="GN147" s="801"/>
      <c r="GO147" s="801"/>
      <c r="GP147" s="801"/>
      <c r="GQ147" s="801"/>
      <c r="GR147" s="801"/>
      <c r="GS147" s="801"/>
      <c r="GT147" s="801"/>
      <c r="GU147" s="801"/>
      <c r="GV147" s="801"/>
      <c r="GW147" s="826"/>
      <c r="GX147" s="826"/>
      <c r="GY147" s="826"/>
      <c r="GZ147" s="827"/>
      <c r="HA147" s="800" t="str">
        <f>IFERROR(IF(HZ139&gt;HA139-1,IF(INDEX(Lista_Pedidos,HY139+HA139-1,6)&lt;&gt;"","Nombre de la Tela :     "&amp; INDEX(Lista_Pedidos,HY139+HA139-1,6),""),""),"")</f>
        <v/>
      </c>
      <c r="HB147" s="801"/>
      <c r="HC147" s="801"/>
      <c r="HD147" s="801"/>
      <c r="HE147" s="801"/>
      <c r="HF147" s="801"/>
      <c r="HG147" s="801"/>
      <c r="HH147" s="801"/>
      <c r="HI147" s="801"/>
      <c r="HJ147" s="801"/>
      <c r="HK147" s="801"/>
      <c r="HL147" s="801"/>
      <c r="HM147" s="801"/>
      <c r="HN147" s="801"/>
      <c r="HO147" s="801"/>
      <c r="HP147" s="801"/>
      <c r="HQ147" s="801"/>
      <c r="HR147" s="801"/>
      <c r="HS147" s="801"/>
      <c r="HT147" s="801"/>
      <c r="HU147" s="801"/>
      <c r="HV147" s="801"/>
      <c r="HW147" s="826"/>
      <c r="HX147" s="826"/>
      <c r="HY147" s="826"/>
      <c r="HZ147" s="827"/>
      <c r="IA147" s="800" t="str">
        <f>IFERROR(IF(IZ139&gt;IA139-1,IF(INDEX(Lista_Pedidos,IY139+IA139-1,6)&lt;&gt;"","Nombre de la Tela :     "&amp; INDEX(Lista_Pedidos,IY139+IA139-1,6),""),""),"")</f>
        <v/>
      </c>
      <c r="IB147" s="801"/>
      <c r="IC147" s="801"/>
      <c r="ID147" s="801"/>
      <c r="IE147" s="801"/>
      <c r="IF147" s="801"/>
      <c r="IG147" s="801"/>
      <c r="IH147" s="801"/>
      <c r="II147" s="801"/>
      <c r="IJ147" s="801"/>
      <c r="IK147" s="801"/>
      <c r="IL147" s="801"/>
      <c r="IM147" s="801"/>
      <c r="IN147" s="801"/>
      <c r="IO147" s="801"/>
      <c r="IP147" s="801"/>
      <c r="IQ147" s="801"/>
      <c r="IR147" s="801"/>
      <c r="IS147" s="801"/>
      <c r="IT147" s="801"/>
      <c r="IU147" s="801"/>
      <c r="IV147" s="801"/>
      <c r="IW147" s="826"/>
      <c r="IX147" s="826"/>
      <c r="IY147" s="826"/>
      <c r="IZ147" s="827"/>
    </row>
    <row r="148" spans="1:260" x14ac:dyDescent="0.25">
      <c r="A148" s="800" t="str">
        <f>IFERROR(IF(Z139&gt;A139-1,IF(INDEX(Lista_Pedidos,Y139+A139-1,7)&lt;&gt;"","Hilo :     "&amp; INDEX(Lista_Pedidos,Y139+A139-1,7),""),""),"")</f>
        <v/>
      </c>
      <c r="B148" s="801"/>
      <c r="C148" s="801"/>
      <c r="D148" s="801"/>
      <c r="E148" s="801"/>
      <c r="F148" s="801"/>
      <c r="G148" s="801"/>
      <c r="H148" s="801"/>
      <c r="I148" s="801"/>
      <c r="J148" s="801"/>
      <c r="K148" s="801"/>
      <c r="L148" s="801"/>
      <c r="M148" s="801"/>
      <c r="N148" s="801"/>
      <c r="O148" s="801"/>
      <c r="P148" s="801"/>
      <c r="Q148" s="801"/>
      <c r="R148" s="801"/>
      <c r="S148" s="801"/>
      <c r="T148" s="801"/>
      <c r="U148" s="801"/>
      <c r="V148" s="801"/>
      <c r="W148" s="801"/>
      <c r="X148" s="801"/>
      <c r="Y148" s="801"/>
      <c r="Z148" s="802"/>
      <c r="AA148" s="800" t="str">
        <f>IFERROR(IF(AZ139&gt;AA139-1,IF(INDEX(Lista_Pedidos,AY139+AA139-1,7)&lt;&gt;"","Hilo :     "&amp; INDEX(Lista_Pedidos,AY139+AA139-1,7),""),""),"")</f>
        <v/>
      </c>
      <c r="AB148" s="801"/>
      <c r="AC148" s="801"/>
      <c r="AD148" s="801"/>
      <c r="AE148" s="801"/>
      <c r="AF148" s="801"/>
      <c r="AG148" s="801"/>
      <c r="AH148" s="801"/>
      <c r="AI148" s="801"/>
      <c r="AJ148" s="801"/>
      <c r="AK148" s="801"/>
      <c r="AL148" s="801"/>
      <c r="AM148" s="801"/>
      <c r="AN148" s="801"/>
      <c r="AO148" s="801"/>
      <c r="AP148" s="801"/>
      <c r="AQ148" s="801"/>
      <c r="AR148" s="801"/>
      <c r="AS148" s="801"/>
      <c r="AT148" s="801"/>
      <c r="AU148" s="801"/>
      <c r="AV148" s="801"/>
      <c r="AW148" s="801"/>
      <c r="AX148" s="801"/>
      <c r="AY148" s="801"/>
      <c r="AZ148" s="802"/>
      <c r="BA148" s="800" t="str">
        <f>IFERROR(IF(BZ139&gt;BA139-1,IF(INDEX(Lista_Pedidos,BY139+BA139-1,7)&lt;&gt;"","Hilo :     "&amp; INDEX(Lista_Pedidos,BY139+BA139-1,7),""),""),"")</f>
        <v/>
      </c>
      <c r="BB148" s="801"/>
      <c r="BC148" s="801"/>
      <c r="BD148" s="801"/>
      <c r="BE148" s="801"/>
      <c r="BF148" s="801"/>
      <c r="BG148" s="801"/>
      <c r="BH148" s="801"/>
      <c r="BI148" s="801"/>
      <c r="BJ148" s="801"/>
      <c r="BK148" s="801"/>
      <c r="BL148" s="801"/>
      <c r="BM148" s="801"/>
      <c r="BN148" s="801"/>
      <c r="BO148" s="801"/>
      <c r="BP148" s="801"/>
      <c r="BQ148" s="801"/>
      <c r="BR148" s="801"/>
      <c r="BS148" s="801"/>
      <c r="BT148" s="801"/>
      <c r="BU148" s="801"/>
      <c r="BV148" s="801"/>
      <c r="BW148" s="801"/>
      <c r="BX148" s="801"/>
      <c r="BY148" s="801"/>
      <c r="BZ148" s="802"/>
      <c r="CA148" s="800" t="str">
        <f>IFERROR(IF(CZ139&gt;CA139-1,IF(INDEX(Lista_Pedidos,CY139+CA139-1,7)&lt;&gt;"","Hilo :     "&amp; INDEX(Lista_Pedidos,CY139+CA139-1,7),""),""),"")</f>
        <v/>
      </c>
      <c r="CB148" s="801"/>
      <c r="CC148" s="801"/>
      <c r="CD148" s="801"/>
      <c r="CE148" s="801"/>
      <c r="CF148" s="801"/>
      <c r="CG148" s="801"/>
      <c r="CH148" s="801"/>
      <c r="CI148" s="801"/>
      <c r="CJ148" s="801"/>
      <c r="CK148" s="801"/>
      <c r="CL148" s="801"/>
      <c r="CM148" s="801"/>
      <c r="CN148" s="801"/>
      <c r="CO148" s="801"/>
      <c r="CP148" s="801"/>
      <c r="CQ148" s="801"/>
      <c r="CR148" s="801"/>
      <c r="CS148" s="801"/>
      <c r="CT148" s="801"/>
      <c r="CU148" s="801"/>
      <c r="CV148" s="801"/>
      <c r="CW148" s="801"/>
      <c r="CX148" s="801"/>
      <c r="CY148" s="801"/>
      <c r="CZ148" s="802"/>
      <c r="DA148" s="800" t="str">
        <f>IFERROR(IF(DZ139&gt;DA139-1,IF(INDEX(Lista_Pedidos,DY139+DA139-1,7)&lt;&gt;"","Hilo :     "&amp; INDEX(Lista_Pedidos,DY139+DA139-1,7),""),""),"")</f>
        <v/>
      </c>
      <c r="DB148" s="801"/>
      <c r="DC148" s="801"/>
      <c r="DD148" s="801"/>
      <c r="DE148" s="801"/>
      <c r="DF148" s="801"/>
      <c r="DG148" s="801"/>
      <c r="DH148" s="801"/>
      <c r="DI148" s="801"/>
      <c r="DJ148" s="801"/>
      <c r="DK148" s="801"/>
      <c r="DL148" s="801"/>
      <c r="DM148" s="801"/>
      <c r="DN148" s="801"/>
      <c r="DO148" s="801"/>
      <c r="DP148" s="801"/>
      <c r="DQ148" s="801"/>
      <c r="DR148" s="801"/>
      <c r="DS148" s="801"/>
      <c r="DT148" s="801"/>
      <c r="DU148" s="801"/>
      <c r="DV148" s="801"/>
      <c r="DW148" s="801"/>
      <c r="DX148" s="801"/>
      <c r="DY148" s="801"/>
      <c r="DZ148" s="802"/>
      <c r="EA148" s="800" t="str">
        <f>IFERROR(IF(EZ139&gt;EA139-1,IF(INDEX(Lista_Pedidos,EY139+EA139-1,7)&lt;&gt;"","Hilo :     "&amp; INDEX(Lista_Pedidos,EY139+EA139-1,7),""),""),"")</f>
        <v/>
      </c>
      <c r="EB148" s="801"/>
      <c r="EC148" s="801"/>
      <c r="ED148" s="801"/>
      <c r="EE148" s="801"/>
      <c r="EF148" s="801"/>
      <c r="EG148" s="801"/>
      <c r="EH148" s="801"/>
      <c r="EI148" s="801"/>
      <c r="EJ148" s="801"/>
      <c r="EK148" s="801"/>
      <c r="EL148" s="801"/>
      <c r="EM148" s="801"/>
      <c r="EN148" s="801"/>
      <c r="EO148" s="801"/>
      <c r="EP148" s="801"/>
      <c r="EQ148" s="801"/>
      <c r="ER148" s="801"/>
      <c r="ES148" s="801"/>
      <c r="ET148" s="801"/>
      <c r="EU148" s="801"/>
      <c r="EV148" s="801"/>
      <c r="EW148" s="801"/>
      <c r="EX148" s="801"/>
      <c r="EY148" s="801"/>
      <c r="EZ148" s="802"/>
      <c r="FA148" s="800" t="str">
        <f>IFERROR(IF(FZ139&gt;FA139-1,IF(INDEX(Lista_Pedidos,FY139+FA139-1,7)&lt;&gt;"","Hilo :     "&amp; INDEX(Lista_Pedidos,FY139+FA139-1,7),""),""),"")</f>
        <v/>
      </c>
      <c r="FB148" s="801"/>
      <c r="FC148" s="801"/>
      <c r="FD148" s="801"/>
      <c r="FE148" s="801"/>
      <c r="FF148" s="801"/>
      <c r="FG148" s="801"/>
      <c r="FH148" s="801"/>
      <c r="FI148" s="801"/>
      <c r="FJ148" s="801"/>
      <c r="FK148" s="801"/>
      <c r="FL148" s="801"/>
      <c r="FM148" s="801"/>
      <c r="FN148" s="801"/>
      <c r="FO148" s="801"/>
      <c r="FP148" s="801"/>
      <c r="FQ148" s="801"/>
      <c r="FR148" s="801"/>
      <c r="FS148" s="801"/>
      <c r="FT148" s="801"/>
      <c r="FU148" s="801"/>
      <c r="FV148" s="801"/>
      <c r="FW148" s="801"/>
      <c r="FX148" s="801"/>
      <c r="FY148" s="801"/>
      <c r="FZ148" s="802"/>
      <c r="GA148" s="800" t="str">
        <f>IFERROR(IF(GZ139&gt;GA139-1,IF(INDEX(Lista_Pedidos,GY139+GA139-1,7)&lt;&gt;"","Hilo :     "&amp; INDEX(Lista_Pedidos,GY139+GA139-1,7),""),""),"")</f>
        <v/>
      </c>
      <c r="GB148" s="801"/>
      <c r="GC148" s="801"/>
      <c r="GD148" s="801"/>
      <c r="GE148" s="801"/>
      <c r="GF148" s="801"/>
      <c r="GG148" s="801"/>
      <c r="GH148" s="801"/>
      <c r="GI148" s="801"/>
      <c r="GJ148" s="801"/>
      <c r="GK148" s="801"/>
      <c r="GL148" s="801"/>
      <c r="GM148" s="801"/>
      <c r="GN148" s="801"/>
      <c r="GO148" s="801"/>
      <c r="GP148" s="801"/>
      <c r="GQ148" s="801"/>
      <c r="GR148" s="801"/>
      <c r="GS148" s="801"/>
      <c r="GT148" s="801"/>
      <c r="GU148" s="801"/>
      <c r="GV148" s="801"/>
      <c r="GW148" s="801"/>
      <c r="GX148" s="801"/>
      <c r="GY148" s="801"/>
      <c r="GZ148" s="802"/>
      <c r="HA148" s="800" t="str">
        <f>IFERROR(IF(HZ139&gt;HA139-1,IF(INDEX(Lista_Pedidos,HY139+HA139-1,7)&lt;&gt;"","Hilo :     "&amp; INDEX(Lista_Pedidos,HY139+HA139-1,7),""),""),"")</f>
        <v/>
      </c>
      <c r="HB148" s="801"/>
      <c r="HC148" s="801"/>
      <c r="HD148" s="801"/>
      <c r="HE148" s="801"/>
      <c r="HF148" s="801"/>
      <c r="HG148" s="801"/>
      <c r="HH148" s="801"/>
      <c r="HI148" s="801"/>
      <c r="HJ148" s="801"/>
      <c r="HK148" s="801"/>
      <c r="HL148" s="801"/>
      <c r="HM148" s="801"/>
      <c r="HN148" s="801"/>
      <c r="HO148" s="801"/>
      <c r="HP148" s="801"/>
      <c r="HQ148" s="801"/>
      <c r="HR148" s="801"/>
      <c r="HS148" s="801"/>
      <c r="HT148" s="801"/>
      <c r="HU148" s="801"/>
      <c r="HV148" s="801"/>
      <c r="HW148" s="801"/>
      <c r="HX148" s="801"/>
      <c r="HY148" s="801"/>
      <c r="HZ148" s="802"/>
      <c r="IA148" s="800" t="str">
        <f>IFERROR(IF(IZ139&gt;IA139-1,IF(INDEX(Lista_Pedidos,IY139+IA139-1,7)&lt;&gt;"","Hilo :     "&amp; INDEX(Lista_Pedidos,IY139+IA139-1,7),""),""),"")</f>
        <v/>
      </c>
      <c r="IB148" s="801"/>
      <c r="IC148" s="801"/>
      <c r="ID148" s="801"/>
      <c r="IE148" s="801"/>
      <c r="IF148" s="801"/>
      <c r="IG148" s="801"/>
      <c r="IH148" s="801"/>
      <c r="II148" s="801"/>
      <c r="IJ148" s="801"/>
      <c r="IK148" s="801"/>
      <c r="IL148" s="801"/>
      <c r="IM148" s="801"/>
      <c r="IN148" s="801"/>
      <c r="IO148" s="801"/>
      <c r="IP148" s="801"/>
      <c r="IQ148" s="801"/>
      <c r="IR148" s="801"/>
      <c r="IS148" s="801"/>
      <c r="IT148" s="801"/>
      <c r="IU148" s="801"/>
      <c r="IV148" s="801"/>
      <c r="IW148" s="801"/>
      <c r="IX148" s="801"/>
      <c r="IY148" s="801"/>
      <c r="IZ148" s="802"/>
    </row>
    <row r="149" spans="1:260" x14ac:dyDescent="0.25">
      <c r="A149" s="800" t="str">
        <f>IFERROR(IF(Z139&gt;A139-1,IF(INDEX(Lista_Pedidos,Y139+A139-1,8)&lt;&gt;"","Forro :     "&amp; INDEX(Lista_Pedidos,Y139+A139-1,8),""),""),"")</f>
        <v/>
      </c>
      <c r="B149" s="801"/>
      <c r="C149" s="801"/>
      <c r="D149" s="801"/>
      <c r="E149" s="801"/>
      <c r="F149" s="801"/>
      <c r="G149" s="801"/>
      <c r="H149" s="801"/>
      <c r="I149" s="801"/>
      <c r="J149" s="801"/>
      <c r="K149" s="801"/>
      <c r="L149" s="801"/>
      <c r="M149" s="801"/>
      <c r="N149" s="801"/>
      <c r="O149" s="801"/>
      <c r="P149" s="801"/>
      <c r="Q149" s="801"/>
      <c r="R149" s="801"/>
      <c r="S149" s="801"/>
      <c r="T149" s="801"/>
      <c r="U149" s="801"/>
      <c r="V149" s="801"/>
      <c r="W149" s="801"/>
      <c r="X149" s="801"/>
      <c r="Y149" s="801"/>
      <c r="Z149" s="802"/>
      <c r="AA149" s="800" t="str">
        <f>IFERROR(IF(AZ139&gt;AA139-1,IF(INDEX(Lista_Pedidos,AY139+AA139-1,8)&lt;&gt;"","Forro :     "&amp; INDEX(Lista_Pedidos,AY139+AA139-1,8),""),""),"")</f>
        <v/>
      </c>
      <c r="AB149" s="801"/>
      <c r="AC149" s="801"/>
      <c r="AD149" s="801"/>
      <c r="AE149" s="801"/>
      <c r="AF149" s="801"/>
      <c r="AG149" s="801"/>
      <c r="AH149" s="801"/>
      <c r="AI149" s="801"/>
      <c r="AJ149" s="801"/>
      <c r="AK149" s="801"/>
      <c r="AL149" s="801"/>
      <c r="AM149" s="801"/>
      <c r="AN149" s="801"/>
      <c r="AO149" s="801"/>
      <c r="AP149" s="801"/>
      <c r="AQ149" s="801"/>
      <c r="AR149" s="801"/>
      <c r="AS149" s="801"/>
      <c r="AT149" s="801"/>
      <c r="AU149" s="801"/>
      <c r="AV149" s="801"/>
      <c r="AW149" s="801"/>
      <c r="AX149" s="801"/>
      <c r="AY149" s="801"/>
      <c r="AZ149" s="802"/>
      <c r="BA149" s="800" t="str">
        <f>IFERROR(IF(BZ139&gt;BA139-1,IF(INDEX(Lista_Pedidos,BY139+BA139-1,8)&lt;&gt;"","Forro :     "&amp; INDEX(Lista_Pedidos,BY139+BA139-1,8),""),""),"")</f>
        <v/>
      </c>
      <c r="BB149" s="801"/>
      <c r="BC149" s="801"/>
      <c r="BD149" s="801"/>
      <c r="BE149" s="801"/>
      <c r="BF149" s="801"/>
      <c r="BG149" s="801"/>
      <c r="BH149" s="801"/>
      <c r="BI149" s="801"/>
      <c r="BJ149" s="801"/>
      <c r="BK149" s="801"/>
      <c r="BL149" s="801"/>
      <c r="BM149" s="801"/>
      <c r="BN149" s="801"/>
      <c r="BO149" s="801"/>
      <c r="BP149" s="801"/>
      <c r="BQ149" s="801"/>
      <c r="BR149" s="801"/>
      <c r="BS149" s="801"/>
      <c r="BT149" s="801"/>
      <c r="BU149" s="801"/>
      <c r="BV149" s="801"/>
      <c r="BW149" s="801"/>
      <c r="BX149" s="801"/>
      <c r="BY149" s="801"/>
      <c r="BZ149" s="802"/>
      <c r="CA149" s="800" t="str">
        <f>IFERROR(IF(CZ139&gt;CA139-1,IF(INDEX(Lista_Pedidos,CY139+CA139-1,8)&lt;&gt;"","Forro :     "&amp; INDEX(Lista_Pedidos,CY139+CA139-1,8),""),""),"")</f>
        <v/>
      </c>
      <c r="CB149" s="801"/>
      <c r="CC149" s="801"/>
      <c r="CD149" s="801"/>
      <c r="CE149" s="801"/>
      <c r="CF149" s="801"/>
      <c r="CG149" s="801"/>
      <c r="CH149" s="801"/>
      <c r="CI149" s="801"/>
      <c r="CJ149" s="801"/>
      <c r="CK149" s="801"/>
      <c r="CL149" s="801"/>
      <c r="CM149" s="801"/>
      <c r="CN149" s="801"/>
      <c r="CO149" s="801"/>
      <c r="CP149" s="801"/>
      <c r="CQ149" s="801"/>
      <c r="CR149" s="801"/>
      <c r="CS149" s="801"/>
      <c r="CT149" s="801"/>
      <c r="CU149" s="801"/>
      <c r="CV149" s="801"/>
      <c r="CW149" s="801"/>
      <c r="CX149" s="801"/>
      <c r="CY149" s="801"/>
      <c r="CZ149" s="802"/>
      <c r="DA149" s="800" t="str">
        <f>IFERROR(IF(DZ139&gt;DA139-1,IF(INDEX(Lista_Pedidos,DY139+DA139-1,8)&lt;&gt;"","Forro :     "&amp; INDEX(Lista_Pedidos,DY139+DA139-1,8),""),""),"")</f>
        <v/>
      </c>
      <c r="DB149" s="801"/>
      <c r="DC149" s="801"/>
      <c r="DD149" s="801"/>
      <c r="DE149" s="801"/>
      <c r="DF149" s="801"/>
      <c r="DG149" s="801"/>
      <c r="DH149" s="801"/>
      <c r="DI149" s="801"/>
      <c r="DJ149" s="801"/>
      <c r="DK149" s="801"/>
      <c r="DL149" s="801"/>
      <c r="DM149" s="801"/>
      <c r="DN149" s="801"/>
      <c r="DO149" s="801"/>
      <c r="DP149" s="801"/>
      <c r="DQ149" s="801"/>
      <c r="DR149" s="801"/>
      <c r="DS149" s="801"/>
      <c r="DT149" s="801"/>
      <c r="DU149" s="801"/>
      <c r="DV149" s="801"/>
      <c r="DW149" s="801"/>
      <c r="DX149" s="801"/>
      <c r="DY149" s="801"/>
      <c r="DZ149" s="802"/>
      <c r="EA149" s="800" t="str">
        <f>IFERROR(IF(EZ139&gt;EA139-1,IF(INDEX(Lista_Pedidos,EY139+EA139-1,8)&lt;&gt;"","Forro :     "&amp; INDEX(Lista_Pedidos,EY139+EA139-1,8),""),""),"")</f>
        <v/>
      </c>
      <c r="EB149" s="801"/>
      <c r="EC149" s="801"/>
      <c r="ED149" s="801"/>
      <c r="EE149" s="801"/>
      <c r="EF149" s="801"/>
      <c r="EG149" s="801"/>
      <c r="EH149" s="801"/>
      <c r="EI149" s="801"/>
      <c r="EJ149" s="801"/>
      <c r="EK149" s="801"/>
      <c r="EL149" s="801"/>
      <c r="EM149" s="801"/>
      <c r="EN149" s="801"/>
      <c r="EO149" s="801"/>
      <c r="EP149" s="801"/>
      <c r="EQ149" s="801"/>
      <c r="ER149" s="801"/>
      <c r="ES149" s="801"/>
      <c r="ET149" s="801"/>
      <c r="EU149" s="801"/>
      <c r="EV149" s="801"/>
      <c r="EW149" s="801"/>
      <c r="EX149" s="801"/>
      <c r="EY149" s="801"/>
      <c r="EZ149" s="802"/>
      <c r="FA149" s="800" t="str">
        <f>IFERROR(IF(FZ139&gt;FA139-1,IF(INDEX(Lista_Pedidos,FY139+FA139-1,8)&lt;&gt;"","Forro :     "&amp; INDEX(Lista_Pedidos,FY139+FA139-1,8),""),""),"")</f>
        <v/>
      </c>
      <c r="FB149" s="801"/>
      <c r="FC149" s="801"/>
      <c r="FD149" s="801"/>
      <c r="FE149" s="801"/>
      <c r="FF149" s="801"/>
      <c r="FG149" s="801"/>
      <c r="FH149" s="801"/>
      <c r="FI149" s="801"/>
      <c r="FJ149" s="801"/>
      <c r="FK149" s="801"/>
      <c r="FL149" s="801"/>
      <c r="FM149" s="801"/>
      <c r="FN149" s="801"/>
      <c r="FO149" s="801"/>
      <c r="FP149" s="801"/>
      <c r="FQ149" s="801"/>
      <c r="FR149" s="801"/>
      <c r="FS149" s="801"/>
      <c r="FT149" s="801"/>
      <c r="FU149" s="801"/>
      <c r="FV149" s="801"/>
      <c r="FW149" s="801"/>
      <c r="FX149" s="801"/>
      <c r="FY149" s="801"/>
      <c r="FZ149" s="802"/>
      <c r="GA149" s="800" t="str">
        <f>IFERROR(IF(GZ139&gt;GA139-1,IF(INDEX(Lista_Pedidos,GY139+GA139-1,8)&lt;&gt;"","Forro :     "&amp; INDEX(Lista_Pedidos,GY139+GA139-1,8),""),""),"")</f>
        <v/>
      </c>
      <c r="GB149" s="801"/>
      <c r="GC149" s="801"/>
      <c r="GD149" s="801"/>
      <c r="GE149" s="801"/>
      <c r="GF149" s="801"/>
      <c r="GG149" s="801"/>
      <c r="GH149" s="801"/>
      <c r="GI149" s="801"/>
      <c r="GJ149" s="801"/>
      <c r="GK149" s="801"/>
      <c r="GL149" s="801"/>
      <c r="GM149" s="801"/>
      <c r="GN149" s="801"/>
      <c r="GO149" s="801"/>
      <c r="GP149" s="801"/>
      <c r="GQ149" s="801"/>
      <c r="GR149" s="801"/>
      <c r="GS149" s="801"/>
      <c r="GT149" s="801"/>
      <c r="GU149" s="801"/>
      <c r="GV149" s="801"/>
      <c r="GW149" s="801"/>
      <c r="GX149" s="801"/>
      <c r="GY149" s="801"/>
      <c r="GZ149" s="802"/>
      <c r="HA149" s="800" t="str">
        <f>IFERROR(IF(HZ139&gt;HA139-1,IF(INDEX(Lista_Pedidos,HY139+HA139-1,8)&lt;&gt;"","Forro :     "&amp; INDEX(Lista_Pedidos,HY139+HA139-1,8),""),""),"")</f>
        <v/>
      </c>
      <c r="HB149" s="801"/>
      <c r="HC149" s="801"/>
      <c r="HD149" s="801"/>
      <c r="HE149" s="801"/>
      <c r="HF149" s="801"/>
      <c r="HG149" s="801"/>
      <c r="HH149" s="801"/>
      <c r="HI149" s="801"/>
      <c r="HJ149" s="801"/>
      <c r="HK149" s="801"/>
      <c r="HL149" s="801"/>
      <c r="HM149" s="801"/>
      <c r="HN149" s="801"/>
      <c r="HO149" s="801"/>
      <c r="HP149" s="801"/>
      <c r="HQ149" s="801"/>
      <c r="HR149" s="801"/>
      <c r="HS149" s="801"/>
      <c r="HT149" s="801"/>
      <c r="HU149" s="801"/>
      <c r="HV149" s="801"/>
      <c r="HW149" s="801"/>
      <c r="HX149" s="801"/>
      <c r="HY149" s="801"/>
      <c r="HZ149" s="802"/>
      <c r="IA149" s="800" t="str">
        <f>IFERROR(IF(IZ139&gt;IA139-1,IF(INDEX(Lista_Pedidos,IY139+IA139-1,8)&lt;&gt;"","Forro :     "&amp; INDEX(Lista_Pedidos,IY139+IA139-1,8),""),""),"")</f>
        <v/>
      </c>
      <c r="IB149" s="801"/>
      <c r="IC149" s="801"/>
      <c r="ID149" s="801"/>
      <c r="IE149" s="801"/>
      <c r="IF149" s="801"/>
      <c r="IG149" s="801"/>
      <c r="IH149" s="801"/>
      <c r="II149" s="801"/>
      <c r="IJ149" s="801"/>
      <c r="IK149" s="801"/>
      <c r="IL149" s="801"/>
      <c r="IM149" s="801"/>
      <c r="IN149" s="801"/>
      <c r="IO149" s="801"/>
      <c r="IP149" s="801"/>
      <c r="IQ149" s="801"/>
      <c r="IR149" s="801"/>
      <c r="IS149" s="801"/>
      <c r="IT149" s="801"/>
      <c r="IU149" s="801"/>
      <c r="IV149" s="801"/>
      <c r="IW149" s="801"/>
      <c r="IX149" s="801"/>
      <c r="IY149" s="801"/>
      <c r="IZ149" s="802"/>
    </row>
    <row r="150" spans="1:260" x14ac:dyDescent="0.25">
      <c r="A150" s="800" t="str">
        <f>IF(A$5="Cliente Especial : NEON",IF(Z139&gt;A139-1,"Neon :      Si",""),"")</f>
        <v/>
      </c>
      <c r="B150" s="801"/>
      <c r="C150" s="801"/>
      <c r="D150" s="801"/>
      <c r="E150" s="801"/>
      <c r="F150" s="801"/>
      <c r="G150" s="801"/>
      <c r="H150" s="801"/>
      <c r="I150" s="801"/>
      <c r="J150" s="801"/>
      <c r="K150" s="801"/>
      <c r="L150" s="801"/>
      <c r="M150" s="801"/>
      <c r="N150" s="801"/>
      <c r="O150" s="801"/>
      <c r="P150" s="801"/>
      <c r="Q150" s="801"/>
      <c r="R150" s="801"/>
      <c r="S150" s="801"/>
      <c r="T150" s="801"/>
      <c r="U150" s="801"/>
      <c r="V150" s="801"/>
      <c r="W150" s="801"/>
      <c r="X150" s="801"/>
      <c r="Y150" s="801"/>
      <c r="Z150" s="802"/>
      <c r="AA150" s="800" t="str">
        <f>IF(AA$5="Cliente Especial : NEON",IF(AZ139&gt;AA139-1,"Neon :      Si",""),"")</f>
        <v/>
      </c>
      <c r="AB150" s="801"/>
      <c r="AC150" s="801"/>
      <c r="AD150" s="801"/>
      <c r="AE150" s="801"/>
      <c r="AF150" s="801"/>
      <c r="AG150" s="801"/>
      <c r="AH150" s="801"/>
      <c r="AI150" s="801"/>
      <c r="AJ150" s="801"/>
      <c r="AK150" s="801"/>
      <c r="AL150" s="801"/>
      <c r="AM150" s="801"/>
      <c r="AN150" s="801"/>
      <c r="AO150" s="801"/>
      <c r="AP150" s="801"/>
      <c r="AQ150" s="801"/>
      <c r="AR150" s="801"/>
      <c r="AS150" s="801"/>
      <c r="AT150" s="801"/>
      <c r="AU150" s="801"/>
      <c r="AV150" s="801"/>
      <c r="AW150" s="801"/>
      <c r="AX150" s="801"/>
      <c r="AY150" s="801"/>
      <c r="AZ150" s="802"/>
      <c r="BA150" s="800" t="str">
        <f>IF(BA$5="Cliente Especial : NEON",IF(BZ139&gt;BA139-1,"Neon :      Si",""),"")</f>
        <v/>
      </c>
      <c r="BB150" s="801"/>
      <c r="BC150" s="801"/>
      <c r="BD150" s="801"/>
      <c r="BE150" s="801"/>
      <c r="BF150" s="801"/>
      <c r="BG150" s="801"/>
      <c r="BH150" s="801"/>
      <c r="BI150" s="801"/>
      <c r="BJ150" s="801"/>
      <c r="BK150" s="801"/>
      <c r="BL150" s="801"/>
      <c r="BM150" s="801"/>
      <c r="BN150" s="801"/>
      <c r="BO150" s="801"/>
      <c r="BP150" s="801"/>
      <c r="BQ150" s="801"/>
      <c r="BR150" s="801"/>
      <c r="BS150" s="801"/>
      <c r="BT150" s="801"/>
      <c r="BU150" s="801"/>
      <c r="BV150" s="801"/>
      <c r="BW150" s="801"/>
      <c r="BX150" s="801"/>
      <c r="BY150" s="801"/>
      <c r="BZ150" s="802"/>
      <c r="CA150" s="800" t="str">
        <f>IF(CA$5="Cliente Especial : NEON",IF(CZ139&gt;CA139-1,"Neon :      Si",""),"")</f>
        <v/>
      </c>
      <c r="CB150" s="801"/>
      <c r="CC150" s="801"/>
      <c r="CD150" s="801"/>
      <c r="CE150" s="801"/>
      <c r="CF150" s="801"/>
      <c r="CG150" s="801"/>
      <c r="CH150" s="801"/>
      <c r="CI150" s="801"/>
      <c r="CJ150" s="801"/>
      <c r="CK150" s="801"/>
      <c r="CL150" s="801"/>
      <c r="CM150" s="801"/>
      <c r="CN150" s="801"/>
      <c r="CO150" s="801"/>
      <c r="CP150" s="801"/>
      <c r="CQ150" s="801"/>
      <c r="CR150" s="801"/>
      <c r="CS150" s="801"/>
      <c r="CT150" s="801"/>
      <c r="CU150" s="801"/>
      <c r="CV150" s="801"/>
      <c r="CW150" s="801"/>
      <c r="CX150" s="801"/>
      <c r="CY150" s="801"/>
      <c r="CZ150" s="802"/>
      <c r="DA150" s="800" t="str">
        <f>IF(DA$5="Cliente Especial : NEON",IF(DZ139&gt;DA139-1,"Neon :      Si",""),"")</f>
        <v/>
      </c>
      <c r="DB150" s="801"/>
      <c r="DC150" s="801"/>
      <c r="DD150" s="801"/>
      <c r="DE150" s="801"/>
      <c r="DF150" s="801"/>
      <c r="DG150" s="801"/>
      <c r="DH150" s="801"/>
      <c r="DI150" s="801"/>
      <c r="DJ150" s="801"/>
      <c r="DK150" s="801"/>
      <c r="DL150" s="801"/>
      <c r="DM150" s="801"/>
      <c r="DN150" s="801"/>
      <c r="DO150" s="801"/>
      <c r="DP150" s="801"/>
      <c r="DQ150" s="801"/>
      <c r="DR150" s="801"/>
      <c r="DS150" s="801"/>
      <c r="DT150" s="801"/>
      <c r="DU150" s="801"/>
      <c r="DV150" s="801"/>
      <c r="DW150" s="801"/>
      <c r="DX150" s="801"/>
      <c r="DY150" s="801"/>
      <c r="DZ150" s="802"/>
      <c r="EA150" s="800" t="str">
        <f>IF(EA$5="Cliente Especial : NEON",IF(EZ139&gt;EA139-1,"Neon :      Si",""),"")</f>
        <v/>
      </c>
      <c r="EB150" s="801"/>
      <c r="EC150" s="801"/>
      <c r="ED150" s="801"/>
      <c r="EE150" s="801"/>
      <c r="EF150" s="801"/>
      <c r="EG150" s="801"/>
      <c r="EH150" s="801"/>
      <c r="EI150" s="801"/>
      <c r="EJ150" s="801"/>
      <c r="EK150" s="801"/>
      <c r="EL150" s="801"/>
      <c r="EM150" s="801"/>
      <c r="EN150" s="801"/>
      <c r="EO150" s="801"/>
      <c r="EP150" s="801"/>
      <c r="EQ150" s="801"/>
      <c r="ER150" s="801"/>
      <c r="ES150" s="801"/>
      <c r="ET150" s="801"/>
      <c r="EU150" s="801"/>
      <c r="EV150" s="801"/>
      <c r="EW150" s="801"/>
      <c r="EX150" s="801"/>
      <c r="EY150" s="801"/>
      <c r="EZ150" s="802"/>
      <c r="FA150" s="800" t="str">
        <f>IF(FA$5="Cliente Especial : NEON",IF(FZ139&gt;FA139-1,"Neon :      Si",""),"")</f>
        <v/>
      </c>
      <c r="FB150" s="801"/>
      <c r="FC150" s="801"/>
      <c r="FD150" s="801"/>
      <c r="FE150" s="801"/>
      <c r="FF150" s="801"/>
      <c r="FG150" s="801"/>
      <c r="FH150" s="801"/>
      <c r="FI150" s="801"/>
      <c r="FJ150" s="801"/>
      <c r="FK150" s="801"/>
      <c r="FL150" s="801"/>
      <c r="FM150" s="801"/>
      <c r="FN150" s="801"/>
      <c r="FO150" s="801"/>
      <c r="FP150" s="801"/>
      <c r="FQ150" s="801"/>
      <c r="FR150" s="801"/>
      <c r="FS150" s="801"/>
      <c r="FT150" s="801"/>
      <c r="FU150" s="801"/>
      <c r="FV150" s="801"/>
      <c r="FW150" s="801"/>
      <c r="FX150" s="801"/>
      <c r="FY150" s="801"/>
      <c r="FZ150" s="802"/>
      <c r="GA150" s="800" t="str">
        <f>IF(GA$5="Cliente Especial : NEON",IF(GZ139&gt;GA139-1,"Neon :      Si",""),"")</f>
        <v/>
      </c>
      <c r="GB150" s="801"/>
      <c r="GC150" s="801"/>
      <c r="GD150" s="801"/>
      <c r="GE150" s="801"/>
      <c r="GF150" s="801"/>
      <c r="GG150" s="801"/>
      <c r="GH150" s="801"/>
      <c r="GI150" s="801"/>
      <c r="GJ150" s="801"/>
      <c r="GK150" s="801"/>
      <c r="GL150" s="801"/>
      <c r="GM150" s="801"/>
      <c r="GN150" s="801"/>
      <c r="GO150" s="801"/>
      <c r="GP150" s="801"/>
      <c r="GQ150" s="801"/>
      <c r="GR150" s="801"/>
      <c r="GS150" s="801"/>
      <c r="GT150" s="801"/>
      <c r="GU150" s="801"/>
      <c r="GV150" s="801"/>
      <c r="GW150" s="801"/>
      <c r="GX150" s="801"/>
      <c r="GY150" s="801"/>
      <c r="GZ150" s="802"/>
      <c r="HA150" s="800" t="str">
        <f>IF(HA$5="Cliente Especial : NEON",IF(HZ139&gt;HA139-1,"Neon :      Si",""),"")</f>
        <v/>
      </c>
      <c r="HB150" s="801"/>
      <c r="HC150" s="801"/>
      <c r="HD150" s="801"/>
      <c r="HE150" s="801"/>
      <c r="HF150" s="801"/>
      <c r="HG150" s="801"/>
      <c r="HH150" s="801"/>
      <c r="HI150" s="801"/>
      <c r="HJ150" s="801"/>
      <c r="HK150" s="801"/>
      <c r="HL150" s="801"/>
      <c r="HM150" s="801"/>
      <c r="HN150" s="801"/>
      <c r="HO150" s="801"/>
      <c r="HP150" s="801"/>
      <c r="HQ150" s="801"/>
      <c r="HR150" s="801"/>
      <c r="HS150" s="801"/>
      <c r="HT150" s="801"/>
      <c r="HU150" s="801"/>
      <c r="HV150" s="801"/>
      <c r="HW150" s="801"/>
      <c r="HX150" s="801"/>
      <c r="HY150" s="801"/>
      <c r="HZ150" s="802"/>
      <c r="IA150" s="800" t="str">
        <f>IF(IA$5="Cliente Especial : NEON",IF(IZ139&gt;IA139-1,"Neon :      Si",""),"")</f>
        <v/>
      </c>
      <c r="IB150" s="801"/>
      <c r="IC150" s="801"/>
      <c r="ID150" s="801"/>
      <c r="IE150" s="801"/>
      <c r="IF150" s="801"/>
      <c r="IG150" s="801"/>
      <c r="IH150" s="801"/>
      <c r="II150" s="801"/>
      <c r="IJ150" s="801"/>
      <c r="IK150" s="801"/>
      <c r="IL150" s="801"/>
      <c r="IM150" s="801"/>
      <c r="IN150" s="801"/>
      <c r="IO150" s="801"/>
      <c r="IP150" s="801"/>
      <c r="IQ150" s="801"/>
      <c r="IR150" s="801"/>
      <c r="IS150" s="801"/>
      <c r="IT150" s="801"/>
      <c r="IU150" s="801"/>
      <c r="IV150" s="801"/>
      <c r="IW150" s="801"/>
      <c r="IX150" s="801"/>
      <c r="IY150" s="801"/>
      <c r="IZ150" s="802"/>
    </row>
    <row r="151" spans="1:260" x14ac:dyDescent="0.25">
      <c r="A151" s="800" t="str">
        <f>IFERROR(IF(Z139&gt;A139-1,IF(INDEX(Pedidos!J:AZ,Y139+A139-1,9)&lt;&gt;"","Cierre :     "&amp; INDEX(Pedidos!J:AZ,Y139+A139-1,9),""),""),"")</f>
        <v/>
      </c>
      <c r="B151" s="801"/>
      <c r="C151" s="801"/>
      <c r="D151" s="801"/>
      <c r="E151" s="801"/>
      <c r="F151" s="801"/>
      <c r="G151" s="801"/>
      <c r="H151" s="801"/>
      <c r="I151" s="801"/>
      <c r="J151" s="801"/>
      <c r="K151" s="801"/>
      <c r="L151" s="801"/>
      <c r="M151" s="801"/>
      <c r="N151" s="801"/>
      <c r="O151" s="801"/>
      <c r="P151" s="801"/>
      <c r="Q151" s="801"/>
      <c r="R151" s="801"/>
      <c r="S151" s="801"/>
      <c r="T151" s="801"/>
      <c r="U151" s="801"/>
      <c r="V151" s="801"/>
      <c r="W151" s="801"/>
      <c r="X151" s="801"/>
      <c r="Y151" s="801"/>
      <c r="Z151" s="802"/>
      <c r="AA151" s="800" t="str">
        <f>IFERROR(IF(AZ139&gt;AA139-1,IF(INDEX(Pedidos!AJ:BZ,AY139+AA139-1,9)&lt;&gt;"","Cierre :     "&amp; INDEX(Pedidos!AJ:BZ,AY139+AA139-1,9),""),""),"")</f>
        <v/>
      </c>
      <c r="AB151" s="801"/>
      <c r="AC151" s="801"/>
      <c r="AD151" s="801"/>
      <c r="AE151" s="801"/>
      <c r="AF151" s="801"/>
      <c r="AG151" s="801"/>
      <c r="AH151" s="801"/>
      <c r="AI151" s="801"/>
      <c r="AJ151" s="801"/>
      <c r="AK151" s="801"/>
      <c r="AL151" s="801"/>
      <c r="AM151" s="801"/>
      <c r="AN151" s="801"/>
      <c r="AO151" s="801"/>
      <c r="AP151" s="801"/>
      <c r="AQ151" s="801"/>
      <c r="AR151" s="801"/>
      <c r="AS151" s="801"/>
      <c r="AT151" s="801"/>
      <c r="AU151" s="801"/>
      <c r="AV151" s="801"/>
      <c r="AW151" s="801"/>
      <c r="AX151" s="801"/>
      <c r="AY151" s="801"/>
      <c r="AZ151" s="802"/>
      <c r="BA151" s="800" t="str">
        <f>IFERROR(IF(BZ139&gt;BA139-1,IF(INDEX(Pedidos!BJ:CZ,BY139+BA139-1,9)&lt;&gt;"","Cierre :     "&amp; INDEX(Pedidos!BJ:CZ,BY139+BA139-1,9),""),""),"")</f>
        <v/>
      </c>
      <c r="BB151" s="801"/>
      <c r="BC151" s="801"/>
      <c r="BD151" s="801"/>
      <c r="BE151" s="801"/>
      <c r="BF151" s="801"/>
      <c r="BG151" s="801"/>
      <c r="BH151" s="801"/>
      <c r="BI151" s="801"/>
      <c r="BJ151" s="801"/>
      <c r="BK151" s="801"/>
      <c r="BL151" s="801"/>
      <c r="BM151" s="801"/>
      <c r="BN151" s="801"/>
      <c r="BO151" s="801"/>
      <c r="BP151" s="801"/>
      <c r="BQ151" s="801"/>
      <c r="BR151" s="801"/>
      <c r="BS151" s="801"/>
      <c r="BT151" s="801"/>
      <c r="BU151" s="801"/>
      <c r="BV151" s="801"/>
      <c r="BW151" s="801"/>
      <c r="BX151" s="801"/>
      <c r="BY151" s="801"/>
      <c r="BZ151" s="802"/>
      <c r="CA151" s="800" t="str">
        <f>IFERROR(IF(CZ139&gt;CA139-1,IF(INDEX(Pedidos!CJ:DZ,CY139+CA139-1,9)&lt;&gt;"","Cierre :     "&amp; INDEX(Pedidos!CJ:DZ,CY139+CA139-1,9),""),""),"")</f>
        <v/>
      </c>
      <c r="CB151" s="801"/>
      <c r="CC151" s="801"/>
      <c r="CD151" s="801"/>
      <c r="CE151" s="801"/>
      <c r="CF151" s="801"/>
      <c r="CG151" s="801"/>
      <c r="CH151" s="801"/>
      <c r="CI151" s="801"/>
      <c r="CJ151" s="801"/>
      <c r="CK151" s="801"/>
      <c r="CL151" s="801"/>
      <c r="CM151" s="801"/>
      <c r="CN151" s="801"/>
      <c r="CO151" s="801"/>
      <c r="CP151" s="801"/>
      <c r="CQ151" s="801"/>
      <c r="CR151" s="801"/>
      <c r="CS151" s="801"/>
      <c r="CT151" s="801"/>
      <c r="CU151" s="801"/>
      <c r="CV151" s="801"/>
      <c r="CW151" s="801"/>
      <c r="CX151" s="801"/>
      <c r="CY151" s="801"/>
      <c r="CZ151" s="802"/>
      <c r="DA151" s="800" t="str">
        <f>IFERROR(IF(DZ139&gt;DA139-1,IF(INDEX(Pedidos!DJ:EZ,DY139+DA139-1,9)&lt;&gt;"","Cierre :     "&amp; INDEX(Pedidos!DJ:EZ,DY139+DA139-1,9),""),""),"")</f>
        <v/>
      </c>
      <c r="DB151" s="801"/>
      <c r="DC151" s="801"/>
      <c r="DD151" s="801"/>
      <c r="DE151" s="801"/>
      <c r="DF151" s="801"/>
      <c r="DG151" s="801"/>
      <c r="DH151" s="801"/>
      <c r="DI151" s="801"/>
      <c r="DJ151" s="801"/>
      <c r="DK151" s="801"/>
      <c r="DL151" s="801"/>
      <c r="DM151" s="801"/>
      <c r="DN151" s="801"/>
      <c r="DO151" s="801"/>
      <c r="DP151" s="801"/>
      <c r="DQ151" s="801"/>
      <c r="DR151" s="801"/>
      <c r="DS151" s="801"/>
      <c r="DT151" s="801"/>
      <c r="DU151" s="801"/>
      <c r="DV151" s="801"/>
      <c r="DW151" s="801"/>
      <c r="DX151" s="801"/>
      <c r="DY151" s="801"/>
      <c r="DZ151" s="802"/>
      <c r="EA151" s="800" t="str">
        <f>IFERROR(IF(EZ139&gt;EA139-1,IF(INDEX(Pedidos!EJ:FZ,EY139+EA139-1,9)&lt;&gt;"","Cierre :     "&amp; INDEX(Pedidos!EJ:FZ,EY139+EA139-1,9),""),""),"")</f>
        <v/>
      </c>
      <c r="EB151" s="801"/>
      <c r="EC151" s="801"/>
      <c r="ED151" s="801"/>
      <c r="EE151" s="801"/>
      <c r="EF151" s="801"/>
      <c r="EG151" s="801"/>
      <c r="EH151" s="801"/>
      <c r="EI151" s="801"/>
      <c r="EJ151" s="801"/>
      <c r="EK151" s="801"/>
      <c r="EL151" s="801"/>
      <c r="EM151" s="801"/>
      <c r="EN151" s="801"/>
      <c r="EO151" s="801"/>
      <c r="EP151" s="801"/>
      <c r="EQ151" s="801"/>
      <c r="ER151" s="801"/>
      <c r="ES151" s="801"/>
      <c r="ET151" s="801"/>
      <c r="EU151" s="801"/>
      <c r="EV151" s="801"/>
      <c r="EW151" s="801"/>
      <c r="EX151" s="801"/>
      <c r="EY151" s="801"/>
      <c r="EZ151" s="802"/>
      <c r="FA151" s="800" t="str">
        <f>IFERROR(IF(FZ139&gt;FA139-1,IF(INDEX(Pedidos!FJ:GZ,FY139+FA139-1,9)&lt;&gt;"","Cierre :     "&amp; INDEX(Pedidos!FJ:GZ,FY139+FA139-1,9),""),""),"")</f>
        <v/>
      </c>
      <c r="FB151" s="801"/>
      <c r="FC151" s="801"/>
      <c r="FD151" s="801"/>
      <c r="FE151" s="801"/>
      <c r="FF151" s="801"/>
      <c r="FG151" s="801"/>
      <c r="FH151" s="801"/>
      <c r="FI151" s="801"/>
      <c r="FJ151" s="801"/>
      <c r="FK151" s="801"/>
      <c r="FL151" s="801"/>
      <c r="FM151" s="801"/>
      <c r="FN151" s="801"/>
      <c r="FO151" s="801"/>
      <c r="FP151" s="801"/>
      <c r="FQ151" s="801"/>
      <c r="FR151" s="801"/>
      <c r="FS151" s="801"/>
      <c r="FT151" s="801"/>
      <c r="FU151" s="801"/>
      <c r="FV151" s="801"/>
      <c r="FW151" s="801"/>
      <c r="FX151" s="801"/>
      <c r="FY151" s="801"/>
      <c r="FZ151" s="802"/>
      <c r="GA151" s="800" t="str">
        <f>IFERROR(IF(GZ139&gt;GA139-1,IF(INDEX(Pedidos!GJ:HZ,GY139+GA139-1,9)&lt;&gt;"","Cierre :     "&amp; INDEX(Pedidos!GJ:HZ,GY139+GA139-1,9),""),""),"")</f>
        <v/>
      </c>
      <c r="GB151" s="801"/>
      <c r="GC151" s="801"/>
      <c r="GD151" s="801"/>
      <c r="GE151" s="801"/>
      <c r="GF151" s="801"/>
      <c r="GG151" s="801"/>
      <c r="GH151" s="801"/>
      <c r="GI151" s="801"/>
      <c r="GJ151" s="801"/>
      <c r="GK151" s="801"/>
      <c r="GL151" s="801"/>
      <c r="GM151" s="801"/>
      <c r="GN151" s="801"/>
      <c r="GO151" s="801"/>
      <c r="GP151" s="801"/>
      <c r="GQ151" s="801"/>
      <c r="GR151" s="801"/>
      <c r="GS151" s="801"/>
      <c r="GT151" s="801"/>
      <c r="GU151" s="801"/>
      <c r="GV151" s="801"/>
      <c r="GW151" s="801"/>
      <c r="GX151" s="801"/>
      <c r="GY151" s="801"/>
      <c r="GZ151" s="802"/>
      <c r="HA151" s="800" t="str">
        <f>IFERROR(IF(HZ139&gt;HA139-1,IF(INDEX(Pedidos!HJ:IZ,HY139+HA139-1,9)&lt;&gt;"","Cierre :     "&amp; INDEX(Pedidos!HJ:IZ,HY139+HA139-1,9),""),""),"")</f>
        <v/>
      </c>
      <c r="HB151" s="801"/>
      <c r="HC151" s="801"/>
      <c r="HD151" s="801"/>
      <c r="HE151" s="801"/>
      <c r="HF151" s="801"/>
      <c r="HG151" s="801"/>
      <c r="HH151" s="801"/>
      <c r="HI151" s="801"/>
      <c r="HJ151" s="801"/>
      <c r="HK151" s="801"/>
      <c r="HL151" s="801"/>
      <c r="HM151" s="801"/>
      <c r="HN151" s="801"/>
      <c r="HO151" s="801"/>
      <c r="HP151" s="801"/>
      <c r="HQ151" s="801"/>
      <c r="HR151" s="801"/>
      <c r="HS151" s="801"/>
      <c r="HT151" s="801"/>
      <c r="HU151" s="801"/>
      <c r="HV151" s="801"/>
      <c r="HW151" s="801"/>
      <c r="HX151" s="801"/>
      <c r="HY151" s="801"/>
      <c r="HZ151" s="802"/>
      <c r="IA151" s="800" t="str">
        <f>IFERROR(IF(IZ139&gt;IA139-1,IF(INDEX(Pedidos!IJ:JZ,IY139+IA139-1,9)&lt;&gt;"","Cierre :     "&amp; INDEX(Pedidos!IJ:JZ,IY139+IA139-1,9),""),""),"")</f>
        <v/>
      </c>
      <c r="IB151" s="801"/>
      <c r="IC151" s="801"/>
      <c r="ID151" s="801"/>
      <c r="IE151" s="801"/>
      <c r="IF151" s="801"/>
      <c r="IG151" s="801"/>
      <c r="IH151" s="801"/>
      <c r="II151" s="801"/>
      <c r="IJ151" s="801"/>
      <c r="IK151" s="801"/>
      <c r="IL151" s="801"/>
      <c r="IM151" s="801"/>
      <c r="IN151" s="801"/>
      <c r="IO151" s="801"/>
      <c r="IP151" s="801"/>
      <c r="IQ151" s="801"/>
      <c r="IR151" s="801"/>
      <c r="IS151" s="801"/>
      <c r="IT151" s="801"/>
      <c r="IU151" s="801"/>
      <c r="IV151" s="801"/>
      <c r="IW151" s="801"/>
      <c r="IX151" s="801"/>
      <c r="IY151" s="801"/>
      <c r="IZ151" s="802"/>
    </row>
    <row r="152" spans="1:260" x14ac:dyDescent="0.25">
      <c r="A152" s="800" t="str">
        <f>IFERROR(IF(Z139&gt;A139-1,IF(INDEX(Pedidos!J:AZ,Y139+A139-1,11)&lt;&gt;"","Cordon :     "&amp; INDEX(Pedidos!J:AZ,Y139+A139-1,11),""),""),"")</f>
        <v/>
      </c>
      <c r="B152" s="801"/>
      <c r="C152" s="801"/>
      <c r="D152" s="801"/>
      <c r="E152" s="801"/>
      <c r="F152" s="801"/>
      <c r="G152" s="801"/>
      <c r="H152" s="801"/>
      <c r="I152" s="801"/>
      <c r="J152" s="801"/>
      <c r="K152" s="801"/>
      <c r="L152" s="801"/>
      <c r="M152" s="801"/>
      <c r="N152" s="801"/>
      <c r="O152" s="801"/>
      <c r="P152" s="801"/>
      <c r="Q152" s="801"/>
      <c r="R152" s="801"/>
      <c r="S152" s="801"/>
      <c r="T152" s="801"/>
      <c r="U152" s="801"/>
      <c r="V152" s="801"/>
      <c r="W152" s="801"/>
      <c r="X152" s="801"/>
      <c r="Y152" s="801"/>
      <c r="Z152" s="802"/>
      <c r="AA152" s="800" t="str">
        <f>IFERROR(IF(AZ139&gt;AA139-1,IF(INDEX(Pedidos!AJ:BZ,AY139+AA139-1,11)&lt;&gt;"","Cordon :     "&amp; INDEX(Pedidos!AJ:BZ,AY139+AA139-1,11),""),""),"")</f>
        <v/>
      </c>
      <c r="AB152" s="801"/>
      <c r="AC152" s="801"/>
      <c r="AD152" s="801"/>
      <c r="AE152" s="801"/>
      <c r="AF152" s="801"/>
      <c r="AG152" s="801"/>
      <c r="AH152" s="801"/>
      <c r="AI152" s="801"/>
      <c r="AJ152" s="801"/>
      <c r="AK152" s="801"/>
      <c r="AL152" s="801"/>
      <c r="AM152" s="801"/>
      <c r="AN152" s="801"/>
      <c r="AO152" s="801"/>
      <c r="AP152" s="801"/>
      <c r="AQ152" s="801"/>
      <c r="AR152" s="801"/>
      <c r="AS152" s="801"/>
      <c r="AT152" s="801"/>
      <c r="AU152" s="801"/>
      <c r="AV152" s="801"/>
      <c r="AW152" s="801"/>
      <c r="AX152" s="801"/>
      <c r="AY152" s="801"/>
      <c r="AZ152" s="802"/>
      <c r="BA152" s="800" t="str">
        <f>IFERROR(IF(BZ139&gt;BA139-1,IF(INDEX(Pedidos!BJ:CZ,BY139+BA139-1,11)&lt;&gt;"","Cordon :     "&amp; INDEX(Pedidos!BJ:CZ,BY139+BA139-1,11),""),""),"")</f>
        <v/>
      </c>
      <c r="BB152" s="801"/>
      <c r="BC152" s="801"/>
      <c r="BD152" s="801"/>
      <c r="BE152" s="801"/>
      <c r="BF152" s="801"/>
      <c r="BG152" s="801"/>
      <c r="BH152" s="801"/>
      <c r="BI152" s="801"/>
      <c r="BJ152" s="801"/>
      <c r="BK152" s="801"/>
      <c r="BL152" s="801"/>
      <c r="BM152" s="801"/>
      <c r="BN152" s="801"/>
      <c r="BO152" s="801"/>
      <c r="BP152" s="801"/>
      <c r="BQ152" s="801"/>
      <c r="BR152" s="801"/>
      <c r="BS152" s="801"/>
      <c r="BT152" s="801"/>
      <c r="BU152" s="801"/>
      <c r="BV152" s="801"/>
      <c r="BW152" s="801"/>
      <c r="BX152" s="801"/>
      <c r="BY152" s="801"/>
      <c r="BZ152" s="802"/>
      <c r="CA152" s="800" t="str">
        <f>IFERROR(IF(CZ139&gt;CA139-1,IF(INDEX(Pedidos!CJ:DZ,CY139+CA139-1,11)&lt;&gt;"","Cordon :     "&amp; INDEX(Pedidos!CJ:DZ,CY139+CA139-1,11),""),""),"")</f>
        <v/>
      </c>
      <c r="CB152" s="801"/>
      <c r="CC152" s="801"/>
      <c r="CD152" s="801"/>
      <c r="CE152" s="801"/>
      <c r="CF152" s="801"/>
      <c r="CG152" s="801"/>
      <c r="CH152" s="801"/>
      <c r="CI152" s="801"/>
      <c r="CJ152" s="801"/>
      <c r="CK152" s="801"/>
      <c r="CL152" s="801"/>
      <c r="CM152" s="801"/>
      <c r="CN152" s="801"/>
      <c r="CO152" s="801"/>
      <c r="CP152" s="801"/>
      <c r="CQ152" s="801"/>
      <c r="CR152" s="801"/>
      <c r="CS152" s="801"/>
      <c r="CT152" s="801"/>
      <c r="CU152" s="801"/>
      <c r="CV152" s="801"/>
      <c r="CW152" s="801"/>
      <c r="CX152" s="801"/>
      <c r="CY152" s="801"/>
      <c r="CZ152" s="802"/>
      <c r="DA152" s="800" t="str">
        <f>IFERROR(IF(DZ139&gt;DA139-1,IF(INDEX(Pedidos!DJ:EZ,DY139+DA139-1,11)&lt;&gt;"","Cordon :     "&amp; INDEX(Pedidos!DJ:EZ,DY139+DA139-1,11),""),""),"")</f>
        <v/>
      </c>
      <c r="DB152" s="801"/>
      <c r="DC152" s="801"/>
      <c r="DD152" s="801"/>
      <c r="DE152" s="801"/>
      <c r="DF152" s="801"/>
      <c r="DG152" s="801"/>
      <c r="DH152" s="801"/>
      <c r="DI152" s="801"/>
      <c r="DJ152" s="801"/>
      <c r="DK152" s="801"/>
      <c r="DL152" s="801"/>
      <c r="DM152" s="801"/>
      <c r="DN152" s="801"/>
      <c r="DO152" s="801"/>
      <c r="DP152" s="801"/>
      <c r="DQ152" s="801"/>
      <c r="DR152" s="801"/>
      <c r="DS152" s="801"/>
      <c r="DT152" s="801"/>
      <c r="DU152" s="801"/>
      <c r="DV152" s="801"/>
      <c r="DW152" s="801"/>
      <c r="DX152" s="801"/>
      <c r="DY152" s="801"/>
      <c r="DZ152" s="802"/>
      <c r="EA152" s="800" t="str">
        <f>IFERROR(IF(EZ139&gt;EA139-1,IF(INDEX(Pedidos!EJ:FZ,EY139+EA139-1,11)&lt;&gt;"","Cordon :     "&amp; INDEX(Pedidos!EJ:FZ,EY139+EA139-1,11),""),""),"")</f>
        <v/>
      </c>
      <c r="EB152" s="801"/>
      <c r="EC152" s="801"/>
      <c r="ED152" s="801"/>
      <c r="EE152" s="801"/>
      <c r="EF152" s="801"/>
      <c r="EG152" s="801"/>
      <c r="EH152" s="801"/>
      <c r="EI152" s="801"/>
      <c r="EJ152" s="801"/>
      <c r="EK152" s="801"/>
      <c r="EL152" s="801"/>
      <c r="EM152" s="801"/>
      <c r="EN152" s="801"/>
      <c r="EO152" s="801"/>
      <c r="EP152" s="801"/>
      <c r="EQ152" s="801"/>
      <c r="ER152" s="801"/>
      <c r="ES152" s="801"/>
      <c r="ET152" s="801"/>
      <c r="EU152" s="801"/>
      <c r="EV152" s="801"/>
      <c r="EW152" s="801"/>
      <c r="EX152" s="801"/>
      <c r="EY152" s="801"/>
      <c r="EZ152" s="802"/>
      <c r="FA152" s="800" t="str">
        <f>IFERROR(IF(FZ139&gt;FA139-1,IF(INDEX(Pedidos!FJ:GZ,FY139+FA139-1,11)&lt;&gt;"","Cordon :     "&amp; INDEX(Pedidos!FJ:GZ,FY139+FA139-1,11),""),""),"")</f>
        <v/>
      </c>
      <c r="FB152" s="801"/>
      <c r="FC152" s="801"/>
      <c r="FD152" s="801"/>
      <c r="FE152" s="801"/>
      <c r="FF152" s="801"/>
      <c r="FG152" s="801"/>
      <c r="FH152" s="801"/>
      <c r="FI152" s="801"/>
      <c r="FJ152" s="801"/>
      <c r="FK152" s="801"/>
      <c r="FL152" s="801"/>
      <c r="FM152" s="801"/>
      <c r="FN152" s="801"/>
      <c r="FO152" s="801"/>
      <c r="FP152" s="801"/>
      <c r="FQ152" s="801"/>
      <c r="FR152" s="801"/>
      <c r="FS152" s="801"/>
      <c r="FT152" s="801"/>
      <c r="FU152" s="801"/>
      <c r="FV152" s="801"/>
      <c r="FW152" s="801"/>
      <c r="FX152" s="801"/>
      <c r="FY152" s="801"/>
      <c r="FZ152" s="802"/>
      <c r="GA152" s="800" t="str">
        <f>IFERROR(IF(GZ139&gt;GA139-1,IF(INDEX(Pedidos!GJ:HZ,GY139+GA139-1,11)&lt;&gt;"","Cordon :     "&amp; INDEX(Pedidos!GJ:HZ,GY139+GA139-1,11),""),""),"")</f>
        <v/>
      </c>
      <c r="GB152" s="801"/>
      <c r="GC152" s="801"/>
      <c r="GD152" s="801"/>
      <c r="GE152" s="801"/>
      <c r="GF152" s="801"/>
      <c r="GG152" s="801"/>
      <c r="GH152" s="801"/>
      <c r="GI152" s="801"/>
      <c r="GJ152" s="801"/>
      <c r="GK152" s="801"/>
      <c r="GL152" s="801"/>
      <c r="GM152" s="801"/>
      <c r="GN152" s="801"/>
      <c r="GO152" s="801"/>
      <c r="GP152" s="801"/>
      <c r="GQ152" s="801"/>
      <c r="GR152" s="801"/>
      <c r="GS152" s="801"/>
      <c r="GT152" s="801"/>
      <c r="GU152" s="801"/>
      <c r="GV152" s="801"/>
      <c r="GW152" s="801"/>
      <c r="GX152" s="801"/>
      <c r="GY152" s="801"/>
      <c r="GZ152" s="802"/>
      <c r="HA152" s="800" t="str">
        <f>IFERROR(IF(HZ139&gt;HA139-1,IF(INDEX(Pedidos!HJ:IZ,HY139+HA139-1,11)&lt;&gt;"","Cordon :     "&amp; INDEX(Pedidos!HJ:IZ,HY139+HA139-1,11),""),""),"")</f>
        <v/>
      </c>
      <c r="HB152" s="801"/>
      <c r="HC152" s="801"/>
      <c r="HD152" s="801"/>
      <c r="HE152" s="801"/>
      <c r="HF152" s="801"/>
      <c r="HG152" s="801"/>
      <c r="HH152" s="801"/>
      <c r="HI152" s="801"/>
      <c r="HJ152" s="801"/>
      <c r="HK152" s="801"/>
      <c r="HL152" s="801"/>
      <c r="HM152" s="801"/>
      <c r="HN152" s="801"/>
      <c r="HO152" s="801"/>
      <c r="HP152" s="801"/>
      <c r="HQ152" s="801"/>
      <c r="HR152" s="801"/>
      <c r="HS152" s="801"/>
      <c r="HT152" s="801"/>
      <c r="HU152" s="801"/>
      <c r="HV152" s="801"/>
      <c r="HW152" s="801"/>
      <c r="HX152" s="801"/>
      <c r="HY152" s="801"/>
      <c r="HZ152" s="802"/>
      <c r="IA152" s="800" t="str">
        <f>IFERROR(IF(IZ139&gt;IA139-1,IF(INDEX(Pedidos!IJ:JZ,IY139+IA139-1,11)&lt;&gt;"","Cordon :     "&amp; INDEX(Pedidos!IJ:JZ,IY139+IA139-1,11),""),""),"")</f>
        <v/>
      </c>
      <c r="IB152" s="801"/>
      <c r="IC152" s="801"/>
      <c r="ID152" s="801"/>
      <c r="IE152" s="801"/>
      <c r="IF152" s="801"/>
      <c r="IG152" s="801"/>
      <c r="IH152" s="801"/>
      <c r="II152" s="801"/>
      <c r="IJ152" s="801"/>
      <c r="IK152" s="801"/>
      <c r="IL152" s="801"/>
      <c r="IM152" s="801"/>
      <c r="IN152" s="801"/>
      <c r="IO152" s="801"/>
      <c r="IP152" s="801"/>
      <c r="IQ152" s="801"/>
      <c r="IR152" s="801"/>
      <c r="IS152" s="801"/>
      <c r="IT152" s="801"/>
      <c r="IU152" s="801"/>
      <c r="IV152" s="801"/>
      <c r="IW152" s="801"/>
      <c r="IX152" s="801"/>
      <c r="IY152" s="801"/>
      <c r="IZ152" s="802"/>
    </row>
    <row r="153" spans="1:260" x14ac:dyDescent="0.25">
      <c r="A153" s="800" t="str">
        <f>IFERROR(IF(Z139&gt;A139-1,IF(INDEX(Pedidos!J:AZ,Y139+A139-1,12)&lt;&gt;"","Color Cordon :     "&amp; INDEX(Pedidos!J:AZ,Y139+A139-1,12),""),""),"")</f>
        <v/>
      </c>
      <c r="B153" s="801"/>
      <c r="C153" s="801"/>
      <c r="D153" s="801"/>
      <c r="E153" s="801"/>
      <c r="F153" s="801"/>
      <c r="G153" s="801"/>
      <c r="H153" s="801"/>
      <c r="I153" s="801"/>
      <c r="J153" s="801"/>
      <c r="K153" s="801"/>
      <c r="L153" s="801"/>
      <c r="M153" s="801"/>
      <c r="N153" s="801"/>
      <c r="O153" s="801"/>
      <c r="P153" s="801"/>
      <c r="Q153" s="801"/>
      <c r="R153" s="801"/>
      <c r="S153" s="801"/>
      <c r="T153" s="801"/>
      <c r="U153" s="801"/>
      <c r="V153" s="801"/>
      <c r="W153" s="801"/>
      <c r="X153" s="801"/>
      <c r="Y153" s="801"/>
      <c r="Z153" s="802"/>
      <c r="AA153" s="800" t="str">
        <f>IFERROR(IF(AZ139&gt;AA139-1,IF(INDEX(Pedidos!AJ:BZ,AY139+AA139-1,12)&lt;&gt;"","Color Cordon :     "&amp; INDEX(Pedidos!AJ:BZ,AY139+AA139-1,12),""),""),"")</f>
        <v/>
      </c>
      <c r="AB153" s="801"/>
      <c r="AC153" s="801"/>
      <c r="AD153" s="801"/>
      <c r="AE153" s="801"/>
      <c r="AF153" s="801"/>
      <c r="AG153" s="801"/>
      <c r="AH153" s="801"/>
      <c r="AI153" s="801"/>
      <c r="AJ153" s="801"/>
      <c r="AK153" s="801"/>
      <c r="AL153" s="801"/>
      <c r="AM153" s="801"/>
      <c r="AN153" s="801"/>
      <c r="AO153" s="801"/>
      <c r="AP153" s="801"/>
      <c r="AQ153" s="801"/>
      <c r="AR153" s="801"/>
      <c r="AS153" s="801"/>
      <c r="AT153" s="801"/>
      <c r="AU153" s="801"/>
      <c r="AV153" s="801"/>
      <c r="AW153" s="801"/>
      <c r="AX153" s="801"/>
      <c r="AY153" s="801"/>
      <c r="AZ153" s="802"/>
      <c r="BA153" s="800" t="str">
        <f>IFERROR(IF(BZ139&gt;BA139-1,IF(INDEX(Pedidos!BJ:CZ,BY139+BA139-1,12)&lt;&gt;"","Color Cordon :     "&amp; INDEX(Pedidos!BJ:CZ,BY139+BA139-1,12),""),""),"")</f>
        <v/>
      </c>
      <c r="BB153" s="801"/>
      <c r="BC153" s="801"/>
      <c r="BD153" s="801"/>
      <c r="BE153" s="801"/>
      <c r="BF153" s="801"/>
      <c r="BG153" s="801"/>
      <c r="BH153" s="801"/>
      <c r="BI153" s="801"/>
      <c r="BJ153" s="801"/>
      <c r="BK153" s="801"/>
      <c r="BL153" s="801"/>
      <c r="BM153" s="801"/>
      <c r="BN153" s="801"/>
      <c r="BO153" s="801"/>
      <c r="BP153" s="801"/>
      <c r="BQ153" s="801"/>
      <c r="BR153" s="801"/>
      <c r="BS153" s="801"/>
      <c r="BT153" s="801"/>
      <c r="BU153" s="801"/>
      <c r="BV153" s="801"/>
      <c r="BW153" s="801"/>
      <c r="BX153" s="801"/>
      <c r="BY153" s="801"/>
      <c r="BZ153" s="802"/>
      <c r="CA153" s="800" t="str">
        <f>IFERROR(IF(CZ139&gt;CA139-1,IF(INDEX(Pedidos!CJ:DZ,CY139+CA139-1,12)&lt;&gt;"","Color Cordon :     "&amp; INDEX(Pedidos!CJ:DZ,CY139+CA139-1,12),""),""),"")</f>
        <v/>
      </c>
      <c r="CB153" s="801"/>
      <c r="CC153" s="801"/>
      <c r="CD153" s="801"/>
      <c r="CE153" s="801"/>
      <c r="CF153" s="801"/>
      <c r="CG153" s="801"/>
      <c r="CH153" s="801"/>
      <c r="CI153" s="801"/>
      <c r="CJ153" s="801"/>
      <c r="CK153" s="801"/>
      <c r="CL153" s="801"/>
      <c r="CM153" s="801"/>
      <c r="CN153" s="801"/>
      <c r="CO153" s="801"/>
      <c r="CP153" s="801"/>
      <c r="CQ153" s="801"/>
      <c r="CR153" s="801"/>
      <c r="CS153" s="801"/>
      <c r="CT153" s="801"/>
      <c r="CU153" s="801"/>
      <c r="CV153" s="801"/>
      <c r="CW153" s="801"/>
      <c r="CX153" s="801"/>
      <c r="CY153" s="801"/>
      <c r="CZ153" s="802"/>
      <c r="DA153" s="800" t="str">
        <f>IFERROR(IF(DZ139&gt;DA139-1,IF(INDEX(Pedidos!DJ:EZ,DY139+DA139-1,12)&lt;&gt;"","Color Cordon :     "&amp; INDEX(Pedidos!DJ:EZ,DY139+DA139-1,12),""),""),"")</f>
        <v/>
      </c>
      <c r="DB153" s="801"/>
      <c r="DC153" s="801"/>
      <c r="DD153" s="801"/>
      <c r="DE153" s="801"/>
      <c r="DF153" s="801"/>
      <c r="DG153" s="801"/>
      <c r="DH153" s="801"/>
      <c r="DI153" s="801"/>
      <c r="DJ153" s="801"/>
      <c r="DK153" s="801"/>
      <c r="DL153" s="801"/>
      <c r="DM153" s="801"/>
      <c r="DN153" s="801"/>
      <c r="DO153" s="801"/>
      <c r="DP153" s="801"/>
      <c r="DQ153" s="801"/>
      <c r="DR153" s="801"/>
      <c r="DS153" s="801"/>
      <c r="DT153" s="801"/>
      <c r="DU153" s="801"/>
      <c r="DV153" s="801"/>
      <c r="DW153" s="801"/>
      <c r="DX153" s="801"/>
      <c r="DY153" s="801"/>
      <c r="DZ153" s="802"/>
      <c r="EA153" s="800" t="str">
        <f>IFERROR(IF(EZ139&gt;EA139-1,IF(INDEX(Pedidos!EJ:FZ,EY139+EA139-1,12)&lt;&gt;"","Color Cordon :     "&amp; INDEX(Pedidos!EJ:FZ,EY139+EA139-1,12),""),""),"")</f>
        <v/>
      </c>
      <c r="EB153" s="801"/>
      <c r="EC153" s="801"/>
      <c r="ED153" s="801"/>
      <c r="EE153" s="801"/>
      <c r="EF153" s="801"/>
      <c r="EG153" s="801"/>
      <c r="EH153" s="801"/>
      <c r="EI153" s="801"/>
      <c r="EJ153" s="801"/>
      <c r="EK153" s="801"/>
      <c r="EL153" s="801"/>
      <c r="EM153" s="801"/>
      <c r="EN153" s="801"/>
      <c r="EO153" s="801"/>
      <c r="EP153" s="801"/>
      <c r="EQ153" s="801"/>
      <c r="ER153" s="801"/>
      <c r="ES153" s="801"/>
      <c r="ET153" s="801"/>
      <c r="EU153" s="801"/>
      <c r="EV153" s="801"/>
      <c r="EW153" s="801"/>
      <c r="EX153" s="801"/>
      <c r="EY153" s="801"/>
      <c r="EZ153" s="802"/>
      <c r="FA153" s="800" t="str">
        <f>IFERROR(IF(FZ139&gt;FA139-1,IF(INDEX(Pedidos!FJ:GZ,FY139+FA139-1,12)&lt;&gt;"","Color Cordon :     "&amp; INDEX(Pedidos!FJ:GZ,FY139+FA139-1,12),""),""),"")</f>
        <v/>
      </c>
      <c r="FB153" s="801"/>
      <c r="FC153" s="801"/>
      <c r="FD153" s="801"/>
      <c r="FE153" s="801"/>
      <c r="FF153" s="801"/>
      <c r="FG153" s="801"/>
      <c r="FH153" s="801"/>
      <c r="FI153" s="801"/>
      <c r="FJ153" s="801"/>
      <c r="FK153" s="801"/>
      <c r="FL153" s="801"/>
      <c r="FM153" s="801"/>
      <c r="FN153" s="801"/>
      <c r="FO153" s="801"/>
      <c r="FP153" s="801"/>
      <c r="FQ153" s="801"/>
      <c r="FR153" s="801"/>
      <c r="FS153" s="801"/>
      <c r="FT153" s="801"/>
      <c r="FU153" s="801"/>
      <c r="FV153" s="801"/>
      <c r="FW153" s="801"/>
      <c r="FX153" s="801"/>
      <c r="FY153" s="801"/>
      <c r="FZ153" s="802"/>
      <c r="GA153" s="800" t="str">
        <f>IFERROR(IF(GZ139&gt;GA139-1,IF(INDEX(Pedidos!GJ:HZ,GY139+GA139-1,12)&lt;&gt;"","Color Cordon :     "&amp; INDEX(Pedidos!GJ:HZ,GY139+GA139-1,12),""),""),"")</f>
        <v/>
      </c>
      <c r="GB153" s="801"/>
      <c r="GC153" s="801"/>
      <c r="GD153" s="801"/>
      <c r="GE153" s="801"/>
      <c r="GF153" s="801"/>
      <c r="GG153" s="801"/>
      <c r="GH153" s="801"/>
      <c r="GI153" s="801"/>
      <c r="GJ153" s="801"/>
      <c r="GK153" s="801"/>
      <c r="GL153" s="801"/>
      <c r="GM153" s="801"/>
      <c r="GN153" s="801"/>
      <c r="GO153" s="801"/>
      <c r="GP153" s="801"/>
      <c r="GQ153" s="801"/>
      <c r="GR153" s="801"/>
      <c r="GS153" s="801"/>
      <c r="GT153" s="801"/>
      <c r="GU153" s="801"/>
      <c r="GV153" s="801"/>
      <c r="GW153" s="801"/>
      <c r="GX153" s="801"/>
      <c r="GY153" s="801"/>
      <c r="GZ153" s="802"/>
      <c r="HA153" s="800" t="str">
        <f>IFERROR(IF(HZ139&gt;HA139-1,IF(INDEX(Pedidos!HJ:IZ,HY139+HA139-1,12)&lt;&gt;"","Color Cordon :     "&amp; INDEX(Pedidos!HJ:IZ,HY139+HA139-1,12),""),""),"")</f>
        <v/>
      </c>
      <c r="HB153" s="801"/>
      <c r="HC153" s="801"/>
      <c r="HD153" s="801"/>
      <c r="HE153" s="801"/>
      <c r="HF153" s="801"/>
      <c r="HG153" s="801"/>
      <c r="HH153" s="801"/>
      <c r="HI153" s="801"/>
      <c r="HJ153" s="801"/>
      <c r="HK153" s="801"/>
      <c r="HL153" s="801"/>
      <c r="HM153" s="801"/>
      <c r="HN153" s="801"/>
      <c r="HO153" s="801"/>
      <c r="HP153" s="801"/>
      <c r="HQ153" s="801"/>
      <c r="HR153" s="801"/>
      <c r="HS153" s="801"/>
      <c r="HT153" s="801"/>
      <c r="HU153" s="801"/>
      <c r="HV153" s="801"/>
      <c r="HW153" s="801"/>
      <c r="HX153" s="801"/>
      <c r="HY153" s="801"/>
      <c r="HZ153" s="802"/>
      <c r="IA153" s="800" t="str">
        <f>IFERROR(IF(IZ139&gt;IA139-1,IF(INDEX(Pedidos!IJ:JZ,IY139+IA139-1,12)&lt;&gt;"","Color Cordon :     "&amp; INDEX(Pedidos!IJ:JZ,IY139+IA139-1,12),""),""),"")</f>
        <v/>
      </c>
      <c r="IB153" s="801"/>
      <c r="IC153" s="801"/>
      <c r="ID153" s="801"/>
      <c r="IE153" s="801"/>
      <c r="IF153" s="801"/>
      <c r="IG153" s="801"/>
      <c r="IH153" s="801"/>
      <c r="II153" s="801"/>
      <c r="IJ153" s="801"/>
      <c r="IK153" s="801"/>
      <c r="IL153" s="801"/>
      <c r="IM153" s="801"/>
      <c r="IN153" s="801"/>
      <c r="IO153" s="801"/>
      <c r="IP153" s="801"/>
      <c r="IQ153" s="801"/>
      <c r="IR153" s="801"/>
      <c r="IS153" s="801"/>
      <c r="IT153" s="801"/>
      <c r="IU153" s="801"/>
      <c r="IV153" s="801"/>
      <c r="IW153" s="801"/>
      <c r="IX153" s="801"/>
      <c r="IY153" s="801"/>
      <c r="IZ153" s="802"/>
    </row>
    <row r="154" spans="1:260" x14ac:dyDescent="0.25">
      <c r="A154" s="800"/>
      <c r="B154" s="801"/>
      <c r="C154" s="801"/>
      <c r="D154" s="801"/>
      <c r="E154" s="801"/>
      <c r="F154" s="801"/>
      <c r="G154" s="801"/>
      <c r="H154" s="801"/>
      <c r="I154" s="801"/>
      <c r="J154" s="801"/>
      <c r="K154" s="801"/>
      <c r="L154" s="801"/>
      <c r="M154" s="801"/>
      <c r="N154" s="801"/>
      <c r="O154" s="801"/>
      <c r="P154" s="801"/>
      <c r="Q154" s="801"/>
      <c r="R154" s="801"/>
      <c r="S154" s="801"/>
      <c r="T154" s="801"/>
      <c r="U154" s="801"/>
      <c r="V154" s="801"/>
      <c r="W154" s="801"/>
      <c r="X154" s="801"/>
      <c r="Y154" s="801"/>
      <c r="Z154" s="802"/>
      <c r="AA154" s="800"/>
      <c r="AB154" s="801"/>
      <c r="AC154" s="801"/>
      <c r="AD154" s="801"/>
      <c r="AE154" s="801"/>
      <c r="AF154" s="801"/>
      <c r="AG154" s="801"/>
      <c r="AH154" s="801"/>
      <c r="AI154" s="801"/>
      <c r="AJ154" s="801"/>
      <c r="AK154" s="801"/>
      <c r="AL154" s="801"/>
      <c r="AM154" s="801"/>
      <c r="AN154" s="801"/>
      <c r="AO154" s="801"/>
      <c r="AP154" s="801"/>
      <c r="AQ154" s="801"/>
      <c r="AR154" s="801"/>
      <c r="AS154" s="801"/>
      <c r="AT154" s="801"/>
      <c r="AU154" s="801"/>
      <c r="AV154" s="801"/>
      <c r="AW154" s="801"/>
      <c r="AX154" s="801"/>
      <c r="AY154" s="801"/>
      <c r="AZ154" s="802"/>
      <c r="BA154" s="800"/>
      <c r="BB154" s="801"/>
      <c r="BC154" s="801"/>
      <c r="BD154" s="801"/>
      <c r="BE154" s="801"/>
      <c r="BF154" s="801"/>
      <c r="BG154" s="801"/>
      <c r="BH154" s="801"/>
      <c r="BI154" s="801"/>
      <c r="BJ154" s="801"/>
      <c r="BK154" s="801"/>
      <c r="BL154" s="801"/>
      <c r="BM154" s="801"/>
      <c r="BN154" s="801"/>
      <c r="BO154" s="801"/>
      <c r="BP154" s="801"/>
      <c r="BQ154" s="801"/>
      <c r="BR154" s="801"/>
      <c r="BS154" s="801"/>
      <c r="BT154" s="801"/>
      <c r="BU154" s="801"/>
      <c r="BV154" s="801"/>
      <c r="BW154" s="801"/>
      <c r="BX154" s="801"/>
      <c r="BY154" s="801"/>
      <c r="BZ154" s="802"/>
      <c r="CA154" s="800"/>
      <c r="CB154" s="801"/>
      <c r="CC154" s="801"/>
      <c r="CD154" s="801"/>
      <c r="CE154" s="801"/>
      <c r="CF154" s="801"/>
      <c r="CG154" s="801"/>
      <c r="CH154" s="801"/>
      <c r="CI154" s="801"/>
      <c r="CJ154" s="801"/>
      <c r="CK154" s="801"/>
      <c r="CL154" s="801"/>
      <c r="CM154" s="801"/>
      <c r="CN154" s="801"/>
      <c r="CO154" s="801"/>
      <c r="CP154" s="801"/>
      <c r="CQ154" s="801"/>
      <c r="CR154" s="801"/>
      <c r="CS154" s="801"/>
      <c r="CT154" s="801"/>
      <c r="CU154" s="801"/>
      <c r="CV154" s="801"/>
      <c r="CW154" s="801"/>
      <c r="CX154" s="801"/>
      <c r="CY154" s="801"/>
      <c r="CZ154" s="802"/>
      <c r="DA154" s="800"/>
      <c r="DB154" s="801"/>
      <c r="DC154" s="801"/>
      <c r="DD154" s="801"/>
      <c r="DE154" s="801"/>
      <c r="DF154" s="801"/>
      <c r="DG154" s="801"/>
      <c r="DH154" s="801"/>
      <c r="DI154" s="801"/>
      <c r="DJ154" s="801"/>
      <c r="DK154" s="801"/>
      <c r="DL154" s="801"/>
      <c r="DM154" s="801"/>
      <c r="DN154" s="801"/>
      <c r="DO154" s="801"/>
      <c r="DP154" s="801"/>
      <c r="DQ154" s="801"/>
      <c r="DR154" s="801"/>
      <c r="DS154" s="801"/>
      <c r="DT154" s="801"/>
      <c r="DU154" s="801"/>
      <c r="DV154" s="801"/>
      <c r="DW154" s="801"/>
      <c r="DX154" s="801"/>
      <c r="DY154" s="801"/>
      <c r="DZ154" s="802"/>
      <c r="EA154" s="800"/>
      <c r="EB154" s="801"/>
      <c r="EC154" s="801"/>
      <c r="ED154" s="801"/>
      <c r="EE154" s="801"/>
      <c r="EF154" s="801"/>
      <c r="EG154" s="801"/>
      <c r="EH154" s="801"/>
      <c r="EI154" s="801"/>
      <c r="EJ154" s="801"/>
      <c r="EK154" s="801"/>
      <c r="EL154" s="801"/>
      <c r="EM154" s="801"/>
      <c r="EN154" s="801"/>
      <c r="EO154" s="801"/>
      <c r="EP154" s="801"/>
      <c r="EQ154" s="801"/>
      <c r="ER154" s="801"/>
      <c r="ES154" s="801"/>
      <c r="ET154" s="801"/>
      <c r="EU154" s="801"/>
      <c r="EV154" s="801"/>
      <c r="EW154" s="801"/>
      <c r="EX154" s="801"/>
      <c r="EY154" s="801"/>
      <c r="EZ154" s="802"/>
      <c r="FA154" s="800"/>
      <c r="FB154" s="801"/>
      <c r="FC154" s="801"/>
      <c r="FD154" s="801"/>
      <c r="FE154" s="801"/>
      <c r="FF154" s="801"/>
      <c r="FG154" s="801"/>
      <c r="FH154" s="801"/>
      <c r="FI154" s="801"/>
      <c r="FJ154" s="801"/>
      <c r="FK154" s="801"/>
      <c r="FL154" s="801"/>
      <c r="FM154" s="801"/>
      <c r="FN154" s="801"/>
      <c r="FO154" s="801"/>
      <c r="FP154" s="801"/>
      <c r="FQ154" s="801"/>
      <c r="FR154" s="801"/>
      <c r="FS154" s="801"/>
      <c r="FT154" s="801"/>
      <c r="FU154" s="801"/>
      <c r="FV154" s="801"/>
      <c r="FW154" s="801"/>
      <c r="FX154" s="801"/>
      <c r="FY154" s="801"/>
      <c r="FZ154" s="802"/>
      <c r="GA154" s="800"/>
      <c r="GB154" s="801"/>
      <c r="GC154" s="801"/>
      <c r="GD154" s="801"/>
      <c r="GE154" s="801"/>
      <c r="GF154" s="801"/>
      <c r="GG154" s="801"/>
      <c r="GH154" s="801"/>
      <c r="GI154" s="801"/>
      <c r="GJ154" s="801"/>
      <c r="GK154" s="801"/>
      <c r="GL154" s="801"/>
      <c r="GM154" s="801"/>
      <c r="GN154" s="801"/>
      <c r="GO154" s="801"/>
      <c r="GP154" s="801"/>
      <c r="GQ154" s="801"/>
      <c r="GR154" s="801"/>
      <c r="GS154" s="801"/>
      <c r="GT154" s="801"/>
      <c r="GU154" s="801"/>
      <c r="GV154" s="801"/>
      <c r="GW154" s="801"/>
      <c r="GX154" s="801"/>
      <c r="GY154" s="801"/>
      <c r="GZ154" s="802"/>
      <c r="HA154" s="800"/>
      <c r="HB154" s="801"/>
      <c r="HC154" s="801"/>
      <c r="HD154" s="801"/>
      <c r="HE154" s="801"/>
      <c r="HF154" s="801"/>
      <c r="HG154" s="801"/>
      <c r="HH154" s="801"/>
      <c r="HI154" s="801"/>
      <c r="HJ154" s="801"/>
      <c r="HK154" s="801"/>
      <c r="HL154" s="801"/>
      <c r="HM154" s="801"/>
      <c r="HN154" s="801"/>
      <c r="HO154" s="801"/>
      <c r="HP154" s="801"/>
      <c r="HQ154" s="801"/>
      <c r="HR154" s="801"/>
      <c r="HS154" s="801"/>
      <c r="HT154" s="801"/>
      <c r="HU154" s="801"/>
      <c r="HV154" s="801"/>
      <c r="HW154" s="801"/>
      <c r="HX154" s="801"/>
      <c r="HY154" s="801"/>
      <c r="HZ154" s="802"/>
      <c r="IA154" s="800"/>
      <c r="IB154" s="801"/>
      <c r="IC154" s="801"/>
      <c r="ID154" s="801"/>
      <c r="IE154" s="801"/>
      <c r="IF154" s="801"/>
      <c r="IG154" s="801"/>
      <c r="IH154" s="801"/>
      <c r="II154" s="801"/>
      <c r="IJ154" s="801"/>
      <c r="IK154" s="801"/>
      <c r="IL154" s="801"/>
      <c r="IM154" s="801"/>
      <c r="IN154" s="801"/>
      <c r="IO154" s="801"/>
      <c r="IP154" s="801"/>
      <c r="IQ154" s="801"/>
      <c r="IR154" s="801"/>
      <c r="IS154" s="801"/>
      <c r="IT154" s="801"/>
      <c r="IU154" s="801"/>
      <c r="IV154" s="801"/>
      <c r="IW154" s="801"/>
      <c r="IX154" s="801"/>
      <c r="IY154" s="801"/>
      <c r="IZ154" s="802"/>
    </row>
    <row r="155" spans="1:260" x14ac:dyDescent="0.25">
      <c r="A155" s="800"/>
      <c r="B155" s="801"/>
      <c r="C155" s="801"/>
      <c r="D155" s="801"/>
      <c r="E155" s="801"/>
      <c r="F155" s="801"/>
      <c r="G155" s="801"/>
      <c r="H155" s="801"/>
      <c r="I155" s="801"/>
      <c r="J155" s="801"/>
      <c r="K155" s="801"/>
      <c r="L155" s="801"/>
      <c r="M155" s="801"/>
      <c r="N155" s="801"/>
      <c r="O155" s="801"/>
      <c r="P155" s="801"/>
      <c r="Q155" s="801"/>
      <c r="R155" s="801"/>
      <c r="S155" s="801"/>
      <c r="T155" s="801"/>
      <c r="U155" s="801"/>
      <c r="V155" s="801"/>
      <c r="W155" s="801"/>
      <c r="X155" s="801"/>
      <c r="Y155" s="801"/>
      <c r="Z155" s="802"/>
      <c r="AA155" s="800"/>
      <c r="AB155" s="801"/>
      <c r="AC155" s="801"/>
      <c r="AD155" s="801"/>
      <c r="AE155" s="801"/>
      <c r="AF155" s="801"/>
      <c r="AG155" s="801"/>
      <c r="AH155" s="801"/>
      <c r="AI155" s="801"/>
      <c r="AJ155" s="801"/>
      <c r="AK155" s="801"/>
      <c r="AL155" s="801"/>
      <c r="AM155" s="801"/>
      <c r="AN155" s="801"/>
      <c r="AO155" s="801"/>
      <c r="AP155" s="801"/>
      <c r="AQ155" s="801"/>
      <c r="AR155" s="801"/>
      <c r="AS155" s="801"/>
      <c r="AT155" s="801"/>
      <c r="AU155" s="801"/>
      <c r="AV155" s="801"/>
      <c r="AW155" s="801"/>
      <c r="AX155" s="801"/>
      <c r="AY155" s="801"/>
      <c r="AZ155" s="802"/>
      <c r="BA155" s="800"/>
      <c r="BB155" s="801"/>
      <c r="BC155" s="801"/>
      <c r="BD155" s="801"/>
      <c r="BE155" s="801"/>
      <c r="BF155" s="801"/>
      <c r="BG155" s="801"/>
      <c r="BH155" s="801"/>
      <c r="BI155" s="801"/>
      <c r="BJ155" s="801"/>
      <c r="BK155" s="801"/>
      <c r="BL155" s="801"/>
      <c r="BM155" s="801"/>
      <c r="BN155" s="801"/>
      <c r="BO155" s="801"/>
      <c r="BP155" s="801"/>
      <c r="BQ155" s="801"/>
      <c r="BR155" s="801"/>
      <c r="BS155" s="801"/>
      <c r="BT155" s="801"/>
      <c r="BU155" s="801"/>
      <c r="BV155" s="801"/>
      <c r="BW155" s="801"/>
      <c r="BX155" s="801"/>
      <c r="BY155" s="801"/>
      <c r="BZ155" s="802"/>
      <c r="CA155" s="800"/>
      <c r="CB155" s="801"/>
      <c r="CC155" s="801"/>
      <c r="CD155" s="801"/>
      <c r="CE155" s="801"/>
      <c r="CF155" s="801"/>
      <c r="CG155" s="801"/>
      <c r="CH155" s="801"/>
      <c r="CI155" s="801"/>
      <c r="CJ155" s="801"/>
      <c r="CK155" s="801"/>
      <c r="CL155" s="801"/>
      <c r="CM155" s="801"/>
      <c r="CN155" s="801"/>
      <c r="CO155" s="801"/>
      <c r="CP155" s="801"/>
      <c r="CQ155" s="801"/>
      <c r="CR155" s="801"/>
      <c r="CS155" s="801"/>
      <c r="CT155" s="801"/>
      <c r="CU155" s="801"/>
      <c r="CV155" s="801"/>
      <c r="CW155" s="801"/>
      <c r="CX155" s="801"/>
      <c r="CY155" s="801"/>
      <c r="CZ155" s="802"/>
      <c r="DA155" s="800"/>
      <c r="DB155" s="801"/>
      <c r="DC155" s="801"/>
      <c r="DD155" s="801"/>
      <c r="DE155" s="801"/>
      <c r="DF155" s="801"/>
      <c r="DG155" s="801"/>
      <c r="DH155" s="801"/>
      <c r="DI155" s="801"/>
      <c r="DJ155" s="801"/>
      <c r="DK155" s="801"/>
      <c r="DL155" s="801"/>
      <c r="DM155" s="801"/>
      <c r="DN155" s="801"/>
      <c r="DO155" s="801"/>
      <c r="DP155" s="801"/>
      <c r="DQ155" s="801"/>
      <c r="DR155" s="801"/>
      <c r="DS155" s="801"/>
      <c r="DT155" s="801"/>
      <c r="DU155" s="801"/>
      <c r="DV155" s="801"/>
      <c r="DW155" s="801"/>
      <c r="DX155" s="801"/>
      <c r="DY155" s="801"/>
      <c r="DZ155" s="802"/>
      <c r="EA155" s="800"/>
      <c r="EB155" s="801"/>
      <c r="EC155" s="801"/>
      <c r="ED155" s="801"/>
      <c r="EE155" s="801"/>
      <c r="EF155" s="801"/>
      <c r="EG155" s="801"/>
      <c r="EH155" s="801"/>
      <c r="EI155" s="801"/>
      <c r="EJ155" s="801"/>
      <c r="EK155" s="801"/>
      <c r="EL155" s="801"/>
      <c r="EM155" s="801"/>
      <c r="EN155" s="801"/>
      <c r="EO155" s="801"/>
      <c r="EP155" s="801"/>
      <c r="EQ155" s="801"/>
      <c r="ER155" s="801"/>
      <c r="ES155" s="801"/>
      <c r="ET155" s="801"/>
      <c r="EU155" s="801"/>
      <c r="EV155" s="801"/>
      <c r="EW155" s="801"/>
      <c r="EX155" s="801"/>
      <c r="EY155" s="801"/>
      <c r="EZ155" s="802"/>
      <c r="FA155" s="800"/>
      <c r="FB155" s="801"/>
      <c r="FC155" s="801"/>
      <c r="FD155" s="801"/>
      <c r="FE155" s="801"/>
      <c r="FF155" s="801"/>
      <c r="FG155" s="801"/>
      <c r="FH155" s="801"/>
      <c r="FI155" s="801"/>
      <c r="FJ155" s="801"/>
      <c r="FK155" s="801"/>
      <c r="FL155" s="801"/>
      <c r="FM155" s="801"/>
      <c r="FN155" s="801"/>
      <c r="FO155" s="801"/>
      <c r="FP155" s="801"/>
      <c r="FQ155" s="801"/>
      <c r="FR155" s="801"/>
      <c r="FS155" s="801"/>
      <c r="FT155" s="801"/>
      <c r="FU155" s="801"/>
      <c r="FV155" s="801"/>
      <c r="FW155" s="801"/>
      <c r="FX155" s="801"/>
      <c r="FY155" s="801"/>
      <c r="FZ155" s="802"/>
      <c r="GA155" s="800"/>
      <c r="GB155" s="801"/>
      <c r="GC155" s="801"/>
      <c r="GD155" s="801"/>
      <c r="GE155" s="801"/>
      <c r="GF155" s="801"/>
      <c r="GG155" s="801"/>
      <c r="GH155" s="801"/>
      <c r="GI155" s="801"/>
      <c r="GJ155" s="801"/>
      <c r="GK155" s="801"/>
      <c r="GL155" s="801"/>
      <c r="GM155" s="801"/>
      <c r="GN155" s="801"/>
      <c r="GO155" s="801"/>
      <c r="GP155" s="801"/>
      <c r="GQ155" s="801"/>
      <c r="GR155" s="801"/>
      <c r="GS155" s="801"/>
      <c r="GT155" s="801"/>
      <c r="GU155" s="801"/>
      <c r="GV155" s="801"/>
      <c r="GW155" s="801"/>
      <c r="GX155" s="801"/>
      <c r="GY155" s="801"/>
      <c r="GZ155" s="802"/>
      <c r="HA155" s="800"/>
      <c r="HB155" s="801"/>
      <c r="HC155" s="801"/>
      <c r="HD155" s="801"/>
      <c r="HE155" s="801"/>
      <c r="HF155" s="801"/>
      <c r="HG155" s="801"/>
      <c r="HH155" s="801"/>
      <c r="HI155" s="801"/>
      <c r="HJ155" s="801"/>
      <c r="HK155" s="801"/>
      <c r="HL155" s="801"/>
      <c r="HM155" s="801"/>
      <c r="HN155" s="801"/>
      <c r="HO155" s="801"/>
      <c r="HP155" s="801"/>
      <c r="HQ155" s="801"/>
      <c r="HR155" s="801"/>
      <c r="HS155" s="801"/>
      <c r="HT155" s="801"/>
      <c r="HU155" s="801"/>
      <c r="HV155" s="801"/>
      <c r="HW155" s="801"/>
      <c r="HX155" s="801"/>
      <c r="HY155" s="801"/>
      <c r="HZ155" s="802"/>
      <c r="IA155" s="800"/>
      <c r="IB155" s="801"/>
      <c r="IC155" s="801"/>
      <c r="ID155" s="801"/>
      <c r="IE155" s="801"/>
      <c r="IF155" s="801"/>
      <c r="IG155" s="801"/>
      <c r="IH155" s="801"/>
      <c r="II155" s="801"/>
      <c r="IJ155" s="801"/>
      <c r="IK155" s="801"/>
      <c r="IL155" s="801"/>
      <c r="IM155" s="801"/>
      <c r="IN155" s="801"/>
      <c r="IO155" s="801"/>
      <c r="IP155" s="801"/>
      <c r="IQ155" s="801"/>
      <c r="IR155" s="801"/>
      <c r="IS155" s="801"/>
      <c r="IT155" s="801"/>
      <c r="IU155" s="801"/>
      <c r="IV155" s="801"/>
      <c r="IW155" s="801"/>
      <c r="IX155" s="801"/>
      <c r="IY155" s="801"/>
      <c r="IZ155" s="802"/>
    </row>
    <row r="156" spans="1:260" x14ac:dyDescent="0.25">
      <c r="A156" s="800" t="str">
        <f>IFERROR(IF(Z139&gt;A139-1,IF(INDEX(Pedidos!J:AZ,Y139+A139-1,31)&lt;&gt;"","Nombres :     "&amp; INDEX(Pedidos!J:AZ,Y139+A139-1,31),""),""),"")</f>
        <v/>
      </c>
      <c r="B156" s="801"/>
      <c r="C156" s="801"/>
      <c r="D156" s="801"/>
      <c r="E156" s="801"/>
      <c r="F156" s="801"/>
      <c r="G156" s="801"/>
      <c r="H156" s="801"/>
      <c r="I156" s="801"/>
      <c r="J156" s="801"/>
      <c r="K156" s="801"/>
      <c r="L156" s="801"/>
      <c r="M156" s="801"/>
      <c r="N156" s="801"/>
      <c r="O156" s="801"/>
      <c r="P156" s="801"/>
      <c r="Q156" s="801"/>
      <c r="R156" s="801"/>
      <c r="S156" s="801"/>
      <c r="T156" s="801"/>
      <c r="U156" s="801"/>
      <c r="V156" s="801"/>
      <c r="W156" s="801"/>
      <c r="X156" s="801"/>
      <c r="Y156" s="801"/>
      <c r="Z156" s="802"/>
      <c r="AA156" s="800" t="str">
        <f>IFERROR(IF(AZ139&gt;AA139-1,IF(INDEX(Pedidos!AJ:BZ,AY139+AA139-1,31)&lt;&gt;"","Nombres :     "&amp; INDEX(Pedidos!AJ:BZ,AY139+AA139-1,31),""),""),"")</f>
        <v/>
      </c>
      <c r="AB156" s="801"/>
      <c r="AC156" s="801"/>
      <c r="AD156" s="801"/>
      <c r="AE156" s="801"/>
      <c r="AF156" s="801"/>
      <c r="AG156" s="801"/>
      <c r="AH156" s="801"/>
      <c r="AI156" s="801"/>
      <c r="AJ156" s="801"/>
      <c r="AK156" s="801"/>
      <c r="AL156" s="801"/>
      <c r="AM156" s="801"/>
      <c r="AN156" s="801"/>
      <c r="AO156" s="801"/>
      <c r="AP156" s="801"/>
      <c r="AQ156" s="801"/>
      <c r="AR156" s="801"/>
      <c r="AS156" s="801"/>
      <c r="AT156" s="801"/>
      <c r="AU156" s="801"/>
      <c r="AV156" s="801"/>
      <c r="AW156" s="801"/>
      <c r="AX156" s="801"/>
      <c r="AY156" s="801"/>
      <c r="AZ156" s="802"/>
      <c r="BA156" s="800" t="str">
        <f>IFERROR(IF(BZ139&gt;BA139-1,IF(INDEX(Pedidos!BJ:CZ,BY139+BA139-1,31)&lt;&gt;"","Nombres :     "&amp; INDEX(Pedidos!BJ:CZ,BY139+BA139-1,31),""),""),"")</f>
        <v/>
      </c>
      <c r="BB156" s="801"/>
      <c r="BC156" s="801"/>
      <c r="BD156" s="801"/>
      <c r="BE156" s="801"/>
      <c r="BF156" s="801"/>
      <c r="BG156" s="801"/>
      <c r="BH156" s="801"/>
      <c r="BI156" s="801"/>
      <c r="BJ156" s="801"/>
      <c r="BK156" s="801"/>
      <c r="BL156" s="801"/>
      <c r="BM156" s="801"/>
      <c r="BN156" s="801"/>
      <c r="BO156" s="801"/>
      <c r="BP156" s="801"/>
      <c r="BQ156" s="801"/>
      <c r="BR156" s="801"/>
      <c r="BS156" s="801"/>
      <c r="BT156" s="801"/>
      <c r="BU156" s="801"/>
      <c r="BV156" s="801"/>
      <c r="BW156" s="801"/>
      <c r="BX156" s="801"/>
      <c r="BY156" s="801"/>
      <c r="BZ156" s="802"/>
      <c r="CA156" s="800" t="str">
        <f>IFERROR(IF(CZ139&gt;CA139-1,IF(INDEX(Pedidos!CJ:DZ,CY139+CA139-1,31)&lt;&gt;"","Nombres :     "&amp; INDEX(Pedidos!CJ:DZ,CY139+CA139-1,31),""),""),"")</f>
        <v/>
      </c>
      <c r="CB156" s="801"/>
      <c r="CC156" s="801"/>
      <c r="CD156" s="801"/>
      <c r="CE156" s="801"/>
      <c r="CF156" s="801"/>
      <c r="CG156" s="801"/>
      <c r="CH156" s="801"/>
      <c r="CI156" s="801"/>
      <c r="CJ156" s="801"/>
      <c r="CK156" s="801"/>
      <c r="CL156" s="801"/>
      <c r="CM156" s="801"/>
      <c r="CN156" s="801"/>
      <c r="CO156" s="801"/>
      <c r="CP156" s="801"/>
      <c r="CQ156" s="801"/>
      <c r="CR156" s="801"/>
      <c r="CS156" s="801"/>
      <c r="CT156" s="801"/>
      <c r="CU156" s="801"/>
      <c r="CV156" s="801"/>
      <c r="CW156" s="801"/>
      <c r="CX156" s="801"/>
      <c r="CY156" s="801"/>
      <c r="CZ156" s="802"/>
      <c r="DA156" s="800" t="str">
        <f>IFERROR(IF(DZ139&gt;DA139-1,IF(INDEX(Pedidos!DJ:EZ,DY139+DA139-1,31)&lt;&gt;"","Nombres :     "&amp; INDEX(Pedidos!DJ:EZ,DY139+DA139-1,31),""),""),"")</f>
        <v/>
      </c>
      <c r="DB156" s="801"/>
      <c r="DC156" s="801"/>
      <c r="DD156" s="801"/>
      <c r="DE156" s="801"/>
      <c r="DF156" s="801"/>
      <c r="DG156" s="801"/>
      <c r="DH156" s="801"/>
      <c r="DI156" s="801"/>
      <c r="DJ156" s="801"/>
      <c r="DK156" s="801"/>
      <c r="DL156" s="801"/>
      <c r="DM156" s="801"/>
      <c r="DN156" s="801"/>
      <c r="DO156" s="801"/>
      <c r="DP156" s="801"/>
      <c r="DQ156" s="801"/>
      <c r="DR156" s="801"/>
      <c r="DS156" s="801"/>
      <c r="DT156" s="801"/>
      <c r="DU156" s="801"/>
      <c r="DV156" s="801"/>
      <c r="DW156" s="801"/>
      <c r="DX156" s="801"/>
      <c r="DY156" s="801"/>
      <c r="DZ156" s="802"/>
      <c r="EA156" s="800" t="str">
        <f>IFERROR(IF(EZ139&gt;EA139-1,IF(INDEX(Pedidos!EJ:FZ,EY139+EA139-1,31)&lt;&gt;"","Nombres :     "&amp; INDEX(Pedidos!EJ:FZ,EY139+EA139-1,31),""),""),"")</f>
        <v/>
      </c>
      <c r="EB156" s="801"/>
      <c r="EC156" s="801"/>
      <c r="ED156" s="801"/>
      <c r="EE156" s="801"/>
      <c r="EF156" s="801"/>
      <c r="EG156" s="801"/>
      <c r="EH156" s="801"/>
      <c r="EI156" s="801"/>
      <c r="EJ156" s="801"/>
      <c r="EK156" s="801"/>
      <c r="EL156" s="801"/>
      <c r="EM156" s="801"/>
      <c r="EN156" s="801"/>
      <c r="EO156" s="801"/>
      <c r="EP156" s="801"/>
      <c r="EQ156" s="801"/>
      <c r="ER156" s="801"/>
      <c r="ES156" s="801"/>
      <c r="ET156" s="801"/>
      <c r="EU156" s="801"/>
      <c r="EV156" s="801"/>
      <c r="EW156" s="801"/>
      <c r="EX156" s="801"/>
      <c r="EY156" s="801"/>
      <c r="EZ156" s="802"/>
      <c r="FA156" s="800" t="str">
        <f>IFERROR(IF(FZ139&gt;FA139-1,IF(INDEX(Pedidos!FJ:GZ,FY139+FA139-1,31)&lt;&gt;"","Nombres :     "&amp; INDEX(Pedidos!FJ:GZ,FY139+FA139-1,31),""),""),"")</f>
        <v/>
      </c>
      <c r="FB156" s="801"/>
      <c r="FC156" s="801"/>
      <c r="FD156" s="801"/>
      <c r="FE156" s="801"/>
      <c r="FF156" s="801"/>
      <c r="FG156" s="801"/>
      <c r="FH156" s="801"/>
      <c r="FI156" s="801"/>
      <c r="FJ156" s="801"/>
      <c r="FK156" s="801"/>
      <c r="FL156" s="801"/>
      <c r="FM156" s="801"/>
      <c r="FN156" s="801"/>
      <c r="FO156" s="801"/>
      <c r="FP156" s="801"/>
      <c r="FQ156" s="801"/>
      <c r="FR156" s="801"/>
      <c r="FS156" s="801"/>
      <c r="FT156" s="801"/>
      <c r="FU156" s="801"/>
      <c r="FV156" s="801"/>
      <c r="FW156" s="801"/>
      <c r="FX156" s="801"/>
      <c r="FY156" s="801"/>
      <c r="FZ156" s="802"/>
      <c r="GA156" s="800" t="str">
        <f>IFERROR(IF(GZ139&gt;GA139-1,IF(INDEX(Pedidos!GJ:HZ,GY139+GA139-1,31)&lt;&gt;"","Nombres :     "&amp; INDEX(Pedidos!GJ:HZ,GY139+GA139-1,31),""),""),"")</f>
        <v/>
      </c>
      <c r="GB156" s="801"/>
      <c r="GC156" s="801"/>
      <c r="GD156" s="801"/>
      <c r="GE156" s="801"/>
      <c r="GF156" s="801"/>
      <c r="GG156" s="801"/>
      <c r="GH156" s="801"/>
      <c r="GI156" s="801"/>
      <c r="GJ156" s="801"/>
      <c r="GK156" s="801"/>
      <c r="GL156" s="801"/>
      <c r="GM156" s="801"/>
      <c r="GN156" s="801"/>
      <c r="GO156" s="801"/>
      <c r="GP156" s="801"/>
      <c r="GQ156" s="801"/>
      <c r="GR156" s="801"/>
      <c r="GS156" s="801"/>
      <c r="GT156" s="801"/>
      <c r="GU156" s="801"/>
      <c r="GV156" s="801"/>
      <c r="GW156" s="801"/>
      <c r="GX156" s="801"/>
      <c r="GY156" s="801"/>
      <c r="GZ156" s="802"/>
      <c r="HA156" s="800" t="str">
        <f>IFERROR(IF(HZ139&gt;HA139-1,IF(INDEX(Pedidos!HJ:IZ,HY139+HA139-1,31)&lt;&gt;"","Nombres :     "&amp; INDEX(Pedidos!HJ:IZ,HY139+HA139-1,31),""),""),"")</f>
        <v/>
      </c>
      <c r="HB156" s="801"/>
      <c r="HC156" s="801"/>
      <c r="HD156" s="801"/>
      <c r="HE156" s="801"/>
      <c r="HF156" s="801"/>
      <c r="HG156" s="801"/>
      <c r="HH156" s="801"/>
      <c r="HI156" s="801"/>
      <c r="HJ156" s="801"/>
      <c r="HK156" s="801"/>
      <c r="HL156" s="801"/>
      <c r="HM156" s="801"/>
      <c r="HN156" s="801"/>
      <c r="HO156" s="801"/>
      <c r="HP156" s="801"/>
      <c r="HQ156" s="801"/>
      <c r="HR156" s="801"/>
      <c r="HS156" s="801"/>
      <c r="HT156" s="801"/>
      <c r="HU156" s="801"/>
      <c r="HV156" s="801"/>
      <c r="HW156" s="801"/>
      <c r="HX156" s="801"/>
      <c r="HY156" s="801"/>
      <c r="HZ156" s="802"/>
      <c r="IA156" s="800" t="str">
        <f>IFERROR(IF(IZ139&gt;IA139-1,IF(INDEX(Pedidos!IJ:JZ,IY139+IA139-1,31)&lt;&gt;"","Nombres :     "&amp; INDEX(Pedidos!IJ:JZ,IY139+IA139-1,31),""),""),"")</f>
        <v/>
      </c>
      <c r="IB156" s="801"/>
      <c r="IC156" s="801"/>
      <c r="ID156" s="801"/>
      <c r="IE156" s="801"/>
      <c r="IF156" s="801"/>
      <c r="IG156" s="801"/>
      <c r="IH156" s="801"/>
      <c r="II156" s="801"/>
      <c r="IJ156" s="801"/>
      <c r="IK156" s="801"/>
      <c r="IL156" s="801"/>
      <c r="IM156" s="801"/>
      <c r="IN156" s="801"/>
      <c r="IO156" s="801"/>
      <c r="IP156" s="801"/>
      <c r="IQ156" s="801"/>
      <c r="IR156" s="801"/>
      <c r="IS156" s="801"/>
      <c r="IT156" s="801"/>
      <c r="IU156" s="801"/>
      <c r="IV156" s="801"/>
      <c r="IW156" s="801"/>
      <c r="IX156" s="801"/>
      <c r="IY156" s="801"/>
      <c r="IZ156" s="802"/>
    </row>
    <row r="157" spans="1:260" x14ac:dyDescent="0.25">
      <c r="A157" s="820" t="str">
        <f>IFERROR(IF(Z139&gt;A139-1,IF(INDEX(Pedidos!J:AZ,Y139+A139-1,32)&lt;&gt;"","Localización de los Nombres :     "&amp; INDEX(Pedidos!J:AZ,Y139+A139-1,32),""),""),"")</f>
        <v/>
      </c>
      <c r="B157" s="821"/>
      <c r="C157" s="821"/>
      <c r="D157" s="821"/>
      <c r="E157" s="821"/>
      <c r="F157" s="821"/>
      <c r="G157" s="821"/>
      <c r="H157" s="821"/>
      <c r="I157" s="821"/>
      <c r="J157" s="821"/>
      <c r="K157" s="821"/>
      <c r="L157" s="821"/>
      <c r="M157" s="821"/>
      <c r="N157" s="821"/>
      <c r="O157" s="821"/>
      <c r="P157" s="821"/>
      <c r="Q157" s="821"/>
      <c r="R157" s="821"/>
      <c r="S157" s="821"/>
      <c r="T157" s="821"/>
      <c r="U157" s="821"/>
      <c r="V157" s="821"/>
      <c r="W157" s="821"/>
      <c r="X157" s="821"/>
      <c r="Y157" s="821"/>
      <c r="Z157" s="822"/>
      <c r="AA157" s="820" t="str">
        <f>IFERROR(IF(AZ139&gt;AA139-1,IF(INDEX(Pedidos!AJ:BZ,AY139+AA139-1,32)&lt;&gt;"","Localización de los Nombres :     "&amp; INDEX(Pedidos!AJ:BZ,AY139+AA139-1,32),""),""),"")</f>
        <v/>
      </c>
      <c r="AB157" s="821"/>
      <c r="AC157" s="821"/>
      <c r="AD157" s="821"/>
      <c r="AE157" s="821"/>
      <c r="AF157" s="821"/>
      <c r="AG157" s="821"/>
      <c r="AH157" s="821"/>
      <c r="AI157" s="821"/>
      <c r="AJ157" s="821"/>
      <c r="AK157" s="821"/>
      <c r="AL157" s="821"/>
      <c r="AM157" s="821"/>
      <c r="AN157" s="821"/>
      <c r="AO157" s="821"/>
      <c r="AP157" s="821"/>
      <c r="AQ157" s="821"/>
      <c r="AR157" s="821"/>
      <c r="AS157" s="821"/>
      <c r="AT157" s="821"/>
      <c r="AU157" s="821"/>
      <c r="AV157" s="821"/>
      <c r="AW157" s="821"/>
      <c r="AX157" s="821"/>
      <c r="AY157" s="821"/>
      <c r="AZ157" s="822"/>
      <c r="BA157" s="820" t="str">
        <f>IFERROR(IF(BZ139&gt;BA139-1,IF(INDEX(Pedidos!BJ:CZ,BY139+BA139-1,32)&lt;&gt;"","Localización de los Nombres :     "&amp; INDEX(Pedidos!BJ:CZ,BY139+BA139-1,32),""),""),"")</f>
        <v/>
      </c>
      <c r="BB157" s="821"/>
      <c r="BC157" s="821"/>
      <c r="BD157" s="821"/>
      <c r="BE157" s="821"/>
      <c r="BF157" s="821"/>
      <c r="BG157" s="821"/>
      <c r="BH157" s="821"/>
      <c r="BI157" s="821"/>
      <c r="BJ157" s="821"/>
      <c r="BK157" s="821"/>
      <c r="BL157" s="821"/>
      <c r="BM157" s="821"/>
      <c r="BN157" s="821"/>
      <c r="BO157" s="821"/>
      <c r="BP157" s="821"/>
      <c r="BQ157" s="821"/>
      <c r="BR157" s="821"/>
      <c r="BS157" s="821"/>
      <c r="BT157" s="821"/>
      <c r="BU157" s="821"/>
      <c r="BV157" s="821"/>
      <c r="BW157" s="821"/>
      <c r="BX157" s="821"/>
      <c r="BY157" s="821"/>
      <c r="BZ157" s="822"/>
      <c r="CA157" s="820" t="str">
        <f>IFERROR(IF(CZ139&gt;CA139-1,IF(INDEX(Pedidos!CJ:DZ,CY139+CA139-1,32)&lt;&gt;"","Localización de los Nombres :     "&amp; INDEX(Pedidos!CJ:DZ,CY139+CA139-1,32),""),""),"")</f>
        <v/>
      </c>
      <c r="CB157" s="821"/>
      <c r="CC157" s="821"/>
      <c r="CD157" s="821"/>
      <c r="CE157" s="821"/>
      <c r="CF157" s="821"/>
      <c r="CG157" s="821"/>
      <c r="CH157" s="821"/>
      <c r="CI157" s="821"/>
      <c r="CJ157" s="821"/>
      <c r="CK157" s="821"/>
      <c r="CL157" s="821"/>
      <c r="CM157" s="821"/>
      <c r="CN157" s="821"/>
      <c r="CO157" s="821"/>
      <c r="CP157" s="821"/>
      <c r="CQ157" s="821"/>
      <c r="CR157" s="821"/>
      <c r="CS157" s="821"/>
      <c r="CT157" s="821"/>
      <c r="CU157" s="821"/>
      <c r="CV157" s="821"/>
      <c r="CW157" s="821"/>
      <c r="CX157" s="821"/>
      <c r="CY157" s="821"/>
      <c r="CZ157" s="822"/>
      <c r="DA157" s="820" t="str">
        <f>IFERROR(IF(DZ139&gt;DA139-1,IF(INDEX(Pedidos!DJ:EZ,DY139+DA139-1,32)&lt;&gt;"","Localización de los Nombres :     "&amp; INDEX(Pedidos!DJ:EZ,DY139+DA139-1,32),""),""),"")</f>
        <v/>
      </c>
      <c r="DB157" s="821"/>
      <c r="DC157" s="821"/>
      <c r="DD157" s="821"/>
      <c r="DE157" s="821"/>
      <c r="DF157" s="821"/>
      <c r="DG157" s="821"/>
      <c r="DH157" s="821"/>
      <c r="DI157" s="821"/>
      <c r="DJ157" s="821"/>
      <c r="DK157" s="821"/>
      <c r="DL157" s="821"/>
      <c r="DM157" s="821"/>
      <c r="DN157" s="821"/>
      <c r="DO157" s="821"/>
      <c r="DP157" s="821"/>
      <c r="DQ157" s="821"/>
      <c r="DR157" s="821"/>
      <c r="DS157" s="821"/>
      <c r="DT157" s="821"/>
      <c r="DU157" s="821"/>
      <c r="DV157" s="821"/>
      <c r="DW157" s="821"/>
      <c r="DX157" s="821"/>
      <c r="DY157" s="821"/>
      <c r="DZ157" s="822"/>
      <c r="EA157" s="820" t="str">
        <f>IFERROR(IF(EZ139&gt;EA139-1,IF(INDEX(Pedidos!EJ:FZ,EY139+EA139-1,32)&lt;&gt;"","Localización de los Nombres :     "&amp; INDEX(Pedidos!EJ:FZ,EY139+EA139-1,32),""),""),"")</f>
        <v/>
      </c>
      <c r="EB157" s="821"/>
      <c r="EC157" s="821"/>
      <c r="ED157" s="821"/>
      <c r="EE157" s="821"/>
      <c r="EF157" s="821"/>
      <c r="EG157" s="821"/>
      <c r="EH157" s="821"/>
      <c r="EI157" s="821"/>
      <c r="EJ157" s="821"/>
      <c r="EK157" s="821"/>
      <c r="EL157" s="821"/>
      <c r="EM157" s="821"/>
      <c r="EN157" s="821"/>
      <c r="EO157" s="821"/>
      <c r="EP157" s="821"/>
      <c r="EQ157" s="821"/>
      <c r="ER157" s="821"/>
      <c r="ES157" s="821"/>
      <c r="ET157" s="821"/>
      <c r="EU157" s="821"/>
      <c r="EV157" s="821"/>
      <c r="EW157" s="821"/>
      <c r="EX157" s="821"/>
      <c r="EY157" s="821"/>
      <c r="EZ157" s="822"/>
      <c r="FA157" s="820" t="str">
        <f>IFERROR(IF(FZ139&gt;FA139-1,IF(INDEX(Pedidos!FJ:GZ,FY139+FA139-1,32)&lt;&gt;"","Localización de los Nombres :     "&amp; INDEX(Pedidos!FJ:GZ,FY139+FA139-1,32),""),""),"")</f>
        <v/>
      </c>
      <c r="FB157" s="821"/>
      <c r="FC157" s="821"/>
      <c r="FD157" s="821"/>
      <c r="FE157" s="821"/>
      <c r="FF157" s="821"/>
      <c r="FG157" s="821"/>
      <c r="FH157" s="821"/>
      <c r="FI157" s="821"/>
      <c r="FJ157" s="821"/>
      <c r="FK157" s="821"/>
      <c r="FL157" s="821"/>
      <c r="FM157" s="821"/>
      <c r="FN157" s="821"/>
      <c r="FO157" s="821"/>
      <c r="FP157" s="821"/>
      <c r="FQ157" s="821"/>
      <c r="FR157" s="821"/>
      <c r="FS157" s="821"/>
      <c r="FT157" s="821"/>
      <c r="FU157" s="821"/>
      <c r="FV157" s="821"/>
      <c r="FW157" s="821"/>
      <c r="FX157" s="821"/>
      <c r="FY157" s="821"/>
      <c r="FZ157" s="822"/>
      <c r="GA157" s="820" t="str">
        <f>IFERROR(IF(GZ139&gt;GA139-1,IF(INDEX(Pedidos!GJ:HZ,GY139+GA139-1,32)&lt;&gt;"","Localización de los Nombres :     "&amp; INDEX(Pedidos!GJ:HZ,GY139+GA139-1,32),""),""),"")</f>
        <v/>
      </c>
      <c r="GB157" s="821"/>
      <c r="GC157" s="821"/>
      <c r="GD157" s="821"/>
      <c r="GE157" s="821"/>
      <c r="GF157" s="821"/>
      <c r="GG157" s="821"/>
      <c r="GH157" s="821"/>
      <c r="GI157" s="821"/>
      <c r="GJ157" s="821"/>
      <c r="GK157" s="821"/>
      <c r="GL157" s="821"/>
      <c r="GM157" s="821"/>
      <c r="GN157" s="821"/>
      <c r="GO157" s="821"/>
      <c r="GP157" s="821"/>
      <c r="GQ157" s="821"/>
      <c r="GR157" s="821"/>
      <c r="GS157" s="821"/>
      <c r="GT157" s="821"/>
      <c r="GU157" s="821"/>
      <c r="GV157" s="821"/>
      <c r="GW157" s="821"/>
      <c r="GX157" s="821"/>
      <c r="GY157" s="821"/>
      <c r="GZ157" s="822"/>
      <c r="HA157" s="820" t="str">
        <f>IFERROR(IF(HZ139&gt;HA139-1,IF(INDEX(Pedidos!HJ:IZ,HY139+HA139-1,32)&lt;&gt;"","Localización de los Nombres :     "&amp; INDEX(Pedidos!HJ:IZ,HY139+HA139-1,32),""),""),"")</f>
        <v/>
      </c>
      <c r="HB157" s="821"/>
      <c r="HC157" s="821"/>
      <c r="HD157" s="821"/>
      <c r="HE157" s="821"/>
      <c r="HF157" s="821"/>
      <c r="HG157" s="821"/>
      <c r="HH157" s="821"/>
      <c r="HI157" s="821"/>
      <c r="HJ157" s="821"/>
      <c r="HK157" s="821"/>
      <c r="HL157" s="821"/>
      <c r="HM157" s="821"/>
      <c r="HN157" s="821"/>
      <c r="HO157" s="821"/>
      <c r="HP157" s="821"/>
      <c r="HQ157" s="821"/>
      <c r="HR157" s="821"/>
      <c r="HS157" s="821"/>
      <c r="HT157" s="821"/>
      <c r="HU157" s="821"/>
      <c r="HV157" s="821"/>
      <c r="HW157" s="821"/>
      <c r="HX157" s="821"/>
      <c r="HY157" s="821"/>
      <c r="HZ157" s="822"/>
      <c r="IA157" s="820" t="str">
        <f>IFERROR(IF(IZ139&gt;IA139-1,IF(INDEX(Pedidos!IJ:JZ,IY139+IA139-1,32)&lt;&gt;"","Localización de los Nombres :     "&amp; INDEX(Pedidos!IJ:JZ,IY139+IA139-1,32),""),""),"")</f>
        <v/>
      </c>
      <c r="IB157" s="821"/>
      <c r="IC157" s="821"/>
      <c r="ID157" s="821"/>
      <c r="IE157" s="821"/>
      <c r="IF157" s="821"/>
      <c r="IG157" s="821"/>
      <c r="IH157" s="821"/>
      <c r="II157" s="821"/>
      <c r="IJ157" s="821"/>
      <c r="IK157" s="821"/>
      <c r="IL157" s="821"/>
      <c r="IM157" s="821"/>
      <c r="IN157" s="821"/>
      <c r="IO157" s="821"/>
      <c r="IP157" s="821"/>
      <c r="IQ157" s="821"/>
      <c r="IR157" s="821"/>
      <c r="IS157" s="821"/>
      <c r="IT157" s="821"/>
      <c r="IU157" s="821"/>
      <c r="IV157" s="821"/>
      <c r="IW157" s="821"/>
      <c r="IX157" s="821"/>
      <c r="IY157" s="821"/>
      <c r="IZ157" s="822"/>
    </row>
    <row r="158" spans="1:260" ht="15" customHeight="1" x14ac:dyDescent="0.25">
      <c r="A158" s="836" t="str">
        <f>IFERROR(IF(Z139&gt;A139-1,IF(INDEX(Pedidos!J:AZ,Y139+A139-1,37)&lt;&gt;"","Otras Instrucciones Especiales :     "&amp; INDEX(Pedidos!J:AZ,Y139+A139-1,37),""),""),"")</f>
        <v/>
      </c>
      <c r="B158" s="837"/>
      <c r="C158" s="837"/>
      <c r="D158" s="837"/>
      <c r="E158" s="837"/>
      <c r="F158" s="837"/>
      <c r="G158" s="837"/>
      <c r="H158" s="837"/>
      <c r="I158" s="837"/>
      <c r="J158" s="837"/>
      <c r="K158" s="837"/>
      <c r="L158" s="837"/>
      <c r="M158" s="837"/>
      <c r="N158" s="837"/>
      <c r="O158" s="837"/>
      <c r="P158" s="837"/>
      <c r="Q158" s="837"/>
      <c r="R158" s="837"/>
      <c r="S158" s="837"/>
      <c r="T158" s="837"/>
      <c r="U158" s="837"/>
      <c r="V158" s="837"/>
      <c r="W158" s="837"/>
      <c r="X158" s="837"/>
      <c r="Y158" s="837"/>
      <c r="Z158" s="838"/>
      <c r="AA158" s="836" t="str">
        <f>IFERROR(IF(AZ139&gt;AA139-1,IF(INDEX(Pedidos!AJ:BZ,AY139+AA139-1,37)&lt;&gt;"","Otras Instrucciones Especiales :     "&amp; INDEX(Pedidos!AJ:BZ,AY139+AA139-1,37),""),""),"")</f>
        <v/>
      </c>
      <c r="AB158" s="837"/>
      <c r="AC158" s="837"/>
      <c r="AD158" s="837"/>
      <c r="AE158" s="837"/>
      <c r="AF158" s="837"/>
      <c r="AG158" s="837"/>
      <c r="AH158" s="837"/>
      <c r="AI158" s="837"/>
      <c r="AJ158" s="837"/>
      <c r="AK158" s="837"/>
      <c r="AL158" s="837"/>
      <c r="AM158" s="837"/>
      <c r="AN158" s="837"/>
      <c r="AO158" s="837"/>
      <c r="AP158" s="837"/>
      <c r="AQ158" s="837"/>
      <c r="AR158" s="837"/>
      <c r="AS158" s="837"/>
      <c r="AT158" s="837"/>
      <c r="AU158" s="837"/>
      <c r="AV158" s="837"/>
      <c r="AW158" s="837"/>
      <c r="AX158" s="837"/>
      <c r="AY158" s="837"/>
      <c r="AZ158" s="838"/>
      <c r="BA158" s="836" t="str">
        <f>IFERROR(IF(BZ139&gt;BA139-1,IF(INDEX(Pedidos!BJ:CZ,BY139+BA139-1,37)&lt;&gt;"","Otras Instrucciones Especiales :     "&amp; INDEX(Pedidos!BJ:CZ,BY139+BA139-1,37),""),""),"")</f>
        <v/>
      </c>
      <c r="BB158" s="837"/>
      <c r="BC158" s="837"/>
      <c r="BD158" s="837"/>
      <c r="BE158" s="837"/>
      <c r="BF158" s="837"/>
      <c r="BG158" s="837"/>
      <c r="BH158" s="837"/>
      <c r="BI158" s="837"/>
      <c r="BJ158" s="837"/>
      <c r="BK158" s="837"/>
      <c r="BL158" s="837"/>
      <c r="BM158" s="837"/>
      <c r="BN158" s="837"/>
      <c r="BO158" s="837"/>
      <c r="BP158" s="837"/>
      <c r="BQ158" s="837"/>
      <c r="BR158" s="837"/>
      <c r="BS158" s="837"/>
      <c r="BT158" s="837"/>
      <c r="BU158" s="837"/>
      <c r="BV158" s="837"/>
      <c r="BW158" s="837"/>
      <c r="BX158" s="837"/>
      <c r="BY158" s="837"/>
      <c r="BZ158" s="838"/>
      <c r="CA158" s="836" t="str">
        <f>IFERROR(IF(CZ139&gt;CA139-1,IF(INDEX(Pedidos!CJ:DZ,CY139+CA139-1,37)&lt;&gt;"","Otras Instrucciones Especiales :     "&amp; INDEX(Pedidos!CJ:DZ,CY139+CA139-1,37),""),""),"")</f>
        <v/>
      </c>
      <c r="CB158" s="837"/>
      <c r="CC158" s="837"/>
      <c r="CD158" s="837"/>
      <c r="CE158" s="837"/>
      <c r="CF158" s="837"/>
      <c r="CG158" s="837"/>
      <c r="CH158" s="837"/>
      <c r="CI158" s="837"/>
      <c r="CJ158" s="837"/>
      <c r="CK158" s="837"/>
      <c r="CL158" s="837"/>
      <c r="CM158" s="837"/>
      <c r="CN158" s="837"/>
      <c r="CO158" s="837"/>
      <c r="CP158" s="837"/>
      <c r="CQ158" s="837"/>
      <c r="CR158" s="837"/>
      <c r="CS158" s="837"/>
      <c r="CT158" s="837"/>
      <c r="CU158" s="837"/>
      <c r="CV158" s="837"/>
      <c r="CW158" s="837"/>
      <c r="CX158" s="837"/>
      <c r="CY158" s="837"/>
      <c r="CZ158" s="838"/>
      <c r="DA158" s="836" t="str">
        <f>IFERROR(IF(DZ139&gt;DA139-1,IF(INDEX(Pedidos!DJ:EZ,DY139+DA139-1,37)&lt;&gt;"","Otras Instrucciones Especiales :     "&amp; INDEX(Pedidos!DJ:EZ,DY139+DA139-1,37),""),""),"")</f>
        <v/>
      </c>
      <c r="DB158" s="837"/>
      <c r="DC158" s="837"/>
      <c r="DD158" s="837"/>
      <c r="DE158" s="837"/>
      <c r="DF158" s="837"/>
      <c r="DG158" s="837"/>
      <c r="DH158" s="837"/>
      <c r="DI158" s="837"/>
      <c r="DJ158" s="837"/>
      <c r="DK158" s="837"/>
      <c r="DL158" s="837"/>
      <c r="DM158" s="837"/>
      <c r="DN158" s="837"/>
      <c r="DO158" s="837"/>
      <c r="DP158" s="837"/>
      <c r="DQ158" s="837"/>
      <c r="DR158" s="837"/>
      <c r="DS158" s="837"/>
      <c r="DT158" s="837"/>
      <c r="DU158" s="837"/>
      <c r="DV158" s="837"/>
      <c r="DW158" s="837"/>
      <c r="DX158" s="837"/>
      <c r="DY158" s="837"/>
      <c r="DZ158" s="838"/>
      <c r="EA158" s="836" t="str">
        <f>IFERROR(IF(EZ139&gt;EA139-1,IF(INDEX(Pedidos!EJ:FZ,EY139+EA139-1,37)&lt;&gt;"","Otras Instrucciones Especiales :     "&amp; INDEX(Pedidos!EJ:FZ,EY139+EA139-1,37),""),""),"")</f>
        <v/>
      </c>
      <c r="EB158" s="837"/>
      <c r="EC158" s="837"/>
      <c r="ED158" s="837"/>
      <c r="EE158" s="837"/>
      <c r="EF158" s="837"/>
      <c r="EG158" s="837"/>
      <c r="EH158" s="837"/>
      <c r="EI158" s="837"/>
      <c r="EJ158" s="837"/>
      <c r="EK158" s="837"/>
      <c r="EL158" s="837"/>
      <c r="EM158" s="837"/>
      <c r="EN158" s="837"/>
      <c r="EO158" s="837"/>
      <c r="EP158" s="837"/>
      <c r="EQ158" s="837"/>
      <c r="ER158" s="837"/>
      <c r="ES158" s="837"/>
      <c r="ET158" s="837"/>
      <c r="EU158" s="837"/>
      <c r="EV158" s="837"/>
      <c r="EW158" s="837"/>
      <c r="EX158" s="837"/>
      <c r="EY158" s="837"/>
      <c r="EZ158" s="838"/>
      <c r="FA158" s="836" t="str">
        <f>IFERROR(IF(FZ139&gt;FA139-1,IF(INDEX(Pedidos!FJ:GZ,FY139+FA139-1,37)&lt;&gt;"","Otras Instrucciones Especiales :     "&amp; INDEX(Pedidos!FJ:GZ,FY139+FA139-1,37),""),""),"")</f>
        <v/>
      </c>
      <c r="FB158" s="837"/>
      <c r="FC158" s="837"/>
      <c r="FD158" s="837"/>
      <c r="FE158" s="837"/>
      <c r="FF158" s="837"/>
      <c r="FG158" s="837"/>
      <c r="FH158" s="837"/>
      <c r="FI158" s="837"/>
      <c r="FJ158" s="837"/>
      <c r="FK158" s="837"/>
      <c r="FL158" s="837"/>
      <c r="FM158" s="837"/>
      <c r="FN158" s="837"/>
      <c r="FO158" s="837"/>
      <c r="FP158" s="837"/>
      <c r="FQ158" s="837"/>
      <c r="FR158" s="837"/>
      <c r="FS158" s="837"/>
      <c r="FT158" s="837"/>
      <c r="FU158" s="837"/>
      <c r="FV158" s="837"/>
      <c r="FW158" s="837"/>
      <c r="FX158" s="837"/>
      <c r="FY158" s="837"/>
      <c r="FZ158" s="838"/>
      <c r="GA158" s="836" t="str">
        <f>IFERROR(IF(GZ139&gt;GA139-1,IF(INDEX(Pedidos!GJ:HZ,GY139+GA139-1,37)&lt;&gt;"","Otras Instrucciones Especiales :     "&amp; INDEX(Pedidos!GJ:HZ,GY139+GA139-1,37),""),""),"")</f>
        <v/>
      </c>
      <c r="GB158" s="837"/>
      <c r="GC158" s="837"/>
      <c r="GD158" s="837"/>
      <c r="GE158" s="837"/>
      <c r="GF158" s="837"/>
      <c r="GG158" s="837"/>
      <c r="GH158" s="837"/>
      <c r="GI158" s="837"/>
      <c r="GJ158" s="837"/>
      <c r="GK158" s="837"/>
      <c r="GL158" s="837"/>
      <c r="GM158" s="837"/>
      <c r="GN158" s="837"/>
      <c r="GO158" s="837"/>
      <c r="GP158" s="837"/>
      <c r="GQ158" s="837"/>
      <c r="GR158" s="837"/>
      <c r="GS158" s="837"/>
      <c r="GT158" s="837"/>
      <c r="GU158" s="837"/>
      <c r="GV158" s="837"/>
      <c r="GW158" s="837"/>
      <c r="GX158" s="837"/>
      <c r="GY158" s="837"/>
      <c r="GZ158" s="838"/>
      <c r="HA158" s="836" t="str">
        <f>IFERROR(IF(HZ139&gt;HA139-1,IF(INDEX(Pedidos!HJ:IZ,HY139+HA139-1,37)&lt;&gt;"","Otras Instrucciones Especiales :     "&amp; INDEX(Pedidos!HJ:IZ,HY139+HA139-1,37),""),""),"")</f>
        <v/>
      </c>
      <c r="HB158" s="837"/>
      <c r="HC158" s="837"/>
      <c r="HD158" s="837"/>
      <c r="HE158" s="837"/>
      <c r="HF158" s="837"/>
      <c r="HG158" s="837"/>
      <c r="HH158" s="837"/>
      <c r="HI158" s="837"/>
      <c r="HJ158" s="837"/>
      <c r="HK158" s="837"/>
      <c r="HL158" s="837"/>
      <c r="HM158" s="837"/>
      <c r="HN158" s="837"/>
      <c r="HO158" s="837"/>
      <c r="HP158" s="837"/>
      <c r="HQ158" s="837"/>
      <c r="HR158" s="837"/>
      <c r="HS158" s="837"/>
      <c r="HT158" s="837"/>
      <c r="HU158" s="837"/>
      <c r="HV158" s="837"/>
      <c r="HW158" s="837"/>
      <c r="HX158" s="837"/>
      <c r="HY158" s="837"/>
      <c r="HZ158" s="838"/>
      <c r="IA158" s="836" t="str">
        <f>IFERROR(IF(IZ139&gt;IA139-1,IF(INDEX(Pedidos!IJ:JZ,IY139+IA139-1,37)&lt;&gt;"","Otras Instrucciones Especiales :     "&amp; INDEX(Pedidos!IJ:JZ,IY139+IA139-1,37),""),""),"")</f>
        <v/>
      </c>
      <c r="IB158" s="837"/>
      <c r="IC158" s="837"/>
      <c r="ID158" s="837"/>
      <c r="IE158" s="837"/>
      <c r="IF158" s="837"/>
      <c r="IG158" s="837"/>
      <c r="IH158" s="837"/>
      <c r="II158" s="837"/>
      <c r="IJ158" s="837"/>
      <c r="IK158" s="837"/>
      <c r="IL158" s="837"/>
      <c r="IM158" s="837"/>
      <c r="IN158" s="837"/>
      <c r="IO158" s="837"/>
      <c r="IP158" s="837"/>
      <c r="IQ158" s="837"/>
      <c r="IR158" s="837"/>
      <c r="IS158" s="837"/>
      <c r="IT158" s="837"/>
      <c r="IU158" s="837"/>
      <c r="IV158" s="837"/>
      <c r="IW158" s="837"/>
      <c r="IX158" s="837"/>
      <c r="IY158" s="837"/>
      <c r="IZ158" s="838"/>
    </row>
    <row r="159" spans="1:260" ht="15.75" thickBot="1" x14ac:dyDescent="0.3">
      <c r="A159" s="839"/>
      <c r="B159" s="840"/>
      <c r="C159" s="840"/>
      <c r="D159" s="840"/>
      <c r="E159" s="840"/>
      <c r="F159" s="840"/>
      <c r="G159" s="840"/>
      <c r="H159" s="840"/>
      <c r="I159" s="840"/>
      <c r="J159" s="840"/>
      <c r="K159" s="840"/>
      <c r="L159" s="840"/>
      <c r="M159" s="840"/>
      <c r="N159" s="840"/>
      <c r="O159" s="840"/>
      <c r="P159" s="840"/>
      <c r="Q159" s="840"/>
      <c r="R159" s="840"/>
      <c r="S159" s="840"/>
      <c r="T159" s="840"/>
      <c r="U159" s="840"/>
      <c r="V159" s="840"/>
      <c r="W159" s="840"/>
      <c r="X159" s="840"/>
      <c r="Y159" s="840"/>
      <c r="Z159" s="841"/>
      <c r="AA159" s="839"/>
      <c r="AB159" s="840"/>
      <c r="AC159" s="840"/>
      <c r="AD159" s="840"/>
      <c r="AE159" s="840"/>
      <c r="AF159" s="840"/>
      <c r="AG159" s="840"/>
      <c r="AH159" s="840"/>
      <c r="AI159" s="840"/>
      <c r="AJ159" s="840"/>
      <c r="AK159" s="840"/>
      <c r="AL159" s="840"/>
      <c r="AM159" s="840"/>
      <c r="AN159" s="840"/>
      <c r="AO159" s="840"/>
      <c r="AP159" s="840"/>
      <c r="AQ159" s="840"/>
      <c r="AR159" s="840"/>
      <c r="AS159" s="840"/>
      <c r="AT159" s="840"/>
      <c r="AU159" s="840"/>
      <c r="AV159" s="840"/>
      <c r="AW159" s="840"/>
      <c r="AX159" s="840"/>
      <c r="AY159" s="840"/>
      <c r="AZ159" s="841"/>
      <c r="BA159" s="839"/>
      <c r="BB159" s="840"/>
      <c r="BC159" s="840"/>
      <c r="BD159" s="840"/>
      <c r="BE159" s="840"/>
      <c r="BF159" s="840"/>
      <c r="BG159" s="840"/>
      <c r="BH159" s="840"/>
      <c r="BI159" s="840"/>
      <c r="BJ159" s="840"/>
      <c r="BK159" s="840"/>
      <c r="BL159" s="840"/>
      <c r="BM159" s="840"/>
      <c r="BN159" s="840"/>
      <c r="BO159" s="840"/>
      <c r="BP159" s="840"/>
      <c r="BQ159" s="840"/>
      <c r="BR159" s="840"/>
      <c r="BS159" s="840"/>
      <c r="BT159" s="840"/>
      <c r="BU159" s="840"/>
      <c r="BV159" s="840"/>
      <c r="BW159" s="840"/>
      <c r="BX159" s="840"/>
      <c r="BY159" s="840"/>
      <c r="BZ159" s="841"/>
      <c r="CA159" s="839"/>
      <c r="CB159" s="840"/>
      <c r="CC159" s="840"/>
      <c r="CD159" s="840"/>
      <c r="CE159" s="840"/>
      <c r="CF159" s="840"/>
      <c r="CG159" s="840"/>
      <c r="CH159" s="840"/>
      <c r="CI159" s="840"/>
      <c r="CJ159" s="840"/>
      <c r="CK159" s="840"/>
      <c r="CL159" s="840"/>
      <c r="CM159" s="840"/>
      <c r="CN159" s="840"/>
      <c r="CO159" s="840"/>
      <c r="CP159" s="840"/>
      <c r="CQ159" s="840"/>
      <c r="CR159" s="840"/>
      <c r="CS159" s="840"/>
      <c r="CT159" s="840"/>
      <c r="CU159" s="840"/>
      <c r="CV159" s="840"/>
      <c r="CW159" s="840"/>
      <c r="CX159" s="840"/>
      <c r="CY159" s="840"/>
      <c r="CZ159" s="841"/>
      <c r="DA159" s="839"/>
      <c r="DB159" s="840"/>
      <c r="DC159" s="840"/>
      <c r="DD159" s="840"/>
      <c r="DE159" s="840"/>
      <c r="DF159" s="840"/>
      <c r="DG159" s="840"/>
      <c r="DH159" s="840"/>
      <c r="DI159" s="840"/>
      <c r="DJ159" s="840"/>
      <c r="DK159" s="840"/>
      <c r="DL159" s="840"/>
      <c r="DM159" s="840"/>
      <c r="DN159" s="840"/>
      <c r="DO159" s="840"/>
      <c r="DP159" s="840"/>
      <c r="DQ159" s="840"/>
      <c r="DR159" s="840"/>
      <c r="DS159" s="840"/>
      <c r="DT159" s="840"/>
      <c r="DU159" s="840"/>
      <c r="DV159" s="840"/>
      <c r="DW159" s="840"/>
      <c r="DX159" s="840"/>
      <c r="DY159" s="840"/>
      <c r="DZ159" s="841"/>
      <c r="EA159" s="839"/>
      <c r="EB159" s="840"/>
      <c r="EC159" s="840"/>
      <c r="ED159" s="840"/>
      <c r="EE159" s="840"/>
      <c r="EF159" s="840"/>
      <c r="EG159" s="840"/>
      <c r="EH159" s="840"/>
      <c r="EI159" s="840"/>
      <c r="EJ159" s="840"/>
      <c r="EK159" s="840"/>
      <c r="EL159" s="840"/>
      <c r="EM159" s="840"/>
      <c r="EN159" s="840"/>
      <c r="EO159" s="840"/>
      <c r="EP159" s="840"/>
      <c r="EQ159" s="840"/>
      <c r="ER159" s="840"/>
      <c r="ES159" s="840"/>
      <c r="ET159" s="840"/>
      <c r="EU159" s="840"/>
      <c r="EV159" s="840"/>
      <c r="EW159" s="840"/>
      <c r="EX159" s="840"/>
      <c r="EY159" s="840"/>
      <c r="EZ159" s="841"/>
      <c r="FA159" s="839"/>
      <c r="FB159" s="840"/>
      <c r="FC159" s="840"/>
      <c r="FD159" s="840"/>
      <c r="FE159" s="840"/>
      <c r="FF159" s="840"/>
      <c r="FG159" s="840"/>
      <c r="FH159" s="840"/>
      <c r="FI159" s="840"/>
      <c r="FJ159" s="840"/>
      <c r="FK159" s="840"/>
      <c r="FL159" s="840"/>
      <c r="FM159" s="840"/>
      <c r="FN159" s="840"/>
      <c r="FO159" s="840"/>
      <c r="FP159" s="840"/>
      <c r="FQ159" s="840"/>
      <c r="FR159" s="840"/>
      <c r="FS159" s="840"/>
      <c r="FT159" s="840"/>
      <c r="FU159" s="840"/>
      <c r="FV159" s="840"/>
      <c r="FW159" s="840"/>
      <c r="FX159" s="840"/>
      <c r="FY159" s="840"/>
      <c r="FZ159" s="841"/>
      <c r="GA159" s="839"/>
      <c r="GB159" s="840"/>
      <c r="GC159" s="840"/>
      <c r="GD159" s="840"/>
      <c r="GE159" s="840"/>
      <c r="GF159" s="840"/>
      <c r="GG159" s="840"/>
      <c r="GH159" s="840"/>
      <c r="GI159" s="840"/>
      <c r="GJ159" s="840"/>
      <c r="GK159" s="840"/>
      <c r="GL159" s="840"/>
      <c r="GM159" s="840"/>
      <c r="GN159" s="840"/>
      <c r="GO159" s="840"/>
      <c r="GP159" s="840"/>
      <c r="GQ159" s="840"/>
      <c r="GR159" s="840"/>
      <c r="GS159" s="840"/>
      <c r="GT159" s="840"/>
      <c r="GU159" s="840"/>
      <c r="GV159" s="840"/>
      <c r="GW159" s="840"/>
      <c r="GX159" s="840"/>
      <c r="GY159" s="840"/>
      <c r="GZ159" s="841"/>
      <c r="HA159" s="839"/>
      <c r="HB159" s="840"/>
      <c r="HC159" s="840"/>
      <c r="HD159" s="840"/>
      <c r="HE159" s="840"/>
      <c r="HF159" s="840"/>
      <c r="HG159" s="840"/>
      <c r="HH159" s="840"/>
      <c r="HI159" s="840"/>
      <c r="HJ159" s="840"/>
      <c r="HK159" s="840"/>
      <c r="HL159" s="840"/>
      <c r="HM159" s="840"/>
      <c r="HN159" s="840"/>
      <c r="HO159" s="840"/>
      <c r="HP159" s="840"/>
      <c r="HQ159" s="840"/>
      <c r="HR159" s="840"/>
      <c r="HS159" s="840"/>
      <c r="HT159" s="840"/>
      <c r="HU159" s="840"/>
      <c r="HV159" s="840"/>
      <c r="HW159" s="840"/>
      <c r="HX159" s="840"/>
      <c r="HY159" s="840"/>
      <c r="HZ159" s="841"/>
      <c r="IA159" s="839"/>
      <c r="IB159" s="840"/>
      <c r="IC159" s="840"/>
      <c r="ID159" s="840"/>
      <c r="IE159" s="840"/>
      <c r="IF159" s="840"/>
      <c r="IG159" s="840"/>
      <c r="IH159" s="840"/>
      <c r="II159" s="840"/>
      <c r="IJ159" s="840"/>
      <c r="IK159" s="840"/>
      <c r="IL159" s="840"/>
      <c r="IM159" s="840"/>
      <c r="IN159" s="840"/>
      <c r="IO159" s="840"/>
      <c r="IP159" s="840"/>
      <c r="IQ159" s="840"/>
      <c r="IR159" s="840"/>
      <c r="IS159" s="840"/>
      <c r="IT159" s="840"/>
      <c r="IU159" s="840"/>
      <c r="IV159" s="840"/>
      <c r="IW159" s="840"/>
      <c r="IX159" s="840"/>
      <c r="IY159" s="840"/>
      <c r="IZ159" s="841"/>
    </row>
    <row r="160" spans="1:260" x14ac:dyDescent="0.25">
      <c r="AA160" s="518"/>
      <c r="AB160" s="518"/>
      <c r="AC160" s="518"/>
      <c r="AD160" s="518"/>
      <c r="AE160" s="518"/>
      <c r="AF160" s="518"/>
      <c r="AG160" s="518"/>
      <c r="AH160" s="518"/>
      <c r="AI160" s="518"/>
      <c r="AJ160" s="518"/>
      <c r="AK160" s="518"/>
      <c r="AL160" s="518"/>
      <c r="AM160" s="518"/>
      <c r="AN160" s="518"/>
      <c r="AO160" s="518"/>
      <c r="AP160" s="518"/>
      <c r="AQ160" s="518"/>
      <c r="AR160" s="518"/>
      <c r="AS160" s="518"/>
      <c r="AT160" s="518"/>
      <c r="AU160" s="518"/>
      <c r="AV160" s="518"/>
      <c r="AW160" s="518"/>
    </row>
    <row r="161" spans="1:260" ht="15.75" thickBot="1" x14ac:dyDescent="0.3">
      <c r="A161" s="529">
        <v>8</v>
      </c>
      <c r="B161" s="529"/>
      <c r="C161" s="529"/>
      <c r="D161" s="529"/>
      <c r="E161" s="529"/>
      <c r="F161" s="529"/>
      <c r="G161" s="529"/>
      <c r="H161" s="529"/>
      <c r="I161" s="529"/>
      <c r="J161" s="529">
        <v>18</v>
      </c>
      <c r="K161" s="529">
        <v>19</v>
      </c>
      <c r="L161" s="529">
        <v>20</v>
      </c>
      <c r="M161" s="529">
        <v>21</v>
      </c>
      <c r="N161" s="529">
        <v>22</v>
      </c>
      <c r="O161" s="529">
        <v>23</v>
      </c>
      <c r="P161" s="529">
        <v>24</v>
      </c>
      <c r="Q161" s="529">
        <v>25</v>
      </c>
      <c r="R161" s="529">
        <v>26</v>
      </c>
      <c r="S161" s="529">
        <v>27</v>
      </c>
      <c r="T161" s="529">
        <v>28</v>
      </c>
      <c r="U161" s="529">
        <v>29</v>
      </c>
      <c r="V161" s="529">
        <v>30</v>
      </c>
      <c r="W161" s="529"/>
      <c r="X161" s="529"/>
      <c r="Y161" s="529" t="str">
        <f>IFERROR(IF(COUNTIF(Pedidos!$J:$J,Q$2)&gt;A161-1,MATCH(Q$2,Pedidos!$J:$J,0),""),"")</f>
        <v/>
      </c>
      <c r="Z161" s="529">
        <f>IFERROR(IF(Y161="",0,COUNTIF(Pedidos!$J:$J,Procesos!Q$2)),"")</f>
        <v>0</v>
      </c>
      <c r="AA161" s="529">
        <v>8</v>
      </c>
      <c r="AB161" s="529"/>
      <c r="AC161" s="529"/>
      <c r="AD161" s="529"/>
      <c r="AE161" s="529"/>
      <c r="AF161" s="529"/>
      <c r="AG161" s="529"/>
      <c r="AH161" s="529"/>
      <c r="AI161" s="529"/>
      <c r="AJ161" s="529">
        <v>18</v>
      </c>
      <c r="AK161" s="529">
        <v>19</v>
      </c>
      <c r="AL161" s="529">
        <v>20</v>
      </c>
      <c r="AM161" s="529">
        <v>21</v>
      </c>
      <c r="AN161" s="529">
        <v>22</v>
      </c>
      <c r="AO161" s="529">
        <v>23</v>
      </c>
      <c r="AP161" s="529">
        <v>24</v>
      </c>
      <c r="AQ161" s="529">
        <v>25</v>
      </c>
      <c r="AR161" s="529">
        <v>26</v>
      </c>
      <c r="AS161" s="529">
        <v>27</v>
      </c>
      <c r="AT161" s="529">
        <v>28</v>
      </c>
      <c r="AU161" s="529">
        <v>29</v>
      </c>
      <c r="AV161" s="529">
        <v>30</v>
      </c>
      <c r="AW161" s="529"/>
      <c r="AX161" s="529"/>
      <c r="AY161" s="529" t="str">
        <f>IFERROR(IF(COUNTIF(Pedidos!$J:$J,AQ$2)&gt;AA161-1,MATCH(AQ$2,Pedidos!$J:$J,0),""),"")</f>
        <v/>
      </c>
      <c r="AZ161" s="529">
        <f>IFERROR(IF(AY161="",0,COUNTIF(Pedidos!$J:$J,Procesos!AQ$2)),"")</f>
        <v>0</v>
      </c>
      <c r="BA161" s="529">
        <v>8</v>
      </c>
      <c r="BB161" s="529"/>
      <c r="BC161" s="529"/>
      <c r="BD161" s="529"/>
      <c r="BE161" s="529"/>
      <c r="BF161" s="529"/>
      <c r="BG161" s="529"/>
      <c r="BH161" s="529"/>
      <c r="BI161" s="529"/>
      <c r="BJ161" s="529">
        <v>18</v>
      </c>
      <c r="BK161" s="529">
        <v>19</v>
      </c>
      <c r="BL161" s="529">
        <v>20</v>
      </c>
      <c r="BM161" s="529">
        <v>21</v>
      </c>
      <c r="BN161" s="529">
        <v>22</v>
      </c>
      <c r="BO161" s="529">
        <v>23</v>
      </c>
      <c r="BP161" s="529">
        <v>24</v>
      </c>
      <c r="BQ161" s="529">
        <v>25</v>
      </c>
      <c r="BR161" s="529">
        <v>26</v>
      </c>
      <c r="BS161" s="529">
        <v>27</v>
      </c>
      <c r="BT161" s="529">
        <v>28</v>
      </c>
      <c r="BU161" s="529">
        <v>29</v>
      </c>
      <c r="BV161" s="529">
        <v>30</v>
      </c>
      <c r="BW161" s="529"/>
      <c r="BX161" s="529"/>
      <c r="BY161" s="529" t="str">
        <f>IFERROR(IF(COUNTIF(Pedidos!$J:$J,BQ$2)&gt;BA161-1,MATCH(BQ$2,Pedidos!$J:$J,0),""),"")</f>
        <v/>
      </c>
      <c r="BZ161" s="529">
        <f>IFERROR(IF(BY161="",0,COUNTIF(Pedidos!$J:$J,Procesos!BQ$2)),"")</f>
        <v>0</v>
      </c>
      <c r="CA161" s="529">
        <v>8</v>
      </c>
      <c r="CB161" s="529"/>
      <c r="CC161" s="529"/>
      <c r="CD161" s="529"/>
      <c r="CE161" s="529"/>
      <c r="CF161" s="529"/>
      <c r="CG161" s="529"/>
      <c r="CH161" s="529"/>
      <c r="CI161" s="529"/>
      <c r="CJ161" s="529">
        <v>18</v>
      </c>
      <c r="CK161" s="529">
        <v>19</v>
      </c>
      <c r="CL161" s="529">
        <v>20</v>
      </c>
      <c r="CM161" s="529">
        <v>21</v>
      </c>
      <c r="CN161" s="529">
        <v>22</v>
      </c>
      <c r="CO161" s="529">
        <v>23</v>
      </c>
      <c r="CP161" s="529">
        <v>24</v>
      </c>
      <c r="CQ161" s="529">
        <v>25</v>
      </c>
      <c r="CR161" s="529">
        <v>26</v>
      </c>
      <c r="CS161" s="529">
        <v>27</v>
      </c>
      <c r="CT161" s="529">
        <v>28</v>
      </c>
      <c r="CU161" s="529">
        <v>29</v>
      </c>
      <c r="CV161" s="529">
        <v>30</v>
      </c>
      <c r="CW161" s="529"/>
      <c r="CX161" s="529"/>
      <c r="CY161" s="529" t="str">
        <f>IFERROR(IF(COUNTIF(Pedidos!$J:$J,CQ$2)&gt;CA161-1,MATCH(CQ$2,Pedidos!$J:$J,0),""),"")</f>
        <v/>
      </c>
      <c r="CZ161" s="529">
        <f>IFERROR(IF(CY161="",0,COUNTIF(Pedidos!$J:$J,Procesos!CQ$2)),"")</f>
        <v>0</v>
      </c>
      <c r="DA161" s="529">
        <v>8</v>
      </c>
      <c r="DB161" s="529"/>
      <c r="DC161" s="529"/>
      <c r="DD161" s="529"/>
      <c r="DE161" s="529"/>
      <c r="DF161" s="529"/>
      <c r="DG161" s="529"/>
      <c r="DH161" s="529"/>
      <c r="DI161" s="529"/>
      <c r="DJ161" s="529">
        <v>18</v>
      </c>
      <c r="DK161" s="529">
        <v>19</v>
      </c>
      <c r="DL161" s="529">
        <v>20</v>
      </c>
      <c r="DM161" s="529">
        <v>21</v>
      </c>
      <c r="DN161" s="529">
        <v>22</v>
      </c>
      <c r="DO161" s="529">
        <v>23</v>
      </c>
      <c r="DP161" s="529">
        <v>24</v>
      </c>
      <c r="DQ161" s="529">
        <v>25</v>
      </c>
      <c r="DR161" s="529">
        <v>26</v>
      </c>
      <c r="DS161" s="529">
        <v>27</v>
      </c>
      <c r="DT161" s="529">
        <v>28</v>
      </c>
      <c r="DU161" s="529">
        <v>29</v>
      </c>
      <c r="DV161" s="529">
        <v>30</v>
      </c>
      <c r="DW161" s="529"/>
      <c r="DX161" s="529"/>
      <c r="DY161" s="529" t="str">
        <f>IFERROR(IF(COUNTIF(Pedidos!$J:$J,DQ$2)&gt;DA161-1,MATCH(DQ$2,Pedidos!$J:$J,0),""),"")</f>
        <v/>
      </c>
      <c r="DZ161" s="529">
        <f>IFERROR(IF(DY161="",0,COUNTIF(Pedidos!$J:$J,Procesos!DQ$2)),"")</f>
        <v>0</v>
      </c>
      <c r="EA161" s="529">
        <v>8</v>
      </c>
      <c r="EB161" s="529"/>
      <c r="EC161" s="529"/>
      <c r="ED161" s="529"/>
      <c r="EE161" s="529"/>
      <c r="EF161" s="529"/>
      <c r="EG161" s="529"/>
      <c r="EH161" s="529"/>
      <c r="EI161" s="529"/>
      <c r="EJ161" s="529">
        <v>18</v>
      </c>
      <c r="EK161" s="529">
        <v>19</v>
      </c>
      <c r="EL161" s="529">
        <v>20</v>
      </c>
      <c r="EM161" s="529">
        <v>21</v>
      </c>
      <c r="EN161" s="529">
        <v>22</v>
      </c>
      <c r="EO161" s="529">
        <v>23</v>
      </c>
      <c r="EP161" s="529">
        <v>24</v>
      </c>
      <c r="EQ161" s="529">
        <v>25</v>
      </c>
      <c r="ER161" s="529">
        <v>26</v>
      </c>
      <c r="ES161" s="529">
        <v>27</v>
      </c>
      <c r="ET161" s="529">
        <v>28</v>
      </c>
      <c r="EU161" s="529">
        <v>29</v>
      </c>
      <c r="EV161" s="529">
        <v>30</v>
      </c>
      <c r="EW161" s="529"/>
      <c r="EX161" s="529"/>
      <c r="EY161" s="529" t="str">
        <f>IFERROR(IF(COUNTIF(Pedidos!$J:$J,EQ$2)&gt;EA161-1,MATCH(EQ$2,Pedidos!$J:$J,0),""),"")</f>
        <v/>
      </c>
      <c r="EZ161" s="529">
        <f>IFERROR(IF(EY161="",0,COUNTIF(Pedidos!$J:$J,Procesos!EQ$2)),"")</f>
        <v>0</v>
      </c>
      <c r="FA161" s="529">
        <v>8</v>
      </c>
      <c r="FB161" s="529"/>
      <c r="FC161" s="529"/>
      <c r="FD161" s="529"/>
      <c r="FE161" s="529"/>
      <c r="FF161" s="529"/>
      <c r="FG161" s="529"/>
      <c r="FH161" s="529"/>
      <c r="FI161" s="529"/>
      <c r="FJ161" s="529">
        <v>18</v>
      </c>
      <c r="FK161" s="529">
        <v>19</v>
      </c>
      <c r="FL161" s="529">
        <v>20</v>
      </c>
      <c r="FM161" s="529">
        <v>21</v>
      </c>
      <c r="FN161" s="529">
        <v>22</v>
      </c>
      <c r="FO161" s="529">
        <v>23</v>
      </c>
      <c r="FP161" s="529">
        <v>24</v>
      </c>
      <c r="FQ161" s="529">
        <v>25</v>
      </c>
      <c r="FR161" s="529">
        <v>26</v>
      </c>
      <c r="FS161" s="529">
        <v>27</v>
      </c>
      <c r="FT161" s="529">
        <v>28</v>
      </c>
      <c r="FU161" s="529">
        <v>29</v>
      </c>
      <c r="FV161" s="529">
        <v>30</v>
      </c>
      <c r="FW161" s="529"/>
      <c r="FX161" s="529"/>
      <c r="FY161" s="529" t="str">
        <f>IFERROR(IF(COUNTIF(Pedidos!$J:$J,FQ$2)&gt;FA161-1,MATCH(FQ$2,Pedidos!$J:$J,0),""),"")</f>
        <v/>
      </c>
      <c r="FZ161" s="529">
        <f>IFERROR(IF(FY161="",0,COUNTIF(Pedidos!$J:$J,Procesos!FQ$2)),"")</f>
        <v>0</v>
      </c>
      <c r="GA161" s="529">
        <v>8</v>
      </c>
      <c r="GB161" s="529"/>
      <c r="GC161" s="529"/>
      <c r="GD161" s="529"/>
      <c r="GE161" s="529"/>
      <c r="GF161" s="529"/>
      <c r="GG161" s="529"/>
      <c r="GH161" s="529"/>
      <c r="GI161" s="529"/>
      <c r="GJ161" s="529">
        <v>18</v>
      </c>
      <c r="GK161" s="529">
        <v>19</v>
      </c>
      <c r="GL161" s="529">
        <v>20</v>
      </c>
      <c r="GM161" s="529">
        <v>21</v>
      </c>
      <c r="GN161" s="529">
        <v>22</v>
      </c>
      <c r="GO161" s="529">
        <v>23</v>
      </c>
      <c r="GP161" s="529">
        <v>24</v>
      </c>
      <c r="GQ161" s="529">
        <v>25</v>
      </c>
      <c r="GR161" s="529">
        <v>26</v>
      </c>
      <c r="GS161" s="529">
        <v>27</v>
      </c>
      <c r="GT161" s="529">
        <v>28</v>
      </c>
      <c r="GU161" s="529">
        <v>29</v>
      </c>
      <c r="GV161" s="529">
        <v>30</v>
      </c>
      <c r="GW161" s="529"/>
      <c r="GX161" s="529"/>
      <c r="GY161" s="529" t="str">
        <f>IFERROR(IF(COUNTIF(Pedidos!$J:$J,GQ$2)&gt;GA161-1,MATCH(GQ$2,Pedidos!$J:$J,0),""),"")</f>
        <v/>
      </c>
      <c r="GZ161" s="529">
        <f>IFERROR(IF(GY161="",0,COUNTIF(Pedidos!$J:$J,Procesos!GQ$2)),"")</f>
        <v>0</v>
      </c>
      <c r="HA161" s="529">
        <v>8</v>
      </c>
      <c r="HB161" s="529"/>
      <c r="HC161" s="529"/>
      <c r="HD161" s="529"/>
      <c r="HE161" s="529"/>
      <c r="HF161" s="529"/>
      <c r="HG161" s="529"/>
      <c r="HH161" s="529"/>
      <c r="HI161" s="529"/>
      <c r="HJ161" s="529">
        <v>18</v>
      </c>
      <c r="HK161" s="529">
        <v>19</v>
      </c>
      <c r="HL161" s="529">
        <v>20</v>
      </c>
      <c r="HM161" s="529">
        <v>21</v>
      </c>
      <c r="HN161" s="529">
        <v>22</v>
      </c>
      <c r="HO161" s="529">
        <v>23</v>
      </c>
      <c r="HP161" s="529">
        <v>24</v>
      </c>
      <c r="HQ161" s="529">
        <v>25</v>
      </c>
      <c r="HR161" s="529">
        <v>26</v>
      </c>
      <c r="HS161" s="529">
        <v>27</v>
      </c>
      <c r="HT161" s="529">
        <v>28</v>
      </c>
      <c r="HU161" s="529">
        <v>29</v>
      </c>
      <c r="HV161" s="529">
        <v>30</v>
      </c>
      <c r="HW161" s="529"/>
      <c r="HX161" s="529"/>
      <c r="HY161" s="529" t="str">
        <f>IFERROR(IF(COUNTIF(Pedidos!$J:$J,HQ$2)&gt;HA161-1,MATCH(HQ$2,Pedidos!$J:$J,0),""),"")</f>
        <v/>
      </c>
      <c r="HZ161" s="529">
        <f>IFERROR(IF(HY161="",0,COUNTIF(Pedidos!$J:$J,Procesos!HQ$2)),"")</f>
        <v>0</v>
      </c>
      <c r="IA161" s="529">
        <v>8</v>
      </c>
      <c r="IB161" s="529"/>
      <c r="IC161" s="529"/>
      <c r="ID161" s="529"/>
      <c r="IE161" s="529"/>
      <c r="IF161" s="529"/>
      <c r="IG161" s="529"/>
      <c r="IH161" s="529"/>
      <c r="II161" s="529"/>
      <c r="IJ161" s="529">
        <v>18</v>
      </c>
      <c r="IK161" s="529">
        <v>19</v>
      </c>
      <c r="IL161" s="529">
        <v>20</v>
      </c>
      <c r="IM161" s="529">
        <v>21</v>
      </c>
      <c r="IN161" s="529">
        <v>22</v>
      </c>
      <c r="IO161" s="529">
        <v>23</v>
      </c>
      <c r="IP161" s="529">
        <v>24</v>
      </c>
      <c r="IQ161" s="529">
        <v>25</v>
      </c>
      <c r="IR161" s="529">
        <v>26</v>
      </c>
      <c r="IS161" s="529">
        <v>27</v>
      </c>
      <c r="IT161" s="529">
        <v>28</v>
      </c>
      <c r="IU161" s="529">
        <v>29</v>
      </c>
      <c r="IV161" s="529">
        <v>30</v>
      </c>
      <c r="IW161" s="529"/>
      <c r="IX161" s="529"/>
      <c r="IY161" s="529" t="str">
        <f>IFERROR(IF(COUNTIF(Pedidos!$J:$J,IQ$2)&gt;IA161-1,MATCH(IQ$2,Pedidos!$J:$J,0),""),"")</f>
        <v/>
      </c>
      <c r="IZ161" s="529">
        <f>IFERROR(IF(IY161="",0,COUNTIF(Pedidos!$J:$J,Procesos!IQ$2)),"")</f>
        <v>0</v>
      </c>
    </row>
    <row r="162" spans="1:260" x14ac:dyDescent="0.25">
      <c r="A162" s="815" t="str">
        <f>IF(Z161&gt;=A161,Q$2 &amp;"     ITEM # "&amp;A161,"")</f>
        <v/>
      </c>
      <c r="B162" s="816"/>
      <c r="C162" s="816"/>
      <c r="D162" s="816"/>
      <c r="E162" s="816"/>
      <c r="F162" s="816"/>
      <c r="G162" s="816"/>
      <c r="H162" s="816"/>
      <c r="I162" s="817"/>
      <c r="J162" s="818" t="str">
        <f>IF(Z161&gt;=A161,$J$6,"")</f>
        <v/>
      </c>
      <c r="K162" s="816"/>
      <c r="L162" s="816"/>
      <c r="M162" s="816"/>
      <c r="N162" s="816"/>
      <c r="O162" s="816"/>
      <c r="P162" s="816"/>
      <c r="Q162" s="816"/>
      <c r="R162" s="816"/>
      <c r="S162" s="816"/>
      <c r="T162" s="816"/>
      <c r="U162" s="816"/>
      <c r="V162" s="816"/>
      <c r="W162" s="816"/>
      <c r="X162" s="816"/>
      <c r="Y162" s="816"/>
      <c r="Z162" s="819"/>
      <c r="AA162" s="815" t="str">
        <f>IF(AZ161&gt;=AA161,AQ$2 &amp;"     ITEM # "&amp;AA161,"")</f>
        <v/>
      </c>
      <c r="AB162" s="816"/>
      <c r="AC162" s="816"/>
      <c r="AD162" s="816"/>
      <c r="AE162" s="816"/>
      <c r="AF162" s="816"/>
      <c r="AG162" s="816"/>
      <c r="AH162" s="816"/>
      <c r="AI162" s="817"/>
      <c r="AJ162" s="818" t="str">
        <f>IF(AZ161&gt;=AA161,$J$6,"")</f>
        <v/>
      </c>
      <c r="AK162" s="816"/>
      <c r="AL162" s="816"/>
      <c r="AM162" s="816"/>
      <c r="AN162" s="816"/>
      <c r="AO162" s="816"/>
      <c r="AP162" s="816"/>
      <c r="AQ162" s="816"/>
      <c r="AR162" s="816"/>
      <c r="AS162" s="816"/>
      <c r="AT162" s="816"/>
      <c r="AU162" s="816"/>
      <c r="AV162" s="816"/>
      <c r="AW162" s="816"/>
      <c r="AX162" s="816"/>
      <c r="AY162" s="816"/>
      <c r="AZ162" s="819"/>
      <c r="BA162" s="815" t="str">
        <f>IF(BZ161&gt;=BA161,BQ$2 &amp;"     ITEM # "&amp;BA161,"")</f>
        <v/>
      </c>
      <c r="BB162" s="816"/>
      <c r="BC162" s="816"/>
      <c r="BD162" s="816"/>
      <c r="BE162" s="816"/>
      <c r="BF162" s="816"/>
      <c r="BG162" s="816"/>
      <c r="BH162" s="816"/>
      <c r="BI162" s="817"/>
      <c r="BJ162" s="818" t="str">
        <f>IF(BZ161&gt;=BA161,$J$6,"")</f>
        <v/>
      </c>
      <c r="BK162" s="816"/>
      <c r="BL162" s="816"/>
      <c r="BM162" s="816"/>
      <c r="BN162" s="816"/>
      <c r="BO162" s="816"/>
      <c r="BP162" s="816"/>
      <c r="BQ162" s="816"/>
      <c r="BR162" s="816"/>
      <c r="BS162" s="816"/>
      <c r="BT162" s="816"/>
      <c r="BU162" s="816"/>
      <c r="BV162" s="816"/>
      <c r="BW162" s="816"/>
      <c r="BX162" s="816"/>
      <c r="BY162" s="816"/>
      <c r="BZ162" s="819"/>
      <c r="CA162" s="815" t="str">
        <f>IF(CZ161&gt;=CA161,CQ$2 &amp;"     ITEM # "&amp;CA161,"")</f>
        <v/>
      </c>
      <c r="CB162" s="816"/>
      <c r="CC162" s="816"/>
      <c r="CD162" s="816"/>
      <c r="CE162" s="816"/>
      <c r="CF162" s="816"/>
      <c r="CG162" s="816"/>
      <c r="CH162" s="816"/>
      <c r="CI162" s="817"/>
      <c r="CJ162" s="818" t="str">
        <f>IF(CZ161&gt;=CA161,$J$6,"")</f>
        <v/>
      </c>
      <c r="CK162" s="816"/>
      <c r="CL162" s="816"/>
      <c r="CM162" s="816"/>
      <c r="CN162" s="816"/>
      <c r="CO162" s="816"/>
      <c r="CP162" s="816"/>
      <c r="CQ162" s="816"/>
      <c r="CR162" s="816"/>
      <c r="CS162" s="816"/>
      <c r="CT162" s="816"/>
      <c r="CU162" s="816"/>
      <c r="CV162" s="816"/>
      <c r="CW162" s="816"/>
      <c r="CX162" s="816"/>
      <c r="CY162" s="816"/>
      <c r="CZ162" s="819"/>
      <c r="DA162" s="815" t="str">
        <f>IF(DZ161&gt;=DA161,DQ$2 &amp;"     ITEM # "&amp;DA161,"")</f>
        <v/>
      </c>
      <c r="DB162" s="816"/>
      <c r="DC162" s="816"/>
      <c r="DD162" s="816"/>
      <c r="DE162" s="816"/>
      <c r="DF162" s="816"/>
      <c r="DG162" s="816"/>
      <c r="DH162" s="816"/>
      <c r="DI162" s="817"/>
      <c r="DJ162" s="818" t="str">
        <f>IF(DZ161&gt;=DA161,$J$6,"")</f>
        <v/>
      </c>
      <c r="DK162" s="816"/>
      <c r="DL162" s="816"/>
      <c r="DM162" s="816"/>
      <c r="DN162" s="816"/>
      <c r="DO162" s="816"/>
      <c r="DP162" s="816"/>
      <c r="DQ162" s="816"/>
      <c r="DR162" s="816"/>
      <c r="DS162" s="816"/>
      <c r="DT162" s="816"/>
      <c r="DU162" s="816"/>
      <c r="DV162" s="816"/>
      <c r="DW162" s="816"/>
      <c r="DX162" s="816"/>
      <c r="DY162" s="816"/>
      <c r="DZ162" s="819"/>
      <c r="EA162" s="815" t="str">
        <f>IF(EZ161&gt;=EA161,EQ$2 &amp;"     ITEM # "&amp;EA161,"")</f>
        <v/>
      </c>
      <c r="EB162" s="816"/>
      <c r="EC162" s="816"/>
      <c r="ED162" s="816"/>
      <c r="EE162" s="816"/>
      <c r="EF162" s="816"/>
      <c r="EG162" s="816"/>
      <c r="EH162" s="816"/>
      <c r="EI162" s="817"/>
      <c r="EJ162" s="818" t="str">
        <f>IF(EZ161&gt;=EA161,$J$6,"")</f>
        <v/>
      </c>
      <c r="EK162" s="816"/>
      <c r="EL162" s="816"/>
      <c r="EM162" s="816"/>
      <c r="EN162" s="816"/>
      <c r="EO162" s="816"/>
      <c r="EP162" s="816"/>
      <c r="EQ162" s="816"/>
      <c r="ER162" s="816"/>
      <c r="ES162" s="816"/>
      <c r="ET162" s="816"/>
      <c r="EU162" s="816"/>
      <c r="EV162" s="816"/>
      <c r="EW162" s="816"/>
      <c r="EX162" s="816"/>
      <c r="EY162" s="816"/>
      <c r="EZ162" s="819"/>
      <c r="FA162" s="815" t="str">
        <f>IF(FZ161&gt;=FA161,FQ$2 &amp;"     ITEM # "&amp;FA161,"")</f>
        <v/>
      </c>
      <c r="FB162" s="816"/>
      <c r="FC162" s="816"/>
      <c r="FD162" s="816"/>
      <c r="FE162" s="816"/>
      <c r="FF162" s="816"/>
      <c r="FG162" s="816"/>
      <c r="FH162" s="816"/>
      <c r="FI162" s="817"/>
      <c r="FJ162" s="818" t="str">
        <f>IF(FZ161&gt;=FA161,$J$6,"")</f>
        <v/>
      </c>
      <c r="FK162" s="816"/>
      <c r="FL162" s="816"/>
      <c r="FM162" s="816"/>
      <c r="FN162" s="816"/>
      <c r="FO162" s="816"/>
      <c r="FP162" s="816"/>
      <c r="FQ162" s="816"/>
      <c r="FR162" s="816"/>
      <c r="FS162" s="816"/>
      <c r="FT162" s="816"/>
      <c r="FU162" s="816"/>
      <c r="FV162" s="816"/>
      <c r="FW162" s="816"/>
      <c r="FX162" s="816"/>
      <c r="FY162" s="816"/>
      <c r="FZ162" s="819"/>
      <c r="GA162" s="815" t="str">
        <f>IF(GZ161&gt;=GA161,GQ$2 &amp;"     ITEM # "&amp;GA161,"")</f>
        <v/>
      </c>
      <c r="GB162" s="816"/>
      <c r="GC162" s="816"/>
      <c r="GD162" s="816"/>
      <c r="GE162" s="816"/>
      <c r="GF162" s="816"/>
      <c r="GG162" s="816"/>
      <c r="GH162" s="816"/>
      <c r="GI162" s="817"/>
      <c r="GJ162" s="818" t="str">
        <f>IF(GZ161&gt;=GA161,$J$6,"")</f>
        <v/>
      </c>
      <c r="GK162" s="816"/>
      <c r="GL162" s="816"/>
      <c r="GM162" s="816"/>
      <c r="GN162" s="816"/>
      <c r="GO162" s="816"/>
      <c r="GP162" s="816"/>
      <c r="GQ162" s="816"/>
      <c r="GR162" s="816"/>
      <c r="GS162" s="816"/>
      <c r="GT162" s="816"/>
      <c r="GU162" s="816"/>
      <c r="GV162" s="816"/>
      <c r="GW162" s="816"/>
      <c r="GX162" s="816"/>
      <c r="GY162" s="816"/>
      <c r="GZ162" s="819"/>
      <c r="HA162" s="815" t="str">
        <f>IF(HZ161&gt;=HA161,HQ$2 &amp;"     ITEM # "&amp;HA161,"")</f>
        <v/>
      </c>
      <c r="HB162" s="816"/>
      <c r="HC162" s="816"/>
      <c r="HD162" s="816"/>
      <c r="HE162" s="816"/>
      <c r="HF162" s="816"/>
      <c r="HG162" s="816"/>
      <c r="HH162" s="816"/>
      <c r="HI162" s="817"/>
      <c r="HJ162" s="818" t="str">
        <f>IF(HZ161&gt;=HA161,$J$6,"")</f>
        <v/>
      </c>
      <c r="HK162" s="816"/>
      <c r="HL162" s="816"/>
      <c r="HM162" s="816"/>
      <c r="HN162" s="816"/>
      <c r="HO162" s="816"/>
      <c r="HP162" s="816"/>
      <c r="HQ162" s="816"/>
      <c r="HR162" s="816"/>
      <c r="HS162" s="816"/>
      <c r="HT162" s="816"/>
      <c r="HU162" s="816"/>
      <c r="HV162" s="816"/>
      <c r="HW162" s="816"/>
      <c r="HX162" s="816"/>
      <c r="HY162" s="816"/>
      <c r="HZ162" s="819"/>
      <c r="IA162" s="815" t="str">
        <f>IF(IZ161&gt;=IA161,IQ$2 &amp;"     ITEM # "&amp;IA161,"")</f>
        <v/>
      </c>
      <c r="IB162" s="816"/>
      <c r="IC162" s="816"/>
      <c r="ID162" s="816"/>
      <c r="IE162" s="816"/>
      <c r="IF162" s="816"/>
      <c r="IG162" s="816"/>
      <c r="IH162" s="816"/>
      <c r="II162" s="817"/>
      <c r="IJ162" s="818" t="str">
        <f>IF(IZ161&gt;=IA161,$J$6,"")</f>
        <v/>
      </c>
      <c r="IK162" s="816"/>
      <c r="IL162" s="816"/>
      <c r="IM162" s="816"/>
      <c r="IN162" s="816"/>
      <c r="IO162" s="816"/>
      <c r="IP162" s="816"/>
      <c r="IQ162" s="816"/>
      <c r="IR162" s="816"/>
      <c r="IS162" s="816"/>
      <c r="IT162" s="816"/>
      <c r="IU162" s="816"/>
      <c r="IV162" s="816"/>
      <c r="IW162" s="816"/>
      <c r="IX162" s="816"/>
      <c r="IY162" s="816"/>
      <c r="IZ162" s="819"/>
    </row>
    <row r="163" spans="1:260" x14ac:dyDescent="0.25">
      <c r="A163" s="848" t="str">
        <f>IFERROR(INDEX(Lista_Pedidos,Procesos!Y161+A161-1,5),"")</f>
        <v/>
      </c>
      <c r="B163" s="843"/>
      <c r="C163" s="843"/>
      <c r="D163" s="843"/>
      <c r="E163" s="843"/>
      <c r="F163" s="843"/>
      <c r="G163" s="843"/>
      <c r="H163" s="843"/>
      <c r="I163" s="844"/>
      <c r="J163" s="842" t="str">
        <f>IF(Z161&gt;=A161,$J$7,"")</f>
        <v/>
      </c>
      <c r="K163" s="843"/>
      <c r="L163" s="844"/>
      <c r="M163" s="842" t="str">
        <f>IF(Z161&gt;=A161,$M$7,"")</f>
        <v/>
      </c>
      <c r="N163" s="843"/>
      <c r="O163" s="844"/>
      <c r="P163" s="842" t="str">
        <f>IF(Z161&gt;=A161,$P$7,"")</f>
        <v/>
      </c>
      <c r="Q163" s="843"/>
      <c r="R163" s="843"/>
      <c r="S163" s="843"/>
      <c r="T163" s="843"/>
      <c r="U163" s="844"/>
      <c r="V163" s="834" t="str">
        <f>IF(Z161&gt;=A161,$V$7,"")</f>
        <v/>
      </c>
      <c r="W163" s="842" t="str">
        <f>IF(Z161&gt;=A161,$W$7,"")</f>
        <v/>
      </c>
      <c r="X163" s="843"/>
      <c r="Y163" s="843"/>
      <c r="Z163" s="850"/>
      <c r="AA163" s="848" t="str">
        <f>IFERROR(INDEX(Lista_Pedidos,Procesos!AY161+AA161-1,5),"")</f>
        <v/>
      </c>
      <c r="AB163" s="843"/>
      <c r="AC163" s="843"/>
      <c r="AD163" s="843"/>
      <c r="AE163" s="843"/>
      <c r="AF163" s="843"/>
      <c r="AG163" s="843"/>
      <c r="AH163" s="843"/>
      <c r="AI163" s="844"/>
      <c r="AJ163" s="842" t="str">
        <f>IF(AZ161&gt;=AA161,$J$7,"")</f>
        <v/>
      </c>
      <c r="AK163" s="843"/>
      <c r="AL163" s="844"/>
      <c r="AM163" s="842" t="str">
        <f>IF(AZ161&gt;=AA161,$M$7,"")</f>
        <v/>
      </c>
      <c r="AN163" s="843"/>
      <c r="AO163" s="844"/>
      <c r="AP163" s="842" t="str">
        <f>IF(AZ161&gt;=AA161,$P$7,"")</f>
        <v/>
      </c>
      <c r="AQ163" s="843"/>
      <c r="AR163" s="843"/>
      <c r="AS163" s="843"/>
      <c r="AT163" s="843"/>
      <c r="AU163" s="844"/>
      <c r="AV163" s="834" t="str">
        <f>IF(AZ161&gt;=AA161,$V$7,"")</f>
        <v/>
      </c>
      <c r="AW163" s="842" t="str">
        <f>IF(AZ161&gt;=AA161,$W$7,"")</f>
        <v/>
      </c>
      <c r="AX163" s="843"/>
      <c r="AY163" s="843"/>
      <c r="AZ163" s="850"/>
      <c r="BA163" s="848" t="str">
        <f>IFERROR(INDEX(Lista_Pedidos,Procesos!BY161+BA161-1,5),"")</f>
        <v/>
      </c>
      <c r="BB163" s="843"/>
      <c r="BC163" s="843"/>
      <c r="BD163" s="843"/>
      <c r="BE163" s="843"/>
      <c r="BF163" s="843"/>
      <c r="BG163" s="843"/>
      <c r="BH163" s="843"/>
      <c r="BI163" s="844"/>
      <c r="BJ163" s="842" t="str">
        <f>IF(BZ161&gt;=BA161,$J$7,"")</f>
        <v/>
      </c>
      <c r="BK163" s="843"/>
      <c r="BL163" s="844"/>
      <c r="BM163" s="842" t="str">
        <f>IF(BZ161&gt;=BA161,$M$7,"")</f>
        <v/>
      </c>
      <c r="BN163" s="843"/>
      <c r="BO163" s="844"/>
      <c r="BP163" s="842" t="str">
        <f>IF(BZ161&gt;=BA161,$P$7,"")</f>
        <v/>
      </c>
      <c r="BQ163" s="843"/>
      <c r="BR163" s="843"/>
      <c r="BS163" s="843"/>
      <c r="BT163" s="843"/>
      <c r="BU163" s="844"/>
      <c r="BV163" s="834" t="str">
        <f>IF(BZ161&gt;=BA161,$V$7,"")</f>
        <v/>
      </c>
      <c r="BW163" s="842" t="str">
        <f>IF(BZ161&gt;=BA161,$W$7,"")</f>
        <v/>
      </c>
      <c r="BX163" s="843"/>
      <c r="BY163" s="843"/>
      <c r="BZ163" s="850"/>
      <c r="CA163" s="848" t="str">
        <f>IFERROR(INDEX(Lista_Pedidos,Procesos!CY161+CA161-1,5),"")</f>
        <v/>
      </c>
      <c r="CB163" s="843"/>
      <c r="CC163" s="843"/>
      <c r="CD163" s="843"/>
      <c r="CE163" s="843"/>
      <c r="CF163" s="843"/>
      <c r="CG163" s="843"/>
      <c r="CH163" s="843"/>
      <c r="CI163" s="844"/>
      <c r="CJ163" s="842" t="str">
        <f>IF(CZ161&gt;=CA161,$J$7,"")</f>
        <v/>
      </c>
      <c r="CK163" s="843"/>
      <c r="CL163" s="844"/>
      <c r="CM163" s="842" t="str">
        <f>IF(CZ161&gt;=CA161,$M$7,"")</f>
        <v/>
      </c>
      <c r="CN163" s="843"/>
      <c r="CO163" s="844"/>
      <c r="CP163" s="842" t="str">
        <f>IF(CZ161&gt;=CA161,$P$7,"")</f>
        <v/>
      </c>
      <c r="CQ163" s="843"/>
      <c r="CR163" s="843"/>
      <c r="CS163" s="843"/>
      <c r="CT163" s="843"/>
      <c r="CU163" s="844"/>
      <c r="CV163" s="834" t="str">
        <f>IF(CZ161&gt;=CA161,$V$7,"")</f>
        <v/>
      </c>
      <c r="CW163" s="842" t="str">
        <f>IF(CZ161&gt;=CA161,$W$7,"")</f>
        <v/>
      </c>
      <c r="CX163" s="843"/>
      <c r="CY163" s="843"/>
      <c r="CZ163" s="850"/>
      <c r="DA163" s="848" t="str">
        <f>IFERROR(INDEX(Lista_Pedidos,Procesos!DY161+DA161-1,5),"")</f>
        <v/>
      </c>
      <c r="DB163" s="843"/>
      <c r="DC163" s="843"/>
      <c r="DD163" s="843"/>
      <c r="DE163" s="843"/>
      <c r="DF163" s="843"/>
      <c r="DG163" s="843"/>
      <c r="DH163" s="843"/>
      <c r="DI163" s="844"/>
      <c r="DJ163" s="842" t="str">
        <f>IF(DZ161&gt;=DA161,$J$7,"")</f>
        <v/>
      </c>
      <c r="DK163" s="843"/>
      <c r="DL163" s="844"/>
      <c r="DM163" s="842" t="str">
        <f>IF(DZ161&gt;=DA161,$M$7,"")</f>
        <v/>
      </c>
      <c r="DN163" s="843"/>
      <c r="DO163" s="844"/>
      <c r="DP163" s="842" t="str">
        <f>IF(DZ161&gt;=DA161,$P$7,"")</f>
        <v/>
      </c>
      <c r="DQ163" s="843"/>
      <c r="DR163" s="843"/>
      <c r="DS163" s="843"/>
      <c r="DT163" s="843"/>
      <c r="DU163" s="844"/>
      <c r="DV163" s="834" t="str">
        <f>IF(DZ161&gt;=DA161,$V$7,"")</f>
        <v/>
      </c>
      <c r="DW163" s="842" t="str">
        <f>IF(DZ161&gt;=DA161,$W$7,"")</f>
        <v/>
      </c>
      <c r="DX163" s="843"/>
      <c r="DY163" s="843"/>
      <c r="DZ163" s="850"/>
      <c r="EA163" s="848" t="str">
        <f>IFERROR(INDEX(Lista_Pedidos,Procesos!EY161+EA161-1,5),"")</f>
        <v/>
      </c>
      <c r="EB163" s="843"/>
      <c r="EC163" s="843"/>
      <c r="ED163" s="843"/>
      <c r="EE163" s="843"/>
      <c r="EF163" s="843"/>
      <c r="EG163" s="843"/>
      <c r="EH163" s="843"/>
      <c r="EI163" s="844"/>
      <c r="EJ163" s="842" t="str">
        <f>IF(EZ161&gt;=EA161,$J$7,"")</f>
        <v/>
      </c>
      <c r="EK163" s="843"/>
      <c r="EL163" s="844"/>
      <c r="EM163" s="842" t="str">
        <f>IF(EZ161&gt;=EA161,$M$7,"")</f>
        <v/>
      </c>
      <c r="EN163" s="843"/>
      <c r="EO163" s="844"/>
      <c r="EP163" s="842" t="str">
        <f>IF(EZ161&gt;=EA161,$P$7,"")</f>
        <v/>
      </c>
      <c r="EQ163" s="843"/>
      <c r="ER163" s="843"/>
      <c r="ES163" s="843"/>
      <c r="ET163" s="843"/>
      <c r="EU163" s="844"/>
      <c r="EV163" s="834" t="str">
        <f>IF(EZ161&gt;=EA161,$V$7,"")</f>
        <v/>
      </c>
      <c r="EW163" s="842" t="str">
        <f>IF(EZ161&gt;=EA161,$W$7,"")</f>
        <v/>
      </c>
      <c r="EX163" s="843"/>
      <c r="EY163" s="843"/>
      <c r="EZ163" s="850"/>
      <c r="FA163" s="848" t="str">
        <f>IFERROR(INDEX(Lista_Pedidos,Procesos!FY161+FA161-1,5),"")</f>
        <v/>
      </c>
      <c r="FB163" s="843"/>
      <c r="FC163" s="843"/>
      <c r="FD163" s="843"/>
      <c r="FE163" s="843"/>
      <c r="FF163" s="843"/>
      <c r="FG163" s="843"/>
      <c r="FH163" s="843"/>
      <c r="FI163" s="844"/>
      <c r="FJ163" s="842" t="str">
        <f>IF(FZ161&gt;=FA161,$J$7,"")</f>
        <v/>
      </c>
      <c r="FK163" s="843"/>
      <c r="FL163" s="844"/>
      <c r="FM163" s="842" t="str">
        <f>IF(FZ161&gt;=FA161,$M$7,"")</f>
        <v/>
      </c>
      <c r="FN163" s="843"/>
      <c r="FO163" s="844"/>
      <c r="FP163" s="842" t="str">
        <f>IF(FZ161&gt;=FA161,$P$7,"")</f>
        <v/>
      </c>
      <c r="FQ163" s="843"/>
      <c r="FR163" s="843"/>
      <c r="FS163" s="843"/>
      <c r="FT163" s="843"/>
      <c r="FU163" s="844"/>
      <c r="FV163" s="834" t="str">
        <f>IF(FZ161&gt;=FA161,$V$7,"")</f>
        <v/>
      </c>
      <c r="FW163" s="842" t="str">
        <f>IF(FZ161&gt;=FA161,$W$7,"")</f>
        <v/>
      </c>
      <c r="FX163" s="843"/>
      <c r="FY163" s="843"/>
      <c r="FZ163" s="850"/>
      <c r="GA163" s="848" t="str">
        <f>IFERROR(INDEX(Lista_Pedidos,Procesos!GY161+GA161-1,5),"")</f>
        <v/>
      </c>
      <c r="GB163" s="843"/>
      <c r="GC163" s="843"/>
      <c r="GD163" s="843"/>
      <c r="GE163" s="843"/>
      <c r="GF163" s="843"/>
      <c r="GG163" s="843"/>
      <c r="GH163" s="843"/>
      <c r="GI163" s="844"/>
      <c r="GJ163" s="842" t="str">
        <f>IF(GZ161&gt;=GA161,$J$7,"")</f>
        <v/>
      </c>
      <c r="GK163" s="843"/>
      <c r="GL163" s="844"/>
      <c r="GM163" s="842" t="str">
        <f>IF(GZ161&gt;=GA161,$M$7,"")</f>
        <v/>
      </c>
      <c r="GN163" s="843"/>
      <c r="GO163" s="844"/>
      <c r="GP163" s="842" t="str">
        <f>IF(GZ161&gt;=GA161,$P$7,"")</f>
        <v/>
      </c>
      <c r="GQ163" s="843"/>
      <c r="GR163" s="843"/>
      <c r="GS163" s="843"/>
      <c r="GT163" s="843"/>
      <c r="GU163" s="844"/>
      <c r="GV163" s="834" t="str">
        <f>IF(GZ161&gt;=GA161,$V$7,"")</f>
        <v/>
      </c>
      <c r="GW163" s="842" t="str">
        <f>IF(GZ161&gt;=GA161,$W$7,"")</f>
        <v/>
      </c>
      <c r="GX163" s="843"/>
      <c r="GY163" s="843"/>
      <c r="GZ163" s="850"/>
      <c r="HA163" s="848" t="str">
        <f>IFERROR(INDEX(Lista_Pedidos,Procesos!HY161+HA161-1,5),"")</f>
        <v/>
      </c>
      <c r="HB163" s="843"/>
      <c r="HC163" s="843"/>
      <c r="HD163" s="843"/>
      <c r="HE163" s="843"/>
      <c r="HF163" s="843"/>
      <c r="HG163" s="843"/>
      <c r="HH163" s="843"/>
      <c r="HI163" s="844"/>
      <c r="HJ163" s="842" t="str">
        <f>IF(HZ161&gt;=HA161,$J$7,"")</f>
        <v/>
      </c>
      <c r="HK163" s="843"/>
      <c r="HL163" s="844"/>
      <c r="HM163" s="842" t="str">
        <f>IF(HZ161&gt;=HA161,$M$7,"")</f>
        <v/>
      </c>
      <c r="HN163" s="843"/>
      <c r="HO163" s="844"/>
      <c r="HP163" s="842" t="str">
        <f>IF(HZ161&gt;=HA161,$P$7,"")</f>
        <v/>
      </c>
      <c r="HQ163" s="843"/>
      <c r="HR163" s="843"/>
      <c r="HS163" s="843"/>
      <c r="HT163" s="843"/>
      <c r="HU163" s="844"/>
      <c r="HV163" s="834" t="str">
        <f>IF(HZ161&gt;=HA161,$V$7,"")</f>
        <v/>
      </c>
      <c r="HW163" s="842" t="str">
        <f>IF(HZ161&gt;=HA161,$W$7,"")</f>
        <v/>
      </c>
      <c r="HX163" s="843"/>
      <c r="HY163" s="843"/>
      <c r="HZ163" s="850"/>
      <c r="IA163" s="848" t="str">
        <f>IFERROR(INDEX(Lista_Pedidos,Procesos!IY161+IA161-1,5),"")</f>
        <v/>
      </c>
      <c r="IB163" s="843"/>
      <c r="IC163" s="843"/>
      <c r="ID163" s="843"/>
      <c r="IE163" s="843"/>
      <c r="IF163" s="843"/>
      <c r="IG163" s="843"/>
      <c r="IH163" s="843"/>
      <c r="II163" s="844"/>
      <c r="IJ163" s="842" t="str">
        <f>IF(IZ161&gt;=IA161,$J$7,"")</f>
        <v/>
      </c>
      <c r="IK163" s="843"/>
      <c r="IL163" s="844"/>
      <c r="IM163" s="842" t="str">
        <f>IF(IZ161&gt;=IA161,$M$7,"")</f>
        <v/>
      </c>
      <c r="IN163" s="843"/>
      <c r="IO163" s="844"/>
      <c r="IP163" s="842" t="str">
        <f>IF(IZ161&gt;=IA161,$P$7,"")</f>
        <v/>
      </c>
      <c r="IQ163" s="843"/>
      <c r="IR163" s="843"/>
      <c r="IS163" s="843"/>
      <c r="IT163" s="843"/>
      <c r="IU163" s="844"/>
      <c r="IV163" s="834" t="str">
        <f>IF(IZ161&gt;=IA161,$V$7,"")</f>
        <v/>
      </c>
      <c r="IW163" s="842" t="str">
        <f>IF(IZ161&gt;=IA161,$W$7,"")</f>
        <v/>
      </c>
      <c r="IX163" s="843"/>
      <c r="IY163" s="843"/>
      <c r="IZ163" s="850"/>
    </row>
    <row r="164" spans="1:260" x14ac:dyDescent="0.25">
      <c r="A164" s="849"/>
      <c r="B164" s="846"/>
      <c r="C164" s="846"/>
      <c r="D164" s="846"/>
      <c r="E164" s="846"/>
      <c r="F164" s="846"/>
      <c r="G164" s="846"/>
      <c r="H164" s="846"/>
      <c r="I164" s="847"/>
      <c r="J164" s="845"/>
      <c r="K164" s="846"/>
      <c r="L164" s="847"/>
      <c r="M164" s="845"/>
      <c r="N164" s="846"/>
      <c r="O164" s="847"/>
      <c r="P164" s="845"/>
      <c r="Q164" s="846"/>
      <c r="R164" s="846"/>
      <c r="S164" s="846"/>
      <c r="T164" s="846"/>
      <c r="U164" s="847"/>
      <c r="V164" s="835"/>
      <c r="W164" s="845"/>
      <c r="X164" s="846"/>
      <c r="Y164" s="846"/>
      <c r="Z164" s="851"/>
      <c r="AA164" s="849"/>
      <c r="AB164" s="846"/>
      <c r="AC164" s="846"/>
      <c r="AD164" s="846"/>
      <c r="AE164" s="846"/>
      <c r="AF164" s="846"/>
      <c r="AG164" s="846"/>
      <c r="AH164" s="846"/>
      <c r="AI164" s="847"/>
      <c r="AJ164" s="845"/>
      <c r="AK164" s="846"/>
      <c r="AL164" s="847"/>
      <c r="AM164" s="845"/>
      <c r="AN164" s="846"/>
      <c r="AO164" s="847"/>
      <c r="AP164" s="845"/>
      <c r="AQ164" s="846"/>
      <c r="AR164" s="846"/>
      <c r="AS164" s="846"/>
      <c r="AT164" s="846"/>
      <c r="AU164" s="847"/>
      <c r="AV164" s="835"/>
      <c r="AW164" s="845"/>
      <c r="AX164" s="846"/>
      <c r="AY164" s="846"/>
      <c r="AZ164" s="851"/>
      <c r="BA164" s="849"/>
      <c r="BB164" s="846"/>
      <c r="BC164" s="846"/>
      <c r="BD164" s="846"/>
      <c r="BE164" s="846"/>
      <c r="BF164" s="846"/>
      <c r="BG164" s="846"/>
      <c r="BH164" s="846"/>
      <c r="BI164" s="847"/>
      <c r="BJ164" s="845"/>
      <c r="BK164" s="846"/>
      <c r="BL164" s="847"/>
      <c r="BM164" s="845"/>
      <c r="BN164" s="846"/>
      <c r="BO164" s="847"/>
      <c r="BP164" s="845"/>
      <c r="BQ164" s="846"/>
      <c r="BR164" s="846"/>
      <c r="BS164" s="846"/>
      <c r="BT164" s="846"/>
      <c r="BU164" s="847"/>
      <c r="BV164" s="835"/>
      <c r="BW164" s="845"/>
      <c r="BX164" s="846"/>
      <c r="BY164" s="846"/>
      <c r="BZ164" s="851"/>
      <c r="CA164" s="849"/>
      <c r="CB164" s="846"/>
      <c r="CC164" s="846"/>
      <c r="CD164" s="846"/>
      <c r="CE164" s="846"/>
      <c r="CF164" s="846"/>
      <c r="CG164" s="846"/>
      <c r="CH164" s="846"/>
      <c r="CI164" s="847"/>
      <c r="CJ164" s="845"/>
      <c r="CK164" s="846"/>
      <c r="CL164" s="847"/>
      <c r="CM164" s="845"/>
      <c r="CN164" s="846"/>
      <c r="CO164" s="847"/>
      <c r="CP164" s="845"/>
      <c r="CQ164" s="846"/>
      <c r="CR164" s="846"/>
      <c r="CS164" s="846"/>
      <c r="CT164" s="846"/>
      <c r="CU164" s="847"/>
      <c r="CV164" s="835"/>
      <c r="CW164" s="845"/>
      <c r="CX164" s="846"/>
      <c r="CY164" s="846"/>
      <c r="CZ164" s="851"/>
      <c r="DA164" s="849"/>
      <c r="DB164" s="846"/>
      <c r="DC164" s="846"/>
      <c r="DD164" s="846"/>
      <c r="DE164" s="846"/>
      <c r="DF164" s="846"/>
      <c r="DG164" s="846"/>
      <c r="DH164" s="846"/>
      <c r="DI164" s="847"/>
      <c r="DJ164" s="845"/>
      <c r="DK164" s="846"/>
      <c r="DL164" s="847"/>
      <c r="DM164" s="845"/>
      <c r="DN164" s="846"/>
      <c r="DO164" s="847"/>
      <c r="DP164" s="845"/>
      <c r="DQ164" s="846"/>
      <c r="DR164" s="846"/>
      <c r="DS164" s="846"/>
      <c r="DT164" s="846"/>
      <c r="DU164" s="847"/>
      <c r="DV164" s="835"/>
      <c r="DW164" s="845"/>
      <c r="DX164" s="846"/>
      <c r="DY164" s="846"/>
      <c r="DZ164" s="851"/>
      <c r="EA164" s="849"/>
      <c r="EB164" s="846"/>
      <c r="EC164" s="846"/>
      <c r="ED164" s="846"/>
      <c r="EE164" s="846"/>
      <c r="EF164" s="846"/>
      <c r="EG164" s="846"/>
      <c r="EH164" s="846"/>
      <c r="EI164" s="847"/>
      <c r="EJ164" s="845"/>
      <c r="EK164" s="846"/>
      <c r="EL164" s="847"/>
      <c r="EM164" s="845"/>
      <c r="EN164" s="846"/>
      <c r="EO164" s="847"/>
      <c r="EP164" s="845"/>
      <c r="EQ164" s="846"/>
      <c r="ER164" s="846"/>
      <c r="ES164" s="846"/>
      <c r="ET164" s="846"/>
      <c r="EU164" s="847"/>
      <c r="EV164" s="835"/>
      <c r="EW164" s="845"/>
      <c r="EX164" s="846"/>
      <c r="EY164" s="846"/>
      <c r="EZ164" s="851"/>
      <c r="FA164" s="849"/>
      <c r="FB164" s="846"/>
      <c r="FC164" s="846"/>
      <c r="FD164" s="846"/>
      <c r="FE164" s="846"/>
      <c r="FF164" s="846"/>
      <c r="FG164" s="846"/>
      <c r="FH164" s="846"/>
      <c r="FI164" s="847"/>
      <c r="FJ164" s="845"/>
      <c r="FK164" s="846"/>
      <c r="FL164" s="847"/>
      <c r="FM164" s="845"/>
      <c r="FN164" s="846"/>
      <c r="FO164" s="847"/>
      <c r="FP164" s="845"/>
      <c r="FQ164" s="846"/>
      <c r="FR164" s="846"/>
      <c r="FS164" s="846"/>
      <c r="FT164" s="846"/>
      <c r="FU164" s="847"/>
      <c r="FV164" s="835"/>
      <c r="FW164" s="845"/>
      <c r="FX164" s="846"/>
      <c r="FY164" s="846"/>
      <c r="FZ164" s="851"/>
      <c r="GA164" s="849"/>
      <c r="GB164" s="846"/>
      <c r="GC164" s="846"/>
      <c r="GD164" s="846"/>
      <c r="GE164" s="846"/>
      <c r="GF164" s="846"/>
      <c r="GG164" s="846"/>
      <c r="GH164" s="846"/>
      <c r="GI164" s="847"/>
      <c r="GJ164" s="845"/>
      <c r="GK164" s="846"/>
      <c r="GL164" s="847"/>
      <c r="GM164" s="845"/>
      <c r="GN164" s="846"/>
      <c r="GO164" s="847"/>
      <c r="GP164" s="845"/>
      <c r="GQ164" s="846"/>
      <c r="GR164" s="846"/>
      <c r="GS164" s="846"/>
      <c r="GT164" s="846"/>
      <c r="GU164" s="847"/>
      <c r="GV164" s="835"/>
      <c r="GW164" s="845"/>
      <c r="GX164" s="846"/>
      <c r="GY164" s="846"/>
      <c r="GZ164" s="851"/>
      <c r="HA164" s="849"/>
      <c r="HB164" s="846"/>
      <c r="HC164" s="846"/>
      <c r="HD164" s="846"/>
      <c r="HE164" s="846"/>
      <c r="HF164" s="846"/>
      <c r="HG164" s="846"/>
      <c r="HH164" s="846"/>
      <c r="HI164" s="847"/>
      <c r="HJ164" s="845"/>
      <c r="HK164" s="846"/>
      <c r="HL164" s="847"/>
      <c r="HM164" s="845"/>
      <c r="HN164" s="846"/>
      <c r="HO164" s="847"/>
      <c r="HP164" s="845"/>
      <c r="HQ164" s="846"/>
      <c r="HR164" s="846"/>
      <c r="HS164" s="846"/>
      <c r="HT164" s="846"/>
      <c r="HU164" s="847"/>
      <c r="HV164" s="835"/>
      <c r="HW164" s="845"/>
      <c r="HX164" s="846"/>
      <c r="HY164" s="846"/>
      <c r="HZ164" s="851"/>
      <c r="IA164" s="849"/>
      <c r="IB164" s="846"/>
      <c r="IC164" s="846"/>
      <c r="ID164" s="846"/>
      <c r="IE164" s="846"/>
      <c r="IF164" s="846"/>
      <c r="IG164" s="846"/>
      <c r="IH164" s="846"/>
      <c r="II164" s="847"/>
      <c r="IJ164" s="845"/>
      <c r="IK164" s="846"/>
      <c r="IL164" s="847"/>
      <c r="IM164" s="845"/>
      <c r="IN164" s="846"/>
      <c r="IO164" s="847"/>
      <c r="IP164" s="845"/>
      <c r="IQ164" s="846"/>
      <c r="IR164" s="846"/>
      <c r="IS164" s="846"/>
      <c r="IT164" s="846"/>
      <c r="IU164" s="847"/>
      <c r="IV164" s="835"/>
      <c r="IW164" s="845"/>
      <c r="IX164" s="846"/>
      <c r="IY164" s="846"/>
      <c r="IZ164" s="851"/>
    </row>
    <row r="165" spans="1:260" ht="15" customHeight="1" x14ac:dyDescent="0.25">
      <c r="A165" s="858" t="str">
        <f>IF(Z161&gt;=A161,$A$9,"")</f>
        <v/>
      </c>
      <c r="B165" s="806"/>
      <c r="C165" s="806"/>
      <c r="D165" s="806"/>
      <c r="E165" s="852"/>
      <c r="F165" s="805" t="str">
        <f>IF(Z161&gt;=A161,$F$9,"")</f>
        <v/>
      </c>
      <c r="G165" s="806"/>
      <c r="H165" s="806"/>
      <c r="I165" s="852"/>
      <c r="J165" s="811" t="str">
        <f>IF(Z161&gt;=A161,$J$9,"")</f>
        <v/>
      </c>
      <c r="K165" s="803" t="str">
        <f>IF(Z161&gt;=A161,$K$9,"")</f>
        <v/>
      </c>
      <c r="L165" s="803" t="str">
        <f>IF(Z161&gt;=A161,$L$9,"")</f>
        <v/>
      </c>
      <c r="M165" s="803" t="str">
        <f>IF(Z161&gt;=A161,$M$9,"")</f>
        <v/>
      </c>
      <c r="N165" s="803" t="str">
        <f>IF(Z161&gt;=A161,$N$9,"")</f>
        <v/>
      </c>
      <c r="O165" s="803" t="str">
        <f>IF(Z161&gt;=A161,$O$9,"")</f>
        <v/>
      </c>
      <c r="P165" s="803" t="str">
        <f>IF(Z161&gt;=A161,$P$9,"")</f>
        <v/>
      </c>
      <c r="Q165" s="803" t="str">
        <f>IF(Z161&gt;=A161,$Q$9,"")</f>
        <v/>
      </c>
      <c r="R165" s="803" t="str">
        <f>IF(Z161&gt;=A161,$R$9,"")</f>
        <v/>
      </c>
      <c r="S165" s="803" t="str">
        <f>IF(Z161&gt;=A161,$S$9,"")</f>
        <v/>
      </c>
      <c r="T165" s="803" t="str">
        <f>IF(Z161&gt;=A161,$T$9,"")</f>
        <v/>
      </c>
      <c r="U165" s="803" t="str">
        <f>IF(Z161&gt;=A161,$U$9,"")</f>
        <v/>
      </c>
      <c r="V165" s="803" t="str">
        <f>IF(Z161&gt;=A161,$V$9,"")</f>
        <v/>
      </c>
      <c r="W165" s="805" t="str">
        <f>IF(Z161&gt;=A161,$W$9,"")</f>
        <v/>
      </c>
      <c r="X165" s="806"/>
      <c r="Y165" s="806"/>
      <c r="Z165" s="807"/>
      <c r="AA165" s="858" t="str">
        <f>IF(AZ161&gt;=AA161,$A$9,"")</f>
        <v/>
      </c>
      <c r="AB165" s="806"/>
      <c r="AC165" s="806"/>
      <c r="AD165" s="806"/>
      <c r="AE165" s="852"/>
      <c r="AF165" s="805" t="str">
        <f>IF(AZ161&gt;=AA161,$F$9,"")</f>
        <v/>
      </c>
      <c r="AG165" s="806"/>
      <c r="AH165" s="806"/>
      <c r="AI165" s="852"/>
      <c r="AJ165" s="811" t="str">
        <f>IF(AZ161&gt;=AA161,$J$9,"")</f>
        <v/>
      </c>
      <c r="AK165" s="803" t="str">
        <f>IF(AZ161&gt;=AA161,$K$9,"")</f>
        <v/>
      </c>
      <c r="AL165" s="803" t="str">
        <f>IF(AZ161&gt;=AA161,$L$9,"")</f>
        <v/>
      </c>
      <c r="AM165" s="803" t="str">
        <f>IF(AZ161&gt;=AA161,$M$9,"")</f>
        <v/>
      </c>
      <c r="AN165" s="803" t="str">
        <f>IF(AZ161&gt;=AA161,$N$9,"")</f>
        <v/>
      </c>
      <c r="AO165" s="803" t="str">
        <f>IF(AZ161&gt;=AA161,$O$9,"")</f>
        <v/>
      </c>
      <c r="AP165" s="803" t="str">
        <f>IF(AZ161&gt;=AA161,$P$9,"")</f>
        <v/>
      </c>
      <c r="AQ165" s="803" t="str">
        <f>IF(AZ161&gt;=AA161,$Q$9,"")</f>
        <v/>
      </c>
      <c r="AR165" s="803" t="str">
        <f>IF(AZ161&gt;=AA161,$R$9,"")</f>
        <v/>
      </c>
      <c r="AS165" s="803" t="str">
        <f>IF(AZ161&gt;=AA161,$S$9,"")</f>
        <v/>
      </c>
      <c r="AT165" s="803" t="str">
        <f>IF(AZ161&gt;=AA161,$T$9,"")</f>
        <v/>
      </c>
      <c r="AU165" s="803" t="str">
        <f>IF(AZ161&gt;=AA161,$U$9,"")</f>
        <v/>
      </c>
      <c r="AV165" s="803" t="str">
        <f>IF(AZ161&gt;=AA161,$V$9,"")</f>
        <v/>
      </c>
      <c r="AW165" s="805" t="str">
        <f>IF(AZ161&gt;=AA161,$W$9,"")</f>
        <v/>
      </c>
      <c r="AX165" s="806"/>
      <c r="AY165" s="806"/>
      <c r="AZ165" s="807"/>
      <c r="BA165" s="858" t="str">
        <f>IF(BZ161&gt;=BA161,$A$9,"")</f>
        <v/>
      </c>
      <c r="BB165" s="806"/>
      <c r="BC165" s="806"/>
      <c r="BD165" s="806"/>
      <c r="BE165" s="852"/>
      <c r="BF165" s="805" t="str">
        <f>IF(BZ161&gt;=BA161,$F$9,"")</f>
        <v/>
      </c>
      <c r="BG165" s="806"/>
      <c r="BH165" s="806"/>
      <c r="BI165" s="852"/>
      <c r="BJ165" s="811" t="str">
        <f>IF(BZ161&gt;=BA161,$J$9,"")</f>
        <v/>
      </c>
      <c r="BK165" s="803" t="str">
        <f>IF(BZ161&gt;=BA161,$K$9,"")</f>
        <v/>
      </c>
      <c r="BL165" s="803" t="str">
        <f>IF(BZ161&gt;=BA161,$L$9,"")</f>
        <v/>
      </c>
      <c r="BM165" s="803" t="str">
        <f>IF(BZ161&gt;=BA161,$M$9,"")</f>
        <v/>
      </c>
      <c r="BN165" s="803" t="str">
        <f>IF(BZ161&gt;=BA161,$N$9,"")</f>
        <v/>
      </c>
      <c r="BO165" s="803" t="str">
        <f>IF(BZ161&gt;=BA161,$O$9,"")</f>
        <v/>
      </c>
      <c r="BP165" s="803" t="str">
        <f>IF(BZ161&gt;=BA161,$P$9,"")</f>
        <v/>
      </c>
      <c r="BQ165" s="803" t="str">
        <f>IF(BZ161&gt;=BA161,$Q$9,"")</f>
        <v/>
      </c>
      <c r="BR165" s="803" t="str">
        <f>IF(BZ161&gt;=BA161,$R$9,"")</f>
        <v/>
      </c>
      <c r="BS165" s="803" t="str">
        <f>IF(BZ161&gt;=BA161,$S$9,"")</f>
        <v/>
      </c>
      <c r="BT165" s="803" t="str">
        <f>IF(BZ161&gt;=BA161,$T$9,"")</f>
        <v/>
      </c>
      <c r="BU165" s="803" t="str">
        <f>IF(BZ161&gt;=BA161,$U$9,"")</f>
        <v/>
      </c>
      <c r="BV165" s="803" t="str">
        <f>IF(BZ161&gt;=BA161,$V$9,"")</f>
        <v/>
      </c>
      <c r="BW165" s="805" t="str">
        <f>IF(BZ161&gt;=BA161,$W$9,"")</f>
        <v/>
      </c>
      <c r="BX165" s="806"/>
      <c r="BY165" s="806"/>
      <c r="BZ165" s="807"/>
      <c r="CA165" s="858" t="str">
        <f>IF(CZ161&gt;=CA161,$A$9,"")</f>
        <v/>
      </c>
      <c r="CB165" s="806"/>
      <c r="CC165" s="806"/>
      <c r="CD165" s="806"/>
      <c r="CE165" s="852"/>
      <c r="CF165" s="805" t="str">
        <f>IF(CZ161&gt;=CA161,$F$9,"")</f>
        <v/>
      </c>
      <c r="CG165" s="806"/>
      <c r="CH165" s="806"/>
      <c r="CI165" s="852"/>
      <c r="CJ165" s="811" t="str">
        <f>IF(CZ161&gt;=CA161,$J$9,"")</f>
        <v/>
      </c>
      <c r="CK165" s="803" t="str">
        <f>IF(CZ161&gt;=CA161,$K$9,"")</f>
        <v/>
      </c>
      <c r="CL165" s="803" t="str">
        <f>IF(CZ161&gt;=CA161,$L$9,"")</f>
        <v/>
      </c>
      <c r="CM165" s="803" t="str">
        <f>IF(CZ161&gt;=CA161,$M$9,"")</f>
        <v/>
      </c>
      <c r="CN165" s="803" t="str">
        <f>IF(CZ161&gt;=CA161,$N$9,"")</f>
        <v/>
      </c>
      <c r="CO165" s="803" t="str">
        <f>IF(CZ161&gt;=CA161,$O$9,"")</f>
        <v/>
      </c>
      <c r="CP165" s="803" t="str">
        <f>IF(CZ161&gt;=CA161,$P$9,"")</f>
        <v/>
      </c>
      <c r="CQ165" s="803" t="str">
        <f>IF(CZ161&gt;=CA161,$Q$9,"")</f>
        <v/>
      </c>
      <c r="CR165" s="803" t="str">
        <f>IF(CZ161&gt;=CA161,$R$9,"")</f>
        <v/>
      </c>
      <c r="CS165" s="803" t="str">
        <f>IF(CZ161&gt;=CA161,$S$9,"")</f>
        <v/>
      </c>
      <c r="CT165" s="803" t="str">
        <f>IF(CZ161&gt;=CA161,$T$9,"")</f>
        <v/>
      </c>
      <c r="CU165" s="803" t="str">
        <f>IF(CZ161&gt;=CA161,$U$9,"")</f>
        <v/>
      </c>
      <c r="CV165" s="803" t="str">
        <f>IF(CZ161&gt;=CA161,$V$9,"")</f>
        <v/>
      </c>
      <c r="CW165" s="805" t="str">
        <f>IF(CZ161&gt;=CA161,$W$9,"")</f>
        <v/>
      </c>
      <c r="CX165" s="806"/>
      <c r="CY165" s="806"/>
      <c r="CZ165" s="807"/>
      <c r="DA165" s="858" t="str">
        <f>IF(DZ161&gt;=DA161,$A$9,"")</f>
        <v/>
      </c>
      <c r="DB165" s="806"/>
      <c r="DC165" s="806"/>
      <c r="DD165" s="806"/>
      <c r="DE165" s="852"/>
      <c r="DF165" s="805" t="str">
        <f>IF(DZ161&gt;=DA161,$F$9,"")</f>
        <v/>
      </c>
      <c r="DG165" s="806"/>
      <c r="DH165" s="806"/>
      <c r="DI165" s="852"/>
      <c r="DJ165" s="811" t="str">
        <f>IF(DZ161&gt;=DA161,$J$9,"")</f>
        <v/>
      </c>
      <c r="DK165" s="803" t="str">
        <f>IF(DZ161&gt;=DA161,$K$9,"")</f>
        <v/>
      </c>
      <c r="DL165" s="803" t="str">
        <f>IF(DZ161&gt;=DA161,$L$9,"")</f>
        <v/>
      </c>
      <c r="DM165" s="803" t="str">
        <f>IF(DZ161&gt;=DA161,$M$9,"")</f>
        <v/>
      </c>
      <c r="DN165" s="803" t="str">
        <f>IF(DZ161&gt;=DA161,$N$9,"")</f>
        <v/>
      </c>
      <c r="DO165" s="803" t="str">
        <f>IF(DZ161&gt;=DA161,$O$9,"")</f>
        <v/>
      </c>
      <c r="DP165" s="803" t="str">
        <f>IF(DZ161&gt;=DA161,$P$9,"")</f>
        <v/>
      </c>
      <c r="DQ165" s="803" t="str">
        <f>IF(DZ161&gt;=DA161,$Q$9,"")</f>
        <v/>
      </c>
      <c r="DR165" s="803" t="str">
        <f>IF(DZ161&gt;=DA161,$R$9,"")</f>
        <v/>
      </c>
      <c r="DS165" s="803" t="str">
        <f>IF(DZ161&gt;=DA161,$S$9,"")</f>
        <v/>
      </c>
      <c r="DT165" s="803" t="str">
        <f>IF(DZ161&gt;=DA161,$T$9,"")</f>
        <v/>
      </c>
      <c r="DU165" s="803" t="str">
        <f>IF(DZ161&gt;=DA161,$U$9,"")</f>
        <v/>
      </c>
      <c r="DV165" s="803" t="str">
        <f>IF(DZ161&gt;=DA161,$V$9,"")</f>
        <v/>
      </c>
      <c r="DW165" s="805" t="str">
        <f>IF(DZ161&gt;=DA161,$W$9,"")</f>
        <v/>
      </c>
      <c r="DX165" s="806"/>
      <c r="DY165" s="806"/>
      <c r="DZ165" s="807"/>
      <c r="EA165" s="858" t="str">
        <f>IF(EZ161&gt;=EA161,$A$9,"")</f>
        <v/>
      </c>
      <c r="EB165" s="806"/>
      <c r="EC165" s="806"/>
      <c r="ED165" s="806"/>
      <c r="EE165" s="852"/>
      <c r="EF165" s="805" t="str">
        <f>IF(EZ161&gt;=EA161,$F$9,"")</f>
        <v/>
      </c>
      <c r="EG165" s="806"/>
      <c r="EH165" s="806"/>
      <c r="EI165" s="852"/>
      <c r="EJ165" s="811" t="str">
        <f>IF(EZ161&gt;=EA161,$J$9,"")</f>
        <v/>
      </c>
      <c r="EK165" s="803" t="str">
        <f>IF(EZ161&gt;=EA161,$K$9,"")</f>
        <v/>
      </c>
      <c r="EL165" s="803" t="str">
        <f>IF(EZ161&gt;=EA161,$L$9,"")</f>
        <v/>
      </c>
      <c r="EM165" s="803" t="str">
        <f>IF(EZ161&gt;=EA161,$M$9,"")</f>
        <v/>
      </c>
      <c r="EN165" s="803" t="str">
        <f>IF(EZ161&gt;=EA161,$N$9,"")</f>
        <v/>
      </c>
      <c r="EO165" s="803" t="str">
        <f>IF(EZ161&gt;=EA161,$O$9,"")</f>
        <v/>
      </c>
      <c r="EP165" s="803" t="str">
        <f>IF(EZ161&gt;=EA161,$P$9,"")</f>
        <v/>
      </c>
      <c r="EQ165" s="803" t="str">
        <f>IF(EZ161&gt;=EA161,$Q$9,"")</f>
        <v/>
      </c>
      <c r="ER165" s="803" t="str">
        <f>IF(EZ161&gt;=EA161,$R$9,"")</f>
        <v/>
      </c>
      <c r="ES165" s="803" t="str">
        <f>IF(EZ161&gt;=EA161,$S$9,"")</f>
        <v/>
      </c>
      <c r="ET165" s="803" t="str">
        <f>IF(EZ161&gt;=EA161,$T$9,"")</f>
        <v/>
      </c>
      <c r="EU165" s="803" t="str">
        <f>IF(EZ161&gt;=EA161,$U$9,"")</f>
        <v/>
      </c>
      <c r="EV165" s="803" t="str">
        <f>IF(EZ161&gt;=EA161,$V$9,"")</f>
        <v/>
      </c>
      <c r="EW165" s="805" t="str">
        <f>IF(EZ161&gt;=EA161,$W$9,"")</f>
        <v/>
      </c>
      <c r="EX165" s="806"/>
      <c r="EY165" s="806"/>
      <c r="EZ165" s="807"/>
      <c r="FA165" s="858" t="str">
        <f>IF(FZ161&gt;=FA161,$A$9,"")</f>
        <v/>
      </c>
      <c r="FB165" s="806"/>
      <c r="FC165" s="806"/>
      <c r="FD165" s="806"/>
      <c r="FE165" s="852"/>
      <c r="FF165" s="805" t="str">
        <f>IF(FZ161&gt;=FA161,$F$9,"")</f>
        <v/>
      </c>
      <c r="FG165" s="806"/>
      <c r="FH165" s="806"/>
      <c r="FI165" s="852"/>
      <c r="FJ165" s="811" t="str">
        <f>IF(FZ161&gt;=FA161,$J$9,"")</f>
        <v/>
      </c>
      <c r="FK165" s="803" t="str">
        <f>IF(FZ161&gt;=FA161,$K$9,"")</f>
        <v/>
      </c>
      <c r="FL165" s="803" t="str">
        <f>IF(FZ161&gt;=FA161,$L$9,"")</f>
        <v/>
      </c>
      <c r="FM165" s="803" t="str">
        <f>IF(FZ161&gt;=FA161,$M$9,"")</f>
        <v/>
      </c>
      <c r="FN165" s="803" t="str">
        <f>IF(FZ161&gt;=FA161,$N$9,"")</f>
        <v/>
      </c>
      <c r="FO165" s="803" t="str">
        <f>IF(FZ161&gt;=FA161,$O$9,"")</f>
        <v/>
      </c>
      <c r="FP165" s="803" t="str">
        <f>IF(FZ161&gt;=FA161,$P$9,"")</f>
        <v/>
      </c>
      <c r="FQ165" s="803" t="str">
        <f>IF(FZ161&gt;=FA161,$Q$9,"")</f>
        <v/>
      </c>
      <c r="FR165" s="803" t="str">
        <f>IF(FZ161&gt;=FA161,$R$9,"")</f>
        <v/>
      </c>
      <c r="FS165" s="803" t="str">
        <f>IF(FZ161&gt;=FA161,$S$9,"")</f>
        <v/>
      </c>
      <c r="FT165" s="803" t="str">
        <f>IF(FZ161&gt;=FA161,$T$9,"")</f>
        <v/>
      </c>
      <c r="FU165" s="803" t="str">
        <f>IF(FZ161&gt;=FA161,$U$9,"")</f>
        <v/>
      </c>
      <c r="FV165" s="803" t="str">
        <f>IF(FZ161&gt;=FA161,$V$9,"")</f>
        <v/>
      </c>
      <c r="FW165" s="805" t="str">
        <f>IF(FZ161&gt;=FA161,$W$9,"")</f>
        <v/>
      </c>
      <c r="FX165" s="806"/>
      <c r="FY165" s="806"/>
      <c r="FZ165" s="807"/>
      <c r="GA165" s="858" t="str">
        <f>IF(GZ161&gt;=GA161,$A$9,"")</f>
        <v/>
      </c>
      <c r="GB165" s="806"/>
      <c r="GC165" s="806"/>
      <c r="GD165" s="806"/>
      <c r="GE165" s="852"/>
      <c r="GF165" s="805" t="str">
        <f>IF(GZ161&gt;=GA161,$F$9,"")</f>
        <v/>
      </c>
      <c r="GG165" s="806"/>
      <c r="GH165" s="806"/>
      <c r="GI165" s="852"/>
      <c r="GJ165" s="811" t="str">
        <f>IF(GZ161&gt;=GA161,$J$9,"")</f>
        <v/>
      </c>
      <c r="GK165" s="803" t="str">
        <f>IF(GZ161&gt;=GA161,$K$9,"")</f>
        <v/>
      </c>
      <c r="GL165" s="803" t="str">
        <f>IF(GZ161&gt;=GA161,$L$9,"")</f>
        <v/>
      </c>
      <c r="GM165" s="803" t="str">
        <f>IF(GZ161&gt;=GA161,$M$9,"")</f>
        <v/>
      </c>
      <c r="GN165" s="803" t="str">
        <f>IF(GZ161&gt;=GA161,$N$9,"")</f>
        <v/>
      </c>
      <c r="GO165" s="803" t="str">
        <f>IF(GZ161&gt;=GA161,$O$9,"")</f>
        <v/>
      </c>
      <c r="GP165" s="803" t="str">
        <f>IF(GZ161&gt;=GA161,$P$9,"")</f>
        <v/>
      </c>
      <c r="GQ165" s="803" t="str">
        <f>IF(GZ161&gt;=GA161,$Q$9,"")</f>
        <v/>
      </c>
      <c r="GR165" s="803" t="str">
        <f>IF(GZ161&gt;=GA161,$R$9,"")</f>
        <v/>
      </c>
      <c r="GS165" s="803" t="str">
        <f>IF(GZ161&gt;=GA161,$S$9,"")</f>
        <v/>
      </c>
      <c r="GT165" s="803" t="str">
        <f>IF(GZ161&gt;=GA161,$T$9,"")</f>
        <v/>
      </c>
      <c r="GU165" s="803" t="str">
        <f>IF(GZ161&gt;=GA161,$U$9,"")</f>
        <v/>
      </c>
      <c r="GV165" s="803" t="str">
        <f>IF(GZ161&gt;=GA161,$V$9,"")</f>
        <v/>
      </c>
      <c r="GW165" s="805" t="str">
        <f>IF(GZ161&gt;=GA161,$W$9,"")</f>
        <v/>
      </c>
      <c r="GX165" s="806"/>
      <c r="GY165" s="806"/>
      <c r="GZ165" s="807"/>
      <c r="HA165" s="858" t="str">
        <f>IF(HZ161&gt;=HA161,$A$9,"")</f>
        <v/>
      </c>
      <c r="HB165" s="806"/>
      <c r="HC165" s="806"/>
      <c r="HD165" s="806"/>
      <c r="HE165" s="852"/>
      <c r="HF165" s="805" t="str">
        <f>IF(HZ161&gt;=HA161,$F$9,"")</f>
        <v/>
      </c>
      <c r="HG165" s="806"/>
      <c r="HH165" s="806"/>
      <c r="HI165" s="852"/>
      <c r="HJ165" s="811" t="str">
        <f>IF(HZ161&gt;=HA161,$J$9,"")</f>
        <v/>
      </c>
      <c r="HK165" s="803" t="str">
        <f>IF(HZ161&gt;=HA161,$K$9,"")</f>
        <v/>
      </c>
      <c r="HL165" s="803" t="str">
        <f>IF(HZ161&gt;=HA161,$L$9,"")</f>
        <v/>
      </c>
      <c r="HM165" s="803" t="str">
        <f>IF(HZ161&gt;=HA161,$M$9,"")</f>
        <v/>
      </c>
      <c r="HN165" s="803" t="str">
        <f>IF(HZ161&gt;=HA161,$N$9,"")</f>
        <v/>
      </c>
      <c r="HO165" s="803" t="str">
        <f>IF(HZ161&gt;=HA161,$O$9,"")</f>
        <v/>
      </c>
      <c r="HP165" s="803" t="str">
        <f>IF(HZ161&gt;=HA161,$P$9,"")</f>
        <v/>
      </c>
      <c r="HQ165" s="803" t="str">
        <f>IF(HZ161&gt;=HA161,$Q$9,"")</f>
        <v/>
      </c>
      <c r="HR165" s="803" t="str">
        <f>IF(HZ161&gt;=HA161,$R$9,"")</f>
        <v/>
      </c>
      <c r="HS165" s="803" t="str">
        <f>IF(HZ161&gt;=HA161,$S$9,"")</f>
        <v/>
      </c>
      <c r="HT165" s="803" t="str">
        <f>IF(HZ161&gt;=HA161,$T$9,"")</f>
        <v/>
      </c>
      <c r="HU165" s="803" t="str">
        <f>IF(HZ161&gt;=HA161,$U$9,"")</f>
        <v/>
      </c>
      <c r="HV165" s="803" t="str">
        <f>IF(HZ161&gt;=HA161,$V$9,"")</f>
        <v/>
      </c>
      <c r="HW165" s="805" t="str">
        <f>IF(HZ161&gt;=HA161,$W$9,"")</f>
        <v/>
      </c>
      <c r="HX165" s="806"/>
      <c r="HY165" s="806"/>
      <c r="HZ165" s="807"/>
      <c r="IA165" s="858" t="str">
        <f>IF(IZ161&gt;=IA161,$A$9,"")</f>
        <v/>
      </c>
      <c r="IB165" s="806"/>
      <c r="IC165" s="806"/>
      <c r="ID165" s="806"/>
      <c r="IE165" s="852"/>
      <c r="IF165" s="805" t="str">
        <f>IF(IZ161&gt;=IA161,$F$9,"")</f>
        <v/>
      </c>
      <c r="IG165" s="806"/>
      <c r="IH165" s="806"/>
      <c r="II165" s="852"/>
      <c r="IJ165" s="811" t="str">
        <f>IF(IZ161&gt;=IA161,$J$9,"")</f>
        <v/>
      </c>
      <c r="IK165" s="803" t="str">
        <f>IF(IZ161&gt;=IA161,$K$9,"")</f>
        <v/>
      </c>
      <c r="IL165" s="803" t="str">
        <f>IF(IZ161&gt;=IA161,$L$9,"")</f>
        <v/>
      </c>
      <c r="IM165" s="803" t="str">
        <f>IF(IZ161&gt;=IA161,$M$9,"")</f>
        <v/>
      </c>
      <c r="IN165" s="803" t="str">
        <f>IF(IZ161&gt;=IA161,$N$9,"")</f>
        <v/>
      </c>
      <c r="IO165" s="803" t="str">
        <f>IF(IZ161&gt;=IA161,$O$9,"")</f>
        <v/>
      </c>
      <c r="IP165" s="803" t="str">
        <f>IF(IZ161&gt;=IA161,$P$9,"")</f>
        <v/>
      </c>
      <c r="IQ165" s="803" t="str">
        <f>IF(IZ161&gt;=IA161,$Q$9,"")</f>
        <v/>
      </c>
      <c r="IR165" s="803" t="str">
        <f>IF(IZ161&gt;=IA161,$R$9,"")</f>
        <v/>
      </c>
      <c r="IS165" s="803" t="str">
        <f>IF(IZ161&gt;=IA161,$S$9,"")</f>
        <v/>
      </c>
      <c r="IT165" s="803" t="str">
        <f>IF(IZ161&gt;=IA161,$T$9,"")</f>
        <v/>
      </c>
      <c r="IU165" s="803" t="str">
        <f>IF(IZ161&gt;=IA161,$U$9,"")</f>
        <v/>
      </c>
      <c r="IV165" s="803" t="str">
        <f>IF(IZ161&gt;=IA161,$V$9,"")</f>
        <v/>
      </c>
      <c r="IW165" s="805" t="str">
        <f>IF(IZ161&gt;=IA161,$W$9,"")</f>
        <v/>
      </c>
      <c r="IX165" s="806"/>
      <c r="IY165" s="806"/>
      <c r="IZ165" s="807"/>
    </row>
    <row r="166" spans="1:260" x14ac:dyDescent="0.25">
      <c r="A166" s="859"/>
      <c r="B166" s="809"/>
      <c r="C166" s="809"/>
      <c r="D166" s="809"/>
      <c r="E166" s="853"/>
      <c r="F166" s="808"/>
      <c r="G166" s="809"/>
      <c r="H166" s="809"/>
      <c r="I166" s="853"/>
      <c r="J166" s="812"/>
      <c r="K166" s="804"/>
      <c r="L166" s="804"/>
      <c r="M166" s="804"/>
      <c r="N166" s="804"/>
      <c r="O166" s="804"/>
      <c r="P166" s="804"/>
      <c r="Q166" s="804"/>
      <c r="R166" s="804"/>
      <c r="S166" s="804"/>
      <c r="T166" s="804"/>
      <c r="U166" s="804"/>
      <c r="V166" s="804"/>
      <c r="W166" s="808"/>
      <c r="X166" s="809"/>
      <c r="Y166" s="809"/>
      <c r="Z166" s="810"/>
      <c r="AA166" s="859"/>
      <c r="AB166" s="809"/>
      <c r="AC166" s="809"/>
      <c r="AD166" s="809"/>
      <c r="AE166" s="853"/>
      <c r="AF166" s="808"/>
      <c r="AG166" s="809"/>
      <c r="AH166" s="809"/>
      <c r="AI166" s="853"/>
      <c r="AJ166" s="812"/>
      <c r="AK166" s="804"/>
      <c r="AL166" s="804"/>
      <c r="AM166" s="804"/>
      <c r="AN166" s="804"/>
      <c r="AO166" s="804"/>
      <c r="AP166" s="804"/>
      <c r="AQ166" s="804"/>
      <c r="AR166" s="804"/>
      <c r="AS166" s="804"/>
      <c r="AT166" s="804"/>
      <c r="AU166" s="804"/>
      <c r="AV166" s="804"/>
      <c r="AW166" s="808"/>
      <c r="AX166" s="809"/>
      <c r="AY166" s="809"/>
      <c r="AZ166" s="810"/>
      <c r="BA166" s="859"/>
      <c r="BB166" s="809"/>
      <c r="BC166" s="809"/>
      <c r="BD166" s="809"/>
      <c r="BE166" s="853"/>
      <c r="BF166" s="808"/>
      <c r="BG166" s="809"/>
      <c r="BH166" s="809"/>
      <c r="BI166" s="853"/>
      <c r="BJ166" s="812"/>
      <c r="BK166" s="804"/>
      <c r="BL166" s="804"/>
      <c r="BM166" s="804"/>
      <c r="BN166" s="804"/>
      <c r="BO166" s="804"/>
      <c r="BP166" s="804"/>
      <c r="BQ166" s="804"/>
      <c r="BR166" s="804"/>
      <c r="BS166" s="804"/>
      <c r="BT166" s="804"/>
      <c r="BU166" s="804"/>
      <c r="BV166" s="804"/>
      <c r="BW166" s="808"/>
      <c r="BX166" s="809"/>
      <c r="BY166" s="809"/>
      <c r="BZ166" s="810"/>
      <c r="CA166" s="859"/>
      <c r="CB166" s="809"/>
      <c r="CC166" s="809"/>
      <c r="CD166" s="809"/>
      <c r="CE166" s="853"/>
      <c r="CF166" s="808"/>
      <c r="CG166" s="809"/>
      <c r="CH166" s="809"/>
      <c r="CI166" s="853"/>
      <c r="CJ166" s="812"/>
      <c r="CK166" s="804"/>
      <c r="CL166" s="804"/>
      <c r="CM166" s="804"/>
      <c r="CN166" s="804"/>
      <c r="CO166" s="804"/>
      <c r="CP166" s="804"/>
      <c r="CQ166" s="804"/>
      <c r="CR166" s="804"/>
      <c r="CS166" s="804"/>
      <c r="CT166" s="804"/>
      <c r="CU166" s="804"/>
      <c r="CV166" s="804"/>
      <c r="CW166" s="808"/>
      <c r="CX166" s="809"/>
      <c r="CY166" s="809"/>
      <c r="CZ166" s="810"/>
      <c r="DA166" s="859"/>
      <c r="DB166" s="809"/>
      <c r="DC166" s="809"/>
      <c r="DD166" s="809"/>
      <c r="DE166" s="853"/>
      <c r="DF166" s="808"/>
      <c r="DG166" s="809"/>
      <c r="DH166" s="809"/>
      <c r="DI166" s="853"/>
      <c r="DJ166" s="812"/>
      <c r="DK166" s="804"/>
      <c r="DL166" s="804"/>
      <c r="DM166" s="804"/>
      <c r="DN166" s="804"/>
      <c r="DO166" s="804"/>
      <c r="DP166" s="804"/>
      <c r="DQ166" s="804"/>
      <c r="DR166" s="804"/>
      <c r="DS166" s="804"/>
      <c r="DT166" s="804"/>
      <c r="DU166" s="804"/>
      <c r="DV166" s="804"/>
      <c r="DW166" s="808"/>
      <c r="DX166" s="809"/>
      <c r="DY166" s="809"/>
      <c r="DZ166" s="810"/>
      <c r="EA166" s="859"/>
      <c r="EB166" s="809"/>
      <c r="EC166" s="809"/>
      <c r="ED166" s="809"/>
      <c r="EE166" s="853"/>
      <c r="EF166" s="808"/>
      <c r="EG166" s="809"/>
      <c r="EH166" s="809"/>
      <c r="EI166" s="853"/>
      <c r="EJ166" s="812"/>
      <c r="EK166" s="804"/>
      <c r="EL166" s="804"/>
      <c r="EM166" s="804"/>
      <c r="EN166" s="804"/>
      <c r="EO166" s="804"/>
      <c r="EP166" s="804"/>
      <c r="EQ166" s="804"/>
      <c r="ER166" s="804"/>
      <c r="ES166" s="804"/>
      <c r="ET166" s="804"/>
      <c r="EU166" s="804"/>
      <c r="EV166" s="804"/>
      <c r="EW166" s="808"/>
      <c r="EX166" s="809"/>
      <c r="EY166" s="809"/>
      <c r="EZ166" s="810"/>
      <c r="FA166" s="859"/>
      <c r="FB166" s="809"/>
      <c r="FC166" s="809"/>
      <c r="FD166" s="809"/>
      <c r="FE166" s="853"/>
      <c r="FF166" s="808"/>
      <c r="FG166" s="809"/>
      <c r="FH166" s="809"/>
      <c r="FI166" s="853"/>
      <c r="FJ166" s="812"/>
      <c r="FK166" s="804"/>
      <c r="FL166" s="804"/>
      <c r="FM166" s="804"/>
      <c r="FN166" s="804"/>
      <c r="FO166" s="804"/>
      <c r="FP166" s="804"/>
      <c r="FQ166" s="804"/>
      <c r="FR166" s="804"/>
      <c r="FS166" s="804"/>
      <c r="FT166" s="804"/>
      <c r="FU166" s="804"/>
      <c r="FV166" s="804"/>
      <c r="FW166" s="808"/>
      <c r="FX166" s="809"/>
      <c r="FY166" s="809"/>
      <c r="FZ166" s="810"/>
      <c r="GA166" s="859"/>
      <c r="GB166" s="809"/>
      <c r="GC166" s="809"/>
      <c r="GD166" s="809"/>
      <c r="GE166" s="853"/>
      <c r="GF166" s="808"/>
      <c r="GG166" s="809"/>
      <c r="GH166" s="809"/>
      <c r="GI166" s="853"/>
      <c r="GJ166" s="812"/>
      <c r="GK166" s="804"/>
      <c r="GL166" s="804"/>
      <c r="GM166" s="804"/>
      <c r="GN166" s="804"/>
      <c r="GO166" s="804"/>
      <c r="GP166" s="804"/>
      <c r="GQ166" s="804"/>
      <c r="GR166" s="804"/>
      <c r="GS166" s="804"/>
      <c r="GT166" s="804"/>
      <c r="GU166" s="804"/>
      <c r="GV166" s="804"/>
      <c r="GW166" s="808"/>
      <c r="GX166" s="809"/>
      <c r="GY166" s="809"/>
      <c r="GZ166" s="810"/>
      <c r="HA166" s="859"/>
      <c r="HB166" s="809"/>
      <c r="HC166" s="809"/>
      <c r="HD166" s="809"/>
      <c r="HE166" s="853"/>
      <c r="HF166" s="808"/>
      <c r="HG166" s="809"/>
      <c r="HH166" s="809"/>
      <c r="HI166" s="853"/>
      <c r="HJ166" s="812"/>
      <c r="HK166" s="804"/>
      <c r="HL166" s="804"/>
      <c r="HM166" s="804"/>
      <c r="HN166" s="804"/>
      <c r="HO166" s="804"/>
      <c r="HP166" s="804"/>
      <c r="HQ166" s="804"/>
      <c r="HR166" s="804"/>
      <c r="HS166" s="804"/>
      <c r="HT166" s="804"/>
      <c r="HU166" s="804"/>
      <c r="HV166" s="804"/>
      <c r="HW166" s="808"/>
      <c r="HX166" s="809"/>
      <c r="HY166" s="809"/>
      <c r="HZ166" s="810"/>
      <c r="IA166" s="859"/>
      <c r="IB166" s="809"/>
      <c r="IC166" s="809"/>
      <c r="ID166" s="809"/>
      <c r="IE166" s="853"/>
      <c r="IF166" s="808"/>
      <c r="IG166" s="809"/>
      <c r="IH166" s="809"/>
      <c r="II166" s="853"/>
      <c r="IJ166" s="812"/>
      <c r="IK166" s="804"/>
      <c r="IL166" s="804"/>
      <c r="IM166" s="804"/>
      <c r="IN166" s="804"/>
      <c r="IO166" s="804"/>
      <c r="IP166" s="804"/>
      <c r="IQ166" s="804"/>
      <c r="IR166" s="804"/>
      <c r="IS166" s="804"/>
      <c r="IT166" s="804"/>
      <c r="IU166" s="804"/>
      <c r="IV166" s="804"/>
      <c r="IW166" s="808"/>
      <c r="IX166" s="809"/>
      <c r="IY166" s="809"/>
      <c r="IZ166" s="810"/>
    </row>
    <row r="167" spans="1:260" x14ac:dyDescent="0.25">
      <c r="A167" s="854" t="str">
        <f>IFERROR(INDEX(Lista_Pedidos,Procesos!Y161+A161-1,3),"")</f>
        <v/>
      </c>
      <c r="B167" s="855"/>
      <c r="C167" s="855"/>
      <c r="D167" s="855"/>
      <c r="E167" s="856"/>
      <c r="F167" s="857" t="str">
        <f>IF(Z161&gt;A161-1,E$11,"")</f>
        <v/>
      </c>
      <c r="G167" s="855"/>
      <c r="H167" s="855"/>
      <c r="I167" s="856"/>
      <c r="J167" s="526" t="str">
        <f>IFERROR(IF(IF(Z161&gt;A161-1,INDEX(Lista_Pedidos,Y161+A161-1,J161),"")=0,"",IF(Z161&gt;A161-1,INDEX(Lista_Pedidos,Y161+A161-1,J161),"")),"")</f>
        <v/>
      </c>
      <c r="K167" s="526" t="str">
        <f>IFERROR(IF(IF(Z161&gt;A161-1,INDEX(Lista_Pedidos,Y161+A161-1,K161),"")=0,"",IF(Z161&gt;A161-1,INDEX(Lista_Pedidos,Y161+A161-1,K161),"")),"")</f>
        <v/>
      </c>
      <c r="L167" s="526" t="str">
        <f>IFERROR(IF(IF(Z161&gt;A161-1,INDEX(Lista_Pedidos,Y161+A161-1,L161),"")=0,"",IF(Z161&gt;A161-1,INDEX(Lista_Pedidos,Y161+A161-1,L161),"")),"")</f>
        <v/>
      </c>
      <c r="M167" s="526" t="str">
        <f>IFERROR(IF(IF(Z161&gt;A161-1,INDEX(Lista_Pedidos,Y161+A161-1,M161),"")=0,"",IF(Z161&gt;A161-1,INDEX(Lista_Pedidos,Y161+A161-1,M161),"")),"")</f>
        <v/>
      </c>
      <c r="N167" s="526" t="str">
        <f>IFERROR(IF(IF(Z161&gt;A161-1,INDEX(Lista_Pedidos,Y161+A161-1,N161),"")=0,"",IF(Z161&gt;A161-1,INDEX(Lista_Pedidos,Y161+A161-1,N161),"")),"")</f>
        <v/>
      </c>
      <c r="O167" s="526" t="str">
        <f>IFERROR(IF(IF(Z161&gt;A161-1,INDEX(Lista_Pedidos,Y161+A161-1,O161),"")=0,"",IF(Z161&gt;A161-1,INDEX(Lista_Pedidos,Y161+A161-1,O161),"")),"")</f>
        <v/>
      </c>
      <c r="P167" s="526" t="str">
        <f>IFERROR(IF(IF(Z161&gt;A161-1,INDEX(Lista_Pedidos,Y161+A161-1,P161),"")=0,"",IF(Z161&gt;A161-1,INDEX(Lista_Pedidos,Y161+A161-1,P161),"")),"")</f>
        <v/>
      </c>
      <c r="Q167" s="526" t="str">
        <f>IFERROR(IF(IF(Z161&gt;A161-1,INDEX(Lista_Pedidos,Y161+A161-1,Q161),"")=0,"",IF(Z161&gt;A161-1,INDEX(Lista_Pedidos,Y161+A161-1,Q161),"")),"")</f>
        <v/>
      </c>
      <c r="R167" s="526" t="str">
        <f>IFERROR(IF(IF(Z161&gt;A161-1,INDEX(Lista_Pedidos,Y161+A161-1,R161),"")=0,"",IF(Z161&gt;A161-1,INDEX(Lista_Pedidos,Y161+A161-1,R161),"")),"")</f>
        <v/>
      </c>
      <c r="S167" s="526" t="str">
        <f>IFERROR(IF(IF(Z161&gt;A161-1,INDEX(Lista_Pedidos,Y161+A161-1,S161),"")=0,"",IF(Z161&gt;A161-1,INDEX(Lista_Pedidos,Y161+A161-1,S161),"")),"")</f>
        <v/>
      </c>
      <c r="T167" s="526" t="str">
        <f>IFERROR(IF(IF(Z161&gt;A161-1,INDEX(Lista_Pedidos,Y161+A161-1,T161),"")=0,"",IF(Z161&gt;A161-1,INDEX(Lista_Pedidos,Y161+A161-1,T161),"")),"")</f>
        <v/>
      </c>
      <c r="U167" s="526" t="str">
        <f>IFERROR(IF(IF(Z161&gt;A161-1,INDEX(Lista_Pedidos,Y161+A161-1,U161),"")=0,"",IF(Z161&gt;A161-1,INDEX(Lista_Pedidos,Y161+A161-1,U161),"")),"")</f>
        <v/>
      </c>
      <c r="V167" s="526" t="str">
        <f>IFERROR(IF(IF(Z161&gt;A161-1,INDEX(Lista_Pedidos,Y161+A161-1,V161),"")=0,"",IF(Z161&gt;A161-1,INDEX(Lista_Pedidos,Y161+A161-1,V161),"")),"")</f>
        <v/>
      </c>
      <c r="W167" s="857" t="str">
        <f>IF(SUM(J167:V167)&gt;1,SUM(J167:V167),"")</f>
        <v/>
      </c>
      <c r="X167" s="855"/>
      <c r="Y167" s="855"/>
      <c r="Z167" s="860"/>
      <c r="AA167" s="854" t="str">
        <f>IFERROR(INDEX(Lista_Pedidos,Procesos!AY161+AA161-1,3),"")</f>
        <v/>
      </c>
      <c r="AB167" s="855"/>
      <c r="AC167" s="855"/>
      <c r="AD167" s="855"/>
      <c r="AE167" s="856"/>
      <c r="AF167" s="857" t="str">
        <f>IF(AZ161&gt;AA161-1,AE$11,"")</f>
        <v/>
      </c>
      <c r="AG167" s="855"/>
      <c r="AH167" s="855"/>
      <c r="AI167" s="856"/>
      <c r="AJ167" s="526" t="str">
        <f>IFERROR(IF(IF(AZ161&gt;AA161-1,INDEX(Lista_Pedidos,AY161+AA161-1,AJ161),"")=0,"",IF(AZ161&gt;AA161-1,INDEX(Lista_Pedidos,AY161+AA161-1,AJ161),"")),"")</f>
        <v/>
      </c>
      <c r="AK167" s="526" t="str">
        <f>IFERROR(IF(IF(AZ161&gt;AA161-1,INDEX(Lista_Pedidos,AY161+AA161-1,AK161),"")=0,"",IF(AZ161&gt;AA161-1,INDEX(Lista_Pedidos,AY161+AA161-1,AK161),"")),"")</f>
        <v/>
      </c>
      <c r="AL167" s="526" t="str">
        <f>IFERROR(IF(IF(AZ161&gt;AA161-1,INDEX(Lista_Pedidos,AY161+AA161-1,AL161),"")=0,"",IF(AZ161&gt;AA161-1,INDEX(Lista_Pedidos,AY161+AA161-1,AL161),"")),"")</f>
        <v/>
      </c>
      <c r="AM167" s="526" t="str">
        <f>IFERROR(IF(IF(AZ161&gt;AA161-1,INDEX(Lista_Pedidos,AY161+AA161-1,AM161),"")=0,"",IF(AZ161&gt;AA161-1,INDEX(Lista_Pedidos,AY161+AA161-1,AM161),"")),"")</f>
        <v/>
      </c>
      <c r="AN167" s="526" t="str">
        <f>IFERROR(IF(IF(AZ161&gt;AA161-1,INDEX(Lista_Pedidos,AY161+AA161-1,AN161),"")=0,"",IF(AZ161&gt;AA161-1,INDEX(Lista_Pedidos,AY161+AA161-1,AN161),"")),"")</f>
        <v/>
      </c>
      <c r="AO167" s="526" t="str">
        <f>IFERROR(IF(IF(AZ161&gt;AA161-1,INDEX(Lista_Pedidos,AY161+AA161-1,AO161),"")=0,"",IF(AZ161&gt;AA161-1,INDEX(Lista_Pedidos,AY161+AA161-1,AO161),"")),"")</f>
        <v/>
      </c>
      <c r="AP167" s="526" t="str">
        <f>IFERROR(IF(IF(AZ161&gt;AA161-1,INDEX(Lista_Pedidos,AY161+AA161-1,AP161),"")=0,"",IF(AZ161&gt;AA161-1,INDEX(Lista_Pedidos,AY161+AA161-1,AP161),"")),"")</f>
        <v/>
      </c>
      <c r="AQ167" s="526" t="str">
        <f>IFERROR(IF(IF(AZ161&gt;AA161-1,INDEX(Lista_Pedidos,AY161+AA161-1,AQ161),"")=0,"",IF(AZ161&gt;AA161-1,INDEX(Lista_Pedidos,AY161+AA161-1,AQ161),"")),"")</f>
        <v/>
      </c>
      <c r="AR167" s="526" t="str">
        <f>IFERROR(IF(IF(AZ161&gt;AA161-1,INDEX(Lista_Pedidos,AY161+AA161-1,AR161),"")=0,"",IF(AZ161&gt;AA161-1,INDEX(Lista_Pedidos,AY161+AA161-1,AR161),"")),"")</f>
        <v/>
      </c>
      <c r="AS167" s="526" t="str">
        <f>IFERROR(IF(IF(AZ161&gt;AA161-1,INDEX(Lista_Pedidos,AY161+AA161-1,AS161),"")=0,"",IF(AZ161&gt;AA161-1,INDEX(Lista_Pedidos,AY161+AA161-1,AS161),"")),"")</f>
        <v/>
      </c>
      <c r="AT167" s="526" t="str">
        <f>IFERROR(IF(IF(AZ161&gt;AA161-1,INDEX(Lista_Pedidos,AY161+AA161-1,AT161),"")=0,"",IF(AZ161&gt;AA161-1,INDEX(Lista_Pedidos,AY161+AA161-1,AT161),"")),"")</f>
        <v/>
      </c>
      <c r="AU167" s="526" t="str">
        <f>IFERROR(IF(IF(AZ161&gt;AA161-1,INDEX(Lista_Pedidos,AY161+AA161-1,AU161),"")=0,"",IF(AZ161&gt;AA161-1,INDEX(Lista_Pedidos,AY161+AA161-1,AU161),"")),"")</f>
        <v/>
      </c>
      <c r="AV167" s="526" t="str">
        <f>IFERROR(IF(IF(AZ161&gt;AA161-1,INDEX(Lista_Pedidos,AY161+AA161-1,AV161),"")=0,"",IF(AZ161&gt;AA161-1,INDEX(Lista_Pedidos,AY161+AA161-1,AV161),"")),"")</f>
        <v/>
      </c>
      <c r="AW167" s="857" t="str">
        <f>IF(SUM(AJ167:AV167)&gt;1,SUM(AJ167:AV167),"")</f>
        <v/>
      </c>
      <c r="AX167" s="855"/>
      <c r="AY167" s="855"/>
      <c r="AZ167" s="860"/>
      <c r="BA167" s="854" t="str">
        <f>IFERROR(INDEX(Lista_Pedidos,Procesos!BY161+BA161-1,3),"")</f>
        <v/>
      </c>
      <c r="BB167" s="855"/>
      <c r="BC167" s="855"/>
      <c r="BD167" s="855"/>
      <c r="BE167" s="856"/>
      <c r="BF167" s="857" t="str">
        <f>IF(BZ161&gt;BA161-1,BE$11,"")</f>
        <v/>
      </c>
      <c r="BG167" s="855"/>
      <c r="BH167" s="855"/>
      <c r="BI167" s="856"/>
      <c r="BJ167" s="526" t="str">
        <f>IFERROR(IF(IF(BZ161&gt;BA161-1,INDEX(Lista_Pedidos,BY161+BA161-1,BJ161),"")=0,"",IF(BZ161&gt;BA161-1,INDEX(Lista_Pedidos,BY161+BA161-1,BJ161),"")),"")</f>
        <v/>
      </c>
      <c r="BK167" s="526" t="str">
        <f>IFERROR(IF(IF(BZ161&gt;BA161-1,INDEX(Lista_Pedidos,BY161+BA161-1,BK161),"")=0,"",IF(BZ161&gt;BA161-1,INDEX(Lista_Pedidos,BY161+BA161-1,BK161),"")),"")</f>
        <v/>
      </c>
      <c r="BL167" s="526" t="str">
        <f>IFERROR(IF(IF(BZ161&gt;BA161-1,INDEX(Lista_Pedidos,BY161+BA161-1,BL161),"")=0,"",IF(BZ161&gt;BA161-1,INDEX(Lista_Pedidos,BY161+BA161-1,BL161),"")),"")</f>
        <v/>
      </c>
      <c r="BM167" s="526" t="str">
        <f>IFERROR(IF(IF(BZ161&gt;BA161-1,INDEX(Lista_Pedidos,BY161+BA161-1,BM161),"")=0,"",IF(BZ161&gt;BA161-1,INDEX(Lista_Pedidos,BY161+BA161-1,BM161),"")),"")</f>
        <v/>
      </c>
      <c r="BN167" s="526" t="str">
        <f>IFERROR(IF(IF(BZ161&gt;BA161-1,INDEX(Lista_Pedidos,BY161+BA161-1,BN161),"")=0,"",IF(BZ161&gt;BA161-1,INDEX(Lista_Pedidos,BY161+BA161-1,BN161),"")),"")</f>
        <v/>
      </c>
      <c r="BO167" s="526" t="str">
        <f>IFERROR(IF(IF(BZ161&gt;BA161-1,INDEX(Lista_Pedidos,BY161+BA161-1,BO161),"")=0,"",IF(BZ161&gt;BA161-1,INDEX(Lista_Pedidos,BY161+BA161-1,BO161),"")),"")</f>
        <v/>
      </c>
      <c r="BP167" s="526" t="str">
        <f>IFERROR(IF(IF(BZ161&gt;BA161-1,INDEX(Lista_Pedidos,BY161+BA161-1,BP161),"")=0,"",IF(BZ161&gt;BA161-1,INDEX(Lista_Pedidos,BY161+BA161-1,BP161),"")),"")</f>
        <v/>
      </c>
      <c r="BQ167" s="526" t="str">
        <f>IFERROR(IF(IF(BZ161&gt;BA161-1,INDEX(Lista_Pedidos,BY161+BA161-1,BQ161),"")=0,"",IF(BZ161&gt;BA161-1,INDEX(Lista_Pedidos,BY161+BA161-1,BQ161),"")),"")</f>
        <v/>
      </c>
      <c r="BR167" s="526" t="str">
        <f>IFERROR(IF(IF(BZ161&gt;BA161-1,INDEX(Lista_Pedidos,BY161+BA161-1,BR161),"")=0,"",IF(BZ161&gt;BA161-1,INDEX(Lista_Pedidos,BY161+BA161-1,BR161),"")),"")</f>
        <v/>
      </c>
      <c r="BS167" s="526" t="str">
        <f>IFERROR(IF(IF(BZ161&gt;BA161-1,INDEX(Lista_Pedidos,BY161+BA161-1,BS161),"")=0,"",IF(BZ161&gt;BA161-1,INDEX(Lista_Pedidos,BY161+BA161-1,BS161),"")),"")</f>
        <v/>
      </c>
      <c r="BT167" s="526" t="str">
        <f>IFERROR(IF(IF(BZ161&gt;BA161-1,INDEX(Lista_Pedidos,BY161+BA161-1,BT161),"")=0,"",IF(BZ161&gt;BA161-1,INDEX(Lista_Pedidos,BY161+BA161-1,BT161),"")),"")</f>
        <v/>
      </c>
      <c r="BU167" s="526" t="str">
        <f>IFERROR(IF(IF(BZ161&gt;BA161-1,INDEX(Lista_Pedidos,BY161+BA161-1,BU161),"")=0,"",IF(BZ161&gt;BA161-1,INDEX(Lista_Pedidos,BY161+BA161-1,BU161),"")),"")</f>
        <v/>
      </c>
      <c r="BV167" s="526" t="str">
        <f>IFERROR(IF(IF(BZ161&gt;BA161-1,INDEX(Lista_Pedidos,BY161+BA161-1,BV161),"")=0,"",IF(BZ161&gt;BA161-1,INDEX(Lista_Pedidos,BY161+BA161-1,BV161),"")),"")</f>
        <v/>
      </c>
      <c r="BW167" s="857" t="str">
        <f>IF(SUM(BJ167:BV167)&gt;1,SUM(BJ167:BV167),"")</f>
        <v/>
      </c>
      <c r="BX167" s="855"/>
      <c r="BY167" s="855"/>
      <c r="BZ167" s="860"/>
      <c r="CA167" s="854" t="str">
        <f>IFERROR(INDEX(Lista_Pedidos,Procesos!CY161+CA161-1,3),"")</f>
        <v/>
      </c>
      <c r="CB167" s="855"/>
      <c r="CC167" s="855"/>
      <c r="CD167" s="855"/>
      <c r="CE167" s="856"/>
      <c r="CF167" s="857" t="str">
        <f>IF(CZ161&gt;CA161-1,CE$11,"")</f>
        <v/>
      </c>
      <c r="CG167" s="855"/>
      <c r="CH167" s="855"/>
      <c r="CI167" s="856"/>
      <c r="CJ167" s="526" t="str">
        <f>IFERROR(IF(IF(CZ161&gt;CA161-1,INDEX(Lista_Pedidos,CY161+CA161-1,CJ161),"")=0,"",IF(CZ161&gt;CA161-1,INDEX(Lista_Pedidos,CY161+CA161-1,CJ161),"")),"")</f>
        <v/>
      </c>
      <c r="CK167" s="526" t="str">
        <f>IFERROR(IF(IF(CZ161&gt;CA161-1,INDEX(Lista_Pedidos,CY161+CA161-1,CK161),"")=0,"",IF(CZ161&gt;CA161-1,INDEX(Lista_Pedidos,CY161+CA161-1,CK161),"")),"")</f>
        <v/>
      </c>
      <c r="CL167" s="526" t="str">
        <f>IFERROR(IF(IF(CZ161&gt;CA161-1,INDEX(Lista_Pedidos,CY161+CA161-1,CL161),"")=0,"",IF(CZ161&gt;CA161-1,INDEX(Lista_Pedidos,CY161+CA161-1,CL161),"")),"")</f>
        <v/>
      </c>
      <c r="CM167" s="526" t="str">
        <f>IFERROR(IF(IF(CZ161&gt;CA161-1,INDEX(Lista_Pedidos,CY161+CA161-1,CM161),"")=0,"",IF(CZ161&gt;CA161-1,INDEX(Lista_Pedidos,CY161+CA161-1,CM161),"")),"")</f>
        <v/>
      </c>
      <c r="CN167" s="526" t="str">
        <f>IFERROR(IF(IF(CZ161&gt;CA161-1,INDEX(Lista_Pedidos,CY161+CA161-1,CN161),"")=0,"",IF(CZ161&gt;CA161-1,INDEX(Lista_Pedidos,CY161+CA161-1,CN161),"")),"")</f>
        <v/>
      </c>
      <c r="CO167" s="526" t="str">
        <f>IFERROR(IF(IF(CZ161&gt;CA161-1,INDEX(Lista_Pedidos,CY161+CA161-1,CO161),"")=0,"",IF(CZ161&gt;CA161-1,INDEX(Lista_Pedidos,CY161+CA161-1,CO161),"")),"")</f>
        <v/>
      </c>
      <c r="CP167" s="526" t="str">
        <f>IFERROR(IF(IF(CZ161&gt;CA161-1,INDEX(Lista_Pedidos,CY161+CA161-1,CP161),"")=0,"",IF(CZ161&gt;CA161-1,INDEX(Lista_Pedidos,CY161+CA161-1,CP161),"")),"")</f>
        <v/>
      </c>
      <c r="CQ167" s="526" t="str">
        <f>IFERROR(IF(IF(CZ161&gt;CA161-1,INDEX(Lista_Pedidos,CY161+CA161-1,CQ161),"")=0,"",IF(CZ161&gt;CA161-1,INDEX(Lista_Pedidos,CY161+CA161-1,CQ161),"")),"")</f>
        <v/>
      </c>
      <c r="CR167" s="526" t="str">
        <f>IFERROR(IF(IF(CZ161&gt;CA161-1,INDEX(Lista_Pedidos,CY161+CA161-1,CR161),"")=0,"",IF(CZ161&gt;CA161-1,INDEX(Lista_Pedidos,CY161+CA161-1,CR161),"")),"")</f>
        <v/>
      </c>
      <c r="CS167" s="526" t="str">
        <f>IFERROR(IF(IF(CZ161&gt;CA161-1,INDEX(Lista_Pedidos,CY161+CA161-1,CS161),"")=0,"",IF(CZ161&gt;CA161-1,INDEX(Lista_Pedidos,CY161+CA161-1,CS161),"")),"")</f>
        <v/>
      </c>
      <c r="CT167" s="526" t="str">
        <f>IFERROR(IF(IF(CZ161&gt;CA161-1,INDEX(Lista_Pedidos,CY161+CA161-1,CT161),"")=0,"",IF(CZ161&gt;CA161-1,INDEX(Lista_Pedidos,CY161+CA161-1,CT161),"")),"")</f>
        <v/>
      </c>
      <c r="CU167" s="526" t="str">
        <f>IFERROR(IF(IF(CZ161&gt;CA161-1,INDEX(Lista_Pedidos,CY161+CA161-1,CU161),"")=0,"",IF(CZ161&gt;CA161-1,INDEX(Lista_Pedidos,CY161+CA161-1,CU161),"")),"")</f>
        <v/>
      </c>
      <c r="CV167" s="526" t="str">
        <f>IFERROR(IF(IF(CZ161&gt;CA161-1,INDEX(Lista_Pedidos,CY161+CA161-1,CV161),"")=0,"",IF(CZ161&gt;CA161-1,INDEX(Lista_Pedidos,CY161+CA161-1,CV161),"")),"")</f>
        <v/>
      </c>
      <c r="CW167" s="857" t="str">
        <f>IF(SUM(CJ167:CV167)&gt;1,SUM(CJ167:CV167),"")</f>
        <v/>
      </c>
      <c r="CX167" s="855"/>
      <c r="CY167" s="855"/>
      <c r="CZ167" s="860"/>
      <c r="DA167" s="854" t="str">
        <f>IFERROR(INDEX(Lista_Pedidos,Procesos!DY161+DA161-1,3),"")</f>
        <v/>
      </c>
      <c r="DB167" s="855"/>
      <c r="DC167" s="855"/>
      <c r="DD167" s="855"/>
      <c r="DE167" s="856"/>
      <c r="DF167" s="857" t="str">
        <f>IF(DZ161&gt;DA161-1,DE$11,"")</f>
        <v/>
      </c>
      <c r="DG167" s="855"/>
      <c r="DH167" s="855"/>
      <c r="DI167" s="856"/>
      <c r="DJ167" s="526" t="str">
        <f>IFERROR(IF(IF(DZ161&gt;DA161-1,INDEX(Lista_Pedidos,DY161+DA161-1,DJ161),"")=0,"",IF(DZ161&gt;DA161-1,INDEX(Lista_Pedidos,DY161+DA161-1,DJ161),"")),"")</f>
        <v/>
      </c>
      <c r="DK167" s="526" t="str">
        <f>IFERROR(IF(IF(DZ161&gt;DA161-1,INDEX(Lista_Pedidos,DY161+DA161-1,DK161),"")=0,"",IF(DZ161&gt;DA161-1,INDEX(Lista_Pedidos,DY161+DA161-1,DK161),"")),"")</f>
        <v/>
      </c>
      <c r="DL167" s="526" t="str">
        <f>IFERROR(IF(IF(DZ161&gt;DA161-1,INDEX(Lista_Pedidos,DY161+DA161-1,DL161),"")=0,"",IF(DZ161&gt;DA161-1,INDEX(Lista_Pedidos,DY161+DA161-1,DL161),"")),"")</f>
        <v/>
      </c>
      <c r="DM167" s="526" t="str">
        <f>IFERROR(IF(IF(DZ161&gt;DA161-1,INDEX(Lista_Pedidos,DY161+DA161-1,DM161),"")=0,"",IF(DZ161&gt;DA161-1,INDEX(Lista_Pedidos,DY161+DA161-1,DM161),"")),"")</f>
        <v/>
      </c>
      <c r="DN167" s="526" t="str">
        <f>IFERROR(IF(IF(DZ161&gt;DA161-1,INDEX(Lista_Pedidos,DY161+DA161-1,DN161),"")=0,"",IF(DZ161&gt;DA161-1,INDEX(Lista_Pedidos,DY161+DA161-1,DN161),"")),"")</f>
        <v/>
      </c>
      <c r="DO167" s="526" t="str">
        <f>IFERROR(IF(IF(DZ161&gt;DA161-1,INDEX(Lista_Pedidos,DY161+DA161-1,DO161),"")=0,"",IF(DZ161&gt;DA161-1,INDEX(Lista_Pedidos,DY161+DA161-1,DO161),"")),"")</f>
        <v/>
      </c>
      <c r="DP167" s="526" t="str">
        <f>IFERROR(IF(IF(DZ161&gt;DA161-1,INDEX(Lista_Pedidos,DY161+DA161-1,DP161),"")=0,"",IF(DZ161&gt;DA161-1,INDEX(Lista_Pedidos,DY161+DA161-1,DP161),"")),"")</f>
        <v/>
      </c>
      <c r="DQ167" s="526" t="str">
        <f>IFERROR(IF(IF(DZ161&gt;DA161-1,INDEX(Lista_Pedidos,DY161+DA161-1,DQ161),"")=0,"",IF(DZ161&gt;DA161-1,INDEX(Lista_Pedidos,DY161+DA161-1,DQ161),"")),"")</f>
        <v/>
      </c>
      <c r="DR167" s="526" t="str">
        <f>IFERROR(IF(IF(DZ161&gt;DA161-1,INDEX(Lista_Pedidos,DY161+DA161-1,DR161),"")=0,"",IF(DZ161&gt;DA161-1,INDEX(Lista_Pedidos,DY161+DA161-1,DR161),"")),"")</f>
        <v/>
      </c>
      <c r="DS167" s="526" t="str">
        <f>IFERROR(IF(IF(DZ161&gt;DA161-1,INDEX(Lista_Pedidos,DY161+DA161-1,DS161),"")=0,"",IF(DZ161&gt;DA161-1,INDEX(Lista_Pedidos,DY161+DA161-1,DS161),"")),"")</f>
        <v/>
      </c>
      <c r="DT167" s="526" t="str">
        <f>IFERROR(IF(IF(DZ161&gt;DA161-1,INDEX(Lista_Pedidos,DY161+DA161-1,DT161),"")=0,"",IF(DZ161&gt;DA161-1,INDEX(Lista_Pedidos,DY161+DA161-1,DT161),"")),"")</f>
        <v/>
      </c>
      <c r="DU167" s="526" t="str">
        <f>IFERROR(IF(IF(DZ161&gt;DA161-1,INDEX(Lista_Pedidos,DY161+DA161-1,DU161),"")=0,"",IF(DZ161&gt;DA161-1,INDEX(Lista_Pedidos,DY161+DA161-1,DU161),"")),"")</f>
        <v/>
      </c>
      <c r="DV167" s="526" t="str">
        <f>IFERROR(IF(IF(DZ161&gt;DA161-1,INDEX(Lista_Pedidos,DY161+DA161-1,DV161),"")=0,"",IF(DZ161&gt;DA161-1,INDEX(Lista_Pedidos,DY161+DA161-1,DV161),"")),"")</f>
        <v/>
      </c>
      <c r="DW167" s="857" t="str">
        <f>IF(SUM(DJ167:DV167)&gt;1,SUM(DJ167:DV167),"")</f>
        <v/>
      </c>
      <c r="DX167" s="855"/>
      <c r="DY167" s="855"/>
      <c r="DZ167" s="860"/>
      <c r="EA167" s="854" t="str">
        <f>IFERROR(INDEX(Lista_Pedidos,Procesos!EY161+EA161-1,3),"")</f>
        <v/>
      </c>
      <c r="EB167" s="855"/>
      <c r="EC167" s="855"/>
      <c r="ED167" s="855"/>
      <c r="EE167" s="856"/>
      <c r="EF167" s="857" t="str">
        <f>IF(EZ161&gt;EA161-1,EE$11,"")</f>
        <v/>
      </c>
      <c r="EG167" s="855"/>
      <c r="EH167" s="855"/>
      <c r="EI167" s="856"/>
      <c r="EJ167" s="526" t="str">
        <f>IFERROR(IF(IF(EZ161&gt;EA161-1,INDEX(Lista_Pedidos,EY161+EA161-1,EJ161),"")=0,"",IF(EZ161&gt;EA161-1,INDEX(Lista_Pedidos,EY161+EA161-1,EJ161),"")),"")</f>
        <v/>
      </c>
      <c r="EK167" s="526" t="str">
        <f>IFERROR(IF(IF(EZ161&gt;EA161-1,INDEX(Lista_Pedidos,EY161+EA161-1,EK161),"")=0,"",IF(EZ161&gt;EA161-1,INDEX(Lista_Pedidos,EY161+EA161-1,EK161),"")),"")</f>
        <v/>
      </c>
      <c r="EL167" s="526" t="str">
        <f>IFERROR(IF(IF(EZ161&gt;EA161-1,INDEX(Lista_Pedidos,EY161+EA161-1,EL161),"")=0,"",IF(EZ161&gt;EA161-1,INDEX(Lista_Pedidos,EY161+EA161-1,EL161),"")),"")</f>
        <v/>
      </c>
      <c r="EM167" s="526" t="str">
        <f>IFERROR(IF(IF(EZ161&gt;EA161-1,INDEX(Lista_Pedidos,EY161+EA161-1,EM161),"")=0,"",IF(EZ161&gt;EA161-1,INDEX(Lista_Pedidos,EY161+EA161-1,EM161),"")),"")</f>
        <v/>
      </c>
      <c r="EN167" s="526" t="str">
        <f>IFERROR(IF(IF(EZ161&gt;EA161-1,INDEX(Lista_Pedidos,EY161+EA161-1,EN161),"")=0,"",IF(EZ161&gt;EA161-1,INDEX(Lista_Pedidos,EY161+EA161-1,EN161),"")),"")</f>
        <v/>
      </c>
      <c r="EO167" s="526" t="str">
        <f>IFERROR(IF(IF(EZ161&gt;EA161-1,INDEX(Lista_Pedidos,EY161+EA161-1,EO161),"")=0,"",IF(EZ161&gt;EA161-1,INDEX(Lista_Pedidos,EY161+EA161-1,EO161),"")),"")</f>
        <v/>
      </c>
      <c r="EP167" s="526" t="str">
        <f>IFERROR(IF(IF(EZ161&gt;EA161-1,INDEX(Lista_Pedidos,EY161+EA161-1,EP161),"")=0,"",IF(EZ161&gt;EA161-1,INDEX(Lista_Pedidos,EY161+EA161-1,EP161),"")),"")</f>
        <v/>
      </c>
      <c r="EQ167" s="526" t="str">
        <f>IFERROR(IF(IF(EZ161&gt;EA161-1,INDEX(Lista_Pedidos,EY161+EA161-1,EQ161),"")=0,"",IF(EZ161&gt;EA161-1,INDEX(Lista_Pedidos,EY161+EA161-1,EQ161),"")),"")</f>
        <v/>
      </c>
      <c r="ER167" s="526" t="str">
        <f>IFERROR(IF(IF(EZ161&gt;EA161-1,INDEX(Lista_Pedidos,EY161+EA161-1,ER161),"")=0,"",IF(EZ161&gt;EA161-1,INDEX(Lista_Pedidos,EY161+EA161-1,ER161),"")),"")</f>
        <v/>
      </c>
      <c r="ES167" s="526" t="str">
        <f>IFERROR(IF(IF(EZ161&gt;EA161-1,INDEX(Lista_Pedidos,EY161+EA161-1,ES161),"")=0,"",IF(EZ161&gt;EA161-1,INDEX(Lista_Pedidos,EY161+EA161-1,ES161),"")),"")</f>
        <v/>
      </c>
      <c r="ET167" s="526" t="str">
        <f>IFERROR(IF(IF(EZ161&gt;EA161-1,INDEX(Lista_Pedidos,EY161+EA161-1,ET161),"")=0,"",IF(EZ161&gt;EA161-1,INDEX(Lista_Pedidos,EY161+EA161-1,ET161),"")),"")</f>
        <v/>
      </c>
      <c r="EU167" s="526" t="str">
        <f>IFERROR(IF(IF(EZ161&gt;EA161-1,INDEX(Lista_Pedidos,EY161+EA161-1,EU161),"")=0,"",IF(EZ161&gt;EA161-1,INDEX(Lista_Pedidos,EY161+EA161-1,EU161),"")),"")</f>
        <v/>
      </c>
      <c r="EV167" s="526" t="str">
        <f>IFERROR(IF(IF(EZ161&gt;EA161-1,INDEX(Lista_Pedidos,EY161+EA161-1,EV161),"")=0,"",IF(EZ161&gt;EA161-1,INDEX(Lista_Pedidos,EY161+EA161-1,EV161),"")),"")</f>
        <v/>
      </c>
      <c r="EW167" s="857" t="str">
        <f>IF(SUM(EJ167:EV167)&gt;1,SUM(EJ167:EV167),"")</f>
        <v/>
      </c>
      <c r="EX167" s="855"/>
      <c r="EY167" s="855"/>
      <c r="EZ167" s="860"/>
      <c r="FA167" s="854" t="str">
        <f>IFERROR(INDEX(Lista_Pedidos,Procesos!FY161+FA161-1,3),"")</f>
        <v/>
      </c>
      <c r="FB167" s="855"/>
      <c r="FC167" s="855"/>
      <c r="FD167" s="855"/>
      <c r="FE167" s="856"/>
      <c r="FF167" s="857" t="str">
        <f>IF(FZ161&gt;FA161-1,FE$11,"")</f>
        <v/>
      </c>
      <c r="FG167" s="855"/>
      <c r="FH167" s="855"/>
      <c r="FI167" s="856"/>
      <c r="FJ167" s="526" t="str">
        <f>IFERROR(IF(IF(FZ161&gt;FA161-1,INDEX(Lista_Pedidos,FY161+FA161-1,FJ161),"")=0,"",IF(FZ161&gt;FA161-1,INDEX(Lista_Pedidos,FY161+FA161-1,FJ161),"")),"")</f>
        <v/>
      </c>
      <c r="FK167" s="526" t="str">
        <f>IFERROR(IF(IF(FZ161&gt;FA161-1,INDEX(Lista_Pedidos,FY161+FA161-1,FK161),"")=0,"",IF(FZ161&gt;FA161-1,INDEX(Lista_Pedidos,FY161+FA161-1,FK161),"")),"")</f>
        <v/>
      </c>
      <c r="FL167" s="526" t="str">
        <f>IFERROR(IF(IF(FZ161&gt;FA161-1,INDEX(Lista_Pedidos,FY161+FA161-1,FL161),"")=0,"",IF(FZ161&gt;FA161-1,INDEX(Lista_Pedidos,FY161+FA161-1,FL161),"")),"")</f>
        <v/>
      </c>
      <c r="FM167" s="526" t="str">
        <f>IFERROR(IF(IF(FZ161&gt;FA161-1,INDEX(Lista_Pedidos,FY161+FA161-1,FM161),"")=0,"",IF(FZ161&gt;FA161-1,INDEX(Lista_Pedidos,FY161+FA161-1,FM161),"")),"")</f>
        <v/>
      </c>
      <c r="FN167" s="526" t="str">
        <f>IFERROR(IF(IF(FZ161&gt;FA161-1,INDEX(Lista_Pedidos,FY161+FA161-1,FN161),"")=0,"",IF(FZ161&gt;FA161-1,INDEX(Lista_Pedidos,FY161+FA161-1,FN161),"")),"")</f>
        <v/>
      </c>
      <c r="FO167" s="526" t="str">
        <f>IFERROR(IF(IF(FZ161&gt;FA161-1,INDEX(Lista_Pedidos,FY161+FA161-1,FO161),"")=0,"",IF(FZ161&gt;FA161-1,INDEX(Lista_Pedidos,FY161+FA161-1,FO161),"")),"")</f>
        <v/>
      </c>
      <c r="FP167" s="526" t="str">
        <f>IFERROR(IF(IF(FZ161&gt;FA161-1,INDEX(Lista_Pedidos,FY161+FA161-1,FP161),"")=0,"",IF(FZ161&gt;FA161-1,INDEX(Lista_Pedidos,FY161+FA161-1,FP161),"")),"")</f>
        <v/>
      </c>
      <c r="FQ167" s="526" t="str">
        <f>IFERROR(IF(IF(FZ161&gt;FA161-1,INDEX(Lista_Pedidos,FY161+FA161-1,FQ161),"")=0,"",IF(FZ161&gt;FA161-1,INDEX(Lista_Pedidos,FY161+FA161-1,FQ161),"")),"")</f>
        <v/>
      </c>
      <c r="FR167" s="526" t="str">
        <f>IFERROR(IF(IF(FZ161&gt;FA161-1,INDEX(Lista_Pedidos,FY161+FA161-1,FR161),"")=0,"",IF(FZ161&gt;FA161-1,INDEX(Lista_Pedidos,FY161+FA161-1,FR161),"")),"")</f>
        <v/>
      </c>
      <c r="FS167" s="526" t="str">
        <f>IFERROR(IF(IF(FZ161&gt;FA161-1,INDEX(Lista_Pedidos,FY161+FA161-1,FS161),"")=0,"",IF(FZ161&gt;FA161-1,INDEX(Lista_Pedidos,FY161+FA161-1,FS161),"")),"")</f>
        <v/>
      </c>
      <c r="FT167" s="526" t="str">
        <f>IFERROR(IF(IF(FZ161&gt;FA161-1,INDEX(Lista_Pedidos,FY161+FA161-1,FT161),"")=0,"",IF(FZ161&gt;FA161-1,INDEX(Lista_Pedidos,FY161+FA161-1,FT161),"")),"")</f>
        <v/>
      </c>
      <c r="FU167" s="526" t="str">
        <f>IFERROR(IF(IF(FZ161&gt;FA161-1,INDEX(Lista_Pedidos,FY161+FA161-1,FU161),"")=0,"",IF(FZ161&gt;FA161-1,INDEX(Lista_Pedidos,FY161+FA161-1,FU161),"")),"")</f>
        <v/>
      </c>
      <c r="FV167" s="526" t="str">
        <f>IFERROR(IF(IF(FZ161&gt;FA161-1,INDEX(Lista_Pedidos,FY161+FA161-1,FV161),"")=0,"",IF(FZ161&gt;FA161-1,INDEX(Lista_Pedidos,FY161+FA161-1,FV161),"")),"")</f>
        <v/>
      </c>
      <c r="FW167" s="857" t="str">
        <f>IF(SUM(FJ167:FV167)&gt;1,SUM(FJ167:FV167),"")</f>
        <v/>
      </c>
      <c r="FX167" s="855"/>
      <c r="FY167" s="855"/>
      <c r="FZ167" s="860"/>
      <c r="GA167" s="854" t="str">
        <f>IFERROR(INDEX(Lista_Pedidos,Procesos!GY161+GA161-1,3),"")</f>
        <v/>
      </c>
      <c r="GB167" s="855"/>
      <c r="GC167" s="855"/>
      <c r="GD167" s="855"/>
      <c r="GE167" s="856"/>
      <c r="GF167" s="857" t="str">
        <f>IF(GZ161&gt;GA161-1,GE$11,"")</f>
        <v/>
      </c>
      <c r="GG167" s="855"/>
      <c r="GH167" s="855"/>
      <c r="GI167" s="856"/>
      <c r="GJ167" s="526" t="str">
        <f>IFERROR(IF(IF(GZ161&gt;GA161-1,INDEX(Lista_Pedidos,GY161+GA161-1,GJ161),"")=0,"",IF(GZ161&gt;GA161-1,INDEX(Lista_Pedidos,GY161+GA161-1,GJ161),"")),"")</f>
        <v/>
      </c>
      <c r="GK167" s="526" t="str">
        <f>IFERROR(IF(IF(GZ161&gt;GA161-1,INDEX(Lista_Pedidos,GY161+GA161-1,GK161),"")=0,"",IF(GZ161&gt;GA161-1,INDEX(Lista_Pedidos,GY161+GA161-1,GK161),"")),"")</f>
        <v/>
      </c>
      <c r="GL167" s="526" t="str">
        <f>IFERROR(IF(IF(GZ161&gt;GA161-1,INDEX(Lista_Pedidos,GY161+GA161-1,GL161),"")=0,"",IF(GZ161&gt;GA161-1,INDEX(Lista_Pedidos,GY161+GA161-1,GL161),"")),"")</f>
        <v/>
      </c>
      <c r="GM167" s="526" t="str">
        <f>IFERROR(IF(IF(GZ161&gt;GA161-1,INDEX(Lista_Pedidos,GY161+GA161-1,GM161),"")=0,"",IF(GZ161&gt;GA161-1,INDEX(Lista_Pedidos,GY161+GA161-1,GM161),"")),"")</f>
        <v/>
      </c>
      <c r="GN167" s="526" t="str">
        <f>IFERROR(IF(IF(GZ161&gt;GA161-1,INDEX(Lista_Pedidos,GY161+GA161-1,GN161),"")=0,"",IF(GZ161&gt;GA161-1,INDEX(Lista_Pedidos,GY161+GA161-1,GN161),"")),"")</f>
        <v/>
      </c>
      <c r="GO167" s="526" t="str">
        <f>IFERROR(IF(IF(GZ161&gt;GA161-1,INDEX(Lista_Pedidos,GY161+GA161-1,GO161),"")=0,"",IF(GZ161&gt;GA161-1,INDEX(Lista_Pedidos,GY161+GA161-1,GO161),"")),"")</f>
        <v/>
      </c>
      <c r="GP167" s="526" t="str">
        <f>IFERROR(IF(IF(GZ161&gt;GA161-1,INDEX(Lista_Pedidos,GY161+GA161-1,GP161),"")=0,"",IF(GZ161&gt;GA161-1,INDEX(Lista_Pedidos,GY161+GA161-1,GP161),"")),"")</f>
        <v/>
      </c>
      <c r="GQ167" s="526" t="str">
        <f>IFERROR(IF(IF(GZ161&gt;GA161-1,INDEX(Lista_Pedidos,GY161+GA161-1,GQ161),"")=0,"",IF(GZ161&gt;GA161-1,INDEX(Lista_Pedidos,GY161+GA161-1,GQ161),"")),"")</f>
        <v/>
      </c>
      <c r="GR167" s="526" t="str">
        <f>IFERROR(IF(IF(GZ161&gt;GA161-1,INDEX(Lista_Pedidos,GY161+GA161-1,GR161),"")=0,"",IF(GZ161&gt;GA161-1,INDEX(Lista_Pedidos,GY161+GA161-1,GR161),"")),"")</f>
        <v/>
      </c>
      <c r="GS167" s="526" t="str">
        <f>IFERROR(IF(IF(GZ161&gt;GA161-1,INDEX(Lista_Pedidos,GY161+GA161-1,GS161),"")=0,"",IF(GZ161&gt;GA161-1,INDEX(Lista_Pedidos,GY161+GA161-1,GS161),"")),"")</f>
        <v/>
      </c>
      <c r="GT167" s="526" t="str">
        <f>IFERROR(IF(IF(GZ161&gt;GA161-1,INDEX(Lista_Pedidos,GY161+GA161-1,GT161),"")=0,"",IF(GZ161&gt;GA161-1,INDEX(Lista_Pedidos,GY161+GA161-1,GT161),"")),"")</f>
        <v/>
      </c>
      <c r="GU167" s="526" t="str">
        <f>IFERROR(IF(IF(GZ161&gt;GA161-1,INDEX(Lista_Pedidos,GY161+GA161-1,GU161),"")=0,"",IF(GZ161&gt;GA161-1,INDEX(Lista_Pedidos,GY161+GA161-1,GU161),"")),"")</f>
        <v/>
      </c>
      <c r="GV167" s="526" t="str">
        <f>IFERROR(IF(IF(GZ161&gt;GA161-1,INDEX(Lista_Pedidos,GY161+GA161-1,GV161),"")=0,"",IF(GZ161&gt;GA161-1,INDEX(Lista_Pedidos,GY161+GA161-1,GV161),"")),"")</f>
        <v/>
      </c>
      <c r="GW167" s="857" t="str">
        <f>IF(SUM(GJ167:GV167)&gt;1,SUM(GJ167:GV167),"")</f>
        <v/>
      </c>
      <c r="GX167" s="855"/>
      <c r="GY167" s="855"/>
      <c r="GZ167" s="860"/>
      <c r="HA167" s="854" t="str">
        <f>IFERROR(INDEX(Lista_Pedidos,Procesos!HY161+HA161-1,3),"")</f>
        <v/>
      </c>
      <c r="HB167" s="855"/>
      <c r="HC167" s="855"/>
      <c r="HD167" s="855"/>
      <c r="HE167" s="856"/>
      <c r="HF167" s="857" t="str">
        <f>IF(HZ161&gt;HA161-1,HE$11,"")</f>
        <v/>
      </c>
      <c r="HG167" s="855"/>
      <c r="HH167" s="855"/>
      <c r="HI167" s="856"/>
      <c r="HJ167" s="526" t="str">
        <f>IFERROR(IF(IF(HZ161&gt;HA161-1,INDEX(Lista_Pedidos,HY161+HA161-1,HJ161),"")=0,"",IF(HZ161&gt;HA161-1,INDEX(Lista_Pedidos,HY161+HA161-1,HJ161),"")),"")</f>
        <v/>
      </c>
      <c r="HK167" s="526" t="str">
        <f>IFERROR(IF(IF(HZ161&gt;HA161-1,INDEX(Lista_Pedidos,HY161+HA161-1,HK161),"")=0,"",IF(HZ161&gt;HA161-1,INDEX(Lista_Pedidos,HY161+HA161-1,HK161),"")),"")</f>
        <v/>
      </c>
      <c r="HL167" s="526" t="str">
        <f>IFERROR(IF(IF(HZ161&gt;HA161-1,INDEX(Lista_Pedidos,HY161+HA161-1,HL161),"")=0,"",IF(HZ161&gt;HA161-1,INDEX(Lista_Pedidos,HY161+HA161-1,HL161),"")),"")</f>
        <v/>
      </c>
      <c r="HM167" s="526" t="str">
        <f>IFERROR(IF(IF(HZ161&gt;HA161-1,INDEX(Lista_Pedidos,HY161+HA161-1,HM161),"")=0,"",IF(HZ161&gt;HA161-1,INDEX(Lista_Pedidos,HY161+HA161-1,HM161),"")),"")</f>
        <v/>
      </c>
      <c r="HN167" s="526" t="str">
        <f>IFERROR(IF(IF(HZ161&gt;HA161-1,INDEX(Lista_Pedidos,HY161+HA161-1,HN161),"")=0,"",IF(HZ161&gt;HA161-1,INDEX(Lista_Pedidos,HY161+HA161-1,HN161),"")),"")</f>
        <v/>
      </c>
      <c r="HO167" s="526" t="str">
        <f>IFERROR(IF(IF(HZ161&gt;HA161-1,INDEX(Lista_Pedidos,HY161+HA161-1,HO161),"")=0,"",IF(HZ161&gt;HA161-1,INDEX(Lista_Pedidos,HY161+HA161-1,HO161),"")),"")</f>
        <v/>
      </c>
      <c r="HP167" s="526" t="str">
        <f>IFERROR(IF(IF(HZ161&gt;HA161-1,INDEX(Lista_Pedidos,HY161+HA161-1,HP161),"")=0,"",IF(HZ161&gt;HA161-1,INDEX(Lista_Pedidos,HY161+HA161-1,HP161),"")),"")</f>
        <v/>
      </c>
      <c r="HQ167" s="526" t="str">
        <f>IFERROR(IF(IF(HZ161&gt;HA161-1,INDEX(Lista_Pedidos,HY161+HA161-1,HQ161),"")=0,"",IF(HZ161&gt;HA161-1,INDEX(Lista_Pedidos,HY161+HA161-1,HQ161),"")),"")</f>
        <v/>
      </c>
      <c r="HR167" s="526" t="str">
        <f>IFERROR(IF(IF(HZ161&gt;HA161-1,INDEX(Lista_Pedidos,HY161+HA161-1,HR161),"")=0,"",IF(HZ161&gt;HA161-1,INDEX(Lista_Pedidos,HY161+HA161-1,HR161),"")),"")</f>
        <v/>
      </c>
      <c r="HS167" s="526" t="str">
        <f>IFERROR(IF(IF(HZ161&gt;HA161-1,INDEX(Lista_Pedidos,HY161+HA161-1,HS161),"")=0,"",IF(HZ161&gt;HA161-1,INDEX(Lista_Pedidos,HY161+HA161-1,HS161),"")),"")</f>
        <v/>
      </c>
      <c r="HT167" s="526" t="str">
        <f>IFERROR(IF(IF(HZ161&gt;HA161-1,INDEX(Lista_Pedidos,HY161+HA161-1,HT161),"")=0,"",IF(HZ161&gt;HA161-1,INDEX(Lista_Pedidos,HY161+HA161-1,HT161),"")),"")</f>
        <v/>
      </c>
      <c r="HU167" s="526" t="str">
        <f>IFERROR(IF(IF(HZ161&gt;HA161-1,INDEX(Lista_Pedidos,HY161+HA161-1,HU161),"")=0,"",IF(HZ161&gt;HA161-1,INDEX(Lista_Pedidos,HY161+HA161-1,HU161),"")),"")</f>
        <v/>
      </c>
      <c r="HV167" s="526" t="str">
        <f>IFERROR(IF(IF(HZ161&gt;HA161-1,INDEX(Lista_Pedidos,HY161+HA161-1,HV161),"")=0,"",IF(HZ161&gt;HA161-1,INDEX(Lista_Pedidos,HY161+HA161-1,HV161),"")),"")</f>
        <v/>
      </c>
      <c r="HW167" s="857" t="str">
        <f>IF(SUM(HJ167:HV167)&gt;1,SUM(HJ167:HV167),"")</f>
        <v/>
      </c>
      <c r="HX167" s="855"/>
      <c r="HY167" s="855"/>
      <c r="HZ167" s="860"/>
      <c r="IA167" s="854" t="str">
        <f>IFERROR(INDEX(Lista_Pedidos,Procesos!IY161+IA161-1,3),"")</f>
        <v/>
      </c>
      <c r="IB167" s="855"/>
      <c r="IC167" s="855"/>
      <c r="ID167" s="855"/>
      <c r="IE167" s="856"/>
      <c r="IF167" s="857" t="str">
        <f>IF(IZ161&gt;IA161-1,IE$11,"")</f>
        <v/>
      </c>
      <c r="IG167" s="855"/>
      <c r="IH167" s="855"/>
      <c r="II167" s="856"/>
      <c r="IJ167" s="526" t="str">
        <f>IFERROR(IF(IF(IZ161&gt;IA161-1,INDEX(Lista_Pedidos,IY161+IA161-1,IJ161),"")=0,"",IF(IZ161&gt;IA161-1,INDEX(Lista_Pedidos,IY161+IA161-1,IJ161),"")),"")</f>
        <v/>
      </c>
      <c r="IK167" s="526" t="str">
        <f>IFERROR(IF(IF(IZ161&gt;IA161-1,INDEX(Lista_Pedidos,IY161+IA161-1,IK161),"")=0,"",IF(IZ161&gt;IA161-1,INDEX(Lista_Pedidos,IY161+IA161-1,IK161),"")),"")</f>
        <v/>
      </c>
      <c r="IL167" s="526" t="str">
        <f>IFERROR(IF(IF(IZ161&gt;IA161-1,INDEX(Lista_Pedidos,IY161+IA161-1,IL161),"")=0,"",IF(IZ161&gt;IA161-1,INDEX(Lista_Pedidos,IY161+IA161-1,IL161),"")),"")</f>
        <v/>
      </c>
      <c r="IM167" s="526" t="str">
        <f>IFERROR(IF(IF(IZ161&gt;IA161-1,INDEX(Lista_Pedidos,IY161+IA161-1,IM161),"")=0,"",IF(IZ161&gt;IA161-1,INDEX(Lista_Pedidos,IY161+IA161-1,IM161),"")),"")</f>
        <v/>
      </c>
      <c r="IN167" s="526" t="str">
        <f>IFERROR(IF(IF(IZ161&gt;IA161-1,INDEX(Lista_Pedidos,IY161+IA161-1,IN161),"")=0,"",IF(IZ161&gt;IA161-1,INDEX(Lista_Pedidos,IY161+IA161-1,IN161),"")),"")</f>
        <v/>
      </c>
      <c r="IO167" s="526" t="str">
        <f>IFERROR(IF(IF(IZ161&gt;IA161-1,INDEX(Lista_Pedidos,IY161+IA161-1,IO161),"")=0,"",IF(IZ161&gt;IA161-1,INDEX(Lista_Pedidos,IY161+IA161-1,IO161),"")),"")</f>
        <v/>
      </c>
      <c r="IP167" s="526" t="str">
        <f>IFERROR(IF(IF(IZ161&gt;IA161-1,INDEX(Lista_Pedidos,IY161+IA161-1,IP161),"")=0,"",IF(IZ161&gt;IA161-1,INDEX(Lista_Pedidos,IY161+IA161-1,IP161),"")),"")</f>
        <v/>
      </c>
      <c r="IQ167" s="526" t="str">
        <f>IFERROR(IF(IF(IZ161&gt;IA161-1,INDEX(Lista_Pedidos,IY161+IA161-1,IQ161),"")=0,"",IF(IZ161&gt;IA161-1,INDEX(Lista_Pedidos,IY161+IA161-1,IQ161),"")),"")</f>
        <v/>
      </c>
      <c r="IR167" s="526" t="str">
        <f>IFERROR(IF(IF(IZ161&gt;IA161-1,INDEX(Lista_Pedidos,IY161+IA161-1,IR161),"")=0,"",IF(IZ161&gt;IA161-1,INDEX(Lista_Pedidos,IY161+IA161-1,IR161),"")),"")</f>
        <v/>
      </c>
      <c r="IS167" s="526" t="str">
        <f>IFERROR(IF(IF(IZ161&gt;IA161-1,INDEX(Lista_Pedidos,IY161+IA161-1,IS161),"")=0,"",IF(IZ161&gt;IA161-1,INDEX(Lista_Pedidos,IY161+IA161-1,IS161),"")),"")</f>
        <v/>
      </c>
      <c r="IT167" s="526" t="str">
        <f>IFERROR(IF(IF(IZ161&gt;IA161-1,INDEX(Lista_Pedidos,IY161+IA161-1,IT161),"")=0,"",IF(IZ161&gt;IA161-1,INDEX(Lista_Pedidos,IY161+IA161-1,IT161),"")),"")</f>
        <v/>
      </c>
      <c r="IU167" s="526" t="str">
        <f>IFERROR(IF(IF(IZ161&gt;IA161-1,INDEX(Lista_Pedidos,IY161+IA161-1,IU161),"")=0,"",IF(IZ161&gt;IA161-1,INDEX(Lista_Pedidos,IY161+IA161-1,IU161),"")),"")</f>
        <v/>
      </c>
      <c r="IV167" s="526" t="str">
        <f>IFERROR(IF(IF(IZ161&gt;IA161-1,INDEX(Lista_Pedidos,IY161+IA161-1,IV161),"")=0,"",IF(IZ161&gt;IA161-1,INDEX(Lista_Pedidos,IY161+IA161-1,IV161),"")),"")</f>
        <v/>
      </c>
      <c r="IW167" s="857" t="str">
        <f>IF(SUM(IJ167:IV167)&gt;1,SUM(IJ167:IV167),"")</f>
        <v/>
      </c>
      <c r="IX167" s="855"/>
      <c r="IY167" s="855"/>
      <c r="IZ167" s="860"/>
    </row>
    <row r="168" spans="1:260" x14ac:dyDescent="0.25">
      <c r="A168" s="823"/>
      <c r="B168" s="824"/>
      <c r="C168" s="824"/>
      <c r="D168" s="824"/>
      <c r="E168" s="824"/>
      <c r="F168" s="824"/>
      <c r="G168" s="824"/>
      <c r="H168" s="824"/>
      <c r="I168" s="824"/>
      <c r="J168" s="824"/>
      <c r="K168" s="824"/>
      <c r="L168" s="824"/>
      <c r="M168" s="824"/>
      <c r="N168" s="824"/>
      <c r="O168" s="824"/>
      <c r="P168" s="824"/>
      <c r="Q168" s="824"/>
      <c r="R168" s="824"/>
      <c r="S168" s="824"/>
      <c r="T168" s="824"/>
      <c r="U168" s="824"/>
      <c r="V168" s="824"/>
      <c r="W168" s="824" t="str">
        <f>IFERROR(IF(Z161&gt;A161-1,IF(INDEX(Lista_Pedidos,Y161+A161-1,2)&lt;&gt;"",INDEX(Lista_Pedidos,Y161+A161-1,2),""),""),"")</f>
        <v/>
      </c>
      <c r="X168" s="824"/>
      <c r="Y168" s="824"/>
      <c r="Z168" s="825"/>
      <c r="AA168" s="823"/>
      <c r="AB168" s="824"/>
      <c r="AC168" s="824"/>
      <c r="AD168" s="824"/>
      <c r="AE168" s="824"/>
      <c r="AF168" s="824"/>
      <c r="AG168" s="824"/>
      <c r="AH168" s="824"/>
      <c r="AI168" s="824"/>
      <c r="AJ168" s="824"/>
      <c r="AK168" s="824"/>
      <c r="AL168" s="824"/>
      <c r="AM168" s="824"/>
      <c r="AN168" s="824"/>
      <c r="AO168" s="824"/>
      <c r="AP168" s="824"/>
      <c r="AQ168" s="824"/>
      <c r="AR168" s="824"/>
      <c r="AS168" s="824"/>
      <c r="AT168" s="824"/>
      <c r="AU168" s="824"/>
      <c r="AV168" s="824"/>
      <c r="AW168" s="824" t="str">
        <f>IFERROR(IF(AZ161&gt;AA161-1,IF(INDEX(Lista_Pedidos,AY161+AA161-1,2)&lt;&gt;"",INDEX(Lista_Pedidos,AY161+AA161-1,2),""),""),"")</f>
        <v/>
      </c>
      <c r="AX168" s="824"/>
      <c r="AY168" s="824"/>
      <c r="AZ168" s="825"/>
      <c r="BA168" s="823"/>
      <c r="BB168" s="824"/>
      <c r="BC168" s="824"/>
      <c r="BD168" s="824"/>
      <c r="BE168" s="824"/>
      <c r="BF168" s="824"/>
      <c r="BG168" s="824"/>
      <c r="BH168" s="824"/>
      <c r="BI168" s="824"/>
      <c r="BJ168" s="824"/>
      <c r="BK168" s="824"/>
      <c r="BL168" s="824"/>
      <c r="BM168" s="824"/>
      <c r="BN168" s="824"/>
      <c r="BO168" s="824"/>
      <c r="BP168" s="824"/>
      <c r="BQ168" s="824"/>
      <c r="BR168" s="824"/>
      <c r="BS168" s="824"/>
      <c r="BT168" s="824"/>
      <c r="BU168" s="824"/>
      <c r="BV168" s="824"/>
      <c r="BW168" s="824" t="str">
        <f>IFERROR(IF(BZ161&gt;BA161-1,IF(INDEX(Lista_Pedidos,BY161+BA161-1,2)&lt;&gt;"",INDEX(Lista_Pedidos,BY161+BA161-1,2),""),""),"")</f>
        <v/>
      </c>
      <c r="BX168" s="824"/>
      <c r="BY168" s="824"/>
      <c r="BZ168" s="825"/>
      <c r="CA168" s="823"/>
      <c r="CB168" s="824"/>
      <c r="CC168" s="824"/>
      <c r="CD168" s="824"/>
      <c r="CE168" s="824"/>
      <c r="CF168" s="824"/>
      <c r="CG168" s="824"/>
      <c r="CH168" s="824"/>
      <c r="CI168" s="824"/>
      <c r="CJ168" s="824"/>
      <c r="CK168" s="824"/>
      <c r="CL168" s="824"/>
      <c r="CM168" s="824"/>
      <c r="CN168" s="824"/>
      <c r="CO168" s="824"/>
      <c r="CP168" s="824"/>
      <c r="CQ168" s="824"/>
      <c r="CR168" s="824"/>
      <c r="CS168" s="824"/>
      <c r="CT168" s="824"/>
      <c r="CU168" s="824"/>
      <c r="CV168" s="824"/>
      <c r="CW168" s="824" t="str">
        <f>IFERROR(IF(CZ161&gt;CA161-1,IF(INDEX(Lista_Pedidos,CY161+CA161-1,2)&lt;&gt;"",INDEX(Lista_Pedidos,CY161+CA161-1,2),""),""),"")</f>
        <v/>
      </c>
      <c r="CX168" s="824"/>
      <c r="CY168" s="824"/>
      <c r="CZ168" s="825"/>
      <c r="DA168" s="823"/>
      <c r="DB168" s="824"/>
      <c r="DC168" s="824"/>
      <c r="DD168" s="824"/>
      <c r="DE168" s="824"/>
      <c r="DF168" s="824"/>
      <c r="DG168" s="824"/>
      <c r="DH168" s="824"/>
      <c r="DI168" s="824"/>
      <c r="DJ168" s="824"/>
      <c r="DK168" s="824"/>
      <c r="DL168" s="824"/>
      <c r="DM168" s="824"/>
      <c r="DN168" s="824"/>
      <c r="DO168" s="824"/>
      <c r="DP168" s="824"/>
      <c r="DQ168" s="824"/>
      <c r="DR168" s="824"/>
      <c r="DS168" s="824"/>
      <c r="DT168" s="824"/>
      <c r="DU168" s="824"/>
      <c r="DV168" s="824"/>
      <c r="DW168" s="824" t="str">
        <f>IFERROR(IF(DZ161&gt;DA161-1,IF(INDEX(Lista_Pedidos,DY161+DA161-1,2)&lt;&gt;"",INDEX(Lista_Pedidos,DY161+DA161-1,2),""),""),"")</f>
        <v/>
      </c>
      <c r="DX168" s="824"/>
      <c r="DY168" s="824"/>
      <c r="DZ168" s="825"/>
      <c r="EA168" s="823"/>
      <c r="EB168" s="824"/>
      <c r="EC168" s="824"/>
      <c r="ED168" s="824"/>
      <c r="EE168" s="824"/>
      <c r="EF168" s="824"/>
      <c r="EG168" s="824"/>
      <c r="EH168" s="824"/>
      <c r="EI168" s="824"/>
      <c r="EJ168" s="824"/>
      <c r="EK168" s="824"/>
      <c r="EL168" s="824"/>
      <c r="EM168" s="824"/>
      <c r="EN168" s="824"/>
      <c r="EO168" s="824"/>
      <c r="EP168" s="824"/>
      <c r="EQ168" s="824"/>
      <c r="ER168" s="824"/>
      <c r="ES168" s="824"/>
      <c r="ET168" s="824"/>
      <c r="EU168" s="824"/>
      <c r="EV168" s="824"/>
      <c r="EW168" s="824" t="str">
        <f>IFERROR(IF(EZ161&gt;EA161-1,IF(INDEX(Lista_Pedidos,EY161+EA161-1,2)&lt;&gt;"",INDEX(Lista_Pedidos,EY161+EA161-1,2),""),""),"")</f>
        <v/>
      </c>
      <c r="EX168" s="824"/>
      <c r="EY168" s="824"/>
      <c r="EZ168" s="825"/>
      <c r="FA168" s="823"/>
      <c r="FB168" s="824"/>
      <c r="FC168" s="824"/>
      <c r="FD168" s="824"/>
      <c r="FE168" s="824"/>
      <c r="FF168" s="824"/>
      <c r="FG168" s="824"/>
      <c r="FH168" s="824"/>
      <c r="FI168" s="824"/>
      <c r="FJ168" s="824"/>
      <c r="FK168" s="824"/>
      <c r="FL168" s="824"/>
      <c r="FM168" s="824"/>
      <c r="FN168" s="824"/>
      <c r="FO168" s="824"/>
      <c r="FP168" s="824"/>
      <c r="FQ168" s="824"/>
      <c r="FR168" s="824"/>
      <c r="FS168" s="824"/>
      <c r="FT168" s="824"/>
      <c r="FU168" s="824"/>
      <c r="FV168" s="824"/>
      <c r="FW168" s="824" t="str">
        <f>IFERROR(IF(FZ161&gt;FA161-1,IF(INDEX(Lista_Pedidos,FY161+FA161-1,2)&lt;&gt;"",INDEX(Lista_Pedidos,FY161+FA161-1,2),""),""),"")</f>
        <v/>
      </c>
      <c r="FX168" s="824"/>
      <c r="FY168" s="824"/>
      <c r="FZ168" s="825"/>
      <c r="GA168" s="823"/>
      <c r="GB168" s="824"/>
      <c r="GC168" s="824"/>
      <c r="GD168" s="824"/>
      <c r="GE168" s="824"/>
      <c r="GF168" s="824"/>
      <c r="GG168" s="824"/>
      <c r="GH168" s="824"/>
      <c r="GI168" s="824"/>
      <c r="GJ168" s="824"/>
      <c r="GK168" s="824"/>
      <c r="GL168" s="824"/>
      <c r="GM168" s="824"/>
      <c r="GN168" s="824"/>
      <c r="GO168" s="824"/>
      <c r="GP168" s="824"/>
      <c r="GQ168" s="824"/>
      <c r="GR168" s="824"/>
      <c r="GS168" s="824"/>
      <c r="GT168" s="824"/>
      <c r="GU168" s="824"/>
      <c r="GV168" s="824"/>
      <c r="GW168" s="824" t="str">
        <f>IFERROR(IF(GZ161&gt;GA161-1,IF(INDEX(Lista_Pedidos,GY161+GA161-1,2)&lt;&gt;"",INDEX(Lista_Pedidos,GY161+GA161-1,2),""),""),"")</f>
        <v/>
      </c>
      <c r="GX168" s="824"/>
      <c r="GY168" s="824"/>
      <c r="GZ168" s="825"/>
      <c r="HA168" s="823"/>
      <c r="HB168" s="824"/>
      <c r="HC168" s="824"/>
      <c r="HD168" s="824"/>
      <c r="HE168" s="824"/>
      <c r="HF168" s="824"/>
      <c r="HG168" s="824"/>
      <c r="HH168" s="824"/>
      <c r="HI168" s="824"/>
      <c r="HJ168" s="824"/>
      <c r="HK168" s="824"/>
      <c r="HL168" s="824"/>
      <c r="HM168" s="824"/>
      <c r="HN168" s="824"/>
      <c r="HO168" s="824"/>
      <c r="HP168" s="824"/>
      <c r="HQ168" s="824"/>
      <c r="HR168" s="824"/>
      <c r="HS168" s="824"/>
      <c r="HT168" s="824"/>
      <c r="HU168" s="824"/>
      <c r="HV168" s="824"/>
      <c r="HW168" s="824" t="str">
        <f>IFERROR(IF(HZ161&gt;HA161-1,IF(INDEX(Lista_Pedidos,HY161+HA161-1,2)&lt;&gt;"",INDEX(Lista_Pedidos,HY161+HA161-1,2),""),""),"")</f>
        <v/>
      </c>
      <c r="HX168" s="824"/>
      <c r="HY168" s="824"/>
      <c r="HZ168" s="825"/>
      <c r="IA168" s="823"/>
      <c r="IB168" s="824"/>
      <c r="IC168" s="824"/>
      <c r="ID168" s="824"/>
      <c r="IE168" s="824"/>
      <c r="IF168" s="824"/>
      <c r="IG168" s="824"/>
      <c r="IH168" s="824"/>
      <c r="II168" s="824"/>
      <c r="IJ168" s="824"/>
      <c r="IK168" s="824"/>
      <c r="IL168" s="824"/>
      <c r="IM168" s="824"/>
      <c r="IN168" s="824"/>
      <c r="IO168" s="824"/>
      <c r="IP168" s="824"/>
      <c r="IQ168" s="824"/>
      <c r="IR168" s="824"/>
      <c r="IS168" s="824"/>
      <c r="IT168" s="824"/>
      <c r="IU168" s="824"/>
      <c r="IV168" s="824"/>
      <c r="IW168" s="824" t="str">
        <f>IFERROR(IF(IZ161&gt;IA161-1,IF(INDEX(Lista_Pedidos,IY161+IA161-1,2)&lt;&gt;"",INDEX(Lista_Pedidos,IY161+IA161-1,2),""),""),"")</f>
        <v/>
      </c>
      <c r="IX168" s="824"/>
      <c r="IY168" s="824"/>
      <c r="IZ168" s="825"/>
    </row>
    <row r="169" spans="1:260" x14ac:dyDescent="0.25">
      <c r="A169" s="800" t="str">
        <f>IFERROR(IF(Z161&gt;A161-1,IF(INDEX(Lista_Pedidos,Y161+A161-1,6)&lt;&gt;"","Nombre de la Tela :     "&amp; INDEX(Lista_Pedidos,Y161+A161-1,6),""),""),"")</f>
        <v/>
      </c>
      <c r="B169" s="801"/>
      <c r="C169" s="801"/>
      <c r="D169" s="801"/>
      <c r="E169" s="801"/>
      <c r="F169" s="801"/>
      <c r="G169" s="801"/>
      <c r="H169" s="801"/>
      <c r="I169" s="801"/>
      <c r="J169" s="801"/>
      <c r="K169" s="801"/>
      <c r="L169" s="801"/>
      <c r="M169" s="801"/>
      <c r="N169" s="801"/>
      <c r="O169" s="801"/>
      <c r="P169" s="801"/>
      <c r="Q169" s="801"/>
      <c r="R169" s="801"/>
      <c r="S169" s="801"/>
      <c r="T169" s="801"/>
      <c r="U169" s="801"/>
      <c r="V169" s="801"/>
      <c r="W169" s="826"/>
      <c r="X169" s="826"/>
      <c r="Y169" s="826"/>
      <c r="Z169" s="827"/>
      <c r="AA169" s="800" t="str">
        <f>IFERROR(IF(AZ161&gt;AA161-1,IF(INDEX(Lista_Pedidos,AY161+AA161-1,6)&lt;&gt;"","Nombre de la Tela :     "&amp; INDEX(Lista_Pedidos,AY161+AA161-1,6),""),""),"")</f>
        <v/>
      </c>
      <c r="AB169" s="801"/>
      <c r="AC169" s="801"/>
      <c r="AD169" s="801"/>
      <c r="AE169" s="801"/>
      <c r="AF169" s="801"/>
      <c r="AG169" s="801"/>
      <c r="AH169" s="801"/>
      <c r="AI169" s="801"/>
      <c r="AJ169" s="801"/>
      <c r="AK169" s="801"/>
      <c r="AL169" s="801"/>
      <c r="AM169" s="801"/>
      <c r="AN169" s="801"/>
      <c r="AO169" s="801"/>
      <c r="AP169" s="801"/>
      <c r="AQ169" s="801"/>
      <c r="AR169" s="801"/>
      <c r="AS169" s="801"/>
      <c r="AT169" s="801"/>
      <c r="AU169" s="801"/>
      <c r="AV169" s="801"/>
      <c r="AW169" s="826"/>
      <c r="AX169" s="826"/>
      <c r="AY169" s="826"/>
      <c r="AZ169" s="827"/>
      <c r="BA169" s="800" t="str">
        <f>IFERROR(IF(BZ161&gt;BA161-1,IF(INDEX(Lista_Pedidos,BY161+BA161-1,6)&lt;&gt;"","Nombre de la Tela :     "&amp; INDEX(Lista_Pedidos,BY161+BA161-1,6),""),""),"")</f>
        <v/>
      </c>
      <c r="BB169" s="801"/>
      <c r="BC169" s="801"/>
      <c r="BD169" s="801"/>
      <c r="BE169" s="801"/>
      <c r="BF169" s="801"/>
      <c r="BG169" s="801"/>
      <c r="BH169" s="801"/>
      <c r="BI169" s="801"/>
      <c r="BJ169" s="801"/>
      <c r="BK169" s="801"/>
      <c r="BL169" s="801"/>
      <c r="BM169" s="801"/>
      <c r="BN169" s="801"/>
      <c r="BO169" s="801"/>
      <c r="BP169" s="801"/>
      <c r="BQ169" s="801"/>
      <c r="BR169" s="801"/>
      <c r="BS169" s="801"/>
      <c r="BT169" s="801"/>
      <c r="BU169" s="801"/>
      <c r="BV169" s="801"/>
      <c r="BW169" s="826"/>
      <c r="BX169" s="826"/>
      <c r="BY169" s="826"/>
      <c r="BZ169" s="827"/>
      <c r="CA169" s="800" t="str">
        <f>IFERROR(IF(CZ161&gt;CA161-1,IF(INDEX(Lista_Pedidos,CY161+CA161-1,6)&lt;&gt;"","Nombre de la Tela :     "&amp; INDEX(Lista_Pedidos,CY161+CA161-1,6),""),""),"")</f>
        <v/>
      </c>
      <c r="CB169" s="801"/>
      <c r="CC169" s="801"/>
      <c r="CD169" s="801"/>
      <c r="CE169" s="801"/>
      <c r="CF169" s="801"/>
      <c r="CG169" s="801"/>
      <c r="CH169" s="801"/>
      <c r="CI169" s="801"/>
      <c r="CJ169" s="801"/>
      <c r="CK169" s="801"/>
      <c r="CL169" s="801"/>
      <c r="CM169" s="801"/>
      <c r="CN169" s="801"/>
      <c r="CO169" s="801"/>
      <c r="CP169" s="801"/>
      <c r="CQ169" s="801"/>
      <c r="CR169" s="801"/>
      <c r="CS169" s="801"/>
      <c r="CT169" s="801"/>
      <c r="CU169" s="801"/>
      <c r="CV169" s="801"/>
      <c r="CW169" s="826"/>
      <c r="CX169" s="826"/>
      <c r="CY169" s="826"/>
      <c r="CZ169" s="827"/>
      <c r="DA169" s="800" t="str">
        <f>IFERROR(IF(DZ161&gt;DA161-1,IF(INDEX(Lista_Pedidos,DY161+DA161-1,6)&lt;&gt;"","Nombre de la Tela :     "&amp; INDEX(Lista_Pedidos,DY161+DA161-1,6),""),""),"")</f>
        <v/>
      </c>
      <c r="DB169" s="801"/>
      <c r="DC169" s="801"/>
      <c r="DD169" s="801"/>
      <c r="DE169" s="801"/>
      <c r="DF169" s="801"/>
      <c r="DG169" s="801"/>
      <c r="DH169" s="801"/>
      <c r="DI169" s="801"/>
      <c r="DJ169" s="801"/>
      <c r="DK169" s="801"/>
      <c r="DL169" s="801"/>
      <c r="DM169" s="801"/>
      <c r="DN169" s="801"/>
      <c r="DO169" s="801"/>
      <c r="DP169" s="801"/>
      <c r="DQ169" s="801"/>
      <c r="DR169" s="801"/>
      <c r="DS169" s="801"/>
      <c r="DT169" s="801"/>
      <c r="DU169" s="801"/>
      <c r="DV169" s="801"/>
      <c r="DW169" s="826"/>
      <c r="DX169" s="826"/>
      <c r="DY169" s="826"/>
      <c r="DZ169" s="827"/>
      <c r="EA169" s="800" t="str">
        <f>IFERROR(IF(EZ161&gt;EA161-1,IF(INDEX(Lista_Pedidos,EY161+EA161-1,6)&lt;&gt;"","Nombre de la Tela :     "&amp; INDEX(Lista_Pedidos,EY161+EA161-1,6),""),""),"")</f>
        <v/>
      </c>
      <c r="EB169" s="801"/>
      <c r="EC169" s="801"/>
      <c r="ED169" s="801"/>
      <c r="EE169" s="801"/>
      <c r="EF169" s="801"/>
      <c r="EG169" s="801"/>
      <c r="EH169" s="801"/>
      <c r="EI169" s="801"/>
      <c r="EJ169" s="801"/>
      <c r="EK169" s="801"/>
      <c r="EL169" s="801"/>
      <c r="EM169" s="801"/>
      <c r="EN169" s="801"/>
      <c r="EO169" s="801"/>
      <c r="EP169" s="801"/>
      <c r="EQ169" s="801"/>
      <c r="ER169" s="801"/>
      <c r="ES169" s="801"/>
      <c r="ET169" s="801"/>
      <c r="EU169" s="801"/>
      <c r="EV169" s="801"/>
      <c r="EW169" s="826"/>
      <c r="EX169" s="826"/>
      <c r="EY169" s="826"/>
      <c r="EZ169" s="827"/>
      <c r="FA169" s="800" t="str">
        <f>IFERROR(IF(FZ161&gt;FA161-1,IF(INDEX(Lista_Pedidos,FY161+FA161-1,6)&lt;&gt;"","Nombre de la Tela :     "&amp; INDEX(Lista_Pedidos,FY161+FA161-1,6),""),""),"")</f>
        <v/>
      </c>
      <c r="FB169" s="801"/>
      <c r="FC169" s="801"/>
      <c r="FD169" s="801"/>
      <c r="FE169" s="801"/>
      <c r="FF169" s="801"/>
      <c r="FG169" s="801"/>
      <c r="FH169" s="801"/>
      <c r="FI169" s="801"/>
      <c r="FJ169" s="801"/>
      <c r="FK169" s="801"/>
      <c r="FL169" s="801"/>
      <c r="FM169" s="801"/>
      <c r="FN169" s="801"/>
      <c r="FO169" s="801"/>
      <c r="FP169" s="801"/>
      <c r="FQ169" s="801"/>
      <c r="FR169" s="801"/>
      <c r="FS169" s="801"/>
      <c r="FT169" s="801"/>
      <c r="FU169" s="801"/>
      <c r="FV169" s="801"/>
      <c r="FW169" s="826"/>
      <c r="FX169" s="826"/>
      <c r="FY169" s="826"/>
      <c r="FZ169" s="827"/>
      <c r="GA169" s="800" t="str">
        <f>IFERROR(IF(GZ161&gt;GA161-1,IF(INDEX(Lista_Pedidos,GY161+GA161-1,6)&lt;&gt;"","Nombre de la Tela :     "&amp; INDEX(Lista_Pedidos,GY161+GA161-1,6),""),""),"")</f>
        <v/>
      </c>
      <c r="GB169" s="801"/>
      <c r="GC169" s="801"/>
      <c r="GD169" s="801"/>
      <c r="GE169" s="801"/>
      <c r="GF169" s="801"/>
      <c r="GG169" s="801"/>
      <c r="GH169" s="801"/>
      <c r="GI169" s="801"/>
      <c r="GJ169" s="801"/>
      <c r="GK169" s="801"/>
      <c r="GL169" s="801"/>
      <c r="GM169" s="801"/>
      <c r="GN169" s="801"/>
      <c r="GO169" s="801"/>
      <c r="GP169" s="801"/>
      <c r="GQ169" s="801"/>
      <c r="GR169" s="801"/>
      <c r="GS169" s="801"/>
      <c r="GT169" s="801"/>
      <c r="GU169" s="801"/>
      <c r="GV169" s="801"/>
      <c r="GW169" s="826"/>
      <c r="GX169" s="826"/>
      <c r="GY169" s="826"/>
      <c r="GZ169" s="827"/>
      <c r="HA169" s="800" t="str">
        <f>IFERROR(IF(HZ161&gt;HA161-1,IF(INDEX(Lista_Pedidos,HY161+HA161-1,6)&lt;&gt;"","Nombre de la Tela :     "&amp; INDEX(Lista_Pedidos,HY161+HA161-1,6),""),""),"")</f>
        <v/>
      </c>
      <c r="HB169" s="801"/>
      <c r="HC169" s="801"/>
      <c r="HD169" s="801"/>
      <c r="HE169" s="801"/>
      <c r="HF169" s="801"/>
      <c r="HG169" s="801"/>
      <c r="HH169" s="801"/>
      <c r="HI169" s="801"/>
      <c r="HJ169" s="801"/>
      <c r="HK169" s="801"/>
      <c r="HL169" s="801"/>
      <c r="HM169" s="801"/>
      <c r="HN169" s="801"/>
      <c r="HO169" s="801"/>
      <c r="HP169" s="801"/>
      <c r="HQ169" s="801"/>
      <c r="HR169" s="801"/>
      <c r="HS169" s="801"/>
      <c r="HT169" s="801"/>
      <c r="HU169" s="801"/>
      <c r="HV169" s="801"/>
      <c r="HW169" s="826"/>
      <c r="HX169" s="826"/>
      <c r="HY169" s="826"/>
      <c r="HZ169" s="827"/>
      <c r="IA169" s="800" t="str">
        <f>IFERROR(IF(IZ161&gt;IA161-1,IF(INDEX(Lista_Pedidos,IY161+IA161-1,6)&lt;&gt;"","Nombre de la Tela :     "&amp; INDEX(Lista_Pedidos,IY161+IA161-1,6),""),""),"")</f>
        <v/>
      </c>
      <c r="IB169" s="801"/>
      <c r="IC169" s="801"/>
      <c r="ID169" s="801"/>
      <c r="IE169" s="801"/>
      <c r="IF169" s="801"/>
      <c r="IG169" s="801"/>
      <c r="IH169" s="801"/>
      <c r="II169" s="801"/>
      <c r="IJ169" s="801"/>
      <c r="IK169" s="801"/>
      <c r="IL169" s="801"/>
      <c r="IM169" s="801"/>
      <c r="IN169" s="801"/>
      <c r="IO169" s="801"/>
      <c r="IP169" s="801"/>
      <c r="IQ169" s="801"/>
      <c r="IR169" s="801"/>
      <c r="IS169" s="801"/>
      <c r="IT169" s="801"/>
      <c r="IU169" s="801"/>
      <c r="IV169" s="801"/>
      <c r="IW169" s="826"/>
      <c r="IX169" s="826"/>
      <c r="IY169" s="826"/>
      <c r="IZ169" s="827"/>
    </row>
    <row r="170" spans="1:260" x14ac:dyDescent="0.25">
      <c r="A170" s="800" t="str">
        <f>IFERROR(IF(Z161&gt;A161-1,IF(INDEX(Lista_Pedidos,Y161+A161-1,7)&lt;&gt;"","Hilo :     "&amp; INDEX(Lista_Pedidos,Y161+A161-1,7),""),""),"")</f>
        <v/>
      </c>
      <c r="B170" s="801"/>
      <c r="C170" s="801"/>
      <c r="D170" s="801"/>
      <c r="E170" s="801"/>
      <c r="F170" s="801"/>
      <c r="G170" s="801"/>
      <c r="H170" s="801"/>
      <c r="I170" s="801"/>
      <c r="J170" s="801"/>
      <c r="K170" s="801"/>
      <c r="L170" s="801"/>
      <c r="M170" s="801"/>
      <c r="N170" s="801"/>
      <c r="O170" s="801"/>
      <c r="P170" s="801"/>
      <c r="Q170" s="801"/>
      <c r="R170" s="801"/>
      <c r="S170" s="801"/>
      <c r="T170" s="801"/>
      <c r="U170" s="801"/>
      <c r="V170" s="801"/>
      <c r="W170" s="801"/>
      <c r="X170" s="801"/>
      <c r="Y170" s="801"/>
      <c r="Z170" s="802"/>
      <c r="AA170" s="800" t="str">
        <f>IFERROR(IF(AZ161&gt;AA161-1,IF(INDEX(Lista_Pedidos,AY161+AA161-1,7)&lt;&gt;"","Hilo :     "&amp; INDEX(Lista_Pedidos,AY161+AA161-1,7),""),""),"")</f>
        <v/>
      </c>
      <c r="AB170" s="801"/>
      <c r="AC170" s="801"/>
      <c r="AD170" s="801"/>
      <c r="AE170" s="801"/>
      <c r="AF170" s="801"/>
      <c r="AG170" s="801"/>
      <c r="AH170" s="801"/>
      <c r="AI170" s="801"/>
      <c r="AJ170" s="801"/>
      <c r="AK170" s="801"/>
      <c r="AL170" s="801"/>
      <c r="AM170" s="801"/>
      <c r="AN170" s="801"/>
      <c r="AO170" s="801"/>
      <c r="AP170" s="801"/>
      <c r="AQ170" s="801"/>
      <c r="AR170" s="801"/>
      <c r="AS170" s="801"/>
      <c r="AT170" s="801"/>
      <c r="AU170" s="801"/>
      <c r="AV170" s="801"/>
      <c r="AW170" s="801"/>
      <c r="AX170" s="801"/>
      <c r="AY170" s="801"/>
      <c r="AZ170" s="802"/>
      <c r="BA170" s="800" t="str">
        <f>IFERROR(IF(BZ161&gt;BA161-1,IF(INDEX(Lista_Pedidos,BY161+BA161-1,7)&lt;&gt;"","Hilo :     "&amp; INDEX(Lista_Pedidos,BY161+BA161-1,7),""),""),"")</f>
        <v/>
      </c>
      <c r="BB170" s="801"/>
      <c r="BC170" s="801"/>
      <c r="BD170" s="801"/>
      <c r="BE170" s="801"/>
      <c r="BF170" s="801"/>
      <c r="BG170" s="801"/>
      <c r="BH170" s="801"/>
      <c r="BI170" s="801"/>
      <c r="BJ170" s="801"/>
      <c r="BK170" s="801"/>
      <c r="BL170" s="801"/>
      <c r="BM170" s="801"/>
      <c r="BN170" s="801"/>
      <c r="BO170" s="801"/>
      <c r="BP170" s="801"/>
      <c r="BQ170" s="801"/>
      <c r="BR170" s="801"/>
      <c r="BS170" s="801"/>
      <c r="BT170" s="801"/>
      <c r="BU170" s="801"/>
      <c r="BV170" s="801"/>
      <c r="BW170" s="801"/>
      <c r="BX170" s="801"/>
      <c r="BY170" s="801"/>
      <c r="BZ170" s="802"/>
      <c r="CA170" s="800" t="str">
        <f>IFERROR(IF(CZ161&gt;CA161-1,IF(INDEX(Lista_Pedidos,CY161+CA161-1,7)&lt;&gt;"","Hilo :     "&amp; INDEX(Lista_Pedidos,CY161+CA161-1,7),""),""),"")</f>
        <v/>
      </c>
      <c r="CB170" s="801"/>
      <c r="CC170" s="801"/>
      <c r="CD170" s="801"/>
      <c r="CE170" s="801"/>
      <c r="CF170" s="801"/>
      <c r="CG170" s="801"/>
      <c r="CH170" s="801"/>
      <c r="CI170" s="801"/>
      <c r="CJ170" s="801"/>
      <c r="CK170" s="801"/>
      <c r="CL170" s="801"/>
      <c r="CM170" s="801"/>
      <c r="CN170" s="801"/>
      <c r="CO170" s="801"/>
      <c r="CP170" s="801"/>
      <c r="CQ170" s="801"/>
      <c r="CR170" s="801"/>
      <c r="CS170" s="801"/>
      <c r="CT170" s="801"/>
      <c r="CU170" s="801"/>
      <c r="CV170" s="801"/>
      <c r="CW170" s="801"/>
      <c r="CX170" s="801"/>
      <c r="CY170" s="801"/>
      <c r="CZ170" s="802"/>
      <c r="DA170" s="800" t="str">
        <f>IFERROR(IF(DZ161&gt;DA161-1,IF(INDEX(Lista_Pedidos,DY161+DA161-1,7)&lt;&gt;"","Hilo :     "&amp; INDEX(Lista_Pedidos,DY161+DA161-1,7),""),""),"")</f>
        <v/>
      </c>
      <c r="DB170" s="801"/>
      <c r="DC170" s="801"/>
      <c r="DD170" s="801"/>
      <c r="DE170" s="801"/>
      <c r="DF170" s="801"/>
      <c r="DG170" s="801"/>
      <c r="DH170" s="801"/>
      <c r="DI170" s="801"/>
      <c r="DJ170" s="801"/>
      <c r="DK170" s="801"/>
      <c r="DL170" s="801"/>
      <c r="DM170" s="801"/>
      <c r="DN170" s="801"/>
      <c r="DO170" s="801"/>
      <c r="DP170" s="801"/>
      <c r="DQ170" s="801"/>
      <c r="DR170" s="801"/>
      <c r="DS170" s="801"/>
      <c r="DT170" s="801"/>
      <c r="DU170" s="801"/>
      <c r="DV170" s="801"/>
      <c r="DW170" s="801"/>
      <c r="DX170" s="801"/>
      <c r="DY170" s="801"/>
      <c r="DZ170" s="802"/>
      <c r="EA170" s="800" t="str">
        <f>IFERROR(IF(EZ161&gt;EA161-1,IF(INDEX(Lista_Pedidos,EY161+EA161-1,7)&lt;&gt;"","Hilo :     "&amp; INDEX(Lista_Pedidos,EY161+EA161-1,7),""),""),"")</f>
        <v/>
      </c>
      <c r="EB170" s="801"/>
      <c r="EC170" s="801"/>
      <c r="ED170" s="801"/>
      <c r="EE170" s="801"/>
      <c r="EF170" s="801"/>
      <c r="EG170" s="801"/>
      <c r="EH170" s="801"/>
      <c r="EI170" s="801"/>
      <c r="EJ170" s="801"/>
      <c r="EK170" s="801"/>
      <c r="EL170" s="801"/>
      <c r="EM170" s="801"/>
      <c r="EN170" s="801"/>
      <c r="EO170" s="801"/>
      <c r="EP170" s="801"/>
      <c r="EQ170" s="801"/>
      <c r="ER170" s="801"/>
      <c r="ES170" s="801"/>
      <c r="ET170" s="801"/>
      <c r="EU170" s="801"/>
      <c r="EV170" s="801"/>
      <c r="EW170" s="801"/>
      <c r="EX170" s="801"/>
      <c r="EY170" s="801"/>
      <c r="EZ170" s="802"/>
      <c r="FA170" s="800" t="str">
        <f>IFERROR(IF(FZ161&gt;FA161-1,IF(INDEX(Lista_Pedidos,FY161+FA161-1,7)&lt;&gt;"","Hilo :     "&amp; INDEX(Lista_Pedidos,FY161+FA161-1,7),""),""),"")</f>
        <v/>
      </c>
      <c r="FB170" s="801"/>
      <c r="FC170" s="801"/>
      <c r="FD170" s="801"/>
      <c r="FE170" s="801"/>
      <c r="FF170" s="801"/>
      <c r="FG170" s="801"/>
      <c r="FH170" s="801"/>
      <c r="FI170" s="801"/>
      <c r="FJ170" s="801"/>
      <c r="FK170" s="801"/>
      <c r="FL170" s="801"/>
      <c r="FM170" s="801"/>
      <c r="FN170" s="801"/>
      <c r="FO170" s="801"/>
      <c r="FP170" s="801"/>
      <c r="FQ170" s="801"/>
      <c r="FR170" s="801"/>
      <c r="FS170" s="801"/>
      <c r="FT170" s="801"/>
      <c r="FU170" s="801"/>
      <c r="FV170" s="801"/>
      <c r="FW170" s="801"/>
      <c r="FX170" s="801"/>
      <c r="FY170" s="801"/>
      <c r="FZ170" s="802"/>
      <c r="GA170" s="800" t="str">
        <f>IFERROR(IF(GZ161&gt;GA161-1,IF(INDEX(Lista_Pedidos,GY161+GA161-1,7)&lt;&gt;"","Hilo :     "&amp; INDEX(Lista_Pedidos,GY161+GA161-1,7),""),""),"")</f>
        <v/>
      </c>
      <c r="GB170" s="801"/>
      <c r="GC170" s="801"/>
      <c r="GD170" s="801"/>
      <c r="GE170" s="801"/>
      <c r="GF170" s="801"/>
      <c r="GG170" s="801"/>
      <c r="GH170" s="801"/>
      <c r="GI170" s="801"/>
      <c r="GJ170" s="801"/>
      <c r="GK170" s="801"/>
      <c r="GL170" s="801"/>
      <c r="GM170" s="801"/>
      <c r="GN170" s="801"/>
      <c r="GO170" s="801"/>
      <c r="GP170" s="801"/>
      <c r="GQ170" s="801"/>
      <c r="GR170" s="801"/>
      <c r="GS170" s="801"/>
      <c r="GT170" s="801"/>
      <c r="GU170" s="801"/>
      <c r="GV170" s="801"/>
      <c r="GW170" s="801"/>
      <c r="GX170" s="801"/>
      <c r="GY170" s="801"/>
      <c r="GZ170" s="802"/>
      <c r="HA170" s="800" t="str">
        <f>IFERROR(IF(HZ161&gt;HA161-1,IF(INDEX(Lista_Pedidos,HY161+HA161-1,7)&lt;&gt;"","Hilo :     "&amp; INDEX(Lista_Pedidos,HY161+HA161-1,7),""),""),"")</f>
        <v/>
      </c>
      <c r="HB170" s="801"/>
      <c r="HC170" s="801"/>
      <c r="HD170" s="801"/>
      <c r="HE170" s="801"/>
      <c r="HF170" s="801"/>
      <c r="HG170" s="801"/>
      <c r="HH170" s="801"/>
      <c r="HI170" s="801"/>
      <c r="HJ170" s="801"/>
      <c r="HK170" s="801"/>
      <c r="HL170" s="801"/>
      <c r="HM170" s="801"/>
      <c r="HN170" s="801"/>
      <c r="HO170" s="801"/>
      <c r="HP170" s="801"/>
      <c r="HQ170" s="801"/>
      <c r="HR170" s="801"/>
      <c r="HS170" s="801"/>
      <c r="HT170" s="801"/>
      <c r="HU170" s="801"/>
      <c r="HV170" s="801"/>
      <c r="HW170" s="801"/>
      <c r="HX170" s="801"/>
      <c r="HY170" s="801"/>
      <c r="HZ170" s="802"/>
      <c r="IA170" s="800" t="str">
        <f>IFERROR(IF(IZ161&gt;IA161-1,IF(INDEX(Lista_Pedidos,IY161+IA161-1,7)&lt;&gt;"","Hilo :     "&amp; INDEX(Lista_Pedidos,IY161+IA161-1,7),""),""),"")</f>
        <v/>
      </c>
      <c r="IB170" s="801"/>
      <c r="IC170" s="801"/>
      <c r="ID170" s="801"/>
      <c r="IE170" s="801"/>
      <c r="IF170" s="801"/>
      <c r="IG170" s="801"/>
      <c r="IH170" s="801"/>
      <c r="II170" s="801"/>
      <c r="IJ170" s="801"/>
      <c r="IK170" s="801"/>
      <c r="IL170" s="801"/>
      <c r="IM170" s="801"/>
      <c r="IN170" s="801"/>
      <c r="IO170" s="801"/>
      <c r="IP170" s="801"/>
      <c r="IQ170" s="801"/>
      <c r="IR170" s="801"/>
      <c r="IS170" s="801"/>
      <c r="IT170" s="801"/>
      <c r="IU170" s="801"/>
      <c r="IV170" s="801"/>
      <c r="IW170" s="801"/>
      <c r="IX170" s="801"/>
      <c r="IY170" s="801"/>
      <c r="IZ170" s="802"/>
    </row>
    <row r="171" spans="1:260" x14ac:dyDescent="0.25">
      <c r="A171" s="800" t="str">
        <f>IFERROR(IF(Z161&gt;A161-1,IF(INDEX(Lista_Pedidos,Y161+A161-1,8)&lt;&gt;"","Forro :     "&amp; INDEX(Lista_Pedidos,Y161+A161-1,8),""),""),"")</f>
        <v/>
      </c>
      <c r="B171" s="801"/>
      <c r="C171" s="801"/>
      <c r="D171" s="801"/>
      <c r="E171" s="801"/>
      <c r="F171" s="801"/>
      <c r="G171" s="801"/>
      <c r="H171" s="801"/>
      <c r="I171" s="801"/>
      <c r="J171" s="801"/>
      <c r="K171" s="801"/>
      <c r="L171" s="801"/>
      <c r="M171" s="801"/>
      <c r="N171" s="801"/>
      <c r="O171" s="801"/>
      <c r="P171" s="801"/>
      <c r="Q171" s="801"/>
      <c r="R171" s="801"/>
      <c r="S171" s="801"/>
      <c r="T171" s="801"/>
      <c r="U171" s="801"/>
      <c r="V171" s="801"/>
      <c r="W171" s="801"/>
      <c r="X171" s="801"/>
      <c r="Y171" s="801"/>
      <c r="Z171" s="802"/>
      <c r="AA171" s="800" t="str">
        <f>IFERROR(IF(AZ161&gt;AA161-1,IF(INDEX(Lista_Pedidos,AY161+AA161-1,8)&lt;&gt;"","Forro :     "&amp; INDEX(Lista_Pedidos,AY161+AA161-1,8),""),""),"")</f>
        <v/>
      </c>
      <c r="AB171" s="801"/>
      <c r="AC171" s="801"/>
      <c r="AD171" s="801"/>
      <c r="AE171" s="801"/>
      <c r="AF171" s="801"/>
      <c r="AG171" s="801"/>
      <c r="AH171" s="801"/>
      <c r="AI171" s="801"/>
      <c r="AJ171" s="801"/>
      <c r="AK171" s="801"/>
      <c r="AL171" s="801"/>
      <c r="AM171" s="801"/>
      <c r="AN171" s="801"/>
      <c r="AO171" s="801"/>
      <c r="AP171" s="801"/>
      <c r="AQ171" s="801"/>
      <c r="AR171" s="801"/>
      <c r="AS171" s="801"/>
      <c r="AT171" s="801"/>
      <c r="AU171" s="801"/>
      <c r="AV171" s="801"/>
      <c r="AW171" s="801"/>
      <c r="AX171" s="801"/>
      <c r="AY171" s="801"/>
      <c r="AZ171" s="802"/>
      <c r="BA171" s="800" t="str">
        <f>IFERROR(IF(BZ161&gt;BA161-1,IF(INDEX(Lista_Pedidos,BY161+BA161-1,8)&lt;&gt;"","Forro :     "&amp; INDEX(Lista_Pedidos,BY161+BA161-1,8),""),""),"")</f>
        <v/>
      </c>
      <c r="BB171" s="801"/>
      <c r="BC171" s="801"/>
      <c r="BD171" s="801"/>
      <c r="BE171" s="801"/>
      <c r="BF171" s="801"/>
      <c r="BG171" s="801"/>
      <c r="BH171" s="801"/>
      <c r="BI171" s="801"/>
      <c r="BJ171" s="801"/>
      <c r="BK171" s="801"/>
      <c r="BL171" s="801"/>
      <c r="BM171" s="801"/>
      <c r="BN171" s="801"/>
      <c r="BO171" s="801"/>
      <c r="BP171" s="801"/>
      <c r="BQ171" s="801"/>
      <c r="BR171" s="801"/>
      <c r="BS171" s="801"/>
      <c r="BT171" s="801"/>
      <c r="BU171" s="801"/>
      <c r="BV171" s="801"/>
      <c r="BW171" s="801"/>
      <c r="BX171" s="801"/>
      <c r="BY171" s="801"/>
      <c r="BZ171" s="802"/>
      <c r="CA171" s="800" t="str">
        <f>IFERROR(IF(CZ161&gt;CA161-1,IF(INDEX(Lista_Pedidos,CY161+CA161-1,8)&lt;&gt;"","Forro :     "&amp; INDEX(Lista_Pedidos,CY161+CA161-1,8),""),""),"")</f>
        <v/>
      </c>
      <c r="CB171" s="801"/>
      <c r="CC171" s="801"/>
      <c r="CD171" s="801"/>
      <c r="CE171" s="801"/>
      <c r="CF171" s="801"/>
      <c r="CG171" s="801"/>
      <c r="CH171" s="801"/>
      <c r="CI171" s="801"/>
      <c r="CJ171" s="801"/>
      <c r="CK171" s="801"/>
      <c r="CL171" s="801"/>
      <c r="CM171" s="801"/>
      <c r="CN171" s="801"/>
      <c r="CO171" s="801"/>
      <c r="CP171" s="801"/>
      <c r="CQ171" s="801"/>
      <c r="CR171" s="801"/>
      <c r="CS171" s="801"/>
      <c r="CT171" s="801"/>
      <c r="CU171" s="801"/>
      <c r="CV171" s="801"/>
      <c r="CW171" s="801"/>
      <c r="CX171" s="801"/>
      <c r="CY171" s="801"/>
      <c r="CZ171" s="802"/>
      <c r="DA171" s="800" t="str">
        <f>IFERROR(IF(DZ161&gt;DA161-1,IF(INDEX(Lista_Pedidos,DY161+DA161-1,8)&lt;&gt;"","Forro :     "&amp; INDEX(Lista_Pedidos,DY161+DA161-1,8),""),""),"")</f>
        <v/>
      </c>
      <c r="DB171" s="801"/>
      <c r="DC171" s="801"/>
      <c r="DD171" s="801"/>
      <c r="DE171" s="801"/>
      <c r="DF171" s="801"/>
      <c r="DG171" s="801"/>
      <c r="DH171" s="801"/>
      <c r="DI171" s="801"/>
      <c r="DJ171" s="801"/>
      <c r="DK171" s="801"/>
      <c r="DL171" s="801"/>
      <c r="DM171" s="801"/>
      <c r="DN171" s="801"/>
      <c r="DO171" s="801"/>
      <c r="DP171" s="801"/>
      <c r="DQ171" s="801"/>
      <c r="DR171" s="801"/>
      <c r="DS171" s="801"/>
      <c r="DT171" s="801"/>
      <c r="DU171" s="801"/>
      <c r="DV171" s="801"/>
      <c r="DW171" s="801"/>
      <c r="DX171" s="801"/>
      <c r="DY171" s="801"/>
      <c r="DZ171" s="802"/>
      <c r="EA171" s="800" t="str">
        <f>IFERROR(IF(EZ161&gt;EA161-1,IF(INDEX(Lista_Pedidos,EY161+EA161-1,8)&lt;&gt;"","Forro :     "&amp; INDEX(Lista_Pedidos,EY161+EA161-1,8),""),""),"")</f>
        <v/>
      </c>
      <c r="EB171" s="801"/>
      <c r="EC171" s="801"/>
      <c r="ED171" s="801"/>
      <c r="EE171" s="801"/>
      <c r="EF171" s="801"/>
      <c r="EG171" s="801"/>
      <c r="EH171" s="801"/>
      <c r="EI171" s="801"/>
      <c r="EJ171" s="801"/>
      <c r="EK171" s="801"/>
      <c r="EL171" s="801"/>
      <c r="EM171" s="801"/>
      <c r="EN171" s="801"/>
      <c r="EO171" s="801"/>
      <c r="EP171" s="801"/>
      <c r="EQ171" s="801"/>
      <c r="ER171" s="801"/>
      <c r="ES171" s="801"/>
      <c r="ET171" s="801"/>
      <c r="EU171" s="801"/>
      <c r="EV171" s="801"/>
      <c r="EW171" s="801"/>
      <c r="EX171" s="801"/>
      <c r="EY171" s="801"/>
      <c r="EZ171" s="802"/>
      <c r="FA171" s="800" t="str">
        <f>IFERROR(IF(FZ161&gt;FA161-1,IF(INDEX(Lista_Pedidos,FY161+FA161-1,8)&lt;&gt;"","Forro :     "&amp; INDEX(Lista_Pedidos,FY161+FA161-1,8),""),""),"")</f>
        <v/>
      </c>
      <c r="FB171" s="801"/>
      <c r="FC171" s="801"/>
      <c r="FD171" s="801"/>
      <c r="FE171" s="801"/>
      <c r="FF171" s="801"/>
      <c r="FG171" s="801"/>
      <c r="FH171" s="801"/>
      <c r="FI171" s="801"/>
      <c r="FJ171" s="801"/>
      <c r="FK171" s="801"/>
      <c r="FL171" s="801"/>
      <c r="FM171" s="801"/>
      <c r="FN171" s="801"/>
      <c r="FO171" s="801"/>
      <c r="FP171" s="801"/>
      <c r="FQ171" s="801"/>
      <c r="FR171" s="801"/>
      <c r="FS171" s="801"/>
      <c r="FT171" s="801"/>
      <c r="FU171" s="801"/>
      <c r="FV171" s="801"/>
      <c r="FW171" s="801"/>
      <c r="FX171" s="801"/>
      <c r="FY171" s="801"/>
      <c r="FZ171" s="802"/>
      <c r="GA171" s="800" t="str">
        <f>IFERROR(IF(GZ161&gt;GA161-1,IF(INDEX(Lista_Pedidos,GY161+GA161-1,8)&lt;&gt;"","Forro :     "&amp; INDEX(Lista_Pedidos,GY161+GA161-1,8),""),""),"")</f>
        <v/>
      </c>
      <c r="GB171" s="801"/>
      <c r="GC171" s="801"/>
      <c r="GD171" s="801"/>
      <c r="GE171" s="801"/>
      <c r="GF171" s="801"/>
      <c r="GG171" s="801"/>
      <c r="GH171" s="801"/>
      <c r="GI171" s="801"/>
      <c r="GJ171" s="801"/>
      <c r="GK171" s="801"/>
      <c r="GL171" s="801"/>
      <c r="GM171" s="801"/>
      <c r="GN171" s="801"/>
      <c r="GO171" s="801"/>
      <c r="GP171" s="801"/>
      <c r="GQ171" s="801"/>
      <c r="GR171" s="801"/>
      <c r="GS171" s="801"/>
      <c r="GT171" s="801"/>
      <c r="GU171" s="801"/>
      <c r="GV171" s="801"/>
      <c r="GW171" s="801"/>
      <c r="GX171" s="801"/>
      <c r="GY171" s="801"/>
      <c r="GZ171" s="802"/>
      <c r="HA171" s="800" t="str">
        <f>IFERROR(IF(HZ161&gt;HA161-1,IF(INDEX(Lista_Pedidos,HY161+HA161-1,8)&lt;&gt;"","Forro :     "&amp; INDEX(Lista_Pedidos,HY161+HA161-1,8),""),""),"")</f>
        <v/>
      </c>
      <c r="HB171" s="801"/>
      <c r="HC171" s="801"/>
      <c r="HD171" s="801"/>
      <c r="HE171" s="801"/>
      <c r="HF171" s="801"/>
      <c r="HG171" s="801"/>
      <c r="HH171" s="801"/>
      <c r="HI171" s="801"/>
      <c r="HJ171" s="801"/>
      <c r="HK171" s="801"/>
      <c r="HL171" s="801"/>
      <c r="HM171" s="801"/>
      <c r="HN171" s="801"/>
      <c r="HO171" s="801"/>
      <c r="HP171" s="801"/>
      <c r="HQ171" s="801"/>
      <c r="HR171" s="801"/>
      <c r="HS171" s="801"/>
      <c r="HT171" s="801"/>
      <c r="HU171" s="801"/>
      <c r="HV171" s="801"/>
      <c r="HW171" s="801"/>
      <c r="HX171" s="801"/>
      <c r="HY171" s="801"/>
      <c r="HZ171" s="802"/>
      <c r="IA171" s="800" t="str">
        <f>IFERROR(IF(IZ161&gt;IA161-1,IF(INDEX(Lista_Pedidos,IY161+IA161-1,8)&lt;&gt;"","Forro :     "&amp; INDEX(Lista_Pedidos,IY161+IA161-1,8),""),""),"")</f>
        <v/>
      </c>
      <c r="IB171" s="801"/>
      <c r="IC171" s="801"/>
      <c r="ID171" s="801"/>
      <c r="IE171" s="801"/>
      <c r="IF171" s="801"/>
      <c r="IG171" s="801"/>
      <c r="IH171" s="801"/>
      <c r="II171" s="801"/>
      <c r="IJ171" s="801"/>
      <c r="IK171" s="801"/>
      <c r="IL171" s="801"/>
      <c r="IM171" s="801"/>
      <c r="IN171" s="801"/>
      <c r="IO171" s="801"/>
      <c r="IP171" s="801"/>
      <c r="IQ171" s="801"/>
      <c r="IR171" s="801"/>
      <c r="IS171" s="801"/>
      <c r="IT171" s="801"/>
      <c r="IU171" s="801"/>
      <c r="IV171" s="801"/>
      <c r="IW171" s="801"/>
      <c r="IX171" s="801"/>
      <c r="IY171" s="801"/>
      <c r="IZ171" s="802"/>
    </row>
    <row r="172" spans="1:260" x14ac:dyDescent="0.25">
      <c r="A172" s="800" t="str">
        <f>IF(A$5="Cliente Especial : NEON",IF(Z161&gt;A161-1,"Neon :      Si",""),"")</f>
        <v/>
      </c>
      <c r="B172" s="801"/>
      <c r="C172" s="801"/>
      <c r="D172" s="801"/>
      <c r="E172" s="801"/>
      <c r="F172" s="801"/>
      <c r="G172" s="801"/>
      <c r="H172" s="801"/>
      <c r="I172" s="801"/>
      <c r="J172" s="801"/>
      <c r="K172" s="801"/>
      <c r="L172" s="801"/>
      <c r="M172" s="801"/>
      <c r="N172" s="801"/>
      <c r="O172" s="801"/>
      <c r="P172" s="801"/>
      <c r="Q172" s="801"/>
      <c r="R172" s="801"/>
      <c r="S172" s="801"/>
      <c r="T172" s="801"/>
      <c r="U172" s="801"/>
      <c r="V172" s="801"/>
      <c r="W172" s="801"/>
      <c r="X172" s="801"/>
      <c r="Y172" s="801"/>
      <c r="Z172" s="802"/>
      <c r="AA172" s="800" t="str">
        <f>IF(AA$5="Cliente Especial : NEON",IF(AZ161&gt;AA161-1,"Neon :      Si",""),"")</f>
        <v/>
      </c>
      <c r="AB172" s="801"/>
      <c r="AC172" s="801"/>
      <c r="AD172" s="801"/>
      <c r="AE172" s="801"/>
      <c r="AF172" s="801"/>
      <c r="AG172" s="801"/>
      <c r="AH172" s="801"/>
      <c r="AI172" s="801"/>
      <c r="AJ172" s="801"/>
      <c r="AK172" s="801"/>
      <c r="AL172" s="801"/>
      <c r="AM172" s="801"/>
      <c r="AN172" s="801"/>
      <c r="AO172" s="801"/>
      <c r="AP172" s="801"/>
      <c r="AQ172" s="801"/>
      <c r="AR172" s="801"/>
      <c r="AS172" s="801"/>
      <c r="AT172" s="801"/>
      <c r="AU172" s="801"/>
      <c r="AV172" s="801"/>
      <c r="AW172" s="801"/>
      <c r="AX172" s="801"/>
      <c r="AY172" s="801"/>
      <c r="AZ172" s="802"/>
      <c r="BA172" s="800" t="str">
        <f>IF(BA$5="Cliente Especial : NEON",IF(BZ161&gt;BA161-1,"Neon :      Si",""),"")</f>
        <v/>
      </c>
      <c r="BB172" s="801"/>
      <c r="BC172" s="801"/>
      <c r="BD172" s="801"/>
      <c r="BE172" s="801"/>
      <c r="BF172" s="801"/>
      <c r="BG172" s="801"/>
      <c r="BH172" s="801"/>
      <c r="BI172" s="801"/>
      <c r="BJ172" s="801"/>
      <c r="BK172" s="801"/>
      <c r="BL172" s="801"/>
      <c r="BM172" s="801"/>
      <c r="BN172" s="801"/>
      <c r="BO172" s="801"/>
      <c r="BP172" s="801"/>
      <c r="BQ172" s="801"/>
      <c r="BR172" s="801"/>
      <c r="BS172" s="801"/>
      <c r="BT172" s="801"/>
      <c r="BU172" s="801"/>
      <c r="BV172" s="801"/>
      <c r="BW172" s="801"/>
      <c r="BX172" s="801"/>
      <c r="BY172" s="801"/>
      <c r="BZ172" s="802"/>
      <c r="CA172" s="800" t="str">
        <f>IF(CA$5="Cliente Especial : NEON",IF(CZ161&gt;CA161-1,"Neon :      Si",""),"")</f>
        <v/>
      </c>
      <c r="CB172" s="801"/>
      <c r="CC172" s="801"/>
      <c r="CD172" s="801"/>
      <c r="CE172" s="801"/>
      <c r="CF172" s="801"/>
      <c r="CG172" s="801"/>
      <c r="CH172" s="801"/>
      <c r="CI172" s="801"/>
      <c r="CJ172" s="801"/>
      <c r="CK172" s="801"/>
      <c r="CL172" s="801"/>
      <c r="CM172" s="801"/>
      <c r="CN172" s="801"/>
      <c r="CO172" s="801"/>
      <c r="CP172" s="801"/>
      <c r="CQ172" s="801"/>
      <c r="CR172" s="801"/>
      <c r="CS172" s="801"/>
      <c r="CT172" s="801"/>
      <c r="CU172" s="801"/>
      <c r="CV172" s="801"/>
      <c r="CW172" s="801"/>
      <c r="CX172" s="801"/>
      <c r="CY172" s="801"/>
      <c r="CZ172" s="802"/>
      <c r="DA172" s="800" t="str">
        <f>IF(DA$5="Cliente Especial : NEON",IF(DZ161&gt;DA161-1,"Neon :      Si",""),"")</f>
        <v/>
      </c>
      <c r="DB172" s="801"/>
      <c r="DC172" s="801"/>
      <c r="DD172" s="801"/>
      <c r="DE172" s="801"/>
      <c r="DF172" s="801"/>
      <c r="DG172" s="801"/>
      <c r="DH172" s="801"/>
      <c r="DI172" s="801"/>
      <c r="DJ172" s="801"/>
      <c r="DK172" s="801"/>
      <c r="DL172" s="801"/>
      <c r="DM172" s="801"/>
      <c r="DN172" s="801"/>
      <c r="DO172" s="801"/>
      <c r="DP172" s="801"/>
      <c r="DQ172" s="801"/>
      <c r="DR172" s="801"/>
      <c r="DS172" s="801"/>
      <c r="DT172" s="801"/>
      <c r="DU172" s="801"/>
      <c r="DV172" s="801"/>
      <c r="DW172" s="801"/>
      <c r="DX172" s="801"/>
      <c r="DY172" s="801"/>
      <c r="DZ172" s="802"/>
      <c r="EA172" s="800" t="str">
        <f>IF(EA$5="Cliente Especial : NEON",IF(EZ161&gt;EA161-1,"Neon :      Si",""),"")</f>
        <v/>
      </c>
      <c r="EB172" s="801"/>
      <c r="EC172" s="801"/>
      <c r="ED172" s="801"/>
      <c r="EE172" s="801"/>
      <c r="EF172" s="801"/>
      <c r="EG172" s="801"/>
      <c r="EH172" s="801"/>
      <c r="EI172" s="801"/>
      <c r="EJ172" s="801"/>
      <c r="EK172" s="801"/>
      <c r="EL172" s="801"/>
      <c r="EM172" s="801"/>
      <c r="EN172" s="801"/>
      <c r="EO172" s="801"/>
      <c r="EP172" s="801"/>
      <c r="EQ172" s="801"/>
      <c r="ER172" s="801"/>
      <c r="ES172" s="801"/>
      <c r="ET172" s="801"/>
      <c r="EU172" s="801"/>
      <c r="EV172" s="801"/>
      <c r="EW172" s="801"/>
      <c r="EX172" s="801"/>
      <c r="EY172" s="801"/>
      <c r="EZ172" s="802"/>
      <c r="FA172" s="800" t="str">
        <f>IF(FA$5="Cliente Especial : NEON",IF(FZ161&gt;FA161-1,"Neon :      Si",""),"")</f>
        <v/>
      </c>
      <c r="FB172" s="801"/>
      <c r="FC172" s="801"/>
      <c r="FD172" s="801"/>
      <c r="FE172" s="801"/>
      <c r="FF172" s="801"/>
      <c r="FG172" s="801"/>
      <c r="FH172" s="801"/>
      <c r="FI172" s="801"/>
      <c r="FJ172" s="801"/>
      <c r="FK172" s="801"/>
      <c r="FL172" s="801"/>
      <c r="FM172" s="801"/>
      <c r="FN172" s="801"/>
      <c r="FO172" s="801"/>
      <c r="FP172" s="801"/>
      <c r="FQ172" s="801"/>
      <c r="FR172" s="801"/>
      <c r="FS172" s="801"/>
      <c r="FT172" s="801"/>
      <c r="FU172" s="801"/>
      <c r="FV172" s="801"/>
      <c r="FW172" s="801"/>
      <c r="FX172" s="801"/>
      <c r="FY172" s="801"/>
      <c r="FZ172" s="802"/>
      <c r="GA172" s="800" t="str">
        <f>IF(GA$5="Cliente Especial : NEON",IF(GZ161&gt;GA161-1,"Neon :      Si",""),"")</f>
        <v/>
      </c>
      <c r="GB172" s="801"/>
      <c r="GC172" s="801"/>
      <c r="GD172" s="801"/>
      <c r="GE172" s="801"/>
      <c r="GF172" s="801"/>
      <c r="GG172" s="801"/>
      <c r="GH172" s="801"/>
      <c r="GI172" s="801"/>
      <c r="GJ172" s="801"/>
      <c r="GK172" s="801"/>
      <c r="GL172" s="801"/>
      <c r="GM172" s="801"/>
      <c r="GN172" s="801"/>
      <c r="GO172" s="801"/>
      <c r="GP172" s="801"/>
      <c r="GQ172" s="801"/>
      <c r="GR172" s="801"/>
      <c r="GS172" s="801"/>
      <c r="GT172" s="801"/>
      <c r="GU172" s="801"/>
      <c r="GV172" s="801"/>
      <c r="GW172" s="801"/>
      <c r="GX172" s="801"/>
      <c r="GY172" s="801"/>
      <c r="GZ172" s="802"/>
      <c r="HA172" s="800" t="str">
        <f>IF(HA$5="Cliente Especial : NEON",IF(HZ161&gt;HA161-1,"Neon :      Si",""),"")</f>
        <v/>
      </c>
      <c r="HB172" s="801"/>
      <c r="HC172" s="801"/>
      <c r="HD172" s="801"/>
      <c r="HE172" s="801"/>
      <c r="HF172" s="801"/>
      <c r="HG172" s="801"/>
      <c r="HH172" s="801"/>
      <c r="HI172" s="801"/>
      <c r="HJ172" s="801"/>
      <c r="HK172" s="801"/>
      <c r="HL172" s="801"/>
      <c r="HM172" s="801"/>
      <c r="HN172" s="801"/>
      <c r="HO172" s="801"/>
      <c r="HP172" s="801"/>
      <c r="HQ172" s="801"/>
      <c r="HR172" s="801"/>
      <c r="HS172" s="801"/>
      <c r="HT172" s="801"/>
      <c r="HU172" s="801"/>
      <c r="HV172" s="801"/>
      <c r="HW172" s="801"/>
      <c r="HX172" s="801"/>
      <c r="HY172" s="801"/>
      <c r="HZ172" s="802"/>
      <c r="IA172" s="800" t="str">
        <f>IF(IA$5="Cliente Especial : NEON",IF(IZ161&gt;IA161-1,"Neon :      Si",""),"")</f>
        <v/>
      </c>
      <c r="IB172" s="801"/>
      <c r="IC172" s="801"/>
      <c r="ID172" s="801"/>
      <c r="IE172" s="801"/>
      <c r="IF172" s="801"/>
      <c r="IG172" s="801"/>
      <c r="IH172" s="801"/>
      <c r="II172" s="801"/>
      <c r="IJ172" s="801"/>
      <c r="IK172" s="801"/>
      <c r="IL172" s="801"/>
      <c r="IM172" s="801"/>
      <c r="IN172" s="801"/>
      <c r="IO172" s="801"/>
      <c r="IP172" s="801"/>
      <c r="IQ172" s="801"/>
      <c r="IR172" s="801"/>
      <c r="IS172" s="801"/>
      <c r="IT172" s="801"/>
      <c r="IU172" s="801"/>
      <c r="IV172" s="801"/>
      <c r="IW172" s="801"/>
      <c r="IX172" s="801"/>
      <c r="IY172" s="801"/>
      <c r="IZ172" s="802"/>
    </row>
    <row r="173" spans="1:260" x14ac:dyDescent="0.25">
      <c r="A173" s="800" t="str">
        <f>IFERROR(IF(Z161&gt;A161-1,IF(INDEX(Pedidos!J:AZ,Y161+A161-1,9)&lt;&gt;"","Cierre :     "&amp; INDEX(Pedidos!J:AZ,Y161+A161-1,9),""),""),"")</f>
        <v/>
      </c>
      <c r="B173" s="801"/>
      <c r="C173" s="801"/>
      <c r="D173" s="801"/>
      <c r="E173" s="801"/>
      <c r="F173" s="801"/>
      <c r="G173" s="801"/>
      <c r="H173" s="801"/>
      <c r="I173" s="801"/>
      <c r="J173" s="801"/>
      <c r="K173" s="801"/>
      <c r="L173" s="801"/>
      <c r="M173" s="801"/>
      <c r="N173" s="801"/>
      <c r="O173" s="801"/>
      <c r="P173" s="801"/>
      <c r="Q173" s="801"/>
      <c r="R173" s="801"/>
      <c r="S173" s="801"/>
      <c r="T173" s="801"/>
      <c r="U173" s="801"/>
      <c r="V173" s="801"/>
      <c r="W173" s="801"/>
      <c r="X173" s="801"/>
      <c r="Y173" s="801"/>
      <c r="Z173" s="802"/>
      <c r="AA173" s="800" t="str">
        <f>IFERROR(IF(AZ161&gt;AA161-1,IF(INDEX(Pedidos!AJ:BZ,AY161+AA161-1,9)&lt;&gt;"","Cierre :     "&amp; INDEX(Pedidos!AJ:BZ,AY161+AA161-1,9),""),""),"")</f>
        <v/>
      </c>
      <c r="AB173" s="801"/>
      <c r="AC173" s="801"/>
      <c r="AD173" s="801"/>
      <c r="AE173" s="801"/>
      <c r="AF173" s="801"/>
      <c r="AG173" s="801"/>
      <c r="AH173" s="801"/>
      <c r="AI173" s="801"/>
      <c r="AJ173" s="801"/>
      <c r="AK173" s="801"/>
      <c r="AL173" s="801"/>
      <c r="AM173" s="801"/>
      <c r="AN173" s="801"/>
      <c r="AO173" s="801"/>
      <c r="AP173" s="801"/>
      <c r="AQ173" s="801"/>
      <c r="AR173" s="801"/>
      <c r="AS173" s="801"/>
      <c r="AT173" s="801"/>
      <c r="AU173" s="801"/>
      <c r="AV173" s="801"/>
      <c r="AW173" s="801"/>
      <c r="AX173" s="801"/>
      <c r="AY173" s="801"/>
      <c r="AZ173" s="802"/>
      <c r="BA173" s="800" t="str">
        <f>IFERROR(IF(BZ161&gt;BA161-1,IF(INDEX(Pedidos!BJ:CZ,BY161+BA161-1,9)&lt;&gt;"","Cierre :     "&amp; INDEX(Pedidos!BJ:CZ,BY161+BA161-1,9),""),""),"")</f>
        <v/>
      </c>
      <c r="BB173" s="801"/>
      <c r="BC173" s="801"/>
      <c r="BD173" s="801"/>
      <c r="BE173" s="801"/>
      <c r="BF173" s="801"/>
      <c r="BG173" s="801"/>
      <c r="BH173" s="801"/>
      <c r="BI173" s="801"/>
      <c r="BJ173" s="801"/>
      <c r="BK173" s="801"/>
      <c r="BL173" s="801"/>
      <c r="BM173" s="801"/>
      <c r="BN173" s="801"/>
      <c r="BO173" s="801"/>
      <c r="BP173" s="801"/>
      <c r="BQ173" s="801"/>
      <c r="BR173" s="801"/>
      <c r="BS173" s="801"/>
      <c r="BT173" s="801"/>
      <c r="BU173" s="801"/>
      <c r="BV173" s="801"/>
      <c r="BW173" s="801"/>
      <c r="BX173" s="801"/>
      <c r="BY173" s="801"/>
      <c r="BZ173" s="802"/>
      <c r="CA173" s="800" t="str">
        <f>IFERROR(IF(CZ161&gt;CA161-1,IF(INDEX(Pedidos!CJ:DZ,CY161+CA161-1,9)&lt;&gt;"","Cierre :     "&amp; INDEX(Pedidos!CJ:DZ,CY161+CA161-1,9),""),""),"")</f>
        <v/>
      </c>
      <c r="CB173" s="801"/>
      <c r="CC173" s="801"/>
      <c r="CD173" s="801"/>
      <c r="CE173" s="801"/>
      <c r="CF173" s="801"/>
      <c r="CG173" s="801"/>
      <c r="CH173" s="801"/>
      <c r="CI173" s="801"/>
      <c r="CJ173" s="801"/>
      <c r="CK173" s="801"/>
      <c r="CL173" s="801"/>
      <c r="CM173" s="801"/>
      <c r="CN173" s="801"/>
      <c r="CO173" s="801"/>
      <c r="CP173" s="801"/>
      <c r="CQ173" s="801"/>
      <c r="CR173" s="801"/>
      <c r="CS173" s="801"/>
      <c r="CT173" s="801"/>
      <c r="CU173" s="801"/>
      <c r="CV173" s="801"/>
      <c r="CW173" s="801"/>
      <c r="CX173" s="801"/>
      <c r="CY173" s="801"/>
      <c r="CZ173" s="802"/>
      <c r="DA173" s="800" t="str">
        <f>IFERROR(IF(DZ161&gt;DA161-1,IF(INDEX(Pedidos!DJ:EZ,DY161+DA161-1,9)&lt;&gt;"","Cierre :     "&amp; INDEX(Pedidos!DJ:EZ,DY161+DA161-1,9),""),""),"")</f>
        <v/>
      </c>
      <c r="DB173" s="801"/>
      <c r="DC173" s="801"/>
      <c r="DD173" s="801"/>
      <c r="DE173" s="801"/>
      <c r="DF173" s="801"/>
      <c r="DG173" s="801"/>
      <c r="DH173" s="801"/>
      <c r="DI173" s="801"/>
      <c r="DJ173" s="801"/>
      <c r="DK173" s="801"/>
      <c r="DL173" s="801"/>
      <c r="DM173" s="801"/>
      <c r="DN173" s="801"/>
      <c r="DO173" s="801"/>
      <c r="DP173" s="801"/>
      <c r="DQ173" s="801"/>
      <c r="DR173" s="801"/>
      <c r="DS173" s="801"/>
      <c r="DT173" s="801"/>
      <c r="DU173" s="801"/>
      <c r="DV173" s="801"/>
      <c r="DW173" s="801"/>
      <c r="DX173" s="801"/>
      <c r="DY173" s="801"/>
      <c r="DZ173" s="802"/>
      <c r="EA173" s="800" t="str">
        <f>IFERROR(IF(EZ161&gt;EA161-1,IF(INDEX(Pedidos!EJ:FZ,EY161+EA161-1,9)&lt;&gt;"","Cierre :     "&amp; INDEX(Pedidos!EJ:FZ,EY161+EA161-1,9),""),""),"")</f>
        <v/>
      </c>
      <c r="EB173" s="801"/>
      <c r="EC173" s="801"/>
      <c r="ED173" s="801"/>
      <c r="EE173" s="801"/>
      <c r="EF173" s="801"/>
      <c r="EG173" s="801"/>
      <c r="EH173" s="801"/>
      <c r="EI173" s="801"/>
      <c r="EJ173" s="801"/>
      <c r="EK173" s="801"/>
      <c r="EL173" s="801"/>
      <c r="EM173" s="801"/>
      <c r="EN173" s="801"/>
      <c r="EO173" s="801"/>
      <c r="EP173" s="801"/>
      <c r="EQ173" s="801"/>
      <c r="ER173" s="801"/>
      <c r="ES173" s="801"/>
      <c r="ET173" s="801"/>
      <c r="EU173" s="801"/>
      <c r="EV173" s="801"/>
      <c r="EW173" s="801"/>
      <c r="EX173" s="801"/>
      <c r="EY173" s="801"/>
      <c r="EZ173" s="802"/>
      <c r="FA173" s="800" t="str">
        <f>IFERROR(IF(FZ161&gt;FA161-1,IF(INDEX(Pedidos!FJ:GZ,FY161+FA161-1,9)&lt;&gt;"","Cierre :     "&amp; INDEX(Pedidos!FJ:GZ,FY161+FA161-1,9),""),""),"")</f>
        <v/>
      </c>
      <c r="FB173" s="801"/>
      <c r="FC173" s="801"/>
      <c r="FD173" s="801"/>
      <c r="FE173" s="801"/>
      <c r="FF173" s="801"/>
      <c r="FG173" s="801"/>
      <c r="FH173" s="801"/>
      <c r="FI173" s="801"/>
      <c r="FJ173" s="801"/>
      <c r="FK173" s="801"/>
      <c r="FL173" s="801"/>
      <c r="FM173" s="801"/>
      <c r="FN173" s="801"/>
      <c r="FO173" s="801"/>
      <c r="FP173" s="801"/>
      <c r="FQ173" s="801"/>
      <c r="FR173" s="801"/>
      <c r="FS173" s="801"/>
      <c r="FT173" s="801"/>
      <c r="FU173" s="801"/>
      <c r="FV173" s="801"/>
      <c r="FW173" s="801"/>
      <c r="FX173" s="801"/>
      <c r="FY173" s="801"/>
      <c r="FZ173" s="802"/>
      <c r="GA173" s="800" t="str">
        <f>IFERROR(IF(GZ161&gt;GA161-1,IF(INDEX(Pedidos!GJ:HZ,GY161+GA161-1,9)&lt;&gt;"","Cierre :     "&amp; INDEX(Pedidos!GJ:HZ,GY161+GA161-1,9),""),""),"")</f>
        <v/>
      </c>
      <c r="GB173" s="801"/>
      <c r="GC173" s="801"/>
      <c r="GD173" s="801"/>
      <c r="GE173" s="801"/>
      <c r="GF173" s="801"/>
      <c r="GG173" s="801"/>
      <c r="GH173" s="801"/>
      <c r="GI173" s="801"/>
      <c r="GJ173" s="801"/>
      <c r="GK173" s="801"/>
      <c r="GL173" s="801"/>
      <c r="GM173" s="801"/>
      <c r="GN173" s="801"/>
      <c r="GO173" s="801"/>
      <c r="GP173" s="801"/>
      <c r="GQ173" s="801"/>
      <c r="GR173" s="801"/>
      <c r="GS173" s="801"/>
      <c r="GT173" s="801"/>
      <c r="GU173" s="801"/>
      <c r="GV173" s="801"/>
      <c r="GW173" s="801"/>
      <c r="GX173" s="801"/>
      <c r="GY173" s="801"/>
      <c r="GZ173" s="802"/>
      <c r="HA173" s="800" t="str">
        <f>IFERROR(IF(HZ161&gt;HA161-1,IF(INDEX(Pedidos!HJ:IZ,HY161+HA161-1,9)&lt;&gt;"","Cierre :     "&amp; INDEX(Pedidos!HJ:IZ,HY161+HA161-1,9),""),""),"")</f>
        <v/>
      </c>
      <c r="HB173" s="801"/>
      <c r="HC173" s="801"/>
      <c r="HD173" s="801"/>
      <c r="HE173" s="801"/>
      <c r="HF173" s="801"/>
      <c r="HG173" s="801"/>
      <c r="HH173" s="801"/>
      <c r="HI173" s="801"/>
      <c r="HJ173" s="801"/>
      <c r="HK173" s="801"/>
      <c r="HL173" s="801"/>
      <c r="HM173" s="801"/>
      <c r="HN173" s="801"/>
      <c r="HO173" s="801"/>
      <c r="HP173" s="801"/>
      <c r="HQ173" s="801"/>
      <c r="HR173" s="801"/>
      <c r="HS173" s="801"/>
      <c r="HT173" s="801"/>
      <c r="HU173" s="801"/>
      <c r="HV173" s="801"/>
      <c r="HW173" s="801"/>
      <c r="HX173" s="801"/>
      <c r="HY173" s="801"/>
      <c r="HZ173" s="802"/>
      <c r="IA173" s="800" t="str">
        <f>IFERROR(IF(IZ161&gt;IA161-1,IF(INDEX(Pedidos!IJ:JZ,IY161+IA161-1,9)&lt;&gt;"","Cierre :     "&amp; INDEX(Pedidos!IJ:JZ,IY161+IA161-1,9),""),""),"")</f>
        <v/>
      </c>
      <c r="IB173" s="801"/>
      <c r="IC173" s="801"/>
      <c r="ID173" s="801"/>
      <c r="IE173" s="801"/>
      <c r="IF173" s="801"/>
      <c r="IG173" s="801"/>
      <c r="IH173" s="801"/>
      <c r="II173" s="801"/>
      <c r="IJ173" s="801"/>
      <c r="IK173" s="801"/>
      <c r="IL173" s="801"/>
      <c r="IM173" s="801"/>
      <c r="IN173" s="801"/>
      <c r="IO173" s="801"/>
      <c r="IP173" s="801"/>
      <c r="IQ173" s="801"/>
      <c r="IR173" s="801"/>
      <c r="IS173" s="801"/>
      <c r="IT173" s="801"/>
      <c r="IU173" s="801"/>
      <c r="IV173" s="801"/>
      <c r="IW173" s="801"/>
      <c r="IX173" s="801"/>
      <c r="IY173" s="801"/>
      <c r="IZ173" s="802"/>
    </row>
    <row r="174" spans="1:260" x14ac:dyDescent="0.25">
      <c r="A174" s="800" t="str">
        <f>IFERROR(IF(Z161&gt;A161-1,IF(INDEX(Pedidos!J:AZ,Y161+A161-1,11)&lt;&gt;"","Cordon :     "&amp; INDEX(Pedidos!J:AZ,Y161+A161-1,11),""),""),"")</f>
        <v/>
      </c>
      <c r="B174" s="801"/>
      <c r="C174" s="801"/>
      <c r="D174" s="801"/>
      <c r="E174" s="801"/>
      <c r="F174" s="801"/>
      <c r="G174" s="801"/>
      <c r="H174" s="801"/>
      <c r="I174" s="801"/>
      <c r="J174" s="801"/>
      <c r="K174" s="801"/>
      <c r="L174" s="801"/>
      <c r="M174" s="801"/>
      <c r="N174" s="801"/>
      <c r="O174" s="801"/>
      <c r="P174" s="801"/>
      <c r="Q174" s="801"/>
      <c r="R174" s="801"/>
      <c r="S174" s="801"/>
      <c r="T174" s="801"/>
      <c r="U174" s="801"/>
      <c r="V174" s="801"/>
      <c r="W174" s="801"/>
      <c r="X174" s="801"/>
      <c r="Y174" s="801"/>
      <c r="Z174" s="802"/>
      <c r="AA174" s="800" t="str">
        <f>IFERROR(IF(AZ161&gt;AA161-1,IF(INDEX(Pedidos!AJ:BZ,AY161+AA161-1,11)&lt;&gt;"","Cordon :     "&amp; INDEX(Pedidos!AJ:BZ,AY161+AA161-1,11),""),""),"")</f>
        <v/>
      </c>
      <c r="AB174" s="801"/>
      <c r="AC174" s="801"/>
      <c r="AD174" s="801"/>
      <c r="AE174" s="801"/>
      <c r="AF174" s="801"/>
      <c r="AG174" s="801"/>
      <c r="AH174" s="801"/>
      <c r="AI174" s="801"/>
      <c r="AJ174" s="801"/>
      <c r="AK174" s="801"/>
      <c r="AL174" s="801"/>
      <c r="AM174" s="801"/>
      <c r="AN174" s="801"/>
      <c r="AO174" s="801"/>
      <c r="AP174" s="801"/>
      <c r="AQ174" s="801"/>
      <c r="AR174" s="801"/>
      <c r="AS174" s="801"/>
      <c r="AT174" s="801"/>
      <c r="AU174" s="801"/>
      <c r="AV174" s="801"/>
      <c r="AW174" s="801"/>
      <c r="AX174" s="801"/>
      <c r="AY174" s="801"/>
      <c r="AZ174" s="802"/>
      <c r="BA174" s="800" t="str">
        <f>IFERROR(IF(BZ161&gt;BA161-1,IF(INDEX(Pedidos!BJ:CZ,BY161+BA161-1,11)&lt;&gt;"","Cordon :     "&amp; INDEX(Pedidos!BJ:CZ,BY161+BA161-1,11),""),""),"")</f>
        <v/>
      </c>
      <c r="BB174" s="801"/>
      <c r="BC174" s="801"/>
      <c r="BD174" s="801"/>
      <c r="BE174" s="801"/>
      <c r="BF174" s="801"/>
      <c r="BG174" s="801"/>
      <c r="BH174" s="801"/>
      <c r="BI174" s="801"/>
      <c r="BJ174" s="801"/>
      <c r="BK174" s="801"/>
      <c r="BL174" s="801"/>
      <c r="BM174" s="801"/>
      <c r="BN174" s="801"/>
      <c r="BO174" s="801"/>
      <c r="BP174" s="801"/>
      <c r="BQ174" s="801"/>
      <c r="BR174" s="801"/>
      <c r="BS174" s="801"/>
      <c r="BT174" s="801"/>
      <c r="BU174" s="801"/>
      <c r="BV174" s="801"/>
      <c r="BW174" s="801"/>
      <c r="BX174" s="801"/>
      <c r="BY174" s="801"/>
      <c r="BZ174" s="802"/>
      <c r="CA174" s="800" t="str">
        <f>IFERROR(IF(CZ161&gt;CA161-1,IF(INDEX(Pedidos!CJ:DZ,CY161+CA161-1,11)&lt;&gt;"","Cordon :     "&amp; INDEX(Pedidos!CJ:DZ,CY161+CA161-1,11),""),""),"")</f>
        <v/>
      </c>
      <c r="CB174" s="801"/>
      <c r="CC174" s="801"/>
      <c r="CD174" s="801"/>
      <c r="CE174" s="801"/>
      <c r="CF174" s="801"/>
      <c r="CG174" s="801"/>
      <c r="CH174" s="801"/>
      <c r="CI174" s="801"/>
      <c r="CJ174" s="801"/>
      <c r="CK174" s="801"/>
      <c r="CL174" s="801"/>
      <c r="CM174" s="801"/>
      <c r="CN174" s="801"/>
      <c r="CO174" s="801"/>
      <c r="CP174" s="801"/>
      <c r="CQ174" s="801"/>
      <c r="CR174" s="801"/>
      <c r="CS174" s="801"/>
      <c r="CT174" s="801"/>
      <c r="CU174" s="801"/>
      <c r="CV174" s="801"/>
      <c r="CW174" s="801"/>
      <c r="CX174" s="801"/>
      <c r="CY174" s="801"/>
      <c r="CZ174" s="802"/>
      <c r="DA174" s="800" t="str">
        <f>IFERROR(IF(DZ161&gt;DA161-1,IF(INDEX(Pedidos!DJ:EZ,DY161+DA161-1,11)&lt;&gt;"","Cordon :     "&amp; INDEX(Pedidos!DJ:EZ,DY161+DA161-1,11),""),""),"")</f>
        <v/>
      </c>
      <c r="DB174" s="801"/>
      <c r="DC174" s="801"/>
      <c r="DD174" s="801"/>
      <c r="DE174" s="801"/>
      <c r="DF174" s="801"/>
      <c r="DG174" s="801"/>
      <c r="DH174" s="801"/>
      <c r="DI174" s="801"/>
      <c r="DJ174" s="801"/>
      <c r="DK174" s="801"/>
      <c r="DL174" s="801"/>
      <c r="DM174" s="801"/>
      <c r="DN174" s="801"/>
      <c r="DO174" s="801"/>
      <c r="DP174" s="801"/>
      <c r="DQ174" s="801"/>
      <c r="DR174" s="801"/>
      <c r="DS174" s="801"/>
      <c r="DT174" s="801"/>
      <c r="DU174" s="801"/>
      <c r="DV174" s="801"/>
      <c r="DW174" s="801"/>
      <c r="DX174" s="801"/>
      <c r="DY174" s="801"/>
      <c r="DZ174" s="802"/>
      <c r="EA174" s="800" t="str">
        <f>IFERROR(IF(EZ161&gt;EA161-1,IF(INDEX(Pedidos!EJ:FZ,EY161+EA161-1,11)&lt;&gt;"","Cordon :     "&amp; INDEX(Pedidos!EJ:FZ,EY161+EA161-1,11),""),""),"")</f>
        <v/>
      </c>
      <c r="EB174" s="801"/>
      <c r="EC174" s="801"/>
      <c r="ED174" s="801"/>
      <c r="EE174" s="801"/>
      <c r="EF174" s="801"/>
      <c r="EG174" s="801"/>
      <c r="EH174" s="801"/>
      <c r="EI174" s="801"/>
      <c r="EJ174" s="801"/>
      <c r="EK174" s="801"/>
      <c r="EL174" s="801"/>
      <c r="EM174" s="801"/>
      <c r="EN174" s="801"/>
      <c r="EO174" s="801"/>
      <c r="EP174" s="801"/>
      <c r="EQ174" s="801"/>
      <c r="ER174" s="801"/>
      <c r="ES174" s="801"/>
      <c r="ET174" s="801"/>
      <c r="EU174" s="801"/>
      <c r="EV174" s="801"/>
      <c r="EW174" s="801"/>
      <c r="EX174" s="801"/>
      <c r="EY174" s="801"/>
      <c r="EZ174" s="802"/>
      <c r="FA174" s="800" t="str">
        <f>IFERROR(IF(FZ161&gt;FA161-1,IF(INDEX(Pedidos!FJ:GZ,FY161+FA161-1,11)&lt;&gt;"","Cordon :     "&amp; INDEX(Pedidos!FJ:GZ,FY161+FA161-1,11),""),""),"")</f>
        <v/>
      </c>
      <c r="FB174" s="801"/>
      <c r="FC174" s="801"/>
      <c r="FD174" s="801"/>
      <c r="FE174" s="801"/>
      <c r="FF174" s="801"/>
      <c r="FG174" s="801"/>
      <c r="FH174" s="801"/>
      <c r="FI174" s="801"/>
      <c r="FJ174" s="801"/>
      <c r="FK174" s="801"/>
      <c r="FL174" s="801"/>
      <c r="FM174" s="801"/>
      <c r="FN174" s="801"/>
      <c r="FO174" s="801"/>
      <c r="FP174" s="801"/>
      <c r="FQ174" s="801"/>
      <c r="FR174" s="801"/>
      <c r="FS174" s="801"/>
      <c r="FT174" s="801"/>
      <c r="FU174" s="801"/>
      <c r="FV174" s="801"/>
      <c r="FW174" s="801"/>
      <c r="FX174" s="801"/>
      <c r="FY174" s="801"/>
      <c r="FZ174" s="802"/>
      <c r="GA174" s="800" t="str">
        <f>IFERROR(IF(GZ161&gt;GA161-1,IF(INDEX(Pedidos!GJ:HZ,GY161+GA161-1,11)&lt;&gt;"","Cordon :     "&amp; INDEX(Pedidos!GJ:HZ,GY161+GA161-1,11),""),""),"")</f>
        <v/>
      </c>
      <c r="GB174" s="801"/>
      <c r="GC174" s="801"/>
      <c r="GD174" s="801"/>
      <c r="GE174" s="801"/>
      <c r="GF174" s="801"/>
      <c r="GG174" s="801"/>
      <c r="GH174" s="801"/>
      <c r="GI174" s="801"/>
      <c r="GJ174" s="801"/>
      <c r="GK174" s="801"/>
      <c r="GL174" s="801"/>
      <c r="GM174" s="801"/>
      <c r="GN174" s="801"/>
      <c r="GO174" s="801"/>
      <c r="GP174" s="801"/>
      <c r="GQ174" s="801"/>
      <c r="GR174" s="801"/>
      <c r="GS174" s="801"/>
      <c r="GT174" s="801"/>
      <c r="GU174" s="801"/>
      <c r="GV174" s="801"/>
      <c r="GW174" s="801"/>
      <c r="GX174" s="801"/>
      <c r="GY174" s="801"/>
      <c r="GZ174" s="802"/>
      <c r="HA174" s="800" t="str">
        <f>IFERROR(IF(HZ161&gt;HA161-1,IF(INDEX(Pedidos!HJ:IZ,HY161+HA161-1,11)&lt;&gt;"","Cordon :     "&amp; INDEX(Pedidos!HJ:IZ,HY161+HA161-1,11),""),""),"")</f>
        <v/>
      </c>
      <c r="HB174" s="801"/>
      <c r="HC174" s="801"/>
      <c r="HD174" s="801"/>
      <c r="HE174" s="801"/>
      <c r="HF174" s="801"/>
      <c r="HG174" s="801"/>
      <c r="HH174" s="801"/>
      <c r="HI174" s="801"/>
      <c r="HJ174" s="801"/>
      <c r="HK174" s="801"/>
      <c r="HL174" s="801"/>
      <c r="HM174" s="801"/>
      <c r="HN174" s="801"/>
      <c r="HO174" s="801"/>
      <c r="HP174" s="801"/>
      <c r="HQ174" s="801"/>
      <c r="HR174" s="801"/>
      <c r="HS174" s="801"/>
      <c r="HT174" s="801"/>
      <c r="HU174" s="801"/>
      <c r="HV174" s="801"/>
      <c r="HW174" s="801"/>
      <c r="HX174" s="801"/>
      <c r="HY174" s="801"/>
      <c r="HZ174" s="802"/>
      <c r="IA174" s="800" t="str">
        <f>IFERROR(IF(IZ161&gt;IA161-1,IF(INDEX(Pedidos!IJ:JZ,IY161+IA161-1,11)&lt;&gt;"","Cordon :     "&amp; INDEX(Pedidos!IJ:JZ,IY161+IA161-1,11),""),""),"")</f>
        <v/>
      </c>
      <c r="IB174" s="801"/>
      <c r="IC174" s="801"/>
      <c r="ID174" s="801"/>
      <c r="IE174" s="801"/>
      <c r="IF174" s="801"/>
      <c r="IG174" s="801"/>
      <c r="IH174" s="801"/>
      <c r="II174" s="801"/>
      <c r="IJ174" s="801"/>
      <c r="IK174" s="801"/>
      <c r="IL174" s="801"/>
      <c r="IM174" s="801"/>
      <c r="IN174" s="801"/>
      <c r="IO174" s="801"/>
      <c r="IP174" s="801"/>
      <c r="IQ174" s="801"/>
      <c r="IR174" s="801"/>
      <c r="IS174" s="801"/>
      <c r="IT174" s="801"/>
      <c r="IU174" s="801"/>
      <c r="IV174" s="801"/>
      <c r="IW174" s="801"/>
      <c r="IX174" s="801"/>
      <c r="IY174" s="801"/>
      <c r="IZ174" s="802"/>
    </row>
    <row r="175" spans="1:260" x14ac:dyDescent="0.25">
      <c r="A175" s="800" t="str">
        <f>IFERROR(IF(Z161&gt;A161-1,IF(INDEX(Pedidos!J:AZ,Y161+A161-1,12)&lt;&gt;"","Color Cordon :     "&amp; INDEX(Pedidos!J:AZ,Y161+A161-1,12),""),""),"")</f>
        <v/>
      </c>
      <c r="B175" s="801"/>
      <c r="C175" s="801"/>
      <c r="D175" s="801"/>
      <c r="E175" s="801"/>
      <c r="F175" s="801"/>
      <c r="G175" s="801"/>
      <c r="H175" s="801"/>
      <c r="I175" s="801"/>
      <c r="J175" s="801"/>
      <c r="K175" s="801"/>
      <c r="L175" s="801"/>
      <c r="M175" s="801"/>
      <c r="N175" s="801"/>
      <c r="O175" s="801"/>
      <c r="P175" s="801"/>
      <c r="Q175" s="801"/>
      <c r="R175" s="801"/>
      <c r="S175" s="801"/>
      <c r="T175" s="801"/>
      <c r="U175" s="801"/>
      <c r="V175" s="801"/>
      <c r="W175" s="801"/>
      <c r="X175" s="801"/>
      <c r="Y175" s="801"/>
      <c r="Z175" s="802"/>
      <c r="AA175" s="800" t="str">
        <f>IFERROR(IF(AZ161&gt;AA161-1,IF(INDEX(Pedidos!AJ:BZ,AY161+AA161-1,12)&lt;&gt;"","Color Cordon :     "&amp; INDEX(Pedidos!AJ:BZ,AY161+AA161-1,12),""),""),"")</f>
        <v/>
      </c>
      <c r="AB175" s="801"/>
      <c r="AC175" s="801"/>
      <c r="AD175" s="801"/>
      <c r="AE175" s="801"/>
      <c r="AF175" s="801"/>
      <c r="AG175" s="801"/>
      <c r="AH175" s="801"/>
      <c r="AI175" s="801"/>
      <c r="AJ175" s="801"/>
      <c r="AK175" s="801"/>
      <c r="AL175" s="801"/>
      <c r="AM175" s="801"/>
      <c r="AN175" s="801"/>
      <c r="AO175" s="801"/>
      <c r="AP175" s="801"/>
      <c r="AQ175" s="801"/>
      <c r="AR175" s="801"/>
      <c r="AS175" s="801"/>
      <c r="AT175" s="801"/>
      <c r="AU175" s="801"/>
      <c r="AV175" s="801"/>
      <c r="AW175" s="801"/>
      <c r="AX175" s="801"/>
      <c r="AY175" s="801"/>
      <c r="AZ175" s="802"/>
      <c r="BA175" s="800" t="str">
        <f>IFERROR(IF(BZ161&gt;BA161-1,IF(INDEX(Pedidos!BJ:CZ,BY161+BA161-1,12)&lt;&gt;"","Color Cordon :     "&amp; INDEX(Pedidos!BJ:CZ,BY161+BA161-1,12),""),""),"")</f>
        <v/>
      </c>
      <c r="BB175" s="801"/>
      <c r="BC175" s="801"/>
      <c r="BD175" s="801"/>
      <c r="BE175" s="801"/>
      <c r="BF175" s="801"/>
      <c r="BG175" s="801"/>
      <c r="BH175" s="801"/>
      <c r="BI175" s="801"/>
      <c r="BJ175" s="801"/>
      <c r="BK175" s="801"/>
      <c r="BL175" s="801"/>
      <c r="BM175" s="801"/>
      <c r="BN175" s="801"/>
      <c r="BO175" s="801"/>
      <c r="BP175" s="801"/>
      <c r="BQ175" s="801"/>
      <c r="BR175" s="801"/>
      <c r="BS175" s="801"/>
      <c r="BT175" s="801"/>
      <c r="BU175" s="801"/>
      <c r="BV175" s="801"/>
      <c r="BW175" s="801"/>
      <c r="BX175" s="801"/>
      <c r="BY175" s="801"/>
      <c r="BZ175" s="802"/>
      <c r="CA175" s="800" t="str">
        <f>IFERROR(IF(CZ161&gt;CA161-1,IF(INDEX(Pedidos!CJ:DZ,CY161+CA161-1,12)&lt;&gt;"","Color Cordon :     "&amp; INDEX(Pedidos!CJ:DZ,CY161+CA161-1,12),""),""),"")</f>
        <v/>
      </c>
      <c r="CB175" s="801"/>
      <c r="CC175" s="801"/>
      <c r="CD175" s="801"/>
      <c r="CE175" s="801"/>
      <c r="CF175" s="801"/>
      <c r="CG175" s="801"/>
      <c r="CH175" s="801"/>
      <c r="CI175" s="801"/>
      <c r="CJ175" s="801"/>
      <c r="CK175" s="801"/>
      <c r="CL175" s="801"/>
      <c r="CM175" s="801"/>
      <c r="CN175" s="801"/>
      <c r="CO175" s="801"/>
      <c r="CP175" s="801"/>
      <c r="CQ175" s="801"/>
      <c r="CR175" s="801"/>
      <c r="CS175" s="801"/>
      <c r="CT175" s="801"/>
      <c r="CU175" s="801"/>
      <c r="CV175" s="801"/>
      <c r="CW175" s="801"/>
      <c r="CX175" s="801"/>
      <c r="CY175" s="801"/>
      <c r="CZ175" s="802"/>
      <c r="DA175" s="800" t="str">
        <f>IFERROR(IF(DZ161&gt;DA161-1,IF(INDEX(Pedidos!DJ:EZ,DY161+DA161-1,12)&lt;&gt;"","Color Cordon :     "&amp; INDEX(Pedidos!DJ:EZ,DY161+DA161-1,12),""),""),"")</f>
        <v/>
      </c>
      <c r="DB175" s="801"/>
      <c r="DC175" s="801"/>
      <c r="DD175" s="801"/>
      <c r="DE175" s="801"/>
      <c r="DF175" s="801"/>
      <c r="DG175" s="801"/>
      <c r="DH175" s="801"/>
      <c r="DI175" s="801"/>
      <c r="DJ175" s="801"/>
      <c r="DK175" s="801"/>
      <c r="DL175" s="801"/>
      <c r="DM175" s="801"/>
      <c r="DN175" s="801"/>
      <c r="DO175" s="801"/>
      <c r="DP175" s="801"/>
      <c r="DQ175" s="801"/>
      <c r="DR175" s="801"/>
      <c r="DS175" s="801"/>
      <c r="DT175" s="801"/>
      <c r="DU175" s="801"/>
      <c r="DV175" s="801"/>
      <c r="DW175" s="801"/>
      <c r="DX175" s="801"/>
      <c r="DY175" s="801"/>
      <c r="DZ175" s="802"/>
      <c r="EA175" s="800" t="str">
        <f>IFERROR(IF(EZ161&gt;EA161-1,IF(INDEX(Pedidos!EJ:FZ,EY161+EA161-1,12)&lt;&gt;"","Color Cordon :     "&amp; INDEX(Pedidos!EJ:FZ,EY161+EA161-1,12),""),""),"")</f>
        <v/>
      </c>
      <c r="EB175" s="801"/>
      <c r="EC175" s="801"/>
      <c r="ED175" s="801"/>
      <c r="EE175" s="801"/>
      <c r="EF175" s="801"/>
      <c r="EG175" s="801"/>
      <c r="EH175" s="801"/>
      <c r="EI175" s="801"/>
      <c r="EJ175" s="801"/>
      <c r="EK175" s="801"/>
      <c r="EL175" s="801"/>
      <c r="EM175" s="801"/>
      <c r="EN175" s="801"/>
      <c r="EO175" s="801"/>
      <c r="EP175" s="801"/>
      <c r="EQ175" s="801"/>
      <c r="ER175" s="801"/>
      <c r="ES175" s="801"/>
      <c r="ET175" s="801"/>
      <c r="EU175" s="801"/>
      <c r="EV175" s="801"/>
      <c r="EW175" s="801"/>
      <c r="EX175" s="801"/>
      <c r="EY175" s="801"/>
      <c r="EZ175" s="802"/>
      <c r="FA175" s="800" t="str">
        <f>IFERROR(IF(FZ161&gt;FA161-1,IF(INDEX(Pedidos!FJ:GZ,FY161+FA161-1,12)&lt;&gt;"","Color Cordon :     "&amp; INDEX(Pedidos!FJ:GZ,FY161+FA161-1,12),""),""),"")</f>
        <v/>
      </c>
      <c r="FB175" s="801"/>
      <c r="FC175" s="801"/>
      <c r="FD175" s="801"/>
      <c r="FE175" s="801"/>
      <c r="FF175" s="801"/>
      <c r="FG175" s="801"/>
      <c r="FH175" s="801"/>
      <c r="FI175" s="801"/>
      <c r="FJ175" s="801"/>
      <c r="FK175" s="801"/>
      <c r="FL175" s="801"/>
      <c r="FM175" s="801"/>
      <c r="FN175" s="801"/>
      <c r="FO175" s="801"/>
      <c r="FP175" s="801"/>
      <c r="FQ175" s="801"/>
      <c r="FR175" s="801"/>
      <c r="FS175" s="801"/>
      <c r="FT175" s="801"/>
      <c r="FU175" s="801"/>
      <c r="FV175" s="801"/>
      <c r="FW175" s="801"/>
      <c r="FX175" s="801"/>
      <c r="FY175" s="801"/>
      <c r="FZ175" s="802"/>
      <c r="GA175" s="800" t="str">
        <f>IFERROR(IF(GZ161&gt;GA161-1,IF(INDEX(Pedidos!GJ:HZ,GY161+GA161-1,12)&lt;&gt;"","Color Cordon :     "&amp; INDEX(Pedidos!GJ:HZ,GY161+GA161-1,12),""),""),"")</f>
        <v/>
      </c>
      <c r="GB175" s="801"/>
      <c r="GC175" s="801"/>
      <c r="GD175" s="801"/>
      <c r="GE175" s="801"/>
      <c r="GF175" s="801"/>
      <c r="GG175" s="801"/>
      <c r="GH175" s="801"/>
      <c r="GI175" s="801"/>
      <c r="GJ175" s="801"/>
      <c r="GK175" s="801"/>
      <c r="GL175" s="801"/>
      <c r="GM175" s="801"/>
      <c r="GN175" s="801"/>
      <c r="GO175" s="801"/>
      <c r="GP175" s="801"/>
      <c r="GQ175" s="801"/>
      <c r="GR175" s="801"/>
      <c r="GS175" s="801"/>
      <c r="GT175" s="801"/>
      <c r="GU175" s="801"/>
      <c r="GV175" s="801"/>
      <c r="GW175" s="801"/>
      <c r="GX175" s="801"/>
      <c r="GY175" s="801"/>
      <c r="GZ175" s="802"/>
      <c r="HA175" s="800" t="str">
        <f>IFERROR(IF(HZ161&gt;HA161-1,IF(INDEX(Pedidos!HJ:IZ,HY161+HA161-1,12)&lt;&gt;"","Color Cordon :     "&amp; INDEX(Pedidos!HJ:IZ,HY161+HA161-1,12),""),""),"")</f>
        <v/>
      </c>
      <c r="HB175" s="801"/>
      <c r="HC175" s="801"/>
      <c r="HD175" s="801"/>
      <c r="HE175" s="801"/>
      <c r="HF175" s="801"/>
      <c r="HG175" s="801"/>
      <c r="HH175" s="801"/>
      <c r="HI175" s="801"/>
      <c r="HJ175" s="801"/>
      <c r="HK175" s="801"/>
      <c r="HL175" s="801"/>
      <c r="HM175" s="801"/>
      <c r="HN175" s="801"/>
      <c r="HO175" s="801"/>
      <c r="HP175" s="801"/>
      <c r="HQ175" s="801"/>
      <c r="HR175" s="801"/>
      <c r="HS175" s="801"/>
      <c r="HT175" s="801"/>
      <c r="HU175" s="801"/>
      <c r="HV175" s="801"/>
      <c r="HW175" s="801"/>
      <c r="HX175" s="801"/>
      <c r="HY175" s="801"/>
      <c r="HZ175" s="802"/>
      <c r="IA175" s="800" t="str">
        <f>IFERROR(IF(IZ161&gt;IA161-1,IF(INDEX(Pedidos!IJ:JZ,IY161+IA161-1,12)&lt;&gt;"","Color Cordon :     "&amp; INDEX(Pedidos!IJ:JZ,IY161+IA161-1,12),""),""),"")</f>
        <v/>
      </c>
      <c r="IB175" s="801"/>
      <c r="IC175" s="801"/>
      <c r="ID175" s="801"/>
      <c r="IE175" s="801"/>
      <c r="IF175" s="801"/>
      <c r="IG175" s="801"/>
      <c r="IH175" s="801"/>
      <c r="II175" s="801"/>
      <c r="IJ175" s="801"/>
      <c r="IK175" s="801"/>
      <c r="IL175" s="801"/>
      <c r="IM175" s="801"/>
      <c r="IN175" s="801"/>
      <c r="IO175" s="801"/>
      <c r="IP175" s="801"/>
      <c r="IQ175" s="801"/>
      <c r="IR175" s="801"/>
      <c r="IS175" s="801"/>
      <c r="IT175" s="801"/>
      <c r="IU175" s="801"/>
      <c r="IV175" s="801"/>
      <c r="IW175" s="801"/>
      <c r="IX175" s="801"/>
      <c r="IY175" s="801"/>
      <c r="IZ175" s="802"/>
    </row>
    <row r="176" spans="1:260" x14ac:dyDescent="0.25">
      <c r="A176" s="800"/>
      <c r="B176" s="801"/>
      <c r="C176" s="801"/>
      <c r="D176" s="801"/>
      <c r="E176" s="801"/>
      <c r="F176" s="801"/>
      <c r="G176" s="801"/>
      <c r="H176" s="801"/>
      <c r="I176" s="801"/>
      <c r="J176" s="801"/>
      <c r="K176" s="801"/>
      <c r="L176" s="801"/>
      <c r="M176" s="801"/>
      <c r="N176" s="801"/>
      <c r="O176" s="801"/>
      <c r="P176" s="801"/>
      <c r="Q176" s="801"/>
      <c r="R176" s="801"/>
      <c r="S176" s="801"/>
      <c r="T176" s="801"/>
      <c r="U176" s="801"/>
      <c r="V176" s="801"/>
      <c r="W176" s="801"/>
      <c r="X176" s="801"/>
      <c r="Y176" s="801"/>
      <c r="Z176" s="802"/>
      <c r="AA176" s="800"/>
      <c r="AB176" s="801"/>
      <c r="AC176" s="801"/>
      <c r="AD176" s="801"/>
      <c r="AE176" s="801"/>
      <c r="AF176" s="801"/>
      <c r="AG176" s="801"/>
      <c r="AH176" s="801"/>
      <c r="AI176" s="801"/>
      <c r="AJ176" s="801"/>
      <c r="AK176" s="801"/>
      <c r="AL176" s="801"/>
      <c r="AM176" s="801"/>
      <c r="AN176" s="801"/>
      <c r="AO176" s="801"/>
      <c r="AP176" s="801"/>
      <c r="AQ176" s="801"/>
      <c r="AR176" s="801"/>
      <c r="AS176" s="801"/>
      <c r="AT176" s="801"/>
      <c r="AU176" s="801"/>
      <c r="AV176" s="801"/>
      <c r="AW176" s="801"/>
      <c r="AX176" s="801"/>
      <c r="AY176" s="801"/>
      <c r="AZ176" s="802"/>
      <c r="BA176" s="800"/>
      <c r="BB176" s="801"/>
      <c r="BC176" s="801"/>
      <c r="BD176" s="801"/>
      <c r="BE176" s="801"/>
      <c r="BF176" s="801"/>
      <c r="BG176" s="801"/>
      <c r="BH176" s="801"/>
      <c r="BI176" s="801"/>
      <c r="BJ176" s="801"/>
      <c r="BK176" s="801"/>
      <c r="BL176" s="801"/>
      <c r="BM176" s="801"/>
      <c r="BN176" s="801"/>
      <c r="BO176" s="801"/>
      <c r="BP176" s="801"/>
      <c r="BQ176" s="801"/>
      <c r="BR176" s="801"/>
      <c r="BS176" s="801"/>
      <c r="BT176" s="801"/>
      <c r="BU176" s="801"/>
      <c r="BV176" s="801"/>
      <c r="BW176" s="801"/>
      <c r="BX176" s="801"/>
      <c r="BY176" s="801"/>
      <c r="BZ176" s="802"/>
      <c r="CA176" s="800"/>
      <c r="CB176" s="801"/>
      <c r="CC176" s="801"/>
      <c r="CD176" s="801"/>
      <c r="CE176" s="801"/>
      <c r="CF176" s="801"/>
      <c r="CG176" s="801"/>
      <c r="CH176" s="801"/>
      <c r="CI176" s="801"/>
      <c r="CJ176" s="801"/>
      <c r="CK176" s="801"/>
      <c r="CL176" s="801"/>
      <c r="CM176" s="801"/>
      <c r="CN176" s="801"/>
      <c r="CO176" s="801"/>
      <c r="CP176" s="801"/>
      <c r="CQ176" s="801"/>
      <c r="CR176" s="801"/>
      <c r="CS176" s="801"/>
      <c r="CT176" s="801"/>
      <c r="CU176" s="801"/>
      <c r="CV176" s="801"/>
      <c r="CW176" s="801"/>
      <c r="CX176" s="801"/>
      <c r="CY176" s="801"/>
      <c r="CZ176" s="802"/>
      <c r="DA176" s="800"/>
      <c r="DB176" s="801"/>
      <c r="DC176" s="801"/>
      <c r="DD176" s="801"/>
      <c r="DE176" s="801"/>
      <c r="DF176" s="801"/>
      <c r="DG176" s="801"/>
      <c r="DH176" s="801"/>
      <c r="DI176" s="801"/>
      <c r="DJ176" s="801"/>
      <c r="DK176" s="801"/>
      <c r="DL176" s="801"/>
      <c r="DM176" s="801"/>
      <c r="DN176" s="801"/>
      <c r="DO176" s="801"/>
      <c r="DP176" s="801"/>
      <c r="DQ176" s="801"/>
      <c r="DR176" s="801"/>
      <c r="DS176" s="801"/>
      <c r="DT176" s="801"/>
      <c r="DU176" s="801"/>
      <c r="DV176" s="801"/>
      <c r="DW176" s="801"/>
      <c r="DX176" s="801"/>
      <c r="DY176" s="801"/>
      <c r="DZ176" s="802"/>
      <c r="EA176" s="800"/>
      <c r="EB176" s="801"/>
      <c r="EC176" s="801"/>
      <c r="ED176" s="801"/>
      <c r="EE176" s="801"/>
      <c r="EF176" s="801"/>
      <c r="EG176" s="801"/>
      <c r="EH176" s="801"/>
      <c r="EI176" s="801"/>
      <c r="EJ176" s="801"/>
      <c r="EK176" s="801"/>
      <c r="EL176" s="801"/>
      <c r="EM176" s="801"/>
      <c r="EN176" s="801"/>
      <c r="EO176" s="801"/>
      <c r="EP176" s="801"/>
      <c r="EQ176" s="801"/>
      <c r="ER176" s="801"/>
      <c r="ES176" s="801"/>
      <c r="ET176" s="801"/>
      <c r="EU176" s="801"/>
      <c r="EV176" s="801"/>
      <c r="EW176" s="801"/>
      <c r="EX176" s="801"/>
      <c r="EY176" s="801"/>
      <c r="EZ176" s="802"/>
      <c r="FA176" s="800"/>
      <c r="FB176" s="801"/>
      <c r="FC176" s="801"/>
      <c r="FD176" s="801"/>
      <c r="FE176" s="801"/>
      <c r="FF176" s="801"/>
      <c r="FG176" s="801"/>
      <c r="FH176" s="801"/>
      <c r="FI176" s="801"/>
      <c r="FJ176" s="801"/>
      <c r="FK176" s="801"/>
      <c r="FL176" s="801"/>
      <c r="FM176" s="801"/>
      <c r="FN176" s="801"/>
      <c r="FO176" s="801"/>
      <c r="FP176" s="801"/>
      <c r="FQ176" s="801"/>
      <c r="FR176" s="801"/>
      <c r="FS176" s="801"/>
      <c r="FT176" s="801"/>
      <c r="FU176" s="801"/>
      <c r="FV176" s="801"/>
      <c r="FW176" s="801"/>
      <c r="FX176" s="801"/>
      <c r="FY176" s="801"/>
      <c r="FZ176" s="802"/>
      <c r="GA176" s="800"/>
      <c r="GB176" s="801"/>
      <c r="GC176" s="801"/>
      <c r="GD176" s="801"/>
      <c r="GE176" s="801"/>
      <c r="GF176" s="801"/>
      <c r="GG176" s="801"/>
      <c r="GH176" s="801"/>
      <c r="GI176" s="801"/>
      <c r="GJ176" s="801"/>
      <c r="GK176" s="801"/>
      <c r="GL176" s="801"/>
      <c r="GM176" s="801"/>
      <c r="GN176" s="801"/>
      <c r="GO176" s="801"/>
      <c r="GP176" s="801"/>
      <c r="GQ176" s="801"/>
      <c r="GR176" s="801"/>
      <c r="GS176" s="801"/>
      <c r="GT176" s="801"/>
      <c r="GU176" s="801"/>
      <c r="GV176" s="801"/>
      <c r="GW176" s="801"/>
      <c r="GX176" s="801"/>
      <c r="GY176" s="801"/>
      <c r="GZ176" s="802"/>
      <c r="HA176" s="800"/>
      <c r="HB176" s="801"/>
      <c r="HC176" s="801"/>
      <c r="HD176" s="801"/>
      <c r="HE176" s="801"/>
      <c r="HF176" s="801"/>
      <c r="HG176" s="801"/>
      <c r="HH176" s="801"/>
      <c r="HI176" s="801"/>
      <c r="HJ176" s="801"/>
      <c r="HK176" s="801"/>
      <c r="HL176" s="801"/>
      <c r="HM176" s="801"/>
      <c r="HN176" s="801"/>
      <c r="HO176" s="801"/>
      <c r="HP176" s="801"/>
      <c r="HQ176" s="801"/>
      <c r="HR176" s="801"/>
      <c r="HS176" s="801"/>
      <c r="HT176" s="801"/>
      <c r="HU176" s="801"/>
      <c r="HV176" s="801"/>
      <c r="HW176" s="801"/>
      <c r="HX176" s="801"/>
      <c r="HY176" s="801"/>
      <c r="HZ176" s="802"/>
      <c r="IA176" s="800"/>
      <c r="IB176" s="801"/>
      <c r="IC176" s="801"/>
      <c r="ID176" s="801"/>
      <c r="IE176" s="801"/>
      <c r="IF176" s="801"/>
      <c r="IG176" s="801"/>
      <c r="IH176" s="801"/>
      <c r="II176" s="801"/>
      <c r="IJ176" s="801"/>
      <c r="IK176" s="801"/>
      <c r="IL176" s="801"/>
      <c r="IM176" s="801"/>
      <c r="IN176" s="801"/>
      <c r="IO176" s="801"/>
      <c r="IP176" s="801"/>
      <c r="IQ176" s="801"/>
      <c r="IR176" s="801"/>
      <c r="IS176" s="801"/>
      <c r="IT176" s="801"/>
      <c r="IU176" s="801"/>
      <c r="IV176" s="801"/>
      <c r="IW176" s="801"/>
      <c r="IX176" s="801"/>
      <c r="IY176" s="801"/>
      <c r="IZ176" s="802"/>
    </row>
    <row r="177" spans="1:260" x14ac:dyDescent="0.25">
      <c r="A177" s="800"/>
      <c r="B177" s="801"/>
      <c r="C177" s="801"/>
      <c r="D177" s="801"/>
      <c r="E177" s="801"/>
      <c r="F177" s="801"/>
      <c r="G177" s="801"/>
      <c r="H177" s="801"/>
      <c r="I177" s="801"/>
      <c r="J177" s="801"/>
      <c r="K177" s="801"/>
      <c r="L177" s="801"/>
      <c r="M177" s="801"/>
      <c r="N177" s="801"/>
      <c r="O177" s="801"/>
      <c r="P177" s="801"/>
      <c r="Q177" s="801"/>
      <c r="R177" s="801"/>
      <c r="S177" s="801"/>
      <c r="T177" s="801"/>
      <c r="U177" s="801"/>
      <c r="V177" s="801"/>
      <c r="W177" s="801"/>
      <c r="X177" s="801"/>
      <c r="Y177" s="801"/>
      <c r="Z177" s="802"/>
      <c r="AA177" s="800"/>
      <c r="AB177" s="801"/>
      <c r="AC177" s="801"/>
      <c r="AD177" s="801"/>
      <c r="AE177" s="801"/>
      <c r="AF177" s="801"/>
      <c r="AG177" s="801"/>
      <c r="AH177" s="801"/>
      <c r="AI177" s="801"/>
      <c r="AJ177" s="801"/>
      <c r="AK177" s="801"/>
      <c r="AL177" s="801"/>
      <c r="AM177" s="801"/>
      <c r="AN177" s="801"/>
      <c r="AO177" s="801"/>
      <c r="AP177" s="801"/>
      <c r="AQ177" s="801"/>
      <c r="AR177" s="801"/>
      <c r="AS177" s="801"/>
      <c r="AT177" s="801"/>
      <c r="AU177" s="801"/>
      <c r="AV177" s="801"/>
      <c r="AW177" s="801"/>
      <c r="AX177" s="801"/>
      <c r="AY177" s="801"/>
      <c r="AZ177" s="802"/>
      <c r="BA177" s="800"/>
      <c r="BB177" s="801"/>
      <c r="BC177" s="801"/>
      <c r="BD177" s="801"/>
      <c r="BE177" s="801"/>
      <c r="BF177" s="801"/>
      <c r="BG177" s="801"/>
      <c r="BH177" s="801"/>
      <c r="BI177" s="801"/>
      <c r="BJ177" s="801"/>
      <c r="BK177" s="801"/>
      <c r="BL177" s="801"/>
      <c r="BM177" s="801"/>
      <c r="BN177" s="801"/>
      <c r="BO177" s="801"/>
      <c r="BP177" s="801"/>
      <c r="BQ177" s="801"/>
      <c r="BR177" s="801"/>
      <c r="BS177" s="801"/>
      <c r="BT177" s="801"/>
      <c r="BU177" s="801"/>
      <c r="BV177" s="801"/>
      <c r="BW177" s="801"/>
      <c r="BX177" s="801"/>
      <c r="BY177" s="801"/>
      <c r="BZ177" s="802"/>
      <c r="CA177" s="800"/>
      <c r="CB177" s="801"/>
      <c r="CC177" s="801"/>
      <c r="CD177" s="801"/>
      <c r="CE177" s="801"/>
      <c r="CF177" s="801"/>
      <c r="CG177" s="801"/>
      <c r="CH177" s="801"/>
      <c r="CI177" s="801"/>
      <c r="CJ177" s="801"/>
      <c r="CK177" s="801"/>
      <c r="CL177" s="801"/>
      <c r="CM177" s="801"/>
      <c r="CN177" s="801"/>
      <c r="CO177" s="801"/>
      <c r="CP177" s="801"/>
      <c r="CQ177" s="801"/>
      <c r="CR177" s="801"/>
      <c r="CS177" s="801"/>
      <c r="CT177" s="801"/>
      <c r="CU177" s="801"/>
      <c r="CV177" s="801"/>
      <c r="CW177" s="801"/>
      <c r="CX177" s="801"/>
      <c r="CY177" s="801"/>
      <c r="CZ177" s="802"/>
      <c r="DA177" s="800"/>
      <c r="DB177" s="801"/>
      <c r="DC177" s="801"/>
      <c r="DD177" s="801"/>
      <c r="DE177" s="801"/>
      <c r="DF177" s="801"/>
      <c r="DG177" s="801"/>
      <c r="DH177" s="801"/>
      <c r="DI177" s="801"/>
      <c r="DJ177" s="801"/>
      <c r="DK177" s="801"/>
      <c r="DL177" s="801"/>
      <c r="DM177" s="801"/>
      <c r="DN177" s="801"/>
      <c r="DO177" s="801"/>
      <c r="DP177" s="801"/>
      <c r="DQ177" s="801"/>
      <c r="DR177" s="801"/>
      <c r="DS177" s="801"/>
      <c r="DT177" s="801"/>
      <c r="DU177" s="801"/>
      <c r="DV177" s="801"/>
      <c r="DW177" s="801"/>
      <c r="DX177" s="801"/>
      <c r="DY177" s="801"/>
      <c r="DZ177" s="802"/>
      <c r="EA177" s="800"/>
      <c r="EB177" s="801"/>
      <c r="EC177" s="801"/>
      <c r="ED177" s="801"/>
      <c r="EE177" s="801"/>
      <c r="EF177" s="801"/>
      <c r="EG177" s="801"/>
      <c r="EH177" s="801"/>
      <c r="EI177" s="801"/>
      <c r="EJ177" s="801"/>
      <c r="EK177" s="801"/>
      <c r="EL177" s="801"/>
      <c r="EM177" s="801"/>
      <c r="EN177" s="801"/>
      <c r="EO177" s="801"/>
      <c r="EP177" s="801"/>
      <c r="EQ177" s="801"/>
      <c r="ER177" s="801"/>
      <c r="ES177" s="801"/>
      <c r="ET177" s="801"/>
      <c r="EU177" s="801"/>
      <c r="EV177" s="801"/>
      <c r="EW177" s="801"/>
      <c r="EX177" s="801"/>
      <c r="EY177" s="801"/>
      <c r="EZ177" s="802"/>
      <c r="FA177" s="800"/>
      <c r="FB177" s="801"/>
      <c r="FC177" s="801"/>
      <c r="FD177" s="801"/>
      <c r="FE177" s="801"/>
      <c r="FF177" s="801"/>
      <c r="FG177" s="801"/>
      <c r="FH177" s="801"/>
      <c r="FI177" s="801"/>
      <c r="FJ177" s="801"/>
      <c r="FK177" s="801"/>
      <c r="FL177" s="801"/>
      <c r="FM177" s="801"/>
      <c r="FN177" s="801"/>
      <c r="FO177" s="801"/>
      <c r="FP177" s="801"/>
      <c r="FQ177" s="801"/>
      <c r="FR177" s="801"/>
      <c r="FS177" s="801"/>
      <c r="FT177" s="801"/>
      <c r="FU177" s="801"/>
      <c r="FV177" s="801"/>
      <c r="FW177" s="801"/>
      <c r="FX177" s="801"/>
      <c r="FY177" s="801"/>
      <c r="FZ177" s="802"/>
      <c r="GA177" s="800"/>
      <c r="GB177" s="801"/>
      <c r="GC177" s="801"/>
      <c r="GD177" s="801"/>
      <c r="GE177" s="801"/>
      <c r="GF177" s="801"/>
      <c r="GG177" s="801"/>
      <c r="GH177" s="801"/>
      <c r="GI177" s="801"/>
      <c r="GJ177" s="801"/>
      <c r="GK177" s="801"/>
      <c r="GL177" s="801"/>
      <c r="GM177" s="801"/>
      <c r="GN177" s="801"/>
      <c r="GO177" s="801"/>
      <c r="GP177" s="801"/>
      <c r="GQ177" s="801"/>
      <c r="GR177" s="801"/>
      <c r="GS177" s="801"/>
      <c r="GT177" s="801"/>
      <c r="GU177" s="801"/>
      <c r="GV177" s="801"/>
      <c r="GW177" s="801"/>
      <c r="GX177" s="801"/>
      <c r="GY177" s="801"/>
      <c r="GZ177" s="802"/>
      <c r="HA177" s="800"/>
      <c r="HB177" s="801"/>
      <c r="HC177" s="801"/>
      <c r="HD177" s="801"/>
      <c r="HE177" s="801"/>
      <c r="HF177" s="801"/>
      <c r="HG177" s="801"/>
      <c r="HH177" s="801"/>
      <c r="HI177" s="801"/>
      <c r="HJ177" s="801"/>
      <c r="HK177" s="801"/>
      <c r="HL177" s="801"/>
      <c r="HM177" s="801"/>
      <c r="HN177" s="801"/>
      <c r="HO177" s="801"/>
      <c r="HP177" s="801"/>
      <c r="HQ177" s="801"/>
      <c r="HR177" s="801"/>
      <c r="HS177" s="801"/>
      <c r="HT177" s="801"/>
      <c r="HU177" s="801"/>
      <c r="HV177" s="801"/>
      <c r="HW177" s="801"/>
      <c r="HX177" s="801"/>
      <c r="HY177" s="801"/>
      <c r="HZ177" s="802"/>
      <c r="IA177" s="800"/>
      <c r="IB177" s="801"/>
      <c r="IC177" s="801"/>
      <c r="ID177" s="801"/>
      <c r="IE177" s="801"/>
      <c r="IF177" s="801"/>
      <c r="IG177" s="801"/>
      <c r="IH177" s="801"/>
      <c r="II177" s="801"/>
      <c r="IJ177" s="801"/>
      <c r="IK177" s="801"/>
      <c r="IL177" s="801"/>
      <c r="IM177" s="801"/>
      <c r="IN177" s="801"/>
      <c r="IO177" s="801"/>
      <c r="IP177" s="801"/>
      <c r="IQ177" s="801"/>
      <c r="IR177" s="801"/>
      <c r="IS177" s="801"/>
      <c r="IT177" s="801"/>
      <c r="IU177" s="801"/>
      <c r="IV177" s="801"/>
      <c r="IW177" s="801"/>
      <c r="IX177" s="801"/>
      <c r="IY177" s="801"/>
      <c r="IZ177" s="802"/>
    </row>
    <row r="178" spans="1:260" x14ac:dyDescent="0.25">
      <c r="A178" s="800" t="str">
        <f>IFERROR(IF(Z161&gt;A161-1,IF(INDEX(Pedidos!J:AZ,Y161+A161-1,31)&lt;&gt;"","Nombres :     "&amp; INDEX(Pedidos!J:AZ,Y161+A161-1,31),""),""),"")</f>
        <v/>
      </c>
      <c r="B178" s="801"/>
      <c r="C178" s="801"/>
      <c r="D178" s="801"/>
      <c r="E178" s="801"/>
      <c r="F178" s="801"/>
      <c r="G178" s="801"/>
      <c r="H178" s="801"/>
      <c r="I178" s="801"/>
      <c r="J178" s="801"/>
      <c r="K178" s="801"/>
      <c r="L178" s="801"/>
      <c r="M178" s="801"/>
      <c r="N178" s="801"/>
      <c r="O178" s="801"/>
      <c r="P178" s="801"/>
      <c r="Q178" s="801"/>
      <c r="R178" s="801"/>
      <c r="S178" s="801"/>
      <c r="T178" s="801"/>
      <c r="U178" s="801"/>
      <c r="V178" s="801"/>
      <c r="W178" s="801"/>
      <c r="X178" s="801"/>
      <c r="Y178" s="801"/>
      <c r="Z178" s="802"/>
      <c r="AA178" s="800" t="str">
        <f>IFERROR(IF(AZ161&gt;AA161-1,IF(INDEX(Pedidos!AJ:BZ,AY161+AA161-1,31)&lt;&gt;"","Nombres :     "&amp; INDEX(Pedidos!AJ:BZ,AY161+AA161-1,31),""),""),"")</f>
        <v/>
      </c>
      <c r="AB178" s="801"/>
      <c r="AC178" s="801"/>
      <c r="AD178" s="801"/>
      <c r="AE178" s="801"/>
      <c r="AF178" s="801"/>
      <c r="AG178" s="801"/>
      <c r="AH178" s="801"/>
      <c r="AI178" s="801"/>
      <c r="AJ178" s="801"/>
      <c r="AK178" s="801"/>
      <c r="AL178" s="801"/>
      <c r="AM178" s="801"/>
      <c r="AN178" s="801"/>
      <c r="AO178" s="801"/>
      <c r="AP178" s="801"/>
      <c r="AQ178" s="801"/>
      <c r="AR178" s="801"/>
      <c r="AS178" s="801"/>
      <c r="AT178" s="801"/>
      <c r="AU178" s="801"/>
      <c r="AV178" s="801"/>
      <c r="AW178" s="801"/>
      <c r="AX178" s="801"/>
      <c r="AY178" s="801"/>
      <c r="AZ178" s="802"/>
      <c r="BA178" s="800" t="str">
        <f>IFERROR(IF(BZ161&gt;BA161-1,IF(INDEX(Pedidos!BJ:CZ,BY161+BA161-1,31)&lt;&gt;"","Nombres :     "&amp; INDEX(Pedidos!BJ:CZ,BY161+BA161-1,31),""),""),"")</f>
        <v/>
      </c>
      <c r="BB178" s="801"/>
      <c r="BC178" s="801"/>
      <c r="BD178" s="801"/>
      <c r="BE178" s="801"/>
      <c r="BF178" s="801"/>
      <c r="BG178" s="801"/>
      <c r="BH178" s="801"/>
      <c r="BI178" s="801"/>
      <c r="BJ178" s="801"/>
      <c r="BK178" s="801"/>
      <c r="BL178" s="801"/>
      <c r="BM178" s="801"/>
      <c r="BN178" s="801"/>
      <c r="BO178" s="801"/>
      <c r="BP178" s="801"/>
      <c r="BQ178" s="801"/>
      <c r="BR178" s="801"/>
      <c r="BS178" s="801"/>
      <c r="BT178" s="801"/>
      <c r="BU178" s="801"/>
      <c r="BV178" s="801"/>
      <c r="BW178" s="801"/>
      <c r="BX178" s="801"/>
      <c r="BY178" s="801"/>
      <c r="BZ178" s="802"/>
      <c r="CA178" s="800" t="str">
        <f>IFERROR(IF(CZ161&gt;CA161-1,IF(INDEX(Pedidos!CJ:DZ,CY161+CA161-1,31)&lt;&gt;"","Nombres :     "&amp; INDEX(Pedidos!CJ:DZ,CY161+CA161-1,31),""),""),"")</f>
        <v/>
      </c>
      <c r="CB178" s="801"/>
      <c r="CC178" s="801"/>
      <c r="CD178" s="801"/>
      <c r="CE178" s="801"/>
      <c r="CF178" s="801"/>
      <c r="CG178" s="801"/>
      <c r="CH178" s="801"/>
      <c r="CI178" s="801"/>
      <c r="CJ178" s="801"/>
      <c r="CK178" s="801"/>
      <c r="CL178" s="801"/>
      <c r="CM178" s="801"/>
      <c r="CN178" s="801"/>
      <c r="CO178" s="801"/>
      <c r="CP178" s="801"/>
      <c r="CQ178" s="801"/>
      <c r="CR178" s="801"/>
      <c r="CS178" s="801"/>
      <c r="CT178" s="801"/>
      <c r="CU178" s="801"/>
      <c r="CV178" s="801"/>
      <c r="CW178" s="801"/>
      <c r="CX178" s="801"/>
      <c r="CY178" s="801"/>
      <c r="CZ178" s="802"/>
      <c r="DA178" s="800" t="str">
        <f>IFERROR(IF(DZ161&gt;DA161-1,IF(INDEX(Pedidos!DJ:EZ,DY161+DA161-1,31)&lt;&gt;"","Nombres :     "&amp; INDEX(Pedidos!DJ:EZ,DY161+DA161-1,31),""),""),"")</f>
        <v/>
      </c>
      <c r="DB178" s="801"/>
      <c r="DC178" s="801"/>
      <c r="DD178" s="801"/>
      <c r="DE178" s="801"/>
      <c r="DF178" s="801"/>
      <c r="DG178" s="801"/>
      <c r="DH178" s="801"/>
      <c r="DI178" s="801"/>
      <c r="DJ178" s="801"/>
      <c r="DK178" s="801"/>
      <c r="DL178" s="801"/>
      <c r="DM178" s="801"/>
      <c r="DN178" s="801"/>
      <c r="DO178" s="801"/>
      <c r="DP178" s="801"/>
      <c r="DQ178" s="801"/>
      <c r="DR178" s="801"/>
      <c r="DS178" s="801"/>
      <c r="DT178" s="801"/>
      <c r="DU178" s="801"/>
      <c r="DV178" s="801"/>
      <c r="DW178" s="801"/>
      <c r="DX178" s="801"/>
      <c r="DY178" s="801"/>
      <c r="DZ178" s="802"/>
      <c r="EA178" s="800" t="str">
        <f>IFERROR(IF(EZ161&gt;EA161-1,IF(INDEX(Pedidos!EJ:FZ,EY161+EA161-1,31)&lt;&gt;"","Nombres :     "&amp; INDEX(Pedidos!EJ:FZ,EY161+EA161-1,31),""),""),"")</f>
        <v/>
      </c>
      <c r="EB178" s="801"/>
      <c r="EC178" s="801"/>
      <c r="ED178" s="801"/>
      <c r="EE178" s="801"/>
      <c r="EF178" s="801"/>
      <c r="EG178" s="801"/>
      <c r="EH178" s="801"/>
      <c r="EI178" s="801"/>
      <c r="EJ178" s="801"/>
      <c r="EK178" s="801"/>
      <c r="EL178" s="801"/>
      <c r="EM178" s="801"/>
      <c r="EN178" s="801"/>
      <c r="EO178" s="801"/>
      <c r="EP178" s="801"/>
      <c r="EQ178" s="801"/>
      <c r="ER178" s="801"/>
      <c r="ES178" s="801"/>
      <c r="ET178" s="801"/>
      <c r="EU178" s="801"/>
      <c r="EV178" s="801"/>
      <c r="EW178" s="801"/>
      <c r="EX178" s="801"/>
      <c r="EY178" s="801"/>
      <c r="EZ178" s="802"/>
      <c r="FA178" s="800" t="str">
        <f>IFERROR(IF(FZ161&gt;FA161-1,IF(INDEX(Pedidos!FJ:GZ,FY161+FA161-1,31)&lt;&gt;"","Nombres :     "&amp; INDEX(Pedidos!FJ:GZ,FY161+FA161-1,31),""),""),"")</f>
        <v/>
      </c>
      <c r="FB178" s="801"/>
      <c r="FC178" s="801"/>
      <c r="FD178" s="801"/>
      <c r="FE178" s="801"/>
      <c r="FF178" s="801"/>
      <c r="FG178" s="801"/>
      <c r="FH178" s="801"/>
      <c r="FI178" s="801"/>
      <c r="FJ178" s="801"/>
      <c r="FK178" s="801"/>
      <c r="FL178" s="801"/>
      <c r="FM178" s="801"/>
      <c r="FN178" s="801"/>
      <c r="FO178" s="801"/>
      <c r="FP178" s="801"/>
      <c r="FQ178" s="801"/>
      <c r="FR178" s="801"/>
      <c r="FS178" s="801"/>
      <c r="FT178" s="801"/>
      <c r="FU178" s="801"/>
      <c r="FV178" s="801"/>
      <c r="FW178" s="801"/>
      <c r="FX178" s="801"/>
      <c r="FY178" s="801"/>
      <c r="FZ178" s="802"/>
      <c r="GA178" s="800" t="str">
        <f>IFERROR(IF(GZ161&gt;GA161-1,IF(INDEX(Pedidos!GJ:HZ,GY161+GA161-1,31)&lt;&gt;"","Nombres :     "&amp; INDEX(Pedidos!GJ:HZ,GY161+GA161-1,31),""),""),"")</f>
        <v/>
      </c>
      <c r="GB178" s="801"/>
      <c r="GC178" s="801"/>
      <c r="GD178" s="801"/>
      <c r="GE178" s="801"/>
      <c r="GF178" s="801"/>
      <c r="GG178" s="801"/>
      <c r="GH178" s="801"/>
      <c r="GI178" s="801"/>
      <c r="GJ178" s="801"/>
      <c r="GK178" s="801"/>
      <c r="GL178" s="801"/>
      <c r="GM178" s="801"/>
      <c r="GN178" s="801"/>
      <c r="GO178" s="801"/>
      <c r="GP178" s="801"/>
      <c r="GQ178" s="801"/>
      <c r="GR178" s="801"/>
      <c r="GS178" s="801"/>
      <c r="GT178" s="801"/>
      <c r="GU178" s="801"/>
      <c r="GV178" s="801"/>
      <c r="GW178" s="801"/>
      <c r="GX178" s="801"/>
      <c r="GY178" s="801"/>
      <c r="GZ178" s="802"/>
      <c r="HA178" s="800" t="str">
        <f>IFERROR(IF(HZ161&gt;HA161-1,IF(INDEX(Pedidos!HJ:IZ,HY161+HA161-1,31)&lt;&gt;"","Nombres :     "&amp; INDEX(Pedidos!HJ:IZ,HY161+HA161-1,31),""),""),"")</f>
        <v/>
      </c>
      <c r="HB178" s="801"/>
      <c r="HC178" s="801"/>
      <c r="HD178" s="801"/>
      <c r="HE178" s="801"/>
      <c r="HF178" s="801"/>
      <c r="HG178" s="801"/>
      <c r="HH178" s="801"/>
      <c r="HI178" s="801"/>
      <c r="HJ178" s="801"/>
      <c r="HK178" s="801"/>
      <c r="HL178" s="801"/>
      <c r="HM178" s="801"/>
      <c r="HN178" s="801"/>
      <c r="HO178" s="801"/>
      <c r="HP178" s="801"/>
      <c r="HQ178" s="801"/>
      <c r="HR178" s="801"/>
      <c r="HS178" s="801"/>
      <c r="HT178" s="801"/>
      <c r="HU178" s="801"/>
      <c r="HV178" s="801"/>
      <c r="HW178" s="801"/>
      <c r="HX178" s="801"/>
      <c r="HY178" s="801"/>
      <c r="HZ178" s="802"/>
      <c r="IA178" s="800" t="str">
        <f>IFERROR(IF(IZ161&gt;IA161-1,IF(INDEX(Pedidos!IJ:JZ,IY161+IA161-1,31)&lt;&gt;"","Nombres :     "&amp; INDEX(Pedidos!IJ:JZ,IY161+IA161-1,31),""),""),"")</f>
        <v/>
      </c>
      <c r="IB178" s="801"/>
      <c r="IC178" s="801"/>
      <c r="ID178" s="801"/>
      <c r="IE178" s="801"/>
      <c r="IF178" s="801"/>
      <c r="IG178" s="801"/>
      <c r="IH178" s="801"/>
      <c r="II178" s="801"/>
      <c r="IJ178" s="801"/>
      <c r="IK178" s="801"/>
      <c r="IL178" s="801"/>
      <c r="IM178" s="801"/>
      <c r="IN178" s="801"/>
      <c r="IO178" s="801"/>
      <c r="IP178" s="801"/>
      <c r="IQ178" s="801"/>
      <c r="IR178" s="801"/>
      <c r="IS178" s="801"/>
      <c r="IT178" s="801"/>
      <c r="IU178" s="801"/>
      <c r="IV178" s="801"/>
      <c r="IW178" s="801"/>
      <c r="IX178" s="801"/>
      <c r="IY178" s="801"/>
      <c r="IZ178" s="802"/>
    </row>
    <row r="179" spans="1:260" x14ac:dyDescent="0.25">
      <c r="A179" s="820" t="str">
        <f>IFERROR(IF(Z161&gt;A161-1,IF(INDEX(Pedidos!J:AZ,Y161+A161-1,32)&lt;&gt;"","Localización de los Nombres :     "&amp; INDEX(Pedidos!J:AZ,Y161+A161-1,32),""),""),"")</f>
        <v/>
      </c>
      <c r="B179" s="821"/>
      <c r="C179" s="821"/>
      <c r="D179" s="821"/>
      <c r="E179" s="821"/>
      <c r="F179" s="821"/>
      <c r="G179" s="821"/>
      <c r="H179" s="821"/>
      <c r="I179" s="821"/>
      <c r="J179" s="821"/>
      <c r="K179" s="821"/>
      <c r="L179" s="821"/>
      <c r="M179" s="821"/>
      <c r="N179" s="821"/>
      <c r="O179" s="821"/>
      <c r="P179" s="821"/>
      <c r="Q179" s="821"/>
      <c r="R179" s="821"/>
      <c r="S179" s="821"/>
      <c r="T179" s="821"/>
      <c r="U179" s="821"/>
      <c r="V179" s="821"/>
      <c r="W179" s="821"/>
      <c r="X179" s="821"/>
      <c r="Y179" s="821"/>
      <c r="Z179" s="822"/>
      <c r="AA179" s="820" t="str">
        <f>IFERROR(IF(AZ161&gt;AA161-1,IF(INDEX(Pedidos!AJ:BZ,AY161+AA161-1,32)&lt;&gt;"","Localización de los Nombres :     "&amp; INDEX(Pedidos!AJ:BZ,AY161+AA161-1,32),""),""),"")</f>
        <v/>
      </c>
      <c r="AB179" s="821"/>
      <c r="AC179" s="821"/>
      <c r="AD179" s="821"/>
      <c r="AE179" s="821"/>
      <c r="AF179" s="821"/>
      <c r="AG179" s="821"/>
      <c r="AH179" s="821"/>
      <c r="AI179" s="821"/>
      <c r="AJ179" s="821"/>
      <c r="AK179" s="821"/>
      <c r="AL179" s="821"/>
      <c r="AM179" s="821"/>
      <c r="AN179" s="821"/>
      <c r="AO179" s="821"/>
      <c r="AP179" s="821"/>
      <c r="AQ179" s="821"/>
      <c r="AR179" s="821"/>
      <c r="AS179" s="821"/>
      <c r="AT179" s="821"/>
      <c r="AU179" s="821"/>
      <c r="AV179" s="821"/>
      <c r="AW179" s="821"/>
      <c r="AX179" s="821"/>
      <c r="AY179" s="821"/>
      <c r="AZ179" s="822"/>
      <c r="BA179" s="820" t="str">
        <f>IFERROR(IF(BZ161&gt;BA161-1,IF(INDEX(Pedidos!BJ:CZ,BY161+BA161-1,32)&lt;&gt;"","Localización de los Nombres :     "&amp; INDEX(Pedidos!BJ:CZ,BY161+BA161-1,32),""),""),"")</f>
        <v/>
      </c>
      <c r="BB179" s="821"/>
      <c r="BC179" s="821"/>
      <c r="BD179" s="821"/>
      <c r="BE179" s="821"/>
      <c r="BF179" s="821"/>
      <c r="BG179" s="821"/>
      <c r="BH179" s="821"/>
      <c r="BI179" s="821"/>
      <c r="BJ179" s="821"/>
      <c r="BK179" s="821"/>
      <c r="BL179" s="821"/>
      <c r="BM179" s="821"/>
      <c r="BN179" s="821"/>
      <c r="BO179" s="821"/>
      <c r="BP179" s="821"/>
      <c r="BQ179" s="821"/>
      <c r="BR179" s="821"/>
      <c r="BS179" s="821"/>
      <c r="BT179" s="821"/>
      <c r="BU179" s="821"/>
      <c r="BV179" s="821"/>
      <c r="BW179" s="821"/>
      <c r="BX179" s="821"/>
      <c r="BY179" s="821"/>
      <c r="BZ179" s="822"/>
      <c r="CA179" s="820" t="str">
        <f>IFERROR(IF(CZ161&gt;CA161-1,IF(INDEX(Pedidos!CJ:DZ,CY161+CA161-1,32)&lt;&gt;"","Localización de los Nombres :     "&amp; INDEX(Pedidos!CJ:DZ,CY161+CA161-1,32),""),""),"")</f>
        <v/>
      </c>
      <c r="CB179" s="821"/>
      <c r="CC179" s="821"/>
      <c r="CD179" s="821"/>
      <c r="CE179" s="821"/>
      <c r="CF179" s="821"/>
      <c r="CG179" s="821"/>
      <c r="CH179" s="821"/>
      <c r="CI179" s="821"/>
      <c r="CJ179" s="821"/>
      <c r="CK179" s="821"/>
      <c r="CL179" s="821"/>
      <c r="CM179" s="821"/>
      <c r="CN179" s="821"/>
      <c r="CO179" s="821"/>
      <c r="CP179" s="821"/>
      <c r="CQ179" s="821"/>
      <c r="CR179" s="821"/>
      <c r="CS179" s="821"/>
      <c r="CT179" s="821"/>
      <c r="CU179" s="821"/>
      <c r="CV179" s="821"/>
      <c r="CW179" s="821"/>
      <c r="CX179" s="821"/>
      <c r="CY179" s="821"/>
      <c r="CZ179" s="822"/>
      <c r="DA179" s="820" t="str">
        <f>IFERROR(IF(DZ161&gt;DA161-1,IF(INDEX(Pedidos!DJ:EZ,DY161+DA161-1,32)&lt;&gt;"","Localización de los Nombres :     "&amp; INDEX(Pedidos!DJ:EZ,DY161+DA161-1,32),""),""),"")</f>
        <v/>
      </c>
      <c r="DB179" s="821"/>
      <c r="DC179" s="821"/>
      <c r="DD179" s="821"/>
      <c r="DE179" s="821"/>
      <c r="DF179" s="821"/>
      <c r="DG179" s="821"/>
      <c r="DH179" s="821"/>
      <c r="DI179" s="821"/>
      <c r="DJ179" s="821"/>
      <c r="DK179" s="821"/>
      <c r="DL179" s="821"/>
      <c r="DM179" s="821"/>
      <c r="DN179" s="821"/>
      <c r="DO179" s="821"/>
      <c r="DP179" s="821"/>
      <c r="DQ179" s="821"/>
      <c r="DR179" s="821"/>
      <c r="DS179" s="821"/>
      <c r="DT179" s="821"/>
      <c r="DU179" s="821"/>
      <c r="DV179" s="821"/>
      <c r="DW179" s="821"/>
      <c r="DX179" s="821"/>
      <c r="DY179" s="821"/>
      <c r="DZ179" s="822"/>
      <c r="EA179" s="820" t="str">
        <f>IFERROR(IF(EZ161&gt;EA161-1,IF(INDEX(Pedidos!EJ:FZ,EY161+EA161-1,32)&lt;&gt;"","Localización de los Nombres :     "&amp; INDEX(Pedidos!EJ:FZ,EY161+EA161-1,32),""),""),"")</f>
        <v/>
      </c>
      <c r="EB179" s="821"/>
      <c r="EC179" s="821"/>
      <c r="ED179" s="821"/>
      <c r="EE179" s="821"/>
      <c r="EF179" s="821"/>
      <c r="EG179" s="821"/>
      <c r="EH179" s="821"/>
      <c r="EI179" s="821"/>
      <c r="EJ179" s="821"/>
      <c r="EK179" s="821"/>
      <c r="EL179" s="821"/>
      <c r="EM179" s="821"/>
      <c r="EN179" s="821"/>
      <c r="EO179" s="821"/>
      <c r="EP179" s="821"/>
      <c r="EQ179" s="821"/>
      <c r="ER179" s="821"/>
      <c r="ES179" s="821"/>
      <c r="ET179" s="821"/>
      <c r="EU179" s="821"/>
      <c r="EV179" s="821"/>
      <c r="EW179" s="821"/>
      <c r="EX179" s="821"/>
      <c r="EY179" s="821"/>
      <c r="EZ179" s="822"/>
      <c r="FA179" s="820" t="str">
        <f>IFERROR(IF(FZ161&gt;FA161-1,IF(INDEX(Pedidos!FJ:GZ,FY161+FA161-1,32)&lt;&gt;"","Localización de los Nombres :     "&amp; INDEX(Pedidos!FJ:GZ,FY161+FA161-1,32),""),""),"")</f>
        <v/>
      </c>
      <c r="FB179" s="821"/>
      <c r="FC179" s="821"/>
      <c r="FD179" s="821"/>
      <c r="FE179" s="821"/>
      <c r="FF179" s="821"/>
      <c r="FG179" s="821"/>
      <c r="FH179" s="821"/>
      <c r="FI179" s="821"/>
      <c r="FJ179" s="821"/>
      <c r="FK179" s="821"/>
      <c r="FL179" s="821"/>
      <c r="FM179" s="821"/>
      <c r="FN179" s="821"/>
      <c r="FO179" s="821"/>
      <c r="FP179" s="821"/>
      <c r="FQ179" s="821"/>
      <c r="FR179" s="821"/>
      <c r="FS179" s="821"/>
      <c r="FT179" s="821"/>
      <c r="FU179" s="821"/>
      <c r="FV179" s="821"/>
      <c r="FW179" s="821"/>
      <c r="FX179" s="821"/>
      <c r="FY179" s="821"/>
      <c r="FZ179" s="822"/>
      <c r="GA179" s="820" t="str">
        <f>IFERROR(IF(GZ161&gt;GA161-1,IF(INDEX(Pedidos!GJ:HZ,GY161+GA161-1,32)&lt;&gt;"","Localización de los Nombres :     "&amp; INDEX(Pedidos!GJ:HZ,GY161+GA161-1,32),""),""),"")</f>
        <v/>
      </c>
      <c r="GB179" s="821"/>
      <c r="GC179" s="821"/>
      <c r="GD179" s="821"/>
      <c r="GE179" s="821"/>
      <c r="GF179" s="821"/>
      <c r="GG179" s="821"/>
      <c r="GH179" s="821"/>
      <c r="GI179" s="821"/>
      <c r="GJ179" s="821"/>
      <c r="GK179" s="821"/>
      <c r="GL179" s="821"/>
      <c r="GM179" s="821"/>
      <c r="GN179" s="821"/>
      <c r="GO179" s="821"/>
      <c r="GP179" s="821"/>
      <c r="GQ179" s="821"/>
      <c r="GR179" s="821"/>
      <c r="GS179" s="821"/>
      <c r="GT179" s="821"/>
      <c r="GU179" s="821"/>
      <c r="GV179" s="821"/>
      <c r="GW179" s="821"/>
      <c r="GX179" s="821"/>
      <c r="GY179" s="821"/>
      <c r="GZ179" s="822"/>
      <c r="HA179" s="820" t="str">
        <f>IFERROR(IF(HZ161&gt;HA161-1,IF(INDEX(Pedidos!HJ:IZ,HY161+HA161-1,32)&lt;&gt;"","Localización de los Nombres :     "&amp; INDEX(Pedidos!HJ:IZ,HY161+HA161-1,32),""),""),"")</f>
        <v/>
      </c>
      <c r="HB179" s="821"/>
      <c r="HC179" s="821"/>
      <c r="HD179" s="821"/>
      <c r="HE179" s="821"/>
      <c r="HF179" s="821"/>
      <c r="HG179" s="821"/>
      <c r="HH179" s="821"/>
      <c r="HI179" s="821"/>
      <c r="HJ179" s="821"/>
      <c r="HK179" s="821"/>
      <c r="HL179" s="821"/>
      <c r="HM179" s="821"/>
      <c r="HN179" s="821"/>
      <c r="HO179" s="821"/>
      <c r="HP179" s="821"/>
      <c r="HQ179" s="821"/>
      <c r="HR179" s="821"/>
      <c r="HS179" s="821"/>
      <c r="HT179" s="821"/>
      <c r="HU179" s="821"/>
      <c r="HV179" s="821"/>
      <c r="HW179" s="821"/>
      <c r="HX179" s="821"/>
      <c r="HY179" s="821"/>
      <c r="HZ179" s="822"/>
      <c r="IA179" s="820" t="str">
        <f>IFERROR(IF(IZ161&gt;IA161-1,IF(INDEX(Pedidos!IJ:JZ,IY161+IA161-1,32)&lt;&gt;"","Localización de los Nombres :     "&amp; INDEX(Pedidos!IJ:JZ,IY161+IA161-1,32),""),""),"")</f>
        <v/>
      </c>
      <c r="IB179" s="821"/>
      <c r="IC179" s="821"/>
      <c r="ID179" s="821"/>
      <c r="IE179" s="821"/>
      <c r="IF179" s="821"/>
      <c r="IG179" s="821"/>
      <c r="IH179" s="821"/>
      <c r="II179" s="821"/>
      <c r="IJ179" s="821"/>
      <c r="IK179" s="821"/>
      <c r="IL179" s="821"/>
      <c r="IM179" s="821"/>
      <c r="IN179" s="821"/>
      <c r="IO179" s="821"/>
      <c r="IP179" s="821"/>
      <c r="IQ179" s="821"/>
      <c r="IR179" s="821"/>
      <c r="IS179" s="821"/>
      <c r="IT179" s="821"/>
      <c r="IU179" s="821"/>
      <c r="IV179" s="821"/>
      <c r="IW179" s="821"/>
      <c r="IX179" s="821"/>
      <c r="IY179" s="821"/>
      <c r="IZ179" s="822"/>
    </row>
    <row r="180" spans="1:260" ht="15" customHeight="1" x14ac:dyDescent="0.25">
      <c r="A180" s="836" t="str">
        <f>IFERROR(IF(Z161&gt;A161-1,IF(INDEX(Pedidos!J:AZ,Y161+A161-1,37)&lt;&gt;"","Otras Instrucciones Especiales :     "&amp; INDEX(Pedidos!J:AZ,Y161+A161-1,37),""),""),"")</f>
        <v/>
      </c>
      <c r="B180" s="837"/>
      <c r="C180" s="837"/>
      <c r="D180" s="837"/>
      <c r="E180" s="837"/>
      <c r="F180" s="837"/>
      <c r="G180" s="837"/>
      <c r="H180" s="837"/>
      <c r="I180" s="837"/>
      <c r="J180" s="837"/>
      <c r="K180" s="837"/>
      <c r="L180" s="837"/>
      <c r="M180" s="837"/>
      <c r="N180" s="837"/>
      <c r="O180" s="837"/>
      <c r="P180" s="837"/>
      <c r="Q180" s="837"/>
      <c r="R180" s="837"/>
      <c r="S180" s="837"/>
      <c r="T180" s="837"/>
      <c r="U180" s="837"/>
      <c r="V180" s="837"/>
      <c r="W180" s="837"/>
      <c r="X180" s="837"/>
      <c r="Y180" s="837"/>
      <c r="Z180" s="838"/>
      <c r="AA180" s="836" t="str">
        <f>IFERROR(IF(AZ161&gt;AA161-1,IF(INDEX(Pedidos!AJ:BZ,AY161+AA161-1,37)&lt;&gt;"","Otras Instrucciones Especiales :     "&amp; INDEX(Pedidos!AJ:BZ,AY161+AA161-1,37),""),""),"")</f>
        <v/>
      </c>
      <c r="AB180" s="837"/>
      <c r="AC180" s="837"/>
      <c r="AD180" s="837"/>
      <c r="AE180" s="837"/>
      <c r="AF180" s="837"/>
      <c r="AG180" s="837"/>
      <c r="AH180" s="837"/>
      <c r="AI180" s="837"/>
      <c r="AJ180" s="837"/>
      <c r="AK180" s="837"/>
      <c r="AL180" s="837"/>
      <c r="AM180" s="837"/>
      <c r="AN180" s="837"/>
      <c r="AO180" s="837"/>
      <c r="AP180" s="837"/>
      <c r="AQ180" s="837"/>
      <c r="AR180" s="837"/>
      <c r="AS180" s="837"/>
      <c r="AT180" s="837"/>
      <c r="AU180" s="837"/>
      <c r="AV180" s="837"/>
      <c r="AW180" s="837"/>
      <c r="AX180" s="837"/>
      <c r="AY180" s="837"/>
      <c r="AZ180" s="838"/>
      <c r="BA180" s="836" t="str">
        <f>IFERROR(IF(BZ161&gt;BA161-1,IF(INDEX(Pedidos!BJ:CZ,BY161+BA161-1,37)&lt;&gt;"","Otras Instrucciones Especiales :     "&amp; INDEX(Pedidos!BJ:CZ,BY161+BA161-1,37),""),""),"")</f>
        <v/>
      </c>
      <c r="BB180" s="837"/>
      <c r="BC180" s="837"/>
      <c r="BD180" s="837"/>
      <c r="BE180" s="837"/>
      <c r="BF180" s="837"/>
      <c r="BG180" s="837"/>
      <c r="BH180" s="837"/>
      <c r="BI180" s="837"/>
      <c r="BJ180" s="837"/>
      <c r="BK180" s="837"/>
      <c r="BL180" s="837"/>
      <c r="BM180" s="837"/>
      <c r="BN180" s="837"/>
      <c r="BO180" s="837"/>
      <c r="BP180" s="837"/>
      <c r="BQ180" s="837"/>
      <c r="BR180" s="837"/>
      <c r="BS180" s="837"/>
      <c r="BT180" s="837"/>
      <c r="BU180" s="837"/>
      <c r="BV180" s="837"/>
      <c r="BW180" s="837"/>
      <c r="BX180" s="837"/>
      <c r="BY180" s="837"/>
      <c r="BZ180" s="838"/>
      <c r="CA180" s="836" t="str">
        <f>IFERROR(IF(CZ161&gt;CA161-1,IF(INDEX(Pedidos!CJ:DZ,CY161+CA161-1,37)&lt;&gt;"","Otras Instrucciones Especiales :     "&amp; INDEX(Pedidos!CJ:DZ,CY161+CA161-1,37),""),""),"")</f>
        <v/>
      </c>
      <c r="CB180" s="837"/>
      <c r="CC180" s="837"/>
      <c r="CD180" s="837"/>
      <c r="CE180" s="837"/>
      <c r="CF180" s="837"/>
      <c r="CG180" s="837"/>
      <c r="CH180" s="837"/>
      <c r="CI180" s="837"/>
      <c r="CJ180" s="837"/>
      <c r="CK180" s="837"/>
      <c r="CL180" s="837"/>
      <c r="CM180" s="837"/>
      <c r="CN180" s="837"/>
      <c r="CO180" s="837"/>
      <c r="CP180" s="837"/>
      <c r="CQ180" s="837"/>
      <c r="CR180" s="837"/>
      <c r="CS180" s="837"/>
      <c r="CT180" s="837"/>
      <c r="CU180" s="837"/>
      <c r="CV180" s="837"/>
      <c r="CW180" s="837"/>
      <c r="CX180" s="837"/>
      <c r="CY180" s="837"/>
      <c r="CZ180" s="838"/>
      <c r="DA180" s="836" t="str">
        <f>IFERROR(IF(DZ161&gt;DA161-1,IF(INDEX(Pedidos!DJ:EZ,DY161+DA161-1,37)&lt;&gt;"","Otras Instrucciones Especiales :     "&amp; INDEX(Pedidos!DJ:EZ,DY161+DA161-1,37),""),""),"")</f>
        <v/>
      </c>
      <c r="DB180" s="837"/>
      <c r="DC180" s="837"/>
      <c r="DD180" s="837"/>
      <c r="DE180" s="837"/>
      <c r="DF180" s="837"/>
      <c r="DG180" s="837"/>
      <c r="DH180" s="837"/>
      <c r="DI180" s="837"/>
      <c r="DJ180" s="837"/>
      <c r="DK180" s="837"/>
      <c r="DL180" s="837"/>
      <c r="DM180" s="837"/>
      <c r="DN180" s="837"/>
      <c r="DO180" s="837"/>
      <c r="DP180" s="837"/>
      <c r="DQ180" s="837"/>
      <c r="DR180" s="837"/>
      <c r="DS180" s="837"/>
      <c r="DT180" s="837"/>
      <c r="DU180" s="837"/>
      <c r="DV180" s="837"/>
      <c r="DW180" s="837"/>
      <c r="DX180" s="837"/>
      <c r="DY180" s="837"/>
      <c r="DZ180" s="838"/>
      <c r="EA180" s="836" t="str">
        <f>IFERROR(IF(EZ161&gt;EA161-1,IF(INDEX(Pedidos!EJ:FZ,EY161+EA161-1,37)&lt;&gt;"","Otras Instrucciones Especiales :     "&amp; INDEX(Pedidos!EJ:FZ,EY161+EA161-1,37),""),""),"")</f>
        <v/>
      </c>
      <c r="EB180" s="837"/>
      <c r="EC180" s="837"/>
      <c r="ED180" s="837"/>
      <c r="EE180" s="837"/>
      <c r="EF180" s="837"/>
      <c r="EG180" s="837"/>
      <c r="EH180" s="837"/>
      <c r="EI180" s="837"/>
      <c r="EJ180" s="837"/>
      <c r="EK180" s="837"/>
      <c r="EL180" s="837"/>
      <c r="EM180" s="837"/>
      <c r="EN180" s="837"/>
      <c r="EO180" s="837"/>
      <c r="EP180" s="837"/>
      <c r="EQ180" s="837"/>
      <c r="ER180" s="837"/>
      <c r="ES180" s="837"/>
      <c r="ET180" s="837"/>
      <c r="EU180" s="837"/>
      <c r="EV180" s="837"/>
      <c r="EW180" s="837"/>
      <c r="EX180" s="837"/>
      <c r="EY180" s="837"/>
      <c r="EZ180" s="838"/>
      <c r="FA180" s="836" t="str">
        <f>IFERROR(IF(FZ161&gt;FA161-1,IF(INDEX(Pedidos!FJ:GZ,FY161+FA161-1,37)&lt;&gt;"","Otras Instrucciones Especiales :     "&amp; INDEX(Pedidos!FJ:GZ,FY161+FA161-1,37),""),""),"")</f>
        <v/>
      </c>
      <c r="FB180" s="837"/>
      <c r="FC180" s="837"/>
      <c r="FD180" s="837"/>
      <c r="FE180" s="837"/>
      <c r="FF180" s="837"/>
      <c r="FG180" s="837"/>
      <c r="FH180" s="837"/>
      <c r="FI180" s="837"/>
      <c r="FJ180" s="837"/>
      <c r="FK180" s="837"/>
      <c r="FL180" s="837"/>
      <c r="FM180" s="837"/>
      <c r="FN180" s="837"/>
      <c r="FO180" s="837"/>
      <c r="FP180" s="837"/>
      <c r="FQ180" s="837"/>
      <c r="FR180" s="837"/>
      <c r="FS180" s="837"/>
      <c r="FT180" s="837"/>
      <c r="FU180" s="837"/>
      <c r="FV180" s="837"/>
      <c r="FW180" s="837"/>
      <c r="FX180" s="837"/>
      <c r="FY180" s="837"/>
      <c r="FZ180" s="838"/>
      <c r="GA180" s="836" t="str">
        <f>IFERROR(IF(GZ161&gt;GA161-1,IF(INDEX(Pedidos!GJ:HZ,GY161+GA161-1,37)&lt;&gt;"","Otras Instrucciones Especiales :     "&amp; INDEX(Pedidos!GJ:HZ,GY161+GA161-1,37),""),""),"")</f>
        <v/>
      </c>
      <c r="GB180" s="837"/>
      <c r="GC180" s="837"/>
      <c r="GD180" s="837"/>
      <c r="GE180" s="837"/>
      <c r="GF180" s="837"/>
      <c r="GG180" s="837"/>
      <c r="GH180" s="837"/>
      <c r="GI180" s="837"/>
      <c r="GJ180" s="837"/>
      <c r="GK180" s="837"/>
      <c r="GL180" s="837"/>
      <c r="GM180" s="837"/>
      <c r="GN180" s="837"/>
      <c r="GO180" s="837"/>
      <c r="GP180" s="837"/>
      <c r="GQ180" s="837"/>
      <c r="GR180" s="837"/>
      <c r="GS180" s="837"/>
      <c r="GT180" s="837"/>
      <c r="GU180" s="837"/>
      <c r="GV180" s="837"/>
      <c r="GW180" s="837"/>
      <c r="GX180" s="837"/>
      <c r="GY180" s="837"/>
      <c r="GZ180" s="838"/>
      <c r="HA180" s="836" t="str">
        <f>IFERROR(IF(HZ161&gt;HA161-1,IF(INDEX(Pedidos!HJ:IZ,HY161+HA161-1,37)&lt;&gt;"","Otras Instrucciones Especiales :     "&amp; INDEX(Pedidos!HJ:IZ,HY161+HA161-1,37),""),""),"")</f>
        <v/>
      </c>
      <c r="HB180" s="837"/>
      <c r="HC180" s="837"/>
      <c r="HD180" s="837"/>
      <c r="HE180" s="837"/>
      <c r="HF180" s="837"/>
      <c r="HG180" s="837"/>
      <c r="HH180" s="837"/>
      <c r="HI180" s="837"/>
      <c r="HJ180" s="837"/>
      <c r="HK180" s="837"/>
      <c r="HL180" s="837"/>
      <c r="HM180" s="837"/>
      <c r="HN180" s="837"/>
      <c r="HO180" s="837"/>
      <c r="HP180" s="837"/>
      <c r="HQ180" s="837"/>
      <c r="HR180" s="837"/>
      <c r="HS180" s="837"/>
      <c r="HT180" s="837"/>
      <c r="HU180" s="837"/>
      <c r="HV180" s="837"/>
      <c r="HW180" s="837"/>
      <c r="HX180" s="837"/>
      <c r="HY180" s="837"/>
      <c r="HZ180" s="838"/>
      <c r="IA180" s="836" t="str">
        <f>IFERROR(IF(IZ161&gt;IA161-1,IF(INDEX(Pedidos!IJ:JZ,IY161+IA161-1,37)&lt;&gt;"","Otras Instrucciones Especiales :     "&amp; INDEX(Pedidos!IJ:JZ,IY161+IA161-1,37),""),""),"")</f>
        <v/>
      </c>
      <c r="IB180" s="837"/>
      <c r="IC180" s="837"/>
      <c r="ID180" s="837"/>
      <c r="IE180" s="837"/>
      <c r="IF180" s="837"/>
      <c r="IG180" s="837"/>
      <c r="IH180" s="837"/>
      <c r="II180" s="837"/>
      <c r="IJ180" s="837"/>
      <c r="IK180" s="837"/>
      <c r="IL180" s="837"/>
      <c r="IM180" s="837"/>
      <c r="IN180" s="837"/>
      <c r="IO180" s="837"/>
      <c r="IP180" s="837"/>
      <c r="IQ180" s="837"/>
      <c r="IR180" s="837"/>
      <c r="IS180" s="837"/>
      <c r="IT180" s="837"/>
      <c r="IU180" s="837"/>
      <c r="IV180" s="837"/>
      <c r="IW180" s="837"/>
      <c r="IX180" s="837"/>
      <c r="IY180" s="837"/>
      <c r="IZ180" s="838"/>
    </row>
    <row r="181" spans="1:260" ht="15.75" thickBot="1" x14ac:dyDescent="0.3">
      <c r="A181" s="839"/>
      <c r="B181" s="840"/>
      <c r="C181" s="840"/>
      <c r="D181" s="840"/>
      <c r="E181" s="840"/>
      <c r="F181" s="840"/>
      <c r="G181" s="840"/>
      <c r="H181" s="840"/>
      <c r="I181" s="840"/>
      <c r="J181" s="840"/>
      <c r="K181" s="840"/>
      <c r="L181" s="840"/>
      <c r="M181" s="840"/>
      <c r="N181" s="840"/>
      <c r="O181" s="840"/>
      <c r="P181" s="840"/>
      <c r="Q181" s="840"/>
      <c r="R181" s="840"/>
      <c r="S181" s="840"/>
      <c r="T181" s="840"/>
      <c r="U181" s="840"/>
      <c r="V181" s="840"/>
      <c r="W181" s="840"/>
      <c r="X181" s="840"/>
      <c r="Y181" s="840"/>
      <c r="Z181" s="841"/>
      <c r="AA181" s="839"/>
      <c r="AB181" s="840"/>
      <c r="AC181" s="840"/>
      <c r="AD181" s="840"/>
      <c r="AE181" s="840"/>
      <c r="AF181" s="840"/>
      <c r="AG181" s="840"/>
      <c r="AH181" s="840"/>
      <c r="AI181" s="840"/>
      <c r="AJ181" s="840"/>
      <c r="AK181" s="840"/>
      <c r="AL181" s="840"/>
      <c r="AM181" s="840"/>
      <c r="AN181" s="840"/>
      <c r="AO181" s="840"/>
      <c r="AP181" s="840"/>
      <c r="AQ181" s="840"/>
      <c r="AR181" s="840"/>
      <c r="AS181" s="840"/>
      <c r="AT181" s="840"/>
      <c r="AU181" s="840"/>
      <c r="AV181" s="840"/>
      <c r="AW181" s="840"/>
      <c r="AX181" s="840"/>
      <c r="AY181" s="840"/>
      <c r="AZ181" s="841"/>
      <c r="BA181" s="839"/>
      <c r="BB181" s="840"/>
      <c r="BC181" s="840"/>
      <c r="BD181" s="840"/>
      <c r="BE181" s="840"/>
      <c r="BF181" s="840"/>
      <c r="BG181" s="840"/>
      <c r="BH181" s="840"/>
      <c r="BI181" s="840"/>
      <c r="BJ181" s="840"/>
      <c r="BK181" s="840"/>
      <c r="BL181" s="840"/>
      <c r="BM181" s="840"/>
      <c r="BN181" s="840"/>
      <c r="BO181" s="840"/>
      <c r="BP181" s="840"/>
      <c r="BQ181" s="840"/>
      <c r="BR181" s="840"/>
      <c r="BS181" s="840"/>
      <c r="BT181" s="840"/>
      <c r="BU181" s="840"/>
      <c r="BV181" s="840"/>
      <c r="BW181" s="840"/>
      <c r="BX181" s="840"/>
      <c r="BY181" s="840"/>
      <c r="BZ181" s="841"/>
      <c r="CA181" s="839"/>
      <c r="CB181" s="840"/>
      <c r="CC181" s="840"/>
      <c r="CD181" s="840"/>
      <c r="CE181" s="840"/>
      <c r="CF181" s="840"/>
      <c r="CG181" s="840"/>
      <c r="CH181" s="840"/>
      <c r="CI181" s="840"/>
      <c r="CJ181" s="840"/>
      <c r="CK181" s="840"/>
      <c r="CL181" s="840"/>
      <c r="CM181" s="840"/>
      <c r="CN181" s="840"/>
      <c r="CO181" s="840"/>
      <c r="CP181" s="840"/>
      <c r="CQ181" s="840"/>
      <c r="CR181" s="840"/>
      <c r="CS181" s="840"/>
      <c r="CT181" s="840"/>
      <c r="CU181" s="840"/>
      <c r="CV181" s="840"/>
      <c r="CW181" s="840"/>
      <c r="CX181" s="840"/>
      <c r="CY181" s="840"/>
      <c r="CZ181" s="841"/>
      <c r="DA181" s="839"/>
      <c r="DB181" s="840"/>
      <c r="DC181" s="840"/>
      <c r="DD181" s="840"/>
      <c r="DE181" s="840"/>
      <c r="DF181" s="840"/>
      <c r="DG181" s="840"/>
      <c r="DH181" s="840"/>
      <c r="DI181" s="840"/>
      <c r="DJ181" s="840"/>
      <c r="DK181" s="840"/>
      <c r="DL181" s="840"/>
      <c r="DM181" s="840"/>
      <c r="DN181" s="840"/>
      <c r="DO181" s="840"/>
      <c r="DP181" s="840"/>
      <c r="DQ181" s="840"/>
      <c r="DR181" s="840"/>
      <c r="DS181" s="840"/>
      <c r="DT181" s="840"/>
      <c r="DU181" s="840"/>
      <c r="DV181" s="840"/>
      <c r="DW181" s="840"/>
      <c r="DX181" s="840"/>
      <c r="DY181" s="840"/>
      <c r="DZ181" s="841"/>
      <c r="EA181" s="839"/>
      <c r="EB181" s="840"/>
      <c r="EC181" s="840"/>
      <c r="ED181" s="840"/>
      <c r="EE181" s="840"/>
      <c r="EF181" s="840"/>
      <c r="EG181" s="840"/>
      <c r="EH181" s="840"/>
      <c r="EI181" s="840"/>
      <c r="EJ181" s="840"/>
      <c r="EK181" s="840"/>
      <c r="EL181" s="840"/>
      <c r="EM181" s="840"/>
      <c r="EN181" s="840"/>
      <c r="EO181" s="840"/>
      <c r="EP181" s="840"/>
      <c r="EQ181" s="840"/>
      <c r="ER181" s="840"/>
      <c r="ES181" s="840"/>
      <c r="ET181" s="840"/>
      <c r="EU181" s="840"/>
      <c r="EV181" s="840"/>
      <c r="EW181" s="840"/>
      <c r="EX181" s="840"/>
      <c r="EY181" s="840"/>
      <c r="EZ181" s="841"/>
      <c r="FA181" s="839"/>
      <c r="FB181" s="840"/>
      <c r="FC181" s="840"/>
      <c r="FD181" s="840"/>
      <c r="FE181" s="840"/>
      <c r="FF181" s="840"/>
      <c r="FG181" s="840"/>
      <c r="FH181" s="840"/>
      <c r="FI181" s="840"/>
      <c r="FJ181" s="840"/>
      <c r="FK181" s="840"/>
      <c r="FL181" s="840"/>
      <c r="FM181" s="840"/>
      <c r="FN181" s="840"/>
      <c r="FO181" s="840"/>
      <c r="FP181" s="840"/>
      <c r="FQ181" s="840"/>
      <c r="FR181" s="840"/>
      <c r="FS181" s="840"/>
      <c r="FT181" s="840"/>
      <c r="FU181" s="840"/>
      <c r="FV181" s="840"/>
      <c r="FW181" s="840"/>
      <c r="FX181" s="840"/>
      <c r="FY181" s="840"/>
      <c r="FZ181" s="841"/>
      <c r="GA181" s="839"/>
      <c r="GB181" s="840"/>
      <c r="GC181" s="840"/>
      <c r="GD181" s="840"/>
      <c r="GE181" s="840"/>
      <c r="GF181" s="840"/>
      <c r="GG181" s="840"/>
      <c r="GH181" s="840"/>
      <c r="GI181" s="840"/>
      <c r="GJ181" s="840"/>
      <c r="GK181" s="840"/>
      <c r="GL181" s="840"/>
      <c r="GM181" s="840"/>
      <c r="GN181" s="840"/>
      <c r="GO181" s="840"/>
      <c r="GP181" s="840"/>
      <c r="GQ181" s="840"/>
      <c r="GR181" s="840"/>
      <c r="GS181" s="840"/>
      <c r="GT181" s="840"/>
      <c r="GU181" s="840"/>
      <c r="GV181" s="840"/>
      <c r="GW181" s="840"/>
      <c r="GX181" s="840"/>
      <c r="GY181" s="840"/>
      <c r="GZ181" s="841"/>
      <c r="HA181" s="839"/>
      <c r="HB181" s="840"/>
      <c r="HC181" s="840"/>
      <c r="HD181" s="840"/>
      <c r="HE181" s="840"/>
      <c r="HF181" s="840"/>
      <c r="HG181" s="840"/>
      <c r="HH181" s="840"/>
      <c r="HI181" s="840"/>
      <c r="HJ181" s="840"/>
      <c r="HK181" s="840"/>
      <c r="HL181" s="840"/>
      <c r="HM181" s="840"/>
      <c r="HN181" s="840"/>
      <c r="HO181" s="840"/>
      <c r="HP181" s="840"/>
      <c r="HQ181" s="840"/>
      <c r="HR181" s="840"/>
      <c r="HS181" s="840"/>
      <c r="HT181" s="840"/>
      <c r="HU181" s="840"/>
      <c r="HV181" s="840"/>
      <c r="HW181" s="840"/>
      <c r="HX181" s="840"/>
      <c r="HY181" s="840"/>
      <c r="HZ181" s="841"/>
      <c r="IA181" s="839"/>
      <c r="IB181" s="840"/>
      <c r="IC181" s="840"/>
      <c r="ID181" s="840"/>
      <c r="IE181" s="840"/>
      <c r="IF181" s="840"/>
      <c r="IG181" s="840"/>
      <c r="IH181" s="840"/>
      <c r="II181" s="840"/>
      <c r="IJ181" s="840"/>
      <c r="IK181" s="840"/>
      <c r="IL181" s="840"/>
      <c r="IM181" s="840"/>
      <c r="IN181" s="840"/>
      <c r="IO181" s="840"/>
      <c r="IP181" s="840"/>
      <c r="IQ181" s="840"/>
      <c r="IR181" s="840"/>
      <c r="IS181" s="840"/>
      <c r="IT181" s="840"/>
      <c r="IU181" s="840"/>
      <c r="IV181" s="840"/>
      <c r="IW181" s="840"/>
      <c r="IX181" s="840"/>
      <c r="IY181" s="840"/>
      <c r="IZ181" s="841"/>
    </row>
    <row r="182" spans="1:260" x14ac:dyDescent="0.25">
      <c r="AA182" s="518"/>
      <c r="AB182" s="518"/>
      <c r="AC182" s="518"/>
      <c r="AD182" s="518"/>
      <c r="AE182" s="518"/>
      <c r="AF182" s="518"/>
      <c r="AG182" s="518"/>
      <c r="AH182" s="518"/>
      <c r="AI182" s="518"/>
      <c r="AJ182" s="518"/>
      <c r="AK182" s="518"/>
      <c r="AL182" s="518"/>
      <c r="AM182" s="518"/>
      <c r="AN182" s="518"/>
      <c r="AO182" s="518"/>
      <c r="AP182" s="518"/>
      <c r="AQ182" s="518"/>
      <c r="AR182" s="518"/>
      <c r="AS182" s="518"/>
      <c r="AT182" s="518"/>
      <c r="AU182" s="518"/>
      <c r="AV182" s="518"/>
      <c r="AW182" s="518"/>
    </row>
    <row r="183" spans="1:260" x14ac:dyDescent="0.25">
      <c r="AA183" s="518"/>
      <c r="AB183" s="518"/>
      <c r="AC183" s="518"/>
      <c r="AD183" s="518"/>
      <c r="AE183" s="518"/>
      <c r="AF183" s="518"/>
      <c r="AG183" s="518"/>
      <c r="AH183" s="518"/>
      <c r="AI183" s="518"/>
      <c r="AJ183" s="518"/>
      <c r="AK183" s="518"/>
      <c r="AL183" s="518"/>
      <c r="AM183" s="518"/>
      <c r="AN183" s="518"/>
      <c r="AO183" s="518"/>
      <c r="AP183" s="518"/>
      <c r="AQ183" s="518"/>
      <c r="AR183" s="518"/>
      <c r="AS183" s="518"/>
      <c r="AT183" s="518"/>
      <c r="AU183" s="518"/>
      <c r="AV183" s="518"/>
      <c r="AW183" s="518"/>
    </row>
    <row r="184" spans="1:260" x14ac:dyDescent="0.25">
      <c r="A184" s="529"/>
      <c r="B184" s="529"/>
      <c r="C184" s="529"/>
      <c r="D184" s="529"/>
      <c r="E184" s="529"/>
      <c r="F184" s="529"/>
      <c r="G184" s="529"/>
      <c r="H184" s="529"/>
      <c r="I184" s="529"/>
      <c r="J184" s="529">
        <v>18</v>
      </c>
      <c r="K184" s="529">
        <v>19</v>
      </c>
      <c r="L184" s="529">
        <v>20</v>
      </c>
      <c r="M184" s="529">
        <v>21</v>
      </c>
      <c r="N184" s="529">
        <v>22</v>
      </c>
      <c r="O184" s="529">
        <v>23</v>
      </c>
      <c r="P184" s="529">
        <v>24</v>
      </c>
      <c r="Q184" s="529">
        <v>25</v>
      </c>
      <c r="R184" s="529">
        <v>26</v>
      </c>
      <c r="S184" s="529">
        <v>27</v>
      </c>
      <c r="T184" s="529">
        <v>28</v>
      </c>
      <c r="U184" s="529">
        <v>29</v>
      </c>
      <c r="V184" s="529">
        <v>30</v>
      </c>
      <c r="W184" s="529"/>
      <c r="X184" s="529"/>
      <c r="Y184" s="529">
        <f>IFERROR(IF(COUNTIF(Pedidos!$J:$J,Q$2)&gt;A184-1,MATCH(Q$2,Pedidos!$J:$J,0),""),"")</f>
        <v>22</v>
      </c>
      <c r="Z184" s="529">
        <f>IFERROR(IF(Y184="",0,COUNTIF(Pedidos!$J:$J,Procesos!Q$2)),"")</f>
        <v>1</v>
      </c>
      <c r="AA184" s="529"/>
      <c r="AB184" s="529"/>
      <c r="AC184" s="529"/>
      <c r="AD184" s="529"/>
      <c r="AE184" s="529"/>
      <c r="AF184" s="529"/>
      <c r="AG184" s="529"/>
      <c r="AH184" s="529"/>
      <c r="AI184" s="529"/>
      <c r="AJ184" s="529">
        <v>18</v>
      </c>
      <c r="AK184" s="529">
        <v>19</v>
      </c>
      <c r="AL184" s="529">
        <v>20</v>
      </c>
      <c r="AM184" s="529">
        <v>21</v>
      </c>
      <c r="AN184" s="529">
        <v>22</v>
      </c>
      <c r="AO184" s="529">
        <v>23</v>
      </c>
      <c r="AP184" s="529">
        <v>24</v>
      </c>
      <c r="AQ184" s="529">
        <v>25</v>
      </c>
      <c r="AR184" s="529">
        <v>26</v>
      </c>
      <c r="AS184" s="529">
        <v>27</v>
      </c>
      <c r="AT184" s="529">
        <v>28</v>
      </c>
      <c r="AU184" s="529">
        <v>29</v>
      </c>
      <c r="AV184" s="529">
        <v>30</v>
      </c>
      <c r="AW184" s="529"/>
      <c r="AX184" s="529"/>
      <c r="AY184" s="529">
        <f>IFERROR(IF(COUNTIF(Pedidos!$J:$J,AQ$2)&gt;AA184-1,MATCH(AQ$2,Pedidos!$J:$J,0),""),"")</f>
        <v>30</v>
      </c>
      <c r="AZ184" s="529">
        <f>IFERROR(IF(AY184="",0,COUNTIF(Pedidos!$J:$J,Procesos!AQ$2)),"")</f>
        <v>4</v>
      </c>
      <c r="BA184" s="529"/>
      <c r="BB184" s="529"/>
      <c r="BC184" s="529"/>
      <c r="BD184" s="529"/>
      <c r="BE184" s="529"/>
      <c r="BF184" s="529"/>
      <c r="BG184" s="529"/>
      <c r="BH184" s="529"/>
      <c r="BI184" s="529"/>
      <c r="BJ184" s="529">
        <v>18</v>
      </c>
      <c r="BK184" s="529">
        <v>19</v>
      </c>
      <c r="BL184" s="529">
        <v>20</v>
      </c>
      <c r="BM184" s="529">
        <v>21</v>
      </c>
      <c r="BN184" s="529">
        <v>22</v>
      </c>
      <c r="BO184" s="529">
        <v>23</v>
      </c>
      <c r="BP184" s="529">
        <v>24</v>
      </c>
      <c r="BQ184" s="529">
        <v>25</v>
      </c>
      <c r="BR184" s="529">
        <v>26</v>
      </c>
      <c r="BS184" s="529">
        <v>27</v>
      </c>
      <c r="BT184" s="529">
        <v>28</v>
      </c>
      <c r="BU184" s="529">
        <v>29</v>
      </c>
      <c r="BV184" s="529">
        <v>30</v>
      </c>
      <c r="BW184" s="529"/>
      <c r="BX184" s="529"/>
      <c r="BY184" s="529" t="str">
        <f>IFERROR(IF(COUNTIF(Pedidos!$J:$J,BQ$2)&gt;BA184-1,MATCH(BQ$2,Pedidos!$J:$J,0),""),"")</f>
        <v/>
      </c>
      <c r="BZ184" s="529">
        <f>IFERROR(IF(BY184="",0,COUNTIF(Pedidos!$J:$J,Procesos!BQ$2)),"")</f>
        <v>0</v>
      </c>
      <c r="CA184" s="529"/>
      <c r="CB184" s="529"/>
      <c r="CC184" s="529"/>
      <c r="CD184" s="529"/>
      <c r="CE184" s="529"/>
      <c r="CF184" s="529"/>
      <c r="CG184" s="529"/>
      <c r="CH184" s="529"/>
      <c r="CI184" s="529"/>
      <c r="CJ184" s="529">
        <v>18</v>
      </c>
      <c r="CK184" s="529">
        <v>19</v>
      </c>
      <c r="CL184" s="529">
        <v>20</v>
      </c>
      <c r="CM184" s="529">
        <v>21</v>
      </c>
      <c r="CN184" s="529">
        <v>22</v>
      </c>
      <c r="CO184" s="529">
        <v>23</v>
      </c>
      <c r="CP184" s="529">
        <v>24</v>
      </c>
      <c r="CQ184" s="529">
        <v>25</v>
      </c>
      <c r="CR184" s="529">
        <v>26</v>
      </c>
      <c r="CS184" s="529">
        <v>27</v>
      </c>
      <c r="CT184" s="529">
        <v>28</v>
      </c>
      <c r="CU184" s="529">
        <v>29</v>
      </c>
      <c r="CV184" s="529">
        <v>30</v>
      </c>
      <c r="CW184" s="529"/>
      <c r="CX184" s="529"/>
      <c r="CY184" s="529" t="str">
        <f>IFERROR(IF(COUNTIF(Pedidos!$J:$J,CQ$2)&gt;CA184-1,MATCH(CQ$2,Pedidos!$J:$J,0),""),"")</f>
        <v/>
      </c>
      <c r="CZ184" s="529">
        <f>IFERROR(IF(CY184="",0,COUNTIF(Pedidos!$J:$J,Procesos!CQ$2)),"")</f>
        <v>0</v>
      </c>
      <c r="DA184" s="529"/>
      <c r="DB184" s="529"/>
      <c r="DC184" s="529"/>
      <c r="DD184" s="529"/>
      <c r="DE184" s="529"/>
      <c r="DF184" s="529"/>
      <c r="DG184" s="529"/>
      <c r="DH184" s="529"/>
      <c r="DI184" s="529"/>
      <c r="DJ184" s="529">
        <v>18</v>
      </c>
      <c r="DK184" s="529">
        <v>19</v>
      </c>
      <c r="DL184" s="529">
        <v>20</v>
      </c>
      <c r="DM184" s="529">
        <v>21</v>
      </c>
      <c r="DN184" s="529">
        <v>22</v>
      </c>
      <c r="DO184" s="529">
        <v>23</v>
      </c>
      <c r="DP184" s="529">
        <v>24</v>
      </c>
      <c r="DQ184" s="529">
        <v>25</v>
      </c>
      <c r="DR184" s="529">
        <v>26</v>
      </c>
      <c r="DS184" s="529">
        <v>27</v>
      </c>
      <c r="DT184" s="529">
        <v>28</v>
      </c>
      <c r="DU184" s="529">
        <v>29</v>
      </c>
      <c r="DV184" s="529">
        <v>30</v>
      </c>
      <c r="DW184" s="529"/>
      <c r="DX184" s="529"/>
      <c r="DY184" s="529" t="str">
        <f>IFERROR(IF(COUNTIF(Pedidos!$J:$J,DQ$2)&gt;DA184-1,MATCH(DQ$2,Pedidos!$J:$J,0),""),"")</f>
        <v/>
      </c>
      <c r="DZ184" s="529">
        <f>IFERROR(IF(DY184="",0,COUNTIF(Pedidos!$J:$J,Procesos!DQ$2)),"")</f>
        <v>0</v>
      </c>
      <c r="EA184" s="529"/>
      <c r="EB184" s="529"/>
      <c r="EC184" s="529"/>
      <c r="ED184" s="529"/>
      <c r="EE184" s="529"/>
      <c r="EF184" s="529"/>
      <c r="EG184" s="529"/>
      <c r="EH184" s="529"/>
      <c r="EI184" s="529"/>
      <c r="EJ184" s="529">
        <v>18</v>
      </c>
      <c r="EK184" s="529">
        <v>19</v>
      </c>
      <c r="EL184" s="529">
        <v>20</v>
      </c>
      <c r="EM184" s="529">
        <v>21</v>
      </c>
      <c r="EN184" s="529">
        <v>22</v>
      </c>
      <c r="EO184" s="529">
        <v>23</v>
      </c>
      <c r="EP184" s="529">
        <v>24</v>
      </c>
      <c r="EQ184" s="529">
        <v>25</v>
      </c>
      <c r="ER184" s="529">
        <v>26</v>
      </c>
      <c r="ES184" s="529">
        <v>27</v>
      </c>
      <c r="ET184" s="529">
        <v>28</v>
      </c>
      <c r="EU184" s="529">
        <v>29</v>
      </c>
      <c r="EV184" s="529">
        <v>30</v>
      </c>
      <c r="EW184" s="529"/>
      <c r="EX184" s="529"/>
      <c r="EY184" s="529" t="str">
        <f>IFERROR(IF(COUNTIF(Pedidos!$J:$J,EQ$2)&gt;EA184-1,MATCH(EQ$2,Pedidos!$J:$J,0),""),"")</f>
        <v/>
      </c>
      <c r="EZ184" s="529">
        <f>IFERROR(IF(EY184="",0,COUNTIF(Pedidos!$J:$J,Procesos!EQ$2)),"")</f>
        <v>0</v>
      </c>
      <c r="FA184" s="529"/>
      <c r="FB184" s="529"/>
      <c r="FC184" s="529"/>
      <c r="FD184" s="529"/>
      <c r="FE184" s="529"/>
      <c r="FF184" s="529"/>
      <c r="FG184" s="529"/>
      <c r="FH184" s="529"/>
      <c r="FI184" s="529"/>
      <c r="FJ184" s="529">
        <v>18</v>
      </c>
      <c r="FK184" s="529">
        <v>19</v>
      </c>
      <c r="FL184" s="529">
        <v>20</v>
      </c>
      <c r="FM184" s="529">
        <v>21</v>
      </c>
      <c r="FN184" s="529">
        <v>22</v>
      </c>
      <c r="FO184" s="529">
        <v>23</v>
      </c>
      <c r="FP184" s="529">
        <v>24</v>
      </c>
      <c r="FQ184" s="529">
        <v>25</v>
      </c>
      <c r="FR184" s="529">
        <v>26</v>
      </c>
      <c r="FS184" s="529">
        <v>27</v>
      </c>
      <c r="FT184" s="529">
        <v>28</v>
      </c>
      <c r="FU184" s="529">
        <v>29</v>
      </c>
      <c r="FV184" s="529">
        <v>30</v>
      </c>
      <c r="FW184" s="529"/>
      <c r="FX184" s="529"/>
      <c r="FY184" s="529" t="str">
        <f>IFERROR(IF(COUNTIF(Pedidos!$J:$J,FQ$2)&gt;FA184-1,MATCH(FQ$2,Pedidos!$J:$J,0),""),"")</f>
        <v/>
      </c>
      <c r="FZ184" s="529">
        <f>IFERROR(IF(FY184="",0,COUNTIF(Pedidos!$J:$J,Procesos!FQ$2)),"")</f>
        <v>0</v>
      </c>
      <c r="GA184" s="529"/>
      <c r="GB184" s="529"/>
      <c r="GC184" s="529"/>
      <c r="GD184" s="529"/>
      <c r="GE184" s="529"/>
      <c r="GF184" s="529"/>
      <c r="GG184" s="529"/>
      <c r="GH184" s="529"/>
      <c r="GI184" s="529"/>
      <c r="GJ184" s="529">
        <v>18</v>
      </c>
      <c r="GK184" s="529">
        <v>19</v>
      </c>
      <c r="GL184" s="529">
        <v>20</v>
      </c>
      <c r="GM184" s="529">
        <v>21</v>
      </c>
      <c r="GN184" s="529">
        <v>22</v>
      </c>
      <c r="GO184" s="529">
        <v>23</v>
      </c>
      <c r="GP184" s="529">
        <v>24</v>
      </c>
      <c r="GQ184" s="529">
        <v>25</v>
      </c>
      <c r="GR184" s="529">
        <v>26</v>
      </c>
      <c r="GS184" s="529">
        <v>27</v>
      </c>
      <c r="GT184" s="529">
        <v>28</v>
      </c>
      <c r="GU184" s="529">
        <v>29</v>
      </c>
      <c r="GV184" s="529">
        <v>30</v>
      </c>
      <c r="GW184" s="529"/>
      <c r="GX184" s="529"/>
      <c r="GY184" s="529" t="str">
        <f>IFERROR(IF(COUNTIF(Pedidos!$J:$J,GQ$2)&gt;GA184-1,MATCH(GQ$2,Pedidos!$J:$J,0),""),"")</f>
        <v/>
      </c>
      <c r="GZ184" s="529">
        <f>IFERROR(IF(GY184="",0,COUNTIF(Pedidos!$J:$J,Procesos!GQ$2)),"")</f>
        <v>0</v>
      </c>
      <c r="HA184" s="529"/>
      <c r="HB184" s="529"/>
      <c r="HC184" s="529"/>
      <c r="HD184" s="529"/>
      <c r="HE184" s="529"/>
      <c r="HF184" s="529"/>
      <c r="HG184" s="529"/>
      <c r="HH184" s="529"/>
      <c r="HI184" s="529"/>
      <c r="HJ184" s="529">
        <v>18</v>
      </c>
      <c r="HK184" s="529">
        <v>19</v>
      </c>
      <c r="HL184" s="529">
        <v>20</v>
      </c>
      <c r="HM184" s="529">
        <v>21</v>
      </c>
      <c r="HN184" s="529">
        <v>22</v>
      </c>
      <c r="HO184" s="529">
        <v>23</v>
      </c>
      <c r="HP184" s="529">
        <v>24</v>
      </c>
      <c r="HQ184" s="529">
        <v>25</v>
      </c>
      <c r="HR184" s="529">
        <v>26</v>
      </c>
      <c r="HS184" s="529">
        <v>27</v>
      </c>
      <c r="HT184" s="529">
        <v>28</v>
      </c>
      <c r="HU184" s="529">
        <v>29</v>
      </c>
      <c r="HV184" s="529">
        <v>30</v>
      </c>
      <c r="HW184" s="529"/>
      <c r="HX184" s="529"/>
      <c r="HY184" s="529" t="str">
        <f>IFERROR(IF(COUNTIF(Pedidos!$J:$J,HQ$2)&gt;HA184-1,MATCH(HQ$2,Pedidos!$J:$J,0),""),"")</f>
        <v/>
      </c>
      <c r="HZ184" s="529">
        <f>IFERROR(IF(HY184="",0,COUNTIF(Pedidos!$J:$J,Procesos!HQ$2)),"")</f>
        <v>0</v>
      </c>
      <c r="IA184" s="529"/>
      <c r="IB184" s="529"/>
      <c r="IC184" s="529"/>
      <c r="ID184" s="529"/>
      <c r="IE184" s="529"/>
      <c r="IF184" s="529"/>
      <c r="IG184" s="529"/>
      <c r="IH184" s="529"/>
      <c r="II184" s="529"/>
      <c r="IJ184" s="529">
        <v>18</v>
      </c>
      <c r="IK184" s="529">
        <v>19</v>
      </c>
      <c r="IL184" s="529">
        <v>20</v>
      </c>
      <c r="IM184" s="529">
        <v>21</v>
      </c>
      <c r="IN184" s="529">
        <v>22</v>
      </c>
      <c r="IO184" s="529">
        <v>23</v>
      </c>
      <c r="IP184" s="529">
        <v>24</v>
      </c>
      <c r="IQ184" s="529">
        <v>25</v>
      </c>
      <c r="IR184" s="529">
        <v>26</v>
      </c>
      <c r="IS184" s="529">
        <v>27</v>
      </c>
      <c r="IT184" s="529">
        <v>28</v>
      </c>
      <c r="IU184" s="529">
        <v>29</v>
      </c>
      <c r="IV184" s="529">
        <v>30</v>
      </c>
      <c r="IW184" s="529"/>
      <c r="IX184" s="529"/>
      <c r="IY184" s="529" t="str">
        <f>IFERROR(IF(COUNTIF(Pedidos!$J:$J,IQ$2)&gt;IA184-1,MATCH(IQ$2,Pedidos!$J:$J,0),""),"")</f>
        <v/>
      </c>
      <c r="IZ184" s="529">
        <f>IFERROR(IF(IY184="",0,COUNTIF(Pedidos!$J:$J,Procesos!IQ$2)),"")</f>
        <v>0</v>
      </c>
    </row>
    <row r="185" spans="1:260" ht="15.75" thickBot="1" x14ac:dyDescent="0.3">
      <c r="A185" s="529">
        <v>9</v>
      </c>
      <c r="B185" s="529"/>
      <c r="C185" s="529"/>
      <c r="D185" s="529"/>
      <c r="E185" s="529"/>
      <c r="F185" s="529"/>
      <c r="G185" s="529"/>
      <c r="H185" s="529"/>
      <c r="I185" s="529"/>
      <c r="J185" s="529">
        <v>18</v>
      </c>
      <c r="K185" s="529">
        <v>19</v>
      </c>
      <c r="L185" s="529">
        <v>20</v>
      </c>
      <c r="M185" s="529">
        <v>21</v>
      </c>
      <c r="N185" s="529">
        <v>22</v>
      </c>
      <c r="O185" s="529">
        <v>23</v>
      </c>
      <c r="P185" s="529">
        <v>24</v>
      </c>
      <c r="Q185" s="529">
        <v>25</v>
      </c>
      <c r="R185" s="529">
        <v>26</v>
      </c>
      <c r="S185" s="529">
        <v>27</v>
      </c>
      <c r="T185" s="529">
        <v>28</v>
      </c>
      <c r="U185" s="529">
        <v>29</v>
      </c>
      <c r="V185" s="529">
        <v>30</v>
      </c>
      <c r="W185" s="529"/>
      <c r="X185" s="529"/>
      <c r="Y185" s="529" t="str">
        <f>IFERROR(IF(COUNTIF(Pedidos!$J:$J,Q$2)&gt;A185-1,MATCH(Q$2,Pedidos!$J:$J,0),""),"")</f>
        <v/>
      </c>
      <c r="Z185" s="529">
        <f>IFERROR(IF(Y185="",0,COUNTIF(Pedidos!$J:$J,Procesos!Q$2)),"")</f>
        <v>0</v>
      </c>
      <c r="AA185" s="529">
        <v>9</v>
      </c>
      <c r="AB185" s="529"/>
      <c r="AC185" s="529"/>
      <c r="AD185" s="529"/>
      <c r="AE185" s="529"/>
      <c r="AF185" s="529"/>
      <c r="AG185" s="529"/>
      <c r="AH185" s="529"/>
      <c r="AI185" s="529"/>
      <c r="AJ185" s="529">
        <v>18</v>
      </c>
      <c r="AK185" s="529">
        <v>19</v>
      </c>
      <c r="AL185" s="529">
        <v>20</v>
      </c>
      <c r="AM185" s="529">
        <v>21</v>
      </c>
      <c r="AN185" s="529">
        <v>22</v>
      </c>
      <c r="AO185" s="529">
        <v>23</v>
      </c>
      <c r="AP185" s="529">
        <v>24</v>
      </c>
      <c r="AQ185" s="529">
        <v>25</v>
      </c>
      <c r="AR185" s="529">
        <v>26</v>
      </c>
      <c r="AS185" s="529">
        <v>27</v>
      </c>
      <c r="AT185" s="529">
        <v>28</v>
      </c>
      <c r="AU185" s="529">
        <v>29</v>
      </c>
      <c r="AV185" s="529">
        <v>30</v>
      </c>
      <c r="AW185" s="529"/>
      <c r="AX185" s="529"/>
      <c r="AY185" s="529" t="str">
        <f>IFERROR(IF(COUNTIF(Pedidos!$J:$J,AQ$2)&gt;AA185-1,MATCH(AQ$2,Pedidos!$J:$J,0),""),"")</f>
        <v/>
      </c>
      <c r="AZ185" s="529">
        <f>IFERROR(IF(AY185="",0,COUNTIF(Pedidos!$J:$J,Procesos!AQ$2)),"")</f>
        <v>0</v>
      </c>
      <c r="BA185" s="529">
        <v>9</v>
      </c>
      <c r="BB185" s="529"/>
      <c r="BC185" s="529"/>
      <c r="BD185" s="529"/>
      <c r="BE185" s="529"/>
      <c r="BF185" s="529"/>
      <c r="BG185" s="529"/>
      <c r="BH185" s="529"/>
      <c r="BI185" s="529"/>
      <c r="BJ185" s="529">
        <v>18</v>
      </c>
      <c r="BK185" s="529">
        <v>19</v>
      </c>
      <c r="BL185" s="529">
        <v>20</v>
      </c>
      <c r="BM185" s="529">
        <v>21</v>
      </c>
      <c r="BN185" s="529">
        <v>22</v>
      </c>
      <c r="BO185" s="529">
        <v>23</v>
      </c>
      <c r="BP185" s="529">
        <v>24</v>
      </c>
      <c r="BQ185" s="529">
        <v>25</v>
      </c>
      <c r="BR185" s="529">
        <v>26</v>
      </c>
      <c r="BS185" s="529">
        <v>27</v>
      </c>
      <c r="BT185" s="529">
        <v>28</v>
      </c>
      <c r="BU185" s="529">
        <v>29</v>
      </c>
      <c r="BV185" s="529">
        <v>30</v>
      </c>
      <c r="BW185" s="529"/>
      <c r="BX185" s="529"/>
      <c r="BY185" s="529" t="str">
        <f>IFERROR(IF(COUNTIF(Pedidos!$J:$J,BQ$2)&gt;BA185-1,MATCH(BQ$2,Pedidos!$J:$J,0),""),"")</f>
        <v/>
      </c>
      <c r="BZ185" s="529">
        <f>IFERROR(IF(BY185="",0,COUNTIF(Pedidos!$J:$J,Procesos!BQ$2)),"")</f>
        <v>0</v>
      </c>
      <c r="CA185" s="529">
        <v>9</v>
      </c>
      <c r="CB185" s="529"/>
      <c r="CC185" s="529"/>
      <c r="CD185" s="529"/>
      <c r="CE185" s="529"/>
      <c r="CF185" s="529"/>
      <c r="CG185" s="529"/>
      <c r="CH185" s="529"/>
      <c r="CI185" s="529"/>
      <c r="CJ185" s="529">
        <v>18</v>
      </c>
      <c r="CK185" s="529">
        <v>19</v>
      </c>
      <c r="CL185" s="529">
        <v>20</v>
      </c>
      <c r="CM185" s="529">
        <v>21</v>
      </c>
      <c r="CN185" s="529">
        <v>22</v>
      </c>
      <c r="CO185" s="529">
        <v>23</v>
      </c>
      <c r="CP185" s="529">
        <v>24</v>
      </c>
      <c r="CQ185" s="529">
        <v>25</v>
      </c>
      <c r="CR185" s="529">
        <v>26</v>
      </c>
      <c r="CS185" s="529">
        <v>27</v>
      </c>
      <c r="CT185" s="529">
        <v>28</v>
      </c>
      <c r="CU185" s="529">
        <v>29</v>
      </c>
      <c r="CV185" s="529">
        <v>30</v>
      </c>
      <c r="CW185" s="529"/>
      <c r="CX185" s="529"/>
      <c r="CY185" s="529" t="str">
        <f>IFERROR(IF(COUNTIF(Pedidos!$J:$J,CQ$2)&gt;CA185-1,MATCH(CQ$2,Pedidos!$J:$J,0),""),"")</f>
        <v/>
      </c>
      <c r="CZ185" s="529">
        <f>IFERROR(IF(CY185="",0,COUNTIF(Pedidos!$J:$J,Procesos!CQ$2)),"")</f>
        <v>0</v>
      </c>
      <c r="DA185" s="529">
        <v>9</v>
      </c>
      <c r="DB185" s="529"/>
      <c r="DC185" s="529"/>
      <c r="DD185" s="529"/>
      <c r="DE185" s="529"/>
      <c r="DF185" s="529"/>
      <c r="DG185" s="529"/>
      <c r="DH185" s="529"/>
      <c r="DI185" s="529"/>
      <c r="DJ185" s="529">
        <v>18</v>
      </c>
      <c r="DK185" s="529">
        <v>19</v>
      </c>
      <c r="DL185" s="529">
        <v>20</v>
      </c>
      <c r="DM185" s="529">
        <v>21</v>
      </c>
      <c r="DN185" s="529">
        <v>22</v>
      </c>
      <c r="DO185" s="529">
        <v>23</v>
      </c>
      <c r="DP185" s="529">
        <v>24</v>
      </c>
      <c r="DQ185" s="529">
        <v>25</v>
      </c>
      <c r="DR185" s="529">
        <v>26</v>
      </c>
      <c r="DS185" s="529">
        <v>27</v>
      </c>
      <c r="DT185" s="529">
        <v>28</v>
      </c>
      <c r="DU185" s="529">
        <v>29</v>
      </c>
      <c r="DV185" s="529">
        <v>30</v>
      </c>
      <c r="DW185" s="529"/>
      <c r="DX185" s="529"/>
      <c r="DY185" s="529" t="str">
        <f>IFERROR(IF(COUNTIF(Pedidos!$J:$J,DQ$2)&gt;DA185-1,MATCH(DQ$2,Pedidos!$J:$J,0),""),"")</f>
        <v/>
      </c>
      <c r="DZ185" s="529">
        <f>IFERROR(IF(DY185="",0,COUNTIF(Pedidos!$J:$J,Procesos!DQ$2)),"")</f>
        <v>0</v>
      </c>
      <c r="EA185" s="529">
        <v>9</v>
      </c>
      <c r="EB185" s="529"/>
      <c r="EC185" s="529"/>
      <c r="ED185" s="529"/>
      <c r="EE185" s="529"/>
      <c r="EF185" s="529"/>
      <c r="EG185" s="529"/>
      <c r="EH185" s="529"/>
      <c r="EI185" s="529"/>
      <c r="EJ185" s="529">
        <v>18</v>
      </c>
      <c r="EK185" s="529">
        <v>19</v>
      </c>
      <c r="EL185" s="529">
        <v>20</v>
      </c>
      <c r="EM185" s="529">
        <v>21</v>
      </c>
      <c r="EN185" s="529">
        <v>22</v>
      </c>
      <c r="EO185" s="529">
        <v>23</v>
      </c>
      <c r="EP185" s="529">
        <v>24</v>
      </c>
      <c r="EQ185" s="529">
        <v>25</v>
      </c>
      <c r="ER185" s="529">
        <v>26</v>
      </c>
      <c r="ES185" s="529">
        <v>27</v>
      </c>
      <c r="ET185" s="529">
        <v>28</v>
      </c>
      <c r="EU185" s="529">
        <v>29</v>
      </c>
      <c r="EV185" s="529">
        <v>30</v>
      </c>
      <c r="EW185" s="529"/>
      <c r="EX185" s="529"/>
      <c r="EY185" s="529" t="str">
        <f>IFERROR(IF(COUNTIF(Pedidos!$J:$J,EQ$2)&gt;EA185-1,MATCH(EQ$2,Pedidos!$J:$J,0),""),"")</f>
        <v/>
      </c>
      <c r="EZ185" s="529">
        <f>IFERROR(IF(EY185="",0,COUNTIF(Pedidos!$J:$J,Procesos!EQ$2)),"")</f>
        <v>0</v>
      </c>
      <c r="FA185" s="529">
        <v>9</v>
      </c>
      <c r="FB185" s="529"/>
      <c r="FC185" s="529"/>
      <c r="FD185" s="529"/>
      <c r="FE185" s="529"/>
      <c r="FF185" s="529"/>
      <c r="FG185" s="529"/>
      <c r="FH185" s="529"/>
      <c r="FI185" s="529"/>
      <c r="FJ185" s="529">
        <v>18</v>
      </c>
      <c r="FK185" s="529">
        <v>19</v>
      </c>
      <c r="FL185" s="529">
        <v>20</v>
      </c>
      <c r="FM185" s="529">
        <v>21</v>
      </c>
      <c r="FN185" s="529">
        <v>22</v>
      </c>
      <c r="FO185" s="529">
        <v>23</v>
      </c>
      <c r="FP185" s="529">
        <v>24</v>
      </c>
      <c r="FQ185" s="529">
        <v>25</v>
      </c>
      <c r="FR185" s="529">
        <v>26</v>
      </c>
      <c r="FS185" s="529">
        <v>27</v>
      </c>
      <c r="FT185" s="529">
        <v>28</v>
      </c>
      <c r="FU185" s="529">
        <v>29</v>
      </c>
      <c r="FV185" s="529">
        <v>30</v>
      </c>
      <c r="FW185" s="529"/>
      <c r="FX185" s="529"/>
      <c r="FY185" s="529" t="str">
        <f>IFERROR(IF(COUNTIF(Pedidos!$J:$J,FQ$2)&gt;FA185-1,MATCH(FQ$2,Pedidos!$J:$J,0),""),"")</f>
        <v/>
      </c>
      <c r="FZ185" s="529">
        <f>IFERROR(IF(FY185="",0,COUNTIF(Pedidos!$J:$J,Procesos!FQ$2)),"")</f>
        <v>0</v>
      </c>
      <c r="GA185" s="529">
        <v>9</v>
      </c>
      <c r="GB185" s="529"/>
      <c r="GC185" s="529"/>
      <c r="GD185" s="529"/>
      <c r="GE185" s="529"/>
      <c r="GF185" s="529"/>
      <c r="GG185" s="529"/>
      <c r="GH185" s="529"/>
      <c r="GI185" s="529"/>
      <c r="GJ185" s="529">
        <v>18</v>
      </c>
      <c r="GK185" s="529">
        <v>19</v>
      </c>
      <c r="GL185" s="529">
        <v>20</v>
      </c>
      <c r="GM185" s="529">
        <v>21</v>
      </c>
      <c r="GN185" s="529">
        <v>22</v>
      </c>
      <c r="GO185" s="529">
        <v>23</v>
      </c>
      <c r="GP185" s="529">
        <v>24</v>
      </c>
      <c r="GQ185" s="529">
        <v>25</v>
      </c>
      <c r="GR185" s="529">
        <v>26</v>
      </c>
      <c r="GS185" s="529">
        <v>27</v>
      </c>
      <c r="GT185" s="529">
        <v>28</v>
      </c>
      <c r="GU185" s="529">
        <v>29</v>
      </c>
      <c r="GV185" s="529">
        <v>30</v>
      </c>
      <c r="GW185" s="529"/>
      <c r="GX185" s="529"/>
      <c r="GY185" s="529" t="str">
        <f>IFERROR(IF(COUNTIF(Pedidos!$J:$J,GQ$2)&gt;GA185-1,MATCH(GQ$2,Pedidos!$J:$J,0),""),"")</f>
        <v/>
      </c>
      <c r="GZ185" s="529">
        <f>IFERROR(IF(GY185="",0,COUNTIF(Pedidos!$J:$J,Procesos!GQ$2)),"")</f>
        <v>0</v>
      </c>
      <c r="HA185" s="529">
        <v>9</v>
      </c>
      <c r="HB185" s="529"/>
      <c r="HC185" s="529"/>
      <c r="HD185" s="529"/>
      <c r="HE185" s="529"/>
      <c r="HF185" s="529"/>
      <c r="HG185" s="529"/>
      <c r="HH185" s="529"/>
      <c r="HI185" s="529"/>
      <c r="HJ185" s="529">
        <v>18</v>
      </c>
      <c r="HK185" s="529">
        <v>19</v>
      </c>
      <c r="HL185" s="529">
        <v>20</v>
      </c>
      <c r="HM185" s="529">
        <v>21</v>
      </c>
      <c r="HN185" s="529">
        <v>22</v>
      </c>
      <c r="HO185" s="529">
        <v>23</v>
      </c>
      <c r="HP185" s="529">
        <v>24</v>
      </c>
      <c r="HQ185" s="529">
        <v>25</v>
      </c>
      <c r="HR185" s="529">
        <v>26</v>
      </c>
      <c r="HS185" s="529">
        <v>27</v>
      </c>
      <c r="HT185" s="529">
        <v>28</v>
      </c>
      <c r="HU185" s="529">
        <v>29</v>
      </c>
      <c r="HV185" s="529">
        <v>30</v>
      </c>
      <c r="HW185" s="529"/>
      <c r="HX185" s="529"/>
      <c r="HY185" s="529" t="str">
        <f>IFERROR(IF(COUNTIF(Pedidos!$J:$J,HQ$2)&gt;HA185-1,MATCH(HQ$2,Pedidos!$J:$J,0),""),"")</f>
        <v/>
      </c>
      <c r="HZ185" s="529">
        <f>IFERROR(IF(HY185="",0,COUNTIF(Pedidos!$J:$J,Procesos!HQ$2)),"")</f>
        <v>0</v>
      </c>
      <c r="IA185" s="529">
        <v>9</v>
      </c>
      <c r="IB185" s="529"/>
      <c r="IC185" s="529"/>
      <c r="ID185" s="529"/>
      <c r="IE185" s="529"/>
      <c r="IF185" s="529"/>
      <c r="IG185" s="529"/>
      <c r="IH185" s="529"/>
      <c r="II185" s="529"/>
      <c r="IJ185" s="529">
        <v>18</v>
      </c>
      <c r="IK185" s="529">
        <v>19</v>
      </c>
      <c r="IL185" s="529">
        <v>20</v>
      </c>
      <c r="IM185" s="529">
        <v>21</v>
      </c>
      <c r="IN185" s="529">
        <v>22</v>
      </c>
      <c r="IO185" s="529">
        <v>23</v>
      </c>
      <c r="IP185" s="529">
        <v>24</v>
      </c>
      <c r="IQ185" s="529">
        <v>25</v>
      </c>
      <c r="IR185" s="529">
        <v>26</v>
      </c>
      <c r="IS185" s="529">
        <v>27</v>
      </c>
      <c r="IT185" s="529">
        <v>28</v>
      </c>
      <c r="IU185" s="529">
        <v>29</v>
      </c>
      <c r="IV185" s="529">
        <v>30</v>
      </c>
      <c r="IW185" s="529"/>
      <c r="IX185" s="529"/>
      <c r="IY185" s="529" t="str">
        <f>IFERROR(IF(COUNTIF(Pedidos!$J:$J,IQ$2)&gt;IA185-1,MATCH(IQ$2,Pedidos!$J:$J,0),""),"")</f>
        <v/>
      </c>
      <c r="IZ185" s="529">
        <f>IFERROR(IF(IY185="",0,COUNTIF(Pedidos!$J:$J,Procesos!IQ$2)),"")</f>
        <v>0</v>
      </c>
    </row>
    <row r="186" spans="1:260" x14ac:dyDescent="0.25">
      <c r="A186" s="815" t="str">
        <f>IF(Z185&gt;=A185,Q$2 &amp;"     ITEM # "&amp;A185,"")</f>
        <v/>
      </c>
      <c r="B186" s="816"/>
      <c r="C186" s="816"/>
      <c r="D186" s="816"/>
      <c r="E186" s="816"/>
      <c r="F186" s="816"/>
      <c r="G186" s="816"/>
      <c r="H186" s="816"/>
      <c r="I186" s="817"/>
      <c r="J186" s="818" t="str">
        <f>IF(Z185&gt;=A185,$J$6,"")</f>
        <v/>
      </c>
      <c r="K186" s="816"/>
      <c r="L186" s="816"/>
      <c r="M186" s="816"/>
      <c r="N186" s="816"/>
      <c r="O186" s="816"/>
      <c r="P186" s="816"/>
      <c r="Q186" s="816"/>
      <c r="R186" s="816"/>
      <c r="S186" s="816"/>
      <c r="T186" s="816"/>
      <c r="U186" s="816"/>
      <c r="V186" s="816"/>
      <c r="W186" s="816"/>
      <c r="X186" s="816"/>
      <c r="Y186" s="816"/>
      <c r="Z186" s="819"/>
      <c r="AA186" s="815" t="str">
        <f>IF(AZ185&gt;=AA185,AQ$2 &amp;"     ITEM # "&amp;AA185,"")</f>
        <v/>
      </c>
      <c r="AB186" s="816"/>
      <c r="AC186" s="816"/>
      <c r="AD186" s="816"/>
      <c r="AE186" s="816"/>
      <c r="AF186" s="816"/>
      <c r="AG186" s="816"/>
      <c r="AH186" s="816"/>
      <c r="AI186" s="817"/>
      <c r="AJ186" s="818" t="str">
        <f>IF(AZ185&gt;=AA185,$J$6,"")</f>
        <v/>
      </c>
      <c r="AK186" s="816"/>
      <c r="AL186" s="816"/>
      <c r="AM186" s="816"/>
      <c r="AN186" s="816"/>
      <c r="AO186" s="816"/>
      <c r="AP186" s="816"/>
      <c r="AQ186" s="816"/>
      <c r="AR186" s="816"/>
      <c r="AS186" s="816"/>
      <c r="AT186" s="816"/>
      <c r="AU186" s="816"/>
      <c r="AV186" s="816"/>
      <c r="AW186" s="816"/>
      <c r="AX186" s="816"/>
      <c r="AY186" s="816"/>
      <c r="AZ186" s="819"/>
      <c r="BA186" s="815" t="str">
        <f>IF(BZ185&gt;=BA185,BQ$2 &amp;"     ITEM # "&amp;BA185,"")</f>
        <v/>
      </c>
      <c r="BB186" s="816"/>
      <c r="BC186" s="816"/>
      <c r="BD186" s="816"/>
      <c r="BE186" s="816"/>
      <c r="BF186" s="816"/>
      <c r="BG186" s="816"/>
      <c r="BH186" s="816"/>
      <c r="BI186" s="817"/>
      <c r="BJ186" s="818" t="str">
        <f>IF(BZ185&gt;=BA185,$J$6,"")</f>
        <v/>
      </c>
      <c r="BK186" s="816"/>
      <c r="BL186" s="816"/>
      <c r="BM186" s="816"/>
      <c r="BN186" s="816"/>
      <c r="BO186" s="816"/>
      <c r="BP186" s="816"/>
      <c r="BQ186" s="816"/>
      <c r="BR186" s="816"/>
      <c r="BS186" s="816"/>
      <c r="BT186" s="816"/>
      <c r="BU186" s="816"/>
      <c r="BV186" s="816"/>
      <c r="BW186" s="816"/>
      <c r="BX186" s="816"/>
      <c r="BY186" s="816"/>
      <c r="BZ186" s="819"/>
      <c r="CA186" s="815" t="str">
        <f>IF(CZ185&gt;=CA185,CQ$2 &amp;"     ITEM # "&amp;CA185,"")</f>
        <v/>
      </c>
      <c r="CB186" s="816"/>
      <c r="CC186" s="816"/>
      <c r="CD186" s="816"/>
      <c r="CE186" s="816"/>
      <c r="CF186" s="816"/>
      <c r="CG186" s="816"/>
      <c r="CH186" s="816"/>
      <c r="CI186" s="817"/>
      <c r="CJ186" s="818" t="str">
        <f>IF(CZ185&gt;=CA185,$J$6,"")</f>
        <v/>
      </c>
      <c r="CK186" s="816"/>
      <c r="CL186" s="816"/>
      <c r="CM186" s="816"/>
      <c r="CN186" s="816"/>
      <c r="CO186" s="816"/>
      <c r="CP186" s="816"/>
      <c r="CQ186" s="816"/>
      <c r="CR186" s="816"/>
      <c r="CS186" s="816"/>
      <c r="CT186" s="816"/>
      <c r="CU186" s="816"/>
      <c r="CV186" s="816"/>
      <c r="CW186" s="816"/>
      <c r="CX186" s="816"/>
      <c r="CY186" s="816"/>
      <c r="CZ186" s="819"/>
      <c r="DA186" s="815" t="str">
        <f>IF(DZ185&gt;=DA185,DQ$2 &amp;"     ITEM # "&amp;DA185,"")</f>
        <v/>
      </c>
      <c r="DB186" s="816"/>
      <c r="DC186" s="816"/>
      <c r="DD186" s="816"/>
      <c r="DE186" s="816"/>
      <c r="DF186" s="816"/>
      <c r="DG186" s="816"/>
      <c r="DH186" s="816"/>
      <c r="DI186" s="817"/>
      <c r="DJ186" s="818" t="str">
        <f>IF(DZ185&gt;=DA185,$J$6,"")</f>
        <v/>
      </c>
      <c r="DK186" s="816"/>
      <c r="DL186" s="816"/>
      <c r="DM186" s="816"/>
      <c r="DN186" s="816"/>
      <c r="DO186" s="816"/>
      <c r="DP186" s="816"/>
      <c r="DQ186" s="816"/>
      <c r="DR186" s="816"/>
      <c r="DS186" s="816"/>
      <c r="DT186" s="816"/>
      <c r="DU186" s="816"/>
      <c r="DV186" s="816"/>
      <c r="DW186" s="816"/>
      <c r="DX186" s="816"/>
      <c r="DY186" s="816"/>
      <c r="DZ186" s="819"/>
      <c r="EA186" s="815" t="str">
        <f>IF(EZ185&gt;=EA185,EQ$2 &amp;"     ITEM # "&amp;EA185,"")</f>
        <v/>
      </c>
      <c r="EB186" s="816"/>
      <c r="EC186" s="816"/>
      <c r="ED186" s="816"/>
      <c r="EE186" s="816"/>
      <c r="EF186" s="816"/>
      <c r="EG186" s="816"/>
      <c r="EH186" s="816"/>
      <c r="EI186" s="817"/>
      <c r="EJ186" s="818" t="str">
        <f>IF(EZ185&gt;=EA185,$J$6,"")</f>
        <v/>
      </c>
      <c r="EK186" s="816"/>
      <c r="EL186" s="816"/>
      <c r="EM186" s="816"/>
      <c r="EN186" s="816"/>
      <c r="EO186" s="816"/>
      <c r="EP186" s="816"/>
      <c r="EQ186" s="816"/>
      <c r="ER186" s="816"/>
      <c r="ES186" s="816"/>
      <c r="ET186" s="816"/>
      <c r="EU186" s="816"/>
      <c r="EV186" s="816"/>
      <c r="EW186" s="816"/>
      <c r="EX186" s="816"/>
      <c r="EY186" s="816"/>
      <c r="EZ186" s="819"/>
      <c r="FA186" s="815" t="str">
        <f>IF(FZ185&gt;=FA185,FQ$2 &amp;"     ITEM # "&amp;FA185,"")</f>
        <v/>
      </c>
      <c r="FB186" s="816"/>
      <c r="FC186" s="816"/>
      <c r="FD186" s="816"/>
      <c r="FE186" s="816"/>
      <c r="FF186" s="816"/>
      <c r="FG186" s="816"/>
      <c r="FH186" s="816"/>
      <c r="FI186" s="817"/>
      <c r="FJ186" s="818" t="str">
        <f>IF(FZ185&gt;=FA185,$J$6,"")</f>
        <v/>
      </c>
      <c r="FK186" s="816"/>
      <c r="FL186" s="816"/>
      <c r="FM186" s="816"/>
      <c r="FN186" s="816"/>
      <c r="FO186" s="816"/>
      <c r="FP186" s="816"/>
      <c r="FQ186" s="816"/>
      <c r="FR186" s="816"/>
      <c r="FS186" s="816"/>
      <c r="FT186" s="816"/>
      <c r="FU186" s="816"/>
      <c r="FV186" s="816"/>
      <c r="FW186" s="816"/>
      <c r="FX186" s="816"/>
      <c r="FY186" s="816"/>
      <c r="FZ186" s="819"/>
      <c r="GA186" s="815" t="str">
        <f>IF(GZ185&gt;=GA185,GQ$2 &amp;"     ITEM # "&amp;GA185,"")</f>
        <v/>
      </c>
      <c r="GB186" s="816"/>
      <c r="GC186" s="816"/>
      <c r="GD186" s="816"/>
      <c r="GE186" s="816"/>
      <c r="GF186" s="816"/>
      <c r="GG186" s="816"/>
      <c r="GH186" s="816"/>
      <c r="GI186" s="817"/>
      <c r="GJ186" s="818" t="str">
        <f>IF(GZ185&gt;=GA185,$J$6,"")</f>
        <v/>
      </c>
      <c r="GK186" s="816"/>
      <c r="GL186" s="816"/>
      <c r="GM186" s="816"/>
      <c r="GN186" s="816"/>
      <c r="GO186" s="816"/>
      <c r="GP186" s="816"/>
      <c r="GQ186" s="816"/>
      <c r="GR186" s="816"/>
      <c r="GS186" s="816"/>
      <c r="GT186" s="816"/>
      <c r="GU186" s="816"/>
      <c r="GV186" s="816"/>
      <c r="GW186" s="816"/>
      <c r="GX186" s="816"/>
      <c r="GY186" s="816"/>
      <c r="GZ186" s="819"/>
      <c r="HA186" s="815" t="str">
        <f>IF(HZ185&gt;=HA185,HQ$2 &amp;"     ITEM # "&amp;HA185,"")</f>
        <v/>
      </c>
      <c r="HB186" s="816"/>
      <c r="HC186" s="816"/>
      <c r="HD186" s="816"/>
      <c r="HE186" s="816"/>
      <c r="HF186" s="816"/>
      <c r="HG186" s="816"/>
      <c r="HH186" s="816"/>
      <c r="HI186" s="817"/>
      <c r="HJ186" s="818" t="str">
        <f>IF(HZ185&gt;=HA185,$J$6,"")</f>
        <v/>
      </c>
      <c r="HK186" s="816"/>
      <c r="HL186" s="816"/>
      <c r="HM186" s="816"/>
      <c r="HN186" s="816"/>
      <c r="HO186" s="816"/>
      <c r="HP186" s="816"/>
      <c r="HQ186" s="816"/>
      <c r="HR186" s="816"/>
      <c r="HS186" s="816"/>
      <c r="HT186" s="816"/>
      <c r="HU186" s="816"/>
      <c r="HV186" s="816"/>
      <c r="HW186" s="816"/>
      <c r="HX186" s="816"/>
      <c r="HY186" s="816"/>
      <c r="HZ186" s="819"/>
      <c r="IA186" s="815" t="str">
        <f>IF(IZ185&gt;=IA185,IQ$2 &amp;"     ITEM # "&amp;IA185,"")</f>
        <v/>
      </c>
      <c r="IB186" s="816"/>
      <c r="IC186" s="816"/>
      <c r="ID186" s="816"/>
      <c r="IE186" s="816"/>
      <c r="IF186" s="816"/>
      <c r="IG186" s="816"/>
      <c r="IH186" s="816"/>
      <c r="II186" s="817"/>
      <c r="IJ186" s="818" t="str">
        <f>IF(IZ185&gt;=IA185,$J$6,"")</f>
        <v/>
      </c>
      <c r="IK186" s="816"/>
      <c r="IL186" s="816"/>
      <c r="IM186" s="816"/>
      <c r="IN186" s="816"/>
      <c r="IO186" s="816"/>
      <c r="IP186" s="816"/>
      <c r="IQ186" s="816"/>
      <c r="IR186" s="816"/>
      <c r="IS186" s="816"/>
      <c r="IT186" s="816"/>
      <c r="IU186" s="816"/>
      <c r="IV186" s="816"/>
      <c r="IW186" s="816"/>
      <c r="IX186" s="816"/>
      <c r="IY186" s="816"/>
      <c r="IZ186" s="819"/>
    </row>
    <row r="187" spans="1:260" x14ac:dyDescent="0.25">
      <c r="A187" s="848" t="str">
        <f>IFERROR(INDEX(Lista_Pedidos,Procesos!Y185+A185-1,5),"")</f>
        <v/>
      </c>
      <c r="B187" s="843"/>
      <c r="C187" s="843"/>
      <c r="D187" s="843"/>
      <c r="E187" s="843"/>
      <c r="F187" s="843"/>
      <c r="G187" s="843"/>
      <c r="H187" s="843"/>
      <c r="I187" s="844"/>
      <c r="J187" s="842" t="str">
        <f>IF(Z185&gt;=A185,$J$7,"")</f>
        <v/>
      </c>
      <c r="K187" s="843"/>
      <c r="L187" s="844"/>
      <c r="M187" s="842" t="str">
        <f>IF(Z185&gt;=A185,$M$7,"")</f>
        <v/>
      </c>
      <c r="N187" s="843"/>
      <c r="O187" s="844"/>
      <c r="P187" s="842" t="str">
        <f>IF(Z185&gt;=A185,$P$7,"")</f>
        <v/>
      </c>
      <c r="Q187" s="843"/>
      <c r="R187" s="843"/>
      <c r="S187" s="843"/>
      <c r="T187" s="843"/>
      <c r="U187" s="844"/>
      <c r="V187" s="834" t="str">
        <f>IF(Z185&gt;=A185,$V$7,"")</f>
        <v/>
      </c>
      <c r="W187" s="842" t="str">
        <f>IF(Z185&gt;=A185,$W$7,"")</f>
        <v/>
      </c>
      <c r="X187" s="843"/>
      <c r="Y187" s="843"/>
      <c r="Z187" s="850"/>
      <c r="AA187" s="848" t="str">
        <f>IFERROR(INDEX(Lista_Pedidos,Procesos!AY185+AA185-1,5),"")</f>
        <v/>
      </c>
      <c r="AB187" s="843"/>
      <c r="AC187" s="843"/>
      <c r="AD187" s="843"/>
      <c r="AE187" s="843"/>
      <c r="AF187" s="843"/>
      <c r="AG187" s="843"/>
      <c r="AH187" s="843"/>
      <c r="AI187" s="844"/>
      <c r="AJ187" s="842" t="str">
        <f>IF(AZ185&gt;=AA185,$J$7,"")</f>
        <v/>
      </c>
      <c r="AK187" s="843"/>
      <c r="AL187" s="844"/>
      <c r="AM187" s="842" t="str">
        <f>IF(AZ185&gt;=AA185,$M$7,"")</f>
        <v/>
      </c>
      <c r="AN187" s="843"/>
      <c r="AO187" s="844"/>
      <c r="AP187" s="842" t="str">
        <f>IF(AZ185&gt;=AA185,$P$7,"")</f>
        <v/>
      </c>
      <c r="AQ187" s="843"/>
      <c r="AR187" s="843"/>
      <c r="AS187" s="843"/>
      <c r="AT187" s="843"/>
      <c r="AU187" s="844"/>
      <c r="AV187" s="834" t="str">
        <f>IF(AZ185&gt;=AA185,$V$7,"")</f>
        <v/>
      </c>
      <c r="AW187" s="842" t="str">
        <f>IF(AZ185&gt;=AA185,$W$7,"")</f>
        <v/>
      </c>
      <c r="AX187" s="843"/>
      <c r="AY187" s="843"/>
      <c r="AZ187" s="850"/>
      <c r="BA187" s="848" t="str">
        <f>IFERROR(INDEX(Lista_Pedidos,Procesos!BY185+BA185-1,5),"")</f>
        <v/>
      </c>
      <c r="BB187" s="843"/>
      <c r="BC187" s="843"/>
      <c r="BD187" s="843"/>
      <c r="BE187" s="843"/>
      <c r="BF187" s="843"/>
      <c r="BG187" s="843"/>
      <c r="BH187" s="843"/>
      <c r="BI187" s="844"/>
      <c r="BJ187" s="842" t="str">
        <f>IF(BZ185&gt;=BA185,$J$7,"")</f>
        <v/>
      </c>
      <c r="BK187" s="843"/>
      <c r="BL187" s="844"/>
      <c r="BM187" s="842" t="str">
        <f>IF(BZ185&gt;=BA185,$M$7,"")</f>
        <v/>
      </c>
      <c r="BN187" s="843"/>
      <c r="BO187" s="844"/>
      <c r="BP187" s="842" t="str">
        <f>IF(BZ185&gt;=BA185,$P$7,"")</f>
        <v/>
      </c>
      <c r="BQ187" s="843"/>
      <c r="BR187" s="843"/>
      <c r="BS187" s="843"/>
      <c r="BT187" s="843"/>
      <c r="BU187" s="844"/>
      <c r="BV187" s="834" t="str">
        <f>IF(BZ185&gt;=BA185,$V$7,"")</f>
        <v/>
      </c>
      <c r="BW187" s="842" t="str">
        <f>IF(BZ185&gt;=BA185,$W$7,"")</f>
        <v/>
      </c>
      <c r="BX187" s="843"/>
      <c r="BY187" s="843"/>
      <c r="BZ187" s="850"/>
      <c r="CA187" s="848" t="str">
        <f>IFERROR(INDEX(Lista_Pedidos,Procesos!CY185+CA185-1,5),"")</f>
        <v/>
      </c>
      <c r="CB187" s="843"/>
      <c r="CC187" s="843"/>
      <c r="CD187" s="843"/>
      <c r="CE187" s="843"/>
      <c r="CF187" s="843"/>
      <c r="CG187" s="843"/>
      <c r="CH187" s="843"/>
      <c r="CI187" s="844"/>
      <c r="CJ187" s="842" t="str">
        <f>IF(CZ185&gt;=CA185,$J$7,"")</f>
        <v/>
      </c>
      <c r="CK187" s="843"/>
      <c r="CL187" s="844"/>
      <c r="CM187" s="842" t="str">
        <f>IF(CZ185&gt;=CA185,$M$7,"")</f>
        <v/>
      </c>
      <c r="CN187" s="843"/>
      <c r="CO187" s="844"/>
      <c r="CP187" s="842" t="str">
        <f>IF(CZ185&gt;=CA185,$P$7,"")</f>
        <v/>
      </c>
      <c r="CQ187" s="843"/>
      <c r="CR187" s="843"/>
      <c r="CS187" s="843"/>
      <c r="CT187" s="843"/>
      <c r="CU187" s="844"/>
      <c r="CV187" s="834" t="str">
        <f>IF(CZ185&gt;=CA185,$V$7,"")</f>
        <v/>
      </c>
      <c r="CW187" s="842" t="str">
        <f>IF(CZ185&gt;=CA185,$W$7,"")</f>
        <v/>
      </c>
      <c r="CX187" s="843"/>
      <c r="CY187" s="843"/>
      <c r="CZ187" s="850"/>
      <c r="DA187" s="848" t="str">
        <f>IFERROR(INDEX(Lista_Pedidos,Procesos!DY185+DA185-1,5),"")</f>
        <v/>
      </c>
      <c r="DB187" s="843"/>
      <c r="DC187" s="843"/>
      <c r="DD187" s="843"/>
      <c r="DE187" s="843"/>
      <c r="DF187" s="843"/>
      <c r="DG187" s="843"/>
      <c r="DH187" s="843"/>
      <c r="DI187" s="844"/>
      <c r="DJ187" s="842" t="str">
        <f>IF(DZ185&gt;=DA185,$J$7,"")</f>
        <v/>
      </c>
      <c r="DK187" s="843"/>
      <c r="DL187" s="844"/>
      <c r="DM187" s="842" t="str">
        <f>IF(DZ185&gt;=DA185,$M$7,"")</f>
        <v/>
      </c>
      <c r="DN187" s="843"/>
      <c r="DO187" s="844"/>
      <c r="DP187" s="842" t="str">
        <f>IF(DZ185&gt;=DA185,$P$7,"")</f>
        <v/>
      </c>
      <c r="DQ187" s="843"/>
      <c r="DR187" s="843"/>
      <c r="DS187" s="843"/>
      <c r="DT187" s="843"/>
      <c r="DU187" s="844"/>
      <c r="DV187" s="834" t="str">
        <f>IF(DZ185&gt;=DA185,$V$7,"")</f>
        <v/>
      </c>
      <c r="DW187" s="842" t="str">
        <f>IF(DZ185&gt;=DA185,$W$7,"")</f>
        <v/>
      </c>
      <c r="DX187" s="843"/>
      <c r="DY187" s="843"/>
      <c r="DZ187" s="850"/>
      <c r="EA187" s="848" t="str">
        <f>IFERROR(INDEX(Lista_Pedidos,Procesos!EY185+EA185-1,5),"")</f>
        <v/>
      </c>
      <c r="EB187" s="843"/>
      <c r="EC187" s="843"/>
      <c r="ED187" s="843"/>
      <c r="EE187" s="843"/>
      <c r="EF187" s="843"/>
      <c r="EG187" s="843"/>
      <c r="EH187" s="843"/>
      <c r="EI187" s="844"/>
      <c r="EJ187" s="842" t="str">
        <f>IF(EZ185&gt;=EA185,$J$7,"")</f>
        <v/>
      </c>
      <c r="EK187" s="843"/>
      <c r="EL187" s="844"/>
      <c r="EM187" s="842" t="str">
        <f>IF(EZ185&gt;=EA185,$M$7,"")</f>
        <v/>
      </c>
      <c r="EN187" s="843"/>
      <c r="EO187" s="844"/>
      <c r="EP187" s="842" t="str">
        <f>IF(EZ185&gt;=EA185,$P$7,"")</f>
        <v/>
      </c>
      <c r="EQ187" s="843"/>
      <c r="ER187" s="843"/>
      <c r="ES187" s="843"/>
      <c r="ET187" s="843"/>
      <c r="EU187" s="844"/>
      <c r="EV187" s="834" t="str">
        <f>IF(EZ185&gt;=EA185,$V$7,"")</f>
        <v/>
      </c>
      <c r="EW187" s="842" t="str">
        <f>IF(EZ185&gt;=EA185,$W$7,"")</f>
        <v/>
      </c>
      <c r="EX187" s="843"/>
      <c r="EY187" s="843"/>
      <c r="EZ187" s="850"/>
      <c r="FA187" s="848" t="str">
        <f>IFERROR(INDEX(Lista_Pedidos,Procesos!FY185+FA185-1,5),"")</f>
        <v/>
      </c>
      <c r="FB187" s="843"/>
      <c r="FC187" s="843"/>
      <c r="FD187" s="843"/>
      <c r="FE187" s="843"/>
      <c r="FF187" s="843"/>
      <c r="FG187" s="843"/>
      <c r="FH187" s="843"/>
      <c r="FI187" s="844"/>
      <c r="FJ187" s="842" t="str">
        <f>IF(FZ185&gt;=FA185,$J$7,"")</f>
        <v/>
      </c>
      <c r="FK187" s="843"/>
      <c r="FL187" s="844"/>
      <c r="FM187" s="842" t="str">
        <f>IF(FZ185&gt;=FA185,$M$7,"")</f>
        <v/>
      </c>
      <c r="FN187" s="843"/>
      <c r="FO187" s="844"/>
      <c r="FP187" s="842" t="str">
        <f>IF(FZ185&gt;=FA185,$P$7,"")</f>
        <v/>
      </c>
      <c r="FQ187" s="843"/>
      <c r="FR187" s="843"/>
      <c r="FS187" s="843"/>
      <c r="FT187" s="843"/>
      <c r="FU187" s="844"/>
      <c r="FV187" s="834" t="str">
        <f>IF(FZ185&gt;=FA185,$V$7,"")</f>
        <v/>
      </c>
      <c r="FW187" s="842" t="str">
        <f>IF(FZ185&gt;=FA185,$W$7,"")</f>
        <v/>
      </c>
      <c r="FX187" s="843"/>
      <c r="FY187" s="843"/>
      <c r="FZ187" s="850"/>
      <c r="GA187" s="848" t="str">
        <f>IFERROR(INDEX(Lista_Pedidos,Procesos!GY185+GA185-1,5),"")</f>
        <v/>
      </c>
      <c r="GB187" s="843"/>
      <c r="GC187" s="843"/>
      <c r="GD187" s="843"/>
      <c r="GE187" s="843"/>
      <c r="GF187" s="843"/>
      <c r="GG187" s="843"/>
      <c r="GH187" s="843"/>
      <c r="GI187" s="844"/>
      <c r="GJ187" s="842" t="str">
        <f>IF(GZ185&gt;=GA185,$J$7,"")</f>
        <v/>
      </c>
      <c r="GK187" s="843"/>
      <c r="GL187" s="844"/>
      <c r="GM187" s="842" t="str">
        <f>IF(GZ185&gt;=GA185,$M$7,"")</f>
        <v/>
      </c>
      <c r="GN187" s="843"/>
      <c r="GO187" s="844"/>
      <c r="GP187" s="842" t="str">
        <f>IF(GZ185&gt;=GA185,$P$7,"")</f>
        <v/>
      </c>
      <c r="GQ187" s="843"/>
      <c r="GR187" s="843"/>
      <c r="GS187" s="843"/>
      <c r="GT187" s="843"/>
      <c r="GU187" s="844"/>
      <c r="GV187" s="834" t="str">
        <f>IF(GZ185&gt;=GA185,$V$7,"")</f>
        <v/>
      </c>
      <c r="GW187" s="842" t="str">
        <f>IF(GZ185&gt;=GA185,$W$7,"")</f>
        <v/>
      </c>
      <c r="GX187" s="843"/>
      <c r="GY187" s="843"/>
      <c r="GZ187" s="850"/>
      <c r="HA187" s="848" t="str">
        <f>IFERROR(INDEX(Lista_Pedidos,Procesos!HY185+HA185-1,5),"")</f>
        <v/>
      </c>
      <c r="HB187" s="843"/>
      <c r="HC187" s="843"/>
      <c r="HD187" s="843"/>
      <c r="HE187" s="843"/>
      <c r="HF187" s="843"/>
      <c r="HG187" s="843"/>
      <c r="HH187" s="843"/>
      <c r="HI187" s="844"/>
      <c r="HJ187" s="842" t="str">
        <f>IF(HZ185&gt;=HA185,$J$7,"")</f>
        <v/>
      </c>
      <c r="HK187" s="843"/>
      <c r="HL187" s="844"/>
      <c r="HM187" s="842" t="str">
        <f>IF(HZ185&gt;=HA185,$M$7,"")</f>
        <v/>
      </c>
      <c r="HN187" s="843"/>
      <c r="HO187" s="844"/>
      <c r="HP187" s="842" t="str">
        <f>IF(HZ185&gt;=HA185,$P$7,"")</f>
        <v/>
      </c>
      <c r="HQ187" s="843"/>
      <c r="HR187" s="843"/>
      <c r="HS187" s="843"/>
      <c r="HT187" s="843"/>
      <c r="HU187" s="844"/>
      <c r="HV187" s="834" t="str">
        <f>IF(HZ185&gt;=HA185,$V$7,"")</f>
        <v/>
      </c>
      <c r="HW187" s="842" t="str">
        <f>IF(HZ185&gt;=HA185,$W$7,"")</f>
        <v/>
      </c>
      <c r="HX187" s="843"/>
      <c r="HY187" s="843"/>
      <c r="HZ187" s="850"/>
      <c r="IA187" s="848" t="str">
        <f>IFERROR(INDEX(Lista_Pedidos,Procesos!IY185+IA185-1,5),"")</f>
        <v/>
      </c>
      <c r="IB187" s="843"/>
      <c r="IC187" s="843"/>
      <c r="ID187" s="843"/>
      <c r="IE187" s="843"/>
      <c r="IF187" s="843"/>
      <c r="IG187" s="843"/>
      <c r="IH187" s="843"/>
      <c r="II187" s="844"/>
      <c r="IJ187" s="842" t="str">
        <f>IF(IZ185&gt;=IA185,$J$7,"")</f>
        <v/>
      </c>
      <c r="IK187" s="843"/>
      <c r="IL187" s="844"/>
      <c r="IM187" s="842" t="str">
        <f>IF(IZ185&gt;=IA185,$M$7,"")</f>
        <v/>
      </c>
      <c r="IN187" s="843"/>
      <c r="IO187" s="844"/>
      <c r="IP187" s="842" t="str">
        <f>IF(IZ185&gt;=IA185,$P$7,"")</f>
        <v/>
      </c>
      <c r="IQ187" s="843"/>
      <c r="IR187" s="843"/>
      <c r="IS187" s="843"/>
      <c r="IT187" s="843"/>
      <c r="IU187" s="844"/>
      <c r="IV187" s="834" t="str">
        <f>IF(IZ185&gt;=IA185,$V$7,"")</f>
        <v/>
      </c>
      <c r="IW187" s="842" t="str">
        <f>IF(IZ185&gt;=IA185,$W$7,"")</f>
        <v/>
      </c>
      <c r="IX187" s="843"/>
      <c r="IY187" s="843"/>
      <c r="IZ187" s="850"/>
    </row>
    <row r="188" spans="1:260" x14ac:dyDescent="0.25">
      <c r="A188" s="849"/>
      <c r="B188" s="846"/>
      <c r="C188" s="846"/>
      <c r="D188" s="846"/>
      <c r="E188" s="846"/>
      <c r="F188" s="846"/>
      <c r="G188" s="846"/>
      <c r="H188" s="846"/>
      <c r="I188" s="847"/>
      <c r="J188" s="845"/>
      <c r="K188" s="846"/>
      <c r="L188" s="847"/>
      <c r="M188" s="845"/>
      <c r="N188" s="846"/>
      <c r="O188" s="847"/>
      <c r="P188" s="845"/>
      <c r="Q188" s="846"/>
      <c r="R188" s="846"/>
      <c r="S188" s="846"/>
      <c r="T188" s="846"/>
      <c r="U188" s="847"/>
      <c r="V188" s="835"/>
      <c r="W188" s="845"/>
      <c r="X188" s="846"/>
      <c r="Y188" s="846"/>
      <c r="Z188" s="851"/>
      <c r="AA188" s="849"/>
      <c r="AB188" s="846"/>
      <c r="AC188" s="846"/>
      <c r="AD188" s="846"/>
      <c r="AE188" s="846"/>
      <c r="AF188" s="846"/>
      <c r="AG188" s="846"/>
      <c r="AH188" s="846"/>
      <c r="AI188" s="847"/>
      <c r="AJ188" s="845"/>
      <c r="AK188" s="846"/>
      <c r="AL188" s="847"/>
      <c r="AM188" s="845"/>
      <c r="AN188" s="846"/>
      <c r="AO188" s="847"/>
      <c r="AP188" s="845"/>
      <c r="AQ188" s="846"/>
      <c r="AR188" s="846"/>
      <c r="AS188" s="846"/>
      <c r="AT188" s="846"/>
      <c r="AU188" s="847"/>
      <c r="AV188" s="835"/>
      <c r="AW188" s="845"/>
      <c r="AX188" s="846"/>
      <c r="AY188" s="846"/>
      <c r="AZ188" s="851"/>
      <c r="BA188" s="849"/>
      <c r="BB188" s="846"/>
      <c r="BC188" s="846"/>
      <c r="BD188" s="846"/>
      <c r="BE188" s="846"/>
      <c r="BF188" s="846"/>
      <c r="BG188" s="846"/>
      <c r="BH188" s="846"/>
      <c r="BI188" s="847"/>
      <c r="BJ188" s="845"/>
      <c r="BK188" s="846"/>
      <c r="BL188" s="847"/>
      <c r="BM188" s="845"/>
      <c r="BN188" s="846"/>
      <c r="BO188" s="847"/>
      <c r="BP188" s="845"/>
      <c r="BQ188" s="846"/>
      <c r="BR188" s="846"/>
      <c r="BS188" s="846"/>
      <c r="BT188" s="846"/>
      <c r="BU188" s="847"/>
      <c r="BV188" s="835"/>
      <c r="BW188" s="845"/>
      <c r="BX188" s="846"/>
      <c r="BY188" s="846"/>
      <c r="BZ188" s="851"/>
      <c r="CA188" s="849"/>
      <c r="CB188" s="846"/>
      <c r="CC188" s="846"/>
      <c r="CD188" s="846"/>
      <c r="CE188" s="846"/>
      <c r="CF188" s="846"/>
      <c r="CG188" s="846"/>
      <c r="CH188" s="846"/>
      <c r="CI188" s="847"/>
      <c r="CJ188" s="845"/>
      <c r="CK188" s="846"/>
      <c r="CL188" s="847"/>
      <c r="CM188" s="845"/>
      <c r="CN188" s="846"/>
      <c r="CO188" s="847"/>
      <c r="CP188" s="845"/>
      <c r="CQ188" s="846"/>
      <c r="CR188" s="846"/>
      <c r="CS188" s="846"/>
      <c r="CT188" s="846"/>
      <c r="CU188" s="847"/>
      <c r="CV188" s="835"/>
      <c r="CW188" s="845"/>
      <c r="CX188" s="846"/>
      <c r="CY188" s="846"/>
      <c r="CZ188" s="851"/>
      <c r="DA188" s="849"/>
      <c r="DB188" s="846"/>
      <c r="DC188" s="846"/>
      <c r="DD188" s="846"/>
      <c r="DE188" s="846"/>
      <c r="DF188" s="846"/>
      <c r="DG188" s="846"/>
      <c r="DH188" s="846"/>
      <c r="DI188" s="847"/>
      <c r="DJ188" s="845"/>
      <c r="DK188" s="846"/>
      <c r="DL188" s="847"/>
      <c r="DM188" s="845"/>
      <c r="DN188" s="846"/>
      <c r="DO188" s="847"/>
      <c r="DP188" s="845"/>
      <c r="DQ188" s="846"/>
      <c r="DR188" s="846"/>
      <c r="DS188" s="846"/>
      <c r="DT188" s="846"/>
      <c r="DU188" s="847"/>
      <c r="DV188" s="835"/>
      <c r="DW188" s="845"/>
      <c r="DX188" s="846"/>
      <c r="DY188" s="846"/>
      <c r="DZ188" s="851"/>
      <c r="EA188" s="849"/>
      <c r="EB188" s="846"/>
      <c r="EC188" s="846"/>
      <c r="ED188" s="846"/>
      <c r="EE188" s="846"/>
      <c r="EF188" s="846"/>
      <c r="EG188" s="846"/>
      <c r="EH188" s="846"/>
      <c r="EI188" s="847"/>
      <c r="EJ188" s="845"/>
      <c r="EK188" s="846"/>
      <c r="EL188" s="847"/>
      <c r="EM188" s="845"/>
      <c r="EN188" s="846"/>
      <c r="EO188" s="847"/>
      <c r="EP188" s="845"/>
      <c r="EQ188" s="846"/>
      <c r="ER188" s="846"/>
      <c r="ES188" s="846"/>
      <c r="ET188" s="846"/>
      <c r="EU188" s="847"/>
      <c r="EV188" s="835"/>
      <c r="EW188" s="845"/>
      <c r="EX188" s="846"/>
      <c r="EY188" s="846"/>
      <c r="EZ188" s="851"/>
      <c r="FA188" s="849"/>
      <c r="FB188" s="846"/>
      <c r="FC188" s="846"/>
      <c r="FD188" s="846"/>
      <c r="FE188" s="846"/>
      <c r="FF188" s="846"/>
      <c r="FG188" s="846"/>
      <c r="FH188" s="846"/>
      <c r="FI188" s="847"/>
      <c r="FJ188" s="845"/>
      <c r="FK188" s="846"/>
      <c r="FL188" s="847"/>
      <c r="FM188" s="845"/>
      <c r="FN188" s="846"/>
      <c r="FO188" s="847"/>
      <c r="FP188" s="845"/>
      <c r="FQ188" s="846"/>
      <c r="FR188" s="846"/>
      <c r="FS188" s="846"/>
      <c r="FT188" s="846"/>
      <c r="FU188" s="847"/>
      <c r="FV188" s="835"/>
      <c r="FW188" s="845"/>
      <c r="FX188" s="846"/>
      <c r="FY188" s="846"/>
      <c r="FZ188" s="851"/>
      <c r="GA188" s="849"/>
      <c r="GB188" s="846"/>
      <c r="GC188" s="846"/>
      <c r="GD188" s="846"/>
      <c r="GE188" s="846"/>
      <c r="GF188" s="846"/>
      <c r="GG188" s="846"/>
      <c r="GH188" s="846"/>
      <c r="GI188" s="847"/>
      <c r="GJ188" s="845"/>
      <c r="GK188" s="846"/>
      <c r="GL188" s="847"/>
      <c r="GM188" s="845"/>
      <c r="GN188" s="846"/>
      <c r="GO188" s="847"/>
      <c r="GP188" s="845"/>
      <c r="GQ188" s="846"/>
      <c r="GR188" s="846"/>
      <c r="GS188" s="846"/>
      <c r="GT188" s="846"/>
      <c r="GU188" s="847"/>
      <c r="GV188" s="835"/>
      <c r="GW188" s="845"/>
      <c r="GX188" s="846"/>
      <c r="GY188" s="846"/>
      <c r="GZ188" s="851"/>
      <c r="HA188" s="849"/>
      <c r="HB188" s="846"/>
      <c r="HC188" s="846"/>
      <c r="HD188" s="846"/>
      <c r="HE188" s="846"/>
      <c r="HF188" s="846"/>
      <c r="HG188" s="846"/>
      <c r="HH188" s="846"/>
      <c r="HI188" s="847"/>
      <c r="HJ188" s="845"/>
      <c r="HK188" s="846"/>
      <c r="HL188" s="847"/>
      <c r="HM188" s="845"/>
      <c r="HN188" s="846"/>
      <c r="HO188" s="847"/>
      <c r="HP188" s="845"/>
      <c r="HQ188" s="846"/>
      <c r="HR188" s="846"/>
      <c r="HS188" s="846"/>
      <c r="HT188" s="846"/>
      <c r="HU188" s="847"/>
      <c r="HV188" s="835"/>
      <c r="HW188" s="845"/>
      <c r="HX188" s="846"/>
      <c r="HY188" s="846"/>
      <c r="HZ188" s="851"/>
      <c r="IA188" s="849"/>
      <c r="IB188" s="846"/>
      <c r="IC188" s="846"/>
      <c r="ID188" s="846"/>
      <c r="IE188" s="846"/>
      <c r="IF188" s="846"/>
      <c r="IG188" s="846"/>
      <c r="IH188" s="846"/>
      <c r="II188" s="847"/>
      <c r="IJ188" s="845"/>
      <c r="IK188" s="846"/>
      <c r="IL188" s="847"/>
      <c r="IM188" s="845"/>
      <c r="IN188" s="846"/>
      <c r="IO188" s="847"/>
      <c r="IP188" s="845"/>
      <c r="IQ188" s="846"/>
      <c r="IR188" s="846"/>
      <c r="IS188" s="846"/>
      <c r="IT188" s="846"/>
      <c r="IU188" s="847"/>
      <c r="IV188" s="835"/>
      <c r="IW188" s="845"/>
      <c r="IX188" s="846"/>
      <c r="IY188" s="846"/>
      <c r="IZ188" s="851"/>
    </row>
    <row r="189" spans="1:260" ht="15" customHeight="1" x14ac:dyDescent="0.25">
      <c r="A189" s="858" t="str">
        <f>IF(Z185&gt;=A185,$A$9,"")</f>
        <v/>
      </c>
      <c r="B189" s="806"/>
      <c r="C189" s="806"/>
      <c r="D189" s="806"/>
      <c r="E189" s="852"/>
      <c r="F189" s="805" t="str">
        <f>IF(Z185&gt;=A185,$F$9,"")</f>
        <v/>
      </c>
      <c r="G189" s="806"/>
      <c r="H189" s="806"/>
      <c r="I189" s="852"/>
      <c r="J189" s="811" t="str">
        <f>IF(Z185&gt;=A185,$J$9,"")</f>
        <v/>
      </c>
      <c r="K189" s="803" t="str">
        <f>IF(Z185&gt;=A185,$K$9,"")</f>
        <v/>
      </c>
      <c r="L189" s="803" t="str">
        <f>IF(Z185&gt;=A185,$L$9,"")</f>
        <v/>
      </c>
      <c r="M189" s="803" t="str">
        <f>IF(Z185&gt;=A185,$M$9,"")</f>
        <v/>
      </c>
      <c r="N189" s="803" t="str">
        <f>IF(Z185&gt;=A185,$N$9,"")</f>
        <v/>
      </c>
      <c r="O189" s="803" t="str">
        <f>IF(Z185&gt;=A185,$O$9,"")</f>
        <v/>
      </c>
      <c r="P189" s="803" t="str">
        <f>IF(Z185&gt;=A185,$P$9,"")</f>
        <v/>
      </c>
      <c r="Q189" s="803" t="str">
        <f>IF(Z185&gt;=A185,$Q$9,"")</f>
        <v/>
      </c>
      <c r="R189" s="803" t="str">
        <f>IF(Z185&gt;=A185,$R$9,"")</f>
        <v/>
      </c>
      <c r="S189" s="803" t="str">
        <f>IF(Z185&gt;=A185,$S$9,"")</f>
        <v/>
      </c>
      <c r="T189" s="803" t="str">
        <f>IF(Z185&gt;=A185,$T$9,"")</f>
        <v/>
      </c>
      <c r="U189" s="803" t="str">
        <f>IF(Z185&gt;=A185,$U$9,"")</f>
        <v/>
      </c>
      <c r="V189" s="803" t="str">
        <f>IF(Z185&gt;=A185,$V$9,"")</f>
        <v/>
      </c>
      <c r="W189" s="805" t="str">
        <f>IF(Z185&gt;=A185,$W$9,"")</f>
        <v/>
      </c>
      <c r="X189" s="806"/>
      <c r="Y189" s="806"/>
      <c r="Z189" s="807"/>
      <c r="AA189" s="858" t="str">
        <f>IF(AZ185&gt;=AA185,$A$9,"")</f>
        <v/>
      </c>
      <c r="AB189" s="806"/>
      <c r="AC189" s="806"/>
      <c r="AD189" s="806"/>
      <c r="AE189" s="852"/>
      <c r="AF189" s="805" t="str">
        <f>IF(AZ185&gt;=AA185,$F$9,"")</f>
        <v/>
      </c>
      <c r="AG189" s="806"/>
      <c r="AH189" s="806"/>
      <c r="AI189" s="852"/>
      <c r="AJ189" s="811" t="str">
        <f>IF(AZ185&gt;=AA185,$J$9,"")</f>
        <v/>
      </c>
      <c r="AK189" s="803" t="str">
        <f>IF(AZ185&gt;=AA185,$K$9,"")</f>
        <v/>
      </c>
      <c r="AL189" s="803" t="str">
        <f>IF(AZ185&gt;=AA185,$L$9,"")</f>
        <v/>
      </c>
      <c r="AM189" s="803" t="str">
        <f>IF(AZ185&gt;=AA185,$M$9,"")</f>
        <v/>
      </c>
      <c r="AN189" s="803" t="str">
        <f>IF(AZ185&gt;=AA185,$N$9,"")</f>
        <v/>
      </c>
      <c r="AO189" s="803" t="str">
        <f>IF(AZ185&gt;=AA185,$O$9,"")</f>
        <v/>
      </c>
      <c r="AP189" s="803" t="str">
        <f>IF(AZ185&gt;=AA185,$P$9,"")</f>
        <v/>
      </c>
      <c r="AQ189" s="803" t="str">
        <f>IF(AZ185&gt;=AA185,$Q$9,"")</f>
        <v/>
      </c>
      <c r="AR189" s="803" t="str">
        <f>IF(AZ185&gt;=AA185,$R$9,"")</f>
        <v/>
      </c>
      <c r="AS189" s="803" t="str">
        <f>IF(AZ185&gt;=AA185,$S$9,"")</f>
        <v/>
      </c>
      <c r="AT189" s="803" t="str">
        <f>IF(AZ185&gt;=AA185,$T$9,"")</f>
        <v/>
      </c>
      <c r="AU189" s="803" t="str">
        <f>IF(AZ185&gt;=AA185,$U$9,"")</f>
        <v/>
      </c>
      <c r="AV189" s="803" t="str">
        <f>IF(AZ185&gt;=AA185,$V$9,"")</f>
        <v/>
      </c>
      <c r="AW189" s="805" t="str">
        <f>IF(AZ185&gt;=AA185,$W$9,"")</f>
        <v/>
      </c>
      <c r="AX189" s="806"/>
      <c r="AY189" s="806"/>
      <c r="AZ189" s="807"/>
      <c r="BA189" s="858" t="str">
        <f>IF(BZ185&gt;=BA185,$A$9,"")</f>
        <v/>
      </c>
      <c r="BB189" s="806"/>
      <c r="BC189" s="806"/>
      <c r="BD189" s="806"/>
      <c r="BE189" s="852"/>
      <c r="BF189" s="805" t="str">
        <f>IF(BZ185&gt;=BA185,$F$9,"")</f>
        <v/>
      </c>
      <c r="BG189" s="806"/>
      <c r="BH189" s="806"/>
      <c r="BI189" s="852"/>
      <c r="BJ189" s="811" t="str">
        <f>IF(BZ185&gt;=BA185,$J$9,"")</f>
        <v/>
      </c>
      <c r="BK189" s="803" t="str">
        <f>IF(BZ185&gt;=BA185,$K$9,"")</f>
        <v/>
      </c>
      <c r="BL189" s="803" t="str">
        <f>IF(BZ185&gt;=BA185,$L$9,"")</f>
        <v/>
      </c>
      <c r="BM189" s="803" t="str">
        <f>IF(BZ185&gt;=BA185,$M$9,"")</f>
        <v/>
      </c>
      <c r="BN189" s="803" t="str">
        <f>IF(BZ185&gt;=BA185,$N$9,"")</f>
        <v/>
      </c>
      <c r="BO189" s="803" t="str">
        <f>IF(BZ185&gt;=BA185,$O$9,"")</f>
        <v/>
      </c>
      <c r="BP189" s="803" t="str">
        <f>IF(BZ185&gt;=BA185,$P$9,"")</f>
        <v/>
      </c>
      <c r="BQ189" s="803" t="str">
        <f>IF(BZ185&gt;=BA185,$Q$9,"")</f>
        <v/>
      </c>
      <c r="BR189" s="803" t="str">
        <f>IF(BZ185&gt;=BA185,$R$9,"")</f>
        <v/>
      </c>
      <c r="BS189" s="803" t="str">
        <f>IF(BZ185&gt;=BA185,$S$9,"")</f>
        <v/>
      </c>
      <c r="BT189" s="803" t="str">
        <f>IF(BZ185&gt;=BA185,$T$9,"")</f>
        <v/>
      </c>
      <c r="BU189" s="803" t="str">
        <f>IF(BZ185&gt;=BA185,$U$9,"")</f>
        <v/>
      </c>
      <c r="BV189" s="803" t="str">
        <f>IF(BZ185&gt;=BA185,$V$9,"")</f>
        <v/>
      </c>
      <c r="BW189" s="805" t="str">
        <f>IF(BZ185&gt;=BA185,$W$9,"")</f>
        <v/>
      </c>
      <c r="BX189" s="806"/>
      <c r="BY189" s="806"/>
      <c r="BZ189" s="807"/>
      <c r="CA189" s="858" t="str">
        <f>IF(CZ185&gt;=CA185,$A$9,"")</f>
        <v/>
      </c>
      <c r="CB189" s="806"/>
      <c r="CC189" s="806"/>
      <c r="CD189" s="806"/>
      <c r="CE189" s="852"/>
      <c r="CF189" s="805" t="str">
        <f>IF(CZ185&gt;=CA185,$F$9,"")</f>
        <v/>
      </c>
      <c r="CG189" s="806"/>
      <c r="CH189" s="806"/>
      <c r="CI189" s="852"/>
      <c r="CJ189" s="811" t="str">
        <f>IF(CZ185&gt;=CA185,$J$9,"")</f>
        <v/>
      </c>
      <c r="CK189" s="803" t="str">
        <f>IF(CZ185&gt;=CA185,$K$9,"")</f>
        <v/>
      </c>
      <c r="CL189" s="803" t="str">
        <f>IF(CZ185&gt;=CA185,$L$9,"")</f>
        <v/>
      </c>
      <c r="CM189" s="803" t="str">
        <f>IF(CZ185&gt;=CA185,$M$9,"")</f>
        <v/>
      </c>
      <c r="CN189" s="803" t="str">
        <f>IF(CZ185&gt;=CA185,$N$9,"")</f>
        <v/>
      </c>
      <c r="CO189" s="803" t="str">
        <f>IF(CZ185&gt;=CA185,$O$9,"")</f>
        <v/>
      </c>
      <c r="CP189" s="803" t="str">
        <f>IF(CZ185&gt;=CA185,$P$9,"")</f>
        <v/>
      </c>
      <c r="CQ189" s="803" t="str">
        <f>IF(CZ185&gt;=CA185,$Q$9,"")</f>
        <v/>
      </c>
      <c r="CR189" s="803" t="str">
        <f>IF(CZ185&gt;=CA185,$R$9,"")</f>
        <v/>
      </c>
      <c r="CS189" s="803" t="str">
        <f>IF(CZ185&gt;=CA185,$S$9,"")</f>
        <v/>
      </c>
      <c r="CT189" s="803" t="str">
        <f>IF(CZ185&gt;=CA185,$T$9,"")</f>
        <v/>
      </c>
      <c r="CU189" s="803" t="str">
        <f>IF(CZ185&gt;=CA185,$U$9,"")</f>
        <v/>
      </c>
      <c r="CV189" s="803" t="str">
        <f>IF(CZ185&gt;=CA185,$V$9,"")</f>
        <v/>
      </c>
      <c r="CW189" s="805" t="str">
        <f>IF(CZ185&gt;=CA185,$W$9,"")</f>
        <v/>
      </c>
      <c r="CX189" s="806"/>
      <c r="CY189" s="806"/>
      <c r="CZ189" s="807"/>
      <c r="DA189" s="858" t="str">
        <f>IF(DZ185&gt;=DA185,$A$9,"")</f>
        <v/>
      </c>
      <c r="DB189" s="806"/>
      <c r="DC189" s="806"/>
      <c r="DD189" s="806"/>
      <c r="DE189" s="852"/>
      <c r="DF189" s="805" t="str">
        <f>IF(DZ185&gt;=DA185,$F$9,"")</f>
        <v/>
      </c>
      <c r="DG189" s="806"/>
      <c r="DH189" s="806"/>
      <c r="DI189" s="852"/>
      <c r="DJ189" s="811" t="str">
        <f>IF(DZ185&gt;=DA185,$J$9,"")</f>
        <v/>
      </c>
      <c r="DK189" s="803" t="str">
        <f>IF(DZ185&gt;=DA185,$K$9,"")</f>
        <v/>
      </c>
      <c r="DL189" s="803" t="str">
        <f>IF(DZ185&gt;=DA185,$L$9,"")</f>
        <v/>
      </c>
      <c r="DM189" s="803" t="str">
        <f>IF(DZ185&gt;=DA185,$M$9,"")</f>
        <v/>
      </c>
      <c r="DN189" s="803" t="str">
        <f>IF(DZ185&gt;=DA185,$N$9,"")</f>
        <v/>
      </c>
      <c r="DO189" s="803" t="str">
        <f>IF(DZ185&gt;=DA185,$O$9,"")</f>
        <v/>
      </c>
      <c r="DP189" s="803" t="str">
        <f>IF(DZ185&gt;=DA185,$P$9,"")</f>
        <v/>
      </c>
      <c r="DQ189" s="803" t="str">
        <f>IF(DZ185&gt;=DA185,$Q$9,"")</f>
        <v/>
      </c>
      <c r="DR189" s="803" t="str">
        <f>IF(DZ185&gt;=DA185,$R$9,"")</f>
        <v/>
      </c>
      <c r="DS189" s="803" t="str">
        <f>IF(DZ185&gt;=DA185,$S$9,"")</f>
        <v/>
      </c>
      <c r="DT189" s="803" t="str">
        <f>IF(DZ185&gt;=DA185,$T$9,"")</f>
        <v/>
      </c>
      <c r="DU189" s="803" t="str">
        <f>IF(DZ185&gt;=DA185,$U$9,"")</f>
        <v/>
      </c>
      <c r="DV189" s="803" t="str">
        <f>IF(DZ185&gt;=DA185,$V$9,"")</f>
        <v/>
      </c>
      <c r="DW189" s="805" t="str">
        <f>IF(DZ185&gt;=DA185,$W$9,"")</f>
        <v/>
      </c>
      <c r="DX189" s="806"/>
      <c r="DY189" s="806"/>
      <c r="DZ189" s="807"/>
      <c r="EA189" s="858" t="str">
        <f>IF(EZ185&gt;=EA185,$A$9,"")</f>
        <v/>
      </c>
      <c r="EB189" s="806"/>
      <c r="EC189" s="806"/>
      <c r="ED189" s="806"/>
      <c r="EE189" s="852"/>
      <c r="EF189" s="805" t="str">
        <f>IF(EZ185&gt;=EA185,$F$9,"")</f>
        <v/>
      </c>
      <c r="EG189" s="806"/>
      <c r="EH189" s="806"/>
      <c r="EI189" s="852"/>
      <c r="EJ189" s="811" t="str">
        <f>IF(EZ185&gt;=EA185,$J$9,"")</f>
        <v/>
      </c>
      <c r="EK189" s="803" t="str">
        <f>IF(EZ185&gt;=EA185,$K$9,"")</f>
        <v/>
      </c>
      <c r="EL189" s="803" t="str">
        <f>IF(EZ185&gt;=EA185,$L$9,"")</f>
        <v/>
      </c>
      <c r="EM189" s="803" t="str">
        <f>IF(EZ185&gt;=EA185,$M$9,"")</f>
        <v/>
      </c>
      <c r="EN189" s="803" t="str">
        <f>IF(EZ185&gt;=EA185,$N$9,"")</f>
        <v/>
      </c>
      <c r="EO189" s="803" t="str">
        <f>IF(EZ185&gt;=EA185,$O$9,"")</f>
        <v/>
      </c>
      <c r="EP189" s="803" t="str">
        <f>IF(EZ185&gt;=EA185,$P$9,"")</f>
        <v/>
      </c>
      <c r="EQ189" s="803" t="str">
        <f>IF(EZ185&gt;=EA185,$Q$9,"")</f>
        <v/>
      </c>
      <c r="ER189" s="803" t="str">
        <f>IF(EZ185&gt;=EA185,$R$9,"")</f>
        <v/>
      </c>
      <c r="ES189" s="803" t="str">
        <f>IF(EZ185&gt;=EA185,$S$9,"")</f>
        <v/>
      </c>
      <c r="ET189" s="803" t="str">
        <f>IF(EZ185&gt;=EA185,$T$9,"")</f>
        <v/>
      </c>
      <c r="EU189" s="803" t="str">
        <f>IF(EZ185&gt;=EA185,$U$9,"")</f>
        <v/>
      </c>
      <c r="EV189" s="803" t="str">
        <f>IF(EZ185&gt;=EA185,$V$9,"")</f>
        <v/>
      </c>
      <c r="EW189" s="805" t="str">
        <f>IF(EZ185&gt;=EA185,$W$9,"")</f>
        <v/>
      </c>
      <c r="EX189" s="806"/>
      <c r="EY189" s="806"/>
      <c r="EZ189" s="807"/>
      <c r="FA189" s="858" t="str">
        <f>IF(FZ185&gt;=FA185,$A$9,"")</f>
        <v/>
      </c>
      <c r="FB189" s="806"/>
      <c r="FC189" s="806"/>
      <c r="FD189" s="806"/>
      <c r="FE189" s="852"/>
      <c r="FF189" s="805" t="str">
        <f>IF(FZ185&gt;=FA185,$F$9,"")</f>
        <v/>
      </c>
      <c r="FG189" s="806"/>
      <c r="FH189" s="806"/>
      <c r="FI189" s="852"/>
      <c r="FJ189" s="811" t="str">
        <f>IF(FZ185&gt;=FA185,$J$9,"")</f>
        <v/>
      </c>
      <c r="FK189" s="803" t="str">
        <f>IF(FZ185&gt;=FA185,$K$9,"")</f>
        <v/>
      </c>
      <c r="FL189" s="803" t="str">
        <f>IF(FZ185&gt;=FA185,$L$9,"")</f>
        <v/>
      </c>
      <c r="FM189" s="803" t="str">
        <f>IF(FZ185&gt;=FA185,$M$9,"")</f>
        <v/>
      </c>
      <c r="FN189" s="803" t="str">
        <f>IF(FZ185&gt;=FA185,$N$9,"")</f>
        <v/>
      </c>
      <c r="FO189" s="803" t="str">
        <f>IF(FZ185&gt;=FA185,$O$9,"")</f>
        <v/>
      </c>
      <c r="FP189" s="803" t="str">
        <f>IF(FZ185&gt;=FA185,$P$9,"")</f>
        <v/>
      </c>
      <c r="FQ189" s="803" t="str">
        <f>IF(FZ185&gt;=FA185,$Q$9,"")</f>
        <v/>
      </c>
      <c r="FR189" s="803" t="str">
        <f>IF(FZ185&gt;=FA185,$R$9,"")</f>
        <v/>
      </c>
      <c r="FS189" s="803" t="str">
        <f>IF(FZ185&gt;=FA185,$S$9,"")</f>
        <v/>
      </c>
      <c r="FT189" s="803" t="str">
        <f>IF(FZ185&gt;=FA185,$T$9,"")</f>
        <v/>
      </c>
      <c r="FU189" s="803" t="str">
        <f>IF(FZ185&gt;=FA185,$U$9,"")</f>
        <v/>
      </c>
      <c r="FV189" s="803" t="str">
        <f>IF(FZ185&gt;=FA185,$V$9,"")</f>
        <v/>
      </c>
      <c r="FW189" s="805" t="str">
        <f>IF(FZ185&gt;=FA185,$W$9,"")</f>
        <v/>
      </c>
      <c r="FX189" s="806"/>
      <c r="FY189" s="806"/>
      <c r="FZ189" s="807"/>
      <c r="GA189" s="858" t="str">
        <f>IF(GZ185&gt;=GA185,$A$9,"")</f>
        <v/>
      </c>
      <c r="GB189" s="806"/>
      <c r="GC189" s="806"/>
      <c r="GD189" s="806"/>
      <c r="GE189" s="852"/>
      <c r="GF189" s="805" t="str">
        <f>IF(GZ185&gt;=GA185,$F$9,"")</f>
        <v/>
      </c>
      <c r="GG189" s="806"/>
      <c r="GH189" s="806"/>
      <c r="GI189" s="852"/>
      <c r="GJ189" s="811" t="str">
        <f>IF(GZ185&gt;=GA185,$J$9,"")</f>
        <v/>
      </c>
      <c r="GK189" s="803" t="str">
        <f>IF(GZ185&gt;=GA185,$K$9,"")</f>
        <v/>
      </c>
      <c r="GL189" s="803" t="str">
        <f>IF(GZ185&gt;=GA185,$L$9,"")</f>
        <v/>
      </c>
      <c r="GM189" s="803" t="str">
        <f>IF(GZ185&gt;=GA185,$M$9,"")</f>
        <v/>
      </c>
      <c r="GN189" s="803" t="str">
        <f>IF(GZ185&gt;=GA185,$N$9,"")</f>
        <v/>
      </c>
      <c r="GO189" s="803" t="str">
        <f>IF(GZ185&gt;=GA185,$O$9,"")</f>
        <v/>
      </c>
      <c r="GP189" s="803" t="str">
        <f>IF(GZ185&gt;=GA185,$P$9,"")</f>
        <v/>
      </c>
      <c r="GQ189" s="803" t="str">
        <f>IF(GZ185&gt;=GA185,$Q$9,"")</f>
        <v/>
      </c>
      <c r="GR189" s="803" t="str">
        <f>IF(GZ185&gt;=GA185,$R$9,"")</f>
        <v/>
      </c>
      <c r="GS189" s="803" t="str">
        <f>IF(GZ185&gt;=GA185,$S$9,"")</f>
        <v/>
      </c>
      <c r="GT189" s="803" t="str">
        <f>IF(GZ185&gt;=GA185,$T$9,"")</f>
        <v/>
      </c>
      <c r="GU189" s="803" t="str">
        <f>IF(GZ185&gt;=GA185,$U$9,"")</f>
        <v/>
      </c>
      <c r="GV189" s="803" t="str">
        <f>IF(GZ185&gt;=GA185,$V$9,"")</f>
        <v/>
      </c>
      <c r="GW189" s="805" t="str">
        <f>IF(GZ185&gt;=GA185,$W$9,"")</f>
        <v/>
      </c>
      <c r="GX189" s="806"/>
      <c r="GY189" s="806"/>
      <c r="GZ189" s="807"/>
      <c r="HA189" s="858" t="str">
        <f>IF(HZ185&gt;=HA185,$A$9,"")</f>
        <v/>
      </c>
      <c r="HB189" s="806"/>
      <c r="HC189" s="806"/>
      <c r="HD189" s="806"/>
      <c r="HE189" s="852"/>
      <c r="HF189" s="805" t="str">
        <f>IF(HZ185&gt;=HA185,$F$9,"")</f>
        <v/>
      </c>
      <c r="HG189" s="806"/>
      <c r="HH189" s="806"/>
      <c r="HI189" s="852"/>
      <c r="HJ189" s="811" t="str">
        <f>IF(HZ185&gt;=HA185,$J$9,"")</f>
        <v/>
      </c>
      <c r="HK189" s="803" t="str">
        <f>IF(HZ185&gt;=HA185,$K$9,"")</f>
        <v/>
      </c>
      <c r="HL189" s="803" t="str">
        <f>IF(HZ185&gt;=HA185,$L$9,"")</f>
        <v/>
      </c>
      <c r="HM189" s="803" t="str">
        <f>IF(HZ185&gt;=HA185,$M$9,"")</f>
        <v/>
      </c>
      <c r="HN189" s="803" t="str">
        <f>IF(HZ185&gt;=HA185,$N$9,"")</f>
        <v/>
      </c>
      <c r="HO189" s="803" t="str">
        <f>IF(HZ185&gt;=HA185,$O$9,"")</f>
        <v/>
      </c>
      <c r="HP189" s="803" t="str">
        <f>IF(HZ185&gt;=HA185,$P$9,"")</f>
        <v/>
      </c>
      <c r="HQ189" s="803" t="str">
        <f>IF(HZ185&gt;=HA185,$Q$9,"")</f>
        <v/>
      </c>
      <c r="HR189" s="803" t="str">
        <f>IF(HZ185&gt;=HA185,$R$9,"")</f>
        <v/>
      </c>
      <c r="HS189" s="803" t="str">
        <f>IF(HZ185&gt;=HA185,$S$9,"")</f>
        <v/>
      </c>
      <c r="HT189" s="803" t="str">
        <f>IF(HZ185&gt;=HA185,$T$9,"")</f>
        <v/>
      </c>
      <c r="HU189" s="803" t="str">
        <f>IF(HZ185&gt;=HA185,$U$9,"")</f>
        <v/>
      </c>
      <c r="HV189" s="803" t="str">
        <f>IF(HZ185&gt;=HA185,$V$9,"")</f>
        <v/>
      </c>
      <c r="HW189" s="805" t="str">
        <f>IF(HZ185&gt;=HA185,$W$9,"")</f>
        <v/>
      </c>
      <c r="HX189" s="806"/>
      <c r="HY189" s="806"/>
      <c r="HZ189" s="807"/>
      <c r="IA189" s="858" t="str">
        <f>IF(IZ185&gt;=IA185,$A$9,"")</f>
        <v/>
      </c>
      <c r="IB189" s="806"/>
      <c r="IC189" s="806"/>
      <c r="ID189" s="806"/>
      <c r="IE189" s="852"/>
      <c r="IF189" s="805" t="str">
        <f>IF(IZ185&gt;=IA185,$F$9,"")</f>
        <v/>
      </c>
      <c r="IG189" s="806"/>
      <c r="IH189" s="806"/>
      <c r="II189" s="852"/>
      <c r="IJ189" s="811" t="str">
        <f>IF(IZ185&gt;=IA185,$J$9,"")</f>
        <v/>
      </c>
      <c r="IK189" s="803" t="str">
        <f>IF(IZ185&gt;=IA185,$K$9,"")</f>
        <v/>
      </c>
      <c r="IL189" s="803" t="str">
        <f>IF(IZ185&gt;=IA185,$L$9,"")</f>
        <v/>
      </c>
      <c r="IM189" s="803" t="str">
        <f>IF(IZ185&gt;=IA185,$M$9,"")</f>
        <v/>
      </c>
      <c r="IN189" s="803" t="str">
        <f>IF(IZ185&gt;=IA185,$N$9,"")</f>
        <v/>
      </c>
      <c r="IO189" s="803" t="str">
        <f>IF(IZ185&gt;=IA185,$O$9,"")</f>
        <v/>
      </c>
      <c r="IP189" s="803" t="str">
        <f>IF(IZ185&gt;=IA185,$P$9,"")</f>
        <v/>
      </c>
      <c r="IQ189" s="803" t="str">
        <f>IF(IZ185&gt;=IA185,$Q$9,"")</f>
        <v/>
      </c>
      <c r="IR189" s="803" t="str">
        <f>IF(IZ185&gt;=IA185,$R$9,"")</f>
        <v/>
      </c>
      <c r="IS189" s="803" t="str">
        <f>IF(IZ185&gt;=IA185,$S$9,"")</f>
        <v/>
      </c>
      <c r="IT189" s="803" t="str">
        <f>IF(IZ185&gt;=IA185,$T$9,"")</f>
        <v/>
      </c>
      <c r="IU189" s="803" t="str">
        <f>IF(IZ185&gt;=IA185,$U$9,"")</f>
        <v/>
      </c>
      <c r="IV189" s="803" t="str">
        <f>IF(IZ185&gt;=IA185,$V$9,"")</f>
        <v/>
      </c>
      <c r="IW189" s="805" t="str">
        <f>IF(IZ185&gt;=IA185,$W$9,"")</f>
        <v/>
      </c>
      <c r="IX189" s="806"/>
      <c r="IY189" s="806"/>
      <c r="IZ189" s="807"/>
    </row>
    <row r="190" spans="1:260" x14ac:dyDescent="0.25">
      <c r="A190" s="859"/>
      <c r="B190" s="809"/>
      <c r="C190" s="809"/>
      <c r="D190" s="809"/>
      <c r="E190" s="853"/>
      <c r="F190" s="808"/>
      <c r="G190" s="809"/>
      <c r="H190" s="809"/>
      <c r="I190" s="853"/>
      <c r="J190" s="812"/>
      <c r="K190" s="804"/>
      <c r="L190" s="804"/>
      <c r="M190" s="804"/>
      <c r="N190" s="804"/>
      <c r="O190" s="804"/>
      <c r="P190" s="804"/>
      <c r="Q190" s="804"/>
      <c r="R190" s="804"/>
      <c r="S190" s="804"/>
      <c r="T190" s="804"/>
      <c r="U190" s="804"/>
      <c r="V190" s="804"/>
      <c r="W190" s="808"/>
      <c r="X190" s="809"/>
      <c r="Y190" s="809"/>
      <c r="Z190" s="810"/>
      <c r="AA190" s="859"/>
      <c r="AB190" s="809"/>
      <c r="AC190" s="809"/>
      <c r="AD190" s="809"/>
      <c r="AE190" s="853"/>
      <c r="AF190" s="808"/>
      <c r="AG190" s="809"/>
      <c r="AH190" s="809"/>
      <c r="AI190" s="853"/>
      <c r="AJ190" s="812"/>
      <c r="AK190" s="804"/>
      <c r="AL190" s="804"/>
      <c r="AM190" s="804"/>
      <c r="AN190" s="804"/>
      <c r="AO190" s="804"/>
      <c r="AP190" s="804"/>
      <c r="AQ190" s="804"/>
      <c r="AR190" s="804"/>
      <c r="AS190" s="804"/>
      <c r="AT190" s="804"/>
      <c r="AU190" s="804"/>
      <c r="AV190" s="804"/>
      <c r="AW190" s="808"/>
      <c r="AX190" s="809"/>
      <c r="AY190" s="809"/>
      <c r="AZ190" s="810"/>
      <c r="BA190" s="859"/>
      <c r="BB190" s="809"/>
      <c r="BC190" s="809"/>
      <c r="BD190" s="809"/>
      <c r="BE190" s="853"/>
      <c r="BF190" s="808"/>
      <c r="BG190" s="809"/>
      <c r="BH190" s="809"/>
      <c r="BI190" s="853"/>
      <c r="BJ190" s="812"/>
      <c r="BK190" s="804"/>
      <c r="BL190" s="804"/>
      <c r="BM190" s="804"/>
      <c r="BN190" s="804"/>
      <c r="BO190" s="804"/>
      <c r="BP190" s="804"/>
      <c r="BQ190" s="804"/>
      <c r="BR190" s="804"/>
      <c r="BS190" s="804"/>
      <c r="BT190" s="804"/>
      <c r="BU190" s="804"/>
      <c r="BV190" s="804"/>
      <c r="BW190" s="808"/>
      <c r="BX190" s="809"/>
      <c r="BY190" s="809"/>
      <c r="BZ190" s="810"/>
      <c r="CA190" s="859"/>
      <c r="CB190" s="809"/>
      <c r="CC190" s="809"/>
      <c r="CD190" s="809"/>
      <c r="CE190" s="853"/>
      <c r="CF190" s="808"/>
      <c r="CG190" s="809"/>
      <c r="CH190" s="809"/>
      <c r="CI190" s="853"/>
      <c r="CJ190" s="812"/>
      <c r="CK190" s="804"/>
      <c r="CL190" s="804"/>
      <c r="CM190" s="804"/>
      <c r="CN190" s="804"/>
      <c r="CO190" s="804"/>
      <c r="CP190" s="804"/>
      <c r="CQ190" s="804"/>
      <c r="CR190" s="804"/>
      <c r="CS190" s="804"/>
      <c r="CT190" s="804"/>
      <c r="CU190" s="804"/>
      <c r="CV190" s="804"/>
      <c r="CW190" s="808"/>
      <c r="CX190" s="809"/>
      <c r="CY190" s="809"/>
      <c r="CZ190" s="810"/>
      <c r="DA190" s="859"/>
      <c r="DB190" s="809"/>
      <c r="DC190" s="809"/>
      <c r="DD190" s="809"/>
      <c r="DE190" s="853"/>
      <c r="DF190" s="808"/>
      <c r="DG190" s="809"/>
      <c r="DH190" s="809"/>
      <c r="DI190" s="853"/>
      <c r="DJ190" s="812"/>
      <c r="DK190" s="804"/>
      <c r="DL190" s="804"/>
      <c r="DM190" s="804"/>
      <c r="DN190" s="804"/>
      <c r="DO190" s="804"/>
      <c r="DP190" s="804"/>
      <c r="DQ190" s="804"/>
      <c r="DR190" s="804"/>
      <c r="DS190" s="804"/>
      <c r="DT190" s="804"/>
      <c r="DU190" s="804"/>
      <c r="DV190" s="804"/>
      <c r="DW190" s="808"/>
      <c r="DX190" s="809"/>
      <c r="DY190" s="809"/>
      <c r="DZ190" s="810"/>
      <c r="EA190" s="859"/>
      <c r="EB190" s="809"/>
      <c r="EC190" s="809"/>
      <c r="ED190" s="809"/>
      <c r="EE190" s="853"/>
      <c r="EF190" s="808"/>
      <c r="EG190" s="809"/>
      <c r="EH190" s="809"/>
      <c r="EI190" s="853"/>
      <c r="EJ190" s="812"/>
      <c r="EK190" s="804"/>
      <c r="EL190" s="804"/>
      <c r="EM190" s="804"/>
      <c r="EN190" s="804"/>
      <c r="EO190" s="804"/>
      <c r="EP190" s="804"/>
      <c r="EQ190" s="804"/>
      <c r="ER190" s="804"/>
      <c r="ES190" s="804"/>
      <c r="ET190" s="804"/>
      <c r="EU190" s="804"/>
      <c r="EV190" s="804"/>
      <c r="EW190" s="808"/>
      <c r="EX190" s="809"/>
      <c r="EY190" s="809"/>
      <c r="EZ190" s="810"/>
      <c r="FA190" s="859"/>
      <c r="FB190" s="809"/>
      <c r="FC190" s="809"/>
      <c r="FD190" s="809"/>
      <c r="FE190" s="853"/>
      <c r="FF190" s="808"/>
      <c r="FG190" s="809"/>
      <c r="FH190" s="809"/>
      <c r="FI190" s="853"/>
      <c r="FJ190" s="812"/>
      <c r="FK190" s="804"/>
      <c r="FL190" s="804"/>
      <c r="FM190" s="804"/>
      <c r="FN190" s="804"/>
      <c r="FO190" s="804"/>
      <c r="FP190" s="804"/>
      <c r="FQ190" s="804"/>
      <c r="FR190" s="804"/>
      <c r="FS190" s="804"/>
      <c r="FT190" s="804"/>
      <c r="FU190" s="804"/>
      <c r="FV190" s="804"/>
      <c r="FW190" s="808"/>
      <c r="FX190" s="809"/>
      <c r="FY190" s="809"/>
      <c r="FZ190" s="810"/>
      <c r="GA190" s="859"/>
      <c r="GB190" s="809"/>
      <c r="GC190" s="809"/>
      <c r="GD190" s="809"/>
      <c r="GE190" s="853"/>
      <c r="GF190" s="808"/>
      <c r="GG190" s="809"/>
      <c r="GH190" s="809"/>
      <c r="GI190" s="853"/>
      <c r="GJ190" s="812"/>
      <c r="GK190" s="804"/>
      <c r="GL190" s="804"/>
      <c r="GM190" s="804"/>
      <c r="GN190" s="804"/>
      <c r="GO190" s="804"/>
      <c r="GP190" s="804"/>
      <c r="GQ190" s="804"/>
      <c r="GR190" s="804"/>
      <c r="GS190" s="804"/>
      <c r="GT190" s="804"/>
      <c r="GU190" s="804"/>
      <c r="GV190" s="804"/>
      <c r="GW190" s="808"/>
      <c r="GX190" s="809"/>
      <c r="GY190" s="809"/>
      <c r="GZ190" s="810"/>
      <c r="HA190" s="859"/>
      <c r="HB190" s="809"/>
      <c r="HC190" s="809"/>
      <c r="HD190" s="809"/>
      <c r="HE190" s="853"/>
      <c r="HF190" s="808"/>
      <c r="HG190" s="809"/>
      <c r="HH190" s="809"/>
      <c r="HI190" s="853"/>
      <c r="HJ190" s="812"/>
      <c r="HK190" s="804"/>
      <c r="HL190" s="804"/>
      <c r="HM190" s="804"/>
      <c r="HN190" s="804"/>
      <c r="HO190" s="804"/>
      <c r="HP190" s="804"/>
      <c r="HQ190" s="804"/>
      <c r="HR190" s="804"/>
      <c r="HS190" s="804"/>
      <c r="HT190" s="804"/>
      <c r="HU190" s="804"/>
      <c r="HV190" s="804"/>
      <c r="HW190" s="808"/>
      <c r="HX190" s="809"/>
      <c r="HY190" s="809"/>
      <c r="HZ190" s="810"/>
      <c r="IA190" s="859"/>
      <c r="IB190" s="809"/>
      <c r="IC190" s="809"/>
      <c r="ID190" s="809"/>
      <c r="IE190" s="853"/>
      <c r="IF190" s="808"/>
      <c r="IG190" s="809"/>
      <c r="IH190" s="809"/>
      <c r="II190" s="853"/>
      <c r="IJ190" s="812"/>
      <c r="IK190" s="804"/>
      <c r="IL190" s="804"/>
      <c r="IM190" s="804"/>
      <c r="IN190" s="804"/>
      <c r="IO190" s="804"/>
      <c r="IP190" s="804"/>
      <c r="IQ190" s="804"/>
      <c r="IR190" s="804"/>
      <c r="IS190" s="804"/>
      <c r="IT190" s="804"/>
      <c r="IU190" s="804"/>
      <c r="IV190" s="804"/>
      <c r="IW190" s="808"/>
      <c r="IX190" s="809"/>
      <c r="IY190" s="809"/>
      <c r="IZ190" s="810"/>
    </row>
    <row r="191" spans="1:260" x14ac:dyDescent="0.25">
      <c r="A191" s="854" t="str">
        <f>IFERROR(INDEX(Lista_Pedidos,Procesos!Y185+A185-1,3),"")</f>
        <v/>
      </c>
      <c r="B191" s="855"/>
      <c r="C191" s="855"/>
      <c r="D191" s="855"/>
      <c r="E191" s="856"/>
      <c r="F191" s="857" t="str">
        <f>IF(Z185&gt;A185-1,E$11,"")</f>
        <v/>
      </c>
      <c r="G191" s="855"/>
      <c r="H191" s="855"/>
      <c r="I191" s="856"/>
      <c r="J191" s="526" t="str">
        <f>IFERROR(IF(IF(Z185&gt;A185-1,INDEX(Lista_Pedidos,Y185+A185-1,J185),"")=0,"",IF(Z185&gt;A185-1,INDEX(Lista_Pedidos,Y185+A185-1,J185),"")),"")</f>
        <v/>
      </c>
      <c r="K191" s="526" t="str">
        <f>IFERROR(IF(IF(Z185&gt;A185-1,INDEX(Lista_Pedidos,Y185+A185-1,K185),"")=0,"",IF(Z185&gt;A185-1,INDEX(Lista_Pedidos,Y185+A185-1,K185),"")),"")</f>
        <v/>
      </c>
      <c r="L191" s="526" t="str">
        <f>IFERROR(IF(IF(Z185&gt;A185-1,INDEX(Lista_Pedidos,Y185+A185-1,L185),"")=0,"",IF(Z185&gt;A185-1,INDEX(Lista_Pedidos,Y185+A185-1,L185),"")),"")</f>
        <v/>
      </c>
      <c r="M191" s="526" t="str">
        <f>IFERROR(IF(IF(Z185&gt;A185-1,INDEX(Lista_Pedidos,Y185+A185-1,M185),"")=0,"",IF(Z185&gt;A185-1,INDEX(Lista_Pedidos,Y185+A185-1,M185),"")),"")</f>
        <v/>
      </c>
      <c r="N191" s="526" t="str">
        <f>IFERROR(IF(IF(Z185&gt;A185-1,INDEX(Lista_Pedidos,Y185+A185-1,N185),"")=0,"",IF(Z185&gt;A185-1,INDEX(Lista_Pedidos,Y185+A185-1,N185),"")),"")</f>
        <v/>
      </c>
      <c r="O191" s="526" t="str">
        <f>IFERROR(IF(IF(Z185&gt;A185-1,INDEX(Lista_Pedidos,Y185+A185-1,O185),"")=0,"",IF(Z185&gt;A185-1,INDEX(Lista_Pedidos,Y185+A185-1,O185),"")),"")</f>
        <v/>
      </c>
      <c r="P191" s="526" t="str">
        <f>IFERROR(IF(IF(Z185&gt;A185-1,INDEX(Lista_Pedidos,Y185+A185-1,P185),"")=0,"",IF(Z185&gt;A185-1,INDEX(Lista_Pedidos,Y185+A185-1,P185),"")),"")</f>
        <v/>
      </c>
      <c r="Q191" s="526" t="str">
        <f>IFERROR(IF(IF(Z185&gt;A185-1,INDEX(Lista_Pedidos,Y185+A185-1,Q185),"")=0,"",IF(Z185&gt;A185-1,INDEX(Lista_Pedidos,Y185+A185-1,Q185),"")),"")</f>
        <v/>
      </c>
      <c r="R191" s="526" t="str">
        <f>IFERROR(IF(IF(Z185&gt;A185-1,INDEX(Lista_Pedidos,Y185+A185-1,R185),"")=0,"",IF(Z185&gt;A185-1,INDEX(Lista_Pedidos,Y185+A185-1,R185),"")),"")</f>
        <v/>
      </c>
      <c r="S191" s="526" t="str">
        <f>IFERROR(IF(IF(Z185&gt;A185-1,INDEX(Lista_Pedidos,Y185+A185-1,S185),"")=0,"",IF(Z185&gt;A185-1,INDEX(Lista_Pedidos,Y185+A185-1,S185),"")),"")</f>
        <v/>
      </c>
      <c r="T191" s="526" t="str">
        <f>IFERROR(IF(IF(Z185&gt;A185-1,INDEX(Lista_Pedidos,Y185+A185-1,T185),"")=0,"",IF(Z185&gt;A185-1,INDEX(Lista_Pedidos,Y185+A185-1,T185),"")),"")</f>
        <v/>
      </c>
      <c r="U191" s="526" t="str">
        <f>IFERROR(IF(IF(Z185&gt;A185-1,INDEX(Lista_Pedidos,Y185+A185-1,U185),"")=0,"",IF(Z185&gt;A185-1,INDEX(Lista_Pedidos,Y185+A185-1,U185),"")),"")</f>
        <v/>
      </c>
      <c r="V191" s="526" t="str">
        <f>IFERROR(IF(IF(Z185&gt;A185-1,INDEX(Lista_Pedidos,Y185+A185-1,V185),"")=0,"",IF(Z185&gt;A185-1,INDEX(Lista_Pedidos,Y185+A185-1,V185),"")),"")</f>
        <v/>
      </c>
      <c r="W191" s="857" t="str">
        <f>IF(SUM(J191:V191)&gt;1,SUM(J191:V191),"")</f>
        <v/>
      </c>
      <c r="X191" s="855"/>
      <c r="Y191" s="855"/>
      <c r="Z191" s="860"/>
      <c r="AA191" s="854" t="str">
        <f>IFERROR(INDEX(Lista_Pedidos,Procesos!AY185+AA185-1,3),"")</f>
        <v/>
      </c>
      <c r="AB191" s="855"/>
      <c r="AC191" s="855"/>
      <c r="AD191" s="855"/>
      <c r="AE191" s="856"/>
      <c r="AF191" s="857" t="str">
        <f>IF(AZ185&gt;AA185-1,AE$11,"")</f>
        <v/>
      </c>
      <c r="AG191" s="855"/>
      <c r="AH191" s="855"/>
      <c r="AI191" s="856"/>
      <c r="AJ191" s="526" t="str">
        <f>IFERROR(IF(IF(AZ185&gt;AA185-1,INDEX(Lista_Pedidos,AY185+AA185-1,AJ185),"")=0,"",IF(AZ185&gt;AA185-1,INDEX(Lista_Pedidos,AY185+AA185-1,AJ185),"")),"")</f>
        <v/>
      </c>
      <c r="AK191" s="526" t="str">
        <f>IFERROR(IF(IF(AZ185&gt;AA185-1,INDEX(Lista_Pedidos,AY185+AA185-1,AK185),"")=0,"",IF(AZ185&gt;AA185-1,INDEX(Lista_Pedidos,AY185+AA185-1,AK185),"")),"")</f>
        <v/>
      </c>
      <c r="AL191" s="526" t="str">
        <f>IFERROR(IF(IF(AZ185&gt;AA185-1,INDEX(Lista_Pedidos,AY185+AA185-1,AL185),"")=0,"",IF(AZ185&gt;AA185-1,INDEX(Lista_Pedidos,AY185+AA185-1,AL185),"")),"")</f>
        <v/>
      </c>
      <c r="AM191" s="526" t="str">
        <f>IFERROR(IF(IF(AZ185&gt;AA185-1,INDEX(Lista_Pedidos,AY185+AA185-1,AM185),"")=0,"",IF(AZ185&gt;AA185-1,INDEX(Lista_Pedidos,AY185+AA185-1,AM185),"")),"")</f>
        <v/>
      </c>
      <c r="AN191" s="526" t="str">
        <f>IFERROR(IF(IF(AZ185&gt;AA185-1,INDEX(Lista_Pedidos,AY185+AA185-1,AN185),"")=0,"",IF(AZ185&gt;AA185-1,INDEX(Lista_Pedidos,AY185+AA185-1,AN185),"")),"")</f>
        <v/>
      </c>
      <c r="AO191" s="526" t="str">
        <f>IFERROR(IF(IF(AZ185&gt;AA185-1,INDEX(Lista_Pedidos,AY185+AA185-1,AO185),"")=0,"",IF(AZ185&gt;AA185-1,INDEX(Lista_Pedidos,AY185+AA185-1,AO185),"")),"")</f>
        <v/>
      </c>
      <c r="AP191" s="526" t="str">
        <f>IFERROR(IF(IF(AZ185&gt;AA185-1,INDEX(Lista_Pedidos,AY185+AA185-1,AP185),"")=0,"",IF(AZ185&gt;AA185-1,INDEX(Lista_Pedidos,AY185+AA185-1,AP185),"")),"")</f>
        <v/>
      </c>
      <c r="AQ191" s="526" t="str">
        <f>IFERROR(IF(IF(AZ185&gt;AA185-1,INDEX(Lista_Pedidos,AY185+AA185-1,AQ185),"")=0,"",IF(AZ185&gt;AA185-1,INDEX(Lista_Pedidos,AY185+AA185-1,AQ185),"")),"")</f>
        <v/>
      </c>
      <c r="AR191" s="526" t="str">
        <f>IFERROR(IF(IF(AZ185&gt;AA185-1,INDEX(Lista_Pedidos,AY185+AA185-1,AR185),"")=0,"",IF(AZ185&gt;AA185-1,INDEX(Lista_Pedidos,AY185+AA185-1,AR185),"")),"")</f>
        <v/>
      </c>
      <c r="AS191" s="526" t="str">
        <f>IFERROR(IF(IF(AZ185&gt;AA185-1,INDEX(Lista_Pedidos,AY185+AA185-1,AS185),"")=0,"",IF(AZ185&gt;AA185-1,INDEX(Lista_Pedidos,AY185+AA185-1,AS185),"")),"")</f>
        <v/>
      </c>
      <c r="AT191" s="526" t="str">
        <f>IFERROR(IF(IF(AZ185&gt;AA185-1,INDEX(Lista_Pedidos,AY185+AA185-1,AT185),"")=0,"",IF(AZ185&gt;AA185-1,INDEX(Lista_Pedidos,AY185+AA185-1,AT185),"")),"")</f>
        <v/>
      </c>
      <c r="AU191" s="526" t="str">
        <f>IFERROR(IF(IF(AZ185&gt;AA185-1,INDEX(Lista_Pedidos,AY185+AA185-1,AU185),"")=0,"",IF(AZ185&gt;AA185-1,INDEX(Lista_Pedidos,AY185+AA185-1,AU185),"")),"")</f>
        <v/>
      </c>
      <c r="AV191" s="526" t="str">
        <f>IFERROR(IF(IF(AZ185&gt;AA185-1,INDEX(Lista_Pedidos,AY185+AA185-1,AV185),"")=0,"",IF(AZ185&gt;AA185-1,INDEX(Lista_Pedidos,AY185+AA185-1,AV185),"")),"")</f>
        <v/>
      </c>
      <c r="AW191" s="857" t="str">
        <f>IF(SUM(AJ191:AV191)&gt;1,SUM(AJ191:AV191),"")</f>
        <v/>
      </c>
      <c r="AX191" s="855"/>
      <c r="AY191" s="855"/>
      <c r="AZ191" s="860"/>
      <c r="BA191" s="854" t="str">
        <f>IFERROR(INDEX(Lista_Pedidos,Procesos!BY185+BA185-1,3),"")</f>
        <v/>
      </c>
      <c r="BB191" s="855"/>
      <c r="BC191" s="855"/>
      <c r="BD191" s="855"/>
      <c r="BE191" s="856"/>
      <c r="BF191" s="857" t="str">
        <f>IF(BZ185&gt;BA185-1,BE$11,"")</f>
        <v/>
      </c>
      <c r="BG191" s="855"/>
      <c r="BH191" s="855"/>
      <c r="BI191" s="856"/>
      <c r="BJ191" s="526" t="str">
        <f>IFERROR(IF(IF(BZ185&gt;BA185-1,INDEX(Lista_Pedidos,BY185+BA185-1,BJ185),"")=0,"",IF(BZ185&gt;BA185-1,INDEX(Lista_Pedidos,BY185+BA185-1,BJ185),"")),"")</f>
        <v/>
      </c>
      <c r="BK191" s="526" t="str">
        <f>IFERROR(IF(IF(BZ185&gt;BA185-1,INDEX(Lista_Pedidos,BY185+BA185-1,BK185),"")=0,"",IF(BZ185&gt;BA185-1,INDEX(Lista_Pedidos,BY185+BA185-1,BK185),"")),"")</f>
        <v/>
      </c>
      <c r="BL191" s="526" t="str">
        <f>IFERROR(IF(IF(BZ185&gt;BA185-1,INDEX(Lista_Pedidos,BY185+BA185-1,BL185),"")=0,"",IF(BZ185&gt;BA185-1,INDEX(Lista_Pedidos,BY185+BA185-1,BL185),"")),"")</f>
        <v/>
      </c>
      <c r="BM191" s="526" t="str">
        <f>IFERROR(IF(IF(BZ185&gt;BA185-1,INDEX(Lista_Pedidos,BY185+BA185-1,BM185),"")=0,"",IF(BZ185&gt;BA185-1,INDEX(Lista_Pedidos,BY185+BA185-1,BM185),"")),"")</f>
        <v/>
      </c>
      <c r="BN191" s="526" t="str">
        <f>IFERROR(IF(IF(BZ185&gt;BA185-1,INDEX(Lista_Pedidos,BY185+BA185-1,BN185),"")=0,"",IF(BZ185&gt;BA185-1,INDEX(Lista_Pedidos,BY185+BA185-1,BN185),"")),"")</f>
        <v/>
      </c>
      <c r="BO191" s="526" t="str">
        <f>IFERROR(IF(IF(BZ185&gt;BA185-1,INDEX(Lista_Pedidos,BY185+BA185-1,BO185),"")=0,"",IF(BZ185&gt;BA185-1,INDEX(Lista_Pedidos,BY185+BA185-1,BO185),"")),"")</f>
        <v/>
      </c>
      <c r="BP191" s="526" t="str">
        <f>IFERROR(IF(IF(BZ185&gt;BA185-1,INDEX(Lista_Pedidos,BY185+BA185-1,BP185),"")=0,"",IF(BZ185&gt;BA185-1,INDEX(Lista_Pedidos,BY185+BA185-1,BP185),"")),"")</f>
        <v/>
      </c>
      <c r="BQ191" s="526" t="str">
        <f>IFERROR(IF(IF(BZ185&gt;BA185-1,INDEX(Lista_Pedidos,BY185+BA185-1,BQ185),"")=0,"",IF(BZ185&gt;BA185-1,INDEX(Lista_Pedidos,BY185+BA185-1,BQ185),"")),"")</f>
        <v/>
      </c>
      <c r="BR191" s="526" t="str">
        <f>IFERROR(IF(IF(BZ185&gt;BA185-1,INDEX(Lista_Pedidos,BY185+BA185-1,BR185),"")=0,"",IF(BZ185&gt;BA185-1,INDEX(Lista_Pedidos,BY185+BA185-1,BR185),"")),"")</f>
        <v/>
      </c>
      <c r="BS191" s="526" t="str">
        <f>IFERROR(IF(IF(BZ185&gt;BA185-1,INDEX(Lista_Pedidos,BY185+BA185-1,BS185),"")=0,"",IF(BZ185&gt;BA185-1,INDEX(Lista_Pedidos,BY185+BA185-1,BS185),"")),"")</f>
        <v/>
      </c>
      <c r="BT191" s="526" t="str">
        <f>IFERROR(IF(IF(BZ185&gt;BA185-1,INDEX(Lista_Pedidos,BY185+BA185-1,BT185),"")=0,"",IF(BZ185&gt;BA185-1,INDEX(Lista_Pedidos,BY185+BA185-1,BT185),"")),"")</f>
        <v/>
      </c>
      <c r="BU191" s="526" t="str">
        <f>IFERROR(IF(IF(BZ185&gt;BA185-1,INDEX(Lista_Pedidos,BY185+BA185-1,BU185),"")=0,"",IF(BZ185&gt;BA185-1,INDEX(Lista_Pedidos,BY185+BA185-1,BU185),"")),"")</f>
        <v/>
      </c>
      <c r="BV191" s="526" t="str">
        <f>IFERROR(IF(IF(BZ185&gt;BA185-1,INDEX(Lista_Pedidos,BY185+BA185-1,BV185),"")=0,"",IF(BZ185&gt;BA185-1,INDEX(Lista_Pedidos,BY185+BA185-1,BV185),"")),"")</f>
        <v/>
      </c>
      <c r="BW191" s="857" t="str">
        <f>IF(SUM(BJ191:BV191)&gt;1,SUM(BJ191:BV191),"")</f>
        <v/>
      </c>
      <c r="BX191" s="855"/>
      <c r="BY191" s="855"/>
      <c r="BZ191" s="860"/>
      <c r="CA191" s="854" t="str">
        <f>IFERROR(INDEX(Lista_Pedidos,Procesos!CY185+CA185-1,3),"")</f>
        <v/>
      </c>
      <c r="CB191" s="855"/>
      <c r="CC191" s="855"/>
      <c r="CD191" s="855"/>
      <c r="CE191" s="856"/>
      <c r="CF191" s="857" t="str">
        <f>IF(CZ185&gt;CA185-1,CE$11,"")</f>
        <v/>
      </c>
      <c r="CG191" s="855"/>
      <c r="CH191" s="855"/>
      <c r="CI191" s="856"/>
      <c r="CJ191" s="526" t="str">
        <f>IFERROR(IF(IF(CZ185&gt;CA185-1,INDEX(Lista_Pedidos,CY185+CA185-1,CJ185),"")=0,"",IF(CZ185&gt;CA185-1,INDEX(Lista_Pedidos,CY185+CA185-1,CJ185),"")),"")</f>
        <v/>
      </c>
      <c r="CK191" s="526" t="str">
        <f>IFERROR(IF(IF(CZ185&gt;CA185-1,INDEX(Lista_Pedidos,CY185+CA185-1,CK185),"")=0,"",IF(CZ185&gt;CA185-1,INDEX(Lista_Pedidos,CY185+CA185-1,CK185),"")),"")</f>
        <v/>
      </c>
      <c r="CL191" s="526" t="str">
        <f>IFERROR(IF(IF(CZ185&gt;CA185-1,INDEX(Lista_Pedidos,CY185+CA185-1,CL185),"")=0,"",IF(CZ185&gt;CA185-1,INDEX(Lista_Pedidos,CY185+CA185-1,CL185),"")),"")</f>
        <v/>
      </c>
      <c r="CM191" s="526" t="str">
        <f>IFERROR(IF(IF(CZ185&gt;CA185-1,INDEX(Lista_Pedidos,CY185+CA185-1,CM185),"")=0,"",IF(CZ185&gt;CA185-1,INDEX(Lista_Pedidos,CY185+CA185-1,CM185),"")),"")</f>
        <v/>
      </c>
      <c r="CN191" s="526" t="str">
        <f>IFERROR(IF(IF(CZ185&gt;CA185-1,INDEX(Lista_Pedidos,CY185+CA185-1,CN185),"")=0,"",IF(CZ185&gt;CA185-1,INDEX(Lista_Pedidos,CY185+CA185-1,CN185),"")),"")</f>
        <v/>
      </c>
      <c r="CO191" s="526" t="str">
        <f>IFERROR(IF(IF(CZ185&gt;CA185-1,INDEX(Lista_Pedidos,CY185+CA185-1,CO185),"")=0,"",IF(CZ185&gt;CA185-1,INDEX(Lista_Pedidos,CY185+CA185-1,CO185),"")),"")</f>
        <v/>
      </c>
      <c r="CP191" s="526" t="str">
        <f>IFERROR(IF(IF(CZ185&gt;CA185-1,INDEX(Lista_Pedidos,CY185+CA185-1,CP185),"")=0,"",IF(CZ185&gt;CA185-1,INDEX(Lista_Pedidos,CY185+CA185-1,CP185),"")),"")</f>
        <v/>
      </c>
      <c r="CQ191" s="526" t="str">
        <f>IFERROR(IF(IF(CZ185&gt;CA185-1,INDEX(Lista_Pedidos,CY185+CA185-1,CQ185),"")=0,"",IF(CZ185&gt;CA185-1,INDEX(Lista_Pedidos,CY185+CA185-1,CQ185),"")),"")</f>
        <v/>
      </c>
      <c r="CR191" s="526" t="str">
        <f>IFERROR(IF(IF(CZ185&gt;CA185-1,INDEX(Lista_Pedidos,CY185+CA185-1,CR185),"")=0,"",IF(CZ185&gt;CA185-1,INDEX(Lista_Pedidos,CY185+CA185-1,CR185),"")),"")</f>
        <v/>
      </c>
      <c r="CS191" s="526" t="str">
        <f>IFERROR(IF(IF(CZ185&gt;CA185-1,INDEX(Lista_Pedidos,CY185+CA185-1,CS185),"")=0,"",IF(CZ185&gt;CA185-1,INDEX(Lista_Pedidos,CY185+CA185-1,CS185),"")),"")</f>
        <v/>
      </c>
      <c r="CT191" s="526" t="str">
        <f>IFERROR(IF(IF(CZ185&gt;CA185-1,INDEX(Lista_Pedidos,CY185+CA185-1,CT185),"")=0,"",IF(CZ185&gt;CA185-1,INDEX(Lista_Pedidos,CY185+CA185-1,CT185),"")),"")</f>
        <v/>
      </c>
      <c r="CU191" s="526" t="str">
        <f>IFERROR(IF(IF(CZ185&gt;CA185-1,INDEX(Lista_Pedidos,CY185+CA185-1,CU185),"")=0,"",IF(CZ185&gt;CA185-1,INDEX(Lista_Pedidos,CY185+CA185-1,CU185),"")),"")</f>
        <v/>
      </c>
      <c r="CV191" s="526" t="str">
        <f>IFERROR(IF(IF(CZ185&gt;CA185-1,INDEX(Lista_Pedidos,CY185+CA185-1,CV185),"")=0,"",IF(CZ185&gt;CA185-1,INDEX(Lista_Pedidos,CY185+CA185-1,CV185),"")),"")</f>
        <v/>
      </c>
      <c r="CW191" s="857" t="str">
        <f>IF(SUM(CJ191:CV191)&gt;1,SUM(CJ191:CV191),"")</f>
        <v/>
      </c>
      <c r="CX191" s="855"/>
      <c r="CY191" s="855"/>
      <c r="CZ191" s="860"/>
      <c r="DA191" s="854" t="str">
        <f>IFERROR(INDEX(Lista_Pedidos,Procesos!DY185+DA185-1,3),"")</f>
        <v/>
      </c>
      <c r="DB191" s="855"/>
      <c r="DC191" s="855"/>
      <c r="DD191" s="855"/>
      <c r="DE191" s="856"/>
      <c r="DF191" s="857" t="str">
        <f>IF(DZ185&gt;DA185-1,DE$11,"")</f>
        <v/>
      </c>
      <c r="DG191" s="855"/>
      <c r="DH191" s="855"/>
      <c r="DI191" s="856"/>
      <c r="DJ191" s="526" t="str">
        <f>IFERROR(IF(IF(DZ185&gt;DA185-1,INDEX(Lista_Pedidos,DY185+DA185-1,DJ185),"")=0,"",IF(DZ185&gt;DA185-1,INDEX(Lista_Pedidos,DY185+DA185-1,DJ185),"")),"")</f>
        <v/>
      </c>
      <c r="DK191" s="526" t="str">
        <f>IFERROR(IF(IF(DZ185&gt;DA185-1,INDEX(Lista_Pedidos,DY185+DA185-1,DK185),"")=0,"",IF(DZ185&gt;DA185-1,INDEX(Lista_Pedidos,DY185+DA185-1,DK185),"")),"")</f>
        <v/>
      </c>
      <c r="DL191" s="526" t="str">
        <f>IFERROR(IF(IF(DZ185&gt;DA185-1,INDEX(Lista_Pedidos,DY185+DA185-1,DL185),"")=0,"",IF(DZ185&gt;DA185-1,INDEX(Lista_Pedidos,DY185+DA185-1,DL185),"")),"")</f>
        <v/>
      </c>
      <c r="DM191" s="526" t="str">
        <f>IFERROR(IF(IF(DZ185&gt;DA185-1,INDEX(Lista_Pedidos,DY185+DA185-1,DM185),"")=0,"",IF(DZ185&gt;DA185-1,INDEX(Lista_Pedidos,DY185+DA185-1,DM185),"")),"")</f>
        <v/>
      </c>
      <c r="DN191" s="526" t="str">
        <f>IFERROR(IF(IF(DZ185&gt;DA185-1,INDEX(Lista_Pedidos,DY185+DA185-1,DN185),"")=0,"",IF(DZ185&gt;DA185-1,INDEX(Lista_Pedidos,DY185+DA185-1,DN185),"")),"")</f>
        <v/>
      </c>
      <c r="DO191" s="526" t="str">
        <f>IFERROR(IF(IF(DZ185&gt;DA185-1,INDEX(Lista_Pedidos,DY185+DA185-1,DO185),"")=0,"",IF(DZ185&gt;DA185-1,INDEX(Lista_Pedidos,DY185+DA185-1,DO185),"")),"")</f>
        <v/>
      </c>
      <c r="DP191" s="526" t="str">
        <f>IFERROR(IF(IF(DZ185&gt;DA185-1,INDEX(Lista_Pedidos,DY185+DA185-1,DP185),"")=0,"",IF(DZ185&gt;DA185-1,INDEX(Lista_Pedidos,DY185+DA185-1,DP185),"")),"")</f>
        <v/>
      </c>
      <c r="DQ191" s="526" t="str">
        <f>IFERROR(IF(IF(DZ185&gt;DA185-1,INDEX(Lista_Pedidos,DY185+DA185-1,DQ185),"")=0,"",IF(DZ185&gt;DA185-1,INDEX(Lista_Pedidos,DY185+DA185-1,DQ185),"")),"")</f>
        <v/>
      </c>
      <c r="DR191" s="526" t="str">
        <f>IFERROR(IF(IF(DZ185&gt;DA185-1,INDEX(Lista_Pedidos,DY185+DA185-1,DR185),"")=0,"",IF(DZ185&gt;DA185-1,INDEX(Lista_Pedidos,DY185+DA185-1,DR185),"")),"")</f>
        <v/>
      </c>
      <c r="DS191" s="526" t="str">
        <f>IFERROR(IF(IF(DZ185&gt;DA185-1,INDEX(Lista_Pedidos,DY185+DA185-1,DS185),"")=0,"",IF(DZ185&gt;DA185-1,INDEX(Lista_Pedidos,DY185+DA185-1,DS185),"")),"")</f>
        <v/>
      </c>
      <c r="DT191" s="526" t="str">
        <f>IFERROR(IF(IF(DZ185&gt;DA185-1,INDEX(Lista_Pedidos,DY185+DA185-1,DT185),"")=0,"",IF(DZ185&gt;DA185-1,INDEX(Lista_Pedidos,DY185+DA185-1,DT185),"")),"")</f>
        <v/>
      </c>
      <c r="DU191" s="526" t="str">
        <f>IFERROR(IF(IF(DZ185&gt;DA185-1,INDEX(Lista_Pedidos,DY185+DA185-1,DU185),"")=0,"",IF(DZ185&gt;DA185-1,INDEX(Lista_Pedidos,DY185+DA185-1,DU185),"")),"")</f>
        <v/>
      </c>
      <c r="DV191" s="526" t="str">
        <f>IFERROR(IF(IF(DZ185&gt;DA185-1,INDEX(Lista_Pedidos,DY185+DA185-1,DV185),"")=0,"",IF(DZ185&gt;DA185-1,INDEX(Lista_Pedidos,DY185+DA185-1,DV185),"")),"")</f>
        <v/>
      </c>
      <c r="DW191" s="857" t="str">
        <f>IF(SUM(DJ191:DV191)&gt;1,SUM(DJ191:DV191),"")</f>
        <v/>
      </c>
      <c r="DX191" s="855"/>
      <c r="DY191" s="855"/>
      <c r="DZ191" s="860"/>
      <c r="EA191" s="854" t="str">
        <f>IFERROR(INDEX(Lista_Pedidos,Procesos!EY185+EA185-1,3),"")</f>
        <v/>
      </c>
      <c r="EB191" s="855"/>
      <c r="EC191" s="855"/>
      <c r="ED191" s="855"/>
      <c r="EE191" s="856"/>
      <c r="EF191" s="857" t="str">
        <f>IF(EZ185&gt;EA185-1,EE$11,"")</f>
        <v/>
      </c>
      <c r="EG191" s="855"/>
      <c r="EH191" s="855"/>
      <c r="EI191" s="856"/>
      <c r="EJ191" s="526" t="str">
        <f>IFERROR(IF(IF(EZ185&gt;EA185-1,INDEX(Lista_Pedidos,EY185+EA185-1,EJ185),"")=0,"",IF(EZ185&gt;EA185-1,INDEX(Lista_Pedidos,EY185+EA185-1,EJ185),"")),"")</f>
        <v/>
      </c>
      <c r="EK191" s="526" t="str">
        <f>IFERROR(IF(IF(EZ185&gt;EA185-1,INDEX(Lista_Pedidos,EY185+EA185-1,EK185),"")=0,"",IF(EZ185&gt;EA185-1,INDEX(Lista_Pedidos,EY185+EA185-1,EK185),"")),"")</f>
        <v/>
      </c>
      <c r="EL191" s="526" t="str">
        <f>IFERROR(IF(IF(EZ185&gt;EA185-1,INDEX(Lista_Pedidos,EY185+EA185-1,EL185),"")=0,"",IF(EZ185&gt;EA185-1,INDEX(Lista_Pedidos,EY185+EA185-1,EL185),"")),"")</f>
        <v/>
      </c>
      <c r="EM191" s="526" t="str">
        <f>IFERROR(IF(IF(EZ185&gt;EA185-1,INDEX(Lista_Pedidos,EY185+EA185-1,EM185),"")=0,"",IF(EZ185&gt;EA185-1,INDEX(Lista_Pedidos,EY185+EA185-1,EM185),"")),"")</f>
        <v/>
      </c>
      <c r="EN191" s="526" t="str">
        <f>IFERROR(IF(IF(EZ185&gt;EA185-1,INDEX(Lista_Pedidos,EY185+EA185-1,EN185),"")=0,"",IF(EZ185&gt;EA185-1,INDEX(Lista_Pedidos,EY185+EA185-1,EN185),"")),"")</f>
        <v/>
      </c>
      <c r="EO191" s="526" t="str">
        <f>IFERROR(IF(IF(EZ185&gt;EA185-1,INDEX(Lista_Pedidos,EY185+EA185-1,EO185),"")=0,"",IF(EZ185&gt;EA185-1,INDEX(Lista_Pedidos,EY185+EA185-1,EO185),"")),"")</f>
        <v/>
      </c>
      <c r="EP191" s="526" t="str">
        <f>IFERROR(IF(IF(EZ185&gt;EA185-1,INDEX(Lista_Pedidos,EY185+EA185-1,EP185),"")=0,"",IF(EZ185&gt;EA185-1,INDEX(Lista_Pedidos,EY185+EA185-1,EP185),"")),"")</f>
        <v/>
      </c>
      <c r="EQ191" s="526" t="str">
        <f>IFERROR(IF(IF(EZ185&gt;EA185-1,INDEX(Lista_Pedidos,EY185+EA185-1,EQ185),"")=0,"",IF(EZ185&gt;EA185-1,INDEX(Lista_Pedidos,EY185+EA185-1,EQ185),"")),"")</f>
        <v/>
      </c>
      <c r="ER191" s="526" t="str">
        <f>IFERROR(IF(IF(EZ185&gt;EA185-1,INDEX(Lista_Pedidos,EY185+EA185-1,ER185),"")=0,"",IF(EZ185&gt;EA185-1,INDEX(Lista_Pedidos,EY185+EA185-1,ER185),"")),"")</f>
        <v/>
      </c>
      <c r="ES191" s="526" t="str">
        <f>IFERROR(IF(IF(EZ185&gt;EA185-1,INDEX(Lista_Pedidos,EY185+EA185-1,ES185),"")=0,"",IF(EZ185&gt;EA185-1,INDEX(Lista_Pedidos,EY185+EA185-1,ES185),"")),"")</f>
        <v/>
      </c>
      <c r="ET191" s="526" t="str">
        <f>IFERROR(IF(IF(EZ185&gt;EA185-1,INDEX(Lista_Pedidos,EY185+EA185-1,ET185),"")=0,"",IF(EZ185&gt;EA185-1,INDEX(Lista_Pedidos,EY185+EA185-1,ET185),"")),"")</f>
        <v/>
      </c>
      <c r="EU191" s="526" t="str">
        <f>IFERROR(IF(IF(EZ185&gt;EA185-1,INDEX(Lista_Pedidos,EY185+EA185-1,EU185),"")=0,"",IF(EZ185&gt;EA185-1,INDEX(Lista_Pedidos,EY185+EA185-1,EU185),"")),"")</f>
        <v/>
      </c>
      <c r="EV191" s="526" t="str">
        <f>IFERROR(IF(IF(EZ185&gt;EA185-1,INDEX(Lista_Pedidos,EY185+EA185-1,EV185),"")=0,"",IF(EZ185&gt;EA185-1,INDEX(Lista_Pedidos,EY185+EA185-1,EV185),"")),"")</f>
        <v/>
      </c>
      <c r="EW191" s="857" t="str">
        <f>IF(SUM(EJ191:EV191)&gt;1,SUM(EJ191:EV191),"")</f>
        <v/>
      </c>
      <c r="EX191" s="855"/>
      <c r="EY191" s="855"/>
      <c r="EZ191" s="860"/>
      <c r="FA191" s="854" t="str">
        <f>IFERROR(INDEX(Lista_Pedidos,Procesos!FY185+FA185-1,3),"")</f>
        <v/>
      </c>
      <c r="FB191" s="855"/>
      <c r="FC191" s="855"/>
      <c r="FD191" s="855"/>
      <c r="FE191" s="856"/>
      <c r="FF191" s="857" t="str">
        <f>IF(FZ185&gt;FA185-1,FE$11,"")</f>
        <v/>
      </c>
      <c r="FG191" s="855"/>
      <c r="FH191" s="855"/>
      <c r="FI191" s="856"/>
      <c r="FJ191" s="526" t="str">
        <f>IFERROR(IF(IF(FZ185&gt;FA185-1,INDEX(Lista_Pedidos,FY185+FA185-1,FJ185),"")=0,"",IF(FZ185&gt;FA185-1,INDEX(Lista_Pedidos,FY185+FA185-1,FJ185),"")),"")</f>
        <v/>
      </c>
      <c r="FK191" s="526" t="str">
        <f>IFERROR(IF(IF(FZ185&gt;FA185-1,INDEX(Lista_Pedidos,FY185+FA185-1,FK185),"")=0,"",IF(FZ185&gt;FA185-1,INDEX(Lista_Pedidos,FY185+FA185-1,FK185),"")),"")</f>
        <v/>
      </c>
      <c r="FL191" s="526" t="str">
        <f>IFERROR(IF(IF(FZ185&gt;FA185-1,INDEX(Lista_Pedidos,FY185+FA185-1,FL185),"")=0,"",IF(FZ185&gt;FA185-1,INDEX(Lista_Pedidos,FY185+FA185-1,FL185),"")),"")</f>
        <v/>
      </c>
      <c r="FM191" s="526" t="str">
        <f>IFERROR(IF(IF(FZ185&gt;FA185-1,INDEX(Lista_Pedidos,FY185+FA185-1,FM185),"")=0,"",IF(FZ185&gt;FA185-1,INDEX(Lista_Pedidos,FY185+FA185-1,FM185),"")),"")</f>
        <v/>
      </c>
      <c r="FN191" s="526" t="str">
        <f>IFERROR(IF(IF(FZ185&gt;FA185-1,INDEX(Lista_Pedidos,FY185+FA185-1,FN185),"")=0,"",IF(FZ185&gt;FA185-1,INDEX(Lista_Pedidos,FY185+FA185-1,FN185),"")),"")</f>
        <v/>
      </c>
      <c r="FO191" s="526" t="str">
        <f>IFERROR(IF(IF(FZ185&gt;FA185-1,INDEX(Lista_Pedidos,FY185+FA185-1,FO185),"")=0,"",IF(FZ185&gt;FA185-1,INDEX(Lista_Pedidos,FY185+FA185-1,FO185),"")),"")</f>
        <v/>
      </c>
      <c r="FP191" s="526" t="str">
        <f>IFERROR(IF(IF(FZ185&gt;FA185-1,INDEX(Lista_Pedidos,FY185+FA185-1,FP185),"")=0,"",IF(FZ185&gt;FA185-1,INDEX(Lista_Pedidos,FY185+FA185-1,FP185),"")),"")</f>
        <v/>
      </c>
      <c r="FQ191" s="526" t="str">
        <f>IFERROR(IF(IF(FZ185&gt;FA185-1,INDEX(Lista_Pedidos,FY185+FA185-1,FQ185),"")=0,"",IF(FZ185&gt;FA185-1,INDEX(Lista_Pedidos,FY185+FA185-1,FQ185),"")),"")</f>
        <v/>
      </c>
      <c r="FR191" s="526" t="str">
        <f>IFERROR(IF(IF(FZ185&gt;FA185-1,INDEX(Lista_Pedidos,FY185+FA185-1,FR185),"")=0,"",IF(FZ185&gt;FA185-1,INDEX(Lista_Pedidos,FY185+FA185-1,FR185),"")),"")</f>
        <v/>
      </c>
      <c r="FS191" s="526" t="str">
        <f>IFERROR(IF(IF(FZ185&gt;FA185-1,INDEX(Lista_Pedidos,FY185+FA185-1,FS185),"")=0,"",IF(FZ185&gt;FA185-1,INDEX(Lista_Pedidos,FY185+FA185-1,FS185),"")),"")</f>
        <v/>
      </c>
      <c r="FT191" s="526" t="str">
        <f>IFERROR(IF(IF(FZ185&gt;FA185-1,INDEX(Lista_Pedidos,FY185+FA185-1,FT185),"")=0,"",IF(FZ185&gt;FA185-1,INDEX(Lista_Pedidos,FY185+FA185-1,FT185),"")),"")</f>
        <v/>
      </c>
      <c r="FU191" s="526" t="str">
        <f>IFERROR(IF(IF(FZ185&gt;FA185-1,INDEX(Lista_Pedidos,FY185+FA185-1,FU185),"")=0,"",IF(FZ185&gt;FA185-1,INDEX(Lista_Pedidos,FY185+FA185-1,FU185),"")),"")</f>
        <v/>
      </c>
      <c r="FV191" s="526" t="str">
        <f>IFERROR(IF(IF(FZ185&gt;FA185-1,INDEX(Lista_Pedidos,FY185+FA185-1,FV185),"")=0,"",IF(FZ185&gt;FA185-1,INDEX(Lista_Pedidos,FY185+FA185-1,FV185),"")),"")</f>
        <v/>
      </c>
      <c r="FW191" s="857" t="str">
        <f>IF(SUM(FJ191:FV191)&gt;1,SUM(FJ191:FV191),"")</f>
        <v/>
      </c>
      <c r="FX191" s="855"/>
      <c r="FY191" s="855"/>
      <c r="FZ191" s="860"/>
      <c r="GA191" s="854" t="str">
        <f>IFERROR(INDEX(Lista_Pedidos,Procesos!GY185+GA185-1,3),"")</f>
        <v/>
      </c>
      <c r="GB191" s="855"/>
      <c r="GC191" s="855"/>
      <c r="GD191" s="855"/>
      <c r="GE191" s="856"/>
      <c r="GF191" s="857" t="str">
        <f>IF(GZ185&gt;GA185-1,GE$11,"")</f>
        <v/>
      </c>
      <c r="GG191" s="855"/>
      <c r="GH191" s="855"/>
      <c r="GI191" s="856"/>
      <c r="GJ191" s="526" t="str">
        <f>IFERROR(IF(IF(GZ185&gt;GA185-1,INDEX(Lista_Pedidos,GY185+GA185-1,GJ185),"")=0,"",IF(GZ185&gt;GA185-1,INDEX(Lista_Pedidos,GY185+GA185-1,GJ185),"")),"")</f>
        <v/>
      </c>
      <c r="GK191" s="526" t="str">
        <f>IFERROR(IF(IF(GZ185&gt;GA185-1,INDEX(Lista_Pedidos,GY185+GA185-1,GK185),"")=0,"",IF(GZ185&gt;GA185-1,INDEX(Lista_Pedidos,GY185+GA185-1,GK185),"")),"")</f>
        <v/>
      </c>
      <c r="GL191" s="526" t="str">
        <f>IFERROR(IF(IF(GZ185&gt;GA185-1,INDEX(Lista_Pedidos,GY185+GA185-1,GL185),"")=0,"",IF(GZ185&gt;GA185-1,INDEX(Lista_Pedidos,GY185+GA185-1,GL185),"")),"")</f>
        <v/>
      </c>
      <c r="GM191" s="526" t="str">
        <f>IFERROR(IF(IF(GZ185&gt;GA185-1,INDEX(Lista_Pedidos,GY185+GA185-1,GM185),"")=0,"",IF(GZ185&gt;GA185-1,INDEX(Lista_Pedidos,GY185+GA185-1,GM185),"")),"")</f>
        <v/>
      </c>
      <c r="GN191" s="526" t="str">
        <f>IFERROR(IF(IF(GZ185&gt;GA185-1,INDEX(Lista_Pedidos,GY185+GA185-1,GN185),"")=0,"",IF(GZ185&gt;GA185-1,INDEX(Lista_Pedidos,GY185+GA185-1,GN185),"")),"")</f>
        <v/>
      </c>
      <c r="GO191" s="526" t="str">
        <f>IFERROR(IF(IF(GZ185&gt;GA185-1,INDEX(Lista_Pedidos,GY185+GA185-1,GO185),"")=0,"",IF(GZ185&gt;GA185-1,INDEX(Lista_Pedidos,GY185+GA185-1,GO185),"")),"")</f>
        <v/>
      </c>
      <c r="GP191" s="526" t="str">
        <f>IFERROR(IF(IF(GZ185&gt;GA185-1,INDEX(Lista_Pedidos,GY185+GA185-1,GP185),"")=0,"",IF(GZ185&gt;GA185-1,INDEX(Lista_Pedidos,GY185+GA185-1,GP185),"")),"")</f>
        <v/>
      </c>
      <c r="GQ191" s="526" t="str">
        <f>IFERROR(IF(IF(GZ185&gt;GA185-1,INDEX(Lista_Pedidos,GY185+GA185-1,GQ185),"")=0,"",IF(GZ185&gt;GA185-1,INDEX(Lista_Pedidos,GY185+GA185-1,GQ185),"")),"")</f>
        <v/>
      </c>
      <c r="GR191" s="526" t="str">
        <f>IFERROR(IF(IF(GZ185&gt;GA185-1,INDEX(Lista_Pedidos,GY185+GA185-1,GR185),"")=0,"",IF(GZ185&gt;GA185-1,INDEX(Lista_Pedidos,GY185+GA185-1,GR185),"")),"")</f>
        <v/>
      </c>
      <c r="GS191" s="526" t="str">
        <f>IFERROR(IF(IF(GZ185&gt;GA185-1,INDEX(Lista_Pedidos,GY185+GA185-1,GS185),"")=0,"",IF(GZ185&gt;GA185-1,INDEX(Lista_Pedidos,GY185+GA185-1,GS185),"")),"")</f>
        <v/>
      </c>
      <c r="GT191" s="526" t="str">
        <f>IFERROR(IF(IF(GZ185&gt;GA185-1,INDEX(Lista_Pedidos,GY185+GA185-1,GT185),"")=0,"",IF(GZ185&gt;GA185-1,INDEX(Lista_Pedidos,GY185+GA185-1,GT185),"")),"")</f>
        <v/>
      </c>
      <c r="GU191" s="526" t="str">
        <f>IFERROR(IF(IF(GZ185&gt;GA185-1,INDEX(Lista_Pedidos,GY185+GA185-1,GU185),"")=0,"",IF(GZ185&gt;GA185-1,INDEX(Lista_Pedidos,GY185+GA185-1,GU185),"")),"")</f>
        <v/>
      </c>
      <c r="GV191" s="526" t="str">
        <f>IFERROR(IF(IF(GZ185&gt;GA185-1,INDEX(Lista_Pedidos,GY185+GA185-1,GV185),"")=0,"",IF(GZ185&gt;GA185-1,INDEX(Lista_Pedidos,GY185+GA185-1,GV185),"")),"")</f>
        <v/>
      </c>
      <c r="GW191" s="857" t="str">
        <f>IF(SUM(GJ191:GV191)&gt;1,SUM(GJ191:GV191),"")</f>
        <v/>
      </c>
      <c r="GX191" s="855"/>
      <c r="GY191" s="855"/>
      <c r="GZ191" s="860"/>
      <c r="HA191" s="854" t="str">
        <f>IFERROR(INDEX(Lista_Pedidos,Procesos!HY185+HA185-1,3),"")</f>
        <v/>
      </c>
      <c r="HB191" s="855"/>
      <c r="HC191" s="855"/>
      <c r="HD191" s="855"/>
      <c r="HE191" s="856"/>
      <c r="HF191" s="857" t="str">
        <f>IF(HZ185&gt;HA185-1,HE$11,"")</f>
        <v/>
      </c>
      <c r="HG191" s="855"/>
      <c r="HH191" s="855"/>
      <c r="HI191" s="856"/>
      <c r="HJ191" s="526" t="str">
        <f>IFERROR(IF(IF(HZ185&gt;HA185-1,INDEX(Lista_Pedidos,HY185+HA185-1,HJ185),"")=0,"",IF(HZ185&gt;HA185-1,INDEX(Lista_Pedidos,HY185+HA185-1,HJ185),"")),"")</f>
        <v/>
      </c>
      <c r="HK191" s="526" t="str">
        <f>IFERROR(IF(IF(HZ185&gt;HA185-1,INDEX(Lista_Pedidos,HY185+HA185-1,HK185),"")=0,"",IF(HZ185&gt;HA185-1,INDEX(Lista_Pedidos,HY185+HA185-1,HK185),"")),"")</f>
        <v/>
      </c>
      <c r="HL191" s="526" t="str">
        <f>IFERROR(IF(IF(HZ185&gt;HA185-1,INDEX(Lista_Pedidos,HY185+HA185-1,HL185),"")=0,"",IF(HZ185&gt;HA185-1,INDEX(Lista_Pedidos,HY185+HA185-1,HL185),"")),"")</f>
        <v/>
      </c>
      <c r="HM191" s="526" t="str">
        <f>IFERROR(IF(IF(HZ185&gt;HA185-1,INDEX(Lista_Pedidos,HY185+HA185-1,HM185),"")=0,"",IF(HZ185&gt;HA185-1,INDEX(Lista_Pedidos,HY185+HA185-1,HM185),"")),"")</f>
        <v/>
      </c>
      <c r="HN191" s="526" t="str">
        <f>IFERROR(IF(IF(HZ185&gt;HA185-1,INDEX(Lista_Pedidos,HY185+HA185-1,HN185),"")=0,"",IF(HZ185&gt;HA185-1,INDEX(Lista_Pedidos,HY185+HA185-1,HN185),"")),"")</f>
        <v/>
      </c>
      <c r="HO191" s="526" t="str">
        <f>IFERROR(IF(IF(HZ185&gt;HA185-1,INDEX(Lista_Pedidos,HY185+HA185-1,HO185),"")=0,"",IF(HZ185&gt;HA185-1,INDEX(Lista_Pedidos,HY185+HA185-1,HO185),"")),"")</f>
        <v/>
      </c>
      <c r="HP191" s="526" t="str">
        <f>IFERROR(IF(IF(HZ185&gt;HA185-1,INDEX(Lista_Pedidos,HY185+HA185-1,HP185),"")=0,"",IF(HZ185&gt;HA185-1,INDEX(Lista_Pedidos,HY185+HA185-1,HP185),"")),"")</f>
        <v/>
      </c>
      <c r="HQ191" s="526" t="str">
        <f>IFERROR(IF(IF(HZ185&gt;HA185-1,INDEX(Lista_Pedidos,HY185+HA185-1,HQ185),"")=0,"",IF(HZ185&gt;HA185-1,INDEX(Lista_Pedidos,HY185+HA185-1,HQ185),"")),"")</f>
        <v/>
      </c>
      <c r="HR191" s="526" t="str">
        <f>IFERROR(IF(IF(HZ185&gt;HA185-1,INDEX(Lista_Pedidos,HY185+HA185-1,HR185),"")=0,"",IF(HZ185&gt;HA185-1,INDEX(Lista_Pedidos,HY185+HA185-1,HR185),"")),"")</f>
        <v/>
      </c>
      <c r="HS191" s="526" t="str">
        <f>IFERROR(IF(IF(HZ185&gt;HA185-1,INDEX(Lista_Pedidos,HY185+HA185-1,HS185),"")=0,"",IF(HZ185&gt;HA185-1,INDEX(Lista_Pedidos,HY185+HA185-1,HS185),"")),"")</f>
        <v/>
      </c>
      <c r="HT191" s="526" t="str">
        <f>IFERROR(IF(IF(HZ185&gt;HA185-1,INDEX(Lista_Pedidos,HY185+HA185-1,HT185),"")=0,"",IF(HZ185&gt;HA185-1,INDEX(Lista_Pedidos,HY185+HA185-1,HT185),"")),"")</f>
        <v/>
      </c>
      <c r="HU191" s="526" t="str">
        <f>IFERROR(IF(IF(HZ185&gt;HA185-1,INDEX(Lista_Pedidos,HY185+HA185-1,HU185),"")=0,"",IF(HZ185&gt;HA185-1,INDEX(Lista_Pedidos,HY185+HA185-1,HU185),"")),"")</f>
        <v/>
      </c>
      <c r="HV191" s="526" t="str">
        <f>IFERROR(IF(IF(HZ185&gt;HA185-1,INDEX(Lista_Pedidos,HY185+HA185-1,HV185),"")=0,"",IF(HZ185&gt;HA185-1,INDEX(Lista_Pedidos,HY185+HA185-1,HV185),"")),"")</f>
        <v/>
      </c>
      <c r="HW191" s="857" t="str">
        <f>IF(SUM(HJ191:HV191)&gt;1,SUM(HJ191:HV191),"")</f>
        <v/>
      </c>
      <c r="HX191" s="855"/>
      <c r="HY191" s="855"/>
      <c r="HZ191" s="860"/>
      <c r="IA191" s="854" t="str">
        <f>IFERROR(INDEX(Lista_Pedidos,Procesos!IY185+IA185-1,3),"")</f>
        <v/>
      </c>
      <c r="IB191" s="855"/>
      <c r="IC191" s="855"/>
      <c r="ID191" s="855"/>
      <c r="IE191" s="856"/>
      <c r="IF191" s="857" t="str">
        <f>IF(IZ185&gt;IA185-1,IE$11,"")</f>
        <v/>
      </c>
      <c r="IG191" s="855"/>
      <c r="IH191" s="855"/>
      <c r="II191" s="856"/>
      <c r="IJ191" s="526" t="str">
        <f>IFERROR(IF(IF(IZ185&gt;IA185-1,INDEX(Lista_Pedidos,IY185+IA185-1,IJ185),"")=0,"",IF(IZ185&gt;IA185-1,INDEX(Lista_Pedidos,IY185+IA185-1,IJ185),"")),"")</f>
        <v/>
      </c>
      <c r="IK191" s="526" t="str">
        <f>IFERROR(IF(IF(IZ185&gt;IA185-1,INDEX(Lista_Pedidos,IY185+IA185-1,IK185),"")=0,"",IF(IZ185&gt;IA185-1,INDEX(Lista_Pedidos,IY185+IA185-1,IK185),"")),"")</f>
        <v/>
      </c>
      <c r="IL191" s="526" t="str">
        <f>IFERROR(IF(IF(IZ185&gt;IA185-1,INDEX(Lista_Pedidos,IY185+IA185-1,IL185),"")=0,"",IF(IZ185&gt;IA185-1,INDEX(Lista_Pedidos,IY185+IA185-1,IL185),"")),"")</f>
        <v/>
      </c>
      <c r="IM191" s="526" t="str">
        <f>IFERROR(IF(IF(IZ185&gt;IA185-1,INDEX(Lista_Pedidos,IY185+IA185-1,IM185),"")=0,"",IF(IZ185&gt;IA185-1,INDEX(Lista_Pedidos,IY185+IA185-1,IM185),"")),"")</f>
        <v/>
      </c>
      <c r="IN191" s="526" t="str">
        <f>IFERROR(IF(IF(IZ185&gt;IA185-1,INDEX(Lista_Pedidos,IY185+IA185-1,IN185),"")=0,"",IF(IZ185&gt;IA185-1,INDEX(Lista_Pedidos,IY185+IA185-1,IN185),"")),"")</f>
        <v/>
      </c>
      <c r="IO191" s="526" t="str">
        <f>IFERROR(IF(IF(IZ185&gt;IA185-1,INDEX(Lista_Pedidos,IY185+IA185-1,IO185),"")=0,"",IF(IZ185&gt;IA185-1,INDEX(Lista_Pedidos,IY185+IA185-1,IO185),"")),"")</f>
        <v/>
      </c>
      <c r="IP191" s="526" t="str">
        <f>IFERROR(IF(IF(IZ185&gt;IA185-1,INDEX(Lista_Pedidos,IY185+IA185-1,IP185),"")=0,"",IF(IZ185&gt;IA185-1,INDEX(Lista_Pedidos,IY185+IA185-1,IP185),"")),"")</f>
        <v/>
      </c>
      <c r="IQ191" s="526" t="str">
        <f>IFERROR(IF(IF(IZ185&gt;IA185-1,INDEX(Lista_Pedidos,IY185+IA185-1,IQ185),"")=0,"",IF(IZ185&gt;IA185-1,INDEX(Lista_Pedidos,IY185+IA185-1,IQ185),"")),"")</f>
        <v/>
      </c>
      <c r="IR191" s="526" t="str">
        <f>IFERROR(IF(IF(IZ185&gt;IA185-1,INDEX(Lista_Pedidos,IY185+IA185-1,IR185),"")=0,"",IF(IZ185&gt;IA185-1,INDEX(Lista_Pedidos,IY185+IA185-1,IR185),"")),"")</f>
        <v/>
      </c>
      <c r="IS191" s="526" t="str">
        <f>IFERROR(IF(IF(IZ185&gt;IA185-1,INDEX(Lista_Pedidos,IY185+IA185-1,IS185),"")=0,"",IF(IZ185&gt;IA185-1,INDEX(Lista_Pedidos,IY185+IA185-1,IS185),"")),"")</f>
        <v/>
      </c>
      <c r="IT191" s="526" t="str">
        <f>IFERROR(IF(IF(IZ185&gt;IA185-1,INDEX(Lista_Pedidos,IY185+IA185-1,IT185),"")=0,"",IF(IZ185&gt;IA185-1,INDEX(Lista_Pedidos,IY185+IA185-1,IT185),"")),"")</f>
        <v/>
      </c>
      <c r="IU191" s="526" t="str">
        <f>IFERROR(IF(IF(IZ185&gt;IA185-1,INDEX(Lista_Pedidos,IY185+IA185-1,IU185),"")=0,"",IF(IZ185&gt;IA185-1,INDEX(Lista_Pedidos,IY185+IA185-1,IU185),"")),"")</f>
        <v/>
      </c>
      <c r="IV191" s="526" t="str">
        <f>IFERROR(IF(IF(IZ185&gt;IA185-1,INDEX(Lista_Pedidos,IY185+IA185-1,IV185),"")=0,"",IF(IZ185&gt;IA185-1,INDEX(Lista_Pedidos,IY185+IA185-1,IV185),"")),"")</f>
        <v/>
      </c>
      <c r="IW191" s="857" t="str">
        <f>IF(SUM(IJ191:IV191)&gt;1,SUM(IJ191:IV191),"")</f>
        <v/>
      </c>
      <c r="IX191" s="855"/>
      <c r="IY191" s="855"/>
      <c r="IZ191" s="860"/>
    </row>
    <row r="192" spans="1:260" x14ac:dyDescent="0.25">
      <c r="A192" s="823"/>
      <c r="B192" s="824"/>
      <c r="C192" s="824"/>
      <c r="D192" s="824"/>
      <c r="E192" s="824"/>
      <c r="F192" s="824"/>
      <c r="G192" s="824"/>
      <c r="H192" s="824"/>
      <c r="I192" s="824"/>
      <c r="J192" s="824"/>
      <c r="K192" s="824"/>
      <c r="L192" s="824"/>
      <c r="M192" s="824"/>
      <c r="N192" s="824"/>
      <c r="O192" s="824"/>
      <c r="P192" s="824"/>
      <c r="Q192" s="824"/>
      <c r="R192" s="824"/>
      <c r="S192" s="824"/>
      <c r="T192" s="824"/>
      <c r="U192" s="824"/>
      <c r="V192" s="824"/>
      <c r="W192" s="824" t="str">
        <f>IFERROR(IF(Z185&gt;A185-1,IF(INDEX(Lista_Pedidos,Y185+A185-1,2)&lt;&gt;"",INDEX(Lista_Pedidos,Y185+A185-1,2),""),""),"")</f>
        <v/>
      </c>
      <c r="X192" s="824"/>
      <c r="Y192" s="824"/>
      <c r="Z192" s="825"/>
      <c r="AA192" s="823"/>
      <c r="AB192" s="824"/>
      <c r="AC192" s="824"/>
      <c r="AD192" s="824"/>
      <c r="AE192" s="824"/>
      <c r="AF192" s="824"/>
      <c r="AG192" s="824"/>
      <c r="AH192" s="824"/>
      <c r="AI192" s="824"/>
      <c r="AJ192" s="824"/>
      <c r="AK192" s="824"/>
      <c r="AL192" s="824"/>
      <c r="AM192" s="824"/>
      <c r="AN192" s="824"/>
      <c r="AO192" s="824"/>
      <c r="AP192" s="824"/>
      <c r="AQ192" s="824"/>
      <c r="AR192" s="824"/>
      <c r="AS192" s="824"/>
      <c r="AT192" s="824"/>
      <c r="AU192" s="824"/>
      <c r="AV192" s="824"/>
      <c r="AW192" s="824" t="str">
        <f>IFERROR(IF(AZ185&gt;AA185-1,IF(INDEX(Lista_Pedidos,AY185+AA185-1,2)&lt;&gt;"",INDEX(Lista_Pedidos,AY185+AA185-1,2),""),""),"")</f>
        <v/>
      </c>
      <c r="AX192" s="824"/>
      <c r="AY192" s="824"/>
      <c r="AZ192" s="825"/>
      <c r="BA192" s="823"/>
      <c r="BB192" s="824"/>
      <c r="BC192" s="824"/>
      <c r="BD192" s="824"/>
      <c r="BE192" s="824"/>
      <c r="BF192" s="824"/>
      <c r="BG192" s="824"/>
      <c r="BH192" s="824"/>
      <c r="BI192" s="824"/>
      <c r="BJ192" s="824"/>
      <c r="BK192" s="824"/>
      <c r="BL192" s="824"/>
      <c r="BM192" s="824"/>
      <c r="BN192" s="824"/>
      <c r="BO192" s="824"/>
      <c r="BP192" s="824"/>
      <c r="BQ192" s="824"/>
      <c r="BR192" s="824"/>
      <c r="BS192" s="824"/>
      <c r="BT192" s="824"/>
      <c r="BU192" s="824"/>
      <c r="BV192" s="824"/>
      <c r="BW192" s="824" t="str">
        <f>IFERROR(IF(BZ185&gt;BA185-1,IF(INDEX(Lista_Pedidos,BY185+BA185-1,2)&lt;&gt;"",INDEX(Lista_Pedidos,BY185+BA185-1,2),""),""),"")</f>
        <v/>
      </c>
      <c r="BX192" s="824"/>
      <c r="BY192" s="824"/>
      <c r="BZ192" s="825"/>
      <c r="CA192" s="823"/>
      <c r="CB192" s="824"/>
      <c r="CC192" s="824"/>
      <c r="CD192" s="824"/>
      <c r="CE192" s="824"/>
      <c r="CF192" s="824"/>
      <c r="CG192" s="824"/>
      <c r="CH192" s="824"/>
      <c r="CI192" s="824"/>
      <c r="CJ192" s="824"/>
      <c r="CK192" s="824"/>
      <c r="CL192" s="824"/>
      <c r="CM192" s="824"/>
      <c r="CN192" s="824"/>
      <c r="CO192" s="824"/>
      <c r="CP192" s="824"/>
      <c r="CQ192" s="824"/>
      <c r="CR192" s="824"/>
      <c r="CS192" s="824"/>
      <c r="CT192" s="824"/>
      <c r="CU192" s="824"/>
      <c r="CV192" s="824"/>
      <c r="CW192" s="824" t="str">
        <f>IFERROR(IF(CZ185&gt;CA185-1,IF(INDEX(Lista_Pedidos,CY185+CA185-1,2)&lt;&gt;"",INDEX(Lista_Pedidos,CY185+CA185-1,2),""),""),"")</f>
        <v/>
      </c>
      <c r="CX192" s="824"/>
      <c r="CY192" s="824"/>
      <c r="CZ192" s="825"/>
      <c r="DA192" s="823"/>
      <c r="DB192" s="824"/>
      <c r="DC192" s="824"/>
      <c r="DD192" s="824"/>
      <c r="DE192" s="824"/>
      <c r="DF192" s="824"/>
      <c r="DG192" s="824"/>
      <c r="DH192" s="824"/>
      <c r="DI192" s="824"/>
      <c r="DJ192" s="824"/>
      <c r="DK192" s="824"/>
      <c r="DL192" s="824"/>
      <c r="DM192" s="824"/>
      <c r="DN192" s="824"/>
      <c r="DO192" s="824"/>
      <c r="DP192" s="824"/>
      <c r="DQ192" s="824"/>
      <c r="DR192" s="824"/>
      <c r="DS192" s="824"/>
      <c r="DT192" s="824"/>
      <c r="DU192" s="824"/>
      <c r="DV192" s="824"/>
      <c r="DW192" s="824" t="str">
        <f>IFERROR(IF(DZ185&gt;DA185-1,IF(INDEX(Lista_Pedidos,DY185+DA185-1,2)&lt;&gt;"",INDEX(Lista_Pedidos,DY185+DA185-1,2),""),""),"")</f>
        <v/>
      </c>
      <c r="DX192" s="824"/>
      <c r="DY192" s="824"/>
      <c r="DZ192" s="825"/>
      <c r="EA192" s="823"/>
      <c r="EB192" s="824"/>
      <c r="EC192" s="824"/>
      <c r="ED192" s="824"/>
      <c r="EE192" s="824"/>
      <c r="EF192" s="824"/>
      <c r="EG192" s="824"/>
      <c r="EH192" s="824"/>
      <c r="EI192" s="824"/>
      <c r="EJ192" s="824"/>
      <c r="EK192" s="824"/>
      <c r="EL192" s="824"/>
      <c r="EM192" s="824"/>
      <c r="EN192" s="824"/>
      <c r="EO192" s="824"/>
      <c r="EP192" s="824"/>
      <c r="EQ192" s="824"/>
      <c r="ER192" s="824"/>
      <c r="ES192" s="824"/>
      <c r="ET192" s="824"/>
      <c r="EU192" s="824"/>
      <c r="EV192" s="824"/>
      <c r="EW192" s="824" t="str">
        <f>IFERROR(IF(EZ185&gt;EA185-1,IF(INDEX(Lista_Pedidos,EY185+EA185-1,2)&lt;&gt;"",INDEX(Lista_Pedidos,EY185+EA185-1,2),""),""),"")</f>
        <v/>
      </c>
      <c r="EX192" s="824"/>
      <c r="EY192" s="824"/>
      <c r="EZ192" s="825"/>
      <c r="FA192" s="823"/>
      <c r="FB192" s="824"/>
      <c r="FC192" s="824"/>
      <c r="FD192" s="824"/>
      <c r="FE192" s="824"/>
      <c r="FF192" s="824"/>
      <c r="FG192" s="824"/>
      <c r="FH192" s="824"/>
      <c r="FI192" s="824"/>
      <c r="FJ192" s="824"/>
      <c r="FK192" s="824"/>
      <c r="FL192" s="824"/>
      <c r="FM192" s="824"/>
      <c r="FN192" s="824"/>
      <c r="FO192" s="824"/>
      <c r="FP192" s="824"/>
      <c r="FQ192" s="824"/>
      <c r="FR192" s="824"/>
      <c r="FS192" s="824"/>
      <c r="FT192" s="824"/>
      <c r="FU192" s="824"/>
      <c r="FV192" s="824"/>
      <c r="FW192" s="824" t="str">
        <f>IFERROR(IF(FZ185&gt;FA185-1,IF(INDEX(Lista_Pedidos,FY185+FA185-1,2)&lt;&gt;"",INDEX(Lista_Pedidos,FY185+FA185-1,2),""),""),"")</f>
        <v/>
      </c>
      <c r="FX192" s="824"/>
      <c r="FY192" s="824"/>
      <c r="FZ192" s="825"/>
      <c r="GA192" s="823"/>
      <c r="GB192" s="824"/>
      <c r="GC192" s="824"/>
      <c r="GD192" s="824"/>
      <c r="GE192" s="824"/>
      <c r="GF192" s="824"/>
      <c r="GG192" s="824"/>
      <c r="GH192" s="824"/>
      <c r="GI192" s="824"/>
      <c r="GJ192" s="824"/>
      <c r="GK192" s="824"/>
      <c r="GL192" s="824"/>
      <c r="GM192" s="824"/>
      <c r="GN192" s="824"/>
      <c r="GO192" s="824"/>
      <c r="GP192" s="824"/>
      <c r="GQ192" s="824"/>
      <c r="GR192" s="824"/>
      <c r="GS192" s="824"/>
      <c r="GT192" s="824"/>
      <c r="GU192" s="824"/>
      <c r="GV192" s="824"/>
      <c r="GW192" s="824" t="str">
        <f>IFERROR(IF(GZ185&gt;GA185-1,IF(INDEX(Lista_Pedidos,GY185+GA185-1,2)&lt;&gt;"",INDEX(Lista_Pedidos,GY185+GA185-1,2),""),""),"")</f>
        <v/>
      </c>
      <c r="GX192" s="824"/>
      <c r="GY192" s="824"/>
      <c r="GZ192" s="825"/>
      <c r="HA192" s="823"/>
      <c r="HB192" s="824"/>
      <c r="HC192" s="824"/>
      <c r="HD192" s="824"/>
      <c r="HE192" s="824"/>
      <c r="HF192" s="824"/>
      <c r="HG192" s="824"/>
      <c r="HH192" s="824"/>
      <c r="HI192" s="824"/>
      <c r="HJ192" s="824"/>
      <c r="HK192" s="824"/>
      <c r="HL192" s="824"/>
      <c r="HM192" s="824"/>
      <c r="HN192" s="824"/>
      <c r="HO192" s="824"/>
      <c r="HP192" s="824"/>
      <c r="HQ192" s="824"/>
      <c r="HR192" s="824"/>
      <c r="HS192" s="824"/>
      <c r="HT192" s="824"/>
      <c r="HU192" s="824"/>
      <c r="HV192" s="824"/>
      <c r="HW192" s="824" t="str">
        <f>IFERROR(IF(HZ185&gt;HA185-1,IF(INDEX(Lista_Pedidos,HY185+HA185-1,2)&lt;&gt;"",INDEX(Lista_Pedidos,HY185+HA185-1,2),""),""),"")</f>
        <v/>
      </c>
      <c r="HX192" s="824"/>
      <c r="HY192" s="824"/>
      <c r="HZ192" s="825"/>
      <c r="IA192" s="823"/>
      <c r="IB192" s="824"/>
      <c r="IC192" s="824"/>
      <c r="ID192" s="824"/>
      <c r="IE192" s="824"/>
      <c r="IF192" s="824"/>
      <c r="IG192" s="824"/>
      <c r="IH192" s="824"/>
      <c r="II192" s="824"/>
      <c r="IJ192" s="824"/>
      <c r="IK192" s="824"/>
      <c r="IL192" s="824"/>
      <c r="IM192" s="824"/>
      <c r="IN192" s="824"/>
      <c r="IO192" s="824"/>
      <c r="IP192" s="824"/>
      <c r="IQ192" s="824"/>
      <c r="IR192" s="824"/>
      <c r="IS192" s="824"/>
      <c r="IT192" s="824"/>
      <c r="IU192" s="824"/>
      <c r="IV192" s="824"/>
      <c r="IW192" s="824" t="str">
        <f>IFERROR(IF(IZ185&gt;IA185-1,IF(INDEX(Lista_Pedidos,IY185+IA185-1,2)&lt;&gt;"",INDEX(Lista_Pedidos,IY185+IA185-1,2),""),""),"")</f>
        <v/>
      </c>
      <c r="IX192" s="824"/>
      <c r="IY192" s="824"/>
      <c r="IZ192" s="825"/>
    </row>
    <row r="193" spans="1:260" x14ac:dyDescent="0.25">
      <c r="A193" s="800" t="str">
        <f>IFERROR(IF(Z185&gt;A185-1,IF(INDEX(Lista_Pedidos,Y185+A185-1,6)&lt;&gt;"","Nombre de la Tela :     "&amp; INDEX(Lista_Pedidos,Y185+A185-1,6),""),""),"")</f>
        <v/>
      </c>
      <c r="B193" s="801"/>
      <c r="C193" s="801"/>
      <c r="D193" s="801"/>
      <c r="E193" s="801"/>
      <c r="F193" s="801"/>
      <c r="G193" s="801"/>
      <c r="H193" s="801"/>
      <c r="I193" s="801"/>
      <c r="J193" s="801"/>
      <c r="K193" s="801"/>
      <c r="L193" s="801"/>
      <c r="M193" s="801"/>
      <c r="N193" s="801"/>
      <c r="O193" s="801"/>
      <c r="P193" s="801"/>
      <c r="Q193" s="801"/>
      <c r="R193" s="801"/>
      <c r="S193" s="801"/>
      <c r="T193" s="801"/>
      <c r="U193" s="801"/>
      <c r="V193" s="801"/>
      <c r="W193" s="826"/>
      <c r="X193" s="826"/>
      <c r="Y193" s="826"/>
      <c r="Z193" s="827"/>
      <c r="AA193" s="800" t="str">
        <f>IFERROR(IF(AZ185&gt;AA185-1,IF(INDEX(Lista_Pedidos,AY185+AA185-1,6)&lt;&gt;"","Nombre de la Tela :     "&amp; INDEX(Lista_Pedidos,AY185+AA185-1,6),""),""),"")</f>
        <v/>
      </c>
      <c r="AB193" s="801"/>
      <c r="AC193" s="801"/>
      <c r="AD193" s="801"/>
      <c r="AE193" s="801"/>
      <c r="AF193" s="801"/>
      <c r="AG193" s="801"/>
      <c r="AH193" s="801"/>
      <c r="AI193" s="801"/>
      <c r="AJ193" s="801"/>
      <c r="AK193" s="801"/>
      <c r="AL193" s="801"/>
      <c r="AM193" s="801"/>
      <c r="AN193" s="801"/>
      <c r="AO193" s="801"/>
      <c r="AP193" s="801"/>
      <c r="AQ193" s="801"/>
      <c r="AR193" s="801"/>
      <c r="AS193" s="801"/>
      <c r="AT193" s="801"/>
      <c r="AU193" s="801"/>
      <c r="AV193" s="801"/>
      <c r="AW193" s="826"/>
      <c r="AX193" s="826"/>
      <c r="AY193" s="826"/>
      <c r="AZ193" s="827"/>
      <c r="BA193" s="800" t="str">
        <f>IFERROR(IF(BZ185&gt;BA185-1,IF(INDEX(Lista_Pedidos,BY185+BA185-1,6)&lt;&gt;"","Nombre de la Tela :     "&amp; INDEX(Lista_Pedidos,BY185+BA185-1,6),""),""),"")</f>
        <v/>
      </c>
      <c r="BB193" s="801"/>
      <c r="BC193" s="801"/>
      <c r="BD193" s="801"/>
      <c r="BE193" s="801"/>
      <c r="BF193" s="801"/>
      <c r="BG193" s="801"/>
      <c r="BH193" s="801"/>
      <c r="BI193" s="801"/>
      <c r="BJ193" s="801"/>
      <c r="BK193" s="801"/>
      <c r="BL193" s="801"/>
      <c r="BM193" s="801"/>
      <c r="BN193" s="801"/>
      <c r="BO193" s="801"/>
      <c r="BP193" s="801"/>
      <c r="BQ193" s="801"/>
      <c r="BR193" s="801"/>
      <c r="BS193" s="801"/>
      <c r="BT193" s="801"/>
      <c r="BU193" s="801"/>
      <c r="BV193" s="801"/>
      <c r="BW193" s="826"/>
      <c r="BX193" s="826"/>
      <c r="BY193" s="826"/>
      <c r="BZ193" s="827"/>
      <c r="CA193" s="800" t="str">
        <f>IFERROR(IF(CZ185&gt;CA185-1,IF(INDEX(Lista_Pedidos,CY185+CA185-1,6)&lt;&gt;"","Nombre de la Tela :     "&amp; INDEX(Lista_Pedidos,CY185+CA185-1,6),""),""),"")</f>
        <v/>
      </c>
      <c r="CB193" s="801"/>
      <c r="CC193" s="801"/>
      <c r="CD193" s="801"/>
      <c r="CE193" s="801"/>
      <c r="CF193" s="801"/>
      <c r="CG193" s="801"/>
      <c r="CH193" s="801"/>
      <c r="CI193" s="801"/>
      <c r="CJ193" s="801"/>
      <c r="CK193" s="801"/>
      <c r="CL193" s="801"/>
      <c r="CM193" s="801"/>
      <c r="CN193" s="801"/>
      <c r="CO193" s="801"/>
      <c r="CP193" s="801"/>
      <c r="CQ193" s="801"/>
      <c r="CR193" s="801"/>
      <c r="CS193" s="801"/>
      <c r="CT193" s="801"/>
      <c r="CU193" s="801"/>
      <c r="CV193" s="801"/>
      <c r="CW193" s="826"/>
      <c r="CX193" s="826"/>
      <c r="CY193" s="826"/>
      <c r="CZ193" s="827"/>
      <c r="DA193" s="800" t="str">
        <f>IFERROR(IF(DZ185&gt;DA185-1,IF(INDEX(Lista_Pedidos,DY185+DA185-1,6)&lt;&gt;"","Nombre de la Tela :     "&amp; INDEX(Lista_Pedidos,DY185+DA185-1,6),""),""),"")</f>
        <v/>
      </c>
      <c r="DB193" s="801"/>
      <c r="DC193" s="801"/>
      <c r="DD193" s="801"/>
      <c r="DE193" s="801"/>
      <c r="DF193" s="801"/>
      <c r="DG193" s="801"/>
      <c r="DH193" s="801"/>
      <c r="DI193" s="801"/>
      <c r="DJ193" s="801"/>
      <c r="DK193" s="801"/>
      <c r="DL193" s="801"/>
      <c r="DM193" s="801"/>
      <c r="DN193" s="801"/>
      <c r="DO193" s="801"/>
      <c r="DP193" s="801"/>
      <c r="DQ193" s="801"/>
      <c r="DR193" s="801"/>
      <c r="DS193" s="801"/>
      <c r="DT193" s="801"/>
      <c r="DU193" s="801"/>
      <c r="DV193" s="801"/>
      <c r="DW193" s="826"/>
      <c r="DX193" s="826"/>
      <c r="DY193" s="826"/>
      <c r="DZ193" s="827"/>
      <c r="EA193" s="800" t="str">
        <f>IFERROR(IF(EZ185&gt;EA185-1,IF(INDEX(Lista_Pedidos,EY185+EA185-1,6)&lt;&gt;"","Nombre de la Tela :     "&amp; INDEX(Lista_Pedidos,EY185+EA185-1,6),""),""),"")</f>
        <v/>
      </c>
      <c r="EB193" s="801"/>
      <c r="EC193" s="801"/>
      <c r="ED193" s="801"/>
      <c r="EE193" s="801"/>
      <c r="EF193" s="801"/>
      <c r="EG193" s="801"/>
      <c r="EH193" s="801"/>
      <c r="EI193" s="801"/>
      <c r="EJ193" s="801"/>
      <c r="EK193" s="801"/>
      <c r="EL193" s="801"/>
      <c r="EM193" s="801"/>
      <c r="EN193" s="801"/>
      <c r="EO193" s="801"/>
      <c r="EP193" s="801"/>
      <c r="EQ193" s="801"/>
      <c r="ER193" s="801"/>
      <c r="ES193" s="801"/>
      <c r="ET193" s="801"/>
      <c r="EU193" s="801"/>
      <c r="EV193" s="801"/>
      <c r="EW193" s="826"/>
      <c r="EX193" s="826"/>
      <c r="EY193" s="826"/>
      <c r="EZ193" s="827"/>
      <c r="FA193" s="800" t="str">
        <f>IFERROR(IF(FZ185&gt;FA185-1,IF(INDEX(Lista_Pedidos,FY185+FA185-1,6)&lt;&gt;"","Nombre de la Tela :     "&amp; INDEX(Lista_Pedidos,FY185+FA185-1,6),""),""),"")</f>
        <v/>
      </c>
      <c r="FB193" s="801"/>
      <c r="FC193" s="801"/>
      <c r="FD193" s="801"/>
      <c r="FE193" s="801"/>
      <c r="FF193" s="801"/>
      <c r="FG193" s="801"/>
      <c r="FH193" s="801"/>
      <c r="FI193" s="801"/>
      <c r="FJ193" s="801"/>
      <c r="FK193" s="801"/>
      <c r="FL193" s="801"/>
      <c r="FM193" s="801"/>
      <c r="FN193" s="801"/>
      <c r="FO193" s="801"/>
      <c r="FP193" s="801"/>
      <c r="FQ193" s="801"/>
      <c r="FR193" s="801"/>
      <c r="FS193" s="801"/>
      <c r="FT193" s="801"/>
      <c r="FU193" s="801"/>
      <c r="FV193" s="801"/>
      <c r="FW193" s="826"/>
      <c r="FX193" s="826"/>
      <c r="FY193" s="826"/>
      <c r="FZ193" s="827"/>
      <c r="GA193" s="800" t="str">
        <f>IFERROR(IF(GZ185&gt;GA185-1,IF(INDEX(Lista_Pedidos,GY185+GA185-1,6)&lt;&gt;"","Nombre de la Tela :     "&amp; INDEX(Lista_Pedidos,GY185+GA185-1,6),""),""),"")</f>
        <v/>
      </c>
      <c r="GB193" s="801"/>
      <c r="GC193" s="801"/>
      <c r="GD193" s="801"/>
      <c r="GE193" s="801"/>
      <c r="GF193" s="801"/>
      <c r="GG193" s="801"/>
      <c r="GH193" s="801"/>
      <c r="GI193" s="801"/>
      <c r="GJ193" s="801"/>
      <c r="GK193" s="801"/>
      <c r="GL193" s="801"/>
      <c r="GM193" s="801"/>
      <c r="GN193" s="801"/>
      <c r="GO193" s="801"/>
      <c r="GP193" s="801"/>
      <c r="GQ193" s="801"/>
      <c r="GR193" s="801"/>
      <c r="GS193" s="801"/>
      <c r="GT193" s="801"/>
      <c r="GU193" s="801"/>
      <c r="GV193" s="801"/>
      <c r="GW193" s="826"/>
      <c r="GX193" s="826"/>
      <c r="GY193" s="826"/>
      <c r="GZ193" s="827"/>
      <c r="HA193" s="800" t="str">
        <f>IFERROR(IF(HZ185&gt;HA185-1,IF(INDEX(Lista_Pedidos,HY185+HA185-1,6)&lt;&gt;"","Nombre de la Tela :     "&amp; INDEX(Lista_Pedidos,HY185+HA185-1,6),""),""),"")</f>
        <v/>
      </c>
      <c r="HB193" s="801"/>
      <c r="HC193" s="801"/>
      <c r="HD193" s="801"/>
      <c r="HE193" s="801"/>
      <c r="HF193" s="801"/>
      <c r="HG193" s="801"/>
      <c r="HH193" s="801"/>
      <c r="HI193" s="801"/>
      <c r="HJ193" s="801"/>
      <c r="HK193" s="801"/>
      <c r="HL193" s="801"/>
      <c r="HM193" s="801"/>
      <c r="HN193" s="801"/>
      <c r="HO193" s="801"/>
      <c r="HP193" s="801"/>
      <c r="HQ193" s="801"/>
      <c r="HR193" s="801"/>
      <c r="HS193" s="801"/>
      <c r="HT193" s="801"/>
      <c r="HU193" s="801"/>
      <c r="HV193" s="801"/>
      <c r="HW193" s="826"/>
      <c r="HX193" s="826"/>
      <c r="HY193" s="826"/>
      <c r="HZ193" s="827"/>
      <c r="IA193" s="800" t="str">
        <f>IFERROR(IF(IZ185&gt;IA185-1,IF(INDEX(Lista_Pedidos,IY185+IA185-1,6)&lt;&gt;"","Nombre de la Tela :     "&amp; INDEX(Lista_Pedidos,IY185+IA185-1,6),""),""),"")</f>
        <v/>
      </c>
      <c r="IB193" s="801"/>
      <c r="IC193" s="801"/>
      <c r="ID193" s="801"/>
      <c r="IE193" s="801"/>
      <c r="IF193" s="801"/>
      <c r="IG193" s="801"/>
      <c r="IH193" s="801"/>
      <c r="II193" s="801"/>
      <c r="IJ193" s="801"/>
      <c r="IK193" s="801"/>
      <c r="IL193" s="801"/>
      <c r="IM193" s="801"/>
      <c r="IN193" s="801"/>
      <c r="IO193" s="801"/>
      <c r="IP193" s="801"/>
      <c r="IQ193" s="801"/>
      <c r="IR193" s="801"/>
      <c r="IS193" s="801"/>
      <c r="IT193" s="801"/>
      <c r="IU193" s="801"/>
      <c r="IV193" s="801"/>
      <c r="IW193" s="826"/>
      <c r="IX193" s="826"/>
      <c r="IY193" s="826"/>
      <c r="IZ193" s="827"/>
    </row>
    <row r="194" spans="1:260" x14ac:dyDescent="0.25">
      <c r="A194" s="800" t="str">
        <f>IFERROR(IF(Z185&gt;A185-1,IF(INDEX(Lista_Pedidos,Y185+A185-1,7)&lt;&gt;"","Hilo :     "&amp; INDEX(Lista_Pedidos,Y185+A185-1,7),""),""),"")</f>
        <v/>
      </c>
      <c r="B194" s="801"/>
      <c r="C194" s="801"/>
      <c r="D194" s="801"/>
      <c r="E194" s="801"/>
      <c r="F194" s="801"/>
      <c r="G194" s="801"/>
      <c r="H194" s="801"/>
      <c r="I194" s="801"/>
      <c r="J194" s="801"/>
      <c r="K194" s="801"/>
      <c r="L194" s="801"/>
      <c r="M194" s="801"/>
      <c r="N194" s="801"/>
      <c r="O194" s="801"/>
      <c r="P194" s="801"/>
      <c r="Q194" s="801"/>
      <c r="R194" s="801"/>
      <c r="S194" s="801"/>
      <c r="T194" s="801"/>
      <c r="U194" s="801"/>
      <c r="V194" s="801"/>
      <c r="W194" s="801"/>
      <c r="X194" s="801"/>
      <c r="Y194" s="801"/>
      <c r="Z194" s="802"/>
      <c r="AA194" s="800" t="str">
        <f>IFERROR(IF(AZ185&gt;AA185-1,IF(INDEX(Lista_Pedidos,AY185+AA185-1,7)&lt;&gt;"","Hilo :     "&amp; INDEX(Lista_Pedidos,AY185+AA185-1,7),""),""),"")</f>
        <v/>
      </c>
      <c r="AB194" s="801"/>
      <c r="AC194" s="801"/>
      <c r="AD194" s="801"/>
      <c r="AE194" s="801"/>
      <c r="AF194" s="801"/>
      <c r="AG194" s="801"/>
      <c r="AH194" s="801"/>
      <c r="AI194" s="801"/>
      <c r="AJ194" s="801"/>
      <c r="AK194" s="801"/>
      <c r="AL194" s="801"/>
      <c r="AM194" s="801"/>
      <c r="AN194" s="801"/>
      <c r="AO194" s="801"/>
      <c r="AP194" s="801"/>
      <c r="AQ194" s="801"/>
      <c r="AR194" s="801"/>
      <c r="AS194" s="801"/>
      <c r="AT194" s="801"/>
      <c r="AU194" s="801"/>
      <c r="AV194" s="801"/>
      <c r="AW194" s="801"/>
      <c r="AX194" s="801"/>
      <c r="AY194" s="801"/>
      <c r="AZ194" s="802"/>
      <c r="BA194" s="800" t="str">
        <f>IFERROR(IF(BZ185&gt;BA185-1,IF(INDEX(Lista_Pedidos,BY185+BA185-1,7)&lt;&gt;"","Hilo :     "&amp; INDEX(Lista_Pedidos,BY185+BA185-1,7),""),""),"")</f>
        <v/>
      </c>
      <c r="BB194" s="801"/>
      <c r="BC194" s="801"/>
      <c r="BD194" s="801"/>
      <c r="BE194" s="801"/>
      <c r="BF194" s="801"/>
      <c r="BG194" s="801"/>
      <c r="BH194" s="801"/>
      <c r="BI194" s="801"/>
      <c r="BJ194" s="801"/>
      <c r="BK194" s="801"/>
      <c r="BL194" s="801"/>
      <c r="BM194" s="801"/>
      <c r="BN194" s="801"/>
      <c r="BO194" s="801"/>
      <c r="BP194" s="801"/>
      <c r="BQ194" s="801"/>
      <c r="BR194" s="801"/>
      <c r="BS194" s="801"/>
      <c r="BT194" s="801"/>
      <c r="BU194" s="801"/>
      <c r="BV194" s="801"/>
      <c r="BW194" s="801"/>
      <c r="BX194" s="801"/>
      <c r="BY194" s="801"/>
      <c r="BZ194" s="802"/>
      <c r="CA194" s="800" t="str">
        <f>IFERROR(IF(CZ185&gt;CA185-1,IF(INDEX(Lista_Pedidos,CY185+CA185-1,7)&lt;&gt;"","Hilo :     "&amp; INDEX(Lista_Pedidos,CY185+CA185-1,7),""),""),"")</f>
        <v/>
      </c>
      <c r="CB194" s="801"/>
      <c r="CC194" s="801"/>
      <c r="CD194" s="801"/>
      <c r="CE194" s="801"/>
      <c r="CF194" s="801"/>
      <c r="CG194" s="801"/>
      <c r="CH194" s="801"/>
      <c r="CI194" s="801"/>
      <c r="CJ194" s="801"/>
      <c r="CK194" s="801"/>
      <c r="CL194" s="801"/>
      <c r="CM194" s="801"/>
      <c r="CN194" s="801"/>
      <c r="CO194" s="801"/>
      <c r="CP194" s="801"/>
      <c r="CQ194" s="801"/>
      <c r="CR194" s="801"/>
      <c r="CS194" s="801"/>
      <c r="CT194" s="801"/>
      <c r="CU194" s="801"/>
      <c r="CV194" s="801"/>
      <c r="CW194" s="801"/>
      <c r="CX194" s="801"/>
      <c r="CY194" s="801"/>
      <c r="CZ194" s="802"/>
      <c r="DA194" s="800" t="str">
        <f>IFERROR(IF(DZ185&gt;DA185-1,IF(INDEX(Lista_Pedidos,DY185+DA185-1,7)&lt;&gt;"","Hilo :     "&amp; INDEX(Lista_Pedidos,DY185+DA185-1,7),""),""),"")</f>
        <v/>
      </c>
      <c r="DB194" s="801"/>
      <c r="DC194" s="801"/>
      <c r="DD194" s="801"/>
      <c r="DE194" s="801"/>
      <c r="DF194" s="801"/>
      <c r="DG194" s="801"/>
      <c r="DH194" s="801"/>
      <c r="DI194" s="801"/>
      <c r="DJ194" s="801"/>
      <c r="DK194" s="801"/>
      <c r="DL194" s="801"/>
      <c r="DM194" s="801"/>
      <c r="DN194" s="801"/>
      <c r="DO194" s="801"/>
      <c r="DP194" s="801"/>
      <c r="DQ194" s="801"/>
      <c r="DR194" s="801"/>
      <c r="DS194" s="801"/>
      <c r="DT194" s="801"/>
      <c r="DU194" s="801"/>
      <c r="DV194" s="801"/>
      <c r="DW194" s="801"/>
      <c r="DX194" s="801"/>
      <c r="DY194" s="801"/>
      <c r="DZ194" s="802"/>
      <c r="EA194" s="800" t="str">
        <f>IFERROR(IF(EZ185&gt;EA185-1,IF(INDEX(Lista_Pedidos,EY185+EA185-1,7)&lt;&gt;"","Hilo :     "&amp; INDEX(Lista_Pedidos,EY185+EA185-1,7),""),""),"")</f>
        <v/>
      </c>
      <c r="EB194" s="801"/>
      <c r="EC194" s="801"/>
      <c r="ED194" s="801"/>
      <c r="EE194" s="801"/>
      <c r="EF194" s="801"/>
      <c r="EG194" s="801"/>
      <c r="EH194" s="801"/>
      <c r="EI194" s="801"/>
      <c r="EJ194" s="801"/>
      <c r="EK194" s="801"/>
      <c r="EL194" s="801"/>
      <c r="EM194" s="801"/>
      <c r="EN194" s="801"/>
      <c r="EO194" s="801"/>
      <c r="EP194" s="801"/>
      <c r="EQ194" s="801"/>
      <c r="ER194" s="801"/>
      <c r="ES194" s="801"/>
      <c r="ET194" s="801"/>
      <c r="EU194" s="801"/>
      <c r="EV194" s="801"/>
      <c r="EW194" s="801"/>
      <c r="EX194" s="801"/>
      <c r="EY194" s="801"/>
      <c r="EZ194" s="802"/>
      <c r="FA194" s="800" t="str">
        <f>IFERROR(IF(FZ185&gt;FA185-1,IF(INDEX(Lista_Pedidos,FY185+FA185-1,7)&lt;&gt;"","Hilo :     "&amp; INDEX(Lista_Pedidos,FY185+FA185-1,7),""),""),"")</f>
        <v/>
      </c>
      <c r="FB194" s="801"/>
      <c r="FC194" s="801"/>
      <c r="FD194" s="801"/>
      <c r="FE194" s="801"/>
      <c r="FF194" s="801"/>
      <c r="FG194" s="801"/>
      <c r="FH194" s="801"/>
      <c r="FI194" s="801"/>
      <c r="FJ194" s="801"/>
      <c r="FK194" s="801"/>
      <c r="FL194" s="801"/>
      <c r="FM194" s="801"/>
      <c r="FN194" s="801"/>
      <c r="FO194" s="801"/>
      <c r="FP194" s="801"/>
      <c r="FQ194" s="801"/>
      <c r="FR194" s="801"/>
      <c r="FS194" s="801"/>
      <c r="FT194" s="801"/>
      <c r="FU194" s="801"/>
      <c r="FV194" s="801"/>
      <c r="FW194" s="801"/>
      <c r="FX194" s="801"/>
      <c r="FY194" s="801"/>
      <c r="FZ194" s="802"/>
      <c r="GA194" s="800" t="str">
        <f>IFERROR(IF(GZ185&gt;GA185-1,IF(INDEX(Lista_Pedidos,GY185+GA185-1,7)&lt;&gt;"","Hilo :     "&amp; INDEX(Lista_Pedidos,GY185+GA185-1,7),""),""),"")</f>
        <v/>
      </c>
      <c r="GB194" s="801"/>
      <c r="GC194" s="801"/>
      <c r="GD194" s="801"/>
      <c r="GE194" s="801"/>
      <c r="GF194" s="801"/>
      <c r="GG194" s="801"/>
      <c r="GH194" s="801"/>
      <c r="GI194" s="801"/>
      <c r="GJ194" s="801"/>
      <c r="GK194" s="801"/>
      <c r="GL194" s="801"/>
      <c r="GM194" s="801"/>
      <c r="GN194" s="801"/>
      <c r="GO194" s="801"/>
      <c r="GP194" s="801"/>
      <c r="GQ194" s="801"/>
      <c r="GR194" s="801"/>
      <c r="GS194" s="801"/>
      <c r="GT194" s="801"/>
      <c r="GU194" s="801"/>
      <c r="GV194" s="801"/>
      <c r="GW194" s="801"/>
      <c r="GX194" s="801"/>
      <c r="GY194" s="801"/>
      <c r="GZ194" s="802"/>
      <c r="HA194" s="800" t="str">
        <f>IFERROR(IF(HZ185&gt;HA185-1,IF(INDEX(Lista_Pedidos,HY185+HA185-1,7)&lt;&gt;"","Hilo :     "&amp; INDEX(Lista_Pedidos,HY185+HA185-1,7),""),""),"")</f>
        <v/>
      </c>
      <c r="HB194" s="801"/>
      <c r="HC194" s="801"/>
      <c r="HD194" s="801"/>
      <c r="HE194" s="801"/>
      <c r="HF194" s="801"/>
      <c r="HG194" s="801"/>
      <c r="HH194" s="801"/>
      <c r="HI194" s="801"/>
      <c r="HJ194" s="801"/>
      <c r="HK194" s="801"/>
      <c r="HL194" s="801"/>
      <c r="HM194" s="801"/>
      <c r="HN194" s="801"/>
      <c r="HO194" s="801"/>
      <c r="HP194" s="801"/>
      <c r="HQ194" s="801"/>
      <c r="HR194" s="801"/>
      <c r="HS194" s="801"/>
      <c r="HT194" s="801"/>
      <c r="HU194" s="801"/>
      <c r="HV194" s="801"/>
      <c r="HW194" s="801"/>
      <c r="HX194" s="801"/>
      <c r="HY194" s="801"/>
      <c r="HZ194" s="802"/>
      <c r="IA194" s="800" t="str">
        <f>IFERROR(IF(IZ185&gt;IA185-1,IF(INDEX(Lista_Pedidos,IY185+IA185-1,7)&lt;&gt;"","Hilo :     "&amp; INDEX(Lista_Pedidos,IY185+IA185-1,7),""),""),"")</f>
        <v/>
      </c>
      <c r="IB194" s="801"/>
      <c r="IC194" s="801"/>
      <c r="ID194" s="801"/>
      <c r="IE194" s="801"/>
      <c r="IF194" s="801"/>
      <c r="IG194" s="801"/>
      <c r="IH194" s="801"/>
      <c r="II194" s="801"/>
      <c r="IJ194" s="801"/>
      <c r="IK194" s="801"/>
      <c r="IL194" s="801"/>
      <c r="IM194" s="801"/>
      <c r="IN194" s="801"/>
      <c r="IO194" s="801"/>
      <c r="IP194" s="801"/>
      <c r="IQ194" s="801"/>
      <c r="IR194" s="801"/>
      <c r="IS194" s="801"/>
      <c r="IT194" s="801"/>
      <c r="IU194" s="801"/>
      <c r="IV194" s="801"/>
      <c r="IW194" s="801"/>
      <c r="IX194" s="801"/>
      <c r="IY194" s="801"/>
      <c r="IZ194" s="802"/>
    </row>
    <row r="195" spans="1:260" x14ac:dyDescent="0.25">
      <c r="A195" s="800" t="str">
        <f>IFERROR(IF(Z185&gt;A185-1,IF(INDEX(Lista_Pedidos,Y185+A185-1,8)&lt;&gt;"","Forro :     "&amp; INDEX(Lista_Pedidos,Y185+A185-1,8),""),""),"")</f>
        <v/>
      </c>
      <c r="B195" s="801"/>
      <c r="C195" s="801"/>
      <c r="D195" s="801"/>
      <c r="E195" s="801"/>
      <c r="F195" s="801"/>
      <c r="G195" s="801"/>
      <c r="H195" s="801"/>
      <c r="I195" s="801"/>
      <c r="J195" s="801"/>
      <c r="K195" s="801"/>
      <c r="L195" s="801"/>
      <c r="M195" s="801"/>
      <c r="N195" s="801"/>
      <c r="O195" s="801"/>
      <c r="P195" s="801"/>
      <c r="Q195" s="801"/>
      <c r="R195" s="801"/>
      <c r="S195" s="801"/>
      <c r="T195" s="801"/>
      <c r="U195" s="801"/>
      <c r="V195" s="801"/>
      <c r="W195" s="801"/>
      <c r="X195" s="801"/>
      <c r="Y195" s="801"/>
      <c r="Z195" s="802"/>
      <c r="AA195" s="800" t="str">
        <f>IFERROR(IF(AZ185&gt;AA185-1,IF(INDEX(Lista_Pedidos,AY185+AA185-1,8)&lt;&gt;"","Forro :     "&amp; INDEX(Lista_Pedidos,AY185+AA185-1,8),""),""),"")</f>
        <v/>
      </c>
      <c r="AB195" s="801"/>
      <c r="AC195" s="801"/>
      <c r="AD195" s="801"/>
      <c r="AE195" s="801"/>
      <c r="AF195" s="801"/>
      <c r="AG195" s="801"/>
      <c r="AH195" s="801"/>
      <c r="AI195" s="801"/>
      <c r="AJ195" s="801"/>
      <c r="AK195" s="801"/>
      <c r="AL195" s="801"/>
      <c r="AM195" s="801"/>
      <c r="AN195" s="801"/>
      <c r="AO195" s="801"/>
      <c r="AP195" s="801"/>
      <c r="AQ195" s="801"/>
      <c r="AR195" s="801"/>
      <c r="AS195" s="801"/>
      <c r="AT195" s="801"/>
      <c r="AU195" s="801"/>
      <c r="AV195" s="801"/>
      <c r="AW195" s="801"/>
      <c r="AX195" s="801"/>
      <c r="AY195" s="801"/>
      <c r="AZ195" s="802"/>
      <c r="BA195" s="800" t="str">
        <f>IFERROR(IF(BZ185&gt;BA185-1,IF(INDEX(Lista_Pedidos,BY185+BA185-1,8)&lt;&gt;"","Forro :     "&amp; INDEX(Lista_Pedidos,BY185+BA185-1,8),""),""),"")</f>
        <v/>
      </c>
      <c r="BB195" s="801"/>
      <c r="BC195" s="801"/>
      <c r="BD195" s="801"/>
      <c r="BE195" s="801"/>
      <c r="BF195" s="801"/>
      <c r="BG195" s="801"/>
      <c r="BH195" s="801"/>
      <c r="BI195" s="801"/>
      <c r="BJ195" s="801"/>
      <c r="BK195" s="801"/>
      <c r="BL195" s="801"/>
      <c r="BM195" s="801"/>
      <c r="BN195" s="801"/>
      <c r="BO195" s="801"/>
      <c r="BP195" s="801"/>
      <c r="BQ195" s="801"/>
      <c r="BR195" s="801"/>
      <c r="BS195" s="801"/>
      <c r="BT195" s="801"/>
      <c r="BU195" s="801"/>
      <c r="BV195" s="801"/>
      <c r="BW195" s="801"/>
      <c r="BX195" s="801"/>
      <c r="BY195" s="801"/>
      <c r="BZ195" s="802"/>
      <c r="CA195" s="800" t="str">
        <f>IFERROR(IF(CZ185&gt;CA185-1,IF(INDEX(Lista_Pedidos,CY185+CA185-1,8)&lt;&gt;"","Forro :     "&amp; INDEX(Lista_Pedidos,CY185+CA185-1,8),""),""),"")</f>
        <v/>
      </c>
      <c r="CB195" s="801"/>
      <c r="CC195" s="801"/>
      <c r="CD195" s="801"/>
      <c r="CE195" s="801"/>
      <c r="CF195" s="801"/>
      <c r="CG195" s="801"/>
      <c r="CH195" s="801"/>
      <c r="CI195" s="801"/>
      <c r="CJ195" s="801"/>
      <c r="CK195" s="801"/>
      <c r="CL195" s="801"/>
      <c r="CM195" s="801"/>
      <c r="CN195" s="801"/>
      <c r="CO195" s="801"/>
      <c r="CP195" s="801"/>
      <c r="CQ195" s="801"/>
      <c r="CR195" s="801"/>
      <c r="CS195" s="801"/>
      <c r="CT195" s="801"/>
      <c r="CU195" s="801"/>
      <c r="CV195" s="801"/>
      <c r="CW195" s="801"/>
      <c r="CX195" s="801"/>
      <c r="CY195" s="801"/>
      <c r="CZ195" s="802"/>
      <c r="DA195" s="800" t="str">
        <f>IFERROR(IF(DZ185&gt;DA185-1,IF(INDEX(Lista_Pedidos,DY185+DA185-1,8)&lt;&gt;"","Forro :     "&amp; INDEX(Lista_Pedidos,DY185+DA185-1,8),""),""),"")</f>
        <v/>
      </c>
      <c r="DB195" s="801"/>
      <c r="DC195" s="801"/>
      <c r="DD195" s="801"/>
      <c r="DE195" s="801"/>
      <c r="DF195" s="801"/>
      <c r="DG195" s="801"/>
      <c r="DH195" s="801"/>
      <c r="DI195" s="801"/>
      <c r="DJ195" s="801"/>
      <c r="DK195" s="801"/>
      <c r="DL195" s="801"/>
      <c r="DM195" s="801"/>
      <c r="DN195" s="801"/>
      <c r="DO195" s="801"/>
      <c r="DP195" s="801"/>
      <c r="DQ195" s="801"/>
      <c r="DR195" s="801"/>
      <c r="DS195" s="801"/>
      <c r="DT195" s="801"/>
      <c r="DU195" s="801"/>
      <c r="DV195" s="801"/>
      <c r="DW195" s="801"/>
      <c r="DX195" s="801"/>
      <c r="DY195" s="801"/>
      <c r="DZ195" s="802"/>
      <c r="EA195" s="800" t="str">
        <f>IFERROR(IF(EZ185&gt;EA185-1,IF(INDEX(Lista_Pedidos,EY185+EA185-1,8)&lt;&gt;"","Forro :     "&amp; INDEX(Lista_Pedidos,EY185+EA185-1,8),""),""),"")</f>
        <v/>
      </c>
      <c r="EB195" s="801"/>
      <c r="EC195" s="801"/>
      <c r="ED195" s="801"/>
      <c r="EE195" s="801"/>
      <c r="EF195" s="801"/>
      <c r="EG195" s="801"/>
      <c r="EH195" s="801"/>
      <c r="EI195" s="801"/>
      <c r="EJ195" s="801"/>
      <c r="EK195" s="801"/>
      <c r="EL195" s="801"/>
      <c r="EM195" s="801"/>
      <c r="EN195" s="801"/>
      <c r="EO195" s="801"/>
      <c r="EP195" s="801"/>
      <c r="EQ195" s="801"/>
      <c r="ER195" s="801"/>
      <c r="ES195" s="801"/>
      <c r="ET195" s="801"/>
      <c r="EU195" s="801"/>
      <c r="EV195" s="801"/>
      <c r="EW195" s="801"/>
      <c r="EX195" s="801"/>
      <c r="EY195" s="801"/>
      <c r="EZ195" s="802"/>
      <c r="FA195" s="800" t="str">
        <f>IFERROR(IF(FZ185&gt;FA185-1,IF(INDEX(Lista_Pedidos,FY185+FA185-1,8)&lt;&gt;"","Forro :     "&amp; INDEX(Lista_Pedidos,FY185+FA185-1,8),""),""),"")</f>
        <v/>
      </c>
      <c r="FB195" s="801"/>
      <c r="FC195" s="801"/>
      <c r="FD195" s="801"/>
      <c r="FE195" s="801"/>
      <c r="FF195" s="801"/>
      <c r="FG195" s="801"/>
      <c r="FH195" s="801"/>
      <c r="FI195" s="801"/>
      <c r="FJ195" s="801"/>
      <c r="FK195" s="801"/>
      <c r="FL195" s="801"/>
      <c r="FM195" s="801"/>
      <c r="FN195" s="801"/>
      <c r="FO195" s="801"/>
      <c r="FP195" s="801"/>
      <c r="FQ195" s="801"/>
      <c r="FR195" s="801"/>
      <c r="FS195" s="801"/>
      <c r="FT195" s="801"/>
      <c r="FU195" s="801"/>
      <c r="FV195" s="801"/>
      <c r="FW195" s="801"/>
      <c r="FX195" s="801"/>
      <c r="FY195" s="801"/>
      <c r="FZ195" s="802"/>
      <c r="GA195" s="800" t="str">
        <f>IFERROR(IF(GZ185&gt;GA185-1,IF(INDEX(Lista_Pedidos,GY185+GA185-1,8)&lt;&gt;"","Forro :     "&amp; INDEX(Lista_Pedidos,GY185+GA185-1,8),""),""),"")</f>
        <v/>
      </c>
      <c r="GB195" s="801"/>
      <c r="GC195" s="801"/>
      <c r="GD195" s="801"/>
      <c r="GE195" s="801"/>
      <c r="GF195" s="801"/>
      <c r="GG195" s="801"/>
      <c r="GH195" s="801"/>
      <c r="GI195" s="801"/>
      <c r="GJ195" s="801"/>
      <c r="GK195" s="801"/>
      <c r="GL195" s="801"/>
      <c r="GM195" s="801"/>
      <c r="GN195" s="801"/>
      <c r="GO195" s="801"/>
      <c r="GP195" s="801"/>
      <c r="GQ195" s="801"/>
      <c r="GR195" s="801"/>
      <c r="GS195" s="801"/>
      <c r="GT195" s="801"/>
      <c r="GU195" s="801"/>
      <c r="GV195" s="801"/>
      <c r="GW195" s="801"/>
      <c r="GX195" s="801"/>
      <c r="GY195" s="801"/>
      <c r="GZ195" s="802"/>
      <c r="HA195" s="800" t="str">
        <f>IFERROR(IF(HZ185&gt;HA185-1,IF(INDEX(Lista_Pedidos,HY185+HA185-1,8)&lt;&gt;"","Forro :     "&amp; INDEX(Lista_Pedidos,HY185+HA185-1,8),""),""),"")</f>
        <v/>
      </c>
      <c r="HB195" s="801"/>
      <c r="HC195" s="801"/>
      <c r="HD195" s="801"/>
      <c r="HE195" s="801"/>
      <c r="HF195" s="801"/>
      <c r="HG195" s="801"/>
      <c r="HH195" s="801"/>
      <c r="HI195" s="801"/>
      <c r="HJ195" s="801"/>
      <c r="HK195" s="801"/>
      <c r="HL195" s="801"/>
      <c r="HM195" s="801"/>
      <c r="HN195" s="801"/>
      <c r="HO195" s="801"/>
      <c r="HP195" s="801"/>
      <c r="HQ195" s="801"/>
      <c r="HR195" s="801"/>
      <c r="HS195" s="801"/>
      <c r="HT195" s="801"/>
      <c r="HU195" s="801"/>
      <c r="HV195" s="801"/>
      <c r="HW195" s="801"/>
      <c r="HX195" s="801"/>
      <c r="HY195" s="801"/>
      <c r="HZ195" s="802"/>
      <c r="IA195" s="800" t="str">
        <f>IFERROR(IF(IZ185&gt;IA185-1,IF(INDEX(Lista_Pedidos,IY185+IA185-1,8)&lt;&gt;"","Forro :     "&amp; INDEX(Lista_Pedidos,IY185+IA185-1,8),""),""),"")</f>
        <v/>
      </c>
      <c r="IB195" s="801"/>
      <c r="IC195" s="801"/>
      <c r="ID195" s="801"/>
      <c r="IE195" s="801"/>
      <c r="IF195" s="801"/>
      <c r="IG195" s="801"/>
      <c r="IH195" s="801"/>
      <c r="II195" s="801"/>
      <c r="IJ195" s="801"/>
      <c r="IK195" s="801"/>
      <c r="IL195" s="801"/>
      <c r="IM195" s="801"/>
      <c r="IN195" s="801"/>
      <c r="IO195" s="801"/>
      <c r="IP195" s="801"/>
      <c r="IQ195" s="801"/>
      <c r="IR195" s="801"/>
      <c r="IS195" s="801"/>
      <c r="IT195" s="801"/>
      <c r="IU195" s="801"/>
      <c r="IV195" s="801"/>
      <c r="IW195" s="801"/>
      <c r="IX195" s="801"/>
      <c r="IY195" s="801"/>
      <c r="IZ195" s="802"/>
    </row>
    <row r="196" spans="1:260" x14ac:dyDescent="0.25">
      <c r="A196" s="800" t="str">
        <f>IF(A$5="Cliente Especial : NEON",IF(Z185&gt;A185-1,"Neon :      Si",""),"")</f>
        <v/>
      </c>
      <c r="B196" s="801"/>
      <c r="C196" s="801"/>
      <c r="D196" s="801"/>
      <c r="E196" s="801"/>
      <c r="F196" s="801"/>
      <c r="G196" s="801"/>
      <c r="H196" s="801"/>
      <c r="I196" s="801"/>
      <c r="J196" s="801"/>
      <c r="K196" s="801"/>
      <c r="L196" s="801"/>
      <c r="M196" s="801"/>
      <c r="N196" s="801"/>
      <c r="O196" s="801"/>
      <c r="P196" s="801"/>
      <c r="Q196" s="801"/>
      <c r="R196" s="801"/>
      <c r="S196" s="801"/>
      <c r="T196" s="801"/>
      <c r="U196" s="801"/>
      <c r="V196" s="801"/>
      <c r="W196" s="801"/>
      <c r="X196" s="801"/>
      <c r="Y196" s="801"/>
      <c r="Z196" s="802"/>
      <c r="AA196" s="800" t="str">
        <f>IF(AA$5="Cliente Especial : NEON",IF(AZ185&gt;AA185-1,"Neon :      Si",""),"")</f>
        <v/>
      </c>
      <c r="AB196" s="801"/>
      <c r="AC196" s="801"/>
      <c r="AD196" s="801"/>
      <c r="AE196" s="801"/>
      <c r="AF196" s="801"/>
      <c r="AG196" s="801"/>
      <c r="AH196" s="801"/>
      <c r="AI196" s="801"/>
      <c r="AJ196" s="801"/>
      <c r="AK196" s="801"/>
      <c r="AL196" s="801"/>
      <c r="AM196" s="801"/>
      <c r="AN196" s="801"/>
      <c r="AO196" s="801"/>
      <c r="AP196" s="801"/>
      <c r="AQ196" s="801"/>
      <c r="AR196" s="801"/>
      <c r="AS196" s="801"/>
      <c r="AT196" s="801"/>
      <c r="AU196" s="801"/>
      <c r="AV196" s="801"/>
      <c r="AW196" s="801"/>
      <c r="AX196" s="801"/>
      <c r="AY196" s="801"/>
      <c r="AZ196" s="802"/>
      <c r="BA196" s="800" t="str">
        <f>IF(BA$5="Cliente Especial : NEON",IF(BZ185&gt;BA185-1,"Neon :      Si",""),"")</f>
        <v/>
      </c>
      <c r="BB196" s="801"/>
      <c r="BC196" s="801"/>
      <c r="BD196" s="801"/>
      <c r="BE196" s="801"/>
      <c r="BF196" s="801"/>
      <c r="BG196" s="801"/>
      <c r="BH196" s="801"/>
      <c r="BI196" s="801"/>
      <c r="BJ196" s="801"/>
      <c r="BK196" s="801"/>
      <c r="BL196" s="801"/>
      <c r="BM196" s="801"/>
      <c r="BN196" s="801"/>
      <c r="BO196" s="801"/>
      <c r="BP196" s="801"/>
      <c r="BQ196" s="801"/>
      <c r="BR196" s="801"/>
      <c r="BS196" s="801"/>
      <c r="BT196" s="801"/>
      <c r="BU196" s="801"/>
      <c r="BV196" s="801"/>
      <c r="BW196" s="801"/>
      <c r="BX196" s="801"/>
      <c r="BY196" s="801"/>
      <c r="BZ196" s="802"/>
      <c r="CA196" s="800" t="str">
        <f>IF(CA$5="Cliente Especial : NEON",IF(CZ185&gt;CA185-1,"Neon :      Si",""),"")</f>
        <v/>
      </c>
      <c r="CB196" s="801"/>
      <c r="CC196" s="801"/>
      <c r="CD196" s="801"/>
      <c r="CE196" s="801"/>
      <c r="CF196" s="801"/>
      <c r="CG196" s="801"/>
      <c r="CH196" s="801"/>
      <c r="CI196" s="801"/>
      <c r="CJ196" s="801"/>
      <c r="CK196" s="801"/>
      <c r="CL196" s="801"/>
      <c r="CM196" s="801"/>
      <c r="CN196" s="801"/>
      <c r="CO196" s="801"/>
      <c r="CP196" s="801"/>
      <c r="CQ196" s="801"/>
      <c r="CR196" s="801"/>
      <c r="CS196" s="801"/>
      <c r="CT196" s="801"/>
      <c r="CU196" s="801"/>
      <c r="CV196" s="801"/>
      <c r="CW196" s="801"/>
      <c r="CX196" s="801"/>
      <c r="CY196" s="801"/>
      <c r="CZ196" s="802"/>
      <c r="DA196" s="800" t="str">
        <f>IF(DA$5="Cliente Especial : NEON",IF(DZ185&gt;DA185-1,"Neon :      Si",""),"")</f>
        <v/>
      </c>
      <c r="DB196" s="801"/>
      <c r="DC196" s="801"/>
      <c r="DD196" s="801"/>
      <c r="DE196" s="801"/>
      <c r="DF196" s="801"/>
      <c r="DG196" s="801"/>
      <c r="DH196" s="801"/>
      <c r="DI196" s="801"/>
      <c r="DJ196" s="801"/>
      <c r="DK196" s="801"/>
      <c r="DL196" s="801"/>
      <c r="DM196" s="801"/>
      <c r="DN196" s="801"/>
      <c r="DO196" s="801"/>
      <c r="DP196" s="801"/>
      <c r="DQ196" s="801"/>
      <c r="DR196" s="801"/>
      <c r="DS196" s="801"/>
      <c r="DT196" s="801"/>
      <c r="DU196" s="801"/>
      <c r="DV196" s="801"/>
      <c r="DW196" s="801"/>
      <c r="DX196" s="801"/>
      <c r="DY196" s="801"/>
      <c r="DZ196" s="802"/>
      <c r="EA196" s="800" t="str">
        <f>IF(EA$5="Cliente Especial : NEON",IF(EZ185&gt;EA185-1,"Neon :      Si",""),"")</f>
        <v/>
      </c>
      <c r="EB196" s="801"/>
      <c r="EC196" s="801"/>
      <c r="ED196" s="801"/>
      <c r="EE196" s="801"/>
      <c r="EF196" s="801"/>
      <c r="EG196" s="801"/>
      <c r="EH196" s="801"/>
      <c r="EI196" s="801"/>
      <c r="EJ196" s="801"/>
      <c r="EK196" s="801"/>
      <c r="EL196" s="801"/>
      <c r="EM196" s="801"/>
      <c r="EN196" s="801"/>
      <c r="EO196" s="801"/>
      <c r="EP196" s="801"/>
      <c r="EQ196" s="801"/>
      <c r="ER196" s="801"/>
      <c r="ES196" s="801"/>
      <c r="ET196" s="801"/>
      <c r="EU196" s="801"/>
      <c r="EV196" s="801"/>
      <c r="EW196" s="801"/>
      <c r="EX196" s="801"/>
      <c r="EY196" s="801"/>
      <c r="EZ196" s="802"/>
      <c r="FA196" s="800" t="str">
        <f>IF(FA$5="Cliente Especial : NEON",IF(FZ185&gt;FA185-1,"Neon :      Si",""),"")</f>
        <v/>
      </c>
      <c r="FB196" s="801"/>
      <c r="FC196" s="801"/>
      <c r="FD196" s="801"/>
      <c r="FE196" s="801"/>
      <c r="FF196" s="801"/>
      <c r="FG196" s="801"/>
      <c r="FH196" s="801"/>
      <c r="FI196" s="801"/>
      <c r="FJ196" s="801"/>
      <c r="FK196" s="801"/>
      <c r="FL196" s="801"/>
      <c r="FM196" s="801"/>
      <c r="FN196" s="801"/>
      <c r="FO196" s="801"/>
      <c r="FP196" s="801"/>
      <c r="FQ196" s="801"/>
      <c r="FR196" s="801"/>
      <c r="FS196" s="801"/>
      <c r="FT196" s="801"/>
      <c r="FU196" s="801"/>
      <c r="FV196" s="801"/>
      <c r="FW196" s="801"/>
      <c r="FX196" s="801"/>
      <c r="FY196" s="801"/>
      <c r="FZ196" s="802"/>
      <c r="GA196" s="800" t="str">
        <f>IF(GA$5="Cliente Especial : NEON",IF(GZ185&gt;GA185-1,"Neon :      Si",""),"")</f>
        <v/>
      </c>
      <c r="GB196" s="801"/>
      <c r="GC196" s="801"/>
      <c r="GD196" s="801"/>
      <c r="GE196" s="801"/>
      <c r="GF196" s="801"/>
      <c r="GG196" s="801"/>
      <c r="GH196" s="801"/>
      <c r="GI196" s="801"/>
      <c r="GJ196" s="801"/>
      <c r="GK196" s="801"/>
      <c r="GL196" s="801"/>
      <c r="GM196" s="801"/>
      <c r="GN196" s="801"/>
      <c r="GO196" s="801"/>
      <c r="GP196" s="801"/>
      <c r="GQ196" s="801"/>
      <c r="GR196" s="801"/>
      <c r="GS196" s="801"/>
      <c r="GT196" s="801"/>
      <c r="GU196" s="801"/>
      <c r="GV196" s="801"/>
      <c r="GW196" s="801"/>
      <c r="GX196" s="801"/>
      <c r="GY196" s="801"/>
      <c r="GZ196" s="802"/>
      <c r="HA196" s="800" t="str">
        <f>IF(HA$5="Cliente Especial : NEON",IF(HZ185&gt;HA185-1,"Neon :      Si",""),"")</f>
        <v/>
      </c>
      <c r="HB196" s="801"/>
      <c r="HC196" s="801"/>
      <c r="HD196" s="801"/>
      <c r="HE196" s="801"/>
      <c r="HF196" s="801"/>
      <c r="HG196" s="801"/>
      <c r="HH196" s="801"/>
      <c r="HI196" s="801"/>
      <c r="HJ196" s="801"/>
      <c r="HK196" s="801"/>
      <c r="HL196" s="801"/>
      <c r="HM196" s="801"/>
      <c r="HN196" s="801"/>
      <c r="HO196" s="801"/>
      <c r="HP196" s="801"/>
      <c r="HQ196" s="801"/>
      <c r="HR196" s="801"/>
      <c r="HS196" s="801"/>
      <c r="HT196" s="801"/>
      <c r="HU196" s="801"/>
      <c r="HV196" s="801"/>
      <c r="HW196" s="801"/>
      <c r="HX196" s="801"/>
      <c r="HY196" s="801"/>
      <c r="HZ196" s="802"/>
      <c r="IA196" s="800" t="str">
        <f>IF(IA$5="Cliente Especial : NEON",IF(IZ185&gt;IA185-1,"Neon :      Si",""),"")</f>
        <v/>
      </c>
      <c r="IB196" s="801"/>
      <c r="IC196" s="801"/>
      <c r="ID196" s="801"/>
      <c r="IE196" s="801"/>
      <c r="IF196" s="801"/>
      <c r="IG196" s="801"/>
      <c r="IH196" s="801"/>
      <c r="II196" s="801"/>
      <c r="IJ196" s="801"/>
      <c r="IK196" s="801"/>
      <c r="IL196" s="801"/>
      <c r="IM196" s="801"/>
      <c r="IN196" s="801"/>
      <c r="IO196" s="801"/>
      <c r="IP196" s="801"/>
      <c r="IQ196" s="801"/>
      <c r="IR196" s="801"/>
      <c r="IS196" s="801"/>
      <c r="IT196" s="801"/>
      <c r="IU196" s="801"/>
      <c r="IV196" s="801"/>
      <c r="IW196" s="801"/>
      <c r="IX196" s="801"/>
      <c r="IY196" s="801"/>
      <c r="IZ196" s="802"/>
    </row>
    <row r="197" spans="1:260" x14ac:dyDescent="0.25">
      <c r="A197" s="800" t="str">
        <f>IFERROR(IF(Z185&gt;A185-1,IF(INDEX(Pedidos!J:AZ,Y185+A185-1,9)&lt;&gt;"","Cierre :     "&amp; INDEX(Pedidos!J:AZ,Y185+A185-1,9),""),""),"")</f>
        <v/>
      </c>
      <c r="B197" s="801"/>
      <c r="C197" s="801"/>
      <c r="D197" s="801"/>
      <c r="E197" s="801"/>
      <c r="F197" s="801"/>
      <c r="G197" s="801"/>
      <c r="H197" s="801"/>
      <c r="I197" s="801"/>
      <c r="J197" s="801"/>
      <c r="K197" s="801"/>
      <c r="L197" s="801"/>
      <c r="M197" s="801"/>
      <c r="N197" s="801"/>
      <c r="O197" s="801"/>
      <c r="P197" s="801"/>
      <c r="Q197" s="801"/>
      <c r="R197" s="801"/>
      <c r="S197" s="801"/>
      <c r="T197" s="801"/>
      <c r="U197" s="801"/>
      <c r="V197" s="801"/>
      <c r="W197" s="801"/>
      <c r="X197" s="801"/>
      <c r="Y197" s="801"/>
      <c r="Z197" s="802"/>
      <c r="AA197" s="800" t="str">
        <f>IFERROR(IF(AZ185&gt;AA185-1,IF(INDEX(Pedidos!AJ:BZ,AY185+AA185-1,9)&lt;&gt;"","Cierre :     "&amp; INDEX(Pedidos!AJ:BZ,AY185+AA185-1,9),""),""),"")</f>
        <v/>
      </c>
      <c r="AB197" s="801"/>
      <c r="AC197" s="801"/>
      <c r="AD197" s="801"/>
      <c r="AE197" s="801"/>
      <c r="AF197" s="801"/>
      <c r="AG197" s="801"/>
      <c r="AH197" s="801"/>
      <c r="AI197" s="801"/>
      <c r="AJ197" s="801"/>
      <c r="AK197" s="801"/>
      <c r="AL197" s="801"/>
      <c r="AM197" s="801"/>
      <c r="AN197" s="801"/>
      <c r="AO197" s="801"/>
      <c r="AP197" s="801"/>
      <c r="AQ197" s="801"/>
      <c r="AR197" s="801"/>
      <c r="AS197" s="801"/>
      <c r="AT197" s="801"/>
      <c r="AU197" s="801"/>
      <c r="AV197" s="801"/>
      <c r="AW197" s="801"/>
      <c r="AX197" s="801"/>
      <c r="AY197" s="801"/>
      <c r="AZ197" s="802"/>
      <c r="BA197" s="800" t="str">
        <f>IFERROR(IF(BZ185&gt;BA185-1,IF(INDEX(Pedidos!BJ:CZ,BY185+BA185-1,9)&lt;&gt;"","Cierre :     "&amp; INDEX(Pedidos!BJ:CZ,BY185+BA185-1,9),""),""),"")</f>
        <v/>
      </c>
      <c r="BB197" s="801"/>
      <c r="BC197" s="801"/>
      <c r="BD197" s="801"/>
      <c r="BE197" s="801"/>
      <c r="BF197" s="801"/>
      <c r="BG197" s="801"/>
      <c r="BH197" s="801"/>
      <c r="BI197" s="801"/>
      <c r="BJ197" s="801"/>
      <c r="BK197" s="801"/>
      <c r="BL197" s="801"/>
      <c r="BM197" s="801"/>
      <c r="BN197" s="801"/>
      <c r="BO197" s="801"/>
      <c r="BP197" s="801"/>
      <c r="BQ197" s="801"/>
      <c r="BR197" s="801"/>
      <c r="BS197" s="801"/>
      <c r="BT197" s="801"/>
      <c r="BU197" s="801"/>
      <c r="BV197" s="801"/>
      <c r="BW197" s="801"/>
      <c r="BX197" s="801"/>
      <c r="BY197" s="801"/>
      <c r="BZ197" s="802"/>
      <c r="CA197" s="800" t="str">
        <f>IFERROR(IF(CZ185&gt;CA185-1,IF(INDEX(Pedidos!CJ:DZ,CY185+CA185-1,9)&lt;&gt;"","Cierre :     "&amp; INDEX(Pedidos!CJ:DZ,CY185+CA185-1,9),""),""),"")</f>
        <v/>
      </c>
      <c r="CB197" s="801"/>
      <c r="CC197" s="801"/>
      <c r="CD197" s="801"/>
      <c r="CE197" s="801"/>
      <c r="CF197" s="801"/>
      <c r="CG197" s="801"/>
      <c r="CH197" s="801"/>
      <c r="CI197" s="801"/>
      <c r="CJ197" s="801"/>
      <c r="CK197" s="801"/>
      <c r="CL197" s="801"/>
      <c r="CM197" s="801"/>
      <c r="CN197" s="801"/>
      <c r="CO197" s="801"/>
      <c r="CP197" s="801"/>
      <c r="CQ197" s="801"/>
      <c r="CR197" s="801"/>
      <c r="CS197" s="801"/>
      <c r="CT197" s="801"/>
      <c r="CU197" s="801"/>
      <c r="CV197" s="801"/>
      <c r="CW197" s="801"/>
      <c r="CX197" s="801"/>
      <c r="CY197" s="801"/>
      <c r="CZ197" s="802"/>
      <c r="DA197" s="800" t="str">
        <f>IFERROR(IF(DZ185&gt;DA185-1,IF(INDEX(Pedidos!DJ:EZ,DY185+DA185-1,9)&lt;&gt;"","Cierre :     "&amp; INDEX(Pedidos!DJ:EZ,DY185+DA185-1,9),""),""),"")</f>
        <v/>
      </c>
      <c r="DB197" s="801"/>
      <c r="DC197" s="801"/>
      <c r="DD197" s="801"/>
      <c r="DE197" s="801"/>
      <c r="DF197" s="801"/>
      <c r="DG197" s="801"/>
      <c r="DH197" s="801"/>
      <c r="DI197" s="801"/>
      <c r="DJ197" s="801"/>
      <c r="DK197" s="801"/>
      <c r="DL197" s="801"/>
      <c r="DM197" s="801"/>
      <c r="DN197" s="801"/>
      <c r="DO197" s="801"/>
      <c r="DP197" s="801"/>
      <c r="DQ197" s="801"/>
      <c r="DR197" s="801"/>
      <c r="DS197" s="801"/>
      <c r="DT197" s="801"/>
      <c r="DU197" s="801"/>
      <c r="DV197" s="801"/>
      <c r="DW197" s="801"/>
      <c r="DX197" s="801"/>
      <c r="DY197" s="801"/>
      <c r="DZ197" s="802"/>
      <c r="EA197" s="800" t="str">
        <f>IFERROR(IF(EZ185&gt;EA185-1,IF(INDEX(Pedidos!EJ:FZ,EY185+EA185-1,9)&lt;&gt;"","Cierre :     "&amp; INDEX(Pedidos!EJ:FZ,EY185+EA185-1,9),""),""),"")</f>
        <v/>
      </c>
      <c r="EB197" s="801"/>
      <c r="EC197" s="801"/>
      <c r="ED197" s="801"/>
      <c r="EE197" s="801"/>
      <c r="EF197" s="801"/>
      <c r="EG197" s="801"/>
      <c r="EH197" s="801"/>
      <c r="EI197" s="801"/>
      <c r="EJ197" s="801"/>
      <c r="EK197" s="801"/>
      <c r="EL197" s="801"/>
      <c r="EM197" s="801"/>
      <c r="EN197" s="801"/>
      <c r="EO197" s="801"/>
      <c r="EP197" s="801"/>
      <c r="EQ197" s="801"/>
      <c r="ER197" s="801"/>
      <c r="ES197" s="801"/>
      <c r="ET197" s="801"/>
      <c r="EU197" s="801"/>
      <c r="EV197" s="801"/>
      <c r="EW197" s="801"/>
      <c r="EX197" s="801"/>
      <c r="EY197" s="801"/>
      <c r="EZ197" s="802"/>
      <c r="FA197" s="800" t="str">
        <f>IFERROR(IF(FZ185&gt;FA185-1,IF(INDEX(Pedidos!FJ:GZ,FY185+FA185-1,9)&lt;&gt;"","Cierre :     "&amp; INDEX(Pedidos!FJ:GZ,FY185+FA185-1,9),""),""),"")</f>
        <v/>
      </c>
      <c r="FB197" s="801"/>
      <c r="FC197" s="801"/>
      <c r="FD197" s="801"/>
      <c r="FE197" s="801"/>
      <c r="FF197" s="801"/>
      <c r="FG197" s="801"/>
      <c r="FH197" s="801"/>
      <c r="FI197" s="801"/>
      <c r="FJ197" s="801"/>
      <c r="FK197" s="801"/>
      <c r="FL197" s="801"/>
      <c r="FM197" s="801"/>
      <c r="FN197" s="801"/>
      <c r="FO197" s="801"/>
      <c r="FP197" s="801"/>
      <c r="FQ197" s="801"/>
      <c r="FR197" s="801"/>
      <c r="FS197" s="801"/>
      <c r="FT197" s="801"/>
      <c r="FU197" s="801"/>
      <c r="FV197" s="801"/>
      <c r="FW197" s="801"/>
      <c r="FX197" s="801"/>
      <c r="FY197" s="801"/>
      <c r="FZ197" s="802"/>
      <c r="GA197" s="800" t="str">
        <f>IFERROR(IF(GZ185&gt;GA185-1,IF(INDEX(Pedidos!GJ:HZ,GY185+GA185-1,9)&lt;&gt;"","Cierre :     "&amp; INDEX(Pedidos!GJ:HZ,GY185+GA185-1,9),""),""),"")</f>
        <v/>
      </c>
      <c r="GB197" s="801"/>
      <c r="GC197" s="801"/>
      <c r="GD197" s="801"/>
      <c r="GE197" s="801"/>
      <c r="GF197" s="801"/>
      <c r="GG197" s="801"/>
      <c r="GH197" s="801"/>
      <c r="GI197" s="801"/>
      <c r="GJ197" s="801"/>
      <c r="GK197" s="801"/>
      <c r="GL197" s="801"/>
      <c r="GM197" s="801"/>
      <c r="GN197" s="801"/>
      <c r="GO197" s="801"/>
      <c r="GP197" s="801"/>
      <c r="GQ197" s="801"/>
      <c r="GR197" s="801"/>
      <c r="GS197" s="801"/>
      <c r="GT197" s="801"/>
      <c r="GU197" s="801"/>
      <c r="GV197" s="801"/>
      <c r="GW197" s="801"/>
      <c r="GX197" s="801"/>
      <c r="GY197" s="801"/>
      <c r="GZ197" s="802"/>
      <c r="HA197" s="800" t="str">
        <f>IFERROR(IF(HZ185&gt;HA185-1,IF(INDEX(Pedidos!HJ:IZ,HY185+HA185-1,9)&lt;&gt;"","Cierre :     "&amp; INDEX(Pedidos!HJ:IZ,HY185+HA185-1,9),""),""),"")</f>
        <v/>
      </c>
      <c r="HB197" s="801"/>
      <c r="HC197" s="801"/>
      <c r="HD197" s="801"/>
      <c r="HE197" s="801"/>
      <c r="HF197" s="801"/>
      <c r="HG197" s="801"/>
      <c r="HH197" s="801"/>
      <c r="HI197" s="801"/>
      <c r="HJ197" s="801"/>
      <c r="HK197" s="801"/>
      <c r="HL197" s="801"/>
      <c r="HM197" s="801"/>
      <c r="HN197" s="801"/>
      <c r="HO197" s="801"/>
      <c r="HP197" s="801"/>
      <c r="HQ197" s="801"/>
      <c r="HR197" s="801"/>
      <c r="HS197" s="801"/>
      <c r="HT197" s="801"/>
      <c r="HU197" s="801"/>
      <c r="HV197" s="801"/>
      <c r="HW197" s="801"/>
      <c r="HX197" s="801"/>
      <c r="HY197" s="801"/>
      <c r="HZ197" s="802"/>
      <c r="IA197" s="800" t="str">
        <f>IFERROR(IF(IZ185&gt;IA185-1,IF(INDEX(Pedidos!IJ:JZ,IY185+IA185-1,9)&lt;&gt;"","Cierre :     "&amp; INDEX(Pedidos!IJ:JZ,IY185+IA185-1,9),""),""),"")</f>
        <v/>
      </c>
      <c r="IB197" s="801"/>
      <c r="IC197" s="801"/>
      <c r="ID197" s="801"/>
      <c r="IE197" s="801"/>
      <c r="IF197" s="801"/>
      <c r="IG197" s="801"/>
      <c r="IH197" s="801"/>
      <c r="II197" s="801"/>
      <c r="IJ197" s="801"/>
      <c r="IK197" s="801"/>
      <c r="IL197" s="801"/>
      <c r="IM197" s="801"/>
      <c r="IN197" s="801"/>
      <c r="IO197" s="801"/>
      <c r="IP197" s="801"/>
      <c r="IQ197" s="801"/>
      <c r="IR197" s="801"/>
      <c r="IS197" s="801"/>
      <c r="IT197" s="801"/>
      <c r="IU197" s="801"/>
      <c r="IV197" s="801"/>
      <c r="IW197" s="801"/>
      <c r="IX197" s="801"/>
      <c r="IY197" s="801"/>
      <c r="IZ197" s="802"/>
    </row>
    <row r="198" spans="1:260" x14ac:dyDescent="0.25">
      <c r="A198" s="800" t="str">
        <f>IFERROR(IF(Z185&gt;A185-1,IF(INDEX(Pedidos!J:AZ,Y185+A185-1,11)&lt;&gt;"","Cordon :     "&amp; INDEX(Pedidos!J:AZ,Y185+A185-1,11),""),""),"")</f>
        <v/>
      </c>
      <c r="B198" s="801"/>
      <c r="C198" s="801"/>
      <c r="D198" s="801"/>
      <c r="E198" s="801"/>
      <c r="F198" s="801"/>
      <c r="G198" s="801"/>
      <c r="H198" s="801"/>
      <c r="I198" s="801"/>
      <c r="J198" s="801"/>
      <c r="K198" s="801"/>
      <c r="L198" s="801"/>
      <c r="M198" s="801"/>
      <c r="N198" s="801"/>
      <c r="O198" s="801"/>
      <c r="P198" s="801"/>
      <c r="Q198" s="801"/>
      <c r="R198" s="801"/>
      <c r="S198" s="801"/>
      <c r="T198" s="801"/>
      <c r="U198" s="801"/>
      <c r="V198" s="801"/>
      <c r="W198" s="801"/>
      <c r="X198" s="801"/>
      <c r="Y198" s="801"/>
      <c r="Z198" s="802"/>
      <c r="AA198" s="800" t="str">
        <f>IFERROR(IF(AZ185&gt;AA185-1,IF(INDEX(Pedidos!AJ:BZ,AY185+AA185-1,11)&lt;&gt;"","Cordon :     "&amp; INDEX(Pedidos!AJ:BZ,AY185+AA185-1,11),""),""),"")</f>
        <v/>
      </c>
      <c r="AB198" s="801"/>
      <c r="AC198" s="801"/>
      <c r="AD198" s="801"/>
      <c r="AE198" s="801"/>
      <c r="AF198" s="801"/>
      <c r="AG198" s="801"/>
      <c r="AH198" s="801"/>
      <c r="AI198" s="801"/>
      <c r="AJ198" s="801"/>
      <c r="AK198" s="801"/>
      <c r="AL198" s="801"/>
      <c r="AM198" s="801"/>
      <c r="AN198" s="801"/>
      <c r="AO198" s="801"/>
      <c r="AP198" s="801"/>
      <c r="AQ198" s="801"/>
      <c r="AR198" s="801"/>
      <c r="AS198" s="801"/>
      <c r="AT198" s="801"/>
      <c r="AU198" s="801"/>
      <c r="AV198" s="801"/>
      <c r="AW198" s="801"/>
      <c r="AX198" s="801"/>
      <c r="AY198" s="801"/>
      <c r="AZ198" s="802"/>
      <c r="BA198" s="800" t="str">
        <f>IFERROR(IF(BZ185&gt;BA185-1,IF(INDEX(Pedidos!BJ:CZ,BY185+BA185-1,11)&lt;&gt;"","Cordon :     "&amp; INDEX(Pedidos!BJ:CZ,BY185+BA185-1,11),""),""),"")</f>
        <v/>
      </c>
      <c r="BB198" s="801"/>
      <c r="BC198" s="801"/>
      <c r="BD198" s="801"/>
      <c r="BE198" s="801"/>
      <c r="BF198" s="801"/>
      <c r="BG198" s="801"/>
      <c r="BH198" s="801"/>
      <c r="BI198" s="801"/>
      <c r="BJ198" s="801"/>
      <c r="BK198" s="801"/>
      <c r="BL198" s="801"/>
      <c r="BM198" s="801"/>
      <c r="BN198" s="801"/>
      <c r="BO198" s="801"/>
      <c r="BP198" s="801"/>
      <c r="BQ198" s="801"/>
      <c r="BR198" s="801"/>
      <c r="BS198" s="801"/>
      <c r="BT198" s="801"/>
      <c r="BU198" s="801"/>
      <c r="BV198" s="801"/>
      <c r="BW198" s="801"/>
      <c r="BX198" s="801"/>
      <c r="BY198" s="801"/>
      <c r="BZ198" s="802"/>
      <c r="CA198" s="800" t="str">
        <f>IFERROR(IF(CZ185&gt;CA185-1,IF(INDEX(Pedidos!CJ:DZ,CY185+CA185-1,11)&lt;&gt;"","Cordon :     "&amp; INDEX(Pedidos!CJ:DZ,CY185+CA185-1,11),""),""),"")</f>
        <v/>
      </c>
      <c r="CB198" s="801"/>
      <c r="CC198" s="801"/>
      <c r="CD198" s="801"/>
      <c r="CE198" s="801"/>
      <c r="CF198" s="801"/>
      <c r="CG198" s="801"/>
      <c r="CH198" s="801"/>
      <c r="CI198" s="801"/>
      <c r="CJ198" s="801"/>
      <c r="CK198" s="801"/>
      <c r="CL198" s="801"/>
      <c r="CM198" s="801"/>
      <c r="CN198" s="801"/>
      <c r="CO198" s="801"/>
      <c r="CP198" s="801"/>
      <c r="CQ198" s="801"/>
      <c r="CR198" s="801"/>
      <c r="CS198" s="801"/>
      <c r="CT198" s="801"/>
      <c r="CU198" s="801"/>
      <c r="CV198" s="801"/>
      <c r="CW198" s="801"/>
      <c r="CX198" s="801"/>
      <c r="CY198" s="801"/>
      <c r="CZ198" s="802"/>
      <c r="DA198" s="800" t="str">
        <f>IFERROR(IF(DZ185&gt;DA185-1,IF(INDEX(Pedidos!DJ:EZ,DY185+DA185-1,11)&lt;&gt;"","Cordon :     "&amp; INDEX(Pedidos!DJ:EZ,DY185+DA185-1,11),""),""),"")</f>
        <v/>
      </c>
      <c r="DB198" s="801"/>
      <c r="DC198" s="801"/>
      <c r="DD198" s="801"/>
      <c r="DE198" s="801"/>
      <c r="DF198" s="801"/>
      <c r="DG198" s="801"/>
      <c r="DH198" s="801"/>
      <c r="DI198" s="801"/>
      <c r="DJ198" s="801"/>
      <c r="DK198" s="801"/>
      <c r="DL198" s="801"/>
      <c r="DM198" s="801"/>
      <c r="DN198" s="801"/>
      <c r="DO198" s="801"/>
      <c r="DP198" s="801"/>
      <c r="DQ198" s="801"/>
      <c r="DR198" s="801"/>
      <c r="DS198" s="801"/>
      <c r="DT198" s="801"/>
      <c r="DU198" s="801"/>
      <c r="DV198" s="801"/>
      <c r="DW198" s="801"/>
      <c r="DX198" s="801"/>
      <c r="DY198" s="801"/>
      <c r="DZ198" s="802"/>
      <c r="EA198" s="800" t="str">
        <f>IFERROR(IF(EZ185&gt;EA185-1,IF(INDEX(Pedidos!EJ:FZ,EY185+EA185-1,11)&lt;&gt;"","Cordon :     "&amp; INDEX(Pedidos!EJ:FZ,EY185+EA185-1,11),""),""),"")</f>
        <v/>
      </c>
      <c r="EB198" s="801"/>
      <c r="EC198" s="801"/>
      <c r="ED198" s="801"/>
      <c r="EE198" s="801"/>
      <c r="EF198" s="801"/>
      <c r="EG198" s="801"/>
      <c r="EH198" s="801"/>
      <c r="EI198" s="801"/>
      <c r="EJ198" s="801"/>
      <c r="EK198" s="801"/>
      <c r="EL198" s="801"/>
      <c r="EM198" s="801"/>
      <c r="EN198" s="801"/>
      <c r="EO198" s="801"/>
      <c r="EP198" s="801"/>
      <c r="EQ198" s="801"/>
      <c r="ER198" s="801"/>
      <c r="ES198" s="801"/>
      <c r="ET198" s="801"/>
      <c r="EU198" s="801"/>
      <c r="EV198" s="801"/>
      <c r="EW198" s="801"/>
      <c r="EX198" s="801"/>
      <c r="EY198" s="801"/>
      <c r="EZ198" s="802"/>
      <c r="FA198" s="800" t="str">
        <f>IFERROR(IF(FZ185&gt;FA185-1,IF(INDEX(Pedidos!FJ:GZ,FY185+FA185-1,11)&lt;&gt;"","Cordon :     "&amp; INDEX(Pedidos!FJ:GZ,FY185+FA185-1,11),""),""),"")</f>
        <v/>
      </c>
      <c r="FB198" s="801"/>
      <c r="FC198" s="801"/>
      <c r="FD198" s="801"/>
      <c r="FE198" s="801"/>
      <c r="FF198" s="801"/>
      <c r="FG198" s="801"/>
      <c r="FH198" s="801"/>
      <c r="FI198" s="801"/>
      <c r="FJ198" s="801"/>
      <c r="FK198" s="801"/>
      <c r="FL198" s="801"/>
      <c r="FM198" s="801"/>
      <c r="FN198" s="801"/>
      <c r="FO198" s="801"/>
      <c r="FP198" s="801"/>
      <c r="FQ198" s="801"/>
      <c r="FR198" s="801"/>
      <c r="FS198" s="801"/>
      <c r="FT198" s="801"/>
      <c r="FU198" s="801"/>
      <c r="FV198" s="801"/>
      <c r="FW198" s="801"/>
      <c r="FX198" s="801"/>
      <c r="FY198" s="801"/>
      <c r="FZ198" s="802"/>
      <c r="GA198" s="800" t="str">
        <f>IFERROR(IF(GZ185&gt;GA185-1,IF(INDEX(Pedidos!GJ:HZ,GY185+GA185-1,11)&lt;&gt;"","Cordon :     "&amp; INDEX(Pedidos!GJ:HZ,GY185+GA185-1,11),""),""),"")</f>
        <v/>
      </c>
      <c r="GB198" s="801"/>
      <c r="GC198" s="801"/>
      <c r="GD198" s="801"/>
      <c r="GE198" s="801"/>
      <c r="GF198" s="801"/>
      <c r="GG198" s="801"/>
      <c r="GH198" s="801"/>
      <c r="GI198" s="801"/>
      <c r="GJ198" s="801"/>
      <c r="GK198" s="801"/>
      <c r="GL198" s="801"/>
      <c r="GM198" s="801"/>
      <c r="GN198" s="801"/>
      <c r="GO198" s="801"/>
      <c r="GP198" s="801"/>
      <c r="GQ198" s="801"/>
      <c r="GR198" s="801"/>
      <c r="GS198" s="801"/>
      <c r="GT198" s="801"/>
      <c r="GU198" s="801"/>
      <c r="GV198" s="801"/>
      <c r="GW198" s="801"/>
      <c r="GX198" s="801"/>
      <c r="GY198" s="801"/>
      <c r="GZ198" s="802"/>
      <c r="HA198" s="800" t="str">
        <f>IFERROR(IF(HZ185&gt;HA185-1,IF(INDEX(Pedidos!HJ:IZ,HY185+HA185-1,11)&lt;&gt;"","Cordon :     "&amp; INDEX(Pedidos!HJ:IZ,HY185+HA185-1,11),""),""),"")</f>
        <v/>
      </c>
      <c r="HB198" s="801"/>
      <c r="HC198" s="801"/>
      <c r="HD198" s="801"/>
      <c r="HE198" s="801"/>
      <c r="HF198" s="801"/>
      <c r="HG198" s="801"/>
      <c r="HH198" s="801"/>
      <c r="HI198" s="801"/>
      <c r="HJ198" s="801"/>
      <c r="HK198" s="801"/>
      <c r="HL198" s="801"/>
      <c r="HM198" s="801"/>
      <c r="HN198" s="801"/>
      <c r="HO198" s="801"/>
      <c r="HP198" s="801"/>
      <c r="HQ198" s="801"/>
      <c r="HR198" s="801"/>
      <c r="HS198" s="801"/>
      <c r="HT198" s="801"/>
      <c r="HU198" s="801"/>
      <c r="HV198" s="801"/>
      <c r="HW198" s="801"/>
      <c r="HX198" s="801"/>
      <c r="HY198" s="801"/>
      <c r="HZ198" s="802"/>
      <c r="IA198" s="800" t="str">
        <f>IFERROR(IF(IZ185&gt;IA185-1,IF(INDEX(Pedidos!IJ:JZ,IY185+IA185-1,11)&lt;&gt;"","Cordon :     "&amp; INDEX(Pedidos!IJ:JZ,IY185+IA185-1,11),""),""),"")</f>
        <v/>
      </c>
      <c r="IB198" s="801"/>
      <c r="IC198" s="801"/>
      <c r="ID198" s="801"/>
      <c r="IE198" s="801"/>
      <c r="IF198" s="801"/>
      <c r="IG198" s="801"/>
      <c r="IH198" s="801"/>
      <c r="II198" s="801"/>
      <c r="IJ198" s="801"/>
      <c r="IK198" s="801"/>
      <c r="IL198" s="801"/>
      <c r="IM198" s="801"/>
      <c r="IN198" s="801"/>
      <c r="IO198" s="801"/>
      <c r="IP198" s="801"/>
      <c r="IQ198" s="801"/>
      <c r="IR198" s="801"/>
      <c r="IS198" s="801"/>
      <c r="IT198" s="801"/>
      <c r="IU198" s="801"/>
      <c r="IV198" s="801"/>
      <c r="IW198" s="801"/>
      <c r="IX198" s="801"/>
      <c r="IY198" s="801"/>
      <c r="IZ198" s="802"/>
    </row>
    <row r="199" spans="1:260" x14ac:dyDescent="0.25">
      <c r="A199" s="800" t="str">
        <f>IFERROR(IF(Z185&gt;A185-1,IF(INDEX(Pedidos!J:AZ,Y185+A185-1,12)&lt;&gt;"","Color Cordon :     "&amp; INDEX(Pedidos!J:AZ,Y185+A185-1,12),""),""),"")</f>
        <v/>
      </c>
      <c r="B199" s="801"/>
      <c r="C199" s="801"/>
      <c r="D199" s="801"/>
      <c r="E199" s="801"/>
      <c r="F199" s="801"/>
      <c r="G199" s="801"/>
      <c r="H199" s="801"/>
      <c r="I199" s="801"/>
      <c r="J199" s="801"/>
      <c r="K199" s="801"/>
      <c r="L199" s="801"/>
      <c r="M199" s="801"/>
      <c r="N199" s="801"/>
      <c r="O199" s="801"/>
      <c r="P199" s="801"/>
      <c r="Q199" s="801"/>
      <c r="R199" s="801"/>
      <c r="S199" s="801"/>
      <c r="T199" s="801"/>
      <c r="U199" s="801"/>
      <c r="V199" s="801"/>
      <c r="W199" s="801"/>
      <c r="X199" s="801"/>
      <c r="Y199" s="801"/>
      <c r="Z199" s="802"/>
      <c r="AA199" s="800" t="str">
        <f>IFERROR(IF(AZ185&gt;AA185-1,IF(INDEX(Pedidos!AJ:BZ,AY185+AA185-1,12)&lt;&gt;"","Color Cordon :     "&amp; INDEX(Pedidos!AJ:BZ,AY185+AA185-1,12),""),""),"")</f>
        <v/>
      </c>
      <c r="AB199" s="801"/>
      <c r="AC199" s="801"/>
      <c r="AD199" s="801"/>
      <c r="AE199" s="801"/>
      <c r="AF199" s="801"/>
      <c r="AG199" s="801"/>
      <c r="AH199" s="801"/>
      <c r="AI199" s="801"/>
      <c r="AJ199" s="801"/>
      <c r="AK199" s="801"/>
      <c r="AL199" s="801"/>
      <c r="AM199" s="801"/>
      <c r="AN199" s="801"/>
      <c r="AO199" s="801"/>
      <c r="AP199" s="801"/>
      <c r="AQ199" s="801"/>
      <c r="AR199" s="801"/>
      <c r="AS199" s="801"/>
      <c r="AT199" s="801"/>
      <c r="AU199" s="801"/>
      <c r="AV199" s="801"/>
      <c r="AW199" s="801"/>
      <c r="AX199" s="801"/>
      <c r="AY199" s="801"/>
      <c r="AZ199" s="802"/>
      <c r="BA199" s="800" t="str">
        <f>IFERROR(IF(BZ185&gt;BA185-1,IF(INDEX(Pedidos!BJ:CZ,BY185+BA185-1,12)&lt;&gt;"","Color Cordon :     "&amp; INDEX(Pedidos!BJ:CZ,BY185+BA185-1,12),""),""),"")</f>
        <v/>
      </c>
      <c r="BB199" s="801"/>
      <c r="BC199" s="801"/>
      <c r="BD199" s="801"/>
      <c r="BE199" s="801"/>
      <c r="BF199" s="801"/>
      <c r="BG199" s="801"/>
      <c r="BH199" s="801"/>
      <c r="BI199" s="801"/>
      <c r="BJ199" s="801"/>
      <c r="BK199" s="801"/>
      <c r="BL199" s="801"/>
      <c r="BM199" s="801"/>
      <c r="BN199" s="801"/>
      <c r="BO199" s="801"/>
      <c r="BP199" s="801"/>
      <c r="BQ199" s="801"/>
      <c r="BR199" s="801"/>
      <c r="BS199" s="801"/>
      <c r="BT199" s="801"/>
      <c r="BU199" s="801"/>
      <c r="BV199" s="801"/>
      <c r="BW199" s="801"/>
      <c r="BX199" s="801"/>
      <c r="BY199" s="801"/>
      <c r="BZ199" s="802"/>
      <c r="CA199" s="800" t="str">
        <f>IFERROR(IF(CZ185&gt;CA185-1,IF(INDEX(Pedidos!CJ:DZ,CY185+CA185-1,12)&lt;&gt;"","Color Cordon :     "&amp; INDEX(Pedidos!CJ:DZ,CY185+CA185-1,12),""),""),"")</f>
        <v/>
      </c>
      <c r="CB199" s="801"/>
      <c r="CC199" s="801"/>
      <c r="CD199" s="801"/>
      <c r="CE199" s="801"/>
      <c r="CF199" s="801"/>
      <c r="CG199" s="801"/>
      <c r="CH199" s="801"/>
      <c r="CI199" s="801"/>
      <c r="CJ199" s="801"/>
      <c r="CK199" s="801"/>
      <c r="CL199" s="801"/>
      <c r="CM199" s="801"/>
      <c r="CN199" s="801"/>
      <c r="CO199" s="801"/>
      <c r="CP199" s="801"/>
      <c r="CQ199" s="801"/>
      <c r="CR199" s="801"/>
      <c r="CS199" s="801"/>
      <c r="CT199" s="801"/>
      <c r="CU199" s="801"/>
      <c r="CV199" s="801"/>
      <c r="CW199" s="801"/>
      <c r="CX199" s="801"/>
      <c r="CY199" s="801"/>
      <c r="CZ199" s="802"/>
      <c r="DA199" s="800" t="str">
        <f>IFERROR(IF(DZ185&gt;DA185-1,IF(INDEX(Pedidos!DJ:EZ,DY185+DA185-1,12)&lt;&gt;"","Color Cordon :     "&amp; INDEX(Pedidos!DJ:EZ,DY185+DA185-1,12),""),""),"")</f>
        <v/>
      </c>
      <c r="DB199" s="801"/>
      <c r="DC199" s="801"/>
      <c r="DD199" s="801"/>
      <c r="DE199" s="801"/>
      <c r="DF199" s="801"/>
      <c r="DG199" s="801"/>
      <c r="DH199" s="801"/>
      <c r="DI199" s="801"/>
      <c r="DJ199" s="801"/>
      <c r="DK199" s="801"/>
      <c r="DL199" s="801"/>
      <c r="DM199" s="801"/>
      <c r="DN199" s="801"/>
      <c r="DO199" s="801"/>
      <c r="DP199" s="801"/>
      <c r="DQ199" s="801"/>
      <c r="DR199" s="801"/>
      <c r="DS199" s="801"/>
      <c r="DT199" s="801"/>
      <c r="DU199" s="801"/>
      <c r="DV199" s="801"/>
      <c r="DW199" s="801"/>
      <c r="DX199" s="801"/>
      <c r="DY199" s="801"/>
      <c r="DZ199" s="802"/>
      <c r="EA199" s="800" t="str">
        <f>IFERROR(IF(EZ185&gt;EA185-1,IF(INDEX(Pedidos!EJ:FZ,EY185+EA185-1,12)&lt;&gt;"","Color Cordon :     "&amp; INDEX(Pedidos!EJ:FZ,EY185+EA185-1,12),""),""),"")</f>
        <v/>
      </c>
      <c r="EB199" s="801"/>
      <c r="EC199" s="801"/>
      <c r="ED199" s="801"/>
      <c r="EE199" s="801"/>
      <c r="EF199" s="801"/>
      <c r="EG199" s="801"/>
      <c r="EH199" s="801"/>
      <c r="EI199" s="801"/>
      <c r="EJ199" s="801"/>
      <c r="EK199" s="801"/>
      <c r="EL199" s="801"/>
      <c r="EM199" s="801"/>
      <c r="EN199" s="801"/>
      <c r="EO199" s="801"/>
      <c r="EP199" s="801"/>
      <c r="EQ199" s="801"/>
      <c r="ER199" s="801"/>
      <c r="ES199" s="801"/>
      <c r="ET199" s="801"/>
      <c r="EU199" s="801"/>
      <c r="EV199" s="801"/>
      <c r="EW199" s="801"/>
      <c r="EX199" s="801"/>
      <c r="EY199" s="801"/>
      <c r="EZ199" s="802"/>
      <c r="FA199" s="800" t="str">
        <f>IFERROR(IF(FZ185&gt;FA185-1,IF(INDEX(Pedidos!FJ:GZ,FY185+FA185-1,12)&lt;&gt;"","Color Cordon :     "&amp; INDEX(Pedidos!FJ:GZ,FY185+FA185-1,12),""),""),"")</f>
        <v/>
      </c>
      <c r="FB199" s="801"/>
      <c r="FC199" s="801"/>
      <c r="FD199" s="801"/>
      <c r="FE199" s="801"/>
      <c r="FF199" s="801"/>
      <c r="FG199" s="801"/>
      <c r="FH199" s="801"/>
      <c r="FI199" s="801"/>
      <c r="FJ199" s="801"/>
      <c r="FK199" s="801"/>
      <c r="FL199" s="801"/>
      <c r="FM199" s="801"/>
      <c r="FN199" s="801"/>
      <c r="FO199" s="801"/>
      <c r="FP199" s="801"/>
      <c r="FQ199" s="801"/>
      <c r="FR199" s="801"/>
      <c r="FS199" s="801"/>
      <c r="FT199" s="801"/>
      <c r="FU199" s="801"/>
      <c r="FV199" s="801"/>
      <c r="FW199" s="801"/>
      <c r="FX199" s="801"/>
      <c r="FY199" s="801"/>
      <c r="FZ199" s="802"/>
      <c r="GA199" s="800" t="str">
        <f>IFERROR(IF(GZ185&gt;GA185-1,IF(INDEX(Pedidos!GJ:HZ,GY185+GA185-1,12)&lt;&gt;"","Color Cordon :     "&amp; INDEX(Pedidos!GJ:HZ,GY185+GA185-1,12),""),""),"")</f>
        <v/>
      </c>
      <c r="GB199" s="801"/>
      <c r="GC199" s="801"/>
      <c r="GD199" s="801"/>
      <c r="GE199" s="801"/>
      <c r="GF199" s="801"/>
      <c r="GG199" s="801"/>
      <c r="GH199" s="801"/>
      <c r="GI199" s="801"/>
      <c r="GJ199" s="801"/>
      <c r="GK199" s="801"/>
      <c r="GL199" s="801"/>
      <c r="GM199" s="801"/>
      <c r="GN199" s="801"/>
      <c r="GO199" s="801"/>
      <c r="GP199" s="801"/>
      <c r="GQ199" s="801"/>
      <c r="GR199" s="801"/>
      <c r="GS199" s="801"/>
      <c r="GT199" s="801"/>
      <c r="GU199" s="801"/>
      <c r="GV199" s="801"/>
      <c r="GW199" s="801"/>
      <c r="GX199" s="801"/>
      <c r="GY199" s="801"/>
      <c r="GZ199" s="802"/>
      <c r="HA199" s="800" t="str">
        <f>IFERROR(IF(HZ185&gt;HA185-1,IF(INDEX(Pedidos!HJ:IZ,HY185+HA185-1,12)&lt;&gt;"","Color Cordon :     "&amp; INDEX(Pedidos!HJ:IZ,HY185+HA185-1,12),""),""),"")</f>
        <v/>
      </c>
      <c r="HB199" s="801"/>
      <c r="HC199" s="801"/>
      <c r="HD199" s="801"/>
      <c r="HE199" s="801"/>
      <c r="HF199" s="801"/>
      <c r="HG199" s="801"/>
      <c r="HH199" s="801"/>
      <c r="HI199" s="801"/>
      <c r="HJ199" s="801"/>
      <c r="HK199" s="801"/>
      <c r="HL199" s="801"/>
      <c r="HM199" s="801"/>
      <c r="HN199" s="801"/>
      <c r="HO199" s="801"/>
      <c r="HP199" s="801"/>
      <c r="HQ199" s="801"/>
      <c r="HR199" s="801"/>
      <c r="HS199" s="801"/>
      <c r="HT199" s="801"/>
      <c r="HU199" s="801"/>
      <c r="HV199" s="801"/>
      <c r="HW199" s="801"/>
      <c r="HX199" s="801"/>
      <c r="HY199" s="801"/>
      <c r="HZ199" s="802"/>
      <c r="IA199" s="800" t="str">
        <f>IFERROR(IF(IZ185&gt;IA185-1,IF(INDEX(Pedidos!IJ:JZ,IY185+IA185-1,12)&lt;&gt;"","Color Cordon :     "&amp; INDEX(Pedidos!IJ:JZ,IY185+IA185-1,12),""),""),"")</f>
        <v/>
      </c>
      <c r="IB199" s="801"/>
      <c r="IC199" s="801"/>
      <c r="ID199" s="801"/>
      <c r="IE199" s="801"/>
      <c r="IF199" s="801"/>
      <c r="IG199" s="801"/>
      <c r="IH199" s="801"/>
      <c r="II199" s="801"/>
      <c r="IJ199" s="801"/>
      <c r="IK199" s="801"/>
      <c r="IL199" s="801"/>
      <c r="IM199" s="801"/>
      <c r="IN199" s="801"/>
      <c r="IO199" s="801"/>
      <c r="IP199" s="801"/>
      <c r="IQ199" s="801"/>
      <c r="IR199" s="801"/>
      <c r="IS199" s="801"/>
      <c r="IT199" s="801"/>
      <c r="IU199" s="801"/>
      <c r="IV199" s="801"/>
      <c r="IW199" s="801"/>
      <c r="IX199" s="801"/>
      <c r="IY199" s="801"/>
      <c r="IZ199" s="802"/>
    </row>
    <row r="200" spans="1:260" x14ac:dyDescent="0.25">
      <c r="A200" s="800"/>
      <c r="B200" s="801"/>
      <c r="C200" s="801"/>
      <c r="D200" s="801"/>
      <c r="E200" s="801"/>
      <c r="F200" s="801"/>
      <c r="G200" s="801"/>
      <c r="H200" s="801"/>
      <c r="I200" s="801"/>
      <c r="J200" s="801"/>
      <c r="K200" s="801"/>
      <c r="L200" s="801"/>
      <c r="M200" s="801"/>
      <c r="N200" s="801"/>
      <c r="O200" s="801"/>
      <c r="P200" s="801"/>
      <c r="Q200" s="801"/>
      <c r="R200" s="801"/>
      <c r="S200" s="801"/>
      <c r="T200" s="801"/>
      <c r="U200" s="801"/>
      <c r="V200" s="801"/>
      <c r="W200" s="801"/>
      <c r="X200" s="801"/>
      <c r="Y200" s="801"/>
      <c r="Z200" s="802"/>
      <c r="AA200" s="800"/>
      <c r="AB200" s="801"/>
      <c r="AC200" s="801"/>
      <c r="AD200" s="801"/>
      <c r="AE200" s="801"/>
      <c r="AF200" s="801"/>
      <c r="AG200" s="801"/>
      <c r="AH200" s="801"/>
      <c r="AI200" s="801"/>
      <c r="AJ200" s="801"/>
      <c r="AK200" s="801"/>
      <c r="AL200" s="801"/>
      <c r="AM200" s="801"/>
      <c r="AN200" s="801"/>
      <c r="AO200" s="801"/>
      <c r="AP200" s="801"/>
      <c r="AQ200" s="801"/>
      <c r="AR200" s="801"/>
      <c r="AS200" s="801"/>
      <c r="AT200" s="801"/>
      <c r="AU200" s="801"/>
      <c r="AV200" s="801"/>
      <c r="AW200" s="801"/>
      <c r="AX200" s="801"/>
      <c r="AY200" s="801"/>
      <c r="AZ200" s="802"/>
      <c r="BA200" s="800"/>
      <c r="BB200" s="801"/>
      <c r="BC200" s="801"/>
      <c r="BD200" s="801"/>
      <c r="BE200" s="801"/>
      <c r="BF200" s="801"/>
      <c r="BG200" s="801"/>
      <c r="BH200" s="801"/>
      <c r="BI200" s="801"/>
      <c r="BJ200" s="801"/>
      <c r="BK200" s="801"/>
      <c r="BL200" s="801"/>
      <c r="BM200" s="801"/>
      <c r="BN200" s="801"/>
      <c r="BO200" s="801"/>
      <c r="BP200" s="801"/>
      <c r="BQ200" s="801"/>
      <c r="BR200" s="801"/>
      <c r="BS200" s="801"/>
      <c r="BT200" s="801"/>
      <c r="BU200" s="801"/>
      <c r="BV200" s="801"/>
      <c r="BW200" s="801"/>
      <c r="BX200" s="801"/>
      <c r="BY200" s="801"/>
      <c r="BZ200" s="802"/>
      <c r="CA200" s="800"/>
      <c r="CB200" s="801"/>
      <c r="CC200" s="801"/>
      <c r="CD200" s="801"/>
      <c r="CE200" s="801"/>
      <c r="CF200" s="801"/>
      <c r="CG200" s="801"/>
      <c r="CH200" s="801"/>
      <c r="CI200" s="801"/>
      <c r="CJ200" s="801"/>
      <c r="CK200" s="801"/>
      <c r="CL200" s="801"/>
      <c r="CM200" s="801"/>
      <c r="CN200" s="801"/>
      <c r="CO200" s="801"/>
      <c r="CP200" s="801"/>
      <c r="CQ200" s="801"/>
      <c r="CR200" s="801"/>
      <c r="CS200" s="801"/>
      <c r="CT200" s="801"/>
      <c r="CU200" s="801"/>
      <c r="CV200" s="801"/>
      <c r="CW200" s="801"/>
      <c r="CX200" s="801"/>
      <c r="CY200" s="801"/>
      <c r="CZ200" s="802"/>
      <c r="DA200" s="800"/>
      <c r="DB200" s="801"/>
      <c r="DC200" s="801"/>
      <c r="DD200" s="801"/>
      <c r="DE200" s="801"/>
      <c r="DF200" s="801"/>
      <c r="DG200" s="801"/>
      <c r="DH200" s="801"/>
      <c r="DI200" s="801"/>
      <c r="DJ200" s="801"/>
      <c r="DK200" s="801"/>
      <c r="DL200" s="801"/>
      <c r="DM200" s="801"/>
      <c r="DN200" s="801"/>
      <c r="DO200" s="801"/>
      <c r="DP200" s="801"/>
      <c r="DQ200" s="801"/>
      <c r="DR200" s="801"/>
      <c r="DS200" s="801"/>
      <c r="DT200" s="801"/>
      <c r="DU200" s="801"/>
      <c r="DV200" s="801"/>
      <c r="DW200" s="801"/>
      <c r="DX200" s="801"/>
      <c r="DY200" s="801"/>
      <c r="DZ200" s="802"/>
      <c r="EA200" s="800"/>
      <c r="EB200" s="801"/>
      <c r="EC200" s="801"/>
      <c r="ED200" s="801"/>
      <c r="EE200" s="801"/>
      <c r="EF200" s="801"/>
      <c r="EG200" s="801"/>
      <c r="EH200" s="801"/>
      <c r="EI200" s="801"/>
      <c r="EJ200" s="801"/>
      <c r="EK200" s="801"/>
      <c r="EL200" s="801"/>
      <c r="EM200" s="801"/>
      <c r="EN200" s="801"/>
      <c r="EO200" s="801"/>
      <c r="EP200" s="801"/>
      <c r="EQ200" s="801"/>
      <c r="ER200" s="801"/>
      <c r="ES200" s="801"/>
      <c r="ET200" s="801"/>
      <c r="EU200" s="801"/>
      <c r="EV200" s="801"/>
      <c r="EW200" s="801"/>
      <c r="EX200" s="801"/>
      <c r="EY200" s="801"/>
      <c r="EZ200" s="802"/>
      <c r="FA200" s="800"/>
      <c r="FB200" s="801"/>
      <c r="FC200" s="801"/>
      <c r="FD200" s="801"/>
      <c r="FE200" s="801"/>
      <c r="FF200" s="801"/>
      <c r="FG200" s="801"/>
      <c r="FH200" s="801"/>
      <c r="FI200" s="801"/>
      <c r="FJ200" s="801"/>
      <c r="FK200" s="801"/>
      <c r="FL200" s="801"/>
      <c r="FM200" s="801"/>
      <c r="FN200" s="801"/>
      <c r="FO200" s="801"/>
      <c r="FP200" s="801"/>
      <c r="FQ200" s="801"/>
      <c r="FR200" s="801"/>
      <c r="FS200" s="801"/>
      <c r="FT200" s="801"/>
      <c r="FU200" s="801"/>
      <c r="FV200" s="801"/>
      <c r="FW200" s="801"/>
      <c r="FX200" s="801"/>
      <c r="FY200" s="801"/>
      <c r="FZ200" s="802"/>
      <c r="GA200" s="800"/>
      <c r="GB200" s="801"/>
      <c r="GC200" s="801"/>
      <c r="GD200" s="801"/>
      <c r="GE200" s="801"/>
      <c r="GF200" s="801"/>
      <c r="GG200" s="801"/>
      <c r="GH200" s="801"/>
      <c r="GI200" s="801"/>
      <c r="GJ200" s="801"/>
      <c r="GK200" s="801"/>
      <c r="GL200" s="801"/>
      <c r="GM200" s="801"/>
      <c r="GN200" s="801"/>
      <c r="GO200" s="801"/>
      <c r="GP200" s="801"/>
      <c r="GQ200" s="801"/>
      <c r="GR200" s="801"/>
      <c r="GS200" s="801"/>
      <c r="GT200" s="801"/>
      <c r="GU200" s="801"/>
      <c r="GV200" s="801"/>
      <c r="GW200" s="801"/>
      <c r="GX200" s="801"/>
      <c r="GY200" s="801"/>
      <c r="GZ200" s="802"/>
      <c r="HA200" s="800"/>
      <c r="HB200" s="801"/>
      <c r="HC200" s="801"/>
      <c r="HD200" s="801"/>
      <c r="HE200" s="801"/>
      <c r="HF200" s="801"/>
      <c r="HG200" s="801"/>
      <c r="HH200" s="801"/>
      <c r="HI200" s="801"/>
      <c r="HJ200" s="801"/>
      <c r="HK200" s="801"/>
      <c r="HL200" s="801"/>
      <c r="HM200" s="801"/>
      <c r="HN200" s="801"/>
      <c r="HO200" s="801"/>
      <c r="HP200" s="801"/>
      <c r="HQ200" s="801"/>
      <c r="HR200" s="801"/>
      <c r="HS200" s="801"/>
      <c r="HT200" s="801"/>
      <c r="HU200" s="801"/>
      <c r="HV200" s="801"/>
      <c r="HW200" s="801"/>
      <c r="HX200" s="801"/>
      <c r="HY200" s="801"/>
      <c r="HZ200" s="802"/>
      <c r="IA200" s="800"/>
      <c r="IB200" s="801"/>
      <c r="IC200" s="801"/>
      <c r="ID200" s="801"/>
      <c r="IE200" s="801"/>
      <c r="IF200" s="801"/>
      <c r="IG200" s="801"/>
      <c r="IH200" s="801"/>
      <c r="II200" s="801"/>
      <c r="IJ200" s="801"/>
      <c r="IK200" s="801"/>
      <c r="IL200" s="801"/>
      <c r="IM200" s="801"/>
      <c r="IN200" s="801"/>
      <c r="IO200" s="801"/>
      <c r="IP200" s="801"/>
      <c r="IQ200" s="801"/>
      <c r="IR200" s="801"/>
      <c r="IS200" s="801"/>
      <c r="IT200" s="801"/>
      <c r="IU200" s="801"/>
      <c r="IV200" s="801"/>
      <c r="IW200" s="801"/>
      <c r="IX200" s="801"/>
      <c r="IY200" s="801"/>
      <c r="IZ200" s="802"/>
    </row>
    <row r="201" spans="1:260" x14ac:dyDescent="0.25">
      <c r="A201" s="800"/>
      <c r="B201" s="801"/>
      <c r="C201" s="801"/>
      <c r="D201" s="801"/>
      <c r="E201" s="801"/>
      <c r="F201" s="801"/>
      <c r="G201" s="801"/>
      <c r="H201" s="801"/>
      <c r="I201" s="801"/>
      <c r="J201" s="801"/>
      <c r="K201" s="801"/>
      <c r="L201" s="801"/>
      <c r="M201" s="801"/>
      <c r="N201" s="801"/>
      <c r="O201" s="801"/>
      <c r="P201" s="801"/>
      <c r="Q201" s="801"/>
      <c r="R201" s="801"/>
      <c r="S201" s="801"/>
      <c r="T201" s="801"/>
      <c r="U201" s="801"/>
      <c r="V201" s="801"/>
      <c r="W201" s="801"/>
      <c r="X201" s="801"/>
      <c r="Y201" s="801"/>
      <c r="Z201" s="802"/>
      <c r="AA201" s="800"/>
      <c r="AB201" s="801"/>
      <c r="AC201" s="801"/>
      <c r="AD201" s="801"/>
      <c r="AE201" s="801"/>
      <c r="AF201" s="801"/>
      <c r="AG201" s="801"/>
      <c r="AH201" s="801"/>
      <c r="AI201" s="801"/>
      <c r="AJ201" s="801"/>
      <c r="AK201" s="801"/>
      <c r="AL201" s="801"/>
      <c r="AM201" s="801"/>
      <c r="AN201" s="801"/>
      <c r="AO201" s="801"/>
      <c r="AP201" s="801"/>
      <c r="AQ201" s="801"/>
      <c r="AR201" s="801"/>
      <c r="AS201" s="801"/>
      <c r="AT201" s="801"/>
      <c r="AU201" s="801"/>
      <c r="AV201" s="801"/>
      <c r="AW201" s="801"/>
      <c r="AX201" s="801"/>
      <c r="AY201" s="801"/>
      <c r="AZ201" s="802"/>
      <c r="BA201" s="800"/>
      <c r="BB201" s="801"/>
      <c r="BC201" s="801"/>
      <c r="BD201" s="801"/>
      <c r="BE201" s="801"/>
      <c r="BF201" s="801"/>
      <c r="BG201" s="801"/>
      <c r="BH201" s="801"/>
      <c r="BI201" s="801"/>
      <c r="BJ201" s="801"/>
      <c r="BK201" s="801"/>
      <c r="BL201" s="801"/>
      <c r="BM201" s="801"/>
      <c r="BN201" s="801"/>
      <c r="BO201" s="801"/>
      <c r="BP201" s="801"/>
      <c r="BQ201" s="801"/>
      <c r="BR201" s="801"/>
      <c r="BS201" s="801"/>
      <c r="BT201" s="801"/>
      <c r="BU201" s="801"/>
      <c r="BV201" s="801"/>
      <c r="BW201" s="801"/>
      <c r="BX201" s="801"/>
      <c r="BY201" s="801"/>
      <c r="BZ201" s="802"/>
      <c r="CA201" s="800"/>
      <c r="CB201" s="801"/>
      <c r="CC201" s="801"/>
      <c r="CD201" s="801"/>
      <c r="CE201" s="801"/>
      <c r="CF201" s="801"/>
      <c r="CG201" s="801"/>
      <c r="CH201" s="801"/>
      <c r="CI201" s="801"/>
      <c r="CJ201" s="801"/>
      <c r="CK201" s="801"/>
      <c r="CL201" s="801"/>
      <c r="CM201" s="801"/>
      <c r="CN201" s="801"/>
      <c r="CO201" s="801"/>
      <c r="CP201" s="801"/>
      <c r="CQ201" s="801"/>
      <c r="CR201" s="801"/>
      <c r="CS201" s="801"/>
      <c r="CT201" s="801"/>
      <c r="CU201" s="801"/>
      <c r="CV201" s="801"/>
      <c r="CW201" s="801"/>
      <c r="CX201" s="801"/>
      <c r="CY201" s="801"/>
      <c r="CZ201" s="802"/>
      <c r="DA201" s="800"/>
      <c r="DB201" s="801"/>
      <c r="DC201" s="801"/>
      <c r="DD201" s="801"/>
      <c r="DE201" s="801"/>
      <c r="DF201" s="801"/>
      <c r="DG201" s="801"/>
      <c r="DH201" s="801"/>
      <c r="DI201" s="801"/>
      <c r="DJ201" s="801"/>
      <c r="DK201" s="801"/>
      <c r="DL201" s="801"/>
      <c r="DM201" s="801"/>
      <c r="DN201" s="801"/>
      <c r="DO201" s="801"/>
      <c r="DP201" s="801"/>
      <c r="DQ201" s="801"/>
      <c r="DR201" s="801"/>
      <c r="DS201" s="801"/>
      <c r="DT201" s="801"/>
      <c r="DU201" s="801"/>
      <c r="DV201" s="801"/>
      <c r="DW201" s="801"/>
      <c r="DX201" s="801"/>
      <c r="DY201" s="801"/>
      <c r="DZ201" s="802"/>
      <c r="EA201" s="800"/>
      <c r="EB201" s="801"/>
      <c r="EC201" s="801"/>
      <c r="ED201" s="801"/>
      <c r="EE201" s="801"/>
      <c r="EF201" s="801"/>
      <c r="EG201" s="801"/>
      <c r="EH201" s="801"/>
      <c r="EI201" s="801"/>
      <c r="EJ201" s="801"/>
      <c r="EK201" s="801"/>
      <c r="EL201" s="801"/>
      <c r="EM201" s="801"/>
      <c r="EN201" s="801"/>
      <c r="EO201" s="801"/>
      <c r="EP201" s="801"/>
      <c r="EQ201" s="801"/>
      <c r="ER201" s="801"/>
      <c r="ES201" s="801"/>
      <c r="ET201" s="801"/>
      <c r="EU201" s="801"/>
      <c r="EV201" s="801"/>
      <c r="EW201" s="801"/>
      <c r="EX201" s="801"/>
      <c r="EY201" s="801"/>
      <c r="EZ201" s="802"/>
      <c r="FA201" s="800"/>
      <c r="FB201" s="801"/>
      <c r="FC201" s="801"/>
      <c r="FD201" s="801"/>
      <c r="FE201" s="801"/>
      <c r="FF201" s="801"/>
      <c r="FG201" s="801"/>
      <c r="FH201" s="801"/>
      <c r="FI201" s="801"/>
      <c r="FJ201" s="801"/>
      <c r="FK201" s="801"/>
      <c r="FL201" s="801"/>
      <c r="FM201" s="801"/>
      <c r="FN201" s="801"/>
      <c r="FO201" s="801"/>
      <c r="FP201" s="801"/>
      <c r="FQ201" s="801"/>
      <c r="FR201" s="801"/>
      <c r="FS201" s="801"/>
      <c r="FT201" s="801"/>
      <c r="FU201" s="801"/>
      <c r="FV201" s="801"/>
      <c r="FW201" s="801"/>
      <c r="FX201" s="801"/>
      <c r="FY201" s="801"/>
      <c r="FZ201" s="802"/>
      <c r="GA201" s="800"/>
      <c r="GB201" s="801"/>
      <c r="GC201" s="801"/>
      <c r="GD201" s="801"/>
      <c r="GE201" s="801"/>
      <c r="GF201" s="801"/>
      <c r="GG201" s="801"/>
      <c r="GH201" s="801"/>
      <c r="GI201" s="801"/>
      <c r="GJ201" s="801"/>
      <c r="GK201" s="801"/>
      <c r="GL201" s="801"/>
      <c r="GM201" s="801"/>
      <c r="GN201" s="801"/>
      <c r="GO201" s="801"/>
      <c r="GP201" s="801"/>
      <c r="GQ201" s="801"/>
      <c r="GR201" s="801"/>
      <c r="GS201" s="801"/>
      <c r="GT201" s="801"/>
      <c r="GU201" s="801"/>
      <c r="GV201" s="801"/>
      <c r="GW201" s="801"/>
      <c r="GX201" s="801"/>
      <c r="GY201" s="801"/>
      <c r="GZ201" s="802"/>
      <c r="HA201" s="800"/>
      <c r="HB201" s="801"/>
      <c r="HC201" s="801"/>
      <c r="HD201" s="801"/>
      <c r="HE201" s="801"/>
      <c r="HF201" s="801"/>
      <c r="HG201" s="801"/>
      <c r="HH201" s="801"/>
      <c r="HI201" s="801"/>
      <c r="HJ201" s="801"/>
      <c r="HK201" s="801"/>
      <c r="HL201" s="801"/>
      <c r="HM201" s="801"/>
      <c r="HN201" s="801"/>
      <c r="HO201" s="801"/>
      <c r="HP201" s="801"/>
      <c r="HQ201" s="801"/>
      <c r="HR201" s="801"/>
      <c r="HS201" s="801"/>
      <c r="HT201" s="801"/>
      <c r="HU201" s="801"/>
      <c r="HV201" s="801"/>
      <c r="HW201" s="801"/>
      <c r="HX201" s="801"/>
      <c r="HY201" s="801"/>
      <c r="HZ201" s="802"/>
      <c r="IA201" s="800"/>
      <c r="IB201" s="801"/>
      <c r="IC201" s="801"/>
      <c r="ID201" s="801"/>
      <c r="IE201" s="801"/>
      <c r="IF201" s="801"/>
      <c r="IG201" s="801"/>
      <c r="IH201" s="801"/>
      <c r="II201" s="801"/>
      <c r="IJ201" s="801"/>
      <c r="IK201" s="801"/>
      <c r="IL201" s="801"/>
      <c r="IM201" s="801"/>
      <c r="IN201" s="801"/>
      <c r="IO201" s="801"/>
      <c r="IP201" s="801"/>
      <c r="IQ201" s="801"/>
      <c r="IR201" s="801"/>
      <c r="IS201" s="801"/>
      <c r="IT201" s="801"/>
      <c r="IU201" s="801"/>
      <c r="IV201" s="801"/>
      <c r="IW201" s="801"/>
      <c r="IX201" s="801"/>
      <c r="IY201" s="801"/>
      <c r="IZ201" s="802"/>
    </row>
    <row r="202" spans="1:260" x14ac:dyDescent="0.25">
      <c r="A202" s="800" t="str">
        <f>IFERROR(IF(Z185&gt;A185-1,IF(INDEX(Pedidos!J:AZ,Y185+A185-1,31)&lt;&gt;"","Nombres :     "&amp; INDEX(Pedidos!J:AZ,Y185+A185-1,31),""),""),"")</f>
        <v/>
      </c>
      <c r="B202" s="801"/>
      <c r="C202" s="801"/>
      <c r="D202" s="801"/>
      <c r="E202" s="801"/>
      <c r="F202" s="801"/>
      <c r="G202" s="801"/>
      <c r="H202" s="801"/>
      <c r="I202" s="801"/>
      <c r="J202" s="801"/>
      <c r="K202" s="801"/>
      <c r="L202" s="801"/>
      <c r="M202" s="801"/>
      <c r="N202" s="801"/>
      <c r="O202" s="801"/>
      <c r="P202" s="801"/>
      <c r="Q202" s="801"/>
      <c r="R202" s="801"/>
      <c r="S202" s="801"/>
      <c r="T202" s="801"/>
      <c r="U202" s="801"/>
      <c r="V202" s="801"/>
      <c r="W202" s="801"/>
      <c r="X202" s="801"/>
      <c r="Y202" s="801"/>
      <c r="Z202" s="802"/>
      <c r="AA202" s="800" t="str">
        <f>IFERROR(IF(AZ185&gt;AA185-1,IF(INDEX(Pedidos!AJ:BZ,AY185+AA185-1,31)&lt;&gt;"","Nombres :     "&amp; INDEX(Pedidos!AJ:BZ,AY185+AA185-1,31),""),""),"")</f>
        <v/>
      </c>
      <c r="AB202" s="801"/>
      <c r="AC202" s="801"/>
      <c r="AD202" s="801"/>
      <c r="AE202" s="801"/>
      <c r="AF202" s="801"/>
      <c r="AG202" s="801"/>
      <c r="AH202" s="801"/>
      <c r="AI202" s="801"/>
      <c r="AJ202" s="801"/>
      <c r="AK202" s="801"/>
      <c r="AL202" s="801"/>
      <c r="AM202" s="801"/>
      <c r="AN202" s="801"/>
      <c r="AO202" s="801"/>
      <c r="AP202" s="801"/>
      <c r="AQ202" s="801"/>
      <c r="AR202" s="801"/>
      <c r="AS202" s="801"/>
      <c r="AT202" s="801"/>
      <c r="AU202" s="801"/>
      <c r="AV202" s="801"/>
      <c r="AW202" s="801"/>
      <c r="AX202" s="801"/>
      <c r="AY202" s="801"/>
      <c r="AZ202" s="802"/>
      <c r="BA202" s="800" t="str">
        <f>IFERROR(IF(BZ185&gt;BA185-1,IF(INDEX(Pedidos!BJ:CZ,BY185+BA185-1,31)&lt;&gt;"","Nombres :     "&amp; INDEX(Pedidos!BJ:CZ,BY185+BA185-1,31),""),""),"")</f>
        <v/>
      </c>
      <c r="BB202" s="801"/>
      <c r="BC202" s="801"/>
      <c r="BD202" s="801"/>
      <c r="BE202" s="801"/>
      <c r="BF202" s="801"/>
      <c r="BG202" s="801"/>
      <c r="BH202" s="801"/>
      <c r="BI202" s="801"/>
      <c r="BJ202" s="801"/>
      <c r="BK202" s="801"/>
      <c r="BL202" s="801"/>
      <c r="BM202" s="801"/>
      <c r="BN202" s="801"/>
      <c r="BO202" s="801"/>
      <c r="BP202" s="801"/>
      <c r="BQ202" s="801"/>
      <c r="BR202" s="801"/>
      <c r="BS202" s="801"/>
      <c r="BT202" s="801"/>
      <c r="BU202" s="801"/>
      <c r="BV202" s="801"/>
      <c r="BW202" s="801"/>
      <c r="BX202" s="801"/>
      <c r="BY202" s="801"/>
      <c r="BZ202" s="802"/>
      <c r="CA202" s="800" t="str">
        <f>IFERROR(IF(CZ185&gt;CA185-1,IF(INDEX(Pedidos!CJ:DZ,CY185+CA185-1,31)&lt;&gt;"","Nombres :     "&amp; INDEX(Pedidos!CJ:DZ,CY185+CA185-1,31),""),""),"")</f>
        <v/>
      </c>
      <c r="CB202" s="801"/>
      <c r="CC202" s="801"/>
      <c r="CD202" s="801"/>
      <c r="CE202" s="801"/>
      <c r="CF202" s="801"/>
      <c r="CG202" s="801"/>
      <c r="CH202" s="801"/>
      <c r="CI202" s="801"/>
      <c r="CJ202" s="801"/>
      <c r="CK202" s="801"/>
      <c r="CL202" s="801"/>
      <c r="CM202" s="801"/>
      <c r="CN202" s="801"/>
      <c r="CO202" s="801"/>
      <c r="CP202" s="801"/>
      <c r="CQ202" s="801"/>
      <c r="CR202" s="801"/>
      <c r="CS202" s="801"/>
      <c r="CT202" s="801"/>
      <c r="CU202" s="801"/>
      <c r="CV202" s="801"/>
      <c r="CW202" s="801"/>
      <c r="CX202" s="801"/>
      <c r="CY202" s="801"/>
      <c r="CZ202" s="802"/>
      <c r="DA202" s="800" t="str">
        <f>IFERROR(IF(DZ185&gt;DA185-1,IF(INDEX(Pedidos!DJ:EZ,DY185+DA185-1,31)&lt;&gt;"","Nombres :     "&amp; INDEX(Pedidos!DJ:EZ,DY185+DA185-1,31),""),""),"")</f>
        <v/>
      </c>
      <c r="DB202" s="801"/>
      <c r="DC202" s="801"/>
      <c r="DD202" s="801"/>
      <c r="DE202" s="801"/>
      <c r="DF202" s="801"/>
      <c r="DG202" s="801"/>
      <c r="DH202" s="801"/>
      <c r="DI202" s="801"/>
      <c r="DJ202" s="801"/>
      <c r="DK202" s="801"/>
      <c r="DL202" s="801"/>
      <c r="DM202" s="801"/>
      <c r="DN202" s="801"/>
      <c r="DO202" s="801"/>
      <c r="DP202" s="801"/>
      <c r="DQ202" s="801"/>
      <c r="DR202" s="801"/>
      <c r="DS202" s="801"/>
      <c r="DT202" s="801"/>
      <c r="DU202" s="801"/>
      <c r="DV202" s="801"/>
      <c r="DW202" s="801"/>
      <c r="DX202" s="801"/>
      <c r="DY202" s="801"/>
      <c r="DZ202" s="802"/>
      <c r="EA202" s="800" t="str">
        <f>IFERROR(IF(EZ185&gt;EA185-1,IF(INDEX(Pedidos!EJ:FZ,EY185+EA185-1,31)&lt;&gt;"","Nombres :     "&amp; INDEX(Pedidos!EJ:FZ,EY185+EA185-1,31),""),""),"")</f>
        <v/>
      </c>
      <c r="EB202" s="801"/>
      <c r="EC202" s="801"/>
      <c r="ED202" s="801"/>
      <c r="EE202" s="801"/>
      <c r="EF202" s="801"/>
      <c r="EG202" s="801"/>
      <c r="EH202" s="801"/>
      <c r="EI202" s="801"/>
      <c r="EJ202" s="801"/>
      <c r="EK202" s="801"/>
      <c r="EL202" s="801"/>
      <c r="EM202" s="801"/>
      <c r="EN202" s="801"/>
      <c r="EO202" s="801"/>
      <c r="EP202" s="801"/>
      <c r="EQ202" s="801"/>
      <c r="ER202" s="801"/>
      <c r="ES202" s="801"/>
      <c r="ET202" s="801"/>
      <c r="EU202" s="801"/>
      <c r="EV202" s="801"/>
      <c r="EW202" s="801"/>
      <c r="EX202" s="801"/>
      <c r="EY202" s="801"/>
      <c r="EZ202" s="802"/>
      <c r="FA202" s="800" t="str">
        <f>IFERROR(IF(FZ185&gt;FA185-1,IF(INDEX(Pedidos!FJ:GZ,FY185+FA185-1,31)&lt;&gt;"","Nombres :     "&amp; INDEX(Pedidos!FJ:GZ,FY185+FA185-1,31),""),""),"")</f>
        <v/>
      </c>
      <c r="FB202" s="801"/>
      <c r="FC202" s="801"/>
      <c r="FD202" s="801"/>
      <c r="FE202" s="801"/>
      <c r="FF202" s="801"/>
      <c r="FG202" s="801"/>
      <c r="FH202" s="801"/>
      <c r="FI202" s="801"/>
      <c r="FJ202" s="801"/>
      <c r="FK202" s="801"/>
      <c r="FL202" s="801"/>
      <c r="FM202" s="801"/>
      <c r="FN202" s="801"/>
      <c r="FO202" s="801"/>
      <c r="FP202" s="801"/>
      <c r="FQ202" s="801"/>
      <c r="FR202" s="801"/>
      <c r="FS202" s="801"/>
      <c r="FT202" s="801"/>
      <c r="FU202" s="801"/>
      <c r="FV202" s="801"/>
      <c r="FW202" s="801"/>
      <c r="FX202" s="801"/>
      <c r="FY202" s="801"/>
      <c r="FZ202" s="802"/>
      <c r="GA202" s="800" t="str">
        <f>IFERROR(IF(GZ185&gt;GA185-1,IF(INDEX(Pedidos!GJ:HZ,GY185+GA185-1,31)&lt;&gt;"","Nombres :     "&amp; INDEX(Pedidos!GJ:HZ,GY185+GA185-1,31),""),""),"")</f>
        <v/>
      </c>
      <c r="GB202" s="801"/>
      <c r="GC202" s="801"/>
      <c r="GD202" s="801"/>
      <c r="GE202" s="801"/>
      <c r="GF202" s="801"/>
      <c r="GG202" s="801"/>
      <c r="GH202" s="801"/>
      <c r="GI202" s="801"/>
      <c r="GJ202" s="801"/>
      <c r="GK202" s="801"/>
      <c r="GL202" s="801"/>
      <c r="GM202" s="801"/>
      <c r="GN202" s="801"/>
      <c r="GO202" s="801"/>
      <c r="GP202" s="801"/>
      <c r="GQ202" s="801"/>
      <c r="GR202" s="801"/>
      <c r="GS202" s="801"/>
      <c r="GT202" s="801"/>
      <c r="GU202" s="801"/>
      <c r="GV202" s="801"/>
      <c r="GW202" s="801"/>
      <c r="GX202" s="801"/>
      <c r="GY202" s="801"/>
      <c r="GZ202" s="802"/>
      <c r="HA202" s="800" t="str">
        <f>IFERROR(IF(HZ185&gt;HA185-1,IF(INDEX(Pedidos!HJ:IZ,HY185+HA185-1,31)&lt;&gt;"","Nombres :     "&amp; INDEX(Pedidos!HJ:IZ,HY185+HA185-1,31),""),""),"")</f>
        <v/>
      </c>
      <c r="HB202" s="801"/>
      <c r="HC202" s="801"/>
      <c r="HD202" s="801"/>
      <c r="HE202" s="801"/>
      <c r="HF202" s="801"/>
      <c r="HG202" s="801"/>
      <c r="HH202" s="801"/>
      <c r="HI202" s="801"/>
      <c r="HJ202" s="801"/>
      <c r="HK202" s="801"/>
      <c r="HL202" s="801"/>
      <c r="HM202" s="801"/>
      <c r="HN202" s="801"/>
      <c r="HO202" s="801"/>
      <c r="HP202" s="801"/>
      <c r="HQ202" s="801"/>
      <c r="HR202" s="801"/>
      <c r="HS202" s="801"/>
      <c r="HT202" s="801"/>
      <c r="HU202" s="801"/>
      <c r="HV202" s="801"/>
      <c r="HW202" s="801"/>
      <c r="HX202" s="801"/>
      <c r="HY202" s="801"/>
      <c r="HZ202" s="802"/>
      <c r="IA202" s="800" t="str">
        <f>IFERROR(IF(IZ185&gt;IA185-1,IF(INDEX(Pedidos!IJ:JZ,IY185+IA185-1,31)&lt;&gt;"","Nombres :     "&amp; INDEX(Pedidos!IJ:JZ,IY185+IA185-1,31),""),""),"")</f>
        <v/>
      </c>
      <c r="IB202" s="801"/>
      <c r="IC202" s="801"/>
      <c r="ID202" s="801"/>
      <c r="IE202" s="801"/>
      <c r="IF202" s="801"/>
      <c r="IG202" s="801"/>
      <c r="IH202" s="801"/>
      <c r="II202" s="801"/>
      <c r="IJ202" s="801"/>
      <c r="IK202" s="801"/>
      <c r="IL202" s="801"/>
      <c r="IM202" s="801"/>
      <c r="IN202" s="801"/>
      <c r="IO202" s="801"/>
      <c r="IP202" s="801"/>
      <c r="IQ202" s="801"/>
      <c r="IR202" s="801"/>
      <c r="IS202" s="801"/>
      <c r="IT202" s="801"/>
      <c r="IU202" s="801"/>
      <c r="IV202" s="801"/>
      <c r="IW202" s="801"/>
      <c r="IX202" s="801"/>
      <c r="IY202" s="801"/>
      <c r="IZ202" s="802"/>
    </row>
    <row r="203" spans="1:260" x14ac:dyDescent="0.25">
      <c r="A203" s="820" t="str">
        <f>IFERROR(IF(Z185&gt;A185-1,IF(INDEX(Pedidos!J:AZ,Y185+A185-1,32)&lt;&gt;"","Localización de los Nombres :     "&amp; INDEX(Pedidos!J:AZ,Y185+A185-1,32),""),""),"")</f>
        <v/>
      </c>
      <c r="B203" s="821"/>
      <c r="C203" s="821"/>
      <c r="D203" s="821"/>
      <c r="E203" s="821"/>
      <c r="F203" s="821"/>
      <c r="G203" s="821"/>
      <c r="H203" s="821"/>
      <c r="I203" s="821"/>
      <c r="J203" s="821"/>
      <c r="K203" s="821"/>
      <c r="L203" s="821"/>
      <c r="M203" s="821"/>
      <c r="N203" s="821"/>
      <c r="O203" s="821"/>
      <c r="P203" s="821"/>
      <c r="Q203" s="821"/>
      <c r="R203" s="821"/>
      <c r="S203" s="821"/>
      <c r="T203" s="821"/>
      <c r="U203" s="821"/>
      <c r="V203" s="821"/>
      <c r="W203" s="821"/>
      <c r="X203" s="821"/>
      <c r="Y203" s="821"/>
      <c r="Z203" s="822"/>
      <c r="AA203" s="820" t="str">
        <f>IFERROR(IF(AZ185&gt;AA185-1,IF(INDEX(Pedidos!AJ:BZ,AY185+AA185-1,32)&lt;&gt;"","Localización de los Nombres :     "&amp; INDEX(Pedidos!AJ:BZ,AY185+AA185-1,32),""),""),"")</f>
        <v/>
      </c>
      <c r="AB203" s="821"/>
      <c r="AC203" s="821"/>
      <c r="AD203" s="821"/>
      <c r="AE203" s="821"/>
      <c r="AF203" s="821"/>
      <c r="AG203" s="821"/>
      <c r="AH203" s="821"/>
      <c r="AI203" s="821"/>
      <c r="AJ203" s="821"/>
      <c r="AK203" s="821"/>
      <c r="AL203" s="821"/>
      <c r="AM203" s="821"/>
      <c r="AN203" s="821"/>
      <c r="AO203" s="821"/>
      <c r="AP203" s="821"/>
      <c r="AQ203" s="821"/>
      <c r="AR203" s="821"/>
      <c r="AS203" s="821"/>
      <c r="AT203" s="821"/>
      <c r="AU203" s="821"/>
      <c r="AV203" s="821"/>
      <c r="AW203" s="821"/>
      <c r="AX203" s="821"/>
      <c r="AY203" s="821"/>
      <c r="AZ203" s="822"/>
      <c r="BA203" s="820" t="str">
        <f>IFERROR(IF(BZ185&gt;BA185-1,IF(INDEX(Pedidos!BJ:CZ,BY185+BA185-1,32)&lt;&gt;"","Localización de los Nombres :     "&amp; INDEX(Pedidos!BJ:CZ,BY185+BA185-1,32),""),""),"")</f>
        <v/>
      </c>
      <c r="BB203" s="821"/>
      <c r="BC203" s="821"/>
      <c r="BD203" s="821"/>
      <c r="BE203" s="821"/>
      <c r="BF203" s="821"/>
      <c r="BG203" s="821"/>
      <c r="BH203" s="821"/>
      <c r="BI203" s="821"/>
      <c r="BJ203" s="821"/>
      <c r="BK203" s="821"/>
      <c r="BL203" s="821"/>
      <c r="BM203" s="821"/>
      <c r="BN203" s="821"/>
      <c r="BO203" s="821"/>
      <c r="BP203" s="821"/>
      <c r="BQ203" s="821"/>
      <c r="BR203" s="821"/>
      <c r="BS203" s="821"/>
      <c r="BT203" s="821"/>
      <c r="BU203" s="821"/>
      <c r="BV203" s="821"/>
      <c r="BW203" s="821"/>
      <c r="BX203" s="821"/>
      <c r="BY203" s="821"/>
      <c r="BZ203" s="822"/>
      <c r="CA203" s="820" t="str">
        <f>IFERROR(IF(CZ185&gt;CA185-1,IF(INDEX(Pedidos!CJ:DZ,CY185+CA185-1,32)&lt;&gt;"","Localización de los Nombres :     "&amp; INDEX(Pedidos!CJ:DZ,CY185+CA185-1,32),""),""),"")</f>
        <v/>
      </c>
      <c r="CB203" s="821"/>
      <c r="CC203" s="821"/>
      <c r="CD203" s="821"/>
      <c r="CE203" s="821"/>
      <c r="CF203" s="821"/>
      <c r="CG203" s="821"/>
      <c r="CH203" s="821"/>
      <c r="CI203" s="821"/>
      <c r="CJ203" s="821"/>
      <c r="CK203" s="821"/>
      <c r="CL203" s="821"/>
      <c r="CM203" s="821"/>
      <c r="CN203" s="821"/>
      <c r="CO203" s="821"/>
      <c r="CP203" s="821"/>
      <c r="CQ203" s="821"/>
      <c r="CR203" s="821"/>
      <c r="CS203" s="821"/>
      <c r="CT203" s="821"/>
      <c r="CU203" s="821"/>
      <c r="CV203" s="821"/>
      <c r="CW203" s="821"/>
      <c r="CX203" s="821"/>
      <c r="CY203" s="821"/>
      <c r="CZ203" s="822"/>
      <c r="DA203" s="820" t="str">
        <f>IFERROR(IF(DZ185&gt;DA185-1,IF(INDEX(Pedidos!DJ:EZ,DY185+DA185-1,32)&lt;&gt;"","Localización de los Nombres :     "&amp; INDEX(Pedidos!DJ:EZ,DY185+DA185-1,32),""),""),"")</f>
        <v/>
      </c>
      <c r="DB203" s="821"/>
      <c r="DC203" s="821"/>
      <c r="DD203" s="821"/>
      <c r="DE203" s="821"/>
      <c r="DF203" s="821"/>
      <c r="DG203" s="821"/>
      <c r="DH203" s="821"/>
      <c r="DI203" s="821"/>
      <c r="DJ203" s="821"/>
      <c r="DK203" s="821"/>
      <c r="DL203" s="821"/>
      <c r="DM203" s="821"/>
      <c r="DN203" s="821"/>
      <c r="DO203" s="821"/>
      <c r="DP203" s="821"/>
      <c r="DQ203" s="821"/>
      <c r="DR203" s="821"/>
      <c r="DS203" s="821"/>
      <c r="DT203" s="821"/>
      <c r="DU203" s="821"/>
      <c r="DV203" s="821"/>
      <c r="DW203" s="821"/>
      <c r="DX203" s="821"/>
      <c r="DY203" s="821"/>
      <c r="DZ203" s="822"/>
      <c r="EA203" s="820" t="str">
        <f>IFERROR(IF(EZ185&gt;EA185-1,IF(INDEX(Pedidos!EJ:FZ,EY185+EA185-1,32)&lt;&gt;"","Localización de los Nombres :     "&amp; INDEX(Pedidos!EJ:FZ,EY185+EA185-1,32),""),""),"")</f>
        <v/>
      </c>
      <c r="EB203" s="821"/>
      <c r="EC203" s="821"/>
      <c r="ED203" s="821"/>
      <c r="EE203" s="821"/>
      <c r="EF203" s="821"/>
      <c r="EG203" s="821"/>
      <c r="EH203" s="821"/>
      <c r="EI203" s="821"/>
      <c r="EJ203" s="821"/>
      <c r="EK203" s="821"/>
      <c r="EL203" s="821"/>
      <c r="EM203" s="821"/>
      <c r="EN203" s="821"/>
      <c r="EO203" s="821"/>
      <c r="EP203" s="821"/>
      <c r="EQ203" s="821"/>
      <c r="ER203" s="821"/>
      <c r="ES203" s="821"/>
      <c r="ET203" s="821"/>
      <c r="EU203" s="821"/>
      <c r="EV203" s="821"/>
      <c r="EW203" s="821"/>
      <c r="EX203" s="821"/>
      <c r="EY203" s="821"/>
      <c r="EZ203" s="822"/>
      <c r="FA203" s="820" t="str">
        <f>IFERROR(IF(FZ185&gt;FA185-1,IF(INDEX(Pedidos!FJ:GZ,FY185+FA185-1,32)&lt;&gt;"","Localización de los Nombres :     "&amp; INDEX(Pedidos!FJ:GZ,FY185+FA185-1,32),""),""),"")</f>
        <v/>
      </c>
      <c r="FB203" s="821"/>
      <c r="FC203" s="821"/>
      <c r="FD203" s="821"/>
      <c r="FE203" s="821"/>
      <c r="FF203" s="821"/>
      <c r="FG203" s="821"/>
      <c r="FH203" s="821"/>
      <c r="FI203" s="821"/>
      <c r="FJ203" s="821"/>
      <c r="FK203" s="821"/>
      <c r="FL203" s="821"/>
      <c r="FM203" s="821"/>
      <c r="FN203" s="821"/>
      <c r="FO203" s="821"/>
      <c r="FP203" s="821"/>
      <c r="FQ203" s="821"/>
      <c r="FR203" s="821"/>
      <c r="FS203" s="821"/>
      <c r="FT203" s="821"/>
      <c r="FU203" s="821"/>
      <c r="FV203" s="821"/>
      <c r="FW203" s="821"/>
      <c r="FX203" s="821"/>
      <c r="FY203" s="821"/>
      <c r="FZ203" s="822"/>
      <c r="GA203" s="820" t="str">
        <f>IFERROR(IF(GZ185&gt;GA185-1,IF(INDEX(Pedidos!GJ:HZ,GY185+GA185-1,32)&lt;&gt;"","Localización de los Nombres :     "&amp; INDEX(Pedidos!GJ:HZ,GY185+GA185-1,32),""),""),"")</f>
        <v/>
      </c>
      <c r="GB203" s="821"/>
      <c r="GC203" s="821"/>
      <c r="GD203" s="821"/>
      <c r="GE203" s="821"/>
      <c r="GF203" s="821"/>
      <c r="GG203" s="821"/>
      <c r="GH203" s="821"/>
      <c r="GI203" s="821"/>
      <c r="GJ203" s="821"/>
      <c r="GK203" s="821"/>
      <c r="GL203" s="821"/>
      <c r="GM203" s="821"/>
      <c r="GN203" s="821"/>
      <c r="GO203" s="821"/>
      <c r="GP203" s="821"/>
      <c r="GQ203" s="821"/>
      <c r="GR203" s="821"/>
      <c r="GS203" s="821"/>
      <c r="GT203" s="821"/>
      <c r="GU203" s="821"/>
      <c r="GV203" s="821"/>
      <c r="GW203" s="821"/>
      <c r="GX203" s="821"/>
      <c r="GY203" s="821"/>
      <c r="GZ203" s="822"/>
      <c r="HA203" s="820" t="str">
        <f>IFERROR(IF(HZ185&gt;HA185-1,IF(INDEX(Pedidos!HJ:IZ,HY185+HA185-1,32)&lt;&gt;"","Localización de los Nombres :     "&amp; INDEX(Pedidos!HJ:IZ,HY185+HA185-1,32),""),""),"")</f>
        <v/>
      </c>
      <c r="HB203" s="821"/>
      <c r="HC203" s="821"/>
      <c r="HD203" s="821"/>
      <c r="HE203" s="821"/>
      <c r="HF203" s="821"/>
      <c r="HG203" s="821"/>
      <c r="HH203" s="821"/>
      <c r="HI203" s="821"/>
      <c r="HJ203" s="821"/>
      <c r="HK203" s="821"/>
      <c r="HL203" s="821"/>
      <c r="HM203" s="821"/>
      <c r="HN203" s="821"/>
      <c r="HO203" s="821"/>
      <c r="HP203" s="821"/>
      <c r="HQ203" s="821"/>
      <c r="HR203" s="821"/>
      <c r="HS203" s="821"/>
      <c r="HT203" s="821"/>
      <c r="HU203" s="821"/>
      <c r="HV203" s="821"/>
      <c r="HW203" s="821"/>
      <c r="HX203" s="821"/>
      <c r="HY203" s="821"/>
      <c r="HZ203" s="822"/>
      <c r="IA203" s="820" t="str">
        <f>IFERROR(IF(IZ185&gt;IA185-1,IF(INDEX(Pedidos!IJ:JZ,IY185+IA185-1,32)&lt;&gt;"","Localización de los Nombres :     "&amp; INDEX(Pedidos!IJ:JZ,IY185+IA185-1,32),""),""),"")</f>
        <v/>
      </c>
      <c r="IB203" s="821"/>
      <c r="IC203" s="821"/>
      <c r="ID203" s="821"/>
      <c r="IE203" s="821"/>
      <c r="IF203" s="821"/>
      <c r="IG203" s="821"/>
      <c r="IH203" s="821"/>
      <c r="II203" s="821"/>
      <c r="IJ203" s="821"/>
      <c r="IK203" s="821"/>
      <c r="IL203" s="821"/>
      <c r="IM203" s="821"/>
      <c r="IN203" s="821"/>
      <c r="IO203" s="821"/>
      <c r="IP203" s="821"/>
      <c r="IQ203" s="821"/>
      <c r="IR203" s="821"/>
      <c r="IS203" s="821"/>
      <c r="IT203" s="821"/>
      <c r="IU203" s="821"/>
      <c r="IV203" s="821"/>
      <c r="IW203" s="821"/>
      <c r="IX203" s="821"/>
      <c r="IY203" s="821"/>
      <c r="IZ203" s="822"/>
    </row>
    <row r="204" spans="1:260" ht="15" customHeight="1" x14ac:dyDescent="0.25">
      <c r="A204" s="836" t="str">
        <f>IFERROR(IF(Z185&gt;A185-1,IF(INDEX(Pedidos!J:AZ,Y185+A185-1,37)&lt;&gt;"","Otras Instrucciones Especiales :     "&amp; INDEX(Pedidos!J:AZ,Y185+A185-1,37),""),""),"")</f>
        <v/>
      </c>
      <c r="B204" s="837"/>
      <c r="C204" s="837"/>
      <c r="D204" s="837"/>
      <c r="E204" s="837"/>
      <c r="F204" s="837"/>
      <c r="G204" s="837"/>
      <c r="H204" s="837"/>
      <c r="I204" s="837"/>
      <c r="J204" s="837"/>
      <c r="K204" s="837"/>
      <c r="L204" s="837"/>
      <c r="M204" s="837"/>
      <c r="N204" s="837"/>
      <c r="O204" s="837"/>
      <c r="P204" s="837"/>
      <c r="Q204" s="837"/>
      <c r="R204" s="837"/>
      <c r="S204" s="837"/>
      <c r="T204" s="837"/>
      <c r="U204" s="837"/>
      <c r="V204" s="837"/>
      <c r="W204" s="837"/>
      <c r="X204" s="837"/>
      <c r="Y204" s="837"/>
      <c r="Z204" s="838"/>
      <c r="AA204" s="836" t="str">
        <f>IFERROR(IF(AZ185&gt;AA185-1,IF(INDEX(Pedidos!AJ:BZ,AY185+AA185-1,37)&lt;&gt;"","Otras Instrucciones Especiales :     "&amp; INDEX(Pedidos!AJ:BZ,AY185+AA185-1,37),""),""),"")</f>
        <v/>
      </c>
      <c r="AB204" s="837"/>
      <c r="AC204" s="837"/>
      <c r="AD204" s="837"/>
      <c r="AE204" s="837"/>
      <c r="AF204" s="837"/>
      <c r="AG204" s="837"/>
      <c r="AH204" s="837"/>
      <c r="AI204" s="837"/>
      <c r="AJ204" s="837"/>
      <c r="AK204" s="837"/>
      <c r="AL204" s="837"/>
      <c r="AM204" s="837"/>
      <c r="AN204" s="837"/>
      <c r="AO204" s="837"/>
      <c r="AP204" s="837"/>
      <c r="AQ204" s="837"/>
      <c r="AR204" s="837"/>
      <c r="AS204" s="837"/>
      <c r="AT204" s="837"/>
      <c r="AU204" s="837"/>
      <c r="AV204" s="837"/>
      <c r="AW204" s="837"/>
      <c r="AX204" s="837"/>
      <c r="AY204" s="837"/>
      <c r="AZ204" s="838"/>
      <c r="BA204" s="836" t="str">
        <f>IFERROR(IF(BZ185&gt;BA185-1,IF(INDEX(Pedidos!BJ:CZ,BY185+BA185-1,37)&lt;&gt;"","Otras Instrucciones Especiales :     "&amp; INDEX(Pedidos!BJ:CZ,BY185+BA185-1,37),""),""),"")</f>
        <v/>
      </c>
      <c r="BB204" s="837"/>
      <c r="BC204" s="837"/>
      <c r="BD204" s="837"/>
      <c r="BE204" s="837"/>
      <c r="BF204" s="837"/>
      <c r="BG204" s="837"/>
      <c r="BH204" s="837"/>
      <c r="BI204" s="837"/>
      <c r="BJ204" s="837"/>
      <c r="BK204" s="837"/>
      <c r="BL204" s="837"/>
      <c r="BM204" s="837"/>
      <c r="BN204" s="837"/>
      <c r="BO204" s="837"/>
      <c r="BP204" s="837"/>
      <c r="BQ204" s="837"/>
      <c r="BR204" s="837"/>
      <c r="BS204" s="837"/>
      <c r="BT204" s="837"/>
      <c r="BU204" s="837"/>
      <c r="BV204" s="837"/>
      <c r="BW204" s="837"/>
      <c r="BX204" s="837"/>
      <c r="BY204" s="837"/>
      <c r="BZ204" s="838"/>
      <c r="CA204" s="836" t="str">
        <f>IFERROR(IF(CZ185&gt;CA185-1,IF(INDEX(Pedidos!CJ:DZ,CY185+CA185-1,37)&lt;&gt;"","Otras Instrucciones Especiales :     "&amp; INDEX(Pedidos!CJ:DZ,CY185+CA185-1,37),""),""),"")</f>
        <v/>
      </c>
      <c r="CB204" s="837"/>
      <c r="CC204" s="837"/>
      <c r="CD204" s="837"/>
      <c r="CE204" s="837"/>
      <c r="CF204" s="837"/>
      <c r="CG204" s="837"/>
      <c r="CH204" s="837"/>
      <c r="CI204" s="837"/>
      <c r="CJ204" s="837"/>
      <c r="CK204" s="837"/>
      <c r="CL204" s="837"/>
      <c r="CM204" s="837"/>
      <c r="CN204" s="837"/>
      <c r="CO204" s="837"/>
      <c r="CP204" s="837"/>
      <c r="CQ204" s="837"/>
      <c r="CR204" s="837"/>
      <c r="CS204" s="837"/>
      <c r="CT204" s="837"/>
      <c r="CU204" s="837"/>
      <c r="CV204" s="837"/>
      <c r="CW204" s="837"/>
      <c r="CX204" s="837"/>
      <c r="CY204" s="837"/>
      <c r="CZ204" s="838"/>
      <c r="DA204" s="836" t="str">
        <f>IFERROR(IF(DZ185&gt;DA185-1,IF(INDEX(Pedidos!DJ:EZ,DY185+DA185-1,37)&lt;&gt;"","Otras Instrucciones Especiales :     "&amp; INDEX(Pedidos!DJ:EZ,DY185+DA185-1,37),""),""),"")</f>
        <v/>
      </c>
      <c r="DB204" s="837"/>
      <c r="DC204" s="837"/>
      <c r="DD204" s="837"/>
      <c r="DE204" s="837"/>
      <c r="DF204" s="837"/>
      <c r="DG204" s="837"/>
      <c r="DH204" s="837"/>
      <c r="DI204" s="837"/>
      <c r="DJ204" s="837"/>
      <c r="DK204" s="837"/>
      <c r="DL204" s="837"/>
      <c r="DM204" s="837"/>
      <c r="DN204" s="837"/>
      <c r="DO204" s="837"/>
      <c r="DP204" s="837"/>
      <c r="DQ204" s="837"/>
      <c r="DR204" s="837"/>
      <c r="DS204" s="837"/>
      <c r="DT204" s="837"/>
      <c r="DU204" s="837"/>
      <c r="DV204" s="837"/>
      <c r="DW204" s="837"/>
      <c r="DX204" s="837"/>
      <c r="DY204" s="837"/>
      <c r="DZ204" s="838"/>
      <c r="EA204" s="836" t="str">
        <f>IFERROR(IF(EZ185&gt;EA185-1,IF(INDEX(Pedidos!EJ:FZ,EY185+EA185-1,37)&lt;&gt;"","Otras Instrucciones Especiales :     "&amp; INDEX(Pedidos!EJ:FZ,EY185+EA185-1,37),""),""),"")</f>
        <v/>
      </c>
      <c r="EB204" s="837"/>
      <c r="EC204" s="837"/>
      <c r="ED204" s="837"/>
      <c r="EE204" s="837"/>
      <c r="EF204" s="837"/>
      <c r="EG204" s="837"/>
      <c r="EH204" s="837"/>
      <c r="EI204" s="837"/>
      <c r="EJ204" s="837"/>
      <c r="EK204" s="837"/>
      <c r="EL204" s="837"/>
      <c r="EM204" s="837"/>
      <c r="EN204" s="837"/>
      <c r="EO204" s="837"/>
      <c r="EP204" s="837"/>
      <c r="EQ204" s="837"/>
      <c r="ER204" s="837"/>
      <c r="ES204" s="837"/>
      <c r="ET204" s="837"/>
      <c r="EU204" s="837"/>
      <c r="EV204" s="837"/>
      <c r="EW204" s="837"/>
      <c r="EX204" s="837"/>
      <c r="EY204" s="837"/>
      <c r="EZ204" s="838"/>
      <c r="FA204" s="836" t="str">
        <f>IFERROR(IF(FZ185&gt;FA185-1,IF(INDEX(Pedidos!FJ:GZ,FY185+FA185-1,37)&lt;&gt;"","Otras Instrucciones Especiales :     "&amp; INDEX(Pedidos!FJ:GZ,FY185+FA185-1,37),""),""),"")</f>
        <v/>
      </c>
      <c r="FB204" s="837"/>
      <c r="FC204" s="837"/>
      <c r="FD204" s="837"/>
      <c r="FE204" s="837"/>
      <c r="FF204" s="837"/>
      <c r="FG204" s="837"/>
      <c r="FH204" s="837"/>
      <c r="FI204" s="837"/>
      <c r="FJ204" s="837"/>
      <c r="FK204" s="837"/>
      <c r="FL204" s="837"/>
      <c r="FM204" s="837"/>
      <c r="FN204" s="837"/>
      <c r="FO204" s="837"/>
      <c r="FP204" s="837"/>
      <c r="FQ204" s="837"/>
      <c r="FR204" s="837"/>
      <c r="FS204" s="837"/>
      <c r="FT204" s="837"/>
      <c r="FU204" s="837"/>
      <c r="FV204" s="837"/>
      <c r="FW204" s="837"/>
      <c r="FX204" s="837"/>
      <c r="FY204" s="837"/>
      <c r="FZ204" s="838"/>
      <c r="GA204" s="836" t="str">
        <f>IFERROR(IF(GZ185&gt;GA185-1,IF(INDEX(Pedidos!GJ:HZ,GY185+GA185-1,37)&lt;&gt;"","Otras Instrucciones Especiales :     "&amp; INDEX(Pedidos!GJ:HZ,GY185+GA185-1,37),""),""),"")</f>
        <v/>
      </c>
      <c r="GB204" s="837"/>
      <c r="GC204" s="837"/>
      <c r="GD204" s="837"/>
      <c r="GE204" s="837"/>
      <c r="GF204" s="837"/>
      <c r="GG204" s="837"/>
      <c r="GH204" s="837"/>
      <c r="GI204" s="837"/>
      <c r="GJ204" s="837"/>
      <c r="GK204" s="837"/>
      <c r="GL204" s="837"/>
      <c r="GM204" s="837"/>
      <c r="GN204" s="837"/>
      <c r="GO204" s="837"/>
      <c r="GP204" s="837"/>
      <c r="GQ204" s="837"/>
      <c r="GR204" s="837"/>
      <c r="GS204" s="837"/>
      <c r="GT204" s="837"/>
      <c r="GU204" s="837"/>
      <c r="GV204" s="837"/>
      <c r="GW204" s="837"/>
      <c r="GX204" s="837"/>
      <c r="GY204" s="837"/>
      <c r="GZ204" s="838"/>
      <c r="HA204" s="836" t="str">
        <f>IFERROR(IF(HZ185&gt;HA185-1,IF(INDEX(Pedidos!HJ:IZ,HY185+HA185-1,37)&lt;&gt;"","Otras Instrucciones Especiales :     "&amp; INDEX(Pedidos!HJ:IZ,HY185+HA185-1,37),""),""),"")</f>
        <v/>
      </c>
      <c r="HB204" s="837"/>
      <c r="HC204" s="837"/>
      <c r="HD204" s="837"/>
      <c r="HE204" s="837"/>
      <c r="HF204" s="837"/>
      <c r="HG204" s="837"/>
      <c r="HH204" s="837"/>
      <c r="HI204" s="837"/>
      <c r="HJ204" s="837"/>
      <c r="HK204" s="837"/>
      <c r="HL204" s="837"/>
      <c r="HM204" s="837"/>
      <c r="HN204" s="837"/>
      <c r="HO204" s="837"/>
      <c r="HP204" s="837"/>
      <c r="HQ204" s="837"/>
      <c r="HR204" s="837"/>
      <c r="HS204" s="837"/>
      <c r="HT204" s="837"/>
      <c r="HU204" s="837"/>
      <c r="HV204" s="837"/>
      <c r="HW204" s="837"/>
      <c r="HX204" s="837"/>
      <c r="HY204" s="837"/>
      <c r="HZ204" s="838"/>
      <c r="IA204" s="836" t="str">
        <f>IFERROR(IF(IZ185&gt;IA185-1,IF(INDEX(Pedidos!IJ:JZ,IY185+IA185-1,37)&lt;&gt;"","Otras Instrucciones Especiales :     "&amp; INDEX(Pedidos!IJ:JZ,IY185+IA185-1,37),""),""),"")</f>
        <v/>
      </c>
      <c r="IB204" s="837"/>
      <c r="IC204" s="837"/>
      <c r="ID204" s="837"/>
      <c r="IE204" s="837"/>
      <c r="IF204" s="837"/>
      <c r="IG204" s="837"/>
      <c r="IH204" s="837"/>
      <c r="II204" s="837"/>
      <c r="IJ204" s="837"/>
      <c r="IK204" s="837"/>
      <c r="IL204" s="837"/>
      <c r="IM204" s="837"/>
      <c r="IN204" s="837"/>
      <c r="IO204" s="837"/>
      <c r="IP204" s="837"/>
      <c r="IQ204" s="837"/>
      <c r="IR204" s="837"/>
      <c r="IS204" s="837"/>
      <c r="IT204" s="837"/>
      <c r="IU204" s="837"/>
      <c r="IV204" s="837"/>
      <c r="IW204" s="837"/>
      <c r="IX204" s="837"/>
      <c r="IY204" s="837"/>
      <c r="IZ204" s="838"/>
    </row>
    <row r="205" spans="1:260" ht="15.75" thickBot="1" x14ac:dyDescent="0.3">
      <c r="A205" s="839"/>
      <c r="B205" s="840"/>
      <c r="C205" s="840"/>
      <c r="D205" s="840"/>
      <c r="E205" s="840"/>
      <c r="F205" s="840"/>
      <c r="G205" s="840"/>
      <c r="H205" s="840"/>
      <c r="I205" s="840"/>
      <c r="J205" s="840"/>
      <c r="K205" s="840"/>
      <c r="L205" s="840"/>
      <c r="M205" s="840"/>
      <c r="N205" s="840"/>
      <c r="O205" s="840"/>
      <c r="P205" s="840"/>
      <c r="Q205" s="840"/>
      <c r="R205" s="840"/>
      <c r="S205" s="840"/>
      <c r="T205" s="840"/>
      <c r="U205" s="840"/>
      <c r="V205" s="840"/>
      <c r="W205" s="840"/>
      <c r="X205" s="840"/>
      <c r="Y205" s="840"/>
      <c r="Z205" s="841"/>
      <c r="AA205" s="839"/>
      <c r="AB205" s="840"/>
      <c r="AC205" s="840"/>
      <c r="AD205" s="840"/>
      <c r="AE205" s="840"/>
      <c r="AF205" s="840"/>
      <c r="AG205" s="840"/>
      <c r="AH205" s="840"/>
      <c r="AI205" s="840"/>
      <c r="AJ205" s="840"/>
      <c r="AK205" s="840"/>
      <c r="AL205" s="840"/>
      <c r="AM205" s="840"/>
      <c r="AN205" s="840"/>
      <c r="AO205" s="840"/>
      <c r="AP205" s="840"/>
      <c r="AQ205" s="840"/>
      <c r="AR205" s="840"/>
      <c r="AS205" s="840"/>
      <c r="AT205" s="840"/>
      <c r="AU205" s="840"/>
      <c r="AV205" s="840"/>
      <c r="AW205" s="840"/>
      <c r="AX205" s="840"/>
      <c r="AY205" s="840"/>
      <c r="AZ205" s="841"/>
      <c r="BA205" s="839"/>
      <c r="BB205" s="840"/>
      <c r="BC205" s="840"/>
      <c r="BD205" s="840"/>
      <c r="BE205" s="840"/>
      <c r="BF205" s="840"/>
      <c r="BG205" s="840"/>
      <c r="BH205" s="840"/>
      <c r="BI205" s="840"/>
      <c r="BJ205" s="840"/>
      <c r="BK205" s="840"/>
      <c r="BL205" s="840"/>
      <c r="BM205" s="840"/>
      <c r="BN205" s="840"/>
      <c r="BO205" s="840"/>
      <c r="BP205" s="840"/>
      <c r="BQ205" s="840"/>
      <c r="BR205" s="840"/>
      <c r="BS205" s="840"/>
      <c r="BT205" s="840"/>
      <c r="BU205" s="840"/>
      <c r="BV205" s="840"/>
      <c r="BW205" s="840"/>
      <c r="BX205" s="840"/>
      <c r="BY205" s="840"/>
      <c r="BZ205" s="841"/>
      <c r="CA205" s="839"/>
      <c r="CB205" s="840"/>
      <c r="CC205" s="840"/>
      <c r="CD205" s="840"/>
      <c r="CE205" s="840"/>
      <c r="CF205" s="840"/>
      <c r="CG205" s="840"/>
      <c r="CH205" s="840"/>
      <c r="CI205" s="840"/>
      <c r="CJ205" s="840"/>
      <c r="CK205" s="840"/>
      <c r="CL205" s="840"/>
      <c r="CM205" s="840"/>
      <c r="CN205" s="840"/>
      <c r="CO205" s="840"/>
      <c r="CP205" s="840"/>
      <c r="CQ205" s="840"/>
      <c r="CR205" s="840"/>
      <c r="CS205" s="840"/>
      <c r="CT205" s="840"/>
      <c r="CU205" s="840"/>
      <c r="CV205" s="840"/>
      <c r="CW205" s="840"/>
      <c r="CX205" s="840"/>
      <c r="CY205" s="840"/>
      <c r="CZ205" s="841"/>
      <c r="DA205" s="839"/>
      <c r="DB205" s="840"/>
      <c r="DC205" s="840"/>
      <c r="DD205" s="840"/>
      <c r="DE205" s="840"/>
      <c r="DF205" s="840"/>
      <c r="DG205" s="840"/>
      <c r="DH205" s="840"/>
      <c r="DI205" s="840"/>
      <c r="DJ205" s="840"/>
      <c r="DK205" s="840"/>
      <c r="DL205" s="840"/>
      <c r="DM205" s="840"/>
      <c r="DN205" s="840"/>
      <c r="DO205" s="840"/>
      <c r="DP205" s="840"/>
      <c r="DQ205" s="840"/>
      <c r="DR205" s="840"/>
      <c r="DS205" s="840"/>
      <c r="DT205" s="840"/>
      <c r="DU205" s="840"/>
      <c r="DV205" s="840"/>
      <c r="DW205" s="840"/>
      <c r="DX205" s="840"/>
      <c r="DY205" s="840"/>
      <c r="DZ205" s="841"/>
      <c r="EA205" s="839"/>
      <c r="EB205" s="840"/>
      <c r="EC205" s="840"/>
      <c r="ED205" s="840"/>
      <c r="EE205" s="840"/>
      <c r="EF205" s="840"/>
      <c r="EG205" s="840"/>
      <c r="EH205" s="840"/>
      <c r="EI205" s="840"/>
      <c r="EJ205" s="840"/>
      <c r="EK205" s="840"/>
      <c r="EL205" s="840"/>
      <c r="EM205" s="840"/>
      <c r="EN205" s="840"/>
      <c r="EO205" s="840"/>
      <c r="EP205" s="840"/>
      <c r="EQ205" s="840"/>
      <c r="ER205" s="840"/>
      <c r="ES205" s="840"/>
      <c r="ET205" s="840"/>
      <c r="EU205" s="840"/>
      <c r="EV205" s="840"/>
      <c r="EW205" s="840"/>
      <c r="EX205" s="840"/>
      <c r="EY205" s="840"/>
      <c r="EZ205" s="841"/>
      <c r="FA205" s="839"/>
      <c r="FB205" s="840"/>
      <c r="FC205" s="840"/>
      <c r="FD205" s="840"/>
      <c r="FE205" s="840"/>
      <c r="FF205" s="840"/>
      <c r="FG205" s="840"/>
      <c r="FH205" s="840"/>
      <c r="FI205" s="840"/>
      <c r="FJ205" s="840"/>
      <c r="FK205" s="840"/>
      <c r="FL205" s="840"/>
      <c r="FM205" s="840"/>
      <c r="FN205" s="840"/>
      <c r="FO205" s="840"/>
      <c r="FP205" s="840"/>
      <c r="FQ205" s="840"/>
      <c r="FR205" s="840"/>
      <c r="FS205" s="840"/>
      <c r="FT205" s="840"/>
      <c r="FU205" s="840"/>
      <c r="FV205" s="840"/>
      <c r="FW205" s="840"/>
      <c r="FX205" s="840"/>
      <c r="FY205" s="840"/>
      <c r="FZ205" s="841"/>
      <c r="GA205" s="839"/>
      <c r="GB205" s="840"/>
      <c r="GC205" s="840"/>
      <c r="GD205" s="840"/>
      <c r="GE205" s="840"/>
      <c r="GF205" s="840"/>
      <c r="GG205" s="840"/>
      <c r="GH205" s="840"/>
      <c r="GI205" s="840"/>
      <c r="GJ205" s="840"/>
      <c r="GK205" s="840"/>
      <c r="GL205" s="840"/>
      <c r="GM205" s="840"/>
      <c r="GN205" s="840"/>
      <c r="GO205" s="840"/>
      <c r="GP205" s="840"/>
      <c r="GQ205" s="840"/>
      <c r="GR205" s="840"/>
      <c r="GS205" s="840"/>
      <c r="GT205" s="840"/>
      <c r="GU205" s="840"/>
      <c r="GV205" s="840"/>
      <c r="GW205" s="840"/>
      <c r="GX205" s="840"/>
      <c r="GY205" s="840"/>
      <c r="GZ205" s="841"/>
      <c r="HA205" s="839"/>
      <c r="HB205" s="840"/>
      <c r="HC205" s="840"/>
      <c r="HD205" s="840"/>
      <c r="HE205" s="840"/>
      <c r="HF205" s="840"/>
      <c r="HG205" s="840"/>
      <c r="HH205" s="840"/>
      <c r="HI205" s="840"/>
      <c r="HJ205" s="840"/>
      <c r="HK205" s="840"/>
      <c r="HL205" s="840"/>
      <c r="HM205" s="840"/>
      <c r="HN205" s="840"/>
      <c r="HO205" s="840"/>
      <c r="HP205" s="840"/>
      <c r="HQ205" s="840"/>
      <c r="HR205" s="840"/>
      <c r="HS205" s="840"/>
      <c r="HT205" s="840"/>
      <c r="HU205" s="840"/>
      <c r="HV205" s="840"/>
      <c r="HW205" s="840"/>
      <c r="HX205" s="840"/>
      <c r="HY205" s="840"/>
      <c r="HZ205" s="841"/>
      <c r="IA205" s="839"/>
      <c r="IB205" s="840"/>
      <c r="IC205" s="840"/>
      <c r="ID205" s="840"/>
      <c r="IE205" s="840"/>
      <c r="IF205" s="840"/>
      <c r="IG205" s="840"/>
      <c r="IH205" s="840"/>
      <c r="II205" s="840"/>
      <c r="IJ205" s="840"/>
      <c r="IK205" s="840"/>
      <c r="IL205" s="840"/>
      <c r="IM205" s="840"/>
      <c r="IN205" s="840"/>
      <c r="IO205" s="840"/>
      <c r="IP205" s="840"/>
      <c r="IQ205" s="840"/>
      <c r="IR205" s="840"/>
      <c r="IS205" s="840"/>
      <c r="IT205" s="840"/>
      <c r="IU205" s="840"/>
      <c r="IV205" s="840"/>
      <c r="IW205" s="840"/>
      <c r="IX205" s="840"/>
      <c r="IY205" s="840"/>
      <c r="IZ205" s="841"/>
    </row>
    <row r="206" spans="1:260" x14ac:dyDescent="0.25">
      <c r="AA206" s="518"/>
      <c r="AB206" s="518"/>
      <c r="AC206" s="518"/>
      <c r="AD206" s="518"/>
      <c r="AE206" s="518"/>
      <c r="AF206" s="518"/>
      <c r="AG206" s="518"/>
      <c r="AH206" s="518"/>
      <c r="AI206" s="518"/>
      <c r="AJ206" s="518"/>
      <c r="AK206" s="518"/>
      <c r="AL206" s="518"/>
      <c r="AM206" s="518"/>
      <c r="AN206" s="518"/>
      <c r="AO206" s="518"/>
      <c r="AP206" s="518"/>
      <c r="AQ206" s="518"/>
      <c r="AR206" s="518"/>
      <c r="AS206" s="518"/>
      <c r="AT206" s="518"/>
      <c r="AU206" s="518"/>
      <c r="AV206" s="518"/>
      <c r="AW206" s="518"/>
    </row>
    <row r="207" spans="1:260" ht="15.75" thickBot="1" x14ac:dyDescent="0.3">
      <c r="A207" s="529">
        <v>10</v>
      </c>
      <c r="B207" s="529"/>
      <c r="C207" s="529"/>
      <c r="D207" s="529"/>
      <c r="E207" s="529"/>
      <c r="F207" s="529"/>
      <c r="G207" s="529"/>
      <c r="H207" s="529"/>
      <c r="I207" s="529"/>
      <c r="J207" s="529">
        <v>18</v>
      </c>
      <c r="K207" s="529">
        <v>19</v>
      </c>
      <c r="L207" s="529">
        <v>20</v>
      </c>
      <c r="M207" s="529">
        <v>21</v>
      </c>
      <c r="N207" s="529">
        <v>22</v>
      </c>
      <c r="O207" s="529">
        <v>23</v>
      </c>
      <c r="P207" s="529">
        <v>24</v>
      </c>
      <c r="Q207" s="529">
        <v>25</v>
      </c>
      <c r="R207" s="529">
        <v>26</v>
      </c>
      <c r="S207" s="529">
        <v>27</v>
      </c>
      <c r="T207" s="529">
        <v>28</v>
      </c>
      <c r="U207" s="529">
        <v>29</v>
      </c>
      <c r="V207" s="529">
        <v>30</v>
      </c>
      <c r="W207" s="529"/>
      <c r="X207" s="529"/>
      <c r="Y207" s="529" t="str">
        <f>IFERROR(IF(COUNTIF(Pedidos!$J:$J,Q$2)&gt;A207-1,MATCH(Q$2,Pedidos!$J:$J,0),""),"")</f>
        <v/>
      </c>
      <c r="Z207" s="529">
        <f>IFERROR(IF(Y207="",0,COUNTIF(Pedidos!$J:$J,Procesos!Q$2)),"")</f>
        <v>0</v>
      </c>
      <c r="AA207" s="529">
        <v>10</v>
      </c>
      <c r="AB207" s="529"/>
      <c r="AC207" s="529"/>
      <c r="AD207" s="529"/>
      <c r="AE207" s="529"/>
      <c r="AF207" s="529"/>
      <c r="AG207" s="529"/>
      <c r="AH207" s="529"/>
      <c r="AI207" s="529"/>
      <c r="AJ207" s="529">
        <v>18</v>
      </c>
      <c r="AK207" s="529">
        <v>19</v>
      </c>
      <c r="AL207" s="529">
        <v>20</v>
      </c>
      <c r="AM207" s="529">
        <v>21</v>
      </c>
      <c r="AN207" s="529">
        <v>22</v>
      </c>
      <c r="AO207" s="529">
        <v>23</v>
      </c>
      <c r="AP207" s="529">
        <v>24</v>
      </c>
      <c r="AQ207" s="529">
        <v>25</v>
      </c>
      <c r="AR207" s="529">
        <v>26</v>
      </c>
      <c r="AS207" s="529">
        <v>27</v>
      </c>
      <c r="AT207" s="529">
        <v>28</v>
      </c>
      <c r="AU207" s="529">
        <v>29</v>
      </c>
      <c r="AV207" s="529">
        <v>30</v>
      </c>
      <c r="AW207" s="529"/>
      <c r="AX207" s="529"/>
      <c r="AY207" s="529" t="str">
        <f>IFERROR(IF(COUNTIF(Pedidos!$J:$J,AQ$2)&gt;AA207-1,MATCH(AQ$2,Pedidos!$J:$J,0),""),"")</f>
        <v/>
      </c>
      <c r="AZ207" s="529">
        <f>IFERROR(IF(AY207="",0,COUNTIF(Pedidos!$J:$J,Procesos!AQ$2)),"")</f>
        <v>0</v>
      </c>
      <c r="BA207" s="529">
        <v>10</v>
      </c>
      <c r="BB207" s="529"/>
      <c r="BC207" s="529"/>
      <c r="BD207" s="529"/>
      <c r="BE207" s="529"/>
      <c r="BF207" s="529"/>
      <c r="BG207" s="529"/>
      <c r="BH207" s="529"/>
      <c r="BI207" s="529"/>
      <c r="BJ207" s="529">
        <v>18</v>
      </c>
      <c r="BK207" s="529">
        <v>19</v>
      </c>
      <c r="BL207" s="529">
        <v>20</v>
      </c>
      <c r="BM207" s="529">
        <v>21</v>
      </c>
      <c r="BN207" s="529">
        <v>22</v>
      </c>
      <c r="BO207" s="529">
        <v>23</v>
      </c>
      <c r="BP207" s="529">
        <v>24</v>
      </c>
      <c r="BQ207" s="529">
        <v>25</v>
      </c>
      <c r="BR207" s="529">
        <v>26</v>
      </c>
      <c r="BS207" s="529">
        <v>27</v>
      </c>
      <c r="BT207" s="529">
        <v>28</v>
      </c>
      <c r="BU207" s="529">
        <v>29</v>
      </c>
      <c r="BV207" s="529">
        <v>30</v>
      </c>
      <c r="BW207" s="529"/>
      <c r="BX207" s="529"/>
      <c r="BY207" s="529" t="str">
        <f>IFERROR(IF(COUNTIF(Pedidos!$J:$J,BQ$2)&gt;BA207-1,MATCH(BQ$2,Pedidos!$J:$J,0),""),"")</f>
        <v/>
      </c>
      <c r="BZ207" s="529">
        <f>IFERROR(IF(BY207="",0,COUNTIF(Pedidos!$J:$J,Procesos!BQ$2)),"")</f>
        <v>0</v>
      </c>
      <c r="CA207" s="529">
        <v>10</v>
      </c>
      <c r="CB207" s="529"/>
      <c r="CC207" s="529"/>
      <c r="CD207" s="529"/>
      <c r="CE207" s="529"/>
      <c r="CF207" s="529"/>
      <c r="CG207" s="529"/>
      <c r="CH207" s="529"/>
      <c r="CI207" s="529"/>
      <c r="CJ207" s="529">
        <v>18</v>
      </c>
      <c r="CK207" s="529">
        <v>19</v>
      </c>
      <c r="CL207" s="529">
        <v>20</v>
      </c>
      <c r="CM207" s="529">
        <v>21</v>
      </c>
      <c r="CN207" s="529">
        <v>22</v>
      </c>
      <c r="CO207" s="529">
        <v>23</v>
      </c>
      <c r="CP207" s="529">
        <v>24</v>
      </c>
      <c r="CQ207" s="529">
        <v>25</v>
      </c>
      <c r="CR207" s="529">
        <v>26</v>
      </c>
      <c r="CS207" s="529">
        <v>27</v>
      </c>
      <c r="CT207" s="529">
        <v>28</v>
      </c>
      <c r="CU207" s="529">
        <v>29</v>
      </c>
      <c r="CV207" s="529">
        <v>30</v>
      </c>
      <c r="CW207" s="529"/>
      <c r="CX207" s="529"/>
      <c r="CY207" s="529" t="str">
        <f>IFERROR(IF(COUNTIF(Pedidos!$J:$J,CQ$2)&gt;CA207-1,MATCH(CQ$2,Pedidos!$J:$J,0),""),"")</f>
        <v/>
      </c>
      <c r="CZ207" s="529">
        <f>IFERROR(IF(CY207="",0,COUNTIF(Pedidos!$J:$J,Procesos!CQ$2)),"")</f>
        <v>0</v>
      </c>
      <c r="DA207" s="529">
        <v>10</v>
      </c>
      <c r="DB207" s="529"/>
      <c r="DC207" s="529"/>
      <c r="DD207" s="529"/>
      <c r="DE207" s="529"/>
      <c r="DF207" s="529"/>
      <c r="DG207" s="529"/>
      <c r="DH207" s="529"/>
      <c r="DI207" s="529"/>
      <c r="DJ207" s="529">
        <v>18</v>
      </c>
      <c r="DK207" s="529">
        <v>19</v>
      </c>
      <c r="DL207" s="529">
        <v>20</v>
      </c>
      <c r="DM207" s="529">
        <v>21</v>
      </c>
      <c r="DN207" s="529">
        <v>22</v>
      </c>
      <c r="DO207" s="529">
        <v>23</v>
      </c>
      <c r="DP207" s="529">
        <v>24</v>
      </c>
      <c r="DQ207" s="529">
        <v>25</v>
      </c>
      <c r="DR207" s="529">
        <v>26</v>
      </c>
      <c r="DS207" s="529">
        <v>27</v>
      </c>
      <c r="DT207" s="529">
        <v>28</v>
      </c>
      <c r="DU207" s="529">
        <v>29</v>
      </c>
      <c r="DV207" s="529">
        <v>30</v>
      </c>
      <c r="DW207" s="529"/>
      <c r="DX207" s="529"/>
      <c r="DY207" s="529" t="str">
        <f>IFERROR(IF(COUNTIF(Pedidos!$J:$J,DQ$2)&gt;DA207-1,MATCH(DQ$2,Pedidos!$J:$J,0),""),"")</f>
        <v/>
      </c>
      <c r="DZ207" s="529">
        <f>IFERROR(IF(DY207="",0,COUNTIF(Pedidos!$J:$J,Procesos!DQ$2)),"")</f>
        <v>0</v>
      </c>
      <c r="EA207" s="529">
        <v>10</v>
      </c>
      <c r="EB207" s="529"/>
      <c r="EC207" s="529"/>
      <c r="ED207" s="529"/>
      <c r="EE207" s="529"/>
      <c r="EF207" s="529"/>
      <c r="EG207" s="529"/>
      <c r="EH207" s="529"/>
      <c r="EI207" s="529"/>
      <c r="EJ207" s="529">
        <v>18</v>
      </c>
      <c r="EK207" s="529">
        <v>19</v>
      </c>
      <c r="EL207" s="529">
        <v>20</v>
      </c>
      <c r="EM207" s="529">
        <v>21</v>
      </c>
      <c r="EN207" s="529">
        <v>22</v>
      </c>
      <c r="EO207" s="529">
        <v>23</v>
      </c>
      <c r="EP207" s="529">
        <v>24</v>
      </c>
      <c r="EQ207" s="529">
        <v>25</v>
      </c>
      <c r="ER207" s="529">
        <v>26</v>
      </c>
      <c r="ES207" s="529">
        <v>27</v>
      </c>
      <c r="ET207" s="529">
        <v>28</v>
      </c>
      <c r="EU207" s="529">
        <v>29</v>
      </c>
      <c r="EV207" s="529">
        <v>30</v>
      </c>
      <c r="EW207" s="529"/>
      <c r="EX207" s="529"/>
      <c r="EY207" s="529" t="str">
        <f>IFERROR(IF(COUNTIF(Pedidos!$J:$J,EQ$2)&gt;EA207-1,MATCH(EQ$2,Pedidos!$J:$J,0),""),"")</f>
        <v/>
      </c>
      <c r="EZ207" s="529">
        <f>IFERROR(IF(EY207="",0,COUNTIF(Pedidos!$J:$J,Procesos!EQ$2)),"")</f>
        <v>0</v>
      </c>
      <c r="FA207" s="529">
        <v>10</v>
      </c>
      <c r="FB207" s="529"/>
      <c r="FC207" s="529"/>
      <c r="FD207" s="529"/>
      <c r="FE207" s="529"/>
      <c r="FF207" s="529"/>
      <c r="FG207" s="529"/>
      <c r="FH207" s="529"/>
      <c r="FI207" s="529"/>
      <c r="FJ207" s="529">
        <v>18</v>
      </c>
      <c r="FK207" s="529">
        <v>19</v>
      </c>
      <c r="FL207" s="529">
        <v>20</v>
      </c>
      <c r="FM207" s="529">
        <v>21</v>
      </c>
      <c r="FN207" s="529">
        <v>22</v>
      </c>
      <c r="FO207" s="529">
        <v>23</v>
      </c>
      <c r="FP207" s="529">
        <v>24</v>
      </c>
      <c r="FQ207" s="529">
        <v>25</v>
      </c>
      <c r="FR207" s="529">
        <v>26</v>
      </c>
      <c r="FS207" s="529">
        <v>27</v>
      </c>
      <c r="FT207" s="529">
        <v>28</v>
      </c>
      <c r="FU207" s="529">
        <v>29</v>
      </c>
      <c r="FV207" s="529">
        <v>30</v>
      </c>
      <c r="FW207" s="529"/>
      <c r="FX207" s="529"/>
      <c r="FY207" s="529" t="str">
        <f>IFERROR(IF(COUNTIF(Pedidos!$J:$J,FQ$2)&gt;FA207-1,MATCH(FQ$2,Pedidos!$J:$J,0),""),"")</f>
        <v/>
      </c>
      <c r="FZ207" s="529">
        <f>IFERROR(IF(FY207="",0,COUNTIF(Pedidos!$J:$J,Procesos!FQ$2)),"")</f>
        <v>0</v>
      </c>
      <c r="GA207" s="529">
        <v>10</v>
      </c>
      <c r="GB207" s="529"/>
      <c r="GC207" s="529"/>
      <c r="GD207" s="529"/>
      <c r="GE207" s="529"/>
      <c r="GF207" s="529"/>
      <c r="GG207" s="529"/>
      <c r="GH207" s="529"/>
      <c r="GI207" s="529"/>
      <c r="GJ207" s="529">
        <v>18</v>
      </c>
      <c r="GK207" s="529">
        <v>19</v>
      </c>
      <c r="GL207" s="529">
        <v>20</v>
      </c>
      <c r="GM207" s="529">
        <v>21</v>
      </c>
      <c r="GN207" s="529">
        <v>22</v>
      </c>
      <c r="GO207" s="529">
        <v>23</v>
      </c>
      <c r="GP207" s="529">
        <v>24</v>
      </c>
      <c r="GQ207" s="529">
        <v>25</v>
      </c>
      <c r="GR207" s="529">
        <v>26</v>
      </c>
      <c r="GS207" s="529">
        <v>27</v>
      </c>
      <c r="GT207" s="529">
        <v>28</v>
      </c>
      <c r="GU207" s="529">
        <v>29</v>
      </c>
      <c r="GV207" s="529">
        <v>30</v>
      </c>
      <c r="GW207" s="529"/>
      <c r="GX207" s="529"/>
      <c r="GY207" s="529" t="str">
        <f>IFERROR(IF(COUNTIF(Pedidos!$J:$J,GQ$2)&gt;GA207-1,MATCH(GQ$2,Pedidos!$J:$J,0),""),"")</f>
        <v/>
      </c>
      <c r="GZ207" s="529">
        <f>IFERROR(IF(GY207="",0,COUNTIF(Pedidos!$J:$J,Procesos!GQ$2)),"")</f>
        <v>0</v>
      </c>
      <c r="HA207" s="529">
        <v>10</v>
      </c>
      <c r="HB207" s="529"/>
      <c r="HC207" s="529"/>
      <c r="HD207" s="529"/>
      <c r="HE207" s="529"/>
      <c r="HF207" s="529"/>
      <c r="HG207" s="529"/>
      <c r="HH207" s="529"/>
      <c r="HI207" s="529"/>
      <c r="HJ207" s="529">
        <v>18</v>
      </c>
      <c r="HK207" s="529">
        <v>19</v>
      </c>
      <c r="HL207" s="529">
        <v>20</v>
      </c>
      <c r="HM207" s="529">
        <v>21</v>
      </c>
      <c r="HN207" s="529">
        <v>22</v>
      </c>
      <c r="HO207" s="529">
        <v>23</v>
      </c>
      <c r="HP207" s="529">
        <v>24</v>
      </c>
      <c r="HQ207" s="529">
        <v>25</v>
      </c>
      <c r="HR207" s="529">
        <v>26</v>
      </c>
      <c r="HS207" s="529">
        <v>27</v>
      </c>
      <c r="HT207" s="529">
        <v>28</v>
      </c>
      <c r="HU207" s="529">
        <v>29</v>
      </c>
      <c r="HV207" s="529">
        <v>30</v>
      </c>
      <c r="HW207" s="529"/>
      <c r="HX207" s="529"/>
      <c r="HY207" s="529" t="str">
        <f>IFERROR(IF(COUNTIF(Pedidos!$J:$J,HQ$2)&gt;HA207-1,MATCH(HQ$2,Pedidos!$J:$J,0),""),"")</f>
        <v/>
      </c>
      <c r="HZ207" s="529">
        <f>IFERROR(IF(HY207="",0,COUNTIF(Pedidos!$J:$J,Procesos!HQ$2)),"")</f>
        <v>0</v>
      </c>
      <c r="IA207" s="529">
        <v>10</v>
      </c>
      <c r="IB207" s="529"/>
      <c r="IC207" s="529"/>
      <c r="ID207" s="529"/>
      <c r="IE207" s="529"/>
      <c r="IF207" s="529"/>
      <c r="IG207" s="529"/>
      <c r="IH207" s="529"/>
      <c r="II207" s="529"/>
      <c r="IJ207" s="529">
        <v>18</v>
      </c>
      <c r="IK207" s="529">
        <v>19</v>
      </c>
      <c r="IL207" s="529">
        <v>20</v>
      </c>
      <c r="IM207" s="529">
        <v>21</v>
      </c>
      <c r="IN207" s="529">
        <v>22</v>
      </c>
      <c r="IO207" s="529">
        <v>23</v>
      </c>
      <c r="IP207" s="529">
        <v>24</v>
      </c>
      <c r="IQ207" s="529">
        <v>25</v>
      </c>
      <c r="IR207" s="529">
        <v>26</v>
      </c>
      <c r="IS207" s="529">
        <v>27</v>
      </c>
      <c r="IT207" s="529">
        <v>28</v>
      </c>
      <c r="IU207" s="529">
        <v>29</v>
      </c>
      <c r="IV207" s="529">
        <v>30</v>
      </c>
      <c r="IW207" s="529"/>
      <c r="IX207" s="529"/>
      <c r="IY207" s="529" t="str">
        <f>IFERROR(IF(COUNTIF(Pedidos!$J:$J,IQ$2)&gt;IA207-1,MATCH(IQ$2,Pedidos!$J:$J,0),""),"")</f>
        <v/>
      </c>
      <c r="IZ207" s="529">
        <f>IFERROR(IF(IY207="",0,COUNTIF(Pedidos!$J:$J,Procesos!IQ$2)),"")</f>
        <v>0</v>
      </c>
    </row>
    <row r="208" spans="1:260" x14ac:dyDescent="0.25">
      <c r="A208" s="815" t="str">
        <f>IF(Z207&gt;=A207,Q$2 &amp;"     ITEM # "&amp;A207,"")</f>
        <v/>
      </c>
      <c r="B208" s="816"/>
      <c r="C208" s="816"/>
      <c r="D208" s="816"/>
      <c r="E208" s="816"/>
      <c r="F208" s="816"/>
      <c r="G208" s="816"/>
      <c r="H208" s="816"/>
      <c r="I208" s="817"/>
      <c r="J208" s="818" t="str">
        <f>IF(Z207&gt;=A207,$J$6,"")</f>
        <v/>
      </c>
      <c r="K208" s="816"/>
      <c r="L208" s="816"/>
      <c r="M208" s="816"/>
      <c r="N208" s="816"/>
      <c r="O208" s="816"/>
      <c r="P208" s="816"/>
      <c r="Q208" s="816"/>
      <c r="R208" s="816"/>
      <c r="S208" s="816"/>
      <c r="T208" s="816"/>
      <c r="U208" s="816"/>
      <c r="V208" s="816"/>
      <c r="W208" s="816"/>
      <c r="X208" s="816"/>
      <c r="Y208" s="816"/>
      <c r="Z208" s="819"/>
      <c r="AA208" s="815" t="str">
        <f>IF(AZ207&gt;=AA207,AQ$2 &amp;"     ITEM # "&amp;AA207,"")</f>
        <v/>
      </c>
      <c r="AB208" s="816"/>
      <c r="AC208" s="816"/>
      <c r="AD208" s="816"/>
      <c r="AE208" s="816"/>
      <c r="AF208" s="816"/>
      <c r="AG208" s="816"/>
      <c r="AH208" s="816"/>
      <c r="AI208" s="817"/>
      <c r="AJ208" s="818" t="str">
        <f>IF(AZ207&gt;=AA207,$J$6,"")</f>
        <v/>
      </c>
      <c r="AK208" s="816"/>
      <c r="AL208" s="816"/>
      <c r="AM208" s="816"/>
      <c r="AN208" s="816"/>
      <c r="AO208" s="816"/>
      <c r="AP208" s="816"/>
      <c r="AQ208" s="816"/>
      <c r="AR208" s="816"/>
      <c r="AS208" s="816"/>
      <c r="AT208" s="816"/>
      <c r="AU208" s="816"/>
      <c r="AV208" s="816"/>
      <c r="AW208" s="816"/>
      <c r="AX208" s="816"/>
      <c r="AY208" s="816"/>
      <c r="AZ208" s="819"/>
      <c r="BA208" s="815" t="str">
        <f>IF(BZ207&gt;=BA207,BQ$2 &amp;"     ITEM # "&amp;BA207,"")</f>
        <v/>
      </c>
      <c r="BB208" s="816"/>
      <c r="BC208" s="816"/>
      <c r="BD208" s="816"/>
      <c r="BE208" s="816"/>
      <c r="BF208" s="816"/>
      <c r="BG208" s="816"/>
      <c r="BH208" s="816"/>
      <c r="BI208" s="817"/>
      <c r="BJ208" s="818" t="str">
        <f>IF(BZ207&gt;=BA207,$J$6,"")</f>
        <v/>
      </c>
      <c r="BK208" s="816"/>
      <c r="BL208" s="816"/>
      <c r="BM208" s="816"/>
      <c r="BN208" s="816"/>
      <c r="BO208" s="816"/>
      <c r="BP208" s="816"/>
      <c r="BQ208" s="816"/>
      <c r="BR208" s="816"/>
      <c r="BS208" s="816"/>
      <c r="BT208" s="816"/>
      <c r="BU208" s="816"/>
      <c r="BV208" s="816"/>
      <c r="BW208" s="816"/>
      <c r="BX208" s="816"/>
      <c r="BY208" s="816"/>
      <c r="BZ208" s="819"/>
      <c r="CA208" s="815" t="str">
        <f>IF(CZ207&gt;=CA207,CQ$2 &amp;"     ITEM # "&amp;CA207,"")</f>
        <v/>
      </c>
      <c r="CB208" s="816"/>
      <c r="CC208" s="816"/>
      <c r="CD208" s="816"/>
      <c r="CE208" s="816"/>
      <c r="CF208" s="816"/>
      <c r="CG208" s="816"/>
      <c r="CH208" s="816"/>
      <c r="CI208" s="817"/>
      <c r="CJ208" s="818" t="str">
        <f>IF(CZ207&gt;=CA207,$J$6,"")</f>
        <v/>
      </c>
      <c r="CK208" s="816"/>
      <c r="CL208" s="816"/>
      <c r="CM208" s="816"/>
      <c r="CN208" s="816"/>
      <c r="CO208" s="816"/>
      <c r="CP208" s="816"/>
      <c r="CQ208" s="816"/>
      <c r="CR208" s="816"/>
      <c r="CS208" s="816"/>
      <c r="CT208" s="816"/>
      <c r="CU208" s="816"/>
      <c r="CV208" s="816"/>
      <c r="CW208" s="816"/>
      <c r="CX208" s="816"/>
      <c r="CY208" s="816"/>
      <c r="CZ208" s="819"/>
      <c r="DA208" s="815" t="str">
        <f>IF(DZ207&gt;=DA207,DQ$2 &amp;"     ITEM # "&amp;DA207,"")</f>
        <v/>
      </c>
      <c r="DB208" s="816"/>
      <c r="DC208" s="816"/>
      <c r="DD208" s="816"/>
      <c r="DE208" s="816"/>
      <c r="DF208" s="816"/>
      <c r="DG208" s="816"/>
      <c r="DH208" s="816"/>
      <c r="DI208" s="817"/>
      <c r="DJ208" s="818" t="str">
        <f>IF(DZ207&gt;=DA207,$J$6,"")</f>
        <v/>
      </c>
      <c r="DK208" s="816"/>
      <c r="DL208" s="816"/>
      <c r="DM208" s="816"/>
      <c r="DN208" s="816"/>
      <c r="DO208" s="816"/>
      <c r="DP208" s="816"/>
      <c r="DQ208" s="816"/>
      <c r="DR208" s="816"/>
      <c r="DS208" s="816"/>
      <c r="DT208" s="816"/>
      <c r="DU208" s="816"/>
      <c r="DV208" s="816"/>
      <c r="DW208" s="816"/>
      <c r="DX208" s="816"/>
      <c r="DY208" s="816"/>
      <c r="DZ208" s="819"/>
      <c r="EA208" s="815" t="str">
        <f>IF(EZ207&gt;=EA207,EQ$2 &amp;"     ITEM # "&amp;EA207,"")</f>
        <v/>
      </c>
      <c r="EB208" s="816"/>
      <c r="EC208" s="816"/>
      <c r="ED208" s="816"/>
      <c r="EE208" s="816"/>
      <c r="EF208" s="816"/>
      <c r="EG208" s="816"/>
      <c r="EH208" s="816"/>
      <c r="EI208" s="817"/>
      <c r="EJ208" s="818" t="str">
        <f>IF(EZ207&gt;=EA207,$J$6,"")</f>
        <v/>
      </c>
      <c r="EK208" s="816"/>
      <c r="EL208" s="816"/>
      <c r="EM208" s="816"/>
      <c r="EN208" s="816"/>
      <c r="EO208" s="816"/>
      <c r="EP208" s="816"/>
      <c r="EQ208" s="816"/>
      <c r="ER208" s="816"/>
      <c r="ES208" s="816"/>
      <c r="ET208" s="816"/>
      <c r="EU208" s="816"/>
      <c r="EV208" s="816"/>
      <c r="EW208" s="816"/>
      <c r="EX208" s="816"/>
      <c r="EY208" s="816"/>
      <c r="EZ208" s="819"/>
      <c r="FA208" s="815" t="str">
        <f>IF(FZ207&gt;=FA207,FQ$2 &amp;"     ITEM # "&amp;FA207,"")</f>
        <v/>
      </c>
      <c r="FB208" s="816"/>
      <c r="FC208" s="816"/>
      <c r="FD208" s="816"/>
      <c r="FE208" s="816"/>
      <c r="FF208" s="816"/>
      <c r="FG208" s="816"/>
      <c r="FH208" s="816"/>
      <c r="FI208" s="817"/>
      <c r="FJ208" s="818" t="str">
        <f>IF(FZ207&gt;=FA207,$J$6,"")</f>
        <v/>
      </c>
      <c r="FK208" s="816"/>
      <c r="FL208" s="816"/>
      <c r="FM208" s="816"/>
      <c r="FN208" s="816"/>
      <c r="FO208" s="816"/>
      <c r="FP208" s="816"/>
      <c r="FQ208" s="816"/>
      <c r="FR208" s="816"/>
      <c r="FS208" s="816"/>
      <c r="FT208" s="816"/>
      <c r="FU208" s="816"/>
      <c r="FV208" s="816"/>
      <c r="FW208" s="816"/>
      <c r="FX208" s="816"/>
      <c r="FY208" s="816"/>
      <c r="FZ208" s="819"/>
      <c r="GA208" s="815" t="str">
        <f>IF(GZ207&gt;=GA207,GQ$2 &amp;"     ITEM # "&amp;GA207,"")</f>
        <v/>
      </c>
      <c r="GB208" s="816"/>
      <c r="GC208" s="816"/>
      <c r="GD208" s="816"/>
      <c r="GE208" s="816"/>
      <c r="GF208" s="816"/>
      <c r="GG208" s="816"/>
      <c r="GH208" s="816"/>
      <c r="GI208" s="817"/>
      <c r="GJ208" s="818" t="str">
        <f>IF(GZ207&gt;=GA207,$J$6,"")</f>
        <v/>
      </c>
      <c r="GK208" s="816"/>
      <c r="GL208" s="816"/>
      <c r="GM208" s="816"/>
      <c r="GN208" s="816"/>
      <c r="GO208" s="816"/>
      <c r="GP208" s="816"/>
      <c r="GQ208" s="816"/>
      <c r="GR208" s="816"/>
      <c r="GS208" s="816"/>
      <c r="GT208" s="816"/>
      <c r="GU208" s="816"/>
      <c r="GV208" s="816"/>
      <c r="GW208" s="816"/>
      <c r="GX208" s="816"/>
      <c r="GY208" s="816"/>
      <c r="GZ208" s="819"/>
      <c r="HA208" s="815" t="str">
        <f>IF(HZ207&gt;=HA207,HQ$2 &amp;"     ITEM # "&amp;HA207,"")</f>
        <v/>
      </c>
      <c r="HB208" s="816"/>
      <c r="HC208" s="816"/>
      <c r="HD208" s="816"/>
      <c r="HE208" s="816"/>
      <c r="HF208" s="816"/>
      <c r="HG208" s="816"/>
      <c r="HH208" s="816"/>
      <c r="HI208" s="817"/>
      <c r="HJ208" s="818" t="str">
        <f>IF(HZ207&gt;=HA207,$J$6,"")</f>
        <v/>
      </c>
      <c r="HK208" s="816"/>
      <c r="HL208" s="816"/>
      <c r="HM208" s="816"/>
      <c r="HN208" s="816"/>
      <c r="HO208" s="816"/>
      <c r="HP208" s="816"/>
      <c r="HQ208" s="816"/>
      <c r="HR208" s="816"/>
      <c r="HS208" s="816"/>
      <c r="HT208" s="816"/>
      <c r="HU208" s="816"/>
      <c r="HV208" s="816"/>
      <c r="HW208" s="816"/>
      <c r="HX208" s="816"/>
      <c r="HY208" s="816"/>
      <c r="HZ208" s="819"/>
      <c r="IA208" s="815" t="str">
        <f>IF(IZ207&gt;=IA207,IQ$2 &amp;"     ITEM # "&amp;IA207,"")</f>
        <v/>
      </c>
      <c r="IB208" s="816"/>
      <c r="IC208" s="816"/>
      <c r="ID208" s="816"/>
      <c r="IE208" s="816"/>
      <c r="IF208" s="816"/>
      <c r="IG208" s="816"/>
      <c r="IH208" s="816"/>
      <c r="II208" s="817"/>
      <c r="IJ208" s="818" t="str">
        <f>IF(IZ207&gt;=IA207,$J$6,"")</f>
        <v/>
      </c>
      <c r="IK208" s="816"/>
      <c r="IL208" s="816"/>
      <c r="IM208" s="816"/>
      <c r="IN208" s="816"/>
      <c r="IO208" s="816"/>
      <c r="IP208" s="816"/>
      <c r="IQ208" s="816"/>
      <c r="IR208" s="816"/>
      <c r="IS208" s="816"/>
      <c r="IT208" s="816"/>
      <c r="IU208" s="816"/>
      <c r="IV208" s="816"/>
      <c r="IW208" s="816"/>
      <c r="IX208" s="816"/>
      <c r="IY208" s="816"/>
      <c r="IZ208" s="819"/>
    </row>
    <row r="209" spans="1:260" x14ac:dyDescent="0.25">
      <c r="A209" s="848" t="str">
        <f>IFERROR(INDEX(Lista_Pedidos,Procesos!Y207+A207-1,5),"")</f>
        <v/>
      </c>
      <c r="B209" s="843"/>
      <c r="C209" s="843"/>
      <c r="D209" s="843"/>
      <c r="E209" s="843"/>
      <c r="F209" s="843"/>
      <c r="G209" s="843"/>
      <c r="H209" s="843"/>
      <c r="I209" s="844"/>
      <c r="J209" s="842" t="str">
        <f>IF(Z207&gt;=A207,$J$7,"")</f>
        <v/>
      </c>
      <c r="K209" s="843"/>
      <c r="L209" s="844"/>
      <c r="M209" s="842" t="str">
        <f>IF(Z207&gt;=A207,$M$7,"")</f>
        <v/>
      </c>
      <c r="N209" s="843"/>
      <c r="O209" s="844"/>
      <c r="P209" s="842" t="str">
        <f>IF(Z207&gt;=A207,$P$7,"")</f>
        <v/>
      </c>
      <c r="Q209" s="843"/>
      <c r="R209" s="843"/>
      <c r="S209" s="843"/>
      <c r="T209" s="843"/>
      <c r="U209" s="844"/>
      <c r="V209" s="834" t="str">
        <f>IF(Z207&gt;=A207,$V$7,"")</f>
        <v/>
      </c>
      <c r="W209" s="842" t="str">
        <f>IF(Z207&gt;=A207,$W$7,"")</f>
        <v/>
      </c>
      <c r="X209" s="843"/>
      <c r="Y209" s="843"/>
      <c r="Z209" s="850"/>
      <c r="AA209" s="848" t="str">
        <f>IFERROR(INDEX(Lista_Pedidos,Procesos!AY207+AA207-1,5),"")</f>
        <v/>
      </c>
      <c r="AB209" s="843"/>
      <c r="AC209" s="843"/>
      <c r="AD209" s="843"/>
      <c r="AE209" s="843"/>
      <c r="AF209" s="843"/>
      <c r="AG209" s="843"/>
      <c r="AH209" s="843"/>
      <c r="AI209" s="844"/>
      <c r="AJ209" s="842" t="str">
        <f>IF(AZ207&gt;=AA207,$J$7,"")</f>
        <v/>
      </c>
      <c r="AK209" s="843"/>
      <c r="AL209" s="844"/>
      <c r="AM209" s="842" t="str">
        <f>IF(AZ207&gt;=AA207,$M$7,"")</f>
        <v/>
      </c>
      <c r="AN209" s="843"/>
      <c r="AO209" s="844"/>
      <c r="AP209" s="842" t="str">
        <f>IF(AZ207&gt;=AA207,$P$7,"")</f>
        <v/>
      </c>
      <c r="AQ209" s="843"/>
      <c r="AR209" s="843"/>
      <c r="AS209" s="843"/>
      <c r="AT209" s="843"/>
      <c r="AU209" s="844"/>
      <c r="AV209" s="834" t="str">
        <f>IF(AZ207&gt;=AA207,$V$7,"")</f>
        <v/>
      </c>
      <c r="AW209" s="842" t="str">
        <f>IF(AZ207&gt;=AA207,$W$7,"")</f>
        <v/>
      </c>
      <c r="AX209" s="843"/>
      <c r="AY209" s="843"/>
      <c r="AZ209" s="850"/>
      <c r="BA209" s="848" t="str">
        <f>IFERROR(INDEX(Lista_Pedidos,Procesos!BY207+BA207-1,5),"")</f>
        <v/>
      </c>
      <c r="BB209" s="843"/>
      <c r="BC209" s="843"/>
      <c r="BD209" s="843"/>
      <c r="BE209" s="843"/>
      <c r="BF209" s="843"/>
      <c r="BG209" s="843"/>
      <c r="BH209" s="843"/>
      <c r="BI209" s="844"/>
      <c r="BJ209" s="842" t="str">
        <f>IF(BZ207&gt;=BA207,$J$7,"")</f>
        <v/>
      </c>
      <c r="BK209" s="843"/>
      <c r="BL209" s="844"/>
      <c r="BM209" s="842" t="str">
        <f>IF(BZ207&gt;=BA207,$M$7,"")</f>
        <v/>
      </c>
      <c r="BN209" s="843"/>
      <c r="BO209" s="844"/>
      <c r="BP209" s="842" t="str">
        <f>IF(BZ207&gt;=BA207,$P$7,"")</f>
        <v/>
      </c>
      <c r="BQ209" s="843"/>
      <c r="BR209" s="843"/>
      <c r="BS209" s="843"/>
      <c r="BT209" s="843"/>
      <c r="BU209" s="844"/>
      <c r="BV209" s="834" t="str">
        <f>IF(BZ207&gt;=BA207,$V$7,"")</f>
        <v/>
      </c>
      <c r="BW209" s="842" t="str">
        <f>IF(BZ207&gt;=BA207,$W$7,"")</f>
        <v/>
      </c>
      <c r="BX209" s="843"/>
      <c r="BY209" s="843"/>
      <c r="BZ209" s="850"/>
      <c r="CA209" s="848" t="str">
        <f>IFERROR(INDEX(Lista_Pedidos,Procesos!CY207+CA207-1,5),"")</f>
        <v/>
      </c>
      <c r="CB209" s="843"/>
      <c r="CC209" s="843"/>
      <c r="CD209" s="843"/>
      <c r="CE209" s="843"/>
      <c r="CF209" s="843"/>
      <c r="CG209" s="843"/>
      <c r="CH209" s="843"/>
      <c r="CI209" s="844"/>
      <c r="CJ209" s="842" t="str">
        <f>IF(CZ207&gt;=CA207,$J$7,"")</f>
        <v/>
      </c>
      <c r="CK209" s="843"/>
      <c r="CL209" s="844"/>
      <c r="CM209" s="842" t="str">
        <f>IF(CZ207&gt;=CA207,$M$7,"")</f>
        <v/>
      </c>
      <c r="CN209" s="843"/>
      <c r="CO209" s="844"/>
      <c r="CP209" s="842" t="str">
        <f>IF(CZ207&gt;=CA207,$P$7,"")</f>
        <v/>
      </c>
      <c r="CQ209" s="843"/>
      <c r="CR209" s="843"/>
      <c r="CS209" s="843"/>
      <c r="CT209" s="843"/>
      <c r="CU209" s="844"/>
      <c r="CV209" s="834" t="str">
        <f>IF(CZ207&gt;=CA207,$V$7,"")</f>
        <v/>
      </c>
      <c r="CW209" s="842" t="str">
        <f>IF(CZ207&gt;=CA207,$W$7,"")</f>
        <v/>
      </c>
      <c r="CX209" s="843"/>
      <c r="CY209" s="843"/>
      <c r="CZ209" s="850"/>
      <c r="DA209" s="848" t="str">
        <f>IFERROR(INDEX(Lista_Pedidos,Procesos!DY207+DA207-1,5),"")</f>
        <v/>
      </c>
      <c r="DB209" s="843"/>
      <c r="DC209" s="843"/>
      <c r="DD209" s="843"/>
      <c r="DE209" s="843"/>
      <c r="DF209" s="843"/>
      <c r="DG209" s="843"/>
      <c r="DH209" s="843"/>
      <c r="DI209" s="844"/>
      <c r="DJ209" s="842" t="str">
        <f>IF(DZ207&gt;=DA207,$J$7,"")</f>
        <v/>
      </c>
      <c r="DK209" s="843"/>
      <c r="DL209" s="844"/>
      <c r="DM209" s="842" t="str">
        <f>IF(DZ207&gt;=DA207,$M$7,"")</f>
        <v/>
      </c>
      <c r="DN209" s="843"/>
      <c r="DO209" s="844"/>
      <c r="DP209" s="842" t="str">
        <f>IF(DZ207&gt;=DA207,$P$7,"")</f>
        <v/>
      </c>
      <c r="DQ209" s="843"/>
      <c r="DR209" s="843"/>
      <c r="DS209" s="843"/>
      <c r="DT209" s="843"/>
      <c r="DU209" s="844"/>
      <c r="DV209" s="834" t="str">
        <f>IF(DZ207&gt;=DA207,$V$7,"")</f>
        <v/>
      </c>
      <c r="DW209" s="842" t="str">
        <f>IF(DZ207&gt;=DA207,$W$7,"")</f>
        <v/>
      </c>
      <c r="DX209" s="843"/>
      <c r="DY209" s="843"/>
      <c r="DZ209" s="850"/>
      <c r="EA209" s="848" t="str">
        <f>IFERROR(INDEX(Lista_Pedidos,Procesos!EY207+EA207-1,5),"")</f>
        <v/>
      </c>
      <c r="EB209" s="843"/>
      <c r="EC209" s="843"/>
      <c r="ED209" s="843"/>
      <c r="EE209" s="843"/>
      <c r="EF209" s="843"/>
      <c r="EG209" s="843"/>
      <c r="EH209" s="843"/>
      <c r="EI209" s="844"/>
      <c r="EJ209" s="842" t="str">
        <f>IF(EZ207&gt;=EA207,$J$7,"")</f>
        <v/>
      </c>
      <c r="EK209" s="843"/>
      <c r="EL209" s="844"/>
      <c r="EM209" s="842" t="str">
        <f>IF(EZ207&gt;=EA207,$M$7,"")</f>
        <v/>
      </c>
      <c r="EN209" s="843"/>
      <c r="EO209" s="844"/>
      <c r="EP209" s="842" t="str">
        <f>IF(EZ207&gt;=EA207,$P$7,"")</f>
        <v/>
      </c>
      <c r="EQ209" s="843"/>
      <c r="ER209" s="843"/>
      <c r="ES209" s="843"/>
      <c r="ET209" s="843"/>
      <c r="EU209" s="844"/>
      <c r="EV209" s="834" t="str">
        <f>IF(EZ207&gt;=EA207,$V$7,"")</f>
        <v/>
      </c>
      <c r="EW209" s="842" t="str">
        <f>IF(EZ207&gt;=EA207,$W$7,"")</f>
        <v/>
      </c>
      <c r="EX209" s="843"/>
      <c r="EY209" s="843"/>
      <c r="EZ209" s="850"/>
      <c r="FA209" s="848" t="str">
        <f>IFERROR(INDEX(Lista_Pedidos,Procesos!FY207+FA207-1,5),"")</f>
        <v/>
      </c>
      <c r="FB209" s="843"/>
      <c r="FC209" s="843"/>
      <c r="FD209" s="843"/>
      <c r="FE209" s="843"/>
      <c r="FF209" s="843"/>
      <c r="FG209" s="843"/>
      <c r="FH209" s="843"/>
      <c r="FI209" s="844"/>
      <c r="FJ209" s="842" t="str">
        <f>IF(FZ207&gt;=FA207,$J$7,"")</f>
        <v/>
      </c>
      <c r="FK209" s="843"/>
      <c r="FL209" s="844"/>
      <c r="FM209" s="842" t="str">
        <f>IF(FZ207&gt;=FA207,$M$7,"")</f>
        <v/>
      </c>
      <c r="FN209" s="843"/>
      <c r="FO209" s="844"/>
      <c r="FP209" s="842" t="str">
        <f>IF(FZ207&gt;=FA207,$P$7,"")</f>
        <v/>
      </c>
      <c r="FQ209" s="843"/>
      <c r="FR209" s="843"/>
      <c r="FS209" s="843"/>
      <c r="FT209" s="843"/>
      <c r="FU209" s="844"/>
      <c r="FV209" s="834" t="str">
        <f>IF(FZ207&gt;=FA207,$V$7,"")</f>
        <v/>
      </c>
      <c r="FW209" s="842" t="str">
        <f>IF(FZ207&gt;=FA207,$W$7,"")</f>
        <v/>
      </c>
      <c r="FX209" s="843"/>
      <c r="FY209" s="843"/>
      <c r="FZ209" s="850"/>
      <c r="GA209" s="848" t="str">
        <f>IFERROR(INDEX(Lista_Pedidos,Procesos!GY207+GA207-1,5),"")</f>
        <v/>
      </c>
      <c r="GB209" s="843"/>
      <c r="GC209" s="843"/>
      <c r="GD209" s="843"/>
      <c r="GE209" s="843"/>
      <c r="GF209" s="843"/>
      <c r="GG209" s="843"/>
      <c r="GH209" s="843"/>
      <c r="GI209" s="844"/>
      <c r="GJ209" s="842" t="str">
        <f>IF(GZ207&gt;=GA207,$J$7,"")</f>
        <v/>
      </c>
      <c r="GK209" s="843"/>
      <c r="GL209" s="844"/>
      <c r="GM209" s="842" t="str">
        <f>IF(GZ207&gt;=GA207,$M$7,"")</f>
        <v/>
      </c>
      <c r="GN209" s="843"/>
      <c r="GO209" s="844"/>
      <c r="GP209" s="842" t="str">
        <f>IF(GZ207&gt;=GA207,$P$7,"")</f>
        <v/>
      </c>
      <c r="GQ209" s="843"/>
      <c r="GR209" s="843"/>
      <c r="GS209" s="843"/>
      <c r="GT209" s="843"/>
      <c r="GU209" s="844"/>
      <c r="GV209" s="834" t="str">
        <f>IF(GZ207&gt;=GA207,$V$7,"")</f>
        <v/>
      </c>
      <c r="GW209" s="842" t="str">
        <f>IF(GZ207&gt;=GA207,$W$7,"")</f>
        <v/>
      </c>
      <c r="GX209" s="843"/>
      <c r="GY209" s="843"/>
      <c r="GZ209" s="850"/>
      <c r="HA209" s="848" t="str">
        <f>IFERROR(INDEX(Lista_Pedidos,Procesos!HY207+HA207-1,5),"")</f>
        <v/>
      </c>
      <c r="HB209" s="843"/>
      <c r="HC209" s="843"/>
      <c r="HD209" s="843"/>
      <c r="HE209" s="843"/>
      <c r="HF209" s="843"/>
      <c r="HG209" s="843"/>
      <c r="HH209" s="843"/>
      <c r="HI209" s="844"/>
      <c r="HJ209" s="842" t="str">
        <f>IF(HZ207&gt;=HA207,$J$7,"")</f>
        <v/>
      </c>
      <c r="HK209" s="843"/>
      <c r="HL209" s="844"/>
      <c r="HM209" s="842" t="str">
        <f>IF(HZ207&gt;=HA207,$M$7,"")</f>
        <v/>
      </c>
      <c r="HN209" s="843"/>
      <c r="HO209" s="844"/>
      <c r="HP209" s="842" t="str">
        <f>IF(HZ207&gt;=HA207,$P$7,"")</f>
        <v/>
      </c>
      <c r="HQ209" s="843"/>
      <c r="HR209" s="843"/>
      <c r="HS209" s="843"/>
      <c r="HT209" s="843"/>
      <c r="HU209" s="844"/>
      <c r="HV209" s="834" t="str">
        <f>IF(HZ207&gt;=HA207,$V$7,"")</f>
        <v/>
      </c>
      <c r="HW209" s="842" t="str">
        <f>IF(HZ207&gt;=HA207,$W$7,"")</f>
        <v/>
      </c>
      <c r="HX209" s="843"/>
      <c r="HY209" s="843"/>
      <c r="HZ209" s="850"/>
      <c r="IA209" s="848" t="str">
        <f>IFERROR(INDEX(Lista_Pedidos,Procesos!IY207+IA207-1,5),"")</f>
        <v/>
      </c>
      <c r="IB209" s="843"/>
      <c r="IC209" s="843"/>
      <c r="ID209" s="843"/>
      <c r="IE209" s="843"/>
      <c r="IF209" s="843"/>
      <c r="IG209" s="843"/>
      <c r="IH209" s="843"/>
      <c r="II209" s="844"/>
      <c r="IJ209" s="842" t="str">
        <f>IF(IZ207&gt;=IA207,$J$7,"")</f>
        <v/>
      </c>
      <c r="IK209" s="843"/>
      <c r="IL209" s="844"/>
      <c r="IM209" s="842" t="str">
        <f>IF(IZ207&gt;=IA207,$M$7,"")</f>
        <v/>
      </c>
      <c r="IN209" s="843"/>
      <c r="IO209" s="844"/>
      <c r="IP209" s="842" t="str">
        <f>IF(IZ207&gt;=IA207,$P$7,"")</f>
        <v/>
      </c>
      <c r="IQ209" s="843"/>
      <c r="IR209" s="843"/>
      <c r="IS209" s="843"/>
      <c r="IT209" s="843"/>
      <c r="IU209" s="844"/>
      <c r="IV209" s="834" t="str">
        <f>IF(IZ207&gt;=IA207,$V$7,"")</f>
        <v/>
      </c>
      <c r="IW209" s="842" t="str">
        <f>IF(IZ207&gt;=IA207,$W$7,"")</f>
        <v/>
      </c>
      <c r="IX209" s="843"/>
      <c r="IY209" s="843"/>
      <c r="IZ209" s="850"/>
    </row>
    <row r="210" spans="1:260" x14ac:dyDescent="0.25">
      <c r="A210" s="849"/>
      <c r="B210" s="846"/>
      <c r="C210" s="846"/>
      <c r="D210" s="846"/>
      <c r="E210" s="846"/>
      <c r="F210" s="846"/>
      <c r="G210" s="846"/>
      <c r="H210" s="846"/>
      <c r="I210" s="847"/>
      <c r="J210" s="845"/>
      <c r="K210" s="846"/>
      <c r="L210" s="847"/>
      <c r="M210" s="845"/>
      <c r="N210" s="846"/>
      <c r="O210" s="847"/>
      <c r="P210" s="845"/>
      <c r="Q210" s="846"/>
      <c r="R210" s="846"/>
      <c r="S210" s="846"/>
      <c r="T210" s="846"/>
      <c r="U210" s="847"/>
      <c r="V210" s="835"/>
      <c r="W210" s="845"/>
      <c r="X210" s="846"/>
      <c r="Y210" s="846"/>
      <c r="Z210" s="851"/>
      <c r="AA210" s="849"/>
      <c r="AB210" s="846"/>
      <c r="AC210" s="846"/>
      <c r="AD210" s="846"/>
      <c r="AE210" s="846"/>
      <c r="AF210" s="846"/>
      <c r="AG210" s="846"/>
      <c r="AH210" s="846"/>
      <c r="AI210" s="847"/>
      <c r="AJ210" s="845"/>
      <c r="AK210" s="846"/>
      <c r="AL210" s="847"/>
      <c r="AM210" s="845"/>
      <c r="AN210" s="846"/>
      <c r="AO210" s="847"/>
      <c r="AP210" s="845"/>
      <c r="AQ210" s="846"/>
      <c r="AR210" s="846"/>
      <c r="AS210" s="846"/>
      <c r="AT210" s="846"/>
      <c r="AU210" s="847"/>
      <c r="AV210" s="835"/>
      <c r="AW210" s="845"/>
      <c r="AX210" s="846"/>
      <c r="AY210" s="846"/>
      <c r="AZ210" s="851"/>
      <c r="BA210" s="849"/>
      <c r="BB210" s="846"/>
      <c r="BC210" s="846"/>
      <c r="BD210" s="846"/>
      <c r="BE210" s="846"/>
      <c r="BF210" s="846"/>
      <c r="BG210" s="846"/>
      <c r="BH210" s="846"/>
      <c r="BI210" s="847"/>
      <c r="BJ210" s="845"/>
      <c r="BK210" s="846"/>
      <c r="BL210" s="847"/>
      <c r="BM210" s="845"/>
      <c r="BN210" s="846"/>
      <c r="BO210" s="847"/>
      <c r="BP210" s="845"/>
      <c r="BQ210" s="846"/>
      <c r="BR210" s="846"/>
      <c r="BS210" s="846"/>
      <c r="BT210" s="846"/>
      <c r="BU210" s="847"/>
      <c r="BV210" s="835"/>
      <c r="BW210" s="845"/>
      <c r="BX210" s="846"/>
      <c r="BY210" s="846"/>
      <c r="BZ210" s="851"/>
      <c r="CA210" s="849"/>
      <c r="CB210" s="846"/>
      <c r="CC210" s="846"/>
      <c r="CD210" s="846"/>
      <c r="CE210" s="846"/>
      <c r="CF210" s="846"/>
      <c r="CG210" s="846"/>
      <c r="CH210" s="846"/>
      <c r="CI210" s="847"/>
      <c r="CJ210" s="845"/>
      <c r="CK210" s="846"/>
      <c r="CL210" s="847"/>
      <c r="CM210" s="845"/>
      <c r="CN210" s="846"/>
      <c r="CO210" s="847"/>
      <c r="CP210" s="845"/>
      <c r="CQ210" s="846"/>
      <c r="CR210" s="846"/>
      <c r="CS210" s="846"/>
      <c r="CT210" s="846"/>
      <c r="CU210" s="847"/>
      <c r="CV210" s="835"/>
      <c r="CW210" s="845"/>
      <c r="CX210" s="846"/>
      <c r="CY210" s="846"/>
      <c r="CZ210" s="851"/>
      <c r="DA210" s="849"/>
      <c r="DB210" s="846"/>
      <c r="DC210" s="846"/>
      <c r="DD210" s="846"/>
      <c r="DE210" s="846"/>
      <c r="DF210" s="846"/>
      <c r="DG210" s="846"/>
      <c r="DH210" s="846"/>
      <c r="DI210" s="847"/>
      <c r="DJ210" s="845"/>
      <c r="DK210" s="846"/>
      <c r="DL210" s="847"/>
      <c r="DM210" s="845"/>
      <c r="DN210" s="846"/>
      <c r="DO210" s="847"/>
      <c r="DP210" s="845"/>
      <c r="DQ210" s="846"/>
      <c r="DR210" s="846"/>
      <c r="DS210" s="846"/>
      <c r="DT210" s="846"/>
      <c r="DU210" s="847"/>
      <c r="DV210" s="835"/>
      <c r="DW210" s="845"/>
      <c r="DX210" s="846"/>
      <c r="DY210" s="846"/>
      <c r="DZ210" s="851"/>
      <c r="EA210" s="849"/>
      <c r="EB210" s="846"/>
      <c r="EC210" s="846"/>
      <c r="ED210" s="846"/>
      <c r="EE210" s="846"/>
      <c r="EF210" s="846"/>
      <c r="EG210" s="846"/>
      <c r="EH210" s="846"/>
      <c r="EI210" s="847"/>
      <c r="EJ210" s="845"/>
      <c r="EK210" s="846"/>
      <c r="EL210" s="847"/>
      <c r="EM210" s="845"/>
      <c r="EN210" s="846"/>
      <c r="EO210" s="847"/>
      <c r="EP210" s="845"/>
      <c r="EQ210" s="846"/>
      <c r="ER210" s="846"/>
      <c r="ES210" s="846"/>
      <c r="ET210" s="846"/>
      <c r="EU210" s="847"/>
      <c r="EV210" s="835"/>
      <c r="EW210" s="845"/>
      <c r="EX210" s="846"/>
      <c r="EY210" s="846"/>
      <c r="EZ210" s="851"/>
      <c r="FA210" s="849"/>
      <c r="FB210" s="846"/>
      <c r="FC210" s="846"/>
      <c r="FD210" s="846"/>
      <c r="FE210" s="846"/>
      <c r="FF210" s="846"/>
      <c r="FG210" s="846"/>
      <c r="FH210" s="846"/>
      <c r="FI210" s="847"/>
      <c r="FJ210" s="845"/>
      <c r="FK210" s="846"/>
      <c r="FL210" s="847"/>
      <c r="FM210" s="845"/>
      <c r="FN210" s="846"/>
      <c r="FO210" s="847"/>
      <c r="FP210" s="845"/>
      <c r="FQ210" s="846"/>
      <c r="FR210" s="846"/>
      <c r="FS210" s="846"/>
      <c r="FT210" s="846"/>
      <c r="FU210" s="847"/>
      <c r="FV210" s="835"/>
      <c r="FW210" s="845"/>
      <c r="FX210" s="846"/>
      <c r="FY210" s="846"/>
      <c r="FZ210" s="851"/>
      <c r="GA210" s="849"/>
      <c r="GB210" s="846"/>
      <c r="GC210" s="846"/>
      <c r="GD210" s="846"/>
      <c r="GE210" s="846"/>
      <c r="GF210" s="846"/>
      <c r="GG210" s="846"/>
      <c r="GH210" s="846"/>
      <c r="GI210" s="847"/>
      <c r="GJ210" s="845"/>
      <c r="GK210" s="846"/>
      <c r="GL210" s="847"/>
      <c r="GM210" s="845"/>
      <c r="GN210" s="846"/>
      <c r="GO210" s="847"/>
      <c r="GP210" s="845"/>
      <c r="GQ210" s="846"/>
      <c r="GR210" s="846"/>
      <c r="GS210" s="846"/>
      <c r="GT210" s="846"/>
      <c r="GU210" s="847"/>
      <c r="GV210" s="835"/>
      <c r="GW210" s="845"/>
      <c r="GX210" s="846"/>
      <c r="GY210" s="846"/>
      <c r="GZ210" s="851"/>
      <c r="HA210" s="849"/>
      <c r="HB210" s="846"/>
      <c r="HC210" s="846"/>
      <c r="HD210" s="846"/>
      <c r="HE210" s="846"/>
      <c r="HF210" s="846"/>
      <c r="HG210" s="846"/>
      <c r="HH210" s="846"/>
      <c r="HI210" s="847"/>
      <c r="HJ210" s="845"/>
      <c r="HK210" s="846"/>
      <c r="HL210" s="847"/>
      <c r="HM210" s="845"/>
      <c r="HN210" s="846"/>
      <c r="HO210" s="847"/>
      <c r="HP210" s="845"/>
      <c r="HQ210" s="846"/>
      <c r="HR210" s="846"/>
      <c r="HS210" s="846"/>
      <c r="HT210" s="846"/>
      <c r="HU210" s="847"/>
      <c r="HV210" s="835"/>
      <c r="HW210" s="845"/>
      <c r="HX210" s="846"/>
      <c r="HY210" s="846"/>
      <c r="HZ210" s="851"/>
      <c r="IA210" s="849"/>
      <c r="IB210" s="846"/>
      <c r="IC210" s="846"/>
      <c r="ID210" s="846"/>
      <c r="IE210" s="846"/>
      <c r="IF210" s="846"/>
      <c r="IG210" s="846"/>
      <c r="IH210" s="846"/>
      <c r="II210" s="847"/>
      <c r="IJ210" s="845"/>
      <c r="IK210" s="846"/>
      <c r="IL210" s="847"/>
      <c r="IM210" s="845"/>
      <c r="IN210" s="846"/>
      <c r="IO210" s="847"/>
      <c r="IP210" s="845"/>
      <c r="IQ210" s="846"/>
      <c r="IR210" s="846"/>
      <c r="IS210" s="846"/>
      <c r="IT210" s="846"/>
      <c r="IU210" s="847"/>
      <c r="IV210" s="835"/>
      <c r="IW210" s="845"/>
      <c r="IX210" s="846"/>
      <c r="IY210" s="846"/>
      <c r="IZ210" s="851"/>
    </row>
    <row r="211" spans="1:260" ht="15" customHeight="1" x14ac:dyDescent="0.25">
      <c r="A211" s="858" t="str">
        <f>IF(Z207&gt;=A207,$A$9,"")</f>
        <v/>
      </c>
      <c r="B211" s="806"/>
      <c r="C211" s="806"/>
      <c r="D211" s="806"/>
      <c r="E211" s="852"/>
      <c r="F211" s="805" t="str">
        <f>IF(Z207&gt;=A207,$F$9,"")</f>
        <v/>
      </c>
      <c r="G211" s="806"/>
      <c r="H211" s="806"/>
      <c r="I211" s="852"/>
      <c r="J211" s="811" t="str">
        <f>IF(Z207&gt;=A207,$J$9,"")</f>
        <v/>
      </c>
      <c r="K211" s="803" t="str">
        <f>IF(Z207&gt;=A207,$K$9,"")</f>
        <v/>
      </c>
      <c r="L211" s="803" t="str">
        <f>IF(Z207&gt;=A207,$L$9,"")</f>
        <v/>
      </c>
      <c r="M211" s="803" t="str">
        <f>IF(Z207&gt;=A207,$M$9,"")</f>
        <v/>
      </c>
      <c r="N211" s="803" t="str">
        <f>IF(Z207&gt;=A207,$N$9,"")</f>
        <v/>
      </c>
      <c r="O211" s="803" t="str">
        <f>IF(Z207&gt;=A207,$O$9,"")</f>
        <v/>
      </c>
      <c r="P211" s="803" t="str">
        <f>IF(Z207&gt;=A207,$P$9,"")</f>
        <v/>
      </c>
      <c r="Q211" s="803" t="str">
        <f>IF(Z207&gt;=A207,$Q$9,"")</f>
        <v/>
      </c>
      <c r="R211" s="803" t="str">
        <f>IF(Z207&gt;=A207,$R$9,"")</f>
        <v/>
      </c>
      <c r="S211" s="803" t="str">
        <f>IF(Z207&gt;=A207,$S$9,"")</f>
        <v/>
      </c>
      <c r="T211" s="803" t="str">
        <f>IF(Z207&gt;=A207,$T$9,"")</f>
        <v/>
      </c>
      <c r="U211" s="803" t="str">
        <f>IF(Z207&gt;=A207,$U$9,"")</f>
        <v/>
      </c>
      <c r="V211" s="803" t="str">
        <f>IF(Z207&gt;=A207,$V$9,"")</f>
        <v/>
      </c>
      <c r="W211" s="805" t="str">
        <f>IF(Z207&gt;=A207,$W$9,"")</f>
        <v/>
      </c>
      <c r="X211" s="806"/>
      <c r="Y211" s="806"/>
      <c r="Z211" s="807"/>
      <c r="AA211" s="858" t="str">
        <f>IF(AZ207&gt;=AA207,$A$9,"")</f>
        <v/>
      </c>
      <c r="AB211" s="806"/>
      <c r="AC211" s="806"/>
      <c r="AD211" s="806"/>
      <c r="AE211" s="852"/>
      <c r="AF211" s="805" t="str">
        <f>IF(AZ207&gt;=AA207,$F$9,"")</f>
        <v/>
      </c>
      <c r="AG211" s="806"/>
      <c r="AH211" s="806"/>
      <c r="AI211" s="852"/>
      <c r="AJ211" s="811" t="str">
        <f>IF(AZ207&gt;=AA207,$J$9,"")</f>
        <v/>
      </c>
      <c r="AK211" s="803" t="str">
        <f>IF(AZ207&gt;=AA207,$K$9,"")</f>
        <v/>
      </c>
      <c r="AL211" s="803" t="str">
        <f>IF(AZ207&gt;=AA207,$L$9,"")</f>
        <v/>
      </c>
      <c r="AM211" s="803" t="str">
        <f>IF(AZ207&gt;=AA207,$M$9,"")</f>
        <v/>
      </c>
      <c r="AN211" s="803" t="str">
        <f>IF(AZ207&gt;=AA207,$N$9,"")</f>
        <v/>
      </c>
      <c r="AO211" s="803" t="str">
        <f>IF(AZ207&gt;=AA207,$O$9,"")</f>
        <v/>
      </c>
      <c r="AP211" s="803" t="str">
        <f>IF(AZ207&gt;=AA207,$P$9,"")</f>
        <v/>
      </c>
      <c r="AQ211" s="803" t="str">
        <f>IF(AZ207&gt;=AA207,$Q$9,"")</f>
        <v/>
      </c>
      <c r="AR211" s="803" t="str">
        <f>IF(AZ207&gt;=AA207,$R$9,"")</f>
        <v/>
      </c>
      <c r="AS211" s="803" t="str">
        <f>IF(AZ207&gt;=AA207,$S$9,"")</f>
        <v/>
      </c>
      <c r="AT211" s="803" t="str">
        <f>IF(AZ207&gt;=AA207,$T$9,"")</f>
        <v/>
      </c>
      <c r="AU211" s="803" t="str">
        <f>IF(AZ207&gt;=AA207,$U$9,"")</f>
        <v/>
      </c>
      <c r="AV211" s="803" t="str">
        <f>IF(AZ207&gt;=AA207,$V$9,"")</f>
        <v/>
      </c>
      <c r="AW211" s="805" t="str">
        <f>IF(AZ207&gt;=AA207,$W$9,"")</f>
        <v/>
      </c>
      <c r="AX211" s="806"/>
      <c r="AY211" s="806"/>
      <c r="AZ211" s="807"/>
      <c r="BA211" s="858" t="str">
        <f>IF(BZ207&gt;=BA207,$A$9,"")</f>
        <v/>
      </c>
      <c r="BB211" s="806"/>
      <c r="BC211" s="806"/>
      <c r="BD211" s="806"/>
      <c r="BE211" s="852"/>
      <c r="BF211" s="805" t="str">
        <f>IF(BZ207&gt;=BA207,$F$9,"")</f>
        <v/>
      </c>
      <c r="BG211" s="806"/>
      <c r="BH211" s="806"/>
      <c r="BI211" s="852"/>
      <c r="BJ211" s="811" t="str">
        <f>IF(BZ207&gt;=BA207,$J$9,"")</f>
        <v/>
      </c>
      <c r="BK211" s="803" t="str">
        <f>IF(BZ207&gt;=BA207,$K$9,"")</f>
        <v/>
      </c>
      <c r="BL211" s="803" t="str">
        <f>IF(BZ207&gt;=BA207,$L$9,"")</f>
        <v/>
      </c>
      <c r="BM211" s="803" t="str">
        <f>IF(BZ207&gt;=BA207,$M$9,"")</f>
        <v/>
      </c>
      <c r="BN211" s="803" t="str">
        <f>IF(BZ207&gt;=BA207,$N$9,"")</f>
        <v/>
      </c>
      <c r="BO211" s="803" t="str">
        <f>IF(BZ207&gt;=BA207,$O$9,"")</f>
        <v/>
      </c>
      <c r="BP211" s="803" t="str">
        <f>IF(BZ207&gt;=BA207,$P$9,"")</f>
        <v/>
      </c>
      <c r="BQ211" s="803" t="str">
        <f>IF(BZ207&gt;=BA207,$Q$9,"")</f>
        <v/>
      </c>
      <c r="BR211" s="803" t="str">
        <f>IF(BZ207&gt;=BA207,$R$9,"")</f>
        <v/>
      </c>
      <c r="BS211" s="803" t="str">
        <f>IF(BZ207&gt;=BA207,$S$9,"")</f>
        <v/>
      </c>
      <c r="BT211" s="803" t="str">
        <f>IF(BZ207&gt;=BA207,$T$9,"")</f>
        <v/>
      </c>
      <c r="BU211" s="803" t="str">
        <f>IF(BZ207&gt;=BA207,$U$9,"")</f>
        <v/>
      </c>
      <c r="BV211" s="803" t="str">
        <f>IF(BZ207&gt;=BA207,$V$9,"")</f>
        <v/>
      </c>
      <c r="BW211" s="805" t="str">
        <f>IF(BZ207&gt;=BA207,$W$9,"")</f>
        <v/>
      </c>
      <c r="BX211" s="806"/>
      <c r="BY211" s="806"/>
      <c r="BZ211" s="807"/>
      <c r="CA211" s="858" t="str">
        <f>IF(CZ207&gt;=CA207,$A$9,"")</f>
        <v/>
      </c>
      <c r="CB211" s="806"/>
      <c r="CC211" s="806"/>
      <c r="CD211" s="806"/>
      <c r="CE211" s="852"/>
      <c r="CF211" s="805" t="str">
        <f>IF(CZ207&gt;=CA207,$F$9,"")</f>
        <v/>
      </c>
      <c r="CG211" s="806"/>
      <c r="CH211" s="806"/>
      <c r="CI211" s="852"/>
      <c r="CJ211" s="811" t="str">
        <f>IF(CZ207&gt;=CA207,$J$9,"")</f>
        <v/>
      </c>
      <c r="CK211" s="803" t="str">
        <f>IF(CZ207&gt;=CA207,$K$9,"")</f>
        <v/>
      </c>
      <c r="CL211" s="803" t="str">
        <f>IF(CZ207&gt;=CA207,$L$9,"")</f>
        <v/>
      </c>
      <c r="CM211" s="803" t="str">
        <f>IF(CZ207&gt;=CA207,$M$9,"")</f>
        <v/>
      </c>
      <c r="CN211" s="803" t="str">
        <f>IF(CZ207&gt;=CA207,$N$9,"")</f>
        <v/>
      </c>
      <c r="CO211" s="803" t="str">
        <f>IF(CZ207&gt;=CA207,$O$9,"")</f>
        <v/>
      </c>
      <c r="CP211" s="803" t="str">
        <f>IF(CZ207&gt;=CA207,$P$9,"")</f>
        <v/>
      </c>
      <c r="CQ211" s="803" t="str">
        <f>IF(CZ207&gt;=CA207,$Q$9,"")</f>
        <v/>
      </c>
      <c r="CR211" s="803" t="str">
        <f>IF(CZ207&gt;=CA207,$R$9,"")</f>
        <v/>
      </c>
      <c r="CS211" s="803" t="str">
        <f>IF(CZ207&gt;=CA207,$S$9,"")</f>
        <v/>
      </c>
      <c r="CT211" s="803" t="str">
        <f>IF(CZ207&gt;=CA207,$T$9,"")</f>
        <v/>
      </c>
      <c r="CU211" s="803" t="str">
        <f>IF(CZ207&gt;=CA207,$U$9,"")</f>
        <v/>
      </c>
      <c r="CV211" s="803" t="str">
        <f>IF(CZ207&gt;=CA207,$V$9,"")</f>
        <v/>
      </c>
      <c r="CW211" s="805" t="str">
        <f>IF(CZ207&gt;=CA207,$W$9,"")</f>
        <v/>
      </c>
      <c r="CX211" s="806"/>
      <c r="CY211" s="806"/>
      <c r="CZ211" s="807"/>
      <c r="DA211" s="858" t="str">
        <f>IF(DZ207&gt;=DA207,$A$9,"")</f>
        <v/>
      </c>
      <c r="DB211" s="806"/>
      <c r="DC211" s="806"/>
      <c r="DD211" s="806"/>
      <c r="DE211" s="852"/>
      <c r="DF211" s="805" t="str">
        <f>IF(DZ207&gt;=DA207,$F$9,"")</f>
        <v/>
      </c>
      <c r="DG211" s="806"/>
      <c r="DH211" s="806"/>
      <c r="DI211" s="852"/>
      <c r="DJ211" s="811" t="str">
        <f>IF(DZ207&gt;=DA207,$J$9,"")</f>
        <v/>
      </c>
      <c r="DK211" s="803" t="str">
        <f>IF(DZ207&gt;=DA207,$K$9,"")</f>
        <v/>
      </c>
      <c r="DL211" s="803" t="str">
        <f>IF(DZ207&gt;=DA207,$L$9,"")</f>
        <v/>
      </c>
      <c r="DM211" s="803" t="str">
        <f>IF(DZ207&gt;=DA207,$M$9,"")</f>
        <v/>
      </c>
      <c r="DN211" s="803" t="str">
        <f>IF(DZ207&gt;=DA207,$N$9,"")</f>
        <v/>
      </c>
      <c r="DO211" s="803" t="str">
        <f>IF(DZ207&gt;=DA207,$O$9,"")</f>
        <v/>
      </c>
      <c r="DP211" s="803" t="str">
        <f>IF(DZ207&gt;=DA207,$P$9,"")</f>
        <v/>
      </c>
      <c r="DQ211" s="803" t="str">
        <f>IF(DZ207&gt;=DA207,$Q$9,"")</f>
        <v/>
      </c>
      <c r="DR211" s="803" t="str">
        <f>IF(DZ207&gt;=DA207,$R$9,"")</f>
        <v/>
      </c>
      <c r="DS211" s="803" t="str">
        <f>IF(DZ207&gt;=DA207,$S$9,"")</f>
        <v/>
      </c>
      <c r="DT211" s="803" t="str">
        <f>IF(DZ207&gt;=DA207,$T$9,"")</f>
        <v/>
      </c>
      <c r="DU211" s="803" t="str">
        <f>IF(DZ207&gt;=DA207,$U$9,"")</f>
        <v/>
      </c>
      <c r="DV211" s="803" t="str">
        <f>IF(DZ207&gt;=DA207,$V$9,"")</f>
        <v/>
      </c>
      <c r="DW211" s="805" t="str">
        <f>IF(DZ207&gt;=DA207,$W$9,"")</f>
        <v/>
      </c>
      <c r="DX211" s="806"/>
      <c r="DY211" s="806"/>
      <c r="DZ211" s="807"/>
      <c r="EA211" s="858" t="str">
        <f>IF(EZ207&gt;=EA207,$A$9,"")</f>
        <v/>
      </c>
      <c r="EB211" s="806"/>
      <c r="EC211" s="806"/>
      <c r="ED211" s="806"/>
      <c r="EE211" s="852"/>
      <c r="EF211" s="805" t="str">
        <f>IF(EZ207&gt;=EA207,$F$9,"")</f>
        <v/>
      </c>
      <c r="EG211" s="806"/>
      <c r="EH211" s="806"/>
      <c r="EI211" s="852"/>
      <c r="EJ211" s="811" t="str">
        <f>IF(EZ207&gt;=EA207,$J$9,"")</f>
        <v/>
      </c>
      <c r="EK211" s="803" t="str">
        <f>IF(EZ207&gt;=EA207,$K$9,"")</f>
        <v/>
      </c>
      <c r="EL211" s="803" t="str">
        <f>IF(EZ207&gt;=EA207,$L$9,"")</f>
        <v/>
      </c>
      <c r="EM211" s="803" t="str">
        <f>IF(EZ207&gt;=EA207,$M$9,"")</f>
        <v/>
      </c>
      <c r="EN211" s="803" t="str">
        <f>IF(EZ207&gt;=EA207,$N$9,"")</f>
        <v/>
      </c>
      <c r="EO211" s="803" t="str">
        <f>IF(EZ207&gt;=EA207,$O$9,"")</f>
        <v/>
      </c>
      <c r="EP211" s="803" t="str">
        <f>IF(EZ207&gt;=EA207,$P$9,"")</f>
        <v/>
      </c>
      <c r="EQ211" s="803" t="str">
        <f>IF(EZ207&gt;=EA207,$Q$9,"")</f>
        <v/>
      </c>
      <c r="ER211" s="803" t="str">
        <f>IF(EZ207&gt;=EA207,$R$9,"")</f>
        <v/>
      </c>
      <c r="ES211" s="803" t="str">
        <f>IF(EZ207&gt;=EA207,$S$9,"")</f>
        <v/>
      </c>
      <c r="ET211" s="803" t="str">
        <f>IF(EZ207&gt;=EA207,$T$9,"")</f>
        <v/>
      </c>
      <c r="EU211" s="803" t="str">
        <f>IF(EZ207&gt;=EA207,$U$9,"")</f>
        <v/>
      </c>
      <c r="EV211" s="803" t="str">
        <f>IF(EZ207&gt;=EA207,$V$9,"")</f>
        <v/>
      </c>
      <c r="EW211" s="805" t="str">
        <f>IF(EZ207&gt;=EA207,$W$9,"")</f>
        <v/>
      </c>
      <c r="EX211" s="806"/>
      <c r="EY211" s="806"/>
      <c r="EZ211" s="807"/>
      <c r="FA211" s="858" t="str">
        <f>IF(FZ207&gt;=FA207,$A$9,"")</f>
        <v/>
      </c>
      <c r="FB211" s="806"/>
      <c r="FC211" s="806"/>
      <c r="FD211" s="806"/>
      <c r="FE211" s="852"/>
      <c r="FF211" s="805" t="str">
        <f>IF(FZ207&gt;=FA207,$F$9,"")</f>
        <v/>
      </c>
      <c r="FG211" s="806"/>
      <c r="FH211" s="806"/>
      <c r="FI211" s="852"/>
      <c r="FJ211" s="811" t="str">
        <f>IF(FZ207&gt;=FA207,$J$9,"")</f>
        <v/>
      </c>
      <c r="FK211" s="803" t="str">
        <f>IF(FZ207&gt;=FA207,$K$9,"")</f>
        <v/>
      </c>
      <c r="FL211" s="803" t="str">
        <f>IF(FZ207&gt;=FA207,$L$9,"")</f>
        <v/>
      </c>
      <c r="FM211" s="803" t="str">
        <f>IF(FZ207&gt;=FA207,$M$9,"")</f>
        <v/>
      </c>
      <c r="FN211" s="803" t="str">
        <f>IF(FZ207&gt;=FA207,$N$9,"")</f>
        <v/>
      </c>
      <c r="FO211" s="803" t="str">
        <f>IF(FZ207&gt;=FA207,$O$9,"")</f>
        <v/>
      </c>
      <c r="FP211" s="803" t="str">
        <f>IF(FZ207&gt;=FA207,$P$9,"")</f>
        <v/>
      </c>
      <c r="FQ211" s="803" t="str">
        <f>IF(FZ207&gt;=FA207,$Q$9,"")</f>
        <v/>
      </c>
      <c r="FR211" s="803" t="str">
        <f>IF(FZ207&gt;=FA207,$R$9,"")</f>
        <v/>
      </c>
      <c r="FS211" s="803" t="str">
        <f>IF(FZ207&gt;=FA207,$S$9,"")</f>
        <v/>
      </c>
      <c r="FT211" s="803" t="str">
        <f>IF(FZ207&gt;=FA207,$T$9,"")</f>
        <v/>
      </c>
      <c r="FU211" s="803" t="str">
        <f>IF(FZ207&gt;=FA207,$U$9,"")</f>
        <v/>
      </c>
      <c r="FV211" s="803" t="str">
        <f>IF(FZ207&gt;=FA207,$V$9,"")</f>
        <v/>
      </c>
      <c r="FW211" s="805" t="str">
        <f>IF(FZ207&gt;=FA207,$W$9,"")</f>
        <v/>
      </c>
      <c r="FX211" s="806"/>
      <c r="FY211" s="806"/>
      <c r="FZ211" s="807"/>
      <c r="GA211" s="858" t="str">
        <f>IF(GZ207&gt;=GA207,$A$9,"")</f>
        <v/>
      </c>
      <c r="GB211" s="806"/>
      <c r="GC211" s="806"/>
      <c r="GD211" s="806"/>
      <c r="GE211" s="852"/>
      <c r="GF211" s="805" t="str">
        <f>IF(GZ207&gt;=GA207,$F$9,"")</f>
        <v/>
      </c>
      <c r="GG211" s="806"/>
      <c r="GH211" s="806"/>
      <c r="GI211" s="852"/>
      <c r="GJ211" s="811" t="str">
        <f>IF(GZ207&gt;=GA207,$J$9,"")</f>
        <v/>
      </c>
      <c r="GK211" s="803" t="str">
        <f>IF(GZ207&gt;=GA207,$K$9,"")</f>
        <v/>
      </c>
      <c r="GL211" s="803" t="str">
        <f>IF(GZ207&gt;=GA207,$L$9,"")</f>
        <v/>
      </c>
      <c r="GM211" s="803" t="str">
        <f>IF(GZ207&gt;=GA207,$M$9,"")</f>
        <v/>
      </c>
      <c r="GN211" s="803" t="str">
        <f>IF(GZ207&gt;=GA207,$N$9,"")</f>
        <v/>
      </c>
      <c r="GO211" s="803" t="str">
        <f>IF(GZ207&gt;=GA207,$O$9,"")</f>
        <v/>
      </c>
      <c r="GP211" s="803" t="str">
        <f>IF(GZ207&gt;=GA207,$P$9,"")</f>
        <v/>
      </c>
      <c r="GQ211" s="803" t="str">
        <f>IF(GZ207&gt;=GA207,$Q$9,"")</f>
        <v/>
      </c>
      <c r="GR211" s="803" t="str">
        <f>IF(GZ207&gt;=GA207,$R$9,"")</f>
        <v/>
      </c>
      <c r="GS211" s="803" t="str">
        <f>IF(GZ207&gt;=GA207,$S$9,"")</f>
        <v/>
      </c>
      <c r="GT211" s="803" t="str">
        <f>IF(GZ207&gt;=GA207,$T$9,"")</f>
        <v/>
      </c>
      <c r="GU211" s="803" t="str">
        <f>IF(GZ207&gt;=GA207,$U$9,"")</f>
        <v/>
      </c>
      <c r="GV211" s="803" t="str">
        <f>IF(GZ207&gt;=GA207,$V$9,"")</f>
        <v/>
      </c>
      <c r="GW211" s="805" t="str">
        <f>IF(GZ207&gt;=GA207,$W$9,"")</f>
        <v/>
      </c>
      <c r="GX211" s="806"/>
      <c r="GY211" s="806"/>
      <c r="GZ211" s="807"/>
      <c r="HA211" s="858" t="str">
        <f>IF(HZ207&gt;=HA207,$A$9,"")</f>
        <v/>
      </c>
      <c r="HB211" s="806"/>
      <c r="HC211" s="806"/>
      <c r="HD211" s="806"/>
      <c r="HE211" s="852"/>
      <c r="HF211" s="805" t="str">
        <f>IF(HZ207&gt;=HA207,$F$9,"")</f>
        <v/>
      </c>
      <c r="HG211" s="806"/>
      <c r="HH211" s="806"/>
      <c r="HI211" s="852"/>
      <c r="HJ211" s="811" t="str">
        <f>IF(HZ207&gt;=HA207,$J$9,"")</f>
        <v/>
      </c>
      <c r="HK211" s="803" t="str">
        <f>IF(HZ207&gt;=HA207,$K$9,"")</f>
        <v/>
      </c>
      <c r="HL211" s="803" t="str">
        <f>IF(HZ207&gt;=HA207,$L$9,"")</f>
        <v/>
      </c>
      <c r="HM211" s="803" t="str">
        <f>IF(HZ207&gt;=HA207,$M$9,"")</f>
        <v/>
      </c>
      <c r="HN211" s="803" t="str">
        <f>IF(HZ207&gt;=HA207,$N$9,"")</f>
        <v/>
      </c>
      <c r="HO211" s="803" t="str">
        <f>IF(HZ207&gt;=HA207,$O$9,"")</f>
        <v/>
      </c>
      <c r="HP211" s="803" t="str">
        <f>IF(HZ207&gt;=HA207,$P$9,"")</f>
        <v/>
      </c>
      <c r="HQ211" s="803" t="str">
        <f>IF(HZ207&gt;=HA207,$Q$9,"")</f>
        <v/>
      </c>
      <c r="HR211" s="803" t="str">
        <f>IF(HZ207&gt;=HA207,$R$9,"")</f>
        <v/>
      </c>
      <c r="HS211" s="803" t="str">
        <f>IF(HZ207&gt;=HA207,$S$9,"")</f>
        <v/>
      </c>
      <c r="HT211" s="803" t="str">
        <f>IF(HZ207&gt;=HA207,$T$9,"")</f>
        <v/>
      </c>
      <c r="HU211" s="803" t="str">
        <f>IF(HZ207&gt;=HA207,$U$9,"")</f>
        <v/>
      </c>
      <c r="HV211" s="803" t="str">
        <f>IF(HZ207&gt;=HA207,$V$9,"")</f>
        <v/>
      </c>
      <c r="HW211" s="805" t="str">
        <f>IF(HZ207&gt;=HA207,$W$9,"")</f>
        <v/>
      </c>
      <c r="HX211" s="806"/>
      <c r="HY211" s="806"/>
      <c r="HZ211" s="807"/>
      <c r="IA211" s="858" t="str">
        <f>IF(IZ207&gt;=IA207,$A$9,"")</f>
        <v/>
      </c>
      <c r="IB211" s="806"/>
      <c r="IC211" s="806"/>
      <c r="ID211" s="806"/>
      <c r="IE211" s="852"/>
      <c r="IF211" s="805" t="str">
        <f>IF(IZ207&gt;=IA207,$F$9,"")</f>
        <v/>
      </c>
      <c r="IG211" s="806"/>
      <c r="IH211" s="806"/>
      <c r="II211" s="852"/>
      <c r="IJ211" s="811" t="str">
        <f>IF(IZ207&gt;=IA207,$J$9,"")</f>
        <v/>
      </c>
      <c r="IK211" s="803" t="str">
        <f>IF(IZ207&gt;=IA207,$K$9,"")</f>
        <v/>
      </c>
      <c r="IL211" s="803" t="str">
        <f>IF(IZ207&gt;=IA207,$L$9,"")</f>
        <v/>
      </c>
      <c r="IM211" s="803" t="str">
        <f>IF(IZ207&gt;=IA207,$M$9,"")</f>
        <v/>
      </c>
      <c r="IN211" s="803" t="str">
        <f>IF(IZ207&gt;=IA207,$N$9,"")</f>
        <v/>
      </c>
      <c r="IO211" s="803" t="str">
        <f>IF(IZ207&gt;=IA207,$O$9,"")</f>
        <v/>
      </c>
      <c r="IP211" s="803" t="str">
        <f>IF(IZ207&gt;=IA207,$P$9,"")</f>
        <v/>
      </c>
      <c r="IQ211" s="803" t="str">
        <f>IF(IZ207&gt;=IA207,$Q$9,"")</f>
        <v/>
      </c>
      <c r="IR211" s="803" t="str">
        <f>IF(IZ207&gt;=IA207,$R$9,"")</f>
        <v/>
      </c>
      <c r="IS211" s="803" t="str">
        <f>IF(IZ207&gt;=IA207,$S$9,"")</f>
        <v/>
      </c>
      <c r="IT211" s="803" t="str">
        <f>IF(IZ207&gt;=IA207,$T$9,"")</f>
        <v/>
      </c>
      <c r="IU211" s="803" t="str">
        <f>IF(IZ207&gt;=IA207,$U$9,"")</f>
        <v/>
      </c>
      <c r="IV211" s="803" t="str">
        <f>IF(IZ207&gt;=IA207,$V$9,"")</f>
        <v/>
      </c>
      <c r="IW211" s="805" t="str">
        <f>IF(IZ207&gt;=IA207,$W$9,"")</f>
        <v/>
      </c>
      <c r="IX211" s="806"/>
      <c r="IY211" s="806"/>
      <c r="IZ211" s="807"/>
    </row>
    <row r="212" spans="1:260" x14ac:dyDescent="0.25">
      <c r="A212" s="859"/>
      <c r="B212" s="809"/>
      <c r="C212" s="809"/>
      <c r="D212" s="809"/>
      <c r="E212" s="853"/>
      <c r="F212" s="808"/>
      <c r="G212" s="809"/>
      <c r="H212" s="809"/>
      <c r="I212" s="853"/>
      <c r="J212" s="812"/>
      <c r="K212" s="804"/>
      <c r="L212" s="804"/>
      <c r="M212" s="804"/>
      <c r="N212" s="804"/>
      <c r="O212" s="804"/>
      <c r="P212" s="804"/>
      <c r="Q212" s="804"/>
      <c r="R212" s="804"/>
      <c r="S212" s="804"/>
      <c r="T212" s="804"/>
      <c r="U212" s="804"/>
      <c r="V212" s="804"/>
      <c r="W212" s="808"/>
      <c r="X212" s="809"/>
      <c r="Y212" s="809"/>
      <c r="Z212" s="810"/>
      <c r="AA212" s="859"/>
      <c r="AB212" s="809"/>
      <c r="AC212" s="809"/>
      <c r="AD212" s="809"/>
      <c r="AE212" s="853"/>
      <c r="AF212" s="808"/>
      <c r="AG212" s="809"/>
      <c r="AH212" s="809"/>
      <c r="AI212" s="853"/>
      <c r="AJ212" s="812"/>
      <c r="AK212" s="804"/>
      <c r="AL212" s="804"/>
      <c r="AM212" s="804"/>
      <c r="AN212" s="804"/>
      <c r="AO212" s="804"/>
      <c r="AP212" s="804"/>
      <c r="AQ212" s="804"/>
      <c r="AR212" s="804"/>
      <c r="AS212" s="804"/>
      <c r="AT212" s="804"/>
      <c r="AU212" s="804"/>
      <c r="AV212" s="804"/>
      <c r="AW212" s="808"/>
      <c r="AX212" s="809"/>
      <c r="AY212" s="809"/>
      <c r="AZ212" s="810"/>
      <c r="BA212" s="859"/>
      <c r="BB212" s="809"/>
      <c r="BC212" s="809"/>
      <c r="BD212" s="809"/>
      <c r="BE212" s="853"/>
      <c r="BF212" s="808"/>
      <c r="BG212" s="809"/>
      <c r="BH212" s="809"/>
      <c r="BI212" s="853"/>
      <c r="BJ212" s="812"/>
      <c r="BK212" s="804"/>
      <c r="BL212" s="804"/>
      <c r="BM212" s="804"/>
      <c r="BN212" s="804"/>
      <c r="BO212" s="804"/>
      <c r="BP212" s="804"/>
      <c r="BQ212" s="804"/>
      <c r="BR212" s="804"/>
      <c r="BS212" s="804"/>
      <c r="BT212" s="804"/>
      <c r="BU212" s="804"/>
      <c r="BV212" s="804"/>
      <c r="BW212" s="808"/>
      <c r="BX212" s="809"/>
      <c r="BY212" s="809"/>
      <c r="BZ212" s="810"/>
      <c r="CA212" s="859"/>
      <c r="CB212" s="809"/>
      <c r="CC212" s="809"/>
      <c r="CD212" s="809"/>
      <c r="CE212" s="853"/>
      <c r="CF212" s="808"/>
      <c r="CG212" s="809"/>
      <c r="CH212" s="809"/>
      <c r="CI212" s="853"/>
      <c r="CJ212" s="812"/>
      <c r="CK212" s="804"/>
      <c r="CL212" s="804"/>
      <c r="CM212" s="804"/>
      <c r="CN212" s="804"/>
      <c r="CO212" s="804"/>
      <c r="CP212" s="804"/>
      <c r="CQ212" s="804"/>
      <c r="CR212" s="804"/>
      <c r="CS212" s="804"/>
      <c r="CT212" s="804"/>
      <c r="CU212" s="804"/>
      <c r="CV212" s="804"/>
      <c r="CW212" s="808"/>
      <c r="CX212" s="809"/>
      <c r="CY212" s="809"/>
      <c r="CZ212" s="810"/>
      <c r="DA212" s="859"/>
      <c r="DB212" s="809"/>
      <c r="DC212" s="809"/>
      <c r="DD212" s="809"/>
      <c r="DE212" s="853"/>
      <c r="DF212" s="808"/>
      <c r="DG212" s="809"/>
      <c r="DH212" s="809"/>
      <c r="DI212" s="853"/>
      <c r="DJ212" s="812"/>
      <c r="DK212" s="804"/>
      <c r="DL212" s="804"/>
      <c r="DM212" s="804"/>
      <c r="DN212" s="804"/>
      <c r="DO212" s="804"/>
      <c r="DP212" s="804"/>
      <c r="DQ212" s="804"/>
      <c r="DR212" s="804"/>
      <c r="DS212" s="804"/>
      <c r="DT212" s="804"/>
      <c r="DU212" s="804"/>
      <c r="DV212" s="804"/>
      <c r="DW212" s="808"/>
      <c r="DX212" s="809"/>
      <c r="DY212" s="809"/>
      <c r="DZ212" s="810"/>
      <c r="EA212" s="859"/>
      <c r="EB212" s="809"/>
      <c r="EC212" s="809"/>
      <c r="ED212" s="809"/>
      <c r="EE212" s="853"/>
      <c r="EF212" s="808"/>
      <c r="EG212" s="809"/>
      <c r="EH212" s="809"/>
      <c r="EI212" s="853"/>
      <c r="EJ212" s="812"/>
      <c r="EK212" s="804"/>
      <c r="EL212" s="804"/>
      <c r="EM212" s="804"/>
      <c r="EN212" s="804"/>
      <c r="EO212" s="804"/>
      <c r="EP212" s="804"/>
      <c r="EQ212" s="804"/>
      <c r="ER212" s="804"/>
      <c r="ES212" s="804"/>
      <c r="ET212" s="804"/>
      <c r="EU212" s="804"/>
      <c r="EV212" s="804"/>
      <c r="EW212" s="808"/>
      <c r="EX212" s="809"/>
      <c r="EY212" s="809"/>
      <c r="EZ212" s="810"/>
      <c r="FA212" s="859"/>
      <c r="FB212" s="809"/>
      <c r="FC212" s="809"/>
      <c r="FD212" s="809"/>
      <c r="FE212" s="853"/>
      <c r="FF212" s="808"/>
      <c r="FG212" s="809"/>
      <c r="FH212" s="809"/>
      <c r="FI212" s="853"/>
      <c r="FJ212" s="812"/>
      <c r="FK212" s="804"/>
      <c r="FL212" s="804"/>
      <c r="FM212" s="804"/>
      <c r="FN212" s="804"/>
      <c r="FO212" s="804"/>
      <c r="FP212" s="804"/>
      <c r="FQ212" s="804"/>
      <c r="FR212" s="804"/>
      <c r="FS212" s="804"/>
      <c r="FT212" s="804"/>
      <c r="FU212" s="804"/>
      <c r="FV212" s="804"/>
      <c r="FW212" s="808"/>
      <c r="FX212" s="809"/>
      <c r="FY212" s="809"/>
      <c r="FZ212" s="810"/>
      <c r="GA212" s="859"/>
      <c r="GB212" s="809"/>
      <c r="GC212" s="809"/>
      <c r="GD212" s="809"/>
      <c r="GE212" s="853"/>
      <c r="GF212" s="808"/>
      <c r="GG212" s="809"/>
      <c r="GH212" s="809"/>
      <c r="GI212" s="853"/>
      <c r="GJ212" s="812"/>
      <c r="GK212" s="804"/>
      <c r="GL212" s="804"/>
      <c r="GM212" s="804"/>
      <c r="GN212" s="804"/>
      <c r="GO212" s="804"/>
      <c r="GP212" s="804"/>
      <c r="GQ212" s="804"/>
      <c r="GR212" s="804"/>
      <c r="GS212" s="804"/>
      <c r="GT212" s="804"/>
      <c r="GU212" s="804"/>
      <c r="GV212" s="804"/>
      <c r="GW212" s="808"/>
      <c r="GX212" s="809"/>
      <c r="GY212" s="809"/>
      <c r="GZ212" s="810"/>
      <c r="HA212" s="859"/>
      <c r="HB212" s="809"/>
      <c r="HC212" s="809"/>
      <c r="HD212" s="809"/>
      <c r="HE212" s="853"/>
      <c r="HF212" s="808"/>
      <c r="HG212" s="809"/>
      <c r="HH212" s="809"/>
      <c r="HI212" s="853"/>
      <c r="HJ212" s="812"/>
      <c r="HK212" s="804"/>
      <c r="HL212" s="804"/>
      <c r="HM212" s="804"/>
      <c r="HN212" s="804"/>
      <c r="HO212" s="804"/>
      <c r="HP212" s="804"/>
      <c r="HQ212" s="804"/>
      <c r="HR212" s="804"/>
      <c r="HS212" s="804"/>
      <c r="HT212" s="804"/>
      <c r="HU212" s="804"/>
      <c r="HV212" s="804"/>
      <c r="HW212" s="808"/>
      <c r="HX212" s="809"/>
      <c r="HY212" s="809"/>
      <c r="HZ212" s="810"/>
      <c r="IA212" s="859"/>
      <c r="IB212" s="809"/>
      <c r="IC212" s="809"/>
      <c r="ID212" s="809"/>
      <c r="IE212" s="853"/>
      <c r="IF212" s="808"/>
      <c r="IG212" s="809"/>
      <c r="IH212" s="809"/>
      <c r="II212" s="853"/>
      <c r="IJ212" s="812"/>
      <c r="IK212" s="804"/>
      <c r="IL212" s="804"/>
      <c r="IM212" s="804"/>
      <c r="IN212" s="804"/>
      <c r="IO212" s="804"/>
      <c r="IP212" s="804"/>
      <c r="IQ212" s="804"/>
      <c r="IR212" s="804"/>
      <c r="IS212" s="804"/>
      <c r="IT212" s="804"/>
      <c r="IU212" s="804"/>
      <c r="IV212" s="804"/>
      <c r="IW212" s="808"/>
      <c r="IX212" s="809"/>
      <c r="IY212" s="809"/>
      <c r="IZ212" s="810"/>
    </row>
    <row r="213" spans="1:260" ht="15" customHeight="1" x14ac:dyDescent="0.25">
      <c r="A213" s="854" t="str">
        <f>IFERROR(INDEX(Lista_Pedidos,Procesos!Y207+A207-1,3),"")</f>
        <v/>
      </c>
      <c r="B213" s="855"/>
      <c r="C213" s="855"/>
      <c r="D213" s="855"/>
      <c r="E213" s="856"/>
      <c r="F213" s="857" t="str">
        <f>IF(Z207&gt;A207-1,E$11,"")</f>
        <v/>
      </c>
      <c r="G213" s="855"/>
      <c r="H213" s="855"/>
      <c r="I213" s="856"/>
      <c r="J213" s="526" t="str">
        <f>IFERROR(IF(IF(Z207&gt;A207-1,INDEX(Lista_Pedidos,Y207+A207-1,J207),"")=0,"",IF(Z207&gt;A207-1,INDEX(Lista_Pedidos,Y207+A207-1,J207),"")),"")</f>
        <v/>
      </c>
      <c r="K213" s="526" t="str">
        <f>IFERROR(IF(IF(Z207&gt;A207-1,INDEX(Lista_Pedidos,Y207+A207-1,K207),"")=0,"",IF(Z207&gt;A207-1,INDEX(Lista_Pedidos,Y207+A207-1,K207),"")),"")</f>
        <v/>
      </c>
      <c r="L213" s="526" t="str">
        <f>IFERROR(IF(IF(Z207&gt;A207-1,INDEX(Lista_Pedidos,Y207+A207-1,L207),"")=0,"",IF(Z207&gt;A207-1,INDEX(Lista_Pedidos,Y207+A207-1,L207),"")),"")</f>
        <v/>
      </c>
      <c r="M213" s="526" t="str">
        <f>IFERROR(IF(IF(Z207&gt;A207-1,INDEX(Lista_Pedidos,Y207+A207-1,M207),"")=0,"",IF(Z207&gt;A207-1,INDEX(Lista_Pedidos,Y207+A207-1,M207),"")),"")</f>
        <v/>
      </c>
      <c r="N213" s="526" t="str">
        <f>IFERROR(IF(IF(Z207&gt;A207-1,INDEX(Lista_Pedidos,Y207+A207-1,N207),"")=0,"",IF(Z207&gt;A207-1,INDEX(Lista_Pedidos,Y207+A207-1,N207),"")),"")</f>
        <v/>
      </c>
      <c r="O213" s="526" t="str">
        <f>IFERROR(IF(IF(Z207&gt;A207-1,INDEX(Lista_Pedidos,Y207+A207-1,O207),"")=0,"",IF(Z207&gt;A207-1,INDEX(Lista_Pedidos,Y207+A207-1,O207),"")),"")</f>
        <v/>
      </c>
      <c r="P213" s="526" t="str">
        <f>IFERROR(IF(IF(Z207&gt;A207-1,INDEX(Lista_Pedidos,Y207+A207-1,P207),"")=0,"",IF(Z207&gt;A207-1,INDEX(Lista_Pedidos,Y207+A207-1,P207),"")),"")</f>
        <v/>
      </c>
      <c r="Q213" s="526" t="str">
        <f>IFERROR(IF(IF(Z207&gt;A207-1,INDEX(Lista_Pedidos,Y207+A207-1,Q207),"")=0,"",IF(Z207&gt;A207-1,INDEX(Lista_Pedidos,Y207+A207-1,Q207),"")),"")</f>
        <v/>
      </c>
      <c r="R213" s="526" t="str">
        <f>IFERROR(IF(IF(Z207&gt;A207-1,INDEX(Lista_Pedidos,Y207+A207-1,R207),"")=0,"",IF(Z207&gt;A207-1,INDEX(Lista_Pedidos,Y207+A207-1,R207),"")),"")</f>
        <v/>
      </c>
      <c r="S213" s="526" t="str">
        <f>IFERROR(IF(IF(Z207&gt;A207-1,INDEX(Lista_Pedidos,Y207+A207-1,S207),"")=0,"",IF(Z207&gt;A207-1,INDEX(Lista_Pedidos,Y207+A207-1,S207),"")),"")</f>
        <v/>
      </c>
      <c r="T213" s="526" t="str">
        <f>IFERROR(IF(IF(Z207&gt;A207-1,INDEX(Lista_Pedidos,Y207+A207-1,T207),"")=0,"",IF(Z207&gt;A207-1,INDEX(Lista_Pedidos,Y207+A207-1,T207),"")),"")</f>
        <v/>
      </c>
      <c r="U213" s="526" t="str">
        <f>IFERROR(IF(IF(Z207&gt;A207-1,INDEX(Lista_Pedidos,Y207+A207-1,U207),"")=0,"",IF(Z207&gt;A207-1,INDEX(Lista_Pedidos,Y207+A207-1,U207),"")),"")</f>
        <v/>
      </c>
      <c r="V213" s="526" t="str">
        <f>IFERROR(IF(IF(Z207&gt;A207-1,INDEX(Lista_Pedidos,Y207+A207-1,V207),"")=0,"",IF(Z207&gt;A207-1,INDEX(Lista_Pedidos,Y207+A207-1,V207),"")),"")</f>
        <v/>
      </c>
      <c r="W213" s="857" t="str">
        <f>IF(SUM(J213:V213)&gt;1,SUM(J213:V213),"")</f>
        <v/>
      </c>
      <c r="X213" s="855"/>
      <c r="Y213" s="855"/>
      <c r="Z213" s="860"/>
      <c r="AA213" s="854" t="str">
        <f>IFERROR(INDEX(Lista_Pedidos,Procesos!AY207+AA207-1,3),"")</f>
        <v/>
      </c>
      <c r="AB213" s="855"/>
      <c r="AC213" s="855"/>
      <c r="AD213" s="855"/>
      <c r="AE213" s="856"/>
      <c r="AF213" s="857" t="str">
        <f>IF(AZ207&gt;AA207-1,AE$11,"")</f>
        <v/>
      </c>
      <c r="AG213" s="855"/>
      <c r="AH213" s="855"/>
      <c r="AI213" s="856"/>
      <c r="AJ213" s="526" t="str">
        <f>IFERROR(IF(IF(AZ207&gt;AA207-1,INDEX(Lista_Pedidos,AY207+AA207-1,AJ207),"")=0,"",IF(AZ207&gt;AA207-1,INDEX(Lista_Pedidos,AY207+AA207-1,AJ207),"")),"")</f>
        <v/>
      </c>
      <c r="AK213" s="526" t="str">
        <f>IFERROR(IF(IF(AZ207&gt;AA207-1,INDEX(Lista_Pedidos,AY207+AA207-1,AK207),"")=0,"",IF(AZ207&gt;AA207-1,INDEX(Lista_Pedidos,AY207+AA207-1,AK207),"")),"")</f>
        <v/>
      </c>
      <c r="AL213" s="526" t="str">
        <f>IFERROR(IF(IF(AZ207&gt;AA207-1,INDEX(Lista_Pedidos,AY207+AA207-1,AL207),"")=0,"",IF(AZ207&gt;AA207-1,INDEX(Lista_Pedidos,AY207+AA207-1,AL207),"")),"")</f>
        <v/>
      </c>
      <c r="AM213" s="526" t="str">
        <f>IFERROR(IF(IF(AZ207&gt;AA207-1,INDEX(Lista_Pedidos,AY207+AA207-1,AM207),"")=0,"",IF(AZ207&gt;AA207-1,INDEX(Lista_Pedidos,AY207+AA207-1,AM207),"")),"")</f>
        <v/>
      </c>
      <c r="AN213" s="526" t="str">
        <f>IFERROR(IF(IF(AZ207&gt;AA207-1,INDEX(Lista_Pedidos,AY207+AA207-1,AN207),"")=0,"",IF(AZ207&gt;AA207-1,INDEX(Lista_Pedidos,AY207+AA207-1,AN207),"")),"")</f>
        <v/>
      </c>
      <c r="AO213" s="526" t="str">
        <f>IFERROR(IF(IF(AZ207&gt;AA207-1,INDEX(Lista_Pedidos,AY207+AA207-1,AO207),"")=0,"",IF(AZ207&gt;AA207-1,INDEX(Lista_Pedidos,AY207+AA207-1,AO207),"")),"")</f>
        <v/>
      </c>
      <c r="AP213" s="526" t="str">
        <f>IFERROR(IF(IF(AZ207&gt;AA207-1,INDEX(Lista_Pedidos,AY207+AA207-1,AP207),"")=0,"",IF(AZ207&gt;AA207-1,INDEX(Lista_Pedidos,AY207+AA207-1,AP207),"")),"")</f>
        <v/>
      </c>
      <c r="AQ213" s="526" t="str">
        <f>IFERROR(IF(IF(AZ207&gt;AA207-1,INDEX(Lista_Pedidos,AY207+AA207-1,AQ207),"")=0,"",IF(AZ207&gt;AA207-1,INDEX(Lista_Pedidos,AY207+AA207-1,AQ207),"")),"")</f>
        <v/>
      </c>
      <c r="AR213" s="526" t="str">
        <f>IFERROR(IF(IF(AZ207&gt;AA207-1,INDEX(Lista_Pedidos,AY207+AA207-1,AR207),"")=0,"",IF(AZ207&gt;AA207-1,INDEX(Lista_Pedidos,AY207+AA207-1,AR207),"")),"")</f>
        <v/>
      </c>
      <c r="AS213" s="526" t="str">
        <f>IFERROR(IF(IF(AZ207&gt;AA207-1,INDEX(Lista_Pedidos,AY207+AA207-1,AS207),"")=0,"",IF(AZ207&gt;AA207-1,INDEX(Lista_Pedidos,AY207+AA207-1,AS207),"")),"")</f>
        <v/>
      </c>
      <c r="AT213" s="526" t="str">
        <f>IFERROR(IF(IF(AZ207&gt;AA207-1,INDEX(Lista_Pedidos,AY207+AA207-1,AT207),"")=0,"",IF(AZ207&gt;AA207-1,INDEX(Lista_Pedidos,AY207+AA207-1,AT207),"")),"")</f>
        <v/>
      </c>
      <c r="AU213" s="526" t="str">
        <f>IFERROR(IF(IF(AZ207&gt;AA207-1,INDEX(Lista_Pedidos,AY207+AA207-1,AU207),"")=0,"",IF(AZ207&gt;AA207-1,INDEX(Lista_Pedidos,AY207+AA207-1,AU207),"")),"")</f>
        <v/>
      </c>
      <c r="AV213" s="526" t="str">
        <f>IFERROR(IF(IF(AZ207&gt;AA207-1,INDEX(Lista_Pedidos,AY207+AA207-1,AV207),"")=0,"",IF(AZ207&gt;AA207-1,INDEX(Lista_Pedidos,AY207+AA207-1,AV207),"")),"")</f>
        <v/>
      </c>
      <c r="AW213" s="857" t="str">
        <f>IF(SUM(AJ213:AV213)&gt;1,SUM(AJ213:AV213),"")</f>
        <v/>
      </c>
      <c r="AX213" s="855"/>
      <c r="AY213" s="855"/>
      <c r="AZ213" s="860"/>
      <c r="BA213" s="854" t="str">
        <f>IFERROR(INDEX(Lista_Pedidos,Procesos!BY207+BA207-1,3),"")</f>
        <v/>
      </c>
      <c r="BB213" s="855"/>
      <c r="BC213" s="855"/>
      <c r="BD213" s="855"/>
      <c r="BE213" s="856"/>
      <c r="BF213" s="857" t="str">
        <f>IF(BZ207&gt;BA207-1,BE$11,"")</f>
        <v/>
      </c>
      <c r="BG213" s="855"/>
      <c r="BH213" s="855"/>
      <c r="BI213" s="856"/>
      <c r="BJ213" s="526" t="str">
        <f>IFERROR(IF(IF(BZ207&gt;BA207-1,INDEX(Lista_Pedidos,BY207+BA207-1,BJ207),"")=0,"",IF(BZ207&gt;BA207-1,INDEX(Lista_Pedidos,BY207+BA207-1,BJ207),"")),"")</f>
        <v/>
      </c>
      <c r="BK213" s="526" t="str">
        <f>IFERROR(IF(IF(BZ207&gt;BA207-1,INDEX(Lista_Pedidos,BY207+BA207-1,BK207),"")=0,"",IF(BZ207&gt;BA207-1,INDEX(Lista_Pedidos,BY207+BA207-1,BK207),"")),"")</f>
        <v/>
      </c>
      <c r="BL213" s="526" t="str">
        <f>IFERROR(IF(IF(BZ207&gt;BA207-1,INDEX(Lista_Pedidos,BY207+BA207-1,BL207),"")=0,"",IF(BZ207&gt;BA207-1,INDEX(Lista_Pedidos,BY207+BA207-1,BL207),"")),"")</f>
        <v/>
      </c>
      <c r="BM213" s="526" t="str">
        <f>IFERROR(IF(IF(BZ207&gt;BA207-1,INDEX(Lista_Pedidos,BY207+BA207-1,BM207),"")=0,"",IF(BZ207&gt;BA207-1,INDEX(Lista_Pedidos,BY207+BA207-1,BM207),"")),"")</f>
        <v/>
      </c>
      <c r="BN213" s="526" t="str">
        <f>IFERROR(IF(IF(BZ207&gt;BA207-1,INDEX(Lista_Pedidos,BY207+BA207-1,BN207),"")=0,"",IF(BZ207&gt;BA207-1,INDEX(Lista_Pedidos,BY207+BA207-1,BN207),"")),"")</f>
        <v/>
      </c>
      <c r="BO213" s="526" t="str">
        <f>IFERROR(IF(IF(BZ207&gt;BA207-1,INDEX(Lista_Pedidos,BY207+BA207-1,BO207),"")=0,"",IF(BZ207&gt;BA207-1,INDEX(Lista_Pedidos,BY207+BA207-1,BO207),"")),"")</f>
        <v/>
      </c>
      <c r="BP213" s="526" t="str">
        <f>IFERROR(IF(IF(BZ207&gt;BA207-1,INDEX(Lista_Pedidos,BY207+BA207-1,BP207),"")=0,"",IF(BZ207&gt;BA207-1,INDEX(Lista_Pedidos,BY207+BA207-1,BP207),"")),"")</f>
        <v/>
      </c>
      <c r="BQ213" s="526" t="str">
        <f>IFERROR(IF(IF(BZ207&gt;BA207-1,INDEX(Lista_Pedidos,BY207+BA207-1,BQ207),"")=0,"",IF(BZ207&gt;BA207-1,INDEX(Lista_Pedidos,BY207+BA207-1,BQ207),"")),"")</f>
        <v/>
      </c>
      <c r="BR213" s="526" t="str">
        <f>IFERROR(IF(IF(BZ207&gt;BA207-1,INDEX(Lista_Pedidos,BY207+BA207-1,BR207),"")=0,"",IF(BZ207&gt;BA207-1,INDEX(Lista_Pedidos,BY207+BA207-1,BR207),"")),"")</f>
        <v/>
      </c>
      <c r="BS213" s="526" t="str">
        <f>IFERROR(IF(IF(BZ207&gt;BA207-1,INDEX(Lista_Pedidos,BY207+BA207-1,BS207),"")=0,"",IF(BZ207&gt;BA207-1,INDEX(Lista_Pedidos,BY207+BA207-1,BS207),"")),"")</f>
        <v/>
      </c>
      <c r="BT213" s="526" t="str">
        <f>IFERROR(IF(IF(BZ207&gt;BA207-1,INDEX(Lista_Pedidos,BY207+BA207-1,BT207),"")=0,"",IF(BZ207&gt;BA207-1,INDEX(Lista_Pedidos,BY207+BA207-1,BT207),"")),"")</f>
        <v/>
      </c>
      <c r="BU213" s="526" t="str">
        <f>IFERROR(IF(IF(BZ207&gt;BA207-1,INDEX(Lista_Pedidos,BY207+BA207-1,BU207),"")=0,"",IF(BZ207&gt;BA207-1,INDEX(Lista_Pedidos,BY207+BA207-1,BU207),"")),"")</f>
        <v/>
      </c>
      <c r="BV213" s="526" t="str">
        <f>IFERROR(IF(IF(BZ207&gt;BA207-1,INDEX(Lista_Pedidos,BY207+BA207-1,BV207),"")=0,"",IF(BZ207&gt;BA207-1,INDEX(Lista_Pedidos,BY207+BA207-1,BV207),"")),"")</f>
        <v/>
      </c>
      <c r="BW213" s="857" t="str">
        <f>IF(SUM(BJ213:BV213)&gt;1,SUM(BJ213:BV213),"")</f>
        <v/>
      </c>
      <c r="BX213" s="855"/>
      <c r="BY213" s="855"/>
      <c r="BZ213" s="860"/>
      <c r="CA213" s="854" t="str">
        <f>IFERROR(INDEX(Lista_Pedidos,Procesos!CY207+CA207-1,3),"")</f>
        <v/>
      </c>
      <c r="CB213" s="855"/>
      <c r="CC213" s="855"/>
      <c r="CD213" s="855"/>
      <c r="CE213" s="856"/>
      <c r="CF213" s="857" t="str">
        <f>IF(CZ207&gt;CA207-1,CE$11,"")</f>
        <v/>
      </c>
      <c r="CG213" s="855"/>
      <c r="CH213" s="855"/>
      <c r="CI213" s="856"/>
      <c r="CJ213" s="526" t="str">
        <f>IFERROR(IF(IF(CZ207&gt;CA207-1,INDEX(Lista_Pedidos,CY207+CA207-1,CJ207),"")=0,"",IF(CZ207&gt;CA207-1,INDEX(Lista_Pedidos,CY207+CA207-1,CJ207),"")),"")</f>
        <v/>
      </c>
      <c r="CK213" s="526" t="str">
        <f>IFERROR(IF(IF(CZ207&gt;CA207-1,INDEX(Lista_Pedidos,CY207+CA207-1,CK207),"")=0,"",IF(CZ207&gt;CA207-1,INDEX(Lista_Pedidos,CY207+CA207-1,CK207),"")),"")</f>
        <v/>
      </c>
      <c r="CL213" s="526" t="str">
        <f>IFERROR(IF(IF(CZ207&gt;CA207-1,INDEX(Lista_Pedidos,CY207+CA207-1,CL207),"")=0,"",IF(CZ207&gt;CA207-1,INDEX(Lista_Pedidos,CY207+CA207-1,CL207),"")),"")</f>
        <v/>
      </c>
      <c r="CM213" s="526" t="str">
        <f>IFERROR(IF(IF(CZ207&gt;CA207-1,INDEX(Lista_Pedidos,CY207+CA207-1,CM207),"")=0,"",IF(CZ207&gt;CA207-1,INDEX(Lista_Pedidos,CY207+CA207-1,CM207),"")),"")</f>
        <v/>
      </c>
      <c r="CN213" s="526" t="str">
        <f>IFERROR(IF(IF(CZ207&gt;CA207-1,INDEX(Lista_Pedidos,CY207+CA207-1,CN207),"")=0,"",IF(CZ207&gt;CA207-1,INDEX(Lista_Pedidos,CY207+CA207-1,CN207),"")),"")</f>
        <v/>
      </c>
      <c r="CO213" s="526" t="str">
        <f>IFERROR(IF(IF(CZ207&gt;CA207-1,INDEX(Lista_Pedidos,CY207+CA207-1,CO207),"")=0,"",IF(CZ207&gt;CA207-1,INDEX(Lista_Pedidos,CY207+CA207-1,CO207),"")),"")</f>
        <v/>
      </c>
      <c r="CP213" s="526" t="str">
        <f>IFERROR(IF(IF(CZ207&gt;CA207-1,INDEX(Lista_Pedidos,CY207+CA207-1,CP207),"")=0,"",IF(CZ207&gt;CA207-1,INDEX(Lista_Pedidos,CY207+CA207-1,CP207),"")),"")</f>
        <v/>
      </c>
      <c r="CQ213" s="526" t="str">
        <f>IFERROR(IF(IF(CZ207&gt;CA207-1,INDEX(Lista_Pedidos,CY207+CA207-1,CQ207),"")=0,"",IF(CZ207&gt;CA207-1,INDEX(Lista_Pedidos,CY207+CA207-1,CQ207),"")),"")</f>
        <v/>
      </c>
      <c r="CR213" s="526" t="str">
        <f>IFERROR(IF(IF(CZ207&gt;CA207-1,INDEX(Lista_Pedidos,CY207+CA207-1,CR207),"")=0,"",IF(CZ207&gt;CA207-1,INDEX(Lista_Pedidos,CY207+CA207-1,CR207),"")),"")</f>
        <v/>
      </c>
      <c r="CS213" s="526" t="str">
        <f>IFERROR(IF(IF(CZ207&gt;CA207-1,INDEX(Lista_Pedidos,CY207+CA207-1,CS207),"")=0,"",IF(CZ207&gt;CA207-1,INDEX(Lista_Pedidos,CY207+CA207-1,CS207),"")),"")</f>
        <v/>
      </c>
      <c r="CT213" s="526" t="str">
        <f>IFERROR(IF(IF(CZ207&gt;CA207-1,INDEX(Lista_Pedidos,CY207+CA207-1,CT207),"")=0,"",IF(CZ207&gt;CA207-1,INDEX(Lista_Pedidos,CY207+CA207-1,CT207),"")),"")</f>
        <v/>
      </c>
      <c r="CU213" s="526" t="str">
        <f>IFERROR(IF(IF(CZ207&gt;CA207-1,INDEX(Lista_Pedidos,CY207+CA207-1,CU207),"")=0,"",IF(CZ207&gt;CA207-1,INDEX(Lista_Pedidos,CY207+CA207-1,CU207),"")),"")</f>
        <v/>
      </c>
      <c r="CV213" s="526" t="str">
        <f>IFERROR(IF(IF(CZ207&gt;CA207-1,INDEX(Lista_Pedidos,CY207+CA207-1,CV207),"")=0,"",IF(CZ207&gt;CA207-1,INDEX(Lista_Pedidos,CY207+CA207-1,CV207),"")),"")</f>
        <v/>
      </c>
      <c r="CW213" s="857" t="str">
        <f>IF(SUM(CJ213:CV213)&gt;1,SUM(CJ213:CV213),"")</f>
        <v/>
      </c>
      <c r="CX213" s="855"/>
      <c r="CY213" s="855"/>
      <c r="CZ213" s="860"/>
      <c r="DA213" s="854" t="str">
        <f>IFERROR(INDEX(Lista_Pedidos,Procesos!DY207+DA207-1,3),"")</f>
        <v/>
      </c>
      <c r="DB213" s="855"/>
      <c r="DC213" s="855"/>
      <c r="DD213" s="855"/>
      <c r="DE213" s="856"/>
      <c r="DF213" s="857" t="str">
        <f>IF(DZ207&gt;DA207-1,DE$11,"")</f>
        <v/>
      </c>
      <c r="DG213" s="855"/>
      <c r="DH213" s="855"/>
      <c r="DI213" s="856"/>
      <c r="DJ213" s="526" t="str">
        <f>IFERROR(IF(IF(DZ207&gt;DA207-1,INDEX(Lista_Pedidos,DY207+DA207-1,DJ207),"")=0,"",IF(DZ207&gt;DA207-1,INDEX(Lista_Pedidos,DY207+DA207-1,DJ207),"")),"")</f>
        <v/>
      </c>
      <c r="DK213" s="526" t="str">
        <f>IFERROR(IF(IF(DZ207&gt;DA207-1,INDEX(Lista_Pedidos,DY207+DA207-1,DK207),"")=0,"",IF(DZ207&gt;DA207-1,INDEX(Lista_Pedidos,DY207+DA207-1,DK207),"")),"")</f>
        <v/>
      </c>
      <c r="DL213" s="526" t="str">
        <f>IFERROR(IF(IF(DZ207&gt;DA207-1,INDEX(Lista_Pedidos,DY207+DA207-1,DL207),"")=0,"",IF(DZ207&gt;DA207-1,INDEX(Lista_Pedidos,DY207+DA207-1,DL207),"")),"")</f>
        <v/>
      </c>
      <c r="DM213" s="526" t="str">
        <f>IFERROR(IF(IF(DZ207&gt;DA207-1,INDEX(Lista_Pedidos,DY207+DA207-1,DM207),"")=0,"",IF(DZ207&gt;DA207-1,INDEX(Lista_Pedidos,DY207+DA207-1,DM207),"")),"")</f>
        <v/>
      </c>
      <c r="DN213" s="526" t="str">
        <f>IFERROR(IF(IF(DZ207&gt;DA207-1,INDEX(Lista_Pedidos,DY207+DA207-1,DN207),"")=0,"",IF(DZ207&gt;DA207-1,INDEX(Lista_Pedidos,DY207+DA207-1,DN207),"")),"")</f>
        <v/>
      </c>
      <c r="DO213" s="526" t="str">
        <f>IFERROR(IF(IF(DZ207&gt;DA207-1,INDEX(Lista_Pedidos,DY207+DA207-1,DO207),"")=0,"",IF(DZ207&gt;DA207-1,INDEX(Lista_Pedidos,DY207+DA207-1,DO207),"")),"")</f>
        <v/>
      </c>
      <c r="DP213" s="526" t="str">
        <f>IFERROR(IF(IF(DZ207&gt;DA207-1,INDEX(Lista_Pedidos,DY207+DA207-1,DP207),"")=0,"",IF(DZ207&gt;DA207-1,INDEX(Lista_Pedidos,DY207+DA207-1,DP207),"")),"")</f>
        <v/>
      </c>
      <c r="DQ213" s="526" t="str">
        <f>IFERROR(IF(IF(DZ207&gt;DA207-1,INDEX(Lista_Pedidos,DY207+DA207-1,DQ207),"")=0,"",IF(DZ207&gt;DA207-1,INDEX(Lista_Pedidos,DY207+DA207-1,DQ207),"")),"")</f>
        <v/>
      </c>
      <c r="DR213" s="526" t="str">
        <f>IFERROR(IF(IF(DZ207&gt;DA207-1,INDEX(Lista_Pedidos,DY207+DA207-1,DR207),"")=0,"",IF(DZ207&gt;DA207-1,INDEX(Lista_Pedidos,DY207+DA207-1,DR207),"")),"")</f>
        <v/>
      </c>
      <c r="DS213" s="526" t="str">
        <f>IFERROR(IF(IF(DZ207&gt;DA207-1,INDEX(Lista_Pedidos,DY207+DA207-1,DS207),"")=0,"",IF(DZ207&gt;DA207-1,INDEX(Lista_Pedidos,DY207+DA207-1,DS207),"")),"")</f>
        <v/>
      </c>
      <c r="DT213" s="526" t="str">
        <f>IFERROR(IF(IF(DZ207&gt;DA207-1,INDEX(Lista_Pedidos,DY207+DA207-1,DT207),"")=0,"",IF(DZ207&gt;DA207-1,INDEX(Lista_Pedidos,DY207+DA207-1,DT207),"")),"")</f>
        <v/>
      </c>
      <c r="DU213" s="526" t="str">
        <f>IFERROR(IF(IF(DZ207&gt;DA207-1,INDEX(Lista_Pedidos,DY207+DA207-1,DU207),"")=0,"",IF(DZ207&gt;DA207-1,INDEX(Lista_Pedidos,DY207+DA207-1,DU207),"")),"")</f>
        <v/>
      </c>
      <c r="DV213" s="526" t="str">
        <f>IFERROR(IF(IF(DZ207&gt;DA207-1,INDEX(Lista_Pedidos,DY207+DA207-1,DV207),"")=0,"",IF(DZ207&gt;DA207-1,INDEX(Lista_Pedidos,DY207+DA207-1,DV207),"")),"")</f>
        <v/>
      </c>
      <c r="DW213" s="857" t="str">
        <f>IF(SUM(DJ213:DV213)&gt;1,SUM(DJ213:DV213),"")</f>
        <v/>
      </c>
      <c r="DX213" s="855"/>
      <c r="DY213" s="855"/>
      <c r="DZ213" s="860"/>
      <c r="EA213" s="854" t="str">
        <f>IFERROR(INDEX(Lista_Pedidos,Procesos!EY207+EA207-1,3),"")</f>
        <v/>
      </c>
      <c r="EB213" s="855"/>
      <c r="EC213" s="855"/>
      <c r="ED213" s="855"/>
      <c r="EE213" s="856"/>
      <c r="EF213" s="857" t="str">
        <f>IF(EZ207&gt;EA207-1,EE$11,"")</f>
        <v/>
      </c>
      <c r="EG213" s="855"/>
      <c r="EH213" s="855"/>
      <c r="EI213" s="856"/>
      <c r="EJ213" s="526" t="str">
        <f>IFERROR(IF(IF(EZ207&gt;EA207-1,INDEX(Lista_Pedidos,EY207+EA207-1,EJ207),"")=0,"",IF(EZ207&gt;EA207-1,INDEX(Lista_Pedidos,EY207+EA207-1,EJ207),"")),"")</f>
        <v/>
      </c>
      <c r="EK213" s="526" t="str">
        <f>IFERROR(IF(IF(EZ207&gt;EA207-1,INDEX(Lista_Pedidos,EY207+EA207-1,EK207),"")=0,"",IF(EZ207&gt;EA207-1,INDEX(Lista_Pedidos,EY207+EA207-1,EK207),"")),"")</f>
        <v/>
      </c>
      <c r="EL213" s="526" t="str">
        <f>IFERROR(IF(IF(EZ207&gt;EA207-1,INDEX(Lista_Pedidos,EY207+EA207-1,EL207),"")=0,"",IF(EZ207&gt;EA207-1,INDEX(Lista_Pedidos,EY207+EA207-1,EL207),"")),"")</f>
        <v/>
      </c>
      <c r="EM213" s="526" t="str">
        <f>IFERROR(IF(IF(EZ207&gt;EA207-1,INDEX(Lista_Pedidos,EY207+EA207-1,EM207),"")=0,"",IF(EZ207&gt;EA207-1,INDEX(Lista_Pedidos,EY207+EA207-1,EM207),"")),"")</f>
        <v/>
      </c>
      <c r="EN213" s="526" t="str">
        <f>IFERROR(IF(IF(EZ207&gt;EA207-1,INDEX(Lista_Pedidos,EY207+EA207-1,EN207),"")=0,"",IF(EZ207&gt;EA207-1,INDEX(Lista_Pedidos,EY207+EA207-1,EN207),"")),"")</f>
        <v/>
      </c>
      <c r="EO213" s="526" t="str">
        <f>IFERROR(IF(IF(EZ207&gt;EA207-1,INDEX(Lista_Pedidos,EY207+EA207-1,EO207),"")=0,"",IF(EZ207&gt;EA207-1,INDEX(Lista_Pedidos,EY207+EA207-1,EO207),"")),"")</f>
        <v/>
      </c>
      <c r="EP213" s="526" t="str">
        <f>IFERROR(IF(IF(EZ207&gt;EA207-1,INDEX(Lista_Pedidos,EY207+EA207-1,EP207),"")=0,"",IF(EZ207&gt;EA207-1,INDEX(Lista_Pedidos,EY207+EA207-1,EP207),"")),"")</f>
        <v/>
      </c>
      <c r="EQ213" s="526" t="str">
        <f>IFERROR(IF(IF(EZ207&gt;EA207-1,INDEX(Lista_Pedidos,EY207+EA207-1,EQ207),"")=0,"",IF(EZ207&gt;EA207-1,INDEX(Lista_Pedidos,EY207+EA207-1,EQ207),"")),"")</f>
        <v/>
      </c>
      <c r="ER213" s="526" t="str">
        <f>IFERROR(IF(IF(EZ207&gt;EA207-1,INDEX(Lista_Pedidos,EY207+EA207-1,ER207),"")=0,"",IF(EZ207&gt;EA207-1,INDEX(Lista_Pedidos,EY207+EA207-1,ER207),"")),"")</f>
        <v/>
      </c>
      <c r="ES213" s="526" t="str">
        <f>IFERROR(IF(IF(EZ207&gt;EA207-1,INDEX(Lista_Pedidos,EY207+EA207-1,ES207),"")=0,"",IF(EZ207&gt;EA207-1,INDEX(Lista_Pedidos,EY207+EA207-1,ES207),"")),"")</f>
        <v/>
      </c>
      <c r="ET213" s="526" t="str">
        <f>IFERROR(IF(IF(EZ207&gt;EA207-1,INDEX(Lista_Pedidos,EY207+EA207-1,ET207),"")=0,"",IF(EZ207&gt;EA207-1,INDEX(Lista_Pedidos,EY207+EA207-1,ET207),"")),"")</f>
        <v/>
      </c>
      <c r="EU213" s="526" t="str">
        <f>IFERROR(IF(IF(EZ207&gt;EA207-1,INDEX(Lista_Pedidos,EY207+EA207-1,EU207),"")=0,"",IF(EZ207&gt;EA207-1,INDEX(Lista_Pedidos,EY207+EA207-1,EU207),"")),"")</f>
        <v/>
      </c>
      <c r="EV213" s="526" t="str">
        <f>IFERROR(IF(IF(EZ207&gt;EA207-1,INDEX(Lista_Pedidos,EY207+EA207-1,EV207),"")=0,"",IF(EZ207&gt;EA207-1,INDEX(Lista_Pedidos,EY207+EA207-1,EV207),"")),"")</f>
        <v/>
      </c>
      <c r="EW213" s="857" t="str">
        <f>IF(SUM(EJ213:EV213)&gt;1,SUM(EJ213:EV213),"")</f>
        <v/>
      </c>
      <c r="EX213" s="855"/>
      <c r="EY213" s="855"/>
      <c r="EZ213" s="860"/>
      <c r="FA213" s="854" t="str">
        <f>IFERROR(INDEX(Lista_Pedidos,Procesos!FY207+FA207-1,3),"")</f>
        <v/>
      </c>
      <c r="FB213" s="855"/>
      <c r="FC213" s="855"/>
      <c r="FD213" s="855"/>
      <c r="FE213" s="856"/>
      <c r="FF213" s="857" t="str">
        <f>IF(FZ207&gt;FA207-1,FE$11,"")</f>
        <v/>
      </c>
      <c r="FG213" s="855"/>
      <c r="FH213" s="855"/>
      <c r="FI213" s="856"/>
      <c r="FJ213" s="526" t="str">
        <f>IFERROR(IF(IF(FZ207&gt;FA207-1,INDEX(Lista_Pedidos,FY207+FA207-1,FJ207),"")=0,"",IF(FZ207&gt;FA207-1,INDEX(Lista_Pedidos,FY207+FA207-1,FJ207),"")),"")</f>
        <v/>
      </c>
      <c r="FK213" s="526" t="str">
        <f>IFERROR(IF(IF(FZ207&gt;FA207-1,INDEX(Lista_Pedidos,FY207+FA207-1,FK207),"")=0,"",IF(FZ207&gt;FA207-1,INDEX(Lista_Pedidos,FY207+FA207-1,FK207),"")),"")</f>
        <v/>
      </c>
      <c r="FL213" s="526" t="str">
        <f>IFERROR(IF(IF(FZ207&gt;FA207-1,INDEX(Lista_Pedidos,FY207+FA207-1,FL207),"")=0,"",IF(FZ207&gt;FA207-1,INDEX(Lista_Pedidos,FY207+FA207-1,FL207),"")),"")</f>
        <v/>
      </c>
      <c r="FM213" s="526" t="str">
        <f>IFERROR(IF(IF(FZ207&gt;FA207-1,INDEX(Lista_Pedidos,FY207+FA207-1,FM207),"")=0,"",IF(FZ207&gt;FA207-1,INDEX(Lista_Pedidos,FY207+FA207-1,FM207),"")),"")</f>
        <v/>
      </c>
      <c r="FN213" s="526" t="str">
        <f>IFERROR(IF(IF(FZ207&gt;FA207-1,INDEX(Lista_Pedidos,FY207+FA207-1,FN207),"")=0,"",IF(FZ207&gt;FA207-1,INDEX(Lista_Pedidos,FY207+FA207-1,FN207),"")),"")</f>
        <v/>
      </c>
      <c r="FO213" s="526" t="str">
        <f>IFERROR(IF(IF(FZ207&gt;FA207-1,INDEX(Lista_Pedidos,FY207+FA207-1,FO207),"")=0,"",IF(FZ207&gt;FA207-1,INDEX(Lista_Pedidos,FY207+FA207-1,FO207),"")),"")</f>
        <v/>
      </c>
      <c r="FP213" s="526" t="str">
        <f>IFERROR(IF(IF(FZ207&gt;FA207-1,INDEX(Lista_Pedidos,FY207+FA207-1,FP207),"")=0,"",IF(FZ207&gt;FA207-1,INDEX(Lista_Pedidos,FY207+FA207-1,FP207),"")),"")</f>
        <v/>
      </c>
      <c r="FQ213" s="526" t="str">
        <f>IFERROR(IF(IF(FZ207&gt;FA207-1,INDEX(Lista_Pedidos,FY207+FA207-1,FQ207),"")=0,"",IF(FZ207&gt;FA207-1,INDEX(Lista_Pedidos,FY207+FA207-1,FQ207),"")),"")</f>
        <v/>
      </c>
      <c r="FR213" s="526" t="str">
        <f>IFERROR(IF(IF(FZ207&gt;FA207-1,INDEX(Lista_Pedidos,FY207+FA207-1,FR207),"")=0,"",IF(FZ207&gt;FA207-1,INDEX(Lista_Pedidos,FY207+FA207-1,FR207),"")),"")</f>
        <v/>
      </c>
      <c r="FS213" s="526" t="str">
        <f>IFERROR(IF(IF(FZ207&gt;FA207-1,INDEX(Lista_Pedidos,FY207+FA207-1,FS207),"")=0,"",IF(FZ207&gt;FA207-1,INDEX(Lista_Pedidos,FY207+FA207-1,FS207),"")),"")</f>
        <v/>
      </c>
      <c r="FT213" s="526" t="str">
        <f>IFERROR(IF(IF(FZ207&gt;FA207-1,INDEX(Lista_Pedidos,FY207+FA207-1,FT207),"")=0,"",IF(FZ207&gt;FA207-1,INDEX(Lista_Pedidos,FY207+FA207-1,FT207),"")),"")</f>
        <v/>
      </c>
      <c r="FU213" s="526" t="str">
        <f>IFERROR(IF(IF(FZ207&gt;FA207-1,INDEX(Lista_Pedidos,FY207+FA207-1,FU207),"")=0,"",IF(FZ207&gt;FA207-1,INDEX(Lista_Pedidos,FY207+FA207-1,FU207),"")),"")</f>
        <v/>
      </c>
      <c r="FV213" s="526" t="str">
        <f>IFERROR(IF(IF(FZ207&gt;FA207-1,INDEX(Lista_Pedidos,FY207+FA207-1,FV207),"")=0,"",IF(FZ207&gt;FA207-1,INDEX(Lista_Pedidos,FY207+FA207-1,FV207),"")),"")</f>
        <v/>
      </c>
      <c r="FW213" s="857" t="str">
        <f>IF(SUM(FJ213:FV213)&gt;1,SUM(FJ213:FV213),"")</f>
        <v/>
      </c>
      <c r="FX213" s="855"/>
      <c r="FY213" s="855"/>
      <c r="FZ213" s="860"/>
      <c r="GA213" s="854" t="str">
        <f>IFERROR(INDEX(Lista_Pedidos,Procesos!GY207+GA207-1,3),"")</f>
        <v/>
      </c>
      <c r="GB213" s="855"/>
      <c r="GC213" s="855"/>
      <c r="GD213" s="855"/>
      <c r="GE213" s="856"/>
      <c r="GF213" s="857" t="str">
        <f>IF(GZ207&gt;GA207-1,GE$11,"")</f>
        <v/>
      </c>
      <c r="GG213" s="855"/>
      <c r="GH213" s="855"/>
      <c r="GI213" s="856"/>
      <c r="GJ213" s="526" t="str">
        <f>IFERROR(IF(IF(GZ207&gt;GA207-1,INDEX(Lista_Pedidos,GY207+GA207-1,GJ207),"")=0,"",IF(GZ207&gt;GA207-1,INDEX(Lista_Pedidos,GY207+GA207-1,GJ207),"")),"")</f>
        <v/>
      </c>
      <c r="GK213" s="526" t="str">
        <f>IFERROR(IF(IF(GZ207&gt;GA207-1,INDEX(Lista_Pedidos,GY207+GA207-1,GK207),"")=0,"",IF(GZ207&gt;GA207-1,INDEX(Lista_Pedidos,GY207+GA207-1,GK207),"")),"")</f>
        <v/>
      </c>
      <c r="GL213" s="526" t="str">
        <f>IFERROR(IF(IF(GZ207&gt;GA207-1,INDEX(Lista_Pedidos,GY207+GA207-1,GL207),"")=0,"",IF(GZ207&gt;GA207-1,INDEX(Lista_Pedidos,GY207+GA207-1,GL207),"")),"")</f>
        <v/>
      </c>
      <c r="GM213" s="526" t="str">
        <f>IFERROR(IF(IF(GZ207&gt;GA207-1,INDEX(Lista_Pedidos,GY207+GA207-1,GM207),"")=0,"",IF(GZ207&gt;GA207-1,INDEX(Lista_Pedidos,GY207+GA207-1,GM207),"")),"")</f>
        <v/>
      </c>
      <c r="GN213" s="526" t="str">
        <f>IFERROR(IF(IF(GZ207&gt;GA207-1,INDEX(Lista_Pedidos,GY207+GA207-1,GN207),"")=0,"",IF(GZ207&gt;GA207-1,INDEX(Lista_Pedidos,GY207+GA207-1,GN207),"")),"")</f>
        <v/>
      </c>
      <c r="GO213" s="526" t="str">
        <f>IFERROR(IF(IF(GZ207&gt;GA207-1,INDEX(Lista_Pedidos,GY207+GA207-1,GO207),"")=0,"",IF(GZ207&gt;GA207-1,INDEX(Lista_Pedidos,GY207+GA207-1,GO207),"")),"")</f>
        <v/>
      </c>
      <c r="GP213" s="526" t="str">
        <f>IFERROR(IF(IF(GZ207&gt;GA207-1,INDEX(Lista_Pedidos,GY207+GA207-1,GP207),"")=0,"",IF(GZ207&gt;GA207-1,INDEX(Lista_Pedidos,GY207+GA207-1,GP207),"")),"")</f>
        <v/>
      </c>
      <c r="GQ213" s="526" t="str">
        <f>IFERROR(IF(IF(GZ207&gt;GA207-1,INDEX(Lista_Pedidos,GY207+GA207-1,GQ207),"")=0,"",IF(GZ207&gt;GA207-1,INDEX(Lista_Pedidos,GY207+GA207-1,GQ207),"")),"")</f>
        <v/>
      </c>
      <c r="GR213" s="526" t="str">
        <f>IFERROR(IF(IF(GZ207&gt;GA207-1,INDEX(Lista_Pedidos,GY207+GA207-1,GR207),"")=0,"",IF(GZ207&gt;GA207-1,INDEX(Lista_Pedidos,GY207+GA207-1,GR207),"")),"")</f>
        <v/>
      </c>
      <c r="GS213" s="526" t="str">
        <f>IFERROR(IF(IF(GZ207&gt;GA207-1,INDEX(Lista_Pedidos,GY207+GA207-1,GS207),"")=0,"",IF(GZ207&gt;GA207-1,INDEX(Lista_Pedidos,GY207+GA207-1,GS207),"")),"")</f>
        <v/>
      </c>
      <c r="GT213" s="526" t="str">
        <f>IFERROR(IF(IF(GZ207&gt;GA207-1,INDEX(Lista_Pedidos,GY207+GA207-1,GT207),"")=0,"",IF(GZ207&gt;GA207-1,INDEX(Lista_Pedidos,GY207+GA207-1,GT207),"")),"")</f>
        <v/>
      </c>
      <c r="GU213" s="526" t="str">
        <f>IFERROR(IF(IF(GZ207&gt;GA207-1,INDEX(Lista_Pedidos,GY207+GA207-1,GU207),"")=0,"",IF(GZ207&gt;GA207-1,INDEX(Lista_Pedidos,GY207+GA207-1,GU207),"")),"")</f>
        <v/>
      </c>
      <c r="GV213" s="526" t="str">
        <f>IFERROR(IF(IF(GZ207&gt;GA207-1,INDEX(Lista_Pedidos,GY207+GA207-1,GV207),"")=0,"",IF(GZ207&gt;GA207-1,INDEX(Lista_Pedidos,GY207+GA207-1,GV207),"")),"")</f>
        <v/>
      </c>
      <c r="GW213" s="857" t="str">
        <f>IF(SUM(GJ213:GV213)&gt;1,SUM(GJ213:GV213),"")</f>
        <v/>
      </c>
      <c r="GX213" s="855"/>
      <c r="GY213" s="855"/>
      <c r="GZ213" s="860"/>
      <c r="HA213" s="854" t="str">
        <f>IFERROR(INDEX(Lista_Pedidos,Procesos!HY207+HA207-1,3),"")</f>
        <v/>
      </c>
      <c r="HB213" s="855"/>
      <c r="HC213" s="855"/>
      <c r="HD213" s="855"/>
      <c r="HE213" s="856"/>
      <c r="HF213" s="857" t="str">
        <f>IF(HZ207&gt;HA207-1,HE$11,"")</f>
        <v/>
      </c>
      <c r="HG213" s="855"/>
      <c r="HH213" s="855"/>
      <c r="HI213" s="856"/>
      <c r="HJ213" s="526" t="str">
        <f>IFERROR(IF(IF(HZ207&gt;HA207-1,INDEX(Lista_Pedidos,HY207+HA207-1,HJ207),"")=0,"",IF(HZ207&gt;HA207-1,INDEX(Lista_Pedidos,HY207+HA207-1,HJ207),"")),"")</f>
        <v/>
      </c>
      <c r="HK213" s="526" t="str">
        <f>IFERROR(IF(IF(HZ207&gt;HA207-1,INDEX(Lista_Pedidos,HY207+HA207-1,HK207),"")=0,"",IF(HZ207&gt;HA207-1,INDEX(Lista_Pedidos,HY207+HA207-1,HK207),"")),"")</f>
        <v/>
      </c>
      <c r="HL213" s="526" t="str">
        <f>IFERROR(IF(IF(HZ207&gt;HA207-1,INDEX(Lista_Pedidos,HY207+HA207-1,HL207),"")=0,"",IF(HZ207&gt;HA207-1,INDEX(Lista_Pedidos,HY207+HA207-1,HL207),"")),"")</f>
        <v/>
      </c>
      <c r="HM213" s="526" t="str">
        <f>IFERROR(IF(IF(HZ207&gt;HA207-1,INDEX(Lista_Pedidos,HY207+HA207-1,HM207),"")=0,"",IF(HZ207&gt;HA207-1,INDEX(Lista_Pedidos,HY207+HA207-1,HM207),"")),"")</f>
        <v/>
      </c>
      <c r="HN213" s="526" t="str">
        <f>IFERROR(IF(IF(HZ207&gt;HA207-1,INDEX(Lista_Pedidos,HY207+HA207-1,HN207),"")=0,"",IF(HZ207&gt;HA207-1,INDEX(Lista_Pedidos,HY207+HA207-1,HN207),"")),"")</f>
        <v/>
      </c>
      <c r="HO213" s="526" t="str">
        <f>IFERROR(IF(IF(HZ207&gt;HA207-1,INDEX(Lista_Pedidos,HY207+HA207-1,HO207),"")=0,"",IF(HZ207&gt;HA207-1,INDEX(Lista_Pedidos,HY207+HA207-1,HO207),"")),"")</f>
        <v/>
      </c>
      <c r="HP213" s="526" t="str">
        <f>IFERROR(IF(IF(HZ207&gt;HA207-1,INDEX(Lista_Pedidos,HY207+HA207-1,HP207),"")=0,"",IF(HZ207&gt;HA207-1,INDEX(Lista_Pedidos,HY207+HA207-1,HP207),"")),"")</f>
        <v/>
      </c>
      <c r="HQ213" s="526" t="str">
        <f>IFERROR(IF(IF(HZ207&gt;HA207-1,INDEX(Lista_Pedidos,HY207+HA207-1,HQ207),"")=0,"",IF(HZ207&gt;HA207-1,INDEX(Lista_Pedidos,HY207+HA207-1,HQ207),"")),"")</f>
        <v/>
      </c>
      <c r="HR213" s="526" t="str">
        <f>IFERROR(IF(IF(HZ207&gt;HA207-1,INDEX(Lista_Pedidos,HY207+HA207-1,HR207),"")=0,"",IF(HZ207&gt;HA207-1,INDEX(Lista_Pedidos,HY207+HA207-1,HR207),"")),"")</f>
        <v/>
      </c>
      <c r="HS213" s="526" t="str">
        <f>IFERROR(IF(IF(HZ207&gt;HA207-1,INDEX(Lista_Pedidos,HY207+HA207-1,HS207),"")=0,"",IF(HZ207&gt;HA207-1,INDEX(Lista_Pedidos,HY207+HA207-1,HS207),"")),"")</f>
        <v/>
      </c>
      <c r="HT213" s="526" t="str">
        <f>IFERROR(IF(IF(HZ207&gt;HA207-1,INDEX(Lista_Pedidos,HY207+HA207-1,HT207),"")=0,"",IF(HZ207&gt;HA207-1,INDEX(Lista_Pedidos,HY207+HA207-1,HT207),"")),"")</f>
        <v/>
      </c>
      <c r="HU213" s="526" t="str">
        <f>IFERROR(IF(IF(HZ207&gt;HA207-1,INDEX(Lista_Pedidos,HY207+HA207-1,HU207),"")=0,"",IF(HZ207&gt;HA207-1,INDEX(Lista_Pedidos,HY207+HA207-1,HU207),"")),"")</f>
        <v/>
      </c>
      <c r="HV213" s="526" t="str">
        <f>IFERROR(IF(IF(HZ207&gt;HA207-1,INDEX(Lista_Pedidos,HY207+HA207-1,HV207),"")=0,"",IF(HZ207&gt;HA207-1,INDEX(Lista_Pedidos,HY207+HA207-1,HV207),"")),"")</f>
        <v/>
      </c>
      <c r="HW213" s="857" t="str">
        <f>IF(SUM(HJ213:HV213)&gt;1,SUM(HJ213:HV213),"")</f>
        <v/>
      </c>
      <c r="HX213" s="855"/>
      <c r="HY213" s="855"/>
      <c r="HZ213" s="860"/>
      <c r="IA213" s="854" t="str">
        <f>IFERROR(INDEX(Lista_Pedidos,Procesos!IY207+IA207-1,3),"")</f>
        <v/>
      </c>
      <c r="IB213" s="855"/>
      <c r="IC213" s="855"/>
      <c r="ID213" s="855"/>
      <c r="IE213" s="856"/>
      <c r="IF213" s="857" t="str">
        <f>IF(IZ207&gt;IA207-1,IE$11,"")</f>
        <v/>
      </c>
      <c r="IG213" s="855"/>
      <c r="IH213" s="855"/>
      <c r="II213" s="856"/>
      <c r="IJ213" s="526" t="str">
        <f>IFERROR(IF(IF(IZ207&gt;IA207-1,INDEX(Lista_Pedidos,IY207+IA207-1,IJ207),"")=0,"",IF(IZ207&gt;IA207-1,INDEX(Lista_Pedidos,IY207+IA207-1,IJ207),"")),"")</f>
        <v/>
      </c>
      <c r="IK213" s="526" t="str">
        <f>IFERROR(IF(IF(IZ207&gt;IA207-1,INDEX(Lista_Pedidos,IY207+IA207-1,IK207),"")=0,"",IF(IZ207&gt;IA207-1,INDEX(Lista_Pedidos,IY207+IA207-1,IK207),"")),"")</f>
        <v/>
      </c>
      <c r="IL213" s="526" t="str">
        <f>IFERROR(IF(IF(IZ207&gt;IA207-1,INDEX(Lista_Pedidos,IY207+IA207-1,IL207),"")=0,"",IF(IZ207&gt;IA207-1,INDEX(Lista_Pedidos,IY207+IA207-1,IL207),"")),"")</f>
        <v/>
      </c>
      <c r="IM213" s="526" t="str">
        <f>IFERROR(IF(IF(IZ207&gt;IA207-1,INDEX(Lista_Pedidos,IY207+IA207-1,IM207),"")=0,"",IF(IZ207&gt;IA207-1,INDEX(Lista_Pedidos,IY207+IA207-1,IM207),"")),"")</f>
        <v/>
      </c>
      <c r="IN213" s="526" t="str">
        <f>IFERROR(IF(IF(IZ207&gt;IA207-1,INDEX(Lista_Pedidos,IY207+IA207-1,IN207),"")=0,"",IF(IZ207&gt;IA207-1,INDEX(Lista_Pedidos,IY207+IA207-1,IN207),"")),"")</f>
        <v/>
      </c>
      <c r="IO213" s="526" t="str">
        <f>IFERROR(IF(IF(IZ207&gt;IA207-1,INDEX(Lista_Pedidos,IY207+IA207-1,IO207),"")=0,"",IF(IZ207&gt;IA207-1,INDEX(Lista_Pedidos,IY207+IA207-1,IO207),"")),"")</f>
        <v/>
      </c>
      <c r="IP213" s="526" t="str">
        <f>IFERROR(IF(IF(IZ207&gt;IA207-1,INDEX(Lista_Pedidos,IY207+IA207-1,IP207),"")=0,"",IF(IZ207&gt;IA207-1,INDEX(Lista_Pedidos,IY207+IA207-1,IP207),"")),"")</f>
        <v/>
      </c>
      <c r="IQ213" s="526" t="str">
        <f>IFERROR(IF(IF(IZ207&gt;IA207-1,INDEX(Lista_Pedidos,IY207+IA207-1,IQ207),"")=0,"",IF(IZ207&gt;IA207-1,INDEX(Lista_Pedidos,IY207+IA207-1,IQ207),"")),"")</f>
        <v/>
      </c>
      <c r="IR213" s="526" t="str">
        <f>IFERROR(IF(IF(IZ207&gt;IA207-1,INDEX(Lista_Pedidos,IY207+IA207-1,IR207),"")=0,"",IF(IZ207&gt;IA207-1,INDEX(Lista_Pedidos,IY207+IA207-1,IR207),"")),"")</f>
        <v/>
      </c>
      <c r="IS213" s="526" t="str">
        <f>IFERROR(IF(IF(IZ207&gt;IA207-1,INDEX(Lista_Pedidos,IY207+IA207-1,IS207),"")=0,"",IF(IZ207&gt;IA207-1,INDEX(Lista_Pedidos,IY207+IA207-1,IS207),"")),"")</f>
        <v/>
      </c>
      <c r="IT213" s="526" t="str">
        <f>IFERROR(IF(IF(IZ207&gt;IA207-1,INDEX(Lista_Pedidos,IY207+IA207-1,IT207),"")=0,"",IF(IZ207&gt;IA207-1,INDEX(Lista_Pedidos,IY207+IA207-1,IT207),"")),"")</f>
        <v/>
      </c>
      <c r="IU213" s="526" t="str">
        <f>IFERROR(IF(IF(IZ207&gt;IA207-1,INDEX(Lista_Pedidos,IY207+IA207-1,IU207),"")=0,"",IF(IZ207&gt;IA207-1,INDEX(Lista_Pedidos,IY207+IA207-1,IU207),"")),"")</f>
        <v/>
      </c>
      <c r="IV213" s="526" t="str">
        <f>IFERROR(IF(IF(IZ207&gt;IA207-1,INDEX(Lista_Pedidos,IY207+IA207-1,IV207),"")=0,"",IF(IZ207&gt;IA207-1,INDEX(Lista_Pedidos,IY207+IA207-1,IV207),"")),"")</f>
        <v/>
      </c>
      <c r="IW213" s="857" t="str">
        <f>IF(SUM(IJ213:IV213)&gt;1,SUM(IJ213:IV213),"")</f>
        <v/>
      </c>
      <c r="IX213" s="855"/>
      <c r="IY213" s="855"/>
      <c r="IZ213" s="860"/>
    </row>
    <row r="214" spans="1:260" x14ac:dyDescent="0.25">
      <c r="A214" s="823"/>
      <c r="B214" s="824"/>
      <c r="C214" s="824"/>
      <c r="D214" s="824"/>
      <c r="E214" s="824"/>
      <c r="F214" s="824"/>
      <c r="G214" s="824"/>
      <c r="H214" s="824"/>
      <c r="I214" s="824"/>
      <c r="J214" s="824"/>
      <c r="K214" s="824"/>
      <c r="L214" s="824"/>
      <c r="M214" s="824"/>
      <c r="N214" s="824"/>
      <c r="O214" s="824"/>
      <c r="P214" s="824"/>
      <c r="Q214" s="824"/>
      <c r="R214" s="824"/>
      <c r="S214" s="824"/>
      <c r="T214" s="824"/>
      <c r="U214" s="824"/>
      <c r="V214" s="824"/>
      <c r="W214" s="824" t="str">
        <f>IFERROR(IF(Z207&gt;A207-1,IF(INDEX(Lista_Pedidos,Y207+A207-1,2)&lt;&gt;"",INDEX(Lista_Pedidos,Y207+A207-1,2),""),""),"")</f>
        <v/>
      </c>
      <c r="X214" s="824"/>
      <c r="Y214" s="824"/>
      <c r="Z214" s="825"/>
      <c r="AA214" s="823"/>
      <c r="AB214" s="824"/>
      <c r="AC214" s="824"/>
      <c r="AD214" s="824"/>
      <c r="AE214" s="824"/>
      <c r="AF214" s="824"/>
      <c r="AG214" s="824"/>
      <c r="AH214" s="824"/>
      <c r="AI214" s="824"/>
      <c r="AJ214" s="824"/>
      <c r="AK214" s="824"/>
      <c r="AL214" s="824"/>
      <c r="AM214" s="824"/>
      <c r="AN214" s="824"/>
      <c r="AO214" s="824"/>
      <c r="AP214" s="824"/>
      <c r="AQ214" s="824"/>
      <c r="AR214" s="824"/>
      <c r="AS214" s="824"/>
      <c r="AT214" s="824"/>
      <c r="AU214" s="824"/>
      <c r="AV214" s="824"/>
      <c r="AW214" s="824" t="str">
        <f>IFERROR(IF(AZ207&gt;AA207-1,IF(INDEX(Lista_Pedidos,AY207+AA207-1,2)&lt;&gt;"",INDEX(Lista_Pedidos,AY207+AA207-1,2),""),""),"")</f>
        <v/>
      </c>
      <c r="AX214" s="824"/>
      <c r="AY214" s="824"/>
      <c r="AZ214" s="825"/>
      <c r="BA214" s="823"/>
      <c r="BB214" s="824"/>
      <c r="BC214" s="824"/>
      <c r="BD214" s="824"/>
      <c r="BE214" s="824"/>
      <c r="BF214" s="824"/>
      <c r="BG214" s="824"/>
      <c r="BH214" s="824"/>
      <c r="BI214" s="824"/>
      <c r="BJ214" s="824"/>
      <c r="BK214" s="824"/>
      <c r="BL214" s="824"/>
      <c r="BM214" s="824"/>
      <c r="BN214" s="824"/>
      <c r="BO214" s="824"/>
      <c r="BP214" s="824"/>
      <c r="BQ214" s="824"/>
      <c r="BR214" s="824"/>
      <c r="BS214" s="824"/>
      <c r="BT214" s="824"/>
      <c r="BU214" s="824"/>
      <c r="BV214" s="824"/>
      <c r="BW214" s="824" t="str">
        <f>IFERROR(IF(BZ207&gt;BA207-1,IF(INDEX(Lista_Pedidos,BY207+BA207-1,2)&lt;&gt;"",INDEX(Lista_Pedidos,BY207+BA207-1,2),""),""),"")</f>
        <v/>
      </c>
      <c r="BX214" s="824"/>
      <c r="BY214" s="824"/>
      <c r="BZ214" s="825"/>
      <c r="CA214" s="823"/>
      <c r="CB214" s="824"/>
      <c r="CC214" s="824"/>
      <c r="CD214" s="824"/>
      <c r="CE214" s="824"/>
      <c r="CF214" s="824"/>
      <c r="CG214" s="824"/>
      <c r="CH214" s="824"/>
      <c r="CI214" s="824"/>
      <c r="CJ214" s="824"/>
      <c r="CK214" s="824"/>
      <c r="CL214" s="824"/>
      <c r="CM214" s="824"/>
      <c r="CN214" s="824"/>
      <c r="CO214" s="824"/>
      <c r="CP214" s="824"/>
      <c r="CQ214" s="824"/>
      <c r="CR214" s="824"/>
      <c r="CS214" s="824"/>
      <c r="CT214" s="824"/>
      <c r="CU214" s="824"/>
      <c r="CV214" s="824"/>
      <c r="CW214" s="824" t="str">
        <f>IFERROR(IF(CZ207&gt;CA207-1,IF(INDEX(Lista_Pedidos,CY207+CA207-1,2)&lt;&gt;"",INDEX(Lista_Pedidos,CY207+CA207-1,2),""),""),"")</f>
        <v/>
      </c>
      <c r="CX214" s="824"/>
      <c r="CY214" s="824"/>
      <c r="CZ214" s="825"/>
      <c r="DA214" s="823"/>
      <c r="DB214" s="824"/>
      <c r="DC214" s="824"/>
      <c r="DD214" s="824"/>
      <c r="DE214" s="824"/>
      <c r="DF214" s="824"/>
      <c r="DG214" s="824"/>
      <c r="DH214" s="824"/>
      <c r="DI214" s="824"/>
      <c r="DJ214" s="824"/>
      <c r="DK214" s="824"/>
      <c r="DL214" s="824"/>
      <c r="DM214" s="824"/>
      <c r="DN214" s="824"/>
      <c r="DO214" s="824"/>
      <c r="DP214" s="824"/>
      <c r="DQ214" s="824"/>
      <c r="DR214" s="824"/>
      <c r="DS214" s="824"/>
      <c r="DT214" s="824"/>
      <c r="DU214" s="824"/>
      <c r="DV214" s="824"/>
      <c r="DW214" s="824" t="str">
        <f>IFERROR(IF(DZ207&gt;DA207-1,IF(INDEX(Lista_Pedidos,DY207+DA207-1,2)&lt;&gt;"",INDEX(Lista_Pedidos,DY207+DA207-1,2),""),""),"")</f>
        <v/>
      </c>
      <c r="DX214" s="824"/>
      <c r="DY214" s="824"/>
      <c r="DZ214" s="825"/>
      <c r="EA214" s="823"/>
      <c r="EB214" s="824"/>
      <c r="EC214" s="824"/>
      <c r="ED214" s="824"/>
      <c r="EE214" s="824"/>
      <c r="EF214" s="824"/>
      <c r="EG214" s="824"/>
      <c r="EH214" s="824"/>
      <c r="EI214" s="824"/>
      <c r="EJ214" s="824"/>
      <c r="EK214" s="824"/>
      <c r="EL214" s="824"/>
      <c r="EM214" s="824"/>
      <c r="EN214" s="824"/>
      <c r="EO214" s="824"/>
      <c r="EP214" s="824"/>
      <c r="EQ214" s="824"/>
      <c r="ER214" s="824"/>
      <c r="ES214" s="824"/>
      <c r="ET214" s="824"/>
      <c r="EU214" s="824"/>
      <c r="EV214" s="824"/>
      <c r="EW214" s="824" t="str">
        <f>IFERROR(IF(EZ207&gt;EA207-1,IF(INDEX(Lista_Pedidos,EY207+EA207-1,2)&lt;&gt;"",INDEX(Lista_Pedidos,EY207+EA207-1,2),""),""),"")</f>
        <v/>
      </c>
      <c r="EX214" s="824"/>
      <c r="EY214" s="824"/>
      <c r="EZ214" s="825"/>
      <c r="FA214" s="823"/>
      <c r="FB214" s="824"/>
      <c r="FC214" s="824"/>
      <c r="FD214" s="824"/>
      <c r="FE214" s="824"/>
      <c r="FF214" s="824"/>
      <c r="FG214" s="824"/>
      <c r="FH214" s="824"/>
      <c r="FI214" s="824"/>
      <c r="FJ214" s="824"/>
      <c r="FK214" s="824"/>
      <c r="FL214" s="824"/>
      <c r="FM214" s="824"/>
      <c r="FN214" s="824"/>
      <c r="FO214" s="824"/>
      <c r="FP214" s="824"/>
      <c r="FQ214" s="824"/>
      <c r="FR214" s="824"/>
      <c r="FS214" s="824"/>
      <c r="FT214" s="824"/>
      <c r="FU214" s="824"/>
      <c r="FV214" s="824"/>
      <c r="FW214" s="824" t="str">
        <f>IFERROR(IF(FZ207&gt;FA207-1,IF(INDEX(Lista_Pedidos,FY207+FA207-1,2)&lt;&gt;"",INDEX(Lista_Pedidos,FY207+FA207-1,2),""),""),"")</f>
        <v/>
      </c>
      <c r="FX214" s="824"/>
      <c r="FY214" s="824"/>
      <c r="FZ214" s="825"/>
      <c r="GA214" s="823"/>
      <c r="GB214" s="824"/>
      <c r="GC214" s="824"/>
      <c r="GD214" s="824"/>
      <c r="GE214" s="824"/>
      <c r="GF214" s="824"/>
      <c r="GG214" s="824"/>
      <c r="GH214" s="824"/>
      <c r="GI214" s="824"/>
      <c r="GJ214" s="824"/>
      <c r="GK214" s="824"/>
      <c r="GL214" s="824"/>
      <c r="GM214" s="824"/>
      <c r="GN214" s="824"/>
      <c r="GO214" s="824"/>
      <c r="GP214" s="824"/>
      <c r="GQ214" s="824"/>
      <c r="GR214" s="824"/>
      <c r="GS214" s="824"/>
      <c r="GT214" s="824"/>
      <c r="GU214" s="824"/>
      <c r="GV214" s="824"/>
      <c r="GW214" s="824" t="str">
        <f>IFERROR(IF(GZ207&gt;GA207-1,IF(INDEX(Lista_Pedidos,GY207+GA207-1,2)&lt;&gt;"",INDEX(Lista_Pedidos,GY207+GA207-1,2),""),""),"")</f>
        <v/>
      </c>
      <c r="GX214" s="824"/>
      <c r="GY214" s="824"/>
      <c r="GZ214" s="825"/>
      <c r="HA214" s="823"/>
      <c r="HB214" s="824"/>
      <c r="HC214" s="824"/>
      <c r="HD214" s="824"/>
      <c r="HE214" s="824"/>
      <c r="HF214" s="824"/>
      <c r="HG214" s="824"/>
      <c r="HH214" s="824"/>
      <c r="HI214" s="824"/>
      <c r="HJ214" s="824"/>
      <c r="HK214" s="824"/>
      <c r="HL214" s="824"/>
      <c r="HM214" s="824"/>
      <c r="HN214" s="824"/>
      <c r="HO214" s="824"/>
      <c r="HP214" s="824"/>
      <c r="HQ214" s="824"/>
      <c r="HR214" s="824"/>
      <c r="HS214" s="824"/>
      <c r="HT214" s="824"/>
      <c r="HU214" s="824"/>
      <c r="HV214" s="824"/>
      <c r="HW214" s="824" t="str">
        <f>IFERROR(IF(HZ207&gt;HA207-1,IF(INDEX(Lista_Pedidos,HY207+HA207-1,2)&lt;&gt;"",INDEX(Lista_Pedidos,HY207+HA207-1,2),""),""),"")</f>
        <v/>
      </c>
      <c r="HX214" s="824"/>
      <c r="HY214" s="824"/>
      <c r="HZ214" s="825"/>
      <c r="IA214" s="823"/>
      <c r="IB214" s="824"/>
      <c r="IC214" s="824"/>
      <c r="ID214" s="824"/>
      <c r="IE214" s="824"/>
      <c r="IF214" s="824"/>
      <c r="IG214" s="824"/>
      <c r="IH214" s="824"/>
      <c r="II214" s="824"/>
      <c r="IJ214" s="824"/>
      <c r="IK214" s="824"/>
      <c r="IL214" s="824"/>
      <c r="IM214" s="824"/>
      <c r="IN214" s="824"/>
      <c r="IO214" s="824"/>
      <c r="IP214" s="824"/>
      <c r="IQ214" s="824"/>
      <c r="IR214" s="824"/>
      <c r="IS214" s="824"/>
      <c r="IT214" s="824"/>
      <c r="IU214" s="824"/>
      <c r="IV214" s="824"/>
      <c r="IW214" s="824" t="str">
        <f>IFERROR(IF(IZ207&gt;IA207-1,IF(INDEX(Lista_Pedidos,IY207+IA207-1,2)&lt;&gt;"",INDEX(Lista_Pedidos,IY207+IA207-1,2),""),""),"")</f>
        <v/>
      </c>
      <c r="IX214" s="824"/>
      <c r="IY214" s="824"/>
      <c r="IZ214" s="825"/>
    </row>
    <row r="215" spans="1:260" x14ac:dyDescent="0.25">
      <c r="A215" s="800" t="str">
        <f>IFERROR(IF(Z207&gt;A207-1,IF(INDEX(Lista_Pedidos,Y207+A207-1,6)&lt;&gt;"","Nombre de la Tela :     "&amp; INDEX(Lista_Pedidos,Y207+A207-1,6),""),""),"")</f>
        <v/>
      </c>
      <c r="B215" s="801"/>
      <c r="C215" s="801"/>
      <c r="D215" s="801"/>
      <c r="E215" s="801"/>
      <c r="F215" s="801"/>
      <c r="G215" s="801"/>
      <c r="H215" s="801"/>
      <c r="I215" s="801"/>
      <c r="J215" s="801"/>
      <c r="K215" s="801"/>
      <c r="L215" s="801"/>
      <c r="M215" s="801"/>
      <c r="N215" s="801"/>
      <c r="O215" s="801"/>
      <c r="P215" s="801"/>
      <c r="Q215" s="801"/>
      <c r="R215" s="801"/>
      <c r="S215" s="801"/>
      <c r="T215" s="801"/>
      <c r="U215" s="801"/>
      <c r="V215" s="801"/>
      <c r="W215" s="826"/>
      <c r="X215" s="826"/>
      <c r="Y215" s="826"/>
      <c r="Z215" s="827"/>
      <c r="AA215" s="800" t="str">
        <f>IFERROR(IF(AZ207&gt;AA207-1,IF(INDEX(Lista_Pedidos,AY207+AA207-1,6)&lt;&gt;"","Nombre de la Tela :     "&amp; INDEX(Lista_Pedidos,AY207+AA207-1,6),""),""),"")</f>
        <v/>
      </c>
      <c r="AB215" s="801"/>
      <c r="AC215" s="801"/>
      <c r="AD215" s="801"/>
      <c r="AE215" s="801"/>
      <c r="AF215" s="801"/>
      <c r="AG215" s="801"/>
      <c r="AH215" s="801"/>
      <c r="AI215" s="801"/>
      <c r="AJ215" s="801"/>
      <c r="AK215" s="801"/>
      <c r="AL215" s="801"/>
      <c r="AM215" s="801"/>
      <c r="AN215" s="801"/>
      <c r="AO215" s="801"/>
      <c r="AP215" s="801"/>
      <c r="AQ215" s="801"/>
      <c r="AR215" s="801"/>
      <c r="AS215" s="801"/>
      <c r="AT215" s="801"/>
      <c r="AU215" s="801"/>
      <c r="AV215" s="801"/>
      <c r="AW215" s="826"/>
      <c r="AX215" s="826"/>
      <c r="AY215" s="826"/>
      <c r="AZ215" s="827"/>
      <c r="BA215" s="800" t="str">
        <f>IFERROR(IF(BZ207&gt;BA207-1,IF(INDEX(Lista_Pedidos,BY207+BA207-1,6)&lt;&gt;"","Nombre de la Tela :     "&amp; INDEX(Lista_Pedidos,BY207+BA207-1,6),""),""),"")</f>
        <v/>
      </c>
      <c r="BB215" s="801"/>
      <c r="BC215" s="801"/>
      <c r="BD215" s="801"/>
      <c r="BE215" s="801"/>
      <c r="BF215" s="801"/>
      <c r="BG215" s="801"/>
      <c r="BH215" s="801"/>
      <c r="BI215" s="801"/>
      <c r="BJ215" s="801"/>
      <c r="BK215" s="801"/>
      <c r="BL215" s="801"/>
      <c r="BM215" s="801"/>
      <c r="BN215" s="801"/>
      <c r="BO215" s="801"/>
      <c r="BP215" s="801"/>
      <c r="BQ215" s="801"/>
      <c r="BR215" s="801"/>
      <c r="BS215" s="801"/>
      <c r="BT215" s="801"/>
      <c r="BU215" s="801"/>
      <c r="BV215" s="801"/>
      <c r="BW215" s="826"/>
      <c r="BX215" s="826"/>
      <c r="BY215" s="826"/>
      <c r="BZ215" s="827"/>
      <c r="CA215" s="800" t="str">
        <f>IFERROR(IF(CZ207&gt;CA207-1,IF(INDEX(Lista_Pedidos,CY207+CA207-1,6)&lt;&gt;"","Nombre de la Tela :     "&amp; INDEX(Lista_Pedidos,CY207+CA207-1,6),""),""),"")</f>
        <v/>
      </c>
      <c r="CB215" s="801"/>
      <c r="CC215" s="801"/>
      <c r="CD215" s="801"/>
      <c r="CE215" s="801"/>
      <c r="CF215" s="801"/>
      <c r="CG215" s="801"/>
      <c r="CH215" s="801"/>
      <c r="CI215" s="801"/>
      <c r="CJ215" s="801"/>
      <c r="CK215" s="801"/>
      <c r="CL215" s="801"/>
      <c r="CM215" s="801"/>
      <c r="CN215" s="801"/>
      <c r="CO215" s="801"/>
      <c r="CP215" s="801"/>
      <c r="CQ215" s="801"/>
      <c r="CR215" s="801"/>
      <c r="CS215" s="801"/>
      <c r="CT215" s="801"/>
      <c r="CU215" s="801"/>
      <c r="CV215" s="801"/>
      <c r="CW215" s="826"/>
      <c r="CX215" s="826"/>
      <c r="CY215" s="826"/>
      <c r="CZ215" s="827"/>
      <c r="DA215" s="800" t="str">
        <f>IFERROR(IF(DZ207&gt;DA207-1,IF(INDEX(Lista_Pedidos,DY207+DA207-1,6)&lt;&gt;"","Nombre de la Tela :     "&amp; INDEX(Lista_Pedidos,DY207+DA207-1,6),""),""),"")</f>
        <v/>
      </c>
      <c r="DB215" s="801"/>
      <c r="DC215" s="801"/>
      <c r="DD215" s="801"/>
      <c r="DE215" s="801"/>
      <c r="DF215" s="801"/>
      <c r="DG215" s="801"/>
      <c r="DH215" s="801"/>
      <c r="DI215" s="801"/>
      <c r="DJ215" s="801"/>
      <c r="DK215" s="801"/>
      <c r="DL215" s="801"/>
      <c r="DM215" s="801"/>
      <c r="DN215" s="801"/>
      <c r="DO215" s="801"/>
      <c r="DP215" s="801"/>
      <c r="DQ215" s="801"/>
      <c r="DR215" s="801"/>
      <c r="DS215" s="801"/>
      <c r="DT215" s="801"/>
      <c r="DU215" s="801"/>
      <c r="DV215" s="801"/>
      <c r="DW215" s="826"/>
      <c r="DX215" s="826"/>
      <c r="DY215" s="826"/>
      <c r="DZ215" s="827"/>
      <c r="EA215" s="800" t="str">
        <f>IFERROR(IF(EZ207&gt;EA207-1,IF(INDEX(Lista_Pedidos,EY207+EA207-1,6)&lt;&gt;"","Nombre de la Tela :     "&amp; INDEX(Lista_Pedidos,EY207+EA207-1,6),""),""),"")</f>
        <v/>
      </c>
      <c r="EB215" s="801"/>
      <c r="EC215" s="801"/>
      <c r="ED215" s="801"/>
      <c r="EE215" s="801"/>
      <c r="EF215" s="801"/>
      <c r="EG215" s="801"/>
      <c r="EH215" s="801"/>
      <c r="EI215" s="801"/>
      <c r="EJ215" s="801"/>
      <c r="EK215" s="801"/>
      <c r="EL215" s="801"/>
      <c r="EM215" s="801"/>
      <c r="EN215" s="801"/>
      <c r="EO215" s="801"/>
      <c r="EP215" s="801"/>
      <c r="EQ215" s="801"/>
      <c r="ER215" s="801"/>
      <c r="ES215" s="801"/>
      <c r="ET215" s="801"/>
      <c r="EU215" s="801"/>
      <c r="EV215" s="801"/>
      <c r="EW215" s="826"/>
      <c r="EX215" s="826"/>
      <c r="EY215" s="826"/>
      <c r="EZ215" s="827"/>
      <c r="FA215" s="800" t="str">
        <f>IFERROR(IF(FZ207&gt;FA207-1,IF(INDEX(Lista_Pedidos,FY207+FA207-1,6)&lt;&gt;"","Nombre de la Tela :     "&amp; INDEX(Lista_Pedidos,FY207+FA207-1,6),""),""),"")</f>
        <v/>
      </c>
      <c r="FB215" s="801"/>
      <c r="FC215" s="801"/>
      <c r="FD215" s="801"/>
      <c r="FE215" s="801"/>
      <c r="FF215" s="801"/>
      <c r="FG215" s="801"/>
      <c r="FH215" s="801"/>
      <c r="FI215" s="801"/>
      <c r="FJ215" s="801"/>
      <c r="FK215" s="801"/>
      <c r="FL215" s="801"/>
      <c r="FM215" s="801"/>
      <c r="FN215" s="801"/>
      <c r="FO215" s="801"/>
      <c r="FP215" s="801"/>
      <c r="FQ215" s="801"/>
      <c r="FR215" s="801"/>
      <c r="FS215" s="801"/>
      <c r="FT215" s="801"/>
      <c r="FU215" s="801"/>
      <c r="FV215" s="801"/>
      <c r="FW215" s="826"/>
      <c r="FX215" s="826"/>
      <c r="FY215" s="826"/>
      <c r="FZ215" s="827"/>
      <c r="GA215" s="800" t="str">
        <f>IFERROR(IF(GZ207&gt;GA207-1,IF(INDEX(Lista_Pedidos,GY207+GA207-1,6)&lt;&gt;"","Nombre de la Tela :     "&amp; INDEX(Lista_Pedidos,GY207+GA207-1,6),""),""),"")</f>
        <v/>
      </c>
      <c r="GB215" s="801"/>
      <c r="GC215" s="801"/>
      <c r="GD215" s="801"/>
      <c r="GE215" s="801"/>
      <c r="GF215" s="801"/>
      <c r="GG215" s="801"/>
      <c r="GH215" s="801"/>
      <c r="GI215" s="801"/>
      <c r="GJ215" s="801"/>
      <c r="GK215" s="801"/>
      <c r="GL215" s="801"/>
      <c r="GM215" s="801"/>
      <c r="GN215" s="801"/>
      <c r="GO215" s="801"/>
      <c r="GP215" s="801"/>
      <c r="GQ215" s="801"/>
      <c r="GR215" s="801"/>
      <c r="GS215" s="801"/>
      <c r="GT215" s="801"/>
      <c r="GU215" s="801"/>
      <c r="GV215" s="801"/>
      <c r="GW215" s="826"/>
      <c r="GX215" s="826"/>
      <c r="GY215" s="826"/>
      <c r="GZ215" s="827"/>
      <c r="HA215" s="800" t="str">
        <f>IFERROR(IF(HZ207&gt;HA207-1,IF(INDEX(Lista_Pedidos,HY207+HA207-1,6)&lt;&gt;"","Nombre de la Tela :     "&amp; INDEX(Lista_Pedidos,HY207+HA207-1,6),""),""),"")</f>
        <v/>
      </c>
      <c r="HB215" s="801"/>
      <c r="HC215" s="801"/>
      <c r="HD215" s="801"/>
      <c r="HE215" s="801"/>
      <c r="HF215" s="801"/>
      <c r="HG215" s="801"/>
      <c r="HH215" s="801"/>
      <c r="HI215" s="801"/>
      <c r="HJ215" s="801"/>
      <c r="HK215" s="801"/>
      <c r="HL215" s="801"/>
      <c r="HM215" s="801"/>
      <c r="HN215" s="801"/>
      <c r="HO215" s="801"/>
      <c r="HP215" s="801"/>
      <c r="HQ215" s="801"/>
      <c r="HR215" s="801"/>
      <c r="HS215" s="801"/>
      <c r="HT215" s="801"/>
      <c r="HU215" s="801"/>
      <c r="HV215" s="801"/>
      <c r="HW215" s="826"/>
      <c r="HX215" s="826"/>
      <c r="HY215" s="826"/>
      <c r="HZ215" s="827"/>
      <c r="IA215" s="800" t="str">
        <f>IFERROR(IF(IZ207&gt;IA207-1,IF(INDEX(Lista_Pedidos,IY207+IA207-1,6)&lt;&gt;"","Nombre de la Tela :     "&amp; INDEX(Lista_Pedidos,IY207+IA207-1,6),""),""),"")</f>
        <v/>
      </c>
      <c r="IB215" s="801"/>
      <c r="IC215" s="801"/>
      <c r="ID215" s="801"/>
      <c r="IE215" s="801"/>
      <c r="IF215" s="801"/>
      <c r="IG215" s="801"/>
      <c r="IH215" s="801"/>
      <c r="II215" s="801"/>
      <c r="IJ215" s="801"/>
      <c r="IK215" s="801"/>
      <c r="IL215" s="801"/>
      <c r="IM215" s="801"/>
      <c r="IN215" s="801"/>
      <c r="IO215" s="801"/>
      <c r="IP215" s="801"/>
      <c r="IQ215" s="801"/>
      <c r="IR215" s="801"/>
      <c r="IS215" s="801"/>
      <c r="IT215" s="801"/>
      <c r="IU215" s="801"/>
      <c r="IV215" s="801"/>
      <c r="IW215" s="826"/>
      <c r="IX215" s="826"/>
      <c r="IY215" s="826"/>
      <c r="IZ215" s="827"/>
    </row>
    <row r="216" spans="1:260" x14ac:dyDescent="0.25">
      <c r="A216" s="800" t="str">
        <f>IFERROR(IF(Z207&gt;A207-1,IF(INDEX(Lista_Pedidos,Y207+A207-1,7)&lt;&gt;"","Hilo :     "&amp; INDEX(Lista_Pedidos,Y207+A207-1,7),""),""),"")</f>
        <v/>
      </c>
      <c r="B216" s="801"/>
      <c r="C216" s="801"/>
      <c r="D216" s="801"/>
      <c r="E216" s="801"/>
      <c r="F216" s="801"/>
      <c r="G216" s="801"/>
      <c r="H216" s="801"/>
      <c r="I216" s="801"/>
      <c r="J216" s="801"/>
      <c r="K216" s="801"/>
      <c r="L216" s="801"/>
      <c r="M216" s="801"/>
      <c r="N216" s="801"/>
      <c r="O216" s="801"/>
      <c r="P216" s="801"/>
      <c r="Q216" s="801"/>
      <c r="R216" s="801"/>
      <c r="S216" s="801"/>
      <c r="T216" s="801"/>
      <c r="U216" s="801"/>
      <c r="V216" s="801"/>
      <c r="W216" s="801"/>
      <c r="X216" s="801"/>
      <c r="Y216" s="801"/>
      <c r="Z216" s="802"/>
      <c r="AA216" s="800" t="str">
        <f>IFERROR(IF(AZ207&gt;AA207-1,IF(INDEX(Lista_Pedidos,AY207+AA207-1,7)&lt;&gt;"","Hilo :     "&amp; INDEX(Lista_Pedidos,AY207+AA207-1,7),""),""),"")</f>
        <v/>
      </c>
      <c r="AB216" s="801"/>
      <c r="AC216" s="801"/>
      <c r="AD216" s="801"/>
      <c r="AE216" s="801"/>
      <c r="AF216" s="801"/>
      <c r="AG216" s="801"/>
      <c r="AH216" s="801"/>
      <c r="AI216" s="801"/>
      <c r="AJ216" s="801"/>
      <c r="AK216" s="801"/>
      <c r="AL216" s="801"/>
      <c r="AM216" s="801"/>
      <c r="AN216" s="801"/>
      <c r="AO216" s="801"/>
      <c r="AP216" s="801"/>
      <c r="AQ216" s="801"/>
      <c r="AR216" s="801"/>
      <c r="AS216" s="801"/>
      <c r="AT216" s="801"/>
      <c r="AU216" s="801"/>
      <c r="AV216" s="801"/>
      <c r="AW216" s="801"/>
      <c r="AX216" s="801"/>
      <c r="AY216" s="801"/>
      <c r="AZ216" s="802"/>
      <c r="BA216" s="800" t="str">
        <f>IFERROR(IF(BZ207&gt;BA207-1,IF(INDEX(Lista_Pedidos,BY207+BA207-1,7)&lt;&gt;"","Hilo :     "&amp; INDEX(Lista_Pedidos,BY207+BA207-1,7),""),""),"")</f>
        <v/>
      </c>
      <c r="BB216" s="801"/>
      <c r="BC216" s="801"/>
      <c r="BD216" s="801"/>
      <c r="BE216" s="801"/>
      <c r="BF216" s="801"/>
      <c r="BG216" s="801"/>
      <c r="BH216" s="801"/>
      <c r="BI216" s="801"/>
      <c r="BJ216" s="801"/>
      <c r="BK216" s="801"/>
      <c r="BL216" s="801"/>
      <c r="BM216" s="801"/>
      <c r="BN216" s="801"/>
      <c r="BO216" s="801"/>
      <c r="BP216" s="801"/>
      <c r="BQ216" s="801"/>
      <c r="BR216" s="801"/>
      <c r="BS216" s="801"/>
      <c r="BT216" s="801"/>
      <c r="BU216" s="801"/>
      <c r="BV216" s="801"/>
      <c r="BW216" s="801"/>
      <c r="BX216" s="801"/>
      <c r="BY216" s="801"/>
      <c r="BZ216" s="802"/>
      <c r="CA216" s="800" t="str">
        <f>IFERROR(IF(CZ207&gt;CA207-1,IF(INDEX(Lista_Pedidos,CY207+CA207-1,7)&lt;&gt;"","Hilo :     "&amp; INDEX(Lista_Pedidos,CY207+CA207-1,7),""),""),"")</f>
        <v/>
      </c>
      <c r="CB216" s="801"/>
      <c r="CC216" s="801"/>
      <c r="CD216" s="801"/>
      <c r="CE216" s="801"/>
      <c r="CF216" s="801"/>
      <c r="CG216" s="801"/>
      <c r="CH216" s="801"/>
      <c r="CI216" s="801"/>
      <c r="CJ216" s="801"/>
      <c r="CK216" s="801"/>
      <c r="CL216" s="801"/>
      <c r="CM216" s="801"/>
      <c r="CN216" s="801"/>
      <c r="CO216" s="801"/>
      <c r="CP216" s="801"/>
      <c r="CQ216" s="801"/>
      <c r="CR216" s="801"/>
      <c r="CS216" s="801"/>
      <c r="CT216" s="801"/>
      <c r="CU216" s="801"/>
      <c r="CV216" s="801"/>
      <c r="CW216" s="801"/>
      <c r="CX216" s="801"/>
      <c r="CY216" s="801"/>
      <c r="CZ216" s="802"/>
      <c r="DA216" s="800" t="str">
        <f>IFERROR(IF(DZ207&gt;DA207-1,IF(INDEX(Lista_Pedidos,DY207+DA207-1,7)&lt;&gt;"","Hilo :     "&amp; INDEX(Lista_Pedidos,DY207+DA207-1,7),""),""),"")</f>
        <v/>
      </c>
      <c r="DB216" s="801"/>
      <c r="DC216" s="801"/>
      <c r="DD216" s="801"/>
      <c r="DE216" s="801"/>
      <c r="DF216" s="801"/>
      <c r="DG216" s="801"/>
      <c r="DH216" s="801"/>
      <c r="DI216" s="801"/>
      <c r="DJ216" s="801"/>
      <c r="DK216" s="801"/>
      <c r="DL216" s="801"/>
      <c r="DM216" s="801"/>
      <c r="DN216" s="801"/>
      <c r="DO216" s="801"/>
      <c r="DP216" s="801"/>
      <c r="DQ216" s="801"/>
      <c r="DR216" s="801"/>
      <c r="DS216" s="801"/>
      <c r="DT216" s="801"/>
      <c r="DU216" s="801"/>
      <c r="DV216" s="801"/>
      <c r="DW216" s="801"/>
      <c r="DX216" s="801"/>
      <c r="DY216" s="801"/>
      <c r="DZ216" s="802"/>
      <c r="EA216" s="800" t="str">
        <f>IFERROR(IF(EZ207&gt;EA207-1,IF(INDEX(Lista_Pedidos,EY207+EA207-1,7)&lt;&gt;"","Hilo :     "&amp; INDEX(Lista_Pedidos,EY207+EA207-1,7),""),""),"")</f>
        <v/>
      </c>
      <c r="EB216" s="801"/>
      <c r="EC216" s="801"/>
      <c r="ED216" s="801"/>
      <c r="EE216" s="801"/>
      <c r="EF216" s="801"/>
      <c r="EG216" s="801"/>
      <c r="EH216" s="801"/>
      <c r="EI216" s="801"/>
      <c r="EJ216" s="801"/>
      <c r="EK216" s="801"/>
      <c r="EL216" s="801"/>
      <c r="EM216" s="801"/>
      <c r="EN216" s="801"/>
      <c r="EO216" s="801"/>
      <c r="EP216" s="801"/>
      <c r="EQ216" s="801"/>
      <c r="ER216" s="801"/>
      <c r="ES216" s="801"/>
      <c r="ET216" s="801"/>
      <c r="EU216" s="801"/>
      <c r="EV216" s="801"/>
      <c r="EW216" s="801"/>
      <c r="EX216" s="801"/>
      <c r="EY216" s="801"/>
      <c r="EZ216" s="802"/>
      <c r="FA216" s="800" t="str">
        <f>IFERROR(IF(FZ207&gt;FA207-1,IF(INDEX(Lista_Pedidos,FY207+FA207-1,7)&lt;&gt;"","Hilo :     "&amp; INDEX(Lista_Pedidos,FY207+FA207-1,7),""),""),"")</f>
        <v/>
      </c>
      <c r="FB216" s="801"/>
      <c r="FC216" s="801"/>
      <c r="FD216" s="801"/>
      <c r="FE216" s="801"/>
      <c r="FF216" s="801"/>
      <c r="FG216" s="801"/>
      <c r="FH216" s="801"/>
      <c r="FI216" s="801"/>
      <c r="FJ216" s="801"/>
      <c r="FK216" s="801"/>
      <c r="FL216" s="801"/>
      <c r="FM216" s="801"/>
      <c r="FN216" s="801"/>
      <c r="FO216" s="801"/>
      <c r="FP216" s="801"/>
      <c r="FQ216" s="801"/>
      <c r="FR216" s="801"/>
      <c r="FS216" s="801"/>
      <c r="FT216" s="801"/>
      <c r="FU216" s="801"/>
      <c r="FV216" s="801"/>
      <c r="FW216" s="801"/>
      <c r="FX216" s="801"/>
      <c r="FY216" s="801"/>
      <c r="FZ216" s="802"/>
      <c r="GA216" s="800" t="str">
        <f>IFERROR(IF(GZ207&gt;GA207-1,IF(INDEX(Lista_Pedidos,GY207+GA207-1,7)&lt;&gt;"","Hilo :     "&amp; INDEX(Lista_Pedidos,GY207+GA207-1,7),""),""),"")</f>
        <v/>
      </c>
      <c r="GB216" s="801"/>
      <c r="GC216" s="801"/>
      <c r="GD216" s="801"/>
      <c r="GE216" s="801"/>
      <c r="GF216" s="801"/>
      <c r="GG216" s="801"/>
      <c r="GH216" s="801"/>
      <c r="GI216" s="801"/>
      <c r="GJ216" s="801"/>
      <c r="GK216" s="801"/>
      <c r="GL216" s="801"/>
      <c r="GM216" s="801"/>
      <c r="GN216" s="801"/>
      <c r="GO216" s="801"/>
      <c r="GP216" s="801"/>
      <c r="GQ216" s="801"/>
      <c r="GR216" s="801"/>
      <c r="GS216" s="801"/>
      <c r="GT216" s="801"/>
      <c r="GU216" s="801"/>
      <c r="GV216" s="801"/>
      <c r="GW216" s="801"/>
      <c r="GX216" s="801"/>
      <c r="GY216" s="801"/>
      <c r="GZ216" s="802"/>
      <c r="HA216" s="800" t="str">
        <f>IFERROR(IF(HZ207&gt;HA207-1,IF(INDEX(Lista_Pedidos,HY207+HA207-1,7)&lt;&gt;"","Hilo :     "&amp; INDEX(Lista_Pedidos,HY207+HA207-1,7),""),""),"")</f>
        <v/>
      </c>
      <c r="HB216" s="801"/>
      <c r="HC216" s="801"/>
      <c r="HD216" s="801"/>
      <c r="HE216" s="801"/>
      <c r="HF216" s="801"/>
      <c r="HG216" s="801"/>
      <c r="HH216" s="801"/>
      <c r="HI216" s="801"/>
      <c r="HJ216" s="801"/>
      <c r="HK216" s="801"/>
      <c r="HL216" s="801"/>
      <c r="HM216" s="801"/>
      <c r="HN216" s="801"/>
      <c r="HO216" s="801"/>
      <c r="HP216" s="801"/>
      <c r="HQ216" s="801"/>
      <c r="HR216" s="801"/>
      <c r="HS216" s="801"/>
      <c r="HT216" s="801"/>
      <c r="HU216" s="801"/>
      <c r="HV216" s="801"/>
      <c r="HW216" s="801"/>
      <c r="HX216" s="801"/>
      <c r="HY216" s="801"/>
      <c r="HZ216" s="802"/>
      <c r="IA216" s="800" t="str">
        <f>IFERROR(IF(IZ207&gt;IA207-1,IF(INDEX(Lista_Pedidos,IY207+IA207-1,7)&lt;&gt;"","Hilo :     "&amp; INDEX(Lista_Pedidos,IY207+IA207-1,7),""),""),"")</f>
        <v/>
      </c>
      <c r="IB216" s="801"/>
      <c r="IC216" s="801"/>
      <c r="ID216" s="801"/>
      <c r="IE216" s="801"/>
      <c r="IF216" s="801"/>
      <c r="IG216" s="801"/>
      <c r="IH216" s="801"/>
      <c r="II216" s="801"/>
      <c r="IJ216" s="801"/>
      <c r="IK216" s="801"/>
      <c r="IL216" s="801"/>
      <c r="IM216" s="801"/>
      <c r="IN216" s="801"/>
      <c r="IO216" s="801"/>
      <c r="IP216" s="801"/>
      <c r="IQ216" s="801"/>
      <c r="IR216" s="801"/>
      <c r="IS216" s="801"/>
      <c r="IT216" s="801"/>
      <c r="IU216" s="801"/>
      <c r="IV216" s="801"/>
      <c r="IW216" s="801"/>
      <c r="IX216" s="801"/>
      <c r="IY216" s="801"/>
      <c r="IZ216" s="802"/>
    </row>
    <row r="217" spans="1:260" x14ac:dyDescent="0.25">
      <c r="A217" s="800" t="str">
        <f>IFERROR(IF(Z207&gt;A207-1,IF(INDEX(Lista_Pedidos,Y207+A207-1,8)&lt;&gt;"","Forro :     "&amp; INDEX(Lista_Pedidos,Y207+A207-1,8),""),""),"")</f>
        <v/>
      </c>
      <c r="B217" s="801"/>
      <c r="C217" s="801"/>
      <c r="D217" s="801"/>
      <c r="E217" s="801"/>
      <c r="F217" s="801"/>
      <c r="G217" s="801"/>
      <c r="H217" s="801"/>
      <c r="I217" s="801"/>
      <c r="J217" s="801"/>
      <c r="K217" s="801"/>
      <c r="L217" s="801"/>
      <c r="M217" s="801"/>
      <c r="N217" s="801"/>
      <c r="O217" s="801"/>
      <c r="P217" s="801"/>
      <c r="Q217" s="801"/>
      <c r="R217" s="801"/>
      <c r="S217" s="801"/>
      <c r="T217" s="801"/>
      <c r="U217" s="801"/>
      <c r="V217" s="801"/>
      <c r="W217" s="801"/>
      <c r="X217" s="801"/>
      <c r="Y217" s="801"/>
      <c r="Z217" s="802"/>
      <c r="AA217" s="800" t="str">
        <f>IFERROR(IF(AZ207&gt;AA207-1,IF(INDEX(Lista_Pedidos,AY207+AA207-1,8)&lt;&gt;"","Forro :     "&amp; INDEX(Lista_Pedidos,AY207+AA207-1,8),""),""),"")</f>
        <v/>
      </c>
      <c r="AB217" s="801"/>
      <c r="AC217" s="801"/>
      <c r="AD217" s="801"/>
      <c r="AE217" s="801"/>
      <c r="AF217" s="801"/>
      <c r="AG217" s="801"/>
      <c r="AH217" s="801"/>
      <c r="AI217" s="801"/>
      <c r="AJ217" s="801"/>
      <c r="AK217" s="801"/>
      <c r="AL217" s="801"/>
      <c r="AM217" s="801"/>
      <c r="AN217" s="801"/>
      <c r="AO217" s="801"/>
      <c r="AP217" s="801"/>
      <c r="AQ217" s="801"/>
      <c r="AR217" s="801"/>
      <c r="AS217" s="801"/>
      <c r="AT217" s="801"/>
      <c r="AU217" s="801"/>
      <c r="AV217" s="801"/>
      <c r="AW217" s="801"/>
      <c r="AX217" s="801"/>
      <c r="AY217" s="801"/>
      <c r="AZ217" s="802"/>
      <c r="BA217" s="800" t="str">
        <f>IFERROR(IF(BZ207&gt;BA207-1,IF(INDEX(Lista_Pedidos,BY207+BA207-1,8)&lt;&gt;"","Forro :     "&amp; INDEX(Lista_Pedidos,BY207+BA207-1,8),""),""),"")</f>
        <v/>
      </c>
      <c r="BB217" s="801"/>
      <c r="BC217" s="801"/>
      <c r="BD217" s="801"/>
      <c r="BE217" s="801"/>
      <c r="BF217" s="801"/>
      <c r="BG217" s="801"/>
      <c r="BH217" s="801"/>
      <c r="BI217" s="801"/>
      <c r="BJ217" s="801"/>
      <c r="BK217" s="801"/>
      <c r="BL217" s="801"/>
      <c r="BM217" s="801"/>
      <c r="BN217" s="801"/>
      <c r="BO217" s="801"/>
      <c r="BP217" s="801"/>
      <c r="BQ217" s="801"/>
      <c r="BR217" s="801"/>
      <c r="BS217" s="801"/>
      <c r="BT217" s="801"/>
      <c r="BU217" s="801"/>
      <c r="BV217" s="801"/>
      <c r="BW217" s="801"/>
      <c r="BX217" s="801"/>
      <c r="BY217" s="801"/>
      <c r="BZ217" s="802"/>
      <c r="CA217" s="800" t="str">
        <f>IFERROR(IF(CZ207&gt;CA207-1,IF(INDEX(Lista_Pedidos,CY207+CA207-1,8)&lt;&gt;"","Forro :     "&amp; INDEX(Lista_Pedidos,CY207+CA207-1,8),""),""),"")</f>
        <v/>
      </c>
      <c r="CB217" s="801"/>
      <c r="CC217" s="801"/>
      <c r="CD217" s="801"/>
      <c r="CE217" s="801"/>
      <c r="CF217" s="801"/>
      <c r="CG217" s="801"/>
      <c r="CH217" s="801"/>
      <c r="CI217" s="801"/>
      <c r="CJ217" s="801"/>
      <c r="CK217" s="801"/>
      <c r="CL217" s="801"/>
      <c r="CM217" s="801"/>
      <c r="CN217" s="801"/>
      <c r="CO217" s="801"/>
      <c r="CP217" s="801"/>
      <c r="CQ217" s="801"/>
      <c r="CR217" s="801"/>
      <c r="CS217" s="801"/>
      <c r="CT217" s="801"/>
      <c r="CU217" s="801"/>
      <c r="CV217" s="801"/>
      <c r="CW217" s="801"/>
      <c r="CX217" s="801"/>
      <c r="CY217" s="801"/>
      <c r="CZ217" s="802"/>
      <c r="DA217" s="800" t="str">
        <f>IFERROR(IF(DZ207&gt;DA207-1,IF(INDEX(Lista_Pedidos,DY207+DA207-1,8)&lt;&gt;"","Forro :     "&amp; INDEX(Lista_Pedidos,DY207+DA207-1,8),""),""),"")</f>
        <v/>
      </c>
      <c r="DB217" s="801"/>
      <c r="DC217" s="801"/>
      <c r="DD217" s="801"/>
      <c r="DE217" s="801"/>
      <c r="DF217" s="801"/>
      <c r="DG217" s="801"/>
      <c r="DH217" s="801"/>
      <c r="DI217" s="801"/>
      <c r="DJ217" s="801"/>
      <c r="DK217" s="801"/>
      <c r="DL217" s="801"/>
      <c r="DM217" s="801"/>
      <c r="DN217" s="801"/>
      <c r="DO217" s="801"/>
      <c r="DP217" s="801"/>
      <c r="DQ217" s="801"/>
      <c r="DR217" s="801"/>
      <c r="DS217" s="801"/>
      <c r="DT217" s="801"/>
      <c r="DU217" s="801"/>
      <c r="DV217" s="801"/>
      <c r="DW217" s="801"/>
      <c r="DX217" s="801"/>
      <c r="DY217" s="801"/>
      <c r="DZ217" s="802"/>
      <c r="EA217" s="800" t="str">
        <f>IFERROR(IF(EZ207&gt;EA207-1,IF(INDEX(Lista_Pedidos,EY207+EA207-1,8)&lt;&gt;"","Forro :     "&amp; INDEX(Lista_Pedidos,EY207+EA207-1,8),""),""),"")</f>
        <v/>
      </c>
      <c r="EB217" s="801"/>
      <c r="EC217" s="801"/>
      <c r="ED217" s="801"/>
      <c r="EE217" s="801"/>
      <c r="EF217" s="801"/>
      <c r="EG217" s="801"/>
      <c r="EH217" s="801"/>
      <c r="EI217" s="801"/>
      <c r="EJ217" s="801"/>
      <c r="EK217" s="801"/>
      <c r="EL217" s="801"/>
      <c r="EM217" s="801"/>
      <c r="EN217" s="801"/>
      <c r="EO217" s="801"/>
      <c r="EP217" s="801"/>
      <c r="EQ217" s="801"/>
      <c r="ER217" s="801"/>
      <c r="ES217" s="801"/>
      <c r="ET217" s="801"/>
      <c r="EU217" s="801"/>
      <c r="EV217" s="801"/>
      <c r="EW217" s="801"/>
      <c r="EX217" s="801"/>
      <c r="EY217" s="801"/>
      <c r="EZ217" s="802"/>
      <c r="FA217" s="800" t="str">
        <f>IFERROR(IF(FZ207&gt;FA207-1,IF(INDEX(Lista_Pedidos,FY207+FA207-1,8)&lt;&gt;"","Forro :     "&amp; INDEX(Lista_Pedidos,FY207+FA207-1,8),""),""),"")</f>
        <v/>
      </c>
      <c r="FB217" s="801"/>
      <c r="FC217" s="801"/>
      <c r="FD217" s="801"/>
      <c r="FE217" s="801"/>
      <c r="FF217" s="801"/>
      <c r="FG217" s="801"/>
      <c r="FH217" s="801"/>
      <c r="FI217" s="801"/>
      <c r="FJ217" s="801"/>
      <c r="FK217" s="801"/>
      <c r="FL217" s="801"/>
      <c r="FM217" s="801"/>
      <c r="FN217" s="801"/>
      <c r="FO217" s="801"/>
      <c r="FP217" s="801"/>
      <c r="FQ217" s="801"/>
      <c r="FR217" s="801"/>
      <c r="FS217" s="801"/>
      <c r="FT217" s="801"/>
      <c r="FU217" s="801"/>
      <c r="FV217" s="801"/>
      <c r="FW217" s="801"/>
      <c r="FX217" s="801"/>
      <c r="FY217" s="801"/>
      <c r="FZ217" s="802"/>
      <c r="GA217" s="800" t="str">
        <f>IFERROR(IF(GZ207&gt;GA207-1,IF(INDEX(Lista_Pedidos,GY207+GA207-1,8)&lt;&gt;"","Forro :     "&amp; INDEX(Lista_Pedidos,GY207+GA207-1,8),""),""),"")</f>
        <v/>
      </c>
      <c r="GB217" s="801"/>
      <c r="GC217" s="801"/>
      <c r="GD217" s="801"/>
      <c r="GE217" s="801"/>
      <c r="GF217" s="801"/>
      <c r="GG217" s="801"/>
      <c r="GH217" s="801"/>
      <c r="GI217" s="801"/>
      <c r="GJ217" s="801"/>
      <c r="GK217" s="801"/>
      <c r="GL217" s="801"/>
      <c r="GM217" s="801"/>
      <c r="GN217" s="801"/>
      <c r="GO217" s="801"/>
      <c r="GP217" s="801"/>
      <c r="GQ217" s="801"/>
      <c r="GR217" s="801"/>
      <c r="GS217" s="801"/>
      <c r="GT217" s="801"/>
      <c r="GU217" s="801"/>
      <c r="GV217" s="801"/>
      <c r="GW217" s="801"/>
      <c r="GX217" s="801"/>
      <c r="GY217" s="801"/>
      <c r="GZ217" s="802"/>
      <c r="HA217" s="800" t="str">
        <f>IFERROR(IF(HZ207&gt;HA207-1,IF(INDEX(Lista_Pedidos,HY207+HA207-1,8)&lt;&gt;"","Forro :     "&amp; INDEX(Lista_Pedidos,HY207+HA207-1,8),""),""),"")</f>
        <v/>
      </c>
      <c r="HB217" s="801"/>
      <c r="HC217" s="801"/>
      <c r="HD217" s="801"/>
      <c r="HE217" s="801"/>
      <c r="HF217" s="801"/>
      <c r="HG217" s="801"/>
      <c r="HH217" s="801"/>
      <c r="HI217" s="801"/>
      <c r="HJ217" s="801"/>
      <c r="HK217" s="801"/>
      <c r="HL217" s="801"/>
      <c r="HM217" s="801"/>
      <c r="HN217" s="801"/>
      <c r="HO217" s="801"/>
      <c r="HP217" s="801"/>
      <c r="HQ217" s="801"/>
      <c r="HR217" s="801"/>
      <c r="HS217" s="801"/>
      <c r="HT217" s="801"/>
      <c r="HU217" s="801"/>
      <c r="HV217" s="801"/>
      <c r="HW217" s="801"/>
      <c r="HX217" s="801"/>
      <c r="HY217" s="801"/>
      <c r="HZ217" s="802"/>
      <c r="IA217" s="800" t="str">
        <f>IFERROR(IF(IZ207&gt;IA207-1,IF(INDEX(Lista_Pedidos,IY207+IA207-1,8)&lt;&gt;"","Forro :     "&amp; INDEX(Lista_Pedidos,IY207+IA207-1,8),""),""),"")</f>
        <v/>
      </c>
      <c r="IB217" s="801"/>
      <c r="IC217" s="801"/>
      <c r="ID217" s="801"/>
      <c r="IE217" s="801"/>
      <c r="IF217" s="801"/>
      <c r="IG217" s="801"/>
      <c r="IH217" s="801"/>
      <c r="II217" s="801"/>
      <c r="IJ217" s="801"/>
      <c r="IK217" s="801"/>
      <c r="IL217" s="801"/>
      <c r="IM217" s="801"/>
      <c r="IN217" s="801"/>
      <c r="IO217" s="801"/>
      <c r="IP217" s="801"/>
      <c r="IQ217" s="801"/>
      <c r="IR217" s="801"/>
      <c r="IS217" s="801"/>
      <c r="IT217" s="801"/>
      <c r="IU217" s="801"/>
      <c r="IV217" s="801"/>
      <c r="IW217" s="801"/>
      <c r="IX217" s="801"/>
      <c r="IY217" s="801"/>
      <c r="IZ217" s="802"/>
    </row>
    <row r="218" spans="1:260" x14ac:dyDescent="0.25">
      <c r="A218" s="800" t="str">
        <f>IF(A$5="Cliente Especial : NEON",IF(Z207&gt;A207-1,"Neon :      Si",""),"")</f>
        <v/>
      </c>
      <c r="B218" s="801"/>
      <c r="C218" s="801"/>
      <c r="D218" s="801"/>
      <c r="E218" s="801"/>
      <c r="F218" s="801"/>
      <c r="G218" s="801"/>
      <c r="H218" s="801"/>
      <c r="I218" s="801"/>
      <c r="J218" s="801"/>
      <c r="K218" s="801"/>
      <c r="L218" s="801"/>
      <c r="M218" s="801"/>
      <c r="N218" s="801"/>
      <c r="O218" s="801"/>
      <c r="P218" s="801"/>
      <c r="Q218" s="801"/>
      <c r="R218" s="801"/>
      <c r="S218" s="801"/>
      <c r="T218" s="801"/>
      <c r="U218" s="801"/>
      <c r="V218" s="801"/>
      <c r="W218" s="801"/>
      <c r="X218" s="801"/>
      <c r="Y218" s="801"/>
      <c r="Z218" s="802"/>
      <c r="AA218" s="800" t="str">
        <f>IF(AA$5="Cliente Especial : NEON",IF(AZ207&gt;AA207-1,"Neon :      Si",""),"")</f>
        <v/>
      </c>
      <c r="AB218" s="801"/>
      <c r="AC218" s="801"/>
      <c r="AD218" s="801"/>
      <c r="AE218" s="801"/>
      <c r="AF218" s="801"/>
      <c r="AG218" s="801"/>
      <c r="AH218" s="801"/>
      <c r="AI218" s="801"/>
      <c r="AJ218" s="801"/>
      <c r="AK218" s="801"/>
      <c r="AL218" s="801"/>
      <c r="AM218" s="801"/>
      <c r="AN218" s="801"/>
      <c r="AO218" s="801"/>
      <c r="AP218" s="801"/>
      <c r="AQ218" s="801"/>
      <c r="AR218" s="801"/>
      <c r="AS218" s="801"/>
      <c r="AT218" s="801"/>
      <c r="AU218" s="801"/>
      <c r="AV218" s="801"/>
      <c r="AW218" s="801"/>
      <c r="AX218" s="801"/>
      <c r="AY218" s="801"/>
      <c r="AZ218" s="802"/>
      <c r="BA218" s="800" t="str">
        <f>IF(BA$5="Cliente Especial : NEON",IF(BZ207&gt;BA207-1,"Neon :      Si",""),"")</f>
        <v/>
      </c>
      <c r="BB218" s="801"/>
      <c r="BC218" s="801"/>
      <c r="BD218" s="801"/>
      <c r="BE218" s="801"/>
      <c r="BF218" s="801"/>
      <c r="BG218" s="801"/>
      <c r="BH218" s="801"/>
      <c r="BI218" s="801"/>
      <c r="BJ218" s="801"/>
      <c r="BK218" s="801"/>
      <c r="BL218" s="801"/>
      <c r="BM218" s="801"/>
      <c r="BN218" s="801"/>
      <c r="BO218" s="801"/>
      <c r="BP218" s="801"/>
      <c r="BQ218" s="801"/>
      <c r="BR218" s="801"/>
      <c r="BS218" s="801"/>
      <c r="BT218" s="801"/>
      <c r="BU218" s="801"/>
      <c r="BV218" s="801"/>
      <c r="BW218" s="801"/>
      <c r="BX218" s="801"/>
      <c r="BY218" s="801"/>
      <c r="BZ218" s="802"/>
      <c r="CA218" s="800" t="str">
        <f>IF(CA$5="Cliente Especial : NEON",IF(CZ207&gt;CA207-1,"Neon :      Si",""),"")</f>
        <v/>
      </c>
      <c r="CB218" s="801"/>
      <c r="CC218" s="801"/>
      <c r="CD218" s="801"/>
      <c r="CE218" s="801"/>
      <c r="CF218" s="801"/>
      <c r="CG218" s="801"/>
      <c r="CH218" s="801"/>
      <c r="CI218" s="801"/>
      <c r="CJ218" s="801"/>
      <c r="CK218" s="801"/>
      <c r="CL218" s="801"/>
      <c r="CM218" s="801"/>
      <c r="CN218" s="801"/>
      <c r="CO218" s="801"/>
      <c r="CP218" s="801"/>
      <c r="CQ218" s="801"/>
      <c r="CR218" s="801"/>
      <c r="CS218" s="801"/>
      <c r="CT218" s="801"/>
      <c r="CU218" s="801"/>
      <c r="CV218" s="801"/>
      <c r="CW218" s="801"/>
      <c r="CX218" s="801"/>
      <c r="CY218" s="801"/>
      <c r="CZ218" s="802"/>
      <c r="DA218" s="800" t="str">
        <f>IF(DA$5="Cliente Especial : NEON",IF(DZ207&gt;DA207-1,"Neon :      Si",""),"")</f>
        <v/>
      </c>
      <c r="DB218" s="801"/>
      <c r="DC218" s="801"/>
      <c r="DD218" s="801"/>
      <c r="DE218" s="801"/>
      <c r="DF218" s="801"/>
      <c r="DG218" s="801"/>
      <c r="DH218" s="801"/>
      <c r="DI218" s="801"/>
      <c r="DJ218" s="801"/>
      <c r="DK218" s="801"/>
      <c r="DL218" s="801"/>
      <c r="DM218" s="801"/>
      <c r="DN218" s="801"/>
      <c r="DO218" s="801"/>
      <c r="DP218" s="801"/>
      <c r="DQ218" s="801"/>
      <c r="DR218" s="801"/>
      <c r="DS218" s="801"/>
      <c r="DT218" s="801"/>
      <c r="DU218" s="801"/>
      <c r="DV218" s="801"/>
      <c r="DW218" s="801"/>
      <c r="DX218" s="801"/>
      <c r="DY218" s="801"/>
      <c r="DZ218" s="802"/>
      <c r="EA218" s="800" t="str">
        <f>IF(EA$5="Cliente Especial : NEON",IF(EZ207&gt;EA207-1,"Neon :      Si",""),"")</f>
        <v/>
      </c>
      <c r="EB218" s="801"/>
      <c r="EC218" s="801"/>
      <c r="ED218" s="801"/>
      <c r="EE218" s="801"/>
      <c r="EF218" s="801"/>
      <c r="EG218" s="801"/>
      <c r="EH218" s="801"/>
      <c r="EI218" s="801"/>
      <c r="EJ218" s="801"/>
      <c r="EK218" s="801"/>
      <c r="EL218" s="801"/>
      <c r="EM218" s="801"/>
      <c r="EN218" s="801"/>
      <c r="EO218" s="801"/>
      <c r="EP218" s="801"/>
      <c r="EQ218" s="801"/>
      <c r="ER218" s="801"/>
      <c r="ES218" s="801"/>
      <c r="ET218" s="801"/>
      <c r="EU218" s="801"/>
      <c r="EV218" s="801"/>
      <c r="EW218" s="801"/>
      <c r="EX218" s="801"/>
      <c r="EY218" s="801"/>
      <c r="EZ218" s="802"/>
      <c r="FA218" s="800" t="str">
        <f>IF(FA$5="Cliente Especial : NEON",IF(FZ207&gt;FA207-1,"Neon :      Si",""),"")</f>
        <v/>
      </c>
      <c r="FB218" s="801"/>
      <c r="FC218" s="801"/>
      <c r="FD218" s="801"/>
      <c r="FE218" s="801"/>
      <c r="FF218" s="801"/>
      <c r="FG218" s="801"/>
      <c r="FH218" s="801"/>
      <c r="FI218" s="801"/>
      <c r="FJ218" s="801"/>
      <c r="FK218" s="801"/>
      <c r="FL218" s="801"/>
      <c r="FM218" s="801"/>
      <c r="FN218" s="801"/>
      <c r="FO218" s="801"/>
      <c r="FP218" s="801"/>
      <c r="FQ218" s="801"/>
      <c r="FR218" s="801"/>
      <c r="FS218" s="801"/>
      <c r="FT218" s="801"/>
      <c r="FU218" s="801"/>
      <c r="FV218" s="801"/>
      <c r="FW218" s="801"/>
      <c r="FX218" s="801"/>
      <c r="FY218" s="801"/>
      <c r="FZ218" s="802"/>
      <c r="GA218" s="800" t="str">
        <f>IF(GA$5="Cliente Especial : NEON",IF(GZ207&gt;GA207-1,"Neon :      Si",""),"")</f>
        <v/>
      </c>
      <c r="GB218" s="801"/>
      <c r="GC218" s="801"/>
      <c r="GD218" s="801"/>
      <c r="GE218" s="801"/>
      <c r="GF218" s="801"/>
      <c r="GG218" s="801"/>
      <c r="GH218" s="801"/>
      <c r="GI218" s="801"/>
      <c r="GJ218" s="801"/>
      <c r="GK218" s="801"/>
      <c r="GL218" s="801"/>
      <c r="GM218" s="801"/>
      <c r="GN218" s="801"/>
      <c r="GO218" s="801"/>
      <c r="GP218" s="801"/>
      <c r="GQ218" s="801"/>
      <c r="GR218" s="801"/>
      <c r="GS218" s="801"/>
      <c r="GT218" s="801"/>
      <c r="GU218" s="801"/>
      <c r="GV218" s="801"/>
      <c r="GW218" s="801"/>
      <c r="GX218" s="801"/>
      <c r="GY218" s="801"/>
      <c r="GZ218" s="802"/>
      <c r="HA218" s="800" t="str">
        <f>IF(HA$5="Cliente Especial : NEON",IF(HZ207&gt;HA207-1,"Neon :      Si",""),"")</f>
        <v/>
      </c>
      <c r="HB218" s="801"/>
      <c r="HC218" s="801"/>
      <c r="HD218" s="801"/>
      <c r="HE218" s="801"/>
      <c r="HF218" s="801"/>
      <c r="HG218" s="801"/>
      <c r="HH218" s="801"/>
      <c r="HI218" s="801"/>
      <c r="HJ218" s="801"/>
      <c r="HK218" s="801"/>
      <c r="HL218" s="801"/>
      <c r="HM218" s="801"/>
      <c r="HN218" s="801"/>
      <c r="HO218" s="801"/>
      <c r="HP218" s="801"/>
      <c r="HQ218" s="801"/>
      <c r="HR218" s="801"/>
      <c r="HS218" s="801"/>
      <c r="HT218" s="801"/>
      <c r="HU218" s="801"/>
      <c r="HV218" s="801"/>
      <c r="HW218" s="801"/>
      <c r="HX218" s="801"/>
      <c r="HY218" s="801"/>
      <c r="HZ218" s="802"/>
      <c r="IA218" s="800" t="str">
        <f>IF(IA$5="Cliente Especial : NEON",IF(IZ207&gt;IA207-1,"Neon :      Si",""),"")</f>
        <v/>
      </c>
      <c r="IB218" s="801"/>
      <c r="IC218" s="801"/>
      <c r="ID218" s="801"/>
      <c r="IE218" s="801"/>
      <c r="IF218" s="801"/>
      <c r="IG218" s="801"/>
      <c r="IH218" s="801"/>
      <c r="II218" s="801"/>
      <c r="IJ218" s="801"/>
      <c r="IK218" s="801"/>
      <c r="IL218" s="801"/>
      <c r="IM218" s="801"/>
      <c r="IN218" s="801"/>
      <c r="IO218" s="801"/>
      <c r="IP218" s="801"/>
      <c r="IQ218" s="801"/>
      <c r="IR218" s="801"/>
      <c r="IS218" s="801"/>
      <c r="IT218" s="801"/>
      <c r="IU218" s="801"/>
      <c r="IV218" s="801"/>
      <c r="IW218" s="801"/>
      <c r="IX218" s="801"/>
      <c r="IY218" s="801"/>
      <c r="IZ218" s="802"/>
    </row>
    <row r="219" spans="1:260" x14ac:dyDescent="0.25">
      <c r="A219" s="800" t="str">
        <f>IFERROR(IF(Z207&gt;A207-1,IF(INDEX(Pedidos!J:AZ,Y207+A207-1,9)&lt;&gt;"","Cierre :     "&amp; INDEX(Pedidos!J:AZ,Y207+A207-1,9),""),""),"")</f>
        <v/>
      </c>
      <c r="B219" s="801"/>
      <c r="C219" s="801"/>
      <c r="D219" s="801"/>
      <c r="E219" s="801"/>
      <c r="F219" s="801"/>
      <c r="G219" s="801"/>
      <c r="H219" s="801"/>
      <c r="I219" s="801"/>
      <c r="J219" s="801"/>
      <c r="K219" s="801"/>
      <c r="L219" s="801"/>
      <c r="M219" s="801"/>
      <c r="N219" s="801"/>
      <c r="O219" s="801"/>
      <c r="P219" s="801"/>
      <c r="Q219" s="801"/>
      <c r="R219" s="801"/>
      <c r="S219" s="801"/>
      <c r="T219" s="801"/>
      <c r="U219" s="801"/>
      <c r="V219" s="801"/>
      <c r="W219" s="801"/>
      <c r="X219" s="801"/>
      <c r="Y219" s="801"/>
      <c r="Z219" s="802"/>
      <c r="AA219" s="800" t="str">
        <f>IFERROR(IF(AZ207&gt;AA207-1,IF(INDEX(Pedidos!AJ:BZ,AY207+AA207-1,9)&lt;&gt;"","Cierre :     "&amp; INDEX(Pedidos!AJ:BZ,AY207+AA207-1,9),""),""),"")</f>
        <v/>
      </c>
      <c r="AB219" s="801"/>
      <c r="AC219" s="801"/>
      <c r="AD219" s="801"/>
      <c r="AE219" s="801"/>
      <c r="AF219" s="801"/>
      <c r="AG219" s="801"/>
      <c r="AH219" s="801"/>
      <c r="AI219" s="801"/>
      <c r="AJ219" s="801"/>
      <c r="AK219" s="801"/>
      <c r="AL219" s="801"/>
      <c r="AM219" s="801"/>
      <c r="AN219" s="801"/>
      <c r="AO219" s="801"/>
      <c r="AP219" s="801"/>
      <c r="AQ219" s="801"/>
      <c r="AR219" s="801"/>
      <c r="AS219" s="801"/>
      <c r="AT219" s="801"/>
      <c r="AU219" s="801"/>
      <c r="AV219" s="801"/>
      <c r="AW219" s="801"/>
      <c r="AX219" s="801"/>
      <c r="AY219" s="801"/>
      <c r="AZ219" s="802"/>
      <c r="BA219" s="800" t="str">
        <f>IFERROR(IF(BZ207&gt;BA207-1,IF(INDEX(Pedidos!BJ:CZ,BY207+BA207-1,9)&lt;&gt;"","Cierre :     "&amp; INDEX(Pedidos!BJ:CZ,BY207+BA207-1,9),""),""),"")</f>
        <v/>
      </c>
      <c r="BB219" s="801"/>
      <c r="BC219" s="801"/>
      <c r="BD219" s="801"/>
      <c r="BE219" s="801"/>
      <c r="BF219" s="801"/>
      <c r="BG219" s="801"/>
      <c r="BH219" s="801"/>
      <c r="BI219" s="801"/>
      <c r="BJ219" s="801"/>
      <c r="BK219" s="801"/>
      <c r="BL219" s="801"/>
      <c r="BM219" s="801"/>
      <c r="BN219" s="801"/>
      <c r="BO219" s="801"/>
      <c r="BP219" s="801"/>
      <c r="BQ219" s="801"/>
      <c r="BR219" s="801"/>
      <c r="BS219" s="801"/>
      <c r="BT219" s="801"/>
      <c r="BU219" s="801"/>
      <c r="BV219" s="801"/>
      <c r="BW219" s="801"/>
      <c r="BX219" s="801"/>
      <c r="BY219" s="801"/>
      <c r="BZ219" s="802"/>
      <c r="CA219" s="800" t="str">
        <f>IFERROR(IF(CZ207&gt;CA207-1,IF(INDEX(Pedidos!CJ:DZ,CY207+CA207-1,9)&lt;&gt;"","Cierre :     "&amp; INDEX(Pedidos!CJ:DZ,CY207+CA207-1,9),""),""),"")</f>
        <v/>
      </c>
      <c r="CB219" s="801"/>
      <c r="CC219" s="801"/>
      <c r="CD219" s="801"/>
      <c r="CE219" s="801"/>
      <c r="CF219" s="801"/>
      <c r="CG219" s="801"/>
      <c r="CH219" s="801"/>
      <c r="CI219" s="801"/>
      <c r="CJ219" s="801"/>
      <c r="CK219" s="801"/>
      <c r="CL219" s="801"/>
      <c r="CM219" s="801"/>
      <c r="CN219" s="801"/>
      <c r="CO219" s="801"/>
      <c r="CP219" s="801"/>
      <c r="CQ219" s="801"/>
      <c r="CR219" s="801"/>
      <c r="CS219" s="801"/>
      <c r="CT219" s="801"/>
      <c r="CU219" s="801"/>
      <c r="CV219" s="801"/>
      <c r="CW219" s="801"/>
      <c r="CX219" s="801"/>
      <c r="CY219" s="801"/>
      <c r="CZ219" s="802"/>
      <c r="DA219" s="800" t="str">
        <f>IFERROR(IF(DZ207&gt;DA207-1,IF(INDEX(Pedidos!DJ:EZ,DY207+DA207-1,9)&lt;&gt;"","Cierre :     "&amp; INDEX(Pedidos!DJ:EZ,DY207+DA207-1,9),""),""),"")</f>
        <v/>
      </c>
      <c r="DB219" s="801"/>
      <c r="DC219" s="801"/>
      <c r="DD219" s="801"/>
      <c r="DE219" s="801"/>
      <c r="DF219" s="801"/>
      <c r="DG219" s="801"/>
      <c r="DH219" s="801"/>
      <c r="DI219" s="801"/>
      <c r="DJ219" s="801"/>
      <c r="DK219" s="801"/>
      <c r="DL219" s="801"/>
      <c r="DM219" s="801"/>
      <c r="DN219" s="801"/>
      <c r="DO219" s="801"/>
      <c r="DP219" s="801"/>
      <c r="DQ219" s="801"/>
      <c r="DR219" s="801"/>
      <c r="DS219" s="801"/>
      <c r="DT219" s="801"/>
      <c r="DU219" s="801"/>
      <c r="DV219" s="801"/>
      <c r="DW219" s="801"/>
      <c r="DX219" s="801"/>
      <c r="DY219" s="801"/>
      <c r="DZ219" s="802"/>
      <c r="EA219" s="800" t="str">
        <f>IFERROR(IF(EZ207&gt;EA207-1,IF(INDEX(Pedidos!EJ:FZ,EY207+EA207-1,9)&lt;&gt;"","Cierre :     "&amp; INDEX(Pedidos!EJ:FZ,EY207+EA207-1,9),""),""),"")</f>
        <v/>
      </c>
      <c r="EB219" s="801"/>
      <c r="EC219" s="801"/>
      <c r="ED219" s="801"/>
      <c r="EE219" s="801"/>
      <c r="EF219" s="801"/>
      <c r="EG219" s="801"/>
      <c r="EH219" s="801"/>
      <c r="EI219" s="801"/>
      <c r="EJ219" s="801"/>
      <c r="EK219" s="801"/>
      <c r="EL219" s="801"/>
      <c r="EM219" s="801"/>
      <c r="EN219" s="801"/>
      <c r="EO219" s="801"/>
      <c r="EP219" s="801"/>
      <c r="EQ219" s="801"/>
      <c r="ER219" s="801"/>
      <c r="ES219" s="801"/>
      <c r="ET219" s="801"/>
      <c r="EU219" s="801"/>
      <c r="EV219" s="801"/>
      <c r="EW219" s="801"/>
      <c r="EX219" s="801"/>
      <c r="EY219" s="801"/>
      <c r="EZ219" s="802"/>
      <c r="FA219" s="800" t="str">
        <f>IFERROR(IF(FZ207&gt;FA207-1,IF(INDEX(Pedidos!FJ:GZ,FY207+FA207-1,9)&lt;&gt;"","Cierre :     "&amp; INDEX(Pedidos!FJ:GZ,FY207+FA207-1,9),""),""),"")</f>
        <v/>
      </c>
      <c r="FB219" s="801"/>
      <c r="FC219" s="801"/>
      <c r="FD219" s="801"/>
      <c r="FE219" s="801"/>
      <c r="FF219" s="801"/>
      <c r="FG219" s="801"/>
      <c r="FH219" s="801"/>
      <c r="FI219" s="801"/>
      <c r="FJ219" s="801"/>
      <c r="FK219" s="801"/>
      <c r="FL219" s="801"/>
      <c r="FM219" s="801"/>
      <c r="FN219" s="801"/>
      <c r="FO219" s="801"/>
      <c r="FP219" s="801"/>
      <c r="FQ219" s="801"/>
      <c r="FR219" s="801"/>
      <c r="FS219" s="801"/>
      <c r="FT219" s="801"/>
      <c r="FU219" s="801"/>
      <c r="FV219" s="801"/>
      <c r="FW219" s="801"/>
      <c r="FX219" s="801"/>
      <c r="FY219" s="801"/>
      <c r="FZ219" s="802"/>
      <c r="GA219" s="800" t="str">
        <f>IFERROR(IF(GZ207&gt;GA207-1,IF(INDEX(Pedidos!GJ:HZ,GY207+GA207-1,9)&lt;&gt;"","Cierre :     "&amp; INDEX(Pedidos!GJ:HZ,GY207+GA207-1,9),""),""),"")</f>
        <v/>
      </c>
      <c r="GB219" s="801"/>
      <c r="GC219" s="801"/>
      <c r="GD219" s="801"/>
      <c r="GE219" s="801"/>
      <c r="GF219" s="801"/>
      <c r="GG219" s="801"/>
      <c r="GH219" s="801"/>
      <c r="GI219" s="801"/>
      <c r="GJ219" s="801"/>
      <c r="GK219" s="801"/>
      <c r="GL219" s="801"/>
      <c r="GM219" s="801"/>
      <c r="GN219" s="801"/>
      <c r="GO219" s="801"/>
      <c r="GP219" s="801"/>
      <c r="GQ219" s="801"/>
      <c r="GR219" s="801"/>
      <c r="GS219" s="801"/>
      <c r="GT219" s="801"/>
      <c r="GU219" s="801"/>
      <c r="GV219" s="801"/>
      <c r="GW219" s="801"/>
      <c r="GX219" s="801"/>
      <c r="GY219" s="801"/>
      <c r="GZ219" s="802"/>
      <c r="HA219" s="800" t="str">
        <f>IFERROR(IF(HZ207&gt;HA207-1,IF(INDEX(Pedidos!HJ:IZ,HY207+HA207-1,9)&lt;&gt;"","Cierre :     "&amp; INDEX(Pedidos!HJ:IZ,HY207+HA207-1,9),""),""),"")</f>
        <v/>
      </c>
      <c r="HB219" s="801"/>
      <c r="HC219" s="801"/>
      <c r="HD219" s="801"/>
      <c r="HE219" s="801"/>
      <c r="HF219" s="801"/>
      <c r="HG219" s="801"/>
      <c r="HH219" s="801"/>
      <c r="HI219" s="801"/>
      <c r="HJ219" s="801"/>
      <c r="HK219" s="801"/>
      <c r="HL219" s="801"/>
      <c r="HM219" s="801"/>
      <c r="HN219" s="801"/>
      <c r="HO219" s="801"/>
      <c r="HP219" s="801"/>
      <c r="HQ219" s="801"/>
      <c r="HR219" s="801"/>
      <c r="HS219" s="801"/>
      <c r="HT219" s="801"/>
      <c r="HU219" s="801"/>
      <c r="HV219" s="801"/>
      <c r="HW219" s="801"/>
      <c r="HX219" s="801"/>
      <c r="HY219" s="801"/>
      <c r="HZ219" s="802"/>
      <c r="IA219" s="800" t="str">
        <f>IFERROR(IF(IZ207&gt;IA207-1,IF(INDEX(Pedidos!IJ:JZ,IY207+IA207-1,9)&lt;&gt;"","Cierre :     "&amp; INDEX(Pedidos!IJ:JZ,IY207+IA207-1,9),""),""),"")</f>
        <v/>
      </c>
      <c r="IB219" s="801"/>
      <c r="IC219" s="801"/>
      <c r="ID219" s="801"/>
      <c r="IE219" s="801"/>
      <c r="IF219" s="801"/>
      <c r="IG219" s="801"/>
      <c r="IH219" s="801"/>
      <c r="II219" s="801"/>
      <c r="IJ219" s="801"/>
      <c r="IK219" s="801"/>
      <c r="IL219" s="801"/>
      <c r="IM219" s="801"/>
      <c r="IN219" s="801"/>
      <c r="IO219" s="801"/>
      <c r="IP219" s="801"/>
      <c r="IQ219" s="801"/>
      <c r="IR219" s="801"/>
      <c r="IS219" s="801"/>
      <c r="IT219" s="801"/>
      <c r="IU219" s="801"/>
      <c r="IV219" s="801"/>
      <c r="IW219" s="801"/>
      <c r="IX219" s="801"/>
      <c r="IY219" s="801"/>
      <c r="IZ219" s="802"/>
    </row>
    <row r="220" spans="1:260" x14ac:dyDescent="0.25">
      <c r="A220" s="800" t="str">
        <f>IFERROR(IF(Z207&gt;A207-1,IF(INDEX(Pedidos!J:AZ,Y207+A207-1,11)&lt;&gt;"","Cordon :     "&amp; INDEX(Pedidos!J:AZ,Y207+A207-1,11),""),""),"")</f>
        <v/>
      </c>
      <c r="B220" s="801"/>
      <c r="C220" s="801"/>
      <c r="D220" s="801"/>
      <c r="E220" s="801"/>
      <c r="F220" s="801"/>
      <c r="G220" s="801"/>
      <c r="H220" s="801"/>
      <c r="I220" s="801"/>
      <c r="J220" s="801"/>
      <c r="K220" s="801"/>
      <c r="L220" s="801"/>
      <c r="M220" s="801"/>
      <c r="N220" s="801"/>
      <c r="O220" s="801"/>
      <c r="P220" s="801"/>
      <c r="Q220" s="801"/>
      <c r="R220" s="801"/>
      <c r="S220" s="801"/>
      <c r="T220" s="801"/>
      <c r="U220" s="801"/>
      <c r="V220" s="801"/>
      <c r="W220" s="801"/>
      <c r="X220" s="801"/>
      <c r="Y220" s="801"/>
      <c r="Z220" s="802"/>
      <c r="AA220" s="800" t="str">
        <f>IFERROR(IF(AZ207&gt;AA207-1,IF(INDEX(Pedidos!AJ:BZ,AY207+AA207-1,11)&lt;&gt;"","Cordon :     "&amp; INDEX(Pedidos!AJ:BZ,AY207+AA207-1,11),""),""),"")</f>
        <v/>
      </c>
      <c r="AB220" s="801"/>
      <c r="AC220" s="801"/>
      <c r="AD220" s="801"/>
      <c r="AE220" s="801"/>
      <c r="AF220" s="801"/>
      <c r="AG220" s="801"/>
      <c r="AH220" s="801"/>
      <c r="AI220" s="801"/>
      <c r="AJ220" s="801"/>
      <c r="AK220" s="801"/>
      <c r="AL220" s="801"/>
      <c r="AM220" s="801"/>
      <c r="AN220" s="801"/>
      <c r="AO220" s="801"/>
      <c r="AP220" s="801"/>
      <c r="AQ220" s="801"/>
      <c r="AR220" s="801"/>
      <c r="AS220" s="801"/>
      <c r="AT220" s="801"/>
      <c r="AU220" s="801"/>
      <c r="AV220" s="801"/>
      <c r="AW220" s="801"/>
      <c r="AX220" s="801"/>
      <c r="AY220" s="801"/>
      <c r="AZ220" s="802"/>
      <c r="BA220" s="800" t="str">
        <f>IFERROR(IF(BZ207&gt;BA207-1,IF(INDEX(Pedidos!BJ:CZ,BY207+BA207-1,11)&lt;&gt;"","Cordon :     "&amp; INDEX(Pedidos!BJ:CZ,BY207+BA207-1,11),""),""),"")</f>
        <v/>
      </c>
      <c r="BB220" s="801"/>
      <c r="BC220" s="801"/>
      <c r="BD220" s="801"/>
      <c r="BE220" s="801"/>
      <c r="BF220" s="801"/>
      <c r="BG220" s="801"/>
      <c r="BH220" s="801"/>
      <c r="BI220" s="801"/>
      <c r="BJ220" s="801"/>
      <c r="BK220" s="801"/>
      <c r="BL220" s="801"/>
      <c r="BM220" s="801"/>
      <c r="BN220" s="801"/>
      <c r="BO220" s="801"/>
      <c r="BP220" s="801"/>
      <c r="BQ220" s="801"/>
      <c r="BR220" s="801"/>
      <c r="BS220" s="801"/>
      <c r="BT220" s="801"/>
      <c r="BU220" s="801"/>
      <c r="BV220" s="801"/>
      <c r="BW220" s="801"/>
      <c r="BX220" s="801"/>
      <c r="BY220" s="801"/>
      <c r="BZ220" s="802"/>
      <c r="CA220" s="800" t="str">
        <f>IFERROR(IF(CZ207&gt;CA207-1,IF(INDEX(Pedidos!CJ:DZ,CY207+CA207-1,11)&lt;&gt;"","Cordon :     "&amp; INDEX(Pedidos!CJ:DZ,CY207+CA207-1,11),""),""),"")</f>
        <v/>
      </c>
      <c r="CB220" s="801"/>
      <c r="CC220" s="801"/>
      <c r="CD220" s="801"/>
      <c r="CE220" s="801"/>
      <c r="CF220" s="801"/>
      <c r="CG220" s="801"/>
      <c r="CH220" s="801"/>
      <c r="CI220" s="801"/>
      <c r="CJ220" s="801"/>
      <c r="CK220" s="801"/>
      <c r="CL220" s="801"/>
      <c r="CM220" s="801"/>
      <c r="CN220" s="801"/>
      <c r="CO220" s="801"/>
      <c r="CP220" s="801"/>
      <c r="CQ220" s="801"/>
      <c r="CR220" s="801"/>
      <c r="CS220" s="801"/>
      <c r="CT220" s="801"/>
      <c r="CU220" s="801"/>
      <c r="CV220" s="801"/>
      <c r="CW220" s="801"/>
      <c r="CX220" s="801"/>
      <c r="CY220" s="801"/>
      <c r="CZ220" s="802"/>
      <c r="DA220" s="800" t="str">
        <f>IFERROR(IF(DZ207&gt;DA207-1,IF(INDEX(Pedidos!DJ:EZ,DY207+DA207-1,11)&lt;&gt;"","Cordon :     "&amp; INDEX(Pedidos!DJ:EZ,DY207+DA207-1,11),""),""),"")</f>
        <v/>
      </c>
      <c r="DB220" s="801"/>
      <c r="DC220" s="801"/>
      <c r="DD220" s="801"/>
      <c r="DE220" s="801"/>
      <c r="DF220" s="801"/>
      <c r="DG220" s="801"/>
      <c r="DH220" s="801"/>
      <c r="DI220" s="801"/>
      <c r="DJ220" s="801"/>
      <c r="DK220" s="801"/>
      <c r="DL220" s="801"/>
      <c r="DM220" s="801"/>
      <c r="DN220" s="801"/>
      <c r="DO220" s="801"/>
      <c r="DP220" s="801"/>
      <c r="DQ220" s="801"/>
      <c r="DR220" s="801"/>
      <c r="DS220" s="801"/>
      <c r="DT220" s="801"/>
      <c r="DU220" s="801"/>
      <c r="DV220" s="801"/>
      <c r="DW220" s="801"/>
      <c r="DX220" s="801"/>
      <c r="DY220" s="801"/>
      <c r="DZ220" s="802"/>
      <c r="EA220" s="800" t="str">
        <f>IFERROR(IF(EZ207&gt;EA207-1,IF(INDEX(Pedidos!EJ:FZ,EY207+EA207-1,11)&lt;&gt;"","Cordon :     "&amp; INDEX(Pedidos!EJ:FZ,EY207+EA207-1,11),""),""),"")</f>
        <v/>
      </c>
      <c r="EB220" s="801"/>
      <c r="EC220" s="801"/>
      <c r="ED220" s="801"/>
      <c r="EE220" s="801"/>
      <c r="EF220" s="801"/>
      <c r="EG220" s="801"/>
      <c r="EH220" s="801"/>
      <c r="EI220" s="801"/>
      <c r="EJ220" s="801"/>
      <c r="EK220" s="801"/>
      <c r="EL220" s="801"/>
      <c r="EM220" s="801"/>
      <c r="EN220" s="801"/>
      <c r="EO220" s="801"/>
      <c r="EP220" s="801"/>
      <c r="EQ220" s="801"/>
      <c r="ER220" s="801"/>
      <c r="ES220" s="801"/>
      <c r="ET220" s="801"/>
      <c r="EU220" s="801"/>
      <c r="EV220" s="801"/>
      <c r="EW220" s="801"/>
      <c r="EX220" s="801"/>
      <c r="EY220" s="801"/>
      <c r="EZ220" s="802"/>
      <c r="FA220" s="800" t="str">
        <f>IFERROR(IF(FZ207&gt;FA207-1,IF(INDEX(Pedidos!FJ:GZ,FY207+FA207-1,11)&lt;&gt;"","Cordon :     "&amp; INDEX(Pedidos!FJ:GZ,FY207+FA207-1,11),""),""),"")</f>
        <v/>
      </c>
      <c r="FB220" s="801"/>
      <c r="FC220" s="801"/>
      <c r="FD220" s="801"/>
      <c r="FE220" s="801"/>
      <c r="FF220" s="801"/>
      <c r="FG220" s="801"/>
      <c r="FH220" s="801"/>
      <c r="FI220" s="801"/>
      <c r="FJ220" s="801"/>
      <c r="FK220" s="801"/>
      <c r="FL220" s="801"/>
      <c r="FM220" s="801"/>
      <c r="FN220" s="801"/>
      <c r="FO220" s="801"/>
      <c r="FP220" s="801"/>
      <c r="FQ220" s="801"/>
      <c r="FR220" s="801"/>
      <c r="FS220" s="801"/>
      <c r="FT220" s="801"/>
      <c r="FU220" s="801"/>
      <c r="FV220" s="801"/>
      <c r="FW220" s="801"/>
      <c r="FX220" s="801"/>
      <c r="FY220" s="801"/>
      <c r="FZ220" s="802"/>
      <c r="GA220" s="800" t="str">
        <f>IFERROR(IF(GZ207&gt;GA207-1,IF(INDEX(Pedidos!GJ:HZ,GY207+GA207-1,11)&lt;&gt;"","Cordon :     "&amp; INDEX(Pedidos!GJ:HZ,GY207+GA207-1,11),""),""),"")</f>
        <v/>
      </c>
      <c r="GB220" s="801"/>
      <c r="GC220" s="801"/>
      <c r="GD220" s="801"/>
      <c r="GE220" s="801"/>
      <c r="GF220" s="801"/>
      <c r="GG220" s="801"/>
      <c r="GH220" s="801"/>
      <c r="GI220" s="801"/>
      <c r="GJ220" s="801"/>
      <c r="GK220" s="801"/>
      <c r="GL220" s="801"/>
      <c r="GM220" s="801"/>
      <c r="GN220" s="801"/>
      <c r="GO220" s="801"/>
      <c r="GP220" s="801"/>
      <c r="GQ220" s="801"/>
      <c r="GR220" s="801"/>
      <c r="GS220" s="801"/>
      <c r="GT220" s="801"/>
      <c r="GU220" s="801"/>
      <c r="GV220" s="801"/>
      <c r="GW220" s="801"/>
      <c r="GX220" s="801"/>
      <c r="GY220" s="801"/>
      <c r="GZ220" s="802"/>
      <c r="HA220" s="800" t="str">
        <f>IFERROR(IF(HZ207&gt;HA207-1,IF(INDEX(Pedidos!HJ:IZ,HY207+HA207-1,11)&lt;&gt;"","Cordon :     "&amp; INDEX(Pedidos!HJ:IZ,HY207+HA207-1,11),""),""),"")</f>
        <v/>
      </c>
      <c r="HB220" s="801"/>
      <c r="HC220" s="801"/>
      <c r="HD220" s="801"/>
      <c r="HE220" s="801"/>
      <c r="HF220" s="801"/>
      <c r="HG220" s="801"/>
      <c r="HH220" s="801"/>
      <c r="HI220" s="801"/>
      <c r="HJ220" s="801"/>
      <c r="HK220" s="801"/>
      <c r="HL220" s="801"/>
      <c r="HM220" s="801"/>
      <c r="HN220" s="801"/>
      <c r="HO220" s="801"/>
      <c r="HP220" s="801"/>
      <c r="HQ220" s="801"/>
      <c r="HR220" s="801"/>
      <c r="HS220" s="801"/>
      <c r="HT220" s="801"/>
      <c r="HU220" s="801"/>
      <c r="HV220" s="801"/>
      <c r="HW220" s="801"/>
      <c r="HX220" s="801"/>
      <c r="HY220" s="801"/>
      <c r="HZ220" s="802"/>
      <c r="IA220" s="800" t="str">
        <f>IFERROR(IF(IZ207&gt;IA207-1,IF(INDEX(Pedidos!IJ:JZ,IY207+IA207-1,11)&lt;&gt;"","Cordon :     "&amp; INDEX(Pedidos!IJ:JZ,IY207+IA207-1,11),""),""),"")</f>
        <v/>
      </c>
      <c r="IB220" s="801"/>
      <c r="IC220" s="801"/>
      <c r="ID220" s="801"/>
      <c r="IE220" s="801"/>
      <c r="IF220" s="801"/>
      <c r="IG220" s="801"/>
      <c r="IH220" s="801"/>
      <c r="II220" s="801"/>
      <c r="IJ220" s="801"/>
      <c r="IK220" s="801"/>
      <c r="IL220" s="801"/>
      <c r="IM220" s="801"/>
      <c r="IN220" s="801"/>
      <c r="IO220" s="801"/>
      <c r="IP220" s="801"/>
      <c r="IQ220" s="801"/>
      <c r="IR220" s="801"/>
      <c r="IS220" s="801"/>
      <c r="IT220" s="801"/>
      <c r="IU220" s="801"/>
      <c r="IV220" s="801"/>
      <c r="IW220" s="801"/>
      <c r="IX220" s="801"/>
      <c r="IY220" s="801"/>
      <c r="IZ220" s="802"/>
    </row>
    <row r="221" spans="1:260" x14ac:dyDescent="0.25">
      <c r="A221" s="800" t="str">
        <f>IFERROR(IF(Z207&gt;A207-1,IF(INDEX(Pedidos!J:AZ,Y207+A207-1,12)&lt;&gt;"","Color Cordon :     "&amp; INDEX(Pedidos!J:AZ,Y207+A207-1,12),""),""),"")</f>
        <v/>
      </c>
      <c r="B221" s="801"/>
      <c r="C221" s="801"/>
      <c r="D221" s="801"/>
      <c r="E221" s="801"/>
      <c r="F221" s="801"/>
      <c r="G221" s="801"/>
      <c r="H221" s="801"/>
      <c r="I221" s="801"/>
      <c r="J221" s="801"/>
      <c r="K221" s="801"/>
      <c r="L221" s="801"/>
      <c r="M221" s="801"/>
      <c r="N221" s="801"/>
      <c r="O221" s="801"/>
      <c r="P221" s="801"/>
      <c r="Q221" s="801"/>
      <c r="R221" s="801"/>
      <c r="S221" s="801"/>
      <c r="T221" s="801"/>
      <c r="U221" s="801"/>
      <c r="V221" s="801"/>
      <c r="W221" s="801"/>
      <c r="X221" s="801"/>
      <c r="Y221" s="801"/>
      <c r="Z221" s="802"/>
      <c r="AA221" s="800" t="str">
        <f>IFERROR(IF(AZ207&gt;AA207-1,IF(INDEX(Pedidos!AJ:BZ,AY207+AA207-1,12)&lt;&gt;"","Color Cordon :     "&amp; INDEX(Pedidos!AJ:BZ,AY207+AA207-1,12),""),""),"")</f>
        <v/>
      </c>
      <c r="AB221" s="801"/>
      <c r="AC221" s="801"/>
      <c r="AD221" s="801"/>
      <c r="AE221" s="801"/>
      <c r="AF221" s="801"/>
      <c r="AG221" s="801"/>
      <c r="AH221" s="801"/>
      <c r="AI221" s="801"/>
      <c r="AJ221" s="801"/>
      <c r="AK221" s="801"/>
      <c r="AL221" s="801"/>
      <c r="AM221" s="801"/>
      <c r="AN221" s="801"/>
      <c r="AO221" s="801"/>
      <c r="AP221" s="801"/>
      <c r="AQ221" s="801"/>
      <c r="AR221" s="801"/>
      <c r="AS221" s="801"/>
      <c r="AT221" s="801"/>
      <c r="AU221" s="801"/>
      <c r="AV221" s="801"/>
      <c r="AW221" s="801"/>
      <c r="AX221" s="801"/>
      <c r="AY221" s="801"/>
      <c r="AZ221" s="802"/>
      <c r="BA221" s="800" t="str">
        <f>IFERROR(IF(BZ207&gt;BA207-1,IF(INDEX(Pedidos!BJ:CZ,BY207+BA207-1,12)&lt;&gt;"","Color Cordon :     "&amp; INDEX(Pedidos!BJ:CZ,BY207+BA207-1,12),""),""),"")</f>
        <v/>
      </c>
      <c r="BB221" s="801"/>
      <c r="BC221" s="801"/>
      <c r="BD221" s="801"/>
      <c r="BE221" s="801"/>
      <c r="BF221" s="801"/>
      <c r="BG221" s="801"/>
      <c r="BH221" s="801"/>
      <c r="BI221" s="801"/>
      <c r="BJ221" s="801"/>
      <c r="BK221" s="801"/>
      <c r="BL221" s="801"/>
      <c r="BM221" s="801"/>
      <c r="BN221" s="801"/>
      <c r="BO221" s="801"/>
      <c r="BP221" s="801"/>
      <c r="BQ221" s="801"/>
      <c r="BR221" s="801"/>
      <c r="BS221" s="801"/>
      <c r="BT221" s="801"/>
      <c r="BU221" s="801"/>
      <c r="BV221" s="801"/>
      <c r="BW221" s="801"/>
      <c r="BX221" s="801"/>
      <c r="BY221" s="801"/>
      <c r="BZ221" s="802"/>
      <c r="CA221" s="800" t="str">
        <f>IFERROR(IF(CZ207&gt;CA207-1,IF(INDEX(Pedidos!CJ:DZ,CY207+CA207-1,12)&lt;&gt;"","Color Cordon :     "&amp; INDEX(Pedidos!CJ:DZ,CY207+CA207-1,12),""),""),"")</f>
        <v/>
      </c>
      <c r="CB221" s="801"/>
      <c r="CC221" s="801"/>
      <c r="CD221" s="801"/>
      <c r="CE221" s="801"/>
      <c r="CF221" s="801"/>
      <c r="CG221" s="801"/>
      <c r="CH221" s="801"/>
      <c r="CI221" s="801"/>
      <c r="CJ221" s="801"/>
      <c r="CK221" s="801"/>
      <c r="CL221" s="801"/>
      <c r="CM221" s="801"/>
      <c r="CN221" s="801"/>
      <c r="CO221" s="801"/>
      <c r="CP221" s="801"/>
      <c r="CQ221" s="801"/>
      <c r="CR221" s="801"/>
      <c r="CS221" s="801"/>
      <c r="CT221" s="801"/>
      <c r="CU221" s="801"/>
      <c r="CV221" s="801"/>
      <c r="CW221" s="801"/>
      <c r="CX221" s="801"/>
      <c r="CY221" s="801"/>
      <c r="CZ221" s="802"/>
      <c r="DA221" s="800" t="str">
        <f>IFERROR(IF(DZ207&gt;DA207-1,IF(INDEX(Pedidos!DJ:EZ,DY207+DA207-1,12)&lt;&gt;"","Color Cordon :     "&amp; INDEX(Pedidos!DJ:EZ,DY207+DA207-1,12),""),""),"")</f>
        <v/>
      </c>
      <c r="DB221" s="801"/>
      <c r="DC221" s="801"/>
      <c r="DD221" s="801"/>
      <c r="DE221" s="801"/>
      <c r="DF221" s="801"/>
      <c r="DG221" s="801"/>
      <c r="DH221" s="801"/>
      <c r="DI221" s="801"/>
      <c r="DJ221" s="801"/>
      <c r="DK221" s="801"/>
      <c r="DL221" s="801"/>
      <c r="DM221" s="801"/>
      <c r="DN221" s="801"/>
      <c r="DO221" s="801"/>
      <c r="DP221" s="801"/>
      <c r="DQ221" s="801"/>
      <c r="DR221" s="801"/>
      <c r="DS221" s="801"/>
      <c r="DT221" s="801"/>
      <c r="DU221" s="801"/>
      <c r="DV221" s="801"/>
      <c r="DW221" s="801"/>
      <c r="DX221" s="801"/>
      <c r="DY221" s="801"/>
      <c r="DZ221" s="802"/>
      <c r="EA221" s="800" t="str">
        <f>IFERROR(IF(EZ207&gt;EA207-1,IF(INDEX(Pedidos!EJ:FZ,EY207+EA207-1,12)&lt;&gt;"","Color Cordon :     "&amp; INDEX(Pedidos!EJ:FZ,EY207+EA207-1,12),""),""),"")</f>
        <v/>
      </c>
      <c r="EB221" s="801"/>
      <c r="EC221" s="801"/>
      <c r="ED221" s="801"/>
      <c r="EE221" s="801"/>
      <c r="EF221" s="801"/>
      <c r="EG221" s="801"/>
      <c r="EH221" s="801"/>
      <c r="EI221" s="801"/>
      <c r="EJ221" s="801"/>
      <c r="EK221" s="801"/>
      <c r="EL221" s="801"/>
      <c r="EM221" s="801"/>
      <c r="EN221" s="801"/>
      <c r="EO221" s="801"/>
      <c r="EP221" s="801"/>
      <c r="EQ221" s="801"/>
      <c r="ER221" s="801"/>
      <c r="ES221" s="801"/>
      <c r="ET221" s="801"/>
      <c r="EU221" s="801"/>
      <c r="EV221" s="801"/>
      <c r="EW221" s="801"/>
      <c r="EX221" s="801"/>
      <c r="EY221" s="801"/>
      <c r="EZ221" s="802"/>
      <c r="FA221" s="800" t="str">
        <f>IFERROR(IF(FZ207&gt;FA207-1,IF(INDEX(Pedidos!FJ:GZ,FY207+FA207-1,12)&lt;&gt;"","Color Cordon :     "&amp; INDEX(Pedidos!FJ:GZ,FY207+FA207-1,12),""),""),"")</f>
        <v/>
      </c>
      <c r="FB221" s="801"/>
      <c r="FC221" s="801"/>
      <c r="FD221" s="801"/>
      <c r="FE221" s="801"/>
      <c r="FF221" s="801"/>
      <c r="FG221" s="801"/>
      <c r="FH221" s="801"/>
      <c r="FI221" s="801"/>
      <c r="FJ221" s="801"/>
      <c r="FK221" s="801"/>
      <c r="FL221" s="801"/>
      <c r="FM221" s="801"/>
      <c r="FN221" s="801"/>
      <c r="FO221" s="801"/>
      <c r="FP221" s="801"/>
      <c r="FQ221" s="801"/>
      <c r="FR221" s="801"/>
      <c r="FS221" s="801"/>
      <c r="FT221" s="801"/>
      <c r="FU221" s="801"/>
      <c r="FV221" s="801"/>
      <c r="FW221" s="801"/>
      <c r="FX221" s="801"/>
      <c r="FY221" s="801"/>
      <c r="FZ221" s="802"/>
      <c r="GA221" s="800" t="str">
        <f>IFERROR(IF(GZ207&gt;GA207-1,IF(INDEX(Pedidos!GJ:HZ,GY207+GA207-1,12)&lt;&gt;"","Color Cordon :     "&amp; INDEX(Pedidos!GJ:HZ,GY207+GA207-1,12),""),""),"")</f>
        <v/>
      </c>
      <c r="GB221" s="801"/>
      <c r="GC221" s="801"/>
      <c r="GD221" s="801"/>
      <c r="GE221" s="801"/>
      <c r="GF221" s="801"/>
      <c r="GG221" s="801"/>
      <c r="GH221" s="801"/>
      <c r="GI221" s="801"/>
      <c r="GJ221" s="801"/>
      <c r="GK221" s="801"/>
      <c r="GL221" s="801"/>
      <c r="GM221" s="801"/>
      <c r="GN221" s="801"/>
      <c r="GO221" s="801"/>
      <c r="GP221" s="801"/>
      <c r="GQ221" s="801"/>
      <c r="GR221" s="801"/>
      <c r="GS221" s="801"/>
      <c r="GT221" s="801"/>
      <c r="GU221" s="801"/>
      <c r="GV221" s="801"/>
      <c r="GW221" s="801"/>
      <c r="GX221" s="801"/>
      <c r="GY221" s="801"/>
      <c r="GZ221" s="802"/>
      <c r="HA221" s="800" t="str">
        <f>IFERROR(IF(HZ207&gt;HA207-1,IF(INDEX(Pedidos!HJ:IZ,HY207+HA207-1,12)&lt;&gt;"","Color Cordon :     "&amp; INDEX(Pedidos!HJ:IZ,HY207+HA207-1,12),""),""),"")</f>
        <v/>
      </c>
      <c r="HB221" s="801"/>
      <c r="HC221" s="801"/>
      <c r="HD221" s="801"/>
      <c r="HE221" s="801"/>
      <c r="HF221" s="801"/>
      <c r="HG221" s="801"/>
      <c r="HH221" s="801"/>
      <c r="HI221" s="801"/>
      <c r="HJ221" s="801"/>
      <c r="HK221" s="801"/>
      <c r="HL221" s="801"/>
      <c r="HM221" s="801"/>
      <c r="HN221" s="801"/>
      <c r="HO221" s="801"/>
      <c r="HP221" s="801"/>
      <c r="HQ221" s="801"/>
      <c r="HR221" s="801"/>
      <c r="HS221" s="801"/>
      <c r="HT221" s="801"/>
      <c r="HU221" s="801"/>
      <c r="HV221" s="801"/>
      <c r="HW221" s="801"/>
      <c r="HX221" s="801"/>
      <c r="HY221" s="801"/>
      <c r="HZ221" s="802"/>
      <c r="IA221" s="800" t="str">
        <f>IFERROR(IF(IZ207&gt;IA207-1,IF(INDEX(Pedidos!IJ:JZ,IY207+IA207-1,12)&lt;&gt;"","Color Cordon :     "&amp; INDEX(Pedidos!IJ:JZ,IY207+IA207-1,12),""),""),"")</f>
        <v/>
      </c>
      <c r="IB221" s="801"/>
      <c r="IC221" s="801"/>
      <c r="ID221" s="801"/>
      <c r="IE221" s="801"/>
      <c r="IF221" s="801"/>
      <c r="IG221" s="801"/>
      <c r="IH221" s="801"/>
      <c r="II221" s="801"/>
      <c r="IJ221" s="801"/>
      <c r="IK221" s="801"/>
      <c r="IL221" s="801"/>
      <c r="IM221" s="801"/>
      <c r="IN221" s="801"/>
      <c r="IO221" s="801"/>
      <c r="IP221" s="801"/>
      <c r="IQ221" s="801"/>
      <c r="IR221" s="801"/>
      <c r="IS221" s="801"/>
      <c r="IT221" s="801"/>
      <c r="IU221" s="801"/>
      <c r="IV221" s="801"/>
      <c r="IW221" s="801"/>
      <c r="IX221" s="801"/>
      <c r="IY221" s="801"/>
      <c r="IZ221" s="802"/>
    </row>
    <row r="222" spans="1:260" x14ac:dyDescent="0.25">
      <c r="A222" s="800"/>
      <c r="B222" s="801"/>
      <c r="C222" s="801"/>
      <c r="D222" s="801"/>
      <c r="E222" s="801"/>
      <c r="F222" s="801"/>
      <c r="G222" s="801"/>
      <c r="H222" s="801"/>
      <c r="I222" s="801"/>
      <c r="J222" s="801"/>
      <c r="K222" s="801"/>
      <c r="L222" s="801"/>
      <c r="M222" s="801"/>
      <c r="N222" s="801"/>
      <c r="O222" s="801"/>
      <c r="P222" s="801"/>
      <c r="Q222" s="801"/>
      <c r="R222" s="801"/>
      <c r="S222" s="801"/>
      <c r="T222" s="801"/>
      <c r="U222" s="801"/>
      <c r="V222" s="801"/>
      <c r="W222" s="801"/>
      <c r="X222" s="801"/>
      <c r="Y222" s="801"/>
      <c r="Z222" s="802"/>
      <c r="AA222" s="800"/>
      <c r="AB222" s="801"/>
      <c r="AC222" s="801"/>
      <c r="AD222" s="801"/>
      <c r="AE222" s="801"/>
      <c r="AF222" s="801"/>
      <c r="AG222" s="801"/>
      <c r="AH222" s="801"/>
      <c r="AI222" s="801"/>
      <c r="AJ222" s="801"/>
      <c r="AK222" s="801"/>
      <c r="AL222" s="801"/>
      <c r="AM222" s="801"/>
      <c r="AN222" s="801"/>
      <c r="AO222" s="801"/>
      <c r="AP222" s="801"/>
      <c r="AQ222" s="801"/>
      <c r="AR222" s="801"/>
      <c r="AS222" s="801"/>
      <c r="AT222" s="801"/>
      <c r="AU222" s="801"/>
      <c r="AV222" s="801"/>
      <c r="AW222" s="801"/>
      <c r="AX222" s="801"/>
      <c r="AY222" s="801"/>
      <c r="AZ222" s="802"/>
      <c r="BA222" s="800"/>
      <c r="BB222" s="801"/>
      <c r="BC222" s="801"/>
      <c r="BD222" s="801"/>
      <c r="BE222" s="801"/>
      <c r="BF222" s="801"/>
      <c r="BG222" s="801"/>
      <c r="BH222" s="801"/>
      <c r="BI222" s="801"/>
      <c r="BJ222" s="801"/>
      <c r="BK222" s="801"/>
      <c r="BL222" s="801"/>
      <c r="BM222" s="801"/>
      <c r="BN222" s="801"/>
      <c r="BO222" s="801"/>
      <c r="BP222" s="801"/>
      <c r="BQ222" s="801"/>
      <c r="BR222" s="801"/>
      <c r="BS222" s="801"/>
      <c r="BT222" s="801"/>
      <c r="BU222" s="801"/>
      <c r="BV222" s="801"/>
      <c r="BW222" s="801"/>
      <c r="BX222" s="801"/>
      <c r="BY222" s="801"/>
      <c r="BZ222" s="802"/>
      <c r="CA222" s="800"/>
      <c r="CB222" s="801"/>
      <c r="CC222" s="801"/>
      <c r="CD222" s="801"/>
      <c r="CE222" s="801"/>
      <c r="CF222" s="801"/>
      <c r="CG222" s="801"/>
      <c r="CH222" s="801"/>
      <c r="CI222" s="801"/>
      <c r="CJ222" s="801"/>
      <c r="CK222" s="801"/>
      <c r="CL222" s="801"/>
      <c r="CM222" s="801"/>
      <c r="CN222" s="801"/>
      <c r="CO222" s="801"/>
      <c r="CP222" s="801"/>
      <c r="CQ222" s="801"/>
      <c r="CR222" s="801"/>
      <c r="CS222" s="801"/>
      <c r="CT222" s="801"/>
      <c r="CU222" s="801"/>
      <c r="CV222" s="801"/>
      <c r="CW222" s="801"/>
      <c r="CX222" s="801"/>
      <c r="CY222" s="801"/>
      <c r="CZ222" s="802"/>
      <c r="DA222" s="800"/>
      <c r="DB222" s="801"/>
      <c r="DC222" s="801"/>
      <c r="DD222" s="801"/>
      <c r="DE222" s="801"/>
      <c r="DF222" s="801"/>
      <c r="DG222" s="801"/>
      <c r="DH222" s="801"/>
      <c r="DI222" s="801"/>
      <c r="DJ222" s="801"/>
      <c r="DK222" s="801"/>
      <c r="DL222" s="801"/>
      <c r="DM222" s="801"/>
      <c r="DN222" s="801"/>
      <c r="DO222" s="801"/>
      <c r="DP222" s="801"/>
      <c r="DQ222" s="801"/>
      <c r="DR222" s="801"/>
      <c r="DS222" s="801"/>
      <c r="DT222" s="801"/>
      <c r="DU222" s="801"/>
      <c r="DV222" s="801"/>
      <c r="DW222" s="801"/>
      <c r="DX222" s="801"/>
      <c r="DY222" s="801"/>
      <c r="DZ222" s="802"/>
      <c r="EA222" s="800"/>
      <c r="EB222" s="801"/>
      <c r="EC222" s="801"/>
      <c r="ED222" s="801"/>
      <c r="EE222" s="801"/>
      <c r="EF222" s="801"/>
      <c r="EG222" s="801"/>
      <c r="EH222" s="801"/>
      <c r="EI222" s="801"/>
      <c r="EJ222" s="801"/>
      <c r="EK222" s="801"/>
      <c r="EL222" s="801"/>
      <c r="EM222" s="801"/>
      <c r="EN222" s="801"/>
      <c r="EO222" s="801"/>
      <c r="EP222" s="801"/>
      <c r="EQ222" s="801"/>
      <c r="ER222" s="801"/>
      <c r="ES222" s="801"/>
      <c r="ET222" s="801"/>
      <c r="EU222" s="801"/>
      <c r="EV222" s="801"/>
      <c r="EW222" s="801"/>
      <c r="EX222" s="801"/>
      <c r="EY222" s="801"/>
      <c r="EZ222" s="802"/>
      <c r="FA222" s="800"/>
      <c r="FB222" s="801"/>
      <c r="FC222" s="801"/>
      <c r="FD222" s="801"/>
      <c r="FE222" s="801"/>
      <c r="FF222" s="801"/>
      <c r="FG222" s="801"/>
      <c r="FH222" s="801"/>
      <c r="FI222" s="801"/>
      <c r="FJ222" s="801"/>
      <c r="FK222" s="801"/>
      <c r="FL222" s="801"/>
      <c r="FM222" s="801"/>
      <c r="FN222" s="801"/>
      <c r="FO222" s="801"/>
      <c r="FP222" s="801"/>
      <c r="FQ222" s="801"/>
      <c r="FR222" s="801"/>
      <c r="FS222" s="801"/>
      <c r="FT222" s="801"/>
      <c r="FU222" s="801"/>
      <c r="FV222" s="801"/>
      <c r="FW222" s="801"/>
      <c r="FX222" s="801"/>
      <c r="FY222" s="801"/>
      <c r="FZ222" s="802"/>
      <c r="GA222" s="800"/>
      <c r="GB222" s="801"/>
      <c r="GC222" s="801"/>
      <c r="GD222" s="801"/>
      <c r="GE222" s="801"/>
      <c r="GF222" s="801"/>
      <c r="GG222" s="801"/>
      <c r="GH222" s="801"/>
      <c r="GI222" s="801"/>
      <c r="GJ222" s="801"/>
      <c r="GK222" s="801"/>
      <c r="GL222" s="801"/>
      <c r="GM222" s="801"/>
      <c r="GN222" s="801"/>
      <c r="GO222" s="801"/>
      <c r="GP222" s="801"/>
      <c r="GQ222" s="801"/>
      <c r="GR222" s="801"/>
      <c r="GS222" s="801"/>
      <c r="GT222" s="801"/>
      <c r="GU222" s="801"/>
      <c r="GV222" s="801"/>
      <c r="GW222" s="801"/>
      <c r="GX222" s="801"/>
      <c r="GY222" s="801"/>
      <c r="GZ222" s="802"/>
      <c r="HA222" s="800"/>
      <c r="HB222" s="801"/>
      <c r="HC222" s="801"/>
      <c r="HD222" s="801"/>
      <c r="HE222" s="801"/>
      <c r="HF222" s="801"/>
      <c r="HG222" s="801"/>
      <c r="HH222" s="801"/>
      <c r="HI222" s="801"/>
      <c r="HJ222" s="801"/>
      <c r="HK222" s="801"/>
      <c r="HL222" s="801"/>
      <c r="HM222" s="801"/>
      <c r="HN222" s="801"/>
      <c r="HO222" s="801"/>
      <c r="HP222" s="801"/>
      <c r="HQ222" s="801"/>
      <c r="HR222" s="801"/>
      <c r="HS222" s="801"/>
      <c r="HT222" s="801"/>
      <c r="HU222" s="801"/>
      <c r="HV222" s="801"/>
      <c r="HW222" s="801"/>
      <c r="HX222" s="801"/>
      <c r="HY222" s="801"/>
      <c r="HZ222" s="802"/>
      <c r="IA222" s="800"/>
      <c r="IB222" s="801"/>
      <c r="IC222" s="801"/>
      <c r="ID222" s="801"/>
      <c r="IE222" s="801"/>
      <c r="IF222" s="801"/>
      <c r="IG222" s="801"/>
      <c r="IH222" s="801"/>
      <c r="II222" s="801"/>
      <c r="IJ222" s="801"/>
      <c r="IK222" s="801"/>
      <c r="IL222" s="801"/>
      <c r="IM222" s="801"/>
      <c r="IN222" s="801"/>
      <c r="IO222" s="801"/>
      <c r="IP222" s="801"/>
      <c r="IQ222" s="801"/>
      <c r="IR222" s="801"/>
      <c r="IS222" s="801"/>
      <c r="IT222" s="801"/>
      <c r="IU222" s="801"/>
      <c r="IV222" s="801"/>
      <c r="IW222" s="801"/>
      <c r="IX222" s="801"/>
      <c r="IY222" s="801"/>
      <c r="IZ222" s="802"/>
    </row>
    <row r="223" spans="1:260" x14ac:dyDescent="0.25">
      <c r="A223" s="800"/>
      <c r="B223" s="801"/>
      <c r="C223" s="801"/>
      <c r="D223" s="801"/>
      <c r="E223" s="801"/>
      <c r="F223" s="801"/>
      <c r="G223" s="801"/>
      <c r="H223" s="801"/>
      <c r="I223" s="801"/>
      <c r="J223" s="801"/>
      <c r="K223" s="801"/>
      <c r="L223" s="801"/>
      <c r="M223" s="801"/>
      <c r="N223" s="801"/>
      <c r="O223" s="801"/>
      <c r="P223" s="801"/>
      <c r="Q223" s="801"/>
      <c r="R223" s="801"/>
      <c r="S223" s="801"/>
      <c r="T223" s="801"/>
      <c r="U223" s="801"/>
      <c r="V223" s="801"/>
      <c r="W223" s="801"/>
      <c r="X223" s="801"/>
      <c r="Y223" s="801"/>
      <c r="Z223" s="802"/>
      <c r="AA223" s="800"/>
      <c r="AB223" s="801"/>
      <c r="AC223" s="801"/>
      <c r="AD223" s="801"/>
      <c r="AE223" s="801"/>
      <c r="AF223" s="801"/>
      <c r="AG223" s="801"/>
      <c r="AH223" s="801"/>
      <c r="AI223" s="801"/>
      <c r="AJ223" s="801"/>
      <c r="AK223" s="801"/>
      <c r="AL223" s="801"/>
      <c r="AM223" s="801"/>
      <c r="AN223" s="801"/>
      <c r="AO223" s="801"/>
      <c r="AP223" s="801"/>
      <c r="AQ223" s="801"/>
      <c r="AR223" s="801"/>
      <c r="AS223" s="801"/>
      <c r="AT223" s="801"/>
      <c r="AU223" s="801"/>
      <c r="AV223" s="801"/>
      <c r="AW223" s="801"/>
      <c r="AX223" s="801"/>
      <c r="AY223" s="801"/>
      <c r="AZ223" s="802"/>
      <c r="BA223" s="800"/>
      <c r="BB223" s="801"/>
      <c r="BC223" s="801"/>
      <c r="BD223" s="801"/>
      <c r="BE223" s="801"/>
      <c r="BF223" s="801"/>
      <c r="BG223" s="801"/>
      <c r="BH223" s="801"/>
      <c r="BI223" s="801"/>
      <c r="BJ223" s="801"/>
      <c r="BK223" s="801"/>
      <c r="BL223" s="801"/>
      <c r="BM223" s="801"/>
      <c r="BN223" s="801"/>
      <c r="BO223" s="801"/>
      <c r="BP223" s="801"/>
      <c r="BQ223" s="801"/>
      <c r="BR223" s="801"/>
      <c r="BS223" s="801"/>
      <c r="BT223" s="801"/>
      <c r="BU223" s="801"/>
      <c r="BV223" s="801"/>
      <c r="BW223" s="801"/>
      <c r="BX223" s="801"/>
      <c r="BY223" s="801"/>
      <c r="BZ223" s="802"/>
      <c r="CA223" s="800"/>
      <c r="CB223" s="801"/>
      <c r="CC223" s="801"/>
      <c r="CD223" s="801"/>
      <c r="CE223" s="801"/>
      <c r="CF223" s="801"/>
      <c r="CG223" s="801"/>
      <c r="CH223" s="801"/>
      <c r="CI223" s="801"/>
      <c r="CJ223" s="801"/>
      <c r="CK223" s="801"/>
      <c r="CL223" s="801"/>
      <c r="CM223" s="801"/>
      <c r="CN223" s="801"/>
      <c r="CO223" s="801"/>
      <c r="CP223" s="801"/>
      <c r="CQ223" s="801"/>
      <c r="CR223" s="801"/>
      <c r="CS223" s="801"/>
      <c r="CT223" s="801"/>
      <c r="CU223" s="801"/>
      <c r="CV223" s="801"/>
      <c r="CW223" s="801"/>
      <c r="CX223" s="801"/>
      <c r="CY223" s="801"/>
      <c r="CZ223" s="802"/>
      <c r="DA223" s="800"/>
      <c r="DB223" s="801"/>
      <c r="DC223" s="801"/>
      <c r="DD223" s="801"/>
      <c r="DE223" s="801"/>
      <c r="DF223" s="801"/>
      <c r="DG223" s="801"/>
      <c r="DH223" s="801"/>
      <c r="DI223" s="801"/>
      <c r="DJ223" s="801"/>
      <c r="DK223" s="801"/>
      <c r="DL223" s="801"/>
      <c r="DM223" s="801"/>
      <c r="DN223" s="801"/>
      <c r="DO223" s="801"/>
      <c r="DP223" s="801"/>
      <c r="DQ223" s="801"/>
      <c r="DR223" s="801"/>
      <c r="DS223" s="801"/>
      <c r="DT223" s="801"/>
      <c r="DU223" s="801"/>
      <c r="DV223" s="801"/>
      <c r="DW223" s="801"/>
      <c r="DX223" s="801"/>
      <c r="DY223" s="801"/>
      <c r="DZ223" s="802"/>
      <c r="EA223" s="800"/>
      <c r="EB223" s="801"/>
      <c r="EC223" s="801"/>
      <c r="ED223" s="801"/>
      <c r="EE223" s="801"/>
      <c r="EF223" s="801"/>
      <c r="EG223" s="801"/>
      <c r="EH223" s="801"/>
      <c r="EI223" s="801"/>
      <c r="EJ223" s="801"/>
      <c r="EK223" s="801"/>
      <c r="EL223" s="801"/>
      <c r="EM223" s="801"/>
      <c r="EN223" s="801"/>
      <c r="EO223" s="801"/>
      <c r="EP223" s="801"/>
      <c r="EQ223" s="801"/>
      <c r="ER223" s="801"/>
      <c r="ES223" s="801"/>
      <c r="ET223" s="801"/>
      <c r="EU223" s="801"/>
      <c r="EV223" s="801"/>
      <c r="EW223" s="801"/>
      <c r="EX223" s="801"/>
      <c r="EY223" s="801"/>
      <c r="EZ223" s="802"/>
      <c r="FA223" s="800"/>
      <c r="FB223" s="801"/>
      <c r="FC223" s="801"/>
      <c r="FD223" s="801"/>
      <c r="FE223" s="801"/>
      <c r="FF223" s="801"/>
      <c r="FG223" s="801"/>
      <c r="FH223" s="801"/>
      <c r="FI223" s="801"/>
      <c r="FJ223" s="801"/>
      <c r="FK223" s="801"/>
      <c r="FL223" s="801"/>
      <c r="FM223" s="801"/>
      <c r="FN223" s="801"/>
      <c r="FO223" s="801"/>
      <c r="FP223" s="801"/>
      <c r="FQ223" s="801"/>
      <c r="FR223" s="801"/>
      <c r="FS223" s="801"/>
      <c r="FT223" s="801"/>
      <c r="FU223" s="801"/>
      <c r="FV223" s="801"/>
      <c r="FW223" s="801"/>
      <c r="FX223" s="801"/>
      <c r="FY223" s="801"/>
      <c r="FZ223" s="802"/>
      <c r="GA223" s="800"/>
      <c r="GB223" s="801"/>
      <c r="GC223" s="801"/>
      <c r="GD223" s="801"/>
      <c r="GE223" s="801"/>
      <c r="GF223" s="801"/>
      <c r="GG223" s="801"/>
      <c r="GH223" s="801"/>
      <c r="GI223" s="801"/>
      <c r="GJ223" s="801"/>
      <c r="GK223" s="801"/>
      <c r="GL223" s="801"/>
      <c r="GM223" s="801"/>
      <c r="GN223" s="801"/>
      <c r="GO223" s="801"/>
      <c r="GP223" s="801"/>
      <c r="GQ223" s="801"/>
      <c r="GR223" s="801"/>
      <c r="GS223" s="801"/>
      <c r="GT223" s="801"/>
      <c r="GU223" s="801"/>
      <c r="GV223" s="801"/>
      <c r="GW223" s="801"/>
      <c r="GX223" s="801"/>
      <c r="GY223" s="801"/>
      <c r="GZ223" s="802"/>
      <c r="HA223" s="800"/>
      <c r="HB223" s="801"/>
      <c r="HC223" s="801"/>
      <c r="HD223" s="801"/>
      <c r="HE223" s="801"/>
      <c r="HF223" s="801"/>
      <c r="HG223" s="801"/>
      <c r="HH223" s="801"/>
      <c r="HI223" s="801"/>
      <c r="HJ223" s="801"/>
      <c r="HK223" s="801"/>
      <c r="HL223" s="801"/>
      <c r="HM223" s="801"/>
      <c r="HN223" s="801"/>
      <c r="HO223" s="801"/>
      <c r="HP223" s="801"/>
      <c r="HQ223" s="801"/>
      <c r="HR223" s="801"/>
      <c r="HS223" s="801"/>
      <c r="HT223" s="801"/>
      <c r="HU223" s="801"/>
      <c r="HV223" s="801"/>
      <c r="HW223" s="801"/>
      <c r="HX223" s="801"/>
      <c r="HY223" s="801"/>
      <c r="HZ223" s="802"/>
      <c r="IA223" s="800"/>
      <c r="IB223" s="801"/>
      <c r="IC223" s="801"/>
      <c r="ID223" s="801"/>
      <c r="IE223" s="801"/>
      <c r="IF223" s="801"/>
      <c r="IG223" s="801"/>
      <c r="IH223" s="801"/>
      <c r="II223" s="801"/>
      <c r="IJ223" s="801"/>
      <c r="IK223" s="801"/>
      <c r="IL223" s="801"/>
      <c r="IM223" s="801"/>
      <c r="IN223" s="801"/>
      <c r="IO223" s="801"/>
      <c r="IP223" s="801"/>
      <c r="IQ223" s="801"/>
      <c r="IR223" s="801"/>
      <c r="IS223" s="801"/>
      <c r="IT223" s="801"/>
      <c r="IU223" s="801"/>
      <c r="IV223" s="801"/>
      <c r="IW223" s="801"/>
      <c r="IX223" s="801"/>
      <c r="IY223" s="801"/>
      <c r="IZ223" s="802"/>
    </row>
    <row r="224" spans="1:260" x14ac:dyDescent="0.25">
      <c r="A224" s="800" t="str">
        <f>IFERROR(IF(Z207&gt;A207-1,IF(INDEX(Pedidos!J:AZ,Y207+A207-1,31)&lt;&gt;"","Nombres :     "&amp; INDEX(Pedidos!J:AZ,Y207+A207-1,31),""),""),"")</f>
        <v/>
      </c>
      <c r="B224" s="801"/>
      <c r="C224" s="801"/>
      <c r="D224" s="801"/>
      <c r="E224" s="801"/>
      <c r="F224" s="801"/>
      <c r="G224" s="801"/>
      <c r="H224" s="801"/>
      <c r="I224" s="801"/>
      <c r="J224" s="801"/>
      <c r="K224" s="801"/>
      <c r="L224" s="801"/>
      <c r="M224" s="801"/>
      <c r="N224" s="801"/>
      <c r="O224" s="801"/>
      <c r="P224" s="801"/>
      <c r="Q224" s="801"/>
      <c r="R224" s="801"/>
      <c r="S224" s="801"/>
      <c r="T224" s="801"/>
      <c r="U224" s="801"/>
      <c r="V224" s="801"/>
      <c r="W224" s="801"/>
      <c r="X224" s="801"/>
      <c r="Y224" s="801"/>
      <c r="Z224" s="802"/>
      <c r="AA224" s="800" t="str">
        <f>IFERROR(IF(AZ207&gt;AA207-1,IF(INDEX(Pedidos!AJ:BZ,AY207+AA207-1,31)&lt;&gt;"","Nombres :     "&amp; INDEX(Pedidos!AJ:BZ,AY207+AA207-1,31),""),""),"")</f>
        <v/>
      </c>
      <c r="AB224" s="801"/>
      <c r="AC224" s="801"/>
      <c r="AD224" s="801"/>
      <c r="AE224" s="801"/>
      <c r="AF224" s="801"/>
      <c r="AG224" s="801"/>
      <c r="AH224" s="801"/>
      <c r="AI224" s="801"/>
      <c r="AJ224" s="801"/>
      <c r="AK224" s="801"/>
      <c r="AL224" s="801"/>
      <c r="AM224" s="801"/>
      <c r="AN224" s="801"/>
      <c r="AO224" s="801"/>
      <c r="AP224" s="801"/>
      <c r="AQ224" s="801"/>
      <c r="AR224" s="801"/>
      <c r="AS224" s="801"/>
      <c r="AT224" s="801"/>
      <c r="AU224" s="801"/>
      <c r="AV224" s="801"/>
      <c r="AW224" s="801"/>
      <c r="AX224" s="801"/>
      <c r="AY224" s="801"/>
      <c r="AZ224" s="802"/>
      <c r="BA224" s="800" t="str">
        <f>IFERROR(IF(BZ207&gt;BA207-1,IF(INDEX(Pedidos!BJ:CZ,BY207+BA207-1,31)&lt;&gt;"","Nombres :     "&amp; INDEX(Pedidos!BJ:CZ,BY207+BA207-1,31),""),""),"")</f>
        <v/>
      </c>
      <c r="BB224" s="801"/>
      <c r="BC224" s="801"/>
      <c r="BD224" s="801"/>
      <c r="BE224" s="801"/>
      <c r="BF224" s="801"/>
      <c r="BG224" s="801"/>
      <c r="BH224" s="801"/>
      <c r="BI224" s="801"/>
      <c r="BJ224" s="801"/>
      <c r="BK224" s="801"/>
      <c r="BL224" s="801"/>
      <c r="BM224" s="801"/>
      <c r="BN224" s="801"/>
      <c r="BO224" s="801"/>
      <c r="BP224" s="801"/>
      <c r="BQ224" s="801"/>
      <c r="BR224" s="801"/>
      <c r="BS224" s="801"/>
      <c r="BT224" s="801"/>
      <c r="BU224" s="801"/>
      <c r="BV224" s="801"/>
      <c r="BW224" s="801"/>
      <c r="BX224" s="801"/>
      <c r="BY224" s="801"/>
      <c r="BZ224" s="802"/>
      <c r="CA224" s="800" t="str">
        <f>IFERROR(IF(CZ207&gt;CA207-1,IF(INDEX(Pedidos!CJ:DZ,CY207+CA207-1,31)&lt;&gt;"","Nombres :     "&amp; INDEX(Pedidos!CJ:DZ,CY207+CA207-1,31),""),""),"")</f>
        <v/>
      </c>
      <c r="CB224" s="801"/>
      <c r="CC224" s="801"/>
      <c r="CD224" s="801"/>
      <c r="CE224" s="801"/>
      <c r="CF224" s="801"/>
      <c r="CG224" s="801"/>
      <c r="CH224" s="801"/>
      <c r="CI224" s="801"/>
      <c r="CJ224" s="801"/>
      <c r="CK224" s="801"/>
      <c r="CL224" s="801"/>
      <c r="CM224" s="801"/>
      <c r="CN224" s="801"/>
      <c r="CO224" s="801"/>
      <c r="CP224" s="801"/>
      <c r="CQ224" s="801"/>
      <c r="CR224" s="801"/>
      <c r="CS224" s="801"/>
      <c r="CT224" s="801"/>
      <c r="CU224" s="801"/>
      <c r="CV224" s="801"/>
      <c r="CW224" s="801"/>
      <c r="CX224" s="801"/>
      <c r="CY224" s="801"/>
      <c r="CZ224" s="802"/>
      <c r="DA224" s="800" t="str">
        <f>IFERROR(IF(DZ207&gt;DA207-1,IF(INDEX(Pedidos!DJ:EZ,DY207+DA207-1,31)&lt;&gt;"","Nombres :     "&amp; INDEX(Pedidos!DJ:EZ,DY207+DA207-1,31),""),""),"")</f>
        <v/>
      </c>
      <c r="DB224" s="801"/>
      <c r="DC224" s="801"/>
      <c r="DD224" s="801"/>
      <c r="DE224" s="801"/>
      <c r="DF224" s="801"/>
      <c r="DG224" s="801"/>
      <c r="DH224" s="801"/>
      <c r="DI224" s="801"/>
      <c r="DJ224" s="801"/>
      <c r="DK224" s="801"/>
      <c r="DL224" s="801"/>
      <c r="DM224" s="801"/>
      <c r="DN224" s="801"/>
      <c r="DO224" s="801"/>
      <c r="DP224" s="801"/>
      <c r="DQ224" s="801"/>
      <c r="DR224" s="801"/>
      <c r="DS224" s="801"/>
      <c r="DT224" s="801"/>
      <c r="DU224" s="801"/>
      <c r="DV224" s="801"/>
      <c r="DW224" s="801"/>
      <c r="DX224" s="801"/>
      <c r="DY224" s="801"/>
      <c r="DZ224" s="802"/>
      <c r="EA224" s="800" t="str">
        <f>IFERROR(IF(EZ207&gt;EA207-1,IF(INDEX(Pedidos!EJ:FZ,EY207+EA207-1,31)&lt;&gt;"","Nombres :     "&amp; INDEX(Pedidos!EJ:FZ,EY207+EA207-1,31),""),""),"")</f>
        <v/>
      </c>
      <c r="EB224" s="801"/>
      <c r="EC224" s="801"/>
      <c r="ED224" s="801"/>
      <c r="EE224" s="801"/>
      <c r="EF224" s="801"/>
      <c r="EG224" s="801"/>
      <c r="EH224" s="801"/>
      <c r="EI224" s="801"/>
      <c r="EJ224" s="801"/>
      <c r="EK224" s="801"/>
      <c r="EL224" s="801"/>
      <c r="EM224" s="801"/>
      <c r="EN224" s="801"/>
      <c r="EO224" s="801"/>
      <c r="EP224" s="801"/>
      <c r="EQ224" s="801"/>
      <c r="ER224" s="801"/>
      <c r="ES224" s="801"/>
      <c r="ET224" s="801"/>
      <c r="EU224" s="801"/>
      <c r="EV224" s="801"/>
      <c r="EW224" s="801"/>
      <c r="EX224" s="801"/>
      <c r="EY224" s="801"/>
      <c r="EZ224" s="802"/>
      <c r="FA224" s="800" t="str">
        <f>IFERROR(IF(FZ207&gt;FA207-1,IF(INDEX(Pedidos!FJ:GZ,FY207+FA207-1,31)&lt;&gt;"","Nombres :     "&amp; INDEX(Pedidos!FJ:GZ,FY207+FA207-1,31),""),""),"")</f>
        <v/>
      </c>
      <c r="FB224" s="801"/>
      <c r="FC224" s="801"/>
      <c r="FD224" s="801"/>
      <c r="FE224" s="801"/>
      <c r="FF224" s="801"/>
      <c r="FG224" s="801"/>
      <c r="FH224" s="801"/>
      <c r="FI224" s="801"/>
      <c r="FJ224" s="801"/>
      <c r="FK224" s="801"/>
      <c r="FL224" s="801"/>
      <c r="FM224" s="801"/>
      <c r="FN224" s="801"/>
      <c r="FO224" s="801"/>
      <c r="FP224" s="801"/>
      <c r="FQ224" s="801"/>
      <c r="FR224" s="801"/>
      <c r="FS224" s="801"/>
      <c r="FT224" s="801"/>
      <c r="FU224" s="801"/>
      <c r="FV224" s="801"/>
      <c r="FW224" s="801"/>
      <c r="FX224" s="801"/>
      <c r="FY224" s="801"/>
      <c r="FZ224" s="802"/>
      <c r="GA224" s="800" t="str">
        <f>IFERROR(IF(GZ207&gt;GA207-1,IF(INDEX(Pedidos!GJ:HZ,GY207+GA207-1,31)&lt;&gt;"","Nombres :     "&amp; INDEX(Pedidos!GJ:HZ,GY207+GA207-1,31),""),""),"")</f>
        <v/>
      </c>
      <c r="GB224" s="801"/>
      <c r="GC224" s="801"/>
      <c r="GD224" s="801"/>
      <c r="GE224" s="801"/>
      <c r="GF224" s="801"/>
      <c r="GG224" s="801"/>
      <c r="GH224" s="801"/>
      <c r="GI224" s="801"/>
      <c r="GJ224" s="801"/>
      <c r="GK224" s="801"/>
      <c r="GL224" s="801"/>
      <c r="GM224" s="801"/>
      <c r="GN224" s="801"/>
      <c r="GO224" s="801"/>
      <c r="GP224" s="801"/>
      <c r="GQ224" s="801"/>
      <c r="GR224" s="801"/>
      <c r="GS224" s="801"/>
      <c r="GT224" s="801"/>
      <c r="GU224" s="801"/>
      <c r="GV224" s="801"/>
      <c r="GW224" s="801"/>
      <c r="GX224" s="801"/>
      <c r="GY224" s="801"/>
      <c r="GZ224" s="802"/>
      <c r="HA224" s="800" t="str">
        <f>IFERROR(IF(HZ207&gt;HA207-1,IF(INDEX(Pedidos!HJ:IZ,HY207+HA207-1,31)&lt;&gt;"","Nombres :     "&amp; INDEX(Pedidos!HJ:IZ,HY207+HA207-1,31),""),""),"")</f>
        <v/>
      </c>
      <c r="HB224" s="801"/>
      <c r="HC224" s="801"/>
      <c r="HD224" s="801"/>
      <c r="HE224" s="801"/>
      <c r="HF224" s="801"/>
      <c r="HG224" s="801"/>
      <c r="HH224" s="801"/>
      <c r="HI224" s="801"/>
      <c r="HJ224" s="801"/>
      <c r="HK224" s="801"/>
      <c r="HL224" s="801"/>
      <c r="HM224" s="801"/>
      <c r="HN224" s="801"/>
      <c r="HO224" s="801"/>
      <c r="HP224" s="801"/>
      <c r="HQ224" s="801"/>
      <c r="HR224" s="801"/>
      <c r="HS224" s="801"/>
      <c r="HT224" s="801"/>
      <c r="HU224" s="801"/>
      <c r="HV224" s="801"/>
      <c r="HW224" s="801"/>
      <c r="HX224" s="801"/>
      <c r="HY224" s="801"/>
      <c r="HZ224" s="802"/>
      <c r="IA224" s="800" t="str">
        <f>IFERROR(IF(IZ207&gt;IA207-1,IF(INDEX(Pedidos!IJ:JZ,IY207+IA207-1,31)&lt;&gt;"","Nombres :     "&amp; INDEX(Pedidos!IJ:JZ,IY207+IA207-1,31),""),""),"")</f>
        <v/>
      </c>
      <c r="IB224" s="801"/>
      <c r="IC224" s="801"/>
      <c r="ID224" s="801"/>
      <c r="IE224" s="801"/>
      <c r="IF224" s="801"/>
      <c r="IG224" s="801"/>
      <c r="IH224" s="801"/>
      <c r="II224" s="801"/>
      <c r="IJ224" s="801"/>
      <c r="IK224" s="801"/>
      <c r="IL224" s="801"/>
      <c r="IM224" s="801"/>
      <c r="IN224" s="801"/>
      <c r="IO224" s="801"/>
      <c r="IP224" s="801"/>
      <c r="IQ224" s="801"/>
      <c r="IR224" s="801"/>
      <c r="IS224" s="801"/>
      <c r="IT224" s="801"/>
      <c r="IU224" s="801"/>
      <c r="IV224" s="801"/>
      <c r="IW224" s="801"/>
      <c r="IX224" s="801"/>
      <c r="IY224" s="801"/>
      <c r="IZ224" s="802"/>
    </row>
    <row r="225" spans="1:260" x14ac:dyDescent="0.25">
      <c r="A225" s="820" t="str">
        <f>IFERROR(IF(Z207&gt;A207-1,IF(INDEX(Pedidos!J:AZ,Y207+A207-1,32)&lt;&gt;"","Localización de los Nombres :     "&amp; INDEX(Pedidos!J:AZ,Y207+A207-1,32),""),""),"")</f>
        <v/>
      </c>
      <c r="B225" s="821"/>
      <c r="C225" s="821"/>
      <c r="D225" s="821"/>
      <c r="E225" s="821"/>
      <c r="F225" s="821"/>
      <c r="G225" s="821"/>
      <c r="H225" s="821"/>
      <c r="I225" s="821"/>
      <c r="J225" s="821"/>
      <c r="K225" s="821"/>
      <c r="L225" s="821"/>
      <c r="M225" s="821"/>
      <c r="N225" s="821"/>
      <c r="O225" s="821"/>
      <c r="P225" s="821"/>
      <c r="Q225" s="821"/>
      <c r="R225" s="821"/>
      <c r="S225" s="821"/>
      <c r="T225" s="821"/>
      <c r="U225" s="821"/>
      <c r="V225" s="821"/>
      <c r="W225" s="821"/>
      <c r="X225" s="821"/>
      <c r="Y225" s="821"/>
      <c r="Z225" s="822"/>
      <c r="AA225" s="820" t="str">
        <f>IFERROR(IF(AZ207&gt;AA207-1,IF(INDEX(Pedidos!AJ:BZ,AY207+AA207-1,32)&lt;&gt;"","Localización de los Nombres :     "&amp; INDEX(Pedidos!AJ:BZ,AY207+AA207-1,32),""),""),"")</f>
        <v/>
      </c>
      <c r="AB225" s="821"/>
      <c r="AC225" s="821"/>
      <c r="AD225" s="821"/>
      <c r="AE225" s="821"/>
      <c r="AF225" s="821"/>
      <c r="AG225" s="821"/>
      <c r="AH225" s="821"/>
      <c r="AI225" s="821"/>
      <c r="AJ225" s="821"/>
      <c r="AK225" s="821"/>
      <c r="AL225" s="821"/>
      <c r="AM225" s="821"/>
      <c r="AN225" s="821"/>
      <c r="AO225" s="821"/>
      <c r="AP225" s="821"/>
      <c r="AQ225" s="821"/>
      <c r="AR225" s="821"/>
      <c r="AS225" s="821"/>
      <c r="AT225" s="821"/>
      <c r="AU225" s="821"/>
      <c r="AV225" s="821"/>
      <c r="AW225" s="821"/>
      <c r="AX225" s="821"/>
      <c r="AY225" s="821"/>
      <c r="AZ225" s="822"/>
      <c r="BA225" s="820" t="str">
        <f>IFERROR(IF(BZ207&gt;BA207-1,IF(INDEX(Pedidos!BJ:CZ,BY207+BA207-1,32)&lt;&gt;"","Localización de los Nombres :     "&amp; INDEX(Pedidos!BJ:CZ,BY207+BA207-1,32),""),""),"")</f>
        <v/>
      </c>
      <c r="BB225" s="821"/>
      <c r="BC225" s="821"/>
      <c r="BD225" s="821"/>
      <c r="BE225" s="821"/>
      <c r="BF225" s="821"/>
      <c r="BG225" s="821"/>
      <c r="BH225" s="821"/>
      <c r="BI225" s="821"/>
      <c r="BJ225" s="821"/>
      <c r="BK225" s="821"/>
      <c r="BL225" s="821"/>
      <c r="BM225" s="821"/>
      <c r="BN225" s="821"/>
      <c r="BO225" s="821"/>
      <c r="BP225" s="821"/>
      <c r="BQ225" s="821"/>
      <c r="BR225" s="821"/>
      <c r="BS225" s="821"/>
      <c r="BT225" s="821"/>
      <c r="BU225" s="821"/>
      <c r="BV225" s="821"/>
      <c r="BW225" s="821"/>
      <c r="BX225" s="821"/>
      <c r="BY225" s="821"/>
      <c r="BZ225" s="822"/>
      <c r="CA225" s="820" t="str">
        <f>IFERROR(IF(CZ207&gt;CA207-1,IF(INDEX(Pedidos!CJ:DZ,CY207+CA207-1,32)&lt;&gt;"","Localización de los Nombres :     "&amp; INDEX(Pedidos!CJ:DZ,CY207+CA207-1,32),""),""),"")</f>
        <v/>
      </c>
      <c r="CB225" s="821"/>
      <c r="CC225" s="821"/>
      <c r="CD225" s="821"/>
      <c r="CE225" s="821"/>
      <c r="CF225" s="821"/>
      <c r="CG225" s="821"/>
      <c r="CH225" s="821"/>
      <c r="CI225" s="821"/>
      <c r="CJ225" s="821"/>
      <c r="CK225" s="821"/>
      <c r="CL225" s="821"/>
      <c r="CM225" s="821"/>
      <c r="CN225" s="821"/>
      <c r="CO225" s="821"/>
      <c r="CP225" s="821"/>
      <c r="CQ225" s="821"/>
      <c r="CR225" s="821"/>
      <c r="CS225" s="821"/>
      <c r="CT225" s="821"/>
      <c r="CU225" s="821"/>
      <c r="CV225" s="821"/>
      <c r="CW225" s="821"/>
      <c r="CX225" s="821"/>
      <c r="CY225" s="821"/>
      <c r="CZ225" s="822"/>
      <c r="DA225" s="820" t="str">
        <f>IFERROR(IF(DZ207&gt;DA207-1,IF(INDEX(Pedidos!DJ:EZ,DY207+DA207-1,32)&lt;&gt;"","Localización de los Nombres :     "&amp; INDEX(Pedidos!DJ:EZ,DY207+DA207-1,32),""),""),"")</f>
        <v/>
      </c>
      <c r="DB225" s="821"/>
      <c r="DC225" s="821"/>
      <c r="DD225" s="821"/>
      <c r="DE225" s="821"/>
      <c r="DF225" s="821"/>
      <c r="DG225" s="821"/>
      <c r="DH225" s="821"/>
      <c r="DI225" s="821"/>
      <c r="DJ225" s="821"/>
      <c r="DK225" s="821"/>
      <c r="DL225" s="821"/>
      <c r="DM225" s="821"/>
      <c r="DN225" s="821"/>
      <c r="DO225" s="821"/>
      <c r="DP225" s="821"/>
      <c r="DQ225" s="821"/>
      <c r="DR225" s="821"/>
      <c r="DS225" s="821"/>
      <c r="DT225" s="821"/>
      <c r="DU225" s="821"/>
      <c r="DV225" s="821"/>
      <c r="DW225" s="821"/>
      <c r="DX225" s="821"/>
      <c r="DY225" s="821"/>
      <c r="DZ225" s="822"/>
      <c r="EA225" s="820" t="str">
        <f>IFERROR(IF(EZ207&gt;EA207-1,IF(INDEX(Pedidos!EJ:FZ,EY207+EA207-1,32)&lt;&gt;"","Localización de los Nombres :     "&amp; INDEX(Pedidos!EJ:FZ,EY207+EA207-1,32),""),""),"")</f>
        <v/>
      </c>
      <c r="EB225" s="821"/>
      <c r="EC225" s="821"/>
      <c r="ED225" s="821"/>
      <c r="EE225" s="821"/>
      <c r="EF225" s="821"/>
      <c r="EG225" s="821"/>
      <c r="EH225" s="821"/>
      <c r="EI225" s="821"/>
      <c r="EJ225" s="821"/>
      <c r="EK225" s="821"/>
      <c r="EL225" s="821"/>
      <c r="EM225" s="821"/>
      <c r="EN225" s="821"/>
      <c r="EO225" s="821"/>
      <c r="EP225" s="821"/>
      <c r="EQ225" s="821"/>
      <c r="ER225" s="821"/>
      <c r="ES225" s="821"/>
      <c r="ET225" s="821"/>
      <c r="EU225" s="821"/>
      <c r="EV225" s="821"/>
      <c r="EW225" s="821"/>
      <c r="EX225" s="821"/>
      <c r="EY225" s="821"/>
      <c r="EZ225" s="822"/>
      <c r="FA225" s="820" t="str">
        <f>IFERROR(IF(FZ207&gt;FA207-1,IF(INDEX(Pedidos!FJ:GZ,FY207+FA207-1,32)&lt;&gt;"","Localización de los Nombres :     "&amp; INDEX(Pedidos!FJ:GZ,FY207+FA207-1,32),""),""),"")</f>
        <v/>
      </c>
      <c r="FB225" s="821"/>
      <c r="FC225" s="821"/>
      <c r="FD225" s="821"/>
      <c r="FE225" s="821"/>
      <c r="FF225" s="821"/>
      <c r="FG225" s="821"/>
      <c r="FH225" s="821"/>
      <c r="FI225" s="821"/>
      <c r="FJ225" s="821"/>
      <c r="FK225" s="821"/>
      <c r="FL225" s="821"/>
      <c r="FM225" s="821"/>
      <c r="FN225" s="821"/>
      <c r="FO225" s="821"/>
      <c r="FP225" s="821"/>
      <c r="FQ225" s="821"/>
      <c r="FR225" s="821"/>
      <c r="FS225" s="821"/>
      <c r="FT225" s="821"/>
      <c r="FU225" s="821"/>
      <c r="FV225" s="821"/>
      <c r="FW225" s="821"/>
      <c r="FX225" s="821"/>
      <c r="FY225" s="821"/>
      <c r="FZ225" s="822"/>
      <c r="GA225" s="820" t="str">
        <f>IFERROR(IF(GZ207&gt;GA207-1,IF(INDEX(Pedidos!GJ:HZ,GY207+GA207-1,32)&lt;&gt;"","Localización de los Nombres :     "&amp; INDEX(Pedidos!GJ:HZ,GY207+GA207-1,32),""),""),"")</f>
        <v/>
      </c>
      <c r="GB225" s="821"/>
      <c r="GC225" s="821"/>
      <c r="GD225" s="821"/>
      <c r="GE225" s="821"/>
      <c r="GF225" s="821"/>
      <c r="GG225" s="821"/>
      <c r="GH225" s="821"/>
      <c r="GI225" s="821"/>
      <c r="GJ225" s="821"/>
      <c r="GK225" s="821"/>
      <c r="GL225" s="821"/>
      <c r="GM225" s="821"/>
      <c r="GN225" s="821"/>
      <c r="GO225" s="821"/>
      <c r="GP225" s="821"/>
      <c r="GQ225" s="821"/>
      <c r="GR225" s="821"/>
      <c r="GS225" s="821"/>
      <c r="GT225" s="821"/>
      <c r="GU225" s="821"/>
      <c r="GV225" s="821"/>
      <c r="GW225" s="821"/>
      <c r="GX225" s="821"/>
      <c r="GY225" s="821"/>
      <c r="GZ225" s="822"/>
      <c r="HA225" s="820" t="str">
        <f>IFERROR(IF(HZ207&gt;HA207-1,IF(INDEX(Pedidos!HJ:IZ,HY207+HA207-1,32)&lt;&gt;"","Localización de los Nombres :     "&amp; INDEX(Pedidos!HJ:IZ,HY207+HA207-1,32),""),""),"")</f>
        <v/>
      </c>
      <c r="HB225" s="821"/>
      <c r="HC225" s="821"/>
      <c r="HD225" s="821"/>
      <c r="HE225" s="821"/>
      <c r="HF225" s="821"/>
      <c r="HG225" s="821"/>
      <c r="HH225" s="821"/>
      <c r="HI225" s="821"/>
      <c r="HJ225" s="821"/>
      <c r="HK225" s="821"/>
      <c r="HL225" s="821"/>
      <c r="HM225" s="821"/>
      <c r="HN225" s="821"/>
      <c r="HO225" s="821"/>
      <c r="HP225" s="821"/>
      <c r="HQ225" s="821"/>
      <c r="HR225" s="821"/>
      <c r="HS225" s="821"/>
      <c r="HT225" s="821"/>
      <c r="HU225" s="821"/>
      <c r="HV225" s="821"/>
      <c r="HW225" s="821"/>
      <c r="HX225" s="821"/>
      <c r="HY225" s="821"/>
      <c r="HZ225" s="822"/>
      <c r="IA225" s="820" t="str">
        <f>IFERROR(IF(IZ207&gt;IA207-1,IF(INDEX(Pedidos!IJ:JZ,IY207+IA207-1,32)&lt;&gt;"","Localización de los Nombres :     "&amp; INDEX(Pedidos!IJ:JZ,IY207+IA207-1,32),""),""),"")</f>
        <v/>
      </c>
      <c r="IB225" s="821"/>
      <c r="IC225" s="821"/>
      <c r="ID225" s="821"/>
      <c r="IE225" s="821"/>
      <c r="IF225" s="821"/>
      <c r="IG225" s="821"/>
      <c r="IH225" s="821"/>
      <c r="II225" s="821"/>
      <c r="IJ225" s="821"/>
      <c r="IK225" s="821"/>
      <c r="IL225" s="821"/>
      <c r="IM225" s="821"/>
      <c r="IN225" s="821"/>
      <c r="IO225" s="821"/>
      <c r="IP225" s="821"/>
      <c r="IQ225" s="821"/>
      <c r="IR225" s="821"/>
      <c r="IS225" s="821"/>
      <c r="IT225" s="821"/>
      <c r="IU225" s="821"/>
      <c r="IV225" s="821"/>
      <c r="IW225" s="821"/>
      <c r="IX225" s="821"/>
      <c r="IY225" s="821"/>
      <c r="IZ225" s="822"/>
    </row>
    <row r="226" spans="1:260" ht="15" customHeight="1" x14ac:dyDescent="0.25">
      <c r="A226" s="836" t="str">
        <f>IFERROR(IF(Z207&gt;A207-1,IF(INDEX(Pedidos!J:AZ,Y207+A207-1,37)&lt;&gt;"","Otras Instrucciones Especiales :     "&amp; INDEX(Pedidos!J:AZ,Y207+A207-1,37),""),""),"")</f>
        <v/>
      </c>
      <c r="B226" s="837"/>
      <c r="C226" s="837"/>
      <c r="D226" s="837"/>
      <c r="E226" s="837"/>
      <c r="F226" s="837"/>
      <c r="G226" s="837"/>
      <c r="H226" s="837"/>
      <c r="I226" s="837"/>
      <c r="J226" s="837"/>
      <c r="K226" s="837"/>
      <c r="L226" s="837"/>
      <c r="M226" s="837"/>
      <c r="N226" s="837"/>
      <c r="O226" s="837"/>
      <c r="P226" s="837"/>
      <c r="Q226" s="837"/>
      <c r="R226" s="837"/>
      <c r="S226" s="837"/>
      <c r="T226" s="837"/>
      <c r="U226" s="837"/>
      <c r="V226" s="837"/>
      <c r="W226" s="837"/>
      <c r="X226" s="837"/>
      <c r="Y226" s="837"/>
      <c r="Z226" s="838"/>
      <c r="AA226" s="836" t="str">
        <f>IFERROR(IF(AZ207&gt;AA207-1,IF(INDEX(Pedidos!AJ:BZ,AY207+AA207-1,37)&lt;&gt;"","Otras Instrucciones Especiales :     "&amp; INDEX(Pedidos!AJ:BZ,AY207+AA207-1,37),""),""),"")</f>
        <v/>
      </c>
      <c r="AB226" s="837"/>
      <c r="AC226" s="837"/>
      <c r="AD226" s="837"/>
      <c r="AE226" s="837"/>
      <c r="AF226" s="837"/>
      <c r="AG226" s="837"/>
      <c r="AH226" s="837"/>
      <c r="AI226" s="837"/>
      <c r="AJ226" s="837"/>
      <c r="AK226" s="837"/>
      <c r="AL226" s="837"/>
      <c r="AM226" s="837"/>
      <c r="AN226" s="837"/>
      <c r="AO226" s="837"/>
      <c r="AP226" s="837"/>
      <c r="AQ226" s="837"/>
      <c r="AR226" s="837"/>
      <c r="AS226" s="837"/>
      <c r="AT226" s="837"/>
      <c r="AU226" s="837"/>
      <c r="AV226" s="837"/>
      <c r="AW226" s="837"/>
      <c r="AX226" s="837"/>
      <c r="AY226" s="837"/>
      <c r="AZ226" s="838"/>
      <c r="BA226" s="836" t="str">
        <f>IFERROR(IF(BZ207&gt;BA207-1,IF(INDEX(Pedidos!BJ:CZ,BY207+BA207-1,37)&lt;&gt;"","Otras Instrucciones Especiales :     "&amp; INDEX(Pedidos!BJ:CZ,BY207+BA207-1,37),""),""),"")</f>
        <v/>
      </c>
      <c r="BB226" s="837"/>
      <c r="BC226" s="837"/>
      <c r="BD226" s="837"/>
      <c r="BE226" s="837"/>
      <c r="BF226" s="837"/>
      <c r="BG226" s="837"/>
      <c r="BH226" s="837"/>
      <c r="BI226" s="837"/>
      <c r="BJ226" s="837"/>
      <c r="BK226" s="837"/>
      <c r="BL226" s="837"/>
      <c r="BM226" s="837"/>
      <c r="BN226" s="837"/>
      <c r="BO226" s="837"/>
      <c r="BP226" s="837"/>
      <c r="BQ226" s="837"/>
      <c r="BR226" s="837"/>
      <c r="BS226" s="837"/>
      <c r="BT226" s="837"/>
      <c r="BU226" s="837"/>
      <c r="BV226" s="837"/>
      <c r="BW226" s="837"/>
      <c r="BX226" s="837"/>
      <c r="BY226" s="837"/>
      <c r="BZ226" s="838"/>
      <c r="CA226" s="836" t="str">
        <f>IFERROR(IF(CZ207&gt;CA207-1,IF(INDEX(Pedidos!CJ:DZ,CY207+CA207-1,37)&lt;&gt;"","Otras Instrucciones Especiales :     "&amp; INDEX(Pedidos!CJ:DZ,CY207+CA207-1,37),""),""),"")</f>
        <v/>
      </c>
      <c r="CB226" s="837"/>
      <c r="CC226" s="837"/>
      <c r="CD226" s="837"/>
      <c r="CE226" s="837"/>
      <c r="CF226" s="837"/>
      <c r="CG226" s="837"/>
      <c r="CH226" s="837"/>
      <c r="CI226" s="837"/>
      <c r="CJ226" s="837"/>
      <c r="CK226" s="837"/>
      <c r="CL226" s="837"/>
      <c r="CM226" s="837"/>
      <c r="CN226" s="837"/>
      <c r="CO226" s="837"/>
      <c r="CP226" s="837"/>
      <c r="CQ226" s="837"/>
      <c r="CR226" s="837"/>
      <c r="CS226" s="837"/>
      <c r="CT226" s="837"/>
      <c r="CU226" s="837"/>
      <c r="CV226" s="837"/>
      <c r="CW226" s="837"/>
      <c r="CX226" s="837"/>
      <c r="CY226" s="837"/>
      <c r="CZ226" s="838"/>
      <c r="DA226" s="836" t="str">
        <f>IFERROR(IF(DZ207&gt;DA207-1,IF(INDEX(Pedidos!DJ:EZ,DY207+DA207-1,37)&lt;&gt;"","Otras Instrucciones Especiales :     "&amp; INDEX(Pedidos!DJ:EZ,DY207+DA207-1,37),""),""),"")</f>
        <v/>
      </c>
      <c r="DB226" s="837"/>
      <c r="DC226" s="837"/>
      <c r="DD226" s="837"/>
      <c r="DE226" s="837"/>
      <c r="DF226" s="837"/>
      <c r="DG226" s="837"/>
      <c r="DH226" s="837"/>
      <c r="DI226" s="837"/>
      <c r="DJ226" s="837"/>
      <c r="DK226" s="837"/>
      <c r="DL226" s="837"/>
      <c r="DM226" s="837"/>
      <c r="DN226" s="837"/>
      <c r="DO226" s="837"/>
      <c r="DP226" s="837"/>
      <c r="DQ226" s="837"/>
      <c r="DR226" s="837"/>
      <c r="DS226" s="837"/>
      <c r="DT226" s="837"/>
      <c r="DU226" s="837"/>
      <c r="DV226" s="837"/>
      <c r="DW226" s="837"/>
      <c r="DX226" s="837"/>
      <c r="DY226" s="837"/>
      <c r="DZ226" s="838"/>
      <c r="EA226" s="836" t="str">
        <f>IFERROR(IF(EZ207&gt;EA207-1,IF(INDEX(Pedidos!EJ:FZ,EY207+EA207-1,37)&lt;&gt;"","Otras Instrucciones Especiales :     "&amp; INDEX(Pedidos!EJ:FZ,EY207+EA207-1,37),""),""),"")</f>
        <v/>
      </c>
      <c r="EB226" s="837"/>
      <c r="EC226" s="837"/>
      <c r="ED226" s="837"/>
      <c r="EE226" s="837"/>
      <c r="EF226" s="837"/>
      <c r="EG226" s="837"/>
      <c r="EH226" s="837"/>
      <c r="EI226" s="837"/>
      <c r="EJ226" s="837"/>
      <c r="EK226" s="837"/>
      <c r="EL226" s="837"/>
      <c r="EM226" s="837"/>
      <c r="EN226" s="837"/>
      <c r="EO226" s="837"/>
      <c r="EP226" s="837"/>
      <c r="EQ226" s="837"/>
      <c r="ER226" s="837"/>
      <c r="ES226" s="837"/>
      <c r="ET226" s="837"/>
      <c r="EU226" s="837"/>
      <c r="EV226" s="837"/>
      <c r="EW226" s="837"/>
      <c r="EX226" s="837"/>
      <c r="EY226" s="837"/>
      <c r="EZ226" s="838"/>
      <c r="FA226" s="836" t="str">
        <f>IFERROR(IF(FZ207&gt;FA207-1,IF(INDEX(Pedidos!FJ:GZ,FY207+FA207-1,37)&lt;&gt;"","Otras Instrucciones Especiales :     "&amp; INDEX(Pedidos!FJ:GZ,FY207+FA207-1,37),""),""),"")</f>
        <v/>
      </c>
      <c r="FB226" s="837"/>
      <c r="FC226" s="837"/>
      <c r="FD226" s="837"/>
      <c r="FE226" s="837"/>
      <c r="FF226" s="837"/>
      <c r="FG226" s="837"/>
      <c r="FH226" s="837"/>
      <c r="FI226" s="837"/>
      <c r="FJ226" s="837"/>
      <c r="FK226" s="837"/>
      <c r="FL226" s="837"/>
      <c r="FM226" s="837"/>
      <c r="FN226" s="837"/>
      <c r="FO226" s="837"/>
      <c r="FP226" s="837"/>
      <c r="FQ226" s="837"/>
      <c r="FR226" s="837"/>
      <c r="FS226" s="837"/>
      <c r="FT226" s="837"/>
      <c r="FU226" s="837"/>
      <c r="FV226" s="837"/>
      <c r="FW226" s="837"/>
      <c r="FX226" s="837"/>
      <c r="FY226" s="837"/>
      <c r="FZ226" s="838"/>
      <c r="GA226" s="836" t="str">
        <f>IFERROR(IF(GZ207&gt;GA207-1,IF(INDEX(Pedidos!GJ:HZ,GY207+GA207-1,37)&lt;&gt;"","Otras Instrucciones Especiales :     "&amp; INDEX(Pedidos!GJ:HZ,GY207+GA207-1,37),""),""),"")</f>
        <v/>
      </c>
      <c r="GB226" s="837"/>
      <c r="GC226" s="837"/>
      <c r="GD226" s="837"/>
      <c r="GE226" s="837"/>
      <c r="GF226" s="837"/>
      <c r="GG226" s="837"/>
      <c r="GH226" s="837"/>
      <c r="GI226" s="837"/>
      <c r="GJ226" s="837"/>
      <c r="GK226" s="837"/>
      <c r="GL226" s="837"/>
      <c r="GM226" s="837"/>
      <c r="GN226" s="837"/>
      <c r="GO226" s="837"/>
      <c r="GP226" s="837"/>
      <c r="GQ226" s="837"/>
      <c r="GR226" s="837"/>
      <c r="GS226" s="837"/>
      <c r="GT226" s="837"/>
      <c r="GU226" s="837"/>
      <c r="GV226" s="837"/>
      <c r="GW226" s="837"/>
      <c r="GX226" s="837"/>
      <c r="GY226" s="837"/>
      <c r="GZ226" s="838"/>
      <c r="HA226" s="836" t="str">
        <f>IFERROR(IF(HZ207&gt;HA207-1,IF(INDEX(Pedidos!HJ:IZ,HY207+HA207-1,37)&lt;&gt;"","Otras Instrucciones Especiales :     "&amp; INDEX(Pedidos!HJ:IZ,HY207+HA207-1,37),""),""),"")</f>
        <v/>
      </c>
      <c r="HB226" s="837"/>
      <c r="HC226" s="837"/>
      <c r="HD226" s="837"/>
      <c r="HE226" s="837"/>
      <c r="HF226" s="837"/>
      <c r="HG226" s="837"/>
      <c r="HH226" s="837"/>
      <c r="HI226" s="837"/>
      <c r="HJ226" s="837"/>
      <c r="HK226" s="837"/>
      <c r="HL226" s="837"/>
      <c r="HM226" s="837"/>
      <c r="HN226" s="837"/>
      <c r="HO226" s="837"/>
      <c r="HP226" s="837"/>
      <c r="HQ226" s="837"/>
      <c r="HR226" s="837"/>
      <c r="HS226" s="837"/>
      <c r="HT226" s="837"/>
      <c r="HU226" s="837"/>
      <c r="HV226" s="837"/>
      <c r="HW226" s="837"/>
      <c r="HX226" s="837"/>
      <c r="HY226" s="837"/>
      <c r="HZ226" s="838"/>
      <c r="IA226" s="836" t="str">
        <f>IFERROR(IF(IZ207&gt;IA207-1,IF(INDEX(Pedidos!IJ:JZ,IY207+IA207-1,37)&lt;&gt;"","Otras Instrucciones Especiales :     "&amp; INDEX(Pedidos!IJ:JZ,IY207+IA207-1,37),""),""),"")</f>
        <v/>
      </c>
      <c r="IB226" s="837"/>
      <c r="IC226" s="837"/>
      <c r="ID226" s="837"/>
      <c r="IE226" s="837"/>
      <c r="IF226" s="837"/>
      <c r="IG226" s="837"/>
      <c r="IH226" s="837"/>
      <c r="II226" s="837"/>
      <c r="IJ226" s="837"/>
      <c r="IK226" s="837"/>
      <c r="IL226" s="837"/>
      <c r="IM226" s="837"/>
      <c r="IN226" s="837"/>
      <c r="IO226" s="837"/>
      <c r="IP226" s="837"/>
      <c r="IQ226" s="837"/>
      <c r="IR226" s="837"/>
      <c r="IS226" s="837"/>
      <c r="IT226" s="837"/>
      <c r="IU226" s="837"/>
      <c r="IV226" s="837"/>
      <c r="IW226" s="837"/>
      <c r="IX226" s="837"/>
      <c r="IY226" s="837"/>
      <c r="IZ226" s="838"/>
    </row>
    <row r="227" spans="1:260" ht="15.75" thickBot="1" x14ac:dyDescent="0.3">
      <c r="A227" s="839"/>
      <c r="B227" s="840"/>
      <c r="C227" s="840"/>
      <c r="D227" s="840"/>
      <c r="E227" s="840"/>
      <c r="F227" s="840"/>
      <c r="G227" s="840"/>
      <c r="H227" s="840"/>
      <c r="I227" s="840"/>
      <c r="J227" s="840"/>
      <c r="K227" s="840"/>
      <c r="L227" s="840"/>
      <c r="M227" s="840"/>
      <c r="N227" s="840"/>
      <c r="O227" s="840"/>
      <c r="P227" s="840"/>
      <c r="Q227" s="840"/>
      <c r="R227" s="840"/>
      <c r="S227" s="840"/>
      <c r="T227" s="840"/>
      <c r="U227" s="840"/>
      <c r="V227" s="840"/>
      <c r="W227" s="840"/>
      <c r="X227" s="840"/>
      <c r="Y227" s="840"/>
      <c r="Z227" s="841"/>
      <c r="AA227" s="839"/>
      <c r="AB227" s="840"/>
      <c r="AC227" s="840"/>
      <c r="AD227" s="840"/>
      <c r="AE227" s="840"/>
      <c r="AF227" s="840"/>
      <c r="AG227" s="840"/>
      <c r="AH227" s="840"/>
      <c r="AI227" s="840"/>
      <c r="AJ227" s="840"/>
      <c r="AK227" s="840"/>
      <c r="AL227" s="840"/>
      <c r="AM227" s="840"/>
      <c r="AN227" s="840"/>
      <c r="AO227" s="840"/>
      <c r="AP227" s="840"/>
      <c r="AQ227" s="840"/>
      <c r="AR227" s="840"/>
      <c r="AS227" s="840"/>
      <c r="AT227" s="840"/>
      <c r="AU227" s="840"/>
      <c r="AV227" s="840"/>
      <c r="AW227" s="840"/>
      <c r="AX227" s="840"/>
      <c r="AY227" s="840"/>
      <c r="AZ227" s="841"/>
      <c r="BA227" s="839"/>
      <c r="BB227" s="840"/>
      <c r="BC227" s="840"/>
      <c r="BD227" s="840"/>
      <c r="BE227" s="840"/>
      <c r="BF227" s="840"/>
      <c r="BG227" s="840"/>
      <c r="BH227" s="840"/>
      <c r="BI227" s="840"/>
      <c r="BJ227" s="840"/>
      <c r="BK227" s="840"/>
      <c r="BL227" s="840"/>
      <c r="BM227" s="840"/>
      <c r="BN227" s="840"/>
      <c r="BO227" s="840"/>
      <c r="BP227" s="840"/>
      <c r="BQ227" s="840"/>
      <c r="BR227" s="840"/>
      <c r="BS227" s="840"/>
      <c r="BT227" s="840"/>
      <c r="BU227" s="840"/>
      <c r="BV227" s="840"/>
      <c r="BW227" s="840"/>
      <c r="BX227" s="840"/>
      <c r="BY227" s="840"/>
      <c r="BZ227" s="841"/>
      <c r="CA227" s="839"/>
      <c r="CB227" s="840"/>
      <c r="CC227" s="840"/>
      <c r="CD227" s="840"/>
      <c r="CE227" s="840"/>
      <c r="CF227" s="840"/>
      <c r="CG227" s="840"/>
      <c r="CH227" s="840"/>
      <c r="CI227" s="840"/>
      <c r="CJ227" s="840"/>
      <c r="CK227" s="840"/>
      <c r="CL227" s="840"/>
      <c r="CM227" s="840"/>
      <c r="CN227" s="840"/>
      <c r="CO227" s="840"/>
      <c r="CP227" s="840"/>
      <c r="CQ227" s="840"/>
      <c r="CR227" s="840"/>
      <c r="CS227" s="840"/>
      <c r="CT227" s="840"/>
      <c r="CU227" s="840"/>
      <c r="CV227" s="840"/>
      <c r="CW227" s="840"/>
      <c r="CX227" s="840"/>
      <c r="CY227" s="840"/>
      <c r="CZ227" s="841"/>
      <c r="DA227" s="839"/>
      <c r="DB227" s="840"/>
      <c r="DC227" s="840"/>
      <c r="DD227" s="840"/>
      <c r="DE227" s="840"/>
      <c r="DF227" s="840"/>
      <c r="DG227" s="840"/>
      <c r="DH227" s="840"/>
      <c r="DI227" s="840"/>
      <c r="DJ227" s="840"/>
      <c r="DK227" s="840"/>
      <c r="DL227" s="840"/>
      <c r="DM227" s="840"/>
      <c r="DN227" s="840"/>
      <c r="DO227" s="840"/>
      <c r="DP227" s="840"/>
      <c r="DQ227" s="840"/>
      <c r="DR227" s="840"/>
      <c r="DS227" s="840"/>
      <c r="DT227" s="840"/>
      <c r="DU227" s="840"/>
      <c r="DV227" s="840"/>
      <c r="DW227" s="840"/>
      <c r="DX227" s="840"/>
      <c r="DY227" s="840"/>
      <c r="DZ227" s="841"/>
      <c r="EA227" s="839"/>
      <c r="EB227" s="840"/>
      <c r="EC227" s="840"/>
      <c r="ED227" s="840"/>
      <c r="EE227" s="840"/>
      <c r="EF227" s="840"/>
      <c r="EG227" s="840"/>
      <c r="EH227" s="840"/>
      <c r="EI227" s="840"/>
      <c r="EJ227" s="840"/>
      <c r="EK227" s="840"/>
      <c r="EL227" s="840"/>
      <c r="EM227" s="840"/>
      <c r="EN227" s="840"/>
      <c r="EO227" s="840"/>
      <c r="EP227" s="840"/>
      <c r="EQ227" s="840"/>
      <c r="ER227" s="840"/>
      <c r="ES227" s="840"/>
      <c r="ET227" s="840"/>
      <c r="EU227" s="840"/>
      <c r="EV227" s="840"/>
      <c r="EW227" s="840"/>
      <c r="EX227" s="840"/>
      <c r="EY227" s="840"/>
      <c r="EZ227" s="841"/>
      <c r="FA227" s="839"/>
      <c r="FB227" s="840"/>
      <c r="FC227" s="840"/>
      <c r="FD227" s="840"/>
      <c r="FE227" s="840"/>
      <c r="FF227" s="840"/>
      <c r="FG227" s="840"/>
      <c r="FH227" s="840"/>
      <c r="FI227" s="840"/>
      <c r="FJ227" s="840"/>
      <c r="FK227" s="840"/>
      <c r="FL227" s="840"/>
      <c r="FM227" s="840"/>
      <c r="FN227" s="840"/>
      <c r="FO227" s="840"/>
      <c r="FP227" s="840"/>
      <c r="FQ227" s="840"/>
      <c r="FR227" s="840"/>
      <c r="FS227" s="840"/>
      <c r="FT227" s="840"/>
      <c r="FU227" s="840"/>
      <c r="FV227" s="840"/>
      <c r="FW227" s="840"/>
      <c r="FX227" s="840"/>
      <c r="FY227" s="840"/>
      <c r="FZ227" s="841"/>
      <c r="GA227" s="839"/>
      <c r="GB227" s="840"/>
      <c r="GC227" s="840"/>
      <c r="GD227" s="840"/>
      <c r="GE227" s="840"/>
      <c r="GF227" s="840"/>
      <c r="GG227" s="840"/>
      <c r="GH227" s="840"/>
      <c r="GI227" s="840"/>
      <c r="GJ227" s="840"/>
      <c r="GK227" s="840"/>
      <c r="GL227" s="840"/>
      <c r="GM227" s="840"/>
      <c r="GN227" s="840"/>
      <c r="GO227" s="840"/>
      <c r="GP227" s="840"/>
      <c r="GQ227" s="840"/>
      <c r="GR227" s="840"/>
      <c r="GS227" s="840"/>
      <c r="GT227" s="840"/>
      <c r="GU227" s="840"/>
      <c r="GV227" s="840"/>
      <c r="GW227" s="840"/>
      <c r="GX227" s="840"/>
      <c r="GY227" s="840"/>
      <c r="GZ227" s="841"/>
      <c r="HA227" s="839"/>
      <c r="HB227" s="840"/>
      <c r="HC227" s="840"/>
      <c r="HD227" s="840"/>
      <c r="HE227" s="840"/>
      <c r="HF227" s="840"/>
      <c r="HG227" s="840"/>
      <c r="HH227" s="840"/>
      <c r="HI227" s="840"/>
      <c r="HJ227" s="840"/>
      <c r="HK227" s="840"/>
      <c r="HL227" s="840"/>
      <c r="HM227" s="840"/>
      <c r="HN227" s="840"/>
      <c r="HO227" s="840"/>
      <c r="HP227" s="840"/>
      <c r="HQ227" s="840"/>
      <c r="HR227" s="840"/>
      <c r="HS227" s="840"/>
      <c r="HT227" s="840"/>
      <c r="HU227" s="840"/>
      <c r="HV227" s="840"/>
      <c r="HW227" s="840"/>
      <c r="HX227" s="840"/>
      <c r="HY227" s="840"/>
      <c r="HZ227" s="841"/>
      <c r="IA227" s="839"/>
      <c r="IB227" s="840"/>
      <c r="IC227" s="840"/>
      <c r="ID227" s="840"/>
      <c r="IE227" s="840"/>
      <c r="IF227" s="840"/>
      <c r="IG227" s="840"/>
      <c r="IH227" s="840"/>
      <c r="II227" s="840"/>
      <c r="IJ227" s="840"/>
      <c r="IK227" s="840"/>
      <c r="IL227" s="840"/>
      <c r="IM227" s="840"/>
      <c r="IN227" s="840"/>
      <c r="IO227" s="840"/>
      <c r="IP227" s="840"/>
      <c r="IQ227" s="840"/>
      <c r="IR227" s="840"/>
      <c r="IS227" s="840"/>
      <c r="IT227" s="840"/>
      <c r="IU227" s="840"/>
      <c r="IV227" s="840"/>
      <c r="IW227" s="840"/>
      <c r="IX227" s="840"/>
      <c r="IY227" s="840"/>
      <c r="IZ227" s="841"/>
    </row>
    <row r="228" spans="1:260" x14ac:dyDescent="0.25">
      <c r="A228" s="836" t="str">
        <f>IFERROR(IF(Z209&gt;A209-1,IF(INDEX(Pedidos!J:AZ,Y209+A209-1,37)&lt;&gt;"","Otras Instrucciones Especiales :     "&amp; INDEX(Pedidos!J:AZ,Y209+A209-1,37),""),""),"")</f>
        <v/>
      </c>
      <c r="B228" s="837"/>
      <c r="C228" s="837"/>
      <c r="D228" s="837"/>
      <c r="E228" s="837"/>
      <c r="F228" s="837"/>
      <c r="G228" s="837"/>
      <c r="H228" s="837"/>
      <c r="I228" s="837"/>
      <c r="J228" s="837"/>
      <c r="K228" s="837"/>
      <c r="L228" s="837"/>
      <c r="M228" s="837"/>
      <c r="N228" s="837"/>
      <c r="O228" s="837"/>
      <c r="P228" s="837"/>
      <c r="Q228" s="837"/>
      <c r="R228" s="837"/>
      <c r="S228" s="837"/>
      <c r="T228" s="837"/>
      <c r="U228" s="837"/>
      <c r="V228" s="837"/>
      <c r="W228" s="837"/>
      <c r="X228" s="837"/>
      <c r="Y228" s="837"/>
      <c r="Z228" s="838"/>
      <c r="AA228" s="836" t="str">
        <f>IFERROR(IF(AZ209&gt;AA209-1,IF(INDEX(Pedidos!AJ:BZ,AY209+AA209-1,37)&lt;&gt;"","Otras Instrucciones Especiales :     "&amp; INDEX(Pedidos!AJ:BZ,AY209+AA209-1,37),""),""),"")</f>
        <v/>
      </c>
      <c r="AB228" s="837"/>
      <c r="AC228" s="837"/>
      <c r="AD228" s="837"/>
      <c r="AE228" s="837"/>
      <c r="AF228" s="837"/>
      <c r="AG228" s="837"/>
      <c r="AH228" s="837"/>
      <c r="AI228" s="837"/>
      <c r="AJ228" s="837"/>
      <c r="AK228" s="837"/>
      <c r="AL228" s="837"/>
      <c r="AM228" s="837"/>
      <c r="AN228" s="837"/>
      <c r="AO228" s="837"/>
      <c r="AP228" s="837"/>
      <c r="AQ228" s="837"/>
      <c r="AR228" s="837"/>
      <c r="AS228" s="837"/>
      <c r="AT228" s="837"/>
      <c r="AU228" s="837"/>
      <c r="AV228" s="837"/>
      <c r="AW228" s="837"/>
      <c r="AX228" s="837"/>
      <c r="AY228" s="837"/>
      <c r="AZ228" s="838"/>
      <c r="BA228" s="836" t="str">
        <f>IFERROR(IF(BZ209&gt;BA209-1,IF(INDEX(Pedidos!BJ:CZ,BY209+BA209-1,37)&lt;&gt;"","Otras Instrucciones Especiales :     "&amp; INDEX(Pedidos!BJ:CZ,BY209+BA209-1,37),""),""),"")</f>
        <v/>
      </c>
      <c r="BB228" s="837"/>
      <c r="BC228" s="837"/>
      <c r="BD228" s="837"/>
      <c r="BE228" s="837"/>
      <c r="BF228" s="837"/>
      <c r="BG228" s="837"/>
      <c r="BH228" s="837"/>
      <c r="BI228" s="837"/>
      <c r="BJ228" s="837"/>
      <c r="BK228" s="837"/>
      <c r="BL228" s="837"/>
      <c r="BM228" s="837"/>
      <c r="BN228" s="837"/>
      <c r="BO228" s="837"/>
      <c r="BP228" s="837"/>
      <c r="BQ228" s="837"/>
      <c r="BR228" s="837"/>
      <c r="BS228" s="837"/>
      <c r="BT228" s="837"/>
      <c r="BU228" s="837"/>
      <c r="BV228" s="837"/>
      <c r="BW228" s="837"/>
      <c r="BX228" s="837"/>
      <c r="BY228" s="837"/>
      <c r="BZ228" s="838"/>
      <c r="CA228" s="836" t="str">
        <f>IFERROR(IF(CZ209&gt;CA209-1,IF(INDEX(Pedidos!CJ:DZ,CY209+CA209-1,37)&lt;&gt;"","Otras Instrucciones Especiales :     "&amp; INDEX(Pedidos!CJ:DZ,CY209+CA209-1,37),""),""),"")</f>
        <v/>
      </c>
      <c r="CB228" s="837"/>
      <c r="CC228" s="837"/>
      <c r="CD228" s="837"/>
      <c r="CE228" s="837"/>
      <c r="CF228" s="837"/>
      <c r="CG228" s="837"/>
      <c r="CH228" s="837"/>
      <c r="CI228" s="837"/>
      <c r="CJ228" s="837"/>
      <c r="CK228" s="837"/>
      <c r="CL228" s="837"/>
      <c r="CM228" s="837"/>
      <c r="CN228" s="837"/>
      <c r="CO228" s="837"/>
      <c r="CP228" s="837"/>
      <c r="CQ228" s="837"/>
      <c r="CR228" s="837"/>
      <c r="CS228" s="837"/>
      <c r="CT228" s="837"/>
      <c r="CU228" s="837"/>
      <c r="CV228" s="837"/>
      <c r="CW228" s="837"/>
      <c r="CX228" s="837"/>
      <c r="CY228" s="837"/>
      <c r="CZ228" s="838"/>
      <c r="DA228" s="836" t="str">
        <f>IFERROR(IF(DZ209&gt;DA209-1,IF(INDEX(Pedidos!DJ:EZ,DY209+DA209-1,37)&lt;&gt;"","Otras Instrucciones Especiales :     "&amp; INDEX(Pedidos!DJ:EZ,DY209+DA209-1,37),""),""),"")</f>
        <v/>
      </c>
      <c r="DB228" s="837"/>
      <c r="DC228" s="837"/>
      <c r="DD228" s="837"/>
      <c r="DE228" s="837"/>
      <c r="DF228" s="837"/>
      <c r="DG228" s="837"/>
      <c r="DH228" s="837"/>
      <c r="DI228" s="837"/>
      <c r="DJ228" s="837"/>
      <c r="DK228" s="837"/>
      <c r="DL228" s="837"/>
      <c r="DM228" s="837"/>
      <c r="DN228" s="837"/>
      <c r="DO228" s="837"/>
      <c r="DP228" s="837"/>
      <c r="DQ228" s="837"/>
      <c r="DR228" s="837"/>
      <c r="DS228" s="837"/>
      <c r="DT228" s="837"/>
      <c r="DU228" s="837"/>
      <c r="DV228" s="837"/>
      <c r="DW228" s="837"/>
      <c r="DX228" s="837"/>
      <c r="DY228" s="837"/>
      <c r="DZ228" s="838"/>
      <c r="EA228" s="836" t="str">
        <f>IFERROR(IF(EZ209&gt;EA209-1,IF(INDEX(Pedidos!EJ:FZ,EY209+EA209-1,37)&lt;&gt;"","Otras Instrucciones Especiales :     "&amp; INDEX(Pedidos!EJ:FZ,EY209+EA209-1,37),""),""),"")</f>
        <v/>
      </c>
      <c r="EB228" s="837"/>
      <c r="EC228" s="837"/>
      <c r="ED228" s="837"/>
      <c r="EE228" s="837"/>
      <c r="EF228" s="837"/>
      <c r="EG228" s="837"/>
      <c r="EH228" s="837"/>
      <c r="EI228" s="837"/>
      <c r="EJ228" s="837"/>
      <c r="EK228" s="837"/>
      <c r="EL228" s="837"/>
      <c r="EM228" s="837"/>
      <c r="EN228" s="837"/>
      <c r="EO228" s="837"/>
      <c r="EP228" s="837"/>
      <c r="EQ228" s="837"/>
      <c r="ER228" s="837"/>
      <c r="ES228" s="837"/>
      <c r="ET228" s="837"/>
      <c r="EU228" s="837"/>
      <c r="EV228" s="837"/>
      <c r="EW228" s="837"/>
      <c r="EX228" s="837"/>
      <c r="EY228" s="837"/>
      <c r="EZ228" s="838"/>
      <c r="FA228" s="836" t="str">
        <f>IFERROR(IF(FZ209&gt;FA209-1,IF(INDEX(Pedidos!FJ:GZ,FY209+FA209-1,37)&lt;&gt;"","Otras Instrucciones Especiales :     "&amp; INDEX(Pedidos!FJ:GZ,FY209+FA209-1,37),""),""),"")</f>
        <v/>
      </c>
      <c r="FB228" s="837"/>
      <c r="FC228" s="837"/>
      <c r="FD228" s="837"/>
      <c r="FE228" s="837"/>
      <c r="FF228" s="837"/>
      <c r="FG228" s="837"/>
      <c r="FH228" s="837"/>
      <c r="FI228" s="837"/>
      <c r="FJ228" s="837"/>
      <c r="FK228" s="837"/>
      <c r="FL228" s="837"/>
      <c r="FM228" s="837"/>
      <c r="FN228" s="837"/>
      <c r="FO228" s="837"/>
      <c r="FP228" s="837"/>
      <c r="FQ228" s="837"/>
      <c r="FR228" s="837"/>
      <c r="FS228" s="837"/>
      <c r="FT228" s="837"/>
      <c r="FU228" s="837"/>
      <c r="FV228" s="837"/>
      <c r="FW228" s="837"/>
      <c r="FX228" s="837"/>
      <c r="FY228" s="837"/>
      <c r="FZ228" s="838"/>
      <c r="GA228" s="836" t="str">
        <f>IFERROR(IF(GZ209&gt;GA209-1,IF(INDEX(Pedidos!GJ:HZ,GY209+GA209-1,37)&lt;&gt;"","Otras Instrucciones Especiales :     "&amp; INDEX(Pedidos!GJ:HZ,GY209+GA209-1,37),""),""),"")</f>
        <v/>
      </c>
      <c r="GB228" s="837"/>
      <c r="GC228" s="837"/>
      <c r="GD228" s="837"/>
      <c r="GE228" s="837"/>
      <c r="GF228" s="837"/>
      <c r="GG228" s="837"/>
      <c r="GH228" s="837"/>
      <c r="GI228" s="837"/>
      <c r="GJ228" s="837"/>
      <c r="GK228" s="837"/>
      <c r="GL228" s="837"/>
      <c r="GM228" s="837"/>
      <c r="GN228" s="837"/>
      <c r="GO228" s="837"/>
      <c r="GP228" s="837"/>
      <c r="GQ228" s="837"/>
      <c r="GR228" s="837"/>
      <c r="GS228" s="837"/>
      <c r="GT228" s="837"/>
      <c r="GU228" s="837"/>
      <c r="GV228" s="837"/>
      <c r="GW228" s="837"/>
      <c r="GX228" s="837"/>
      <c r="GY228" s="837"/>
      <c r="GZ228" s="838"/>
      <c r="HA228" s="836" t="str">
        <f>IFERROR(IF(HZ209&gt;HA209-1,IF(INDEX(Pedidos!HJ:IZ,HY209+HA209-1,37)&lt;&gt;"","Otras Instrucciones Especiales :     "&amp; INDEX(Pedidos!HJ:IZ,HY209+HA209-1,37),""),""),"")</f>
        <v/>
      </c>
      <c r="HB228" s="837"/>
      <c r="HC228" s="837"/>
      <c r="HD228" s="837"/>
      <c r="HE228" s="837"/>
      <c r="HF228" s="837"/>
      <c r="HG228" s="837"/>
      <c r="HH228" s="837"/>
      <c r="HI228" s="837"/>
      <c r="HJ228" s="837"/>
      <c r="HK228" s="837"/>
      <c r="HL228" s="837"/>
      <c r="HM228" s="837"/>
      <c r="HN228" s="837"/>
      <c r="HO228" s="837"/>
      <c r="HP228" s="837"/>
      <c r="HQ228" s="837"/>
      <c r="HR228" s="837"/>
      <c r="HS228" s="837"/>
      <c r="HT228" s="837"/>
      <c r="HU228" s="837"/>
      <c r="HV228" s="837"/>
      <c r="HW228" s="837"/>
      <c r="HX228" s="837"/>
      <c r="HY228" s="837"/>
      <c r="HZ228" s="838"/>
      <c r="IA228" s="836" t="str">
        <f>IFERROR(IF(IZ209&gt;IA209-1,IF(INDEX(Pedidos!IJ:JZ,IY209+IA209-1,37)&lt;&gt;"","Otras Instrucciones Especiales :     "&amp; INDEX(Pedidos!IJ:JZ,IY209+IA209-1,37),""),""),"")</f>
        <v/>
      </c>
      <c r="IB228" s="837"/>
      <c r="IC228" s="837"/>
      <c r="ID228" s="837"/>
      <c r="IE228" s="837"/>
      <c r="IF228" s="837"/>
      <c r="IG228" s="837"/>
      <c r="IH228" s="837"/>
      <c r="II228" s="837"/>
      <c r="IJ228" s="837"/>
      <c r="IK228" s="837"/>
      <c r="IL228" s="837"/>
      <c r="IM228" s="837"/>
      <c r="IN228" s="837"/>
      <c r="IO228" s="837"/>
      <c r="IP228" s="837"/>
      <c r="IQ228" s="837"/>
      <c r="IR228" s="837"/>
      <c r="IS228" s="837"/>
      <c r="IT228" s="837"/>
      <c r="IU228" s="837"/>
      <c r="IV228" s="837"/>
      <c r="IW228" s="837"/>
      <c r="IX228" s="837"/>
      <c r="IY228" s="837"/>
      <c r="IZ228" s="838"/>
    </row>
    <row r="229" spans="1:260" ht="15.75" thickBot="1" x14ac:dyDescent="0.3">
      <c r="A229" s="839"/>
      <c r="B229" s="840"/>
      <c r="C229" s="840"/>
      <c r="D229" s="840"/>
      <c r="E229" s="840"/>
      <c r="F229" s="840"/>
      <c r="G229" s="840"/>
      <c r="H229" s="840"/>
      <c r="I229" s="840"/>
      <c r="J229" s="840"/>
      <c r="K229" s="840"/>
      <c r="L229" s="840"/>
      <c r="M229" s="840"/>
      <c r="N229" s="840"/>
      <c r="O229" s="840"/>
      <c r="P229" s="840"/>
      <c r="Q229" s="840"/>
      <c r="R229" s="840"/>
      <c r="S229" s="840"/>
      <c r="T229" s="840"/>
      <c r="U229" s="840"/>
      <c r="V229" s="840"/>
      <c r="W229" s="840"/>
      <c r="X229" s="840"/>
      <c r="Y229" s="840"/>
      <c r="Z229" s="841"/>
      <c r="AA229" s="839"/>
      <c r="AB229" s="840"/>
      <c r="AC229" s="840"/>
      <c r="AD229" s="840"/>
      <c r="AE229" s="840"/>
      <c r="AF229" s="840"/>
      <c r="AG229" s="840"/>
      <c r="AH229" s="840"/>
      <c r="AI229" s="840"/>
      <c r="AJ229" s="840"/>
      <c r="AK229" s="840"/>
      <c r="AL229" s="840"/>
      <c r="AM229" s="840"/>
      <c r="AN229" s="840"/>
      <c r="AO229" s="840"/>
      <c r="AP229" s="840"/>
      <c r="AQ229" s="840"/>
      <c r="AR229" s="840"/>
      <c r="AS229" s="840"/>
      <c r="AT229" s="840"/>
      <c r="AU229" s="840"/>
      <c r="AV229" s="840"/>
      <c r="AW229" s="840"/>
      <c r="AX229" s="840"/>
      <c r="AY229" s="840"/>
      <c r="AZ229" s="841"/>
      <c r="BA229" s="839"/>
      <c r="BB229" s="840"/>
      <c r="BC229" s="840"/>
      <c r="BD229" s="840"/>
      <c r="BE229" s="840"/>
      <c r="BF229" s="840"/>
      <c r="BG229" s="840"/>
      <c r="BH229" s="840"/>
      <c r="BI229" s="840"/>
      <c r="BJ229" s="840"/>
      <c r="BK229" s="840"/>
      <c r="BL229" s="840"/>
      <c r="BM229" s="840"/>
      <c r="BN229" s="840"/>
      <c r="BO229" s="840"/>
      <c r="BP229" s="840"/>
      <c r="BQ229" s="840"/>
      <c r="BR229" s="840"/>
      <c r="BS229" s="840"/>
      <c r="BT229" s="840"/>
      <c r="BU229" s="840"/>
      <c r="BV229" s="840"/>
      <c r="BW229" s="840"/>
      <c r="BX229" s="840"/>
      <c r="BY229" s="840"/>
      <c r="BZ229" s="841"/>
      <c r="CA229" s="839"/>
      <c r="CB229" s="840"/>
      <c r="CC229" s="840"/>
      <c r="CD229" s="840"/>
      <c r="CE229" s="840"/>
      <c r="CF229" s="840"/>
      <c r="CG229" s="840"/>
      <c r="CH229" s="840"/>
      <c r="CI229" s="840"/>
      <c r="CJ229" s="840"/>
      <c r="CK229" s="840"/>
      <c r="CL229" s="840"/>
      <c r="CM229" s="840"/>
      <c r="CN229" s="840"/>
      <c r="CO229" s="840"/>
      <c r="CP229" s="840"/>
      <c r="CQ229" s="840"/>
      <c r="CR229" s="840"/>
      <c r="CS229" s="840"/>
      <c r="CT229" s="840"/>
      <c r="CU229" s="840"/>
      <c r="CV229" s="840"/>
      <c r="CW229" s="840"/>
      <c r="CX229" s="840"/>
      <c r="CY229" s="840"/>
      <c r="CZ229" s="841"/>
      <c r="DA229" s="839"/>
      <c r="DB229" s="840"/>
      <c r="DC229" s="840"/>
      <c r="DD229" s="840"/>
      <c r="DE229" s="840"/>
      <c r="DF229" s="840"/>
      <c r="DG229" s="840"/>
      <c r="DH229" s="840"/>
      <c r="DI229" s="840"/>
      <c r="DJ229" s="840"/>
      <c r="DK229" s="840"/>
      <c r="DL229" s="840"/>
      <c r="DM229" s="840"/>
      <c r="DN229" s="840"/>
      <c r="DO229" s="840"/>
      <c r="DP229" s="840"/>
      <c r="DQ229" s="840"/>
      <c r="DR229" s="840"/>
      <c r="DS229" s="840"/>
      <c r="DT229" s="840"/>
      <c r="DU229" s="840"/>
      <c r="DV229" s="840"/>
      <c r="DW229" s="840"/>
      <c r="DX229" s="840"/>
      <c r="DY229" s="840"/>
      <c r="DZ229" s="841"/>
      <c r="EA229" s="839"/>
      <c r="EB229" s="840"/>
      <c r="EC229" s="840"/>
      <c r="ED229" s="840"/>
      <c r="EE229" s="840"/>
      <c r="EF229" s="840"/>
      <c r="EG229" s="840"/>
      <c r="EH229" s="840"/>
      <c r="EI229" s="840"/>
      <c r="EJ229" s="840"/>
      <c r="EK229" s="840"/>
      <c r="EL229" s="840"/>
      <c r="EM229" s="840"/>
      <c r="EN229" s="840"/>
      <c r="EO229" s="840"/>
      <c r="EP229" s="840"/>
      <c r="EQ229" s="840"/>
      <c r="ER229" s="840"/>
      <c r="ES229" s="840"/>
      <c r="ET229" s="840"/>
      <c r="EU229" s="840"/>
      <c r="EV229" s="840"/>
      <c r="EW229" s="840"/>
      <c r="EX229" s="840"/>
      <c r="EY229" s="840"/>
      <c r="EZ229" s="841"/>
      <c r="FA229" s="839"/>
      <c r="FB229" s="840"/>
      <c r="FC229" s="840"/>
      <c r="FD229" s="840"/>
      <c r="FE229" s="840"/>
      <c r="FF229" s="840"/>
      <c r="FG229" s="840"/>
      <c r="FH229" s="840"/>
      <c r="FI229" s="840"/>
      <c r="FJ229" s="840"/>
      <c r="FK229" s="840"/>
      <c r="FL229" s="840"/>
      <c r="FM229" s="840"/>
      <c r="FN229" s="840"/>
      <c r="FO229" s="840"/>
      <c r="FP229" s="840"/>
      <c r="FQ229" s="840"/>
      <c r="FR229" s="840"/>
      <c r="FS229" s="840"/>
      <c r="FT229" s="840"/>
      <c r="FU229" s="840"/>
      <c r="FV229" s="840"/>
      <c r="FW229" s="840"/>
      <c r="FX229" s="840"/>
      <c r="FY229" s="840"/>
      <c r="FZ229" s="841"/>
      <c r="GA229" s="839"/>
      <c r="GB229" s="840"/>
      <c r="GC229" s="840"/>
      <c r="GD229" s="840"/>
      <c r="GE229" s="840"/>
      <c r="GF229" s="840"/>
      <c r="GG229" s="840"/>
      <c r="GH229" s="840"/>
      <c r="GI229" s="840"/>
      <c r="GJ229" s="840"/>
      <c r="GK229" s="840"/>
      <c r="GL229" s="840"/>
      <c r="GM229" s="840"/>
      <c r="GN229" s="840"/>
      <c r="GO229" s="840"/>
      <c r="GP229" s="840"/>
      <c r="GQ229" s="840"/>
      <c r="GR229" s="840"/>
      <c r="GS229" s="840"/>
      <c r="GT229" s="840"/>
      <c r="GU229" s="840"/>
      <c r="GV229" s="840"/>
      <c r="GW229" s="840"/>
      <c r="GX229" s="840"/>
      <c r="GY229" s="840"/>
      <c r="GZ229" s="841"/>
      <c r="HA229" s="839"/>
      <c r="HB229" s="840"/>
      <c r="HC229" s="840"/>
      <c r="HD229" s="840"/>
      <c r="HE229" s="840"/>
      <c r="HF229" s="840"/>
      <c r="HG229" s="840"/>
      <c r="HH229" s="840"/>
      <c r="HI229" s="840"/>
      <c r="HJ229" s="840"/>
      <c r="HK229" s="840"/>
      <c r="HL229" s="840"/>
      <c r="HM229" s="840"/>
      <c r="HN229" s="840"/>
      <c r="HO229" s="840"/>
      <c r="HP229" s="840"/>
      <c r="HQ229" s="840"/>
      <c r="HR229" s="840"/>
      <c r="HS229" s="840"/>
      <c r="HT229" s="840"/>
      <c r="HU229" s="840"/>
      <c r="HV229" s="840"/>
      <c r="HW229" s="840"/>
      <c r="HX229" s="840"/>
      <c r="HY229" s="840"/>
      <c r="HZ229" s="841"/>
      <c r="IA229" s="839"/>
      <c r="IB229" s="840"/>
      <c r="IC229" s="840"/>
      <c r="ID229" s="840"/>
      <c r="IE229" s="840"/>
      <c r="IF229" s="840"/>
      <c r="IG229" s="840"/>
      <c r="IH229" s="840"/>
      <c r="II229" s="840"/>
      <c r="IJ229" s="840"/>
      <c r="IK229" s="840"/>
      <c r="IL229" s="840"/>
      <c r="IM229" s="840"/>
      <c r="IN229" s="840"/>
      <c r="IO229" s="840"/>
      <c r="IP229" s="840"/>
      <c r="IQ229" s="840"/>
      <c r="IR229" s="840"/>
      <c r="IS229" s="840"/>
      <c r="IT229" s="840"/>
      <c r="IU229" s="840"/>
      <c r="IV229" s="840"/>
      <c r="IW229" s="840"/>
      <c r="IX229" s="840"/>
      <c r="IY229" s="840"/>
      <c r="IZ229" s="841"/>
    </row>
    <row r="230" spans="1:260" x14ac:dyDescent="0.25">
      <c r="AA230" s="518"/>
      <c r="AB230" s="518"/>
      <c r="AC230" s="518"/>
      <c r="AD230" s="518"/>
      <c r="AE230" s="518"/>
      <c r="AF230" s="518"/>
      <c r="AG230" s="518"/>
      <c r="AH230" s="518"/>
      <c r="AI230" s="518"/>
      <c r="AJ230" s="518"/>
      <c r="AK230" s="518"/>
      <c r="AL230" s="518"/>
      <c r="AM230" s="518"/>
      <c r="AN230" s="518"/>
      <c r="AO230" s="518"/>
      <c r="AP230" s="518"/>
      <c r="AQ230" s="518"/>
      <c r="AR230" s="518"/>
      <c r="AS230" s="518"/>
      <c r="AT230" s="518"/>
      <c r="AU230" s="518"/>
      <c r="AV230" s="518"/>
      <c r="AW230" s="518"/>
    </row>
    <row r="231" spans="1:260" ht="15.75" thickBot="1" x14ac:dyDescent="0.3">
      <c r="A231" s="529">
        <v>11</v>
      </c>
      <c r="B231" s="529"/>
      <c r="C231" s="529"/>
      <c r="D231" s="529"/>
      <c r="E231" s="529"/>
      <c r="F231" s="529"/>
      <c r="G231" s="529"/>
      <c r="H231" s="529"/>
      <c r="I231" s="529"/>
      <c r="J231" s="529">
        <v>18</v>
      </c>
      <c r="K231" s="529">
        <v>19</v>
      </c>
      <c r="L231" s="529">
        <v>20</v>
      </c>
      <c r="M231" s="529">
        <v>21</v>
      </c>
      <c r="N231" s="529">
        <v>22</v>
      </c>
      <c r="O231" s="529">
        <v>23</v>
      </c>
      <c r="P231" s="529">
        <v>24</v>
      </c>
      <c r="Q231" s="529">
        <v>25</v>
      </c>
      <c r="R231" s="529">
        <v>26</v>
      </c>
      <c r="S231" s="529">
        <v>27</v>
      </c>
      <c r="T231" s="529">
        <v>28</v>
      </c>
      <c r="U231" s="529">
        <v>29</v>
      </c>
      <c r="V231" s="529">
        <v>30</v>
      </c>
      <c r="W231" s="529"/>
      <c r="X231" s="529"/>
      <c r="Y231" s="529" t="str">
        <f>IFERROR(IF(COUNTIF(Pedidos!$J:$J,Q$2)&gt;A231-1,MATCH(Q$2,Pedidos!$J:$J,0),""),"")</f>
        <v/>
      </c>
      <c r="Z231" s="529">
        <f>IFERROR(IF(Y231="",0,COUNTIF(Pedidos!$J:$J,Procesos!Q$2)),"")</f>
        <v>0</v>
      </c>
      <c r="AA231" s="529">
        <v>11</v>
      </c>
      <c r="AB231" s="529"/>
      <c r="AC231" s="529"/>
      <c r="AD231" s="529"/>
      <c r="AE231" s="529"/>
      <c r="AF231" s="529"/>
      <c r="AG231" s="529"/>
      <c r="AH231" s="529"/>
      <c r="AI231" s="529"/>
      <c r="AJ231" s="529">
        <v>18</v>
      </c>
      <c r="AK231" s="529">
        <v>19</v>
      </c>
      <c r="AL231" s="529">
        <v>20</v>
      </c>
      <c r="AM231" s="529">
        <v>21</v>
      </c>
      <c r="AN231" s="529">
        <v>22</v>
      </c>
      <c r="AO231" s="529">
        <v>23</v>
      </c>
      <c r="AP231" s="529">
        <v>24</v>
      </c>
      <c r="AQ231" s="529">
        <v>25</v>
      </c>
      <c r="AR231" s="529">
        <v>26</v>
      </c>
      <c r="AS231" s="529">
        <v>27</v>
      </c>
      <c r="AT231" s="529">
        <v>28</v>
      </c>
      <c r="AU231" s="529">
        <v>29</v>
      </c>
      <c r="AV231" s="529">
        <v>30</v>
      </c>
      <c r="AW231" s="529"/>
      <c r="AX231" s="529"/>
      <c r="AY231" s="529" t="str">
        <f>IFERROR(IF(COUNTIF(Pedidos!$J:$J,AQ$2)&gt;AA231-1,MATCH(AQ$2,Pedidos!$J:$J,0),""),"")</f>
        <v/>
      </c>
      <c r="AZ231" s="529">
        <f>IFERROR(IF(AY231="",0,COUNTIF(Pedidos!$J:$J,Procesos!AQ$2)),"")</f>
        <v>0</v>
      </c>
      <c r="BA231" s="529">
        <v>11</v>
      </c>
      <c r="BB231" s="529"/>
      <c r="BC231" s="529"/>
      <c r="BD231" s="529"/>
      <c r="BE231" s="529"/>
      <c r="BF231" s="529"/>
      <c r="BG231" s="529"/>
      <c r="BH231" s="529"/>
      <c r="BI231" s="529"/>
      <c r="BJ231" s="529">
        <v>18</v>
      </c>
      <c r="BK231" s="529">
        <v>19</v>
      </c>
      <c r="BL231" s="529">
        <v>20</v>
      </c>
      <c r="BM231" s="529">
        <v>21</v>
      </c>
      <c r="BN231" s="529">
        <v>22</v>
      </c>
      <c r="BO231" s="529">
        <v>23</v>
      </c>
      <c r="BP231" s="529">
        <v>24</v>
      </c>
      <c r="BQ231" s="529">
        <v>25</v>
      </c>
      <c r="BR231" s="529">
        <v>26</v>
      </c>
      <c r="BS231" s="529">
        <v>27</v>
      </c>
      <c r="BT231" s="529">
        <v>28</v>
      </c>
      <c r="BU231" s="529">
        <v>29</v>
      </c>
      <c r="BV231" s="529">
        <v>30</v>
      </c>
      <c r="BW231" s="529"/>
      <c r="BX231" s="529"/>
      <c r="BY231" s="529" t="str">
        <f>IFERROR(IF(COUNTIF(Pedidos!$J:$J,BQ$2)&gt;BA231-1,MATCH(BQ$2,Pedidos!$J:$J,0),""),"")</f>
        <v/>
      </c>
      <c r="BZ231" s="529">
        <f>IFERROR(IF(BY231="",0,COUNTIF(Pedidos!$J:$J,Procesos!BQ$2)),"")</f>
        <v>0</v>
      </c>
      <c r="CA231" s="529">
        <v>11</v>
      </c>
      <c r="CB231" s="529"/>
      <c r="CC231" s="529"/>
      <c r="CD231" s="529"/>
      <c r="CE231" s="529"/>
      <c r="CF231" s="529"/>
      <c r="CG231" s="529"/>
      <c r="CH231" s="529"/>
      <c r="CI231" s="529"/>
      <c r="CJ231" s="529">
        <v>18</v>
      </c>
      <c r="CK231" s="529">
        <v>19</v>
      </c>
      <c r="CL231" s="529">
        <v>20</v>
      </c>
      <c r="CM231" s="529">
        <v>21</v>
      </c>
      <c r="CN231" s="529">
        <v>22</v>
      </c>
      <c r="CO231" s="529">
        <v>23</v>
      </c>
      <c r="CP231" s="529">
        <v>24</v>
      </c>
      <c r="CQ231" s="529">
        <v>25</v>
      </c>
      <c r="CR231" s="529">
        <v>26</v>
      </c>
      <c r="CS231" s="529">
        <v>27</v>
      </c>
      <c r="CT231" s="529">
        <v>28</v>
      </c>
      <c r="CU231" s="529">
        <v>29</v>
      </c>
      <c r="CV231" s="529">
        <v>30</v>
      </c>
      <c r="CW231" s="529"/>
      <c r="CX231" s="529"/>
      <c r="CY231" s="529" t="str">
        <f>IFERROR(IF(COUNTIF(Pedidos!$J:$J,CQ$2)&gt;CA231-1,MATCH(CQ$2,Pedidos!$J:$J,0),""),"")</f>
        <v/>
      </c>
      <c r="CZ231" s="529">
        <f>IFERROR(IF(CY231="",0,COUNTIF(Pedidos!$J:$J,Procesos!CQ$2)),"")</f>
        <v>0</v>
      </c>
      <c r="DA231" s="529">
        <v>11</v>
      </c>
      <c r="DB231" s="529"/>
      <c r="DC231" s="529"/>
      <c r="DD231" s="529"/>
      <c r="DE231" s="529"/>
      <c r="DF231" s="529"/>
      <c r="DG231" s="529"/>
      <c r="DH231" s="529"/>
      <c r="DI231" s="529"/>
      <c r="DJ231" s="529">
        <v>18</v>
      </c>
      <c r="DK231" s="529">
        <v>19</v>
      </c>
      <c r="DL231" s="529">
        <v>20</v>
      </c>
      <c r="DM231" s="529">
        <v>21</v>
      </c>
      <c r="DN231" s="529">
        <v>22</v>
      </c>
      <c r="DO231" s="529">
        <v>23</v>
      </c>
      <c r="DP231" s="529">
        <v>24</v>
      </c>
      <c r="DQ231" s="529">
        <v>25</v>
      </c>
      <c r="DR231" s="529">
        <v>26</v>
      </c>
      <c r="DS231" s="529">
        <v>27</v>
      </c>
      <c r="DT231" s="529">
        <v>28</v>
      </c>
      <c r="DU231" s="529">
        <v>29</v>
      </c>
      <c r="DV231" s="529">
        <v>30</v>
      </c>
      <c r="DW231" s="529"/>
      <c r="DX231" s="529"/>
      <c r="DY231" s="529" t="str">
        <f>IFERROR(IF(COUNTIF(Pedidos!$J:$J,DQ$2)&gt;DA231-1,MATCH(DQ$2,Pedidos!$J:$J,0),""),"")</f>
        <v/>
      </c>
      <c r="DZ231" s="529">
        <f>IFERROR(IF(DY231="",0,COUNTIF(Pedidos!$J:$J,Procesos!DQ$2)),"")</f>
        <v>0</v>
      </c>
      <c r="EA231" s="529">
        <v>11</v>
      </c>
      <c r="EB231" s="529"/>
      <c r="EC231" s="529"/>
      <c r="ED231" s="529"/>
      <c r="EE231" s="529"/>
      <c r="EF231" s="529"/>
      <c r="EG231" s="529"/>
      <c r="EH231" s="529"/>
      <c r="EI231" s="529"/>
      <c r="EJ231" s="529">
        <v>18</v>
      </c>
      <c r="EK231" s="529">
        <v>19</v>
      </c>
      <c r="EL231" s="529">
        <v>20</v>
      </c>
      <c r="EM231" s="529">
        <v>21</v>
      </c>
      <c r="EN231" s="529">
        <v>22</v>
      </c>
      <c r="EO231" s="529">
        <v>23</v>
      </c>
      <c r="EP231" s="529">
        <v>24</v>
      </c>
      <c r="EQ231" s="529">
        <v>25</v>
      </c>
      <c r="ER231" s="529">
        <v>26</v>
      </c>
      <c r="ES231" s="529">
        <v>27</v>
      </c>
      <c r="ET231" s="529">
        <v>28</v>
      </c>
      <c r="EU231" s="529">
        <v>29</v>
      </c>
      <c r="EV231" s="529">
        <v>30</v>
      </c>
      <c r="EW231" s="529"/>
      <c r="EX231" s="529"/>
      <c r="EY231" s="529" t="str">
        <f>IFERROR(IF(COUNTIF(Pedidos!$J:$J,EQ$2)&gt;EA231-1,MATCH(EQ$2,Pedidos!$J:$J,0),""),"")</f>
        <v/>
      </c>
      <c r="EZ231" s="529">
        <f>IFERROR(IF(EY231="",0,COUNTIF(Pedidos!$J:$J,Procesos!EQ$2)),"")</f>
        <v>0</v>
      </c>
      <c r="FA231" s="529">
        <v>11</v>
      </c>
      <c r="FB231" s="529"/>
      <c r="FC231" s="529"/>
      <c r="FD231" s="529"/>
      <c r="FE231" s="529"/>
      <c r="FF231" s="529"/>
      <c r="FG231" s="529"/>
      <c r="FH231" s="529"/>
      <c r="FI231" s="529"/>
      <c r="FJ231" s="529">
        <v>18</v>
      </c>
      <c r="FK231" s="529">
        <v>19</v>
      </c>
      <c r="FL231" s="529">
        <v>20</v>
      </c>
      <c r="FM231" s="529">
        <v>21</v>
      </c>
      <c r="FN231" s="529">
        <v>22</v>
      </c>
      <c r="FO231" s="529">
        <v>23</v>
      </c>
      <c r="FP231" s="529">
        <v>24</v>
      </c>
      <c r="FQ231" s="529">
        <v>25</v>
      </c>
      <c r="FR231" s="529">
        <v>26</v>
      </c>
      <c r="FS231" s="529">
        <v>27</v>
      </c>
      <c r="FT231" s="529">
        <v>28</v>
      </c>
      <c r="FU231" s="529">
        <v>29</v>
      </c>
      <c r="FV231" s="529">
        <v>30</v>
      </c>
      <c r="FW231" s="529"/>
      <c r="FX231" s="529"/>
      <c r="FY231" s="529" t="str">
        <f>IFERROR(IF(COUNTIF(Pedidos!$J:$J,FQ$2)&gt;FA231-1,MATCH(FQ$2,Pedidos!$J:$J,0),""),"")</f>
        <v/>
      </c>
      <c r="FZ231" s="529">
        <f>IFERROR(IF(FY231="",0,COUNTIF(Pedidos!$J:$J,Procesos!FQ$2)),"")</f>
        <v>0</v>
      </c>
      <c r="GA231" s="529">
        <v>11</v>
      </c>
      <c r="GB231" s="529"/>
      <c r="GC231" s="529"/>
      <c r="GD231" s="529"/>
      <c r="GE231" s="529"/>
      <c r="GF231" s="529"/>
      <c r="GG231" s="529"/>
      <c r="GH231" s="529"/>
      <c r="GI231" s="529"/>
      <c r="GJ231" s="529">
        <v>18</v>
      </c>
      <c r="GK231" s="529">
        <v>19</v>
      </c>
      <c r="GL231" s="529">
        <v>20</v>
      </c>
      <c r="GM231" s="529">
        <v>21</v>
      </c>
      <c r="GN231" s="529">
        <v>22</v>
      </c>
      <c r="GO231" s="529">
        <v>23</v>
      </c>
      <c r="GP231" s="529">
        <v>24</v>
      </c>
      <c r="GQ231" s="529">
        <v>25</v>
      </c>
      <c r="GR231" s="529">
        <v>26</v>
      </c>
      <c r="GS231" s="529">
        <v>27</v>
      </c>
      <c r="GT231" s="529">
        <v>28</v>
      </c>
      <c r="GU231" s="529">
        <v>29</v>
      </c>
      <c r="GV231" s="529">
        <v>30</v>
      </c>
      <c r="GW231" s="529"/>
      <c r="GX231" s="529"/>
      <c r="GY231" s="529" t="str">
        <f>IFERROR(IF(COUNTIF(Pedidos!$J:$J,GQ$2)&gt;GA231-1,MATCH(GQ$2,Pedidos!$J:$J,0),""),"")</f>
        <v/>
      </c>
      <c r="GZ231" s="529">
        <f>IFERROR(IF(GY231="",0,COUNTIF(Pedidos!$J:$J,Procesos!GQ$2)),"")</f>
        <v>0</v>
      </c>
      <c r="HA231" s="529">
        <v>11</v>
      </c>
      <c r="HB231" s="529"/>
      <c r="HC231" s="529"/>
      <c r="HD231" s="529"/>
      <c r="HE231" s="529"/>
      <c r="HF231" s="529"/>
      <c r="HG231" s="529"/>
      <c r="HH231" s="529"/>
      <c r="HI231" s="529"/>
      <c r="HJ231" s="529">
        <v>18</v>
      </c>
      <c r="HK231" s="529">
        <v>19</v>
      </c>
      <c r="HL231" s="529">
        <v>20</v>
      </c>
      <c r="HM231" s="529">
        <v>21</v>
      </c>
      <c r="HN231" s="529">
        <v>22</v>
      </c>
      <c r="HO231" s="529">
        <v>23</v>
      </c>
      <c r="HP231" s="529">
        <v>24</v>
      </c>
      <c r="HQ231" s="529">
        <v>25</v>
      </c>
      <c r="HR231" s="529">
        <v>26</v>
      </c>
      <c r="HS231" s="529">
        <v>27</v>
      </c>
      <c r="HT231" s="529">
        <v>28</v>
      </c>
      <c r="HU231" s="529">
        <v>29</v>
      </c>
      <c r="HV231" s="529">
        <v>30</v>
      </c>
      <c r="HW231" s="529"/>
      <c r="HX231" s="529"/>
      <c r="HY231" s="529" t="str">
        <f>IFERROR(IF(COUNTIF(Pedidos!$J:$J,HQ$2)&gt;HA231-1,MATCH(HQ$2,Pedidos!$J:$J,0),""),"")</f>
        <v/>
      </c>
      <c r="HZ231" s="529">
        <f>IFERROR(IF(HY231="",0,COUNTIF(Pedidos!$J:$J,Procesos!HQ$2)),"")</f>
        <v>0</v>
      </c>
      <c r="IA231" s="529">
        <v>11</v>
      </c>
      <c r="IB231" s="529"/>
      <c r="IC231" s="529"/>
      <c r="ID231" s="529"/>
      <c r="IE231" s="529"/>
      <c r="IF231" s="529"/>
      <c r="IG231" s="529"/>
      <c r="IH231" s="529"/>
      <c r="II231" s="529"/>
      <c r="IJ231" s="529">
        <v>18</v>
      </c>
      <c r="IK231" s="529">
        <v>19</v>
      </c>
      <c r="IL231" s="529">
        <v>20</v>
      </c>
      <c r="IM231" s="529">
        <v>21</v>
      </c>
      <c r="IN231" s="529">
        <v>22</v>
      </c>
      <c r="IO231" s="529">
        <v>23</v>
      </c>
      <c r="IP231" s="529">
        <v>24</v>
      </c>
      <c r="IQ231" s="529">
        <v>25</v>
      </c>
      <c r="IR231" s="529">
        <v>26</v>
      </c>
      <c r="IS231" s="529">
        <v>27</v>
      </c>
      <c r="IT231" s="529">
        <v>28</v>
      </c>
      <c r="IU231" s="529">
        <v>29</v>
      </c>
      <c r="IV231" s="529">
        <v>30</v>
      </c>
      <c r="IW231" s="529"/>
      <c r="IX231" s="529"/>
      <c r="IY231" s="529" t="str">
        <f>IFERROR(IF(COUNTIF(Pedidos!$J:$J,IQ$2)&gt;IA231-1,MATCH(IQ$2,Pedidos!$J:$J,0),""),"")</f>
        <v/>
      </c>
      <c r="IZ231" s="529">
        <f>IFERROR(IF(IY231="",0,COUNTIF(Pedidos!$J:$J,Procesos!IQ$2)),"")</f>
        <v>0</v>
      </c>
    </row>
    <row r="232" spans="1:260" x14ac:dyDescent="0.25">
      <c r="A232" s="815" t="str">
        <f>IF(Z231&gt;=A231,Q$2 &amp;"     ITEM # "&amp;A231,"")</f>
        <v/>
      </c>
      <c r="B232" s="816"/>
      <c r="C232" s="816"/>
      <c r="D232" s="816"/>
      <c r="E232" s="816"/>
      <c r="F232" s="816"/>
      <c r="G232" s="816"/>
      <c r="H232" s="816"/>
      <c r="I232" s="817"/>
      <c r="J232" s="818" t="str">
        <f>IF(Z231&gt;=A231,$J$6,"")</f>
        <v/>
      </c>
      <c r="K232" s="816"/>
      <c r="L232" s="816"/>
      <c r="M232" s="816"/>
      <c r="N232" s="816"/>
      <c r="O232" s="816"/>
      <c r="P232" s="816"/>
      <c r="Q232" s="816"/>
      <c r="R232" s="816"/>
      <c r="S232" s="816"/>
      <c r="T232" s="816"/>
      <c r="U232" s="816"/>
      <c r="V232" s="816"/>
      <c r="W232" s="816"/>
      <c r="X232" s="816"/>
      <c r="Y232" s="816"/>
      <c r="Z232" s="819"/>
      <c r="AA232" s="815" t="str">
        <f>IF(AZ231&gt;=AA231,AQ$2 &amp;"     ITEM # "&amp;AA231,"")</f>
        <v/>
      </c>
      <c r="AB232" s="816"/>
      <c r="AC232" s="816"/>
      <c r="AD232" s="816"/>
      <c r="AE232" s="816"/>
      <c r="AF232" s="816"/>
      <c r="AG232" s="816"/>
      <c r="AH232" s="816"/>
      <c r="AI232" s="817"/>
      <c r="AJ232" s="818" t="str">
        <f>IF(AZ231&gt;=AA231,$J$6,"")</f>
        <v/>
      </c>
      <c r="AK232" s="816"/>
      <c r="AL232" s="816"/>
      <c r="AM232" s="816"/>
      <c r="AN232" s="816"/>
      <c r="AO232" s="816"/>
      <c r="AP232" s="816"/>
      <c r="AQ232" s="816"/>
      <c r="AR232" s="816"/>
      <c r="AS232" s="816"/>
      <c r="AT232" s="816"/>
      <c r="AU232" s="816"/>
      <c r="AV232" s="816"/>
      <c r="AW232" s="816"/>
      <c r="AX232" s="816"/>
      <c r="AY232" s="816"/>
      <c r="AZ232" s="819"/>
      <c r="BA232" s="815" t="str">
        <f>IF(BZ231&gt;=BA231,BQ$2 &amp;"     ITEM # "&amp;BA231,"")</f>
        <v/>
      </c>
      <c r="BB232" s="816"/>
      <c r="BC232" s="816"/>
      <c r="BD232" s="816"/>
      <c r="BE232" s="816"/>
      <c r="BF232" s="816"/>
      <c r="BG232" s="816"/>
      <c r="BH232" s="816"/>
      <c r="BI232" s="817"/>
      <c r="BJ232" s="818" t="str">
        <f>IF(BZ231&gt;=BA231,$J$6,"")</f>
        <v/>
      </c>
      <c r="BK232" s="816"/>
      <c r="BL232" s="816"/>
      <c r="BM232" s="816"/>
      <c r="BN232" s="816"/>
      <c r="BO232" s="816"/>
      <c r="BP232" s="816"/>
      <c r="BQ232" s="816"/>
      <c r="BR232" s="816"/>
      <c r="BS232" s="816"/>
      <c r="BT232" s="816"/>
      <c r="BU232" s="816"/>
      <c r="BV232" s="816"/>
      <c r="BW232" s="816"/>
      <c r="BX232" s="816"/>
      <c r="BY232" s="816"/>
      <c r="BZ232" s="819"/>
      <c r="CA232" s="815" t="str">
        <f>IF(CZ231&gt;=CA231,CQ$2 &amp;"     ITEM # "&amp;CA231,"")</f>
        <v/>
      </c>
      <c r="CB232" s="816"/>
      <c r="CC232" s="816"/>
      <c r="CD232" s="816"/>
      <c r="CE232" s="816"/>
      <c r="CF232" s="816"/>
      <c r="CG232" s="816"/>
      <c r="CH232" s="816"/>
      <c r="CI232" s="817"/>
      <c r="CJ232" s="818" t="str">
        <f>IF(CZ231&gt;=CA231,$J$6,"")</f>
        <v/>
      </c>
      <c r="CK232" s="816"/>
      <c r="CL232" s="816"/>
      <c r="CM232" s="816"/>
      <c r="CN232" s="816"/>
      <c r="CO232" s="816"/>
      <c r="CP232" s="816"/>
      <c r="CQ232" s="816"/>
      <c r="CR232" s="816"/>
      <c r="CS232" s="816"/>
      <c r="CT232" s="816"/>
      <c r="CU232" s="816"/>
      <c r="CV232" s="816"/>
      <c r="CW232" s="816"/>
      <c r="CX232" s="816"/>
      <c r="CY232" s="816"/>
      <c r="CZ232" s="819"/>
      <c r="DA232" s="815" t="str">
        <f>IF(DZ231&gt;=DA231,DQ$2 &amp;"     ITEM # "&amp;DA231,"")</f>
        <v/>
      </c>
      <c r="DB232" s="816"/>
      <c r="DC232" s="816"/>
      <c r="DD232" s="816"/>
      <c r="DE232" s="816"/>
      <c r="DF232" s="816"/>
      <c r="DG232" s="816"/>
      <c r="DH232" s="816"/>
      <c r="DI232" s="817"/>
      <c r="DJ232" s="818" t="str">
        <f>IF(DZ231&gt;=DA231,$J$6,"")</f>
        <v/>
      </c>
      <c r="DK232" s="816"/>
      <c r="DL232" s="816"/>
      <c r="DM232" s="816"/>
      <c r="DN232" s="816"/>
      <c r="DO232" s="816"/>
      <c r="DP232" s="816"/>
      <c r="DQ232" s="816"/>
      <c r="DR232" s="816"/>
      <c r="DS232" s="816"/>
      <c r="DT232" s="816"/>
      <c r="DU232" s="816"/>
      <c r="DV232" s="816"/>
      <c r="DW232" s="816"/>
      <c r="DX232" s="816"/>
      <c r="DY232" s="816"/>
      <c r="DZ232" s="819"/>
      <c r="EA232" s="815" t="str">
        <f>IF(EZ231&gt;=EA231,EQ$2 &amp;"     ITEM # "&amp;EA231,"")</f>
        <v/>
      </c>
      <c r="EB232" s="816"/>
      <c r="EC232" s="816"/>
      <c r="ED232" s="816"/>
      <c r="EE232" s="816"/>
      <c r="EF232" s="816"/>
      <c r="EG232" s="816"/>
      <c r="EH232" s="816"/>
      <c r="EI232" s="817"/>
      <c r="EJ232" s="818" t="str">
        <f>IF(EZ231&gt;=EA231,$J$6,"")</f>
        <v/>
      </c>
      <c r="EK232" s="816"/>
      <c r="EL232" s="816"/>
      <c r="EM232" s="816"/>
      <c r="EN232" s="816"/>
      <c r="EO232" s="816"/>
      <c r="EP232" s="816"/>
      <c r="EQ232" s="816"/>
      <c r="ER232" s="816"/>
      <c r="ES232" s="816"/>
      <c r="ET232" s="816"/>
      <c r="EU232" s="816"/>
      <c r="EV232" s="816"/>
      <c r="EW232" s="816"/>
      <c r="EX232" s="816"/>
      <c r="EY232" s="816"/>
      <c r="EZ232" s="819"/>
      <c r="FA232" s="815" t="str">
        <f>IF(FZ231&gt;=FA231,FQ$2 &amp;"     ITEM # "&amp;FA231,"")</f>
        <v/>
      </c>
      <c r="FB232" s="816"/>
      <c r="FC232" s="816"/>
      <c r="FD232" s="816"/>
      <c r="FE232" s="816"/>
      <c r="FF232" s="816"/>
      <c r="FG232" s="816"/>
      <c r="FH232" s="816"/>
      <c r="FI232" s="817"/>
      <c r="FJ232" s="818" t="str">
        <f>IF(FZ231&gt;=FA231,$J$6,"")</f>
        <v/>
      </c>
      <c r="FK232" s="816"/>
      <c r="FL232" s="816"/>
      <c r="FM232" s="816"/>
      <c r="FN232" s="816"/>
      <c r="FO232" s="816"/>
      <c r="FP232" s="816"/>
      <c r="FQ232" s="816"/>
      <c r="FR232" s="816"/>
      <c r="FS232" s="816"/>
      <c r="FT232" s="816"/>
      <c r="FU232" s="816"/>
      <c r="FV232" s="816"/>
      <c r="FW232" s="816"/>
      <c r="FX232" s="816"/>
      <c r="FY232" s="816"/>
      <c r="FZ232" s="819"/>
      <c r="GA232" s="815" t="str">
        <f>IF(GZ231&gt;=GA231,GQ$2 &amp;"     ITEM # "&amp;GA231,"")</f>
        <v/>
      </c>
      <c r="GB232" s="816"/>
      <c r="GC232" s="816"/>
      <c r="GD232" s="816"/>
      <c r="GE232" s="816"/>
      <c r="GF232" s="816"/>
      <c r="GG232" s="816"/>
      <c r="GH232" s="816"/>
      <c r="GI232" s="817"/>
      <c r="GJ232" s="818" t="str">
        <f>IF(GZ231&gt;=GA231,$J$6,"")</f>
        <v/>
      </c>
      <c r="GK232" s="816"/>
      <c r="GL232" s="816"/>
      <c r="GM232" s="816"/>
      <c r="GN232" s="816"/>
      <c r="GO232" s="816"/>
      <c r="GP232" s="816"/>
      <c r="GQ232" s="816"/>
      <c r="GR232" s="816"/>
      <c r="GS232" s="816"/>
      <c r="GT232" s="816"/>
      <c r="GU232" s="816"/>
      <c r="GV232" s="816"/>
      <c r="GW232" s="816"/>
      <c r="GX232" s="816"/>
      <c r="GY232" s="816"/>
      <c r="GZ232" s="819"/>
      <c r="HA232" s="815" t="str">
        <f>IF(HZ231&gt;=HA231,HQ$2 &amp;"     ITEM # "&amp;HA231,"")</f>
        <v/>
      </c>
      <c r="HB232" s="816"/>
      <c r="HC232" s="816"/>
      <c r="HD232" s="816"/>
      <c r="HE232" s="816"/>
      <c r="HF232" s="816"/>
      <c r="HG232" s="816"/>
      <c r="HH232" s="816"/>
      <c r="HI232" s="817"/>
      <c r="HJ232" s="818" t="str">
        <f>IF(HZ231&gt;=HA231,$J$6,"")</f>
        <v/>
      </c>
      <c r="HK232" s="816"/>
      <c r="HL232" s="816"/>
      <c r="HM232" s="816"/>
      <c r="HN232" s="816"/>
      <c r="HO232" s="816"/>
      <c r="HP232" s="816"/>
      <c r="HQ232" s="816"/>
      <c r="HR232" s="816"/>
      <c r="HS232" s="816"/>
      <c r="HT232" s="816"/>
      <c r="HU232" s="816"/>
      <c r="HV232" s="816"/>
      <c r="HW232" s="816"/>
      <c r="HX232" s="816"/>
      <c r="HY232" s="816"/>
      <c r="HZ232" s="819"/>
      <c r="IA232" s="815" t="str">
        <f>IF(IZ231&gt;=IA231,IQ$2 &amp;"     ITEM # "&amp;IA231,"")</f>
        <v/>
      </c>
      <c r="IB232" s="816"/>
      <c r="IC232" s="816"/>
      <c r="ID232" s="816"/>
      <c r="IE232" s="816"/>
      <c r="IF232" s="816"/>
      <c r="IG232" s="816"/>
      <c r="IH232" s="816"/>
      <c r="II232" s="817"/>
      <c r="IJ232" s="818" t="str">
        <f>IF(IZ231&gt;=IA231,$J$6,"")</f>
        <v/>
      </c>
      <c r="IK232" s="816"/>
      <c r="IL232" s="816"/>
      <c r="IM232" s="816"/>
      <c r="IN232" s="816"/>
      <c r="IO232" s="816"/>
      <c r="IP232" s="816"/>
      <c r="IQ232" s="816"/>
      <c r="IR232" s="816"/>
      <c r="IS232" s="816"/>
      <c r="IT232" s="816"/>
      <c r="IU232" s="816"/>
      <c r="IV232" s="816"/>
      <c r="IW232" s="816"/>
      <c r="IX232" s="816"/>
      <c r="IY232" s="816"/>
      <c r="IZ232" s="819"/>
    </row>
    <row r="233" spans="1:260" x14ac:dyDescent="0.25">
      <c r="A233" s="848" t="str">
        <f>IFERROR(INDEX(Lista_Pedidos,Procesos!Y231+A231-1,5),"")</f>
        <v/>
      </c>
      <c r="B233" s="843"/>
      <c r="C233" s="843"/>
      <c r="D233" s="843"/>
      <c r="E233" s="843"/>
      <c r="F233" s="843"/>
      <c r="G233" s="843"/>
      <c r="H233" s="843"/>
      <c r="I233" s="844"/>
      <c r="J233" s="842" t="str">
        <f>IF(Z231&gt;=A231,$J$7,"")</f>
        <v/>
      </c>
      <c r="K233" s="843"/>
      <c r="L233" s="844"/>
      <c r="M233" s="842" t="str">
        <f>IF(Z231&gt;=A231,$M$7,"")</f>
        <v/>
      </c>
      <c r="N233" s="843"/>
      <c r="O233" s="844"/>
      <c r="P233" s="842" t="str">
        <f>IF(Z231&gt;=A231,$P$7,"")</f>
        <v/>
      </c>
      <c r="Q233" s="843"/>
      <c r="R233" s="843"/>
      <c r="S233" s="843"/>
      <c r="T233" s="843"/>
      <c r="U233" s="844"/>
      <c r="V233" s="834" t="str">
        <f>IF(Z231&gt;=A231,$V$7,"")</f>
        <v/>
      </c>
      <c r="W233" s="842" t="str">
        <f>IF(Z231&gt;=A231,$W$7,"")</f>
        <v/>
      </c>
      <c r="X233" s="843"/>
      <c r="Y233" s="843"/>
      <c r="Z233" s="850"/>
      <c r="AA233" s="848" t="str">
        <f>IFERROR(INDEX(Lista_Pedidos,Procesos!AY231+AA231-1,5),"")</f>
        <v/>
      </c>
      <c r="AB233" s="843"/>
      <c r="AC233" s="843"/>
      <c r="AD233" s="843"/>
      <c r="AE233" s="843"/>
      <c r="AF233" s="843"/>
      <c r="AG233" s="843"/>
      <c r="AH233" s="843"/>
      <c r="AI233" s="844"/>
      <c r="AJ233" s="842" t="str">
        <f>IF(AZ231&gt;=AA231,$J$7,"")</f>
        <v/>
      </c>
      <c r="AK233" s="843"/>
      <c r="AL233" s="844"/>
      <c r="AM233" s="842" t="str">
        <f>IF(AZ231&gt;=AA231,$M$7,"")</f>
        <v/>
      </c>
      <c r="AN233" s="843"/>
      <c r="AO233" s="844"/>
      <c r="AP233" s="842" t="str">
        <f>IF(AZ231&gt;=AA231,$P$7,"")</f>
        <v/>
      </c>
      <c r="AQ233" s="843"/>
      <c r="AR233" s="843"/>
      <c r="AS233" s="843"/>
      <c r="AT233" s="843"/>
      <c r="AU233" s="844"/>
      <c r="AV233" s="834" t="str">
        <f>IF(AZ231&gt;=AA231,$V$7,"")</f>
        <v/>
      </c>
      <c r="AW233" s="842" t="str">
        <f>IF(AZ231&gt;=AA231,$W$7,"")</f>
        <v/>
      </c>
      <c r="AX233" s="843"/>
      <c r="AY233" s="843"/>
      <c r="AZ233" s="850"/>
      <c r="BA233" s="848" t="str">
        <f>IFERROR(INDEX(Lista_Pedidos,Procesos!BY231+BA231-1,5),"")</f>
        <v/>
      </c>
      <c r="BB233" s="843"/>
      <c r="BC233" s="843"/>
      <c r="BD233" s="843"/>
      <c r="BE233" s="843"/>
      <c r="BF233" s="843"/>
      <c r="BG233" s="843"/>
      <c r="BH233" s="843"/>
      <c r="BI233" s="844"/>
      <c r="BJ233" s="842" t="str">
        <f>IF(BZ231&gt;=BA231,$J$7,"")</f>
        <v/>
      </c>
      <c r="BK233" s="843"/>
      <c r="BL233" s="844"/>
      <c r="BM233" s="842" t="str">
        <f>IF(BZ231&gt;=BA231,$M$7,"")</f>
        <v/>
      </c>
      <c r="BN233" s="843"/>
      <c r="BO233" s="844"/>
      <c r="BP233" s="842" t="str">
        <f>IF(BZ231&gt;=BA231,$P$7,"")</f>
        <v/>
      </c>
      <c r="BQ233" s="843"/>
      <c r="BR233" s="843"/>
      <c r="BS233" s="843"/>
      <c r="BT233" s="843"/>
      <c r="BU233" s="844"/>
      <c r="BV233" s="834" t="str">
        <f>IF(BZ231&gt;=BA231,$V$7,"")</f>
        <v/>
      </c>
      <c r="BW233" s="842" t="str">
        <f>IF(BZ231&gt;=BA231,$W$7,"")</f>
        <v/>
      </c>
      <c r="BX233" s="843"/>
      <c r="BY233" s="843"/>
      <c r="BZ233" s="850"/>
      <c r="CA233" s="848" t="str">
        <f>IFERROR(INDEX(Lista_Pedidos,Procesos!CY231+CA231-1,5),"")</f>
        <v/>
      </c>
      <c r="CB233" s="843"/>
      <c r="CC233" s="843"/>
      <c r="CD233" s="843"/>
      <c r="CE233" s="843"/>
      <c r="CF233" s="843"/>
      <c r="CG233" s="843"/>
      <c r="CH233" s="843"/>
      <c r="CI233" s="844"/>
      <c r="CJ233" s="842" t="str">
        <f>IF(CZ231&gt;=CA231,$J$7,"")</f>
        <v/>
      </c>
      <c r="CK233" s="843"/>
      <c r="CL233" s="844"/>
      <c r="CM233" s="842" t="str">
        <f>IF(CZ231&gt;=CA231,$M$7,"")</f>
        <v/>
      </c>
      <c r="CN233" s="843"/>
      <c r="CO233" s="844"/>
      <c r="CP233" s="842" t="str">
        <f>IF(CZ231&gt;=CA231,$P$7,"")</f>
        <v/>
      </c>
      <c r="CQ233" s="843"/>
      <c r="CR233" s="843"/>
      <c r="CS233" s="843"/>
      <c r="CT233" s="843"/>
      <c r="CU233" s="844"/>
      <c r="CV233" s="834" t="str">
        <f>IF(CZ231&gt;=CA231,$V$7,"")</f>
        <v/>
      </c>
      <c r="CW233" s="842" t="str">
        <f>IF(CZ231&gt;=CA231,$W$7,"")</f>
        <v/>
      </c>
      <c r="CX233" s="843"/>
      <c r="CY233" s="843"/>
      <c r="CZ233" s="850"/>
      <c r="DA233" s="848" t="str">
        <f>IFERROR(INDEX(Lista_Pedidos,Procesos!DY231+DA231-1,5),"")</f>
        <v/>
      </c>
      <c r="DB233" s="843"/>
      <c r="DC233" s="843"/>
      <c r="DD233" s="843"/>
      <c r="DE233" s="843"/>
      <c r="DF233" s="843"/>
      <c r="DG233" s="843"/>
      <c r="DH233" s="843"/>
      <c r="DI233" s="844"/>
      <c r="DJ233" s="842" t="str">
        <f>IF(DZ231&gt;=DA231,$J$7,"")</f>
        <v/>
      </c>
      <c r="DK233" s="843"/>
      <c r="DL233" s="844"/>
      <c r="DM233" s="842" t="str">
        <f>IF(DZ231&gt;=DA231,$M$7,"")</f>
        <v/>
      </c>
      <c r="DN233" s="843"/>
      <c r="DO233" s="844"/>
      <c r="DP233" s="842" t="str">
        <f>IF(DZ231&gt;=DA231,$P$7,"")</f>
        <v/>
      </c>
      <c r="DQ233" s="843"/>
      <c r="DR233" s="843"/>
      <c r="DS233" s="843"/>
      <c r="DT233" s="843"/>
      <c r="DU233" s="844"/>
      <c r="DV233" s="834" t="str">
        <f>IF(DZ231&gt;=DA231,$V$7,"")</f>
        <v/>
      </c>
      <c r="DW233" s="842" t="str">
        <f>IF(DZ231&gt;=DA231,$W$7,"")</f>
        <v/>
      </c>
      <c r="DX233" s="843"/>
      <c r="DY233" s="843"/>
      <c r="DZ233" s="850"/>
      <c r="EA233" s="848" t="str">
        <f>IFERROR(INDEX(Lista_Pedidos,Procesos!EY231+EA231-1,5),"")</f>
        <v/>
      </c>
      <c r="EB233" s="843"/>
      <c r="EC233" s="843"/>
      <c r="ED233" s="843"/>
      <c r="EE233" s="843"/>
      <c r="EF233" s="843"/>
      <c r="EG233" s="843"/>
      <c r="EH233" s="843"/>
      <c r="EI233" s="844"/>
      <c r="EJ233" s="842" t="str">
        <f>IF(EZ231&gt;=EA231,$J$7,"")</f>
        <v/>
      </c>
      <c r="EK233" s="843"/>
      <c r="EL233" s="844"/>
      <c r="EM233" s="842" t="str">
        <f>IF(EZ231&gt;=EA231,$M$7,"")</f>
        <v/>
      </c>
      <c r="EN233" s="843"/>
      <c r="EO233" s="844"/>
      <c r="EP233" s="842" t="str">
        <f>IF(EZ231&gt;=EA231,$P$7,"")</f>
        <v/>
      </c>
      <c r="EQ233" s="843"/>
      <c r="ER233" s="843"/>
      <c r="ES233" s="843"/>
      <c r="ET233" s="843"/>
      <c r="EU233" s="844"/>
      <c r="EV233" s="834" t="str">
        <f>IF(EZ231&gt;=EA231,$V$7,"")</f>
        <v/>
      </c>
      <c r="EW233" s="842" t="str">
        <f>IF(EZ231&gt;=EA231,$W$7,"")</f>
        <v/>
      </c>
      <c r="EX233" s="843"/>
      <c r="EY233" s="843"/>
      <c r="EZ233" s="850"/>
      <c r="FA233" s="848" t="str">
        <f>IFERROR(INDEX(Lista_Pedidos,Procesos!FY231+FA231-1,5),"")</f>
        <v/>
      </c>
      <c r="FB233" s="843"/>
      <c r="FC233" s="843"/>
      <c r="FD233" s="843"/>
      <c r="FE233" s="843"/>
      <c r="FF233" s="843"/>
      <c r="FG233" s="843"/>
      <c r="FH233" s="843"/>
      <c r="FI233" s="844"/>
      <c r="FJ233" s="842" t="str">
        <f>IF(FZ231&gt;=FA231,$J$7,"")</f>
        <v/>
      </c>
      <c r="FK233" s="843"/>
      <c r="FL233" s="844"/>
      <c r="FM233" s="842" t="str">
        <f>IF(FZ231&gt;=FA231,$M$7,"")</f>
        <v/>
      </c>
      <c r="FN233" s="843"/>
      <c r="FO233" s="844"/>
      <c r="FP233" s="842" t="str">
        <f>IF(FZ231&gt;=FA231,$P$7,"")</f>
        <v/>
      </c>
      <c r="FQ233" s="843"/>
      <c r="FR233" s="843"/>
      <c r="FS233" s="843"/>
      <c r="FT233" s="843"/>
      <c r="FU233" s="844"/>
      <c r="FV233" s="834" t="str">
        <f>IF(FZ231&gt;=FA231,$V$7,"")</f>
        <v/>
      </c>
      <c r="FW233" s="842" t="str">
        <f>IF(FZ231&gt;=FA231,$W$7,"")</f>
        <v/>
      </c>
      <c r="FX233" s="843"/>
      <c r="FY233" s="843"/>
      <c r="FZ233" s="850"/>
      <c r="GA233" s="848" t="str">
        <f>IFERROR(INDEX(Lista_Pedidos,Procesos!GY231+GA231-1,5),"")</f>
        <v/>
      </c>
      <c r="GB233" s="843"/>
      <c r="GC233" s="843"/>
      <c r="GD233" s="843"/>
      <c r="GE233" s="843"/>
      <c r="GF233" s="843"/>
      <c r="GG233" s="843"/>
      <c r="GH233" s="843"/>
      <c r="GI233" s="844"/>
      <c r="GJ233" s="842" t="str">
        <f>IF(GZ231&gt;=GA231,$J$7,"")</f>
        <v/>
      </c>
      <c r="GK233" s="843"/>
      <c r="GL233" s="844"/>
      <c r="GM233" s="842" t="str">
        <f>IF(GZ231&gt;=GA231,$M$7,"")</f>
        <v/>
      </c>
      <c r="GN233" s="843"/>
      <c r="GO233" s="844"/>
      <c r="GP233" s="842" t="str">
        <f>IF(GZ231&gt;=GA231,$P$7,"")</f>
        <v/>
      </c>
      <c r="GQ233" s="843"/>
      <c r="GR233" s="843"/>
      <c r="GS233" s="843"/>
      <c r="GT233" s="843"/>
      <c r="GU233" s="844"/>
      <c r="GV233" s="834" t="str">
        <f>IF(GZ231&gt;=GA231,$V$7,"")</f>
        <v/>
      </c>
      <c r="GW233" s="842" t="str">
        <f>IF(GZ231&gt;=GA231,$W$7,"")</f>
        <v/>
      </c>
      <c r="GX233" s="843"/>
      <c r="GY233" s="843"/>
      <c r="GZ233" s="850"/>
      <c r="HA233" s="848" t="str">
        <f>IFERROR(INDEX(Lista_Pedidos,Procesos!HY231+HA231-1,5),"")</f>
        <v/>
      </c>
      <c r="HB233" s="843"/>
      <c r="HC233" s="843"/>
      <c r="HD233" s="843"/>
      <c r="HE233" s="843"/>
      <c r="HF233" s="843"/>
      <c r="HG233" s="843"/>
      <c r="HH233" s="843"/>
      <c r="HI233" s="844"/>
      <c r="HJ233" s="842" t="str">
        <f>IF(HZ231&gt;=HA231,$J$7,"")</f>
        <v/>
      </c>
      <c r="HK233" s="843"/>
      <c r="HL233" s="844"/>
      <c r="HM233" s="842" t="str">
        <f>IF(HZ231&gt;=HA231,$M$7,"")</f>
        <v/>
      </c>
      <c r="HN233" s="843"/>
      <c r="HO233" s="844"/>
      <c r="HP233" s="842" t="str">
        <f>IF(HZ231&gt;=HA231,$P$7,"")</f>
        <v/>
      </c>
      <c r="HQ233" s="843"/>
      <c r="HR233" s="843"/>
      <c r="HS233" s="843"/>
      <c r="HT233" s="843"/>
      <c r="HU233" s="844"/>
      <c r="HV233" s="834" t="str">
        <f>IF(HZ231&gt;=HA231,$V$7,"")</f>
        <v/>
      </c>
      <c r="HW233" s="842" t="str">
        <f>IF(HZ231&gt;=HA231,$W$7,"")</f>
        <v/>
      </c>
      <c r="HX233" s="843"/>
      <c r="HY233" s="843"/>
      <c r="HZ233" s="850"/>
      <c r="IA233" s="848" t="str">
        <f>IFERROR(INDEX(Lista_Pedidos,Procesos!IY231+IA231-1,5),"")</f>
        <v/>
      </c>
      <c r="IB233" s="843"/>
      <c r="IC233" s="843"/>
      <c r="ID233" s="843"/>
      <c r="IE233" s="843"/>
      <c r="IF233" s="843"/>
      <c r="IG233" s="843"/>
      <c r="IH233" s="843"/>
      <c r="II233" s="844"/>
      <c r="IJ233" s="842" t="str">
        <f>IF(IZ231&gt;=IA231,$J$7,"")</f>
        <v/>
      </c>
      <c r="IK233" s="843"/>
      <c r="IL233" s="844"/>
      <c r="IM233" s="842" t="str">
        <f>IF(IZ231&gt;=IA231,$M$7,"")</f>
        <v/>
      </c>
      <c r="IN233" s="843"/>
      <c r="IO233" s="844"/>
      <c r="IP233" s="842" t="str">
        <f>IF(IZ231&gt;=IA231,$P$7,"")</f>
        <v/>
      </c>
      <c r="IQ233" s="843"/>
      <c r="IR233" s="843"/>
      <c r="IS233" s="843"/>
      <c r="IT233" s="843"/>
      <c r="IU233" s="844"/>
      <c r="IV233" s="834" t="str">
        <f>IF(IZ231&gt;=IA231,$V$7,"")</f>
        <v/>
      </c>
      <c r="IW233" s="842" t="str">
        <f>IF(IZ231&gt;=IA231,$W$7,"")</f>
        <v/>
      </c>
      <c r="IX233" s="843"/>
      <c r="IY233" s="843"/>
      <c r="IZ233" s="850"/>
    </row>
    <row r="234" spans="1:260" x14ac:dyDescent="0.25">
      <c r="A234" s="849"/>
      <c r="B234" s="846"/>
      <c r="C234" s="846"/>
      <c r="D234" s="846"/>
      <c r="E234" s="846"/>
      <c r="F234" s="846"/>
      <c r="G234" s="846"/>
      <c r="H234" s="846"/>
      <c r="I234" s="847"/>
      <c r="J234" s="845"/>
      <c r="K234" s="846"/>
      <c r="L234" s="847"/>
      <c r="M234" s="845"/>
      <c r="N234" s="846"/>
      <c r="O234" s="847"/>
      <c r="P234" s="845"/>
      <c r="Q234" s="846"/>
      <c r="R234" s="846"/>
      <c r="S234" s="846"/>
      <c r="T234" s="846"/>
      <c r="U234" s="847"/>
      <c r="V234" s="835"/>
      <c r="W234" s="845"/>
      <c r="X234" s="846"/>
      <c r="Y234" s="846"/>
      <c r="Z234" s="851"/>
      <c r="AA234" s="849"/>
      <c r="AB234" s="846"/>
      <c r="AC234" s="846"/>
      <c r="AD234" s="846"/>
      <c r="AE234" s="846"/>
      <c r="AF234" s="846"/>
      <c r="AG234" s="846"/>
      <c r="AH234" s="846"/>
      <c r="AI234" s="847"/>
      <c r="AJ234" s="845"/>
      <c r="AK234" s="846"/>
      <c r="AL234" s="847"/>
      <c r="AM234" s="845"/>
      <c r="AN234" s="846"/>
      <c r="AO234" s="847"/>
      <c r="AP234" s="845"/>
      <c r="AQ234" s="846"/>
      <c r="AR234" s="846"/>
      <c r="AS234" s="846"/>
      <c r="AT234" s="846"/>
      <c r="AU234" s="847"/>
      <c r="AV234" s="835"/>
      <c r="AW234" s="845"/>
      <c r="AX234" s="846"/>
      <c r="AY234" s="846"/>
      <c r="AZ234" s="851"/>
      <c r="BA234" s="849"/>
      <c r="BB234" s="846"/>
      <c r="BC234" s="846"/>
      <c r="BD234" s="846"/>
      <c r="BE234" s="846"/>
      <c r="BF234" s="846"/>
      <c r="BG234" s="846"/>
      <c r="BH234" s="846"/>
      <c r="BI234" s="847"/>
      <c r="BJ234" s="845"/>
      <c r="BK234" s="846"/>
      <c r="BL234" s="847"/>
      <c r="BM234" s="845"/>
      <c r="BN234" s="846"/>
      <c r="BO234" s="847"/>
      <c r="BP234" s="845"/>
      <c r="BQ234" s="846"/>
      <c r="BR234" s="846"/>
      <c r="BS234" s="846"/>
      <c r="BT234" s="846"/>
      <c r="BU234" s="847"/>
      <c r="BV234" s="835"/>
      <c r="BW234" s="845"/>
      <c r="BX234" s="846"/>
      <c r="BY234" s="846"/>
      <c r="BZ234" s="851"/>
      <c r="CA234" s="849"/>
      <c r="CB234" s="846"/>
      <c r="CC234" s="846"/>
      <c r="CD234" s="846"/>
      <c r="CE234" s="846"/>
      <c r="CF234" s="846"/>
      <c r="CG234" s="846"/>
      <c r="CH234" s="846"/>
      <c r="CI234" s="847"/>
      <c r="CJ234" s="845"/>
      <c r="CK234" s="846"/>
      <c r="CL234" s="847"/>
      <c r="CM234" s="845"/>
      <c r="CN234" s="846"/>
      <c r="CO234" s="847"/>
      <c r="CP234" s="845"/>
      <c r="CQ234" s="846"/>
      <c r="CR234" s="846"/>
      <c r="CS234" s="846"/>
      <c r="CT234" s="846"/>
      <c r="CU234" s="847"/>
      <c r="CV234" s="835"/>
      <c r="CW234" s="845"/>
      <c r="CX234" s="846"/>
      <c r="CY234" s="846"/>
      <c r="CZ234" s="851"/>
      <c r="DA234" s="849"/>
      <c r="DB234" s="846"/>
      <c r="DC234" s="846"/>
      <c r="DD234" s="846"/>
      <c r="DE234" s="846"/>
      <c r="DF234" s="846"/>
      <c r="DG234" s="846"/>
      <c r="DH234" s="846"/>
      <c r="DI234" s="847"/>
      <c r="DJ234" s="845"/>
      <c r="DK234" s="846"/>
      <c r="DL234" s="847"/>
      <c r="DM234" s="845"/>
      <c r="DN234" s="846"/>
      <c r="DO234" s="847"/>
      <c r="DP234" s="845"/>
      <c r="DQ234" s="846"/>
      <c r="DR234" s="846"/>
      <c r="DS234" s="846"/>
      <c r="DT234" s="846"/>
      <c r="DU234" s="847"/>
      <c r="DV234" s="835"/>
      <c r="DW234" s="845"/>
      <c r="DX234" s="846"/>
      <c r="DY234" s="846"/>
      <c r="DZ234" s="851"/>
      <c r="EA234" s="849"/>
      <c r="EB234" s="846"/>
      <c r="EC234" s="846"/>
      <c r="ED234" s="846"/>
      <c r="EE234" s="846"/>
      <c r="EF234" s="846"/>
      <c r="EG234" s="846"/>
      <c r="EH234" s="846"/>
      <c r="EI234" s="847"/>
      <c r="EJ234" s="845"/>
      <c r="EK234" s="846"/>
      <c r="EL234" s="847"/>
      <c r="EM234" s="845"/>
      <c r="EN234" s="846"/>
      <c r="EO234" s="847"/>
      <c r="EP234" s="845"/>
      <c r="EQ234" s="846"/>
      <c r="ER234" s="846"/>
      <c r="ES234" s="846"/>
      <c r="ET234" s="846"/>
      <c r="EU234" s="847"/>
      <c r="EV234" s="835"/>
      <c r="EW234" s="845"/>
      <c r="EX234" s="846"/>
      <c r="EY234" s="846"/>
      <c r="EZ234" s="851"/>
      <c r="FA234" s="849"/>
      <c r="FB234" s="846"/>
      <c r="FC234" s="846"/>
      <c r="FD234" s="846"/>
      <c r="FE234" s="846"/>
      <c r="FF234" s="846"/>
      <c r="FG234" s="846"/>
      <c r="FH234" s="846"/>
      <c r="FI234" s="847"/>
      <c r="FJ234" s="845"/>
      <c r="FK234" s="846"/>
      <c r="FL234" s="847"/>
      <c r="FM234" s="845"/>
      <c r="FN234" s="846"/>
      <c r="FO234" s="847"/>
      <c r="FP234" s="845"/>
      <c r="FQ234" s="846"/>
      <c r="FR234" s="846"/>
      <c r="FS234" s="846"/>
      <c r="FT234" s="846"/>
      <c r="FU234" s="847"/>
      <c r="FV234" s="835"/>
      <c r="FW234" s="845"/>
      <c r="FX234" s="846"/>
      <c r="FY234" s="846"/>
      <c r="FZ234" s="851"/>
      <c r="GA234" s="849"/>
      <c r="GB234" s="846"/>
      <c r="GC234" s="846"/>
      <c r="GD234" s="846"/>
      <c r="GE234" s="846"/>
      <c r="GF234" s="846"/>
      <c r="GG234" s="846"/>
      <c r="GH234" s="846"/>
      <c r="GI234" s="847"/>
      <c r="GJ234" s="845"/>
      <c r="GK234" s="846"/>
      <c r="GL234" s="847"/>
      <c r="GM234" s="845"/>
      <c r="GN234" s="846"/>
      <c r="GO234" s="847"/>
      <c r="GP234" s="845"/>
      <c r="GQ234" s="846"/>
      <c r="GR234" s="846"/>
      <c r="GS234" s="846"/>
      <c r="GT234" s="846"/>
      <c r="GU234" s="847"/>
      <c r="GV234" s="835"/>
      <c r="GW234" s="845"/>
      <c r="GX234" s="846"/>
      <c r="GY234" s="846"/>
      <c r="GZ234" s="851"/>
      <c r="HA234" s="849"/>
      <c r="HB234" s="846"/>
      <c r="HC234" s="846"/>
      <c r="HD234" s="846"/>
      <c r="HE234" s="846"/>
      <c r="HF234" s="846"/>
      <c r="HG234" s="846"/>
      <c r="HH234" s="846"/>
      <c r="HI234" s="847"/>
      <c r="HJ234" s="845"/>
      <c r="HK234" s="846"/>
      <c r="HL234" s="847"/>
      <c r="HM234" s="845"/>
      <c r="HN234" s="846"/>
      <c r="HO234" s="847"/>
      <c r="HP234" s="845"/>
      <c r="HQ234" s="846"/>
      <c r="HR234" s="846"/>
      <c r="HS234" s="846"/>
      <c r="HT234" s="846"/>
      <c r="HU234" s="847"/>
      <c r="HV234" s="835"/>
      <c r="HW234" s="845"/>
      <c r="HX234" s="846"/>
      <c r="HY234" s="846"/>
      <c r="HZ234" s="851"/>
      <c r="IA234" s="849"/>
      <c r="IB234" s="846"/>
      <c r="IC234" s="846"/>
      <c r="ID234" s="846"/>
      <c r="IE234" s="846"/>
      <c r="IF234" s="846"/>
      <c r="IG234" s="846"/>
      <c r="IH234" s="846"/>
      <c r="II234" s="847"/>
      <c r="IJ234" s="845"/>
      <c r="IK234" s="846"/>
      <c r="IL234" s="847"/>
      <c r="IM234" s="845"/>
      <c r="IN234" s="846"/>
      <c r="IO234" s="847"/>
      <c r="IP234" s="845"/>
      <c r="IQ234" s="846"/>
      <c r="IR234" s="846"/>
      <c r="IS234" s="846"/>
      <c r="IT234" s="846"/>
      <c r="IU234" s="847"/>
      <c r="IV234" s="835"/>
      <c r="IW234" s="845"/>
      <c r="IX234" s="846"/>
      <c r="IY234" s="846"/>
      <c r="IZ234" s="851"/>
    </row>
    <row r="235" spans="1:260" ht="15" customHeight="1" x14ac:dyDescent="0.25">
      <c r="A235" s="858" t="str">
        <f>IF(Z231&gt;=A231,$A$9,"")</f>
        <v/>
      </c>
      <c r="B235" s="806"/>
      <c r="C235" s="806"/>
      <c r="D235" s="806"/>
      <c r="E235" s="852"/>
      <c r="F235" s="805" t="str">
        <f>IF(Z231&gt;=A231,$F$9,"")</f>
        <v/>
      </c>
      <c r="G235" s="806"/>
      <c r="H235" s="806"/>
      <c r="I235" s="852"/>
      <c r="J235" s="811" t="str">
        <f>IF(Z231&gt;=A231,$J$9,"")</f>
        <v/>
      </c>
      <c r="K235" s="803" t="str">
        <f>IF(Z231&gt;=A231,$K$9,"")</f>
        <v/>
      </c>
      <c r="L235" s="803" t="str">
        <f>IF(Z231&gt;=A231,$L$9,"")</f>
        <v/>
      </c>
      <c r="M235" s="803" t="str">
        <f>IF(Z231&gt;=A231,$M$9,"")</f>
        <v/>
      </c>
      <c r="N235" s="803" t="str">
        <f>IF(Z231&gt;=A231,$N$9,"")</f>
        <v/>
      </c>
      <c r="O235" s="803" t="str">
        <f>IF(Z231&gt;=A231,$O$9,"")</f>
        <v/>
      </c>
      <c r="P235" s="803" t="str">
        <f>IF(Z231&gt;=A231,$P$9,"")</f>
        <v/>
      </c>
      <c r="Q235" s="803" t="str">
        <f>IF(Z231&gt;=A231,$Q$9,"")</f>
        <v/>
      </c>
      <c r="R235" s="803" t="str">
        <f>IF(Z231&gt;=A231,$R$9,"")</f>
        <v/>
      </c>
      <c r="S235" s="803" t="str">
        <f>IF(Z231&gt;=A231,$S$9,"")</f>
        <v/>
      </c>
      <c r="T235" s="803" t="str">
        <f>IF(Z231&gt;=A231,$T$9,"")</f>
        <v/>
      </c>
      <c r="U235" s="803" t="str">
        <f>IF(Z231&gt;=A231,$U$9,"")</f>
        <v/>
      </c>
      <c r="V235" s="803" t="str">
        <f>IF(Z231&gt;=A231,$V$9,"")</f>
        <v/>
      </c>
      <c r="W235" s="805" t="str">
        <f>IF(Z231&gt;=A231,$W$9,"")</f>
        <v/>
      </c>
      <c r="X235" s="806"/>
      <c r="Y235" s="806"/>
      <c r="Z235" s="807"/>
      <c r="AA235" s="858" t="str">
        <f>IF(AZ231&gt;=AA231,$A$9,"")</f>
        <v/>
      </c>
      <c r="AB235" s="806"/>
      <c r="AC235" s="806"/>
      <c r="AD235" s="806"/>
      <c r="AE235" s="852"/>
      <c r="AF235" s="805" t="str">
        <f>IF(AZ231&gt;=AA231,$F$9,"")</f>
        <v/>
      </c>
      <c r="AG235" s="806"/>
      <c r="AH235" s="806"/>
      <c r="AI235" s="852"/>
      <c r="AJ235" s="811" t="str">
        <f>IF(AZ231&gt;=AA231,$J$9,"")</f>
        <v/>
      </c>
      <c r="AK235" s="803" t="str">
        <f>IF(AZ231&gt;=AA231,$K$9,"")</f>
        <v/>
      </c>
      <c r="AL235" s="803" t="str">
        <f>IF(AZ231&gt;=AA231,$L$9,"")</f>
        <v/>
      </c>
      <c r="AM235" s="803" t="str">
        <f>IF(AZ231&gt;=AA231,$M$9,"")</f>
        <v/>
      </c>
      <c r="AN235" s="803" t="str">
        <f>IF(AZ231&gt;=AA231,$N$9,"")</f>
        <v/>
      </c>
      <c r="AO235" s="803" t="str">
        <f>IF(AZ231&gt;=AA231,$O$9,"")</f>
        <v/>
      </c>
      <c r="AP235" s="803" t="str">
        <f>IF(AZ231&gt;=AA231,$P$9,"")</f>
        <v/>
      </c>
      <c r="AQ235" s="803" t="str">
        <f>IF(AZ231&gt;=AA231,$Q$9,"")</f>
        <v/>
      </c>
      <c r="AR235" s="803" t="str">
        <f>IF(AZ231&gt;=AA231,$R$9,"")</f>
        <v/>
      </c>
      <c r="AS235" s="803" t="str">
        <f>IF(AZ231&gt;=AA231,$S$9,"")</f>
        <v/>
      </c>
      <c r="AT235" s="803" t="str">
        <f>IF(AZ231&gt;=AA231,$T$9,"")</f>
        <v/>
      </c>
      <c r="AU235" s="803" t="str">
        <f>IF(AZ231&gt;=AA231,$U$9,"")</f>
        <v/>
      </c>
      <c r="AV235" s="803" t="str">
        <f>IF(AZ231&gt;=AA231,$V$9,"")</f>
        <v/>
      </c>
      <c r="AW235" s="805" t="str">
        <f>IF(AZ231&gt;=AA231,$W$9,"")</f>
        <v/>
      </c>
      <c r="AX235" s="806"/>
      <c r="AY235" s="806"/>
      <c r="AZ235" s="807"/>
      <c r="BA235" s="858" t="str">
        <f>IF(BZ231&gt;=BA231,$A$9,"")</f>
        <v/>
      </c>
      <c r="BB235" s="806"/>
      <c r="BC235" s="806"/>
      <c r="BD235" s="806"/>
      <c r="BE235" s="852"/>
      <c r="BF235" s="805" t="str">
        <f>IF(BZ231&gt;=BA231,$F$9,"")</f>
        <v/>
      </c>
      <c r="BG235" s="806"/>
      <c r="BH235" s="806"/>
      <c r="BI235" s="852"/>
      <c r="BJ235" s="811" t="str">
        <f>IF(BZ231&gt;=BA231,$J$9,"")</f>
        <v/>
      </c>
      <c r="BK235" s="803" t="str">
        <f>IF(BZ231&gt;=BA231,$K$9,"")</f>
        <v/>
      </c>
      <c r="BL235" s="803" t="str">
        <f>IF(BZ231&gt;=BA231,$L$9,"")</f>
        <v/>
      </c>
      <c r="BM235" s="803" t="str">
        <f>IF(BZ231&gt;=BA231,$M$9,"")</f>
        <v/>
      </c>
      <c r="BN235" s="803" t="str">
        <f>IF(BZ231&gt;=BA231,$N$9,"")</f>
        <v/>
      </c>
      <c r="BO235" s="803" t="str">
        <f>IF(BZ231&gt;=BA231,$O$9,"")</f>
        <v/>
      </c>
      <c r="BP235" s="803" t="str">
        <f>IF(BZ231&gt;=BA231,$P$9,"")</f>
        <v/>
      </c>
      <c r="BQ235" s="803" t="str">
        <f>IF(BZ231&gt;=BA231,$Q$9,"")</f>
        <v/>
      </c>
      <c r="BR235" s="803" t="str">
        <f>IF(BZ231&gt;=BA231,$R$9,"")</f>
        <v/>
      </c>
      <c r="BS235" s="803" t="str">
        <f>IF(BZ231&gt;=BA231,$S$9,"")</f>
        <v/>
      </c>
      <c r="BT235" s="803" t="str">
        <f>IF(BZ231&gt;=BA231,$T$9,"")</f>
        <v/>
      </c>
      <c r="BU235" s="803" t="str">
        <f>IF(BZ231&gt;=BA231,$U$9,"")</f>
        <v/>
      </c>
      <c r="BV235" s="803" t="str">
        <f>IF(BZ231&gt;=BA231,$V$9,"")</f>
        <v/>
      </c>
      <c r="BW235" s="805" t="str">
        <f>IF(BZ231&gt;=BA231,$W$9,"")</f>
        <v/>
      </c>
      <c r="BX235" s="806"/>
      <c r="BY235" s="806"/>
      <c r="BZ235" s="807"/>
      <c r="CA235" s="858" t="str">
        <f>IF(CZ231&gt;=CA231,$A$9,"")</f>
        <v/>
      </c>
      <c r="CB235" s="806"/>
      <c r="CC235" s="806"/>
      <c r="CD235" s="806"/>
      <c r="CE235" s="852"/>
      <c r="CF235" s="805" t="str">
        <f>IF(CZ231&gt;=CA231,$F$9,"")</f>
        <v/>
      </c>
      <c r="CG235" s="806"/>
      <c r="CH235" s="806"/>
      <c r="CI235" s="852"/>
      <c r="CJ235" s="811" t="str">
        <f>IF(CZ231&gt;=CA231,$J$9,"")</f>
        <v/>
      </c>
      <c r="CK235" s="803" t="str">
        <f>IF(CZ231&gt;=CA231,$K$9,"")</f>
        <v/>
      </c>
      <c r="CL235" s="803" t="str">
        <f>IF(CZ231&gt;=CA231,$L$9,"")</f>
        <v/>
      </c>
      <c r="CM235" s="803" t="str">
        <f>IF(CZ231&gt;=CA231,$M$9,"")</f>
        <v/>
      </c>
      <c r="CN235" s="803" t="str">
        <f>IF(CZ231&gt;=CA231,$N$9,"")</f>
        <v/>
      </c>
      <c r="CO235" s="803" t="str">
        <f>IF(CZ231&gt;=CA231,$O$9,"")</f>
        <v/>
      </c>
      <c r="CP235" s="803" t="str">
        <f>IF(CZ231&gt;=CA231,$P$9,"")</f>
        <v/>
      </c>
      <c r="CQ235" s="803" t="str">
        <f>IF(CZ231&gt;=CA231,$Q$9,"")</f>
        <v/>
      </c>
      <c r="CR235" s="803" t="str">
        <f>IF(CZ231&gt;=CA231,$R$9,"")</f>
        <v/>
      </c>
      <c r="CS235" s="803" t="str">
        <f>IF(CZ231&gt;=CA231,$S$9,"")</f>
        <v/>
      </c>
      <c r="CT235" s="803" t="str">
        <f>IF(CZ231&gt;=CA231,$T$9,"")</f>
        <v/>
      </c>
      <c r="CU235" s="803" t="str">
        <f>IF(CZ231&gt;=CA231,$U$9,"")</f>
        <v/>
      </c>
      <c r="CV235" s="803" t="str">
        <f>IF(CZ231&gt;=CA231,$V$9,"")</f>
        <v/>
      </c>
      <c r="CW235" s="805" t="str">
        <f>IF(CZ231&gt;=CA231,$W$9,"")</f>
        <v/>
      </c>
      <c r="CX235" s="806"/>
      <c r="CY235" s="806"/>
      <c r="CZ235" s="807"/>
      <c r="DA235" s="858" t="str">
        <f>IF(DZ231&gt;=DA231,$A$9,"")</f>
        <v/>
      </c>
      <c r="DB235" s="806"/>
      <c r="DC235" s="806"/>
      <c r="DD235" s="806"/>
      <c r="DE235" s="852"/>
      <c r="DF235" s="805" t="str">
        <f>IF(DZ231&gt;=DA231,$F$9,"")</f>
        <v/>
      </c>
      <c r="DG235" s="806"/>
      <c r="DH235" s="806"/>
      <c r="DI235" s="852"/>
      <c r="DJ235" s="811" t="str">
        <f>IF(DZ231&gt;=DA231,$J$9,"")</f>
        <v/>
      </c>
      <c r="DK235" s="803" t="str">
        <f>IF(DZ231&gt;=DA231,$K$9,"")</f>
        <v/>
      </c>
      <c r="DL235" s="803" t="str">
        <f>IF(DZ231&gt;=DA231,$L$9,"")</f>
        <v/>
      </c>
      <c r="DM235" s="803" t="str">
        <f>IF(DZ231&gt;=DA231,$M$9,"")</f>
        <v/>
      </c>
      <c r="DN235" s="803" t="str">
        <f>IF(DZ231&gt;=DA231,$N$9,"")</f>
        <v/>
      </c>
      <c r="DO235" s="803" t="str">
        <f>IF(DZ231&gt;=DA231,$O$9,"")</f>
        <v/>
      </c>
      <c r="DP235" s="803" t="str">
        <f>IF(DZ231&gt;=DA231,$P$9,"")</f>
        <v/>
      </c>
      <c r="DQ235" s="803" t="str">
        <f>IF(DZ231&gt;=DA231,$Q$9,"")</f>
        <v/>
      </c>
      <c r="DR235" s="803" t="str">
        <f>IF(DZ231&gt;=DA231,$R$9,"")</f>
        <v/>
      </c>
      <c r="DS235" s="803" t="str">
        <f>IF(DZ231&gt;=DA231,$S$9,"")</f>
        <v/>
      </c>
      <c r="DT235" s="803" t="str">
        <f>IF(DZ231&gt;=DA231,$T$9,"")</f>
        <v/>
      </c>
      <c r="DU235" s="803" t="str">
        <f>IF(DZ231&gt;=DA231,$U$9,"")</f>
        <v/>
      </c>
      <c r="DV235" s="803" t="str">
        <f>IF(DZ231&gt;=DA231,$V$9,"")</f>
        <v/>
      </c>
      <c r="DW235" s="805" t="str">
        <f>IF(DZ231&gt;=DA231,$W$9,"")</f>
        <v/>
      </c>
      <c r="DX235" s="806"/>
      <c r="DY235" s="806"/>
      <c r="DZ235" s="807"/>
      <c r="EA235" s="858" t="str">
        <f>IF(EZ231&gt;=EA231,$A$9,"")</f>
        <v/>
      </c>
      <c r="EB235" s="806"/>
      <c r="EC235" s="806"/>
      <c r="ED235" s="806"/>
      <c r="EE235" s="852"/>
      <c r="EF235" s="805" t="str">
        <f>IF(EZ231&gt;=EA231,$F$9,"")</f>
        <v/>
      </c>
      <c r="EG235" s="806"/>
      <c r="EH235" s="806"/>
      <c r="EI235" s="852"/>
      <c r="EJ235" s="811" t="str">
        <f>IF(EZ231&gt;=EA231,$J$9,"")</f>
        <v/>
      </c>
      <c r="EK235" s="803" t="str">
        <f>IF(EZ231&gt;=EA231,$K$9,"")</f>
        <v/>
      </c>
      <c r="EL235" s="803" t="str">
        <f>IF(EZ231&gt;=EA231,$L$9,"")</f>
        <v/>
      </c>
      <c r="EM235" s="803" t="str">
        <f>IF(EZ231&gt;=EA231,$M$9,"")</f>
        <v/>
      </c>
      <c r="EN235" s="803" t="str">
        <f>IF(EZ231&gt;=EA231,$N$9,"")</f>
        <v/>
      </c>
      <c r="EO235" s="803" t="str">
        <f>IF(EZ231&gt;=EA231,$O$9,"")</f>
        <v/>
      </c>
      <c r="EP235" s="803" t="str">
        <f>IF(EZ231&gt;=EA231,$P$9,"")</f>
        <v/>
      </c>
      <c r="EQ235" s="803" t="str">
        <f>IF(EZ231&gt;=EA231,$Q$9,"")</f>
        <v/>
      </c>
      <c r="ER235" s="803" t="str">
        <f>IF(EZ231&gt;=EA231,$R$9,"")</f>
        <v/>
      </c>
      <c r="ES235" s="803" t="str">
        <f>IF(EZ231&gt;=EA231,$S$9,"")</f>
        <v/>
      </c>
      <c r="ET235" s="803" t="str">
        <f>IF(EZ231&gt;=EA231,$T$9,"")</f>
        <v/>
      </c>
      <c r="EU235" s="803" t="str">
        <f>IF(EZ231&gt;=EA231,$U$9,"")</f>
        <v/>
      </c>
      <c r="EV235" s="803" t="str">
        <f>IF(EZ231&gt;=EA231,$V$9,"")</f>
        <v/>
      </c>
      <c r="EW235" s="805" t="str">
        <f>IF(EZ231&gt;=EA231,$W$9,"")</f>
        <v/>
      </c>
      <c r="EX235" s="806"/>
      <c r="EY235" s="806"/>
      <c r="EZ235" s="807"/>
      <c r="FA235" s="858" t="str">
        <f>IF(FZ231&gt;=FA231,$A$9,"")</f>
        <v/>
      </c>
      <c r="FB235" s="806"/>
      <c r="FC235" s="806"/>
      <c r="FD235" s="806"/>
      <c r="FE235" s="852"/>
      <c r="FF235" s="805" t="str">
        <f>IF(FZ231&gt;=FA231,$F$9,"")</f>
        <v/>
      </c>
      <c r="FG235" s="806"/>
      <c r="FH235" s="806"/>
      <c r="FI235" s="852"/>
      <c r="FJ235" s="811" t="str">
        <f>IF(FZ231&gt;=FA231,$J$9,"")</f>
        <v/>
      </c>
      <c r="FK235" s="803" t="str">
        <f>IF(FZ231&gt;=FA231,$K$9,"")</f>
        <v/>
      </c>
      <c r="FL235" s="803" t="str">
        <f>IF(FZ231&gt;=FA231,$L$9,"")</f>
        <v/>
      </c>
      <c r="FM235" s="803" t="str">
        <f>IF(FZ231&gt;=FA231,$M$9,"")</f>
        <v/>
      </c>
      <c r="FN235" s="803" t="str">
        <f>IF(FZ231&gt;=FA231,$N$9,"")</f>
        <v/>
      </c>
      <c r="FO235" s="803" t="str">
        <f>IF(FZ231&gt;=FA231,$O$9,"")</f>
        <v/>
      </c>
      <c r="FP235" s="803" t="str">
        <f>IF(FZ231&gt;=FA231,$P$9,"")</f>
        <v/>
      </c>
      <c r="FQ235" s="803" t="str">
        <f>IF(FZ231&gt;=FA231,$Q$9,"")</f>
        <v/>
      </c>
      <c r="FR235" s="803" t="str">
        <f>IF(FZ231&gt;=FA231,$R$9,"")</f>
        <v/>
      </c>
      <c r="FS235" s="803" t="str">
        <f>IF(FZ231&gt;=FA231,$S$9,"")</f>
        <v/>
      </c>
      <c r="FT235" s="803" t="str">
        <f>IF(FZ231&gt;=FA231,$T$9,"")</f>
        <v/>
      </c>
      <c r="FU235" s="803" t="str">
        <f>IF(FZ231&gt;=FA231,$U$9,"")</f>
        <v/>
      </c>
      <c r="FV235" s="803" t="str">
        <f>IF(FZ231&gt;=FA231,$V$9,"")</f>
        <v/>
      </c>
      <c r="FW235" s="805" t="str">
        <f>IF(FZ231&gt;=FA231,$W$9,"")</f>
        <v/>
      </c>
      <c r="FX235" s="806"/>
      <c r="FY235" s="806"/>
      <c r="FZ235" s="807"/>
      <c r="GA235" s="858" t="str">
        <f>IF(GZ231&gt;=GA231,$A$9,"")</f>
        <v/>
      </c>
      <c r="GB235" s="806"/>
      <c r="GC235" s="806"/>
      <c r="GD235" s="806"/>
      <c r="GE235" s="852"/>
      <c r="GF235" s="805" t="str">
        <f>IF(GZ231&gt;=GA231,$F$9,"")</f>
        <v/>
      </c>
      <c r="GG235" s="806"/>
      <c r="GH235" s="806"/>
      <c r="GI235" s="852"/>
      <c r="GJ235" s="811" t="str">
        <f>IF(GZ231&gt;=GA231,$J$9,"")</f>
        <v/>
      </c>
      <c r="GK235" s="803" t="str">
        <f>IF(GZ231&gt;=GA231,$K$9,"")</f>
        <v/>
      </c>
      <c r="GL235" s="803" t="str">
        <f>IF(GZ231&gt;=GA231,$L$9,"")</f>
        <v/>
      </c>
      <c r="GM235" s="803" t="str">
        <f>IF(GZ231&gt;=GA231,$M$9,"")</f>
        <v/>
      </c>
      <c r="GN235" s="803" t="str">
        <f>IF(GZ231&gt;=GA231,$N$9,"")</f>
        <v/>
      </c>
      <c r="GO235" s="803" t="str">
        <f>IF(GZ231&gt;=GA231,$O$9,"")</f>
        <v/>
      </c>
      <c r="GP235" s="803" t="str">
        <f>IF(GZ231&gt;=GA231,$P$9,"")</f>
        <v/>
      </c>
      <c r="GQ235" s="803" t="str">
        <f>IF(GZ231&gt;=GA231,$Q$9,"")</f>
        <v/>
      </c>
      <c r="GR235" s="803" t="str">
        <f>IF(GZ231&gt;=GA231,$R$9,"")</f>
        <v/>
      </c>
      <c r="GS235" s="803" t="str">
        <f>IF(GZ231&gt;=GA231,$S$9,"")</f>
        <v/>
      </c>
      <c r="GT235" s="803" t="str">
        <f>IF(GZ231&gt;=GA231,$T$9,"")</f>
        <v/>
      </c>
      <c r="GU235" s="803" t="str">
        <f>IF(GZ231&gt;=GA231,$U$9,"")</f>
        <v/>
      </c>
      <c r="GV235" s="803" t="str">
        <f>IF(GZ231&gt;=GA231,$V$9,"")</f>
        <v/>
      </c>
      <c r="GW235" s="805" t="str">
        <f>IF(GZ231&gt;=GA231,$W$9,"")</f>
        <v/>
      </c>
      <c r="GX235" s="806"/>
      <c r="GY235" s="806"/>
      <c r="GZ235" s="807"/>
      <c r="HA235" s="858" t="str">
        <f>IF(HZ231&gt;=HA231,$A$9,"")</f>
        <v/>
      </c>
      <c r="HB235" s="806"/>
      <c r="HC235" s="806"/>
      <c r="HD235" s="806"/>
      <c r="HE235" s="852"/>
      <c r="HF235" s="805" t="str">
        <f>IF(HZ231&gt;=HA231,$F$9,"")</f>
        <v/>
      </c>
      <c r="HG235" s="806"/>
      <c r="HH235" s="806"/>
      <c r="HI235" s="852"/>
      <c r="HJ235" s="811" t="str">
        <f>IF(HZ231&gt;=HA231,$J$9,"")</f>
        <v/>
      </c>
      <c r="HK235" s="803" t="str">
        <f>IF(HZ231&gt;=HA231,$K$9,"")</f>
        <v/>
      </c>
      <c r="HL235" s="803" t="str">
        <f>IF(HZ231&gt;=HA231,$L$9,"")</f>
        <v/>
      </c>
      <c r="HM235" s="803" t="str">
        <f>IF(HZ231&gt;=HA231,$M$9,"")</f>
        <v/>
      </c>
      <c r="HN235" s="803" t="str">
        <f>IF(HZ231&gt;=HA231,$N$9,"")</f>
        <v/>
      </c>
      <c r="HO235" s="803" t="str">
        <f>IF(HZ231&gt;=HA231,$O$9,"")</f>
        <v/>
      </c>
      <c r="HP235" s="803" t="str">
        <f>IF(HZ231&gt;=HA231,$P$9,"")</f>
        <v/>
      </c>
      <c r="HQ235" s="803" t="str">
        <f>IF(HZ231&gt;=HA231,$Q$9,"")</f>
        <v/>
      </c>
      <c r="HR235" s="803" t="str">
        <f>IF(HZ231&gt;=HA231,$R$9,"")</f>
        <v/>
      </c>
      <c r="HS235" s="803" t="str">
        <f>IF(HZ231&gt;=HA231,$S$9,"")</f>
        <v/>
      </c>
      <c r="HT235" s="803" t="str">
        <f>IF(HZ231&gt;=HA231,$T$9,"")</f>
        <v/>
      </c>
      <c r="HU235" s="803" t="str">
        <f>IF(HZ231&gt;=HA231,$U$9,"")</f>
        <v/>
      </c>
      <c r="HV235" s="803" t="str">
        <f>IF(HZ231&gt;=HA231,$V$9,"")</f>
        <v/>
      </c>
      <c r="HW235" s="805" t="str">
        <f>IF(HZ231&gt;=HA231,$W$9,"")</f>
        <v/>
      </c>
      <c r="HX235" s="806"/>
      <c r="HY235" s="806"/>
      <c r="HZ235" s="807"/>
      <c r="IA235" s="858" t="str">
        <f>IF(IZ231&gt;=IA231,$A$9,"")</f>
        <v/>
      </c>
      <c r="IB235" s="806"/>
      <c r="IC235" s="806"/>
      <c r="ID235" s="806"/>
      <c r="IE235" s="852"/>
      <c r="IF235" s="805" t="str">
        <f>IF(IZ231&gt;=IA231,$F$9,"")</f>
        <v/>
      </c>
      <c r="IG235" s="806"/>
      <c r="IH235" s="806"/>
      <c r="II235" s="852"/>
      <c r="IJ235" s="811" t="str">
        <f>IF(IZ231&gt;=IA231,$J$9,"")</f>
        <v/>
      </c>
      <c r="IK235" s="803" t="str">
        <f>IF(IZ231&gt;=IA231,$K$9,"")</f>
        <v/>
      </c>
      <c r="IL235" s="803" t="str">
        <f>IF(IZ231&gt;=IA231,$L$9,"")</f>
        <v/>
      </c>
      <c r="IM235" s="803" t="str">
        <f>IF(IZ231&gt;=IA231,$M$9,"")</f>
        <v/>
      </c>
      <c r="IN235" s="803" t="str">
        <f>IF(IZ231&gt;=IA231,$N$9,"")</f>
        <v/>
      </c>
      <c r="IO235" s="803" t="str">
        <f>IF(IZ231&gt;=IA231,$O$9,"")</f>
        <v/>
      </c>
      <c r="IP235" s="803" t="str">
        <f>IF(IZ231&gt;=IA231,$P$9,"")</f>
        <v/>
      </c>
      <c r="IQ235" s="803" t="str">
        <f>IF(IZ231&gt;=IA231,$Q$9,"")</f>
        <v/>
      </c>
      <c r="IR235" s="803" t="str">
        <f>IF(IZ231&gt;=IA231,$R$9,"")</f>
        <v/>
      </c>
      <c r="IS235" s="803" t="str">
        <f>IF(IZ231&gt;=IA231,$S$9,"")</f>
        <v/>
      </c>
      <c r="IT235" s="803" t="str">
        <f>IF(IZ231&gt;=IA231,$T$9,"")</f>
        <v/>
      </c>
      <c r="IU235" s="803" t="str">
        <f>IF(IZ231&gt;=IA231,$U$9,"")</f>
        <v/>
      </c>
      <c r="IV235" s="803" t="str">
        <f>IF(IZ231&gt;=IA231,$V$9,"")</f>
        <v/>
      </c>
      <c r="IW235" s="805" t="str">
        <f>IF(IZ231&gt;=IA231,$W$9,"")</f>
        <v/>
      </c>
      <c r="IX235" s="806"/>
      <c r="IY235" s="806"/>
      <c r="IZ235" s="807"/>
    </row>
    <row r="236" spans="1:260" x14ac:dyDescent="0.25">
      <c r="A236" s="859"/>
      <c r="B236" s="809"/>
      <c r="C236" s="809"/>
      <c r="D236" s="809"/>
      <c r="E236" s="853"/>
      <c r="F236" s="808"/>
      <c r="G236" s="809"/>
      <c r="H236" s="809"/>
      <c r="I236" s="853"/>
      <c r="J236" s="812"/>
      <c r="K236" s="804"/>
      <c r="L236" s="804"/>
      <c r="M236" s="804"/>
      <c r="N236" s="804"/>
      <c r="O236" s="804"/>
      <c r="P236" s="804"/>
      <c r="Q236" s="804"/>
      <c r="R236" s="804"/>
      <c r="S236" s="804"/>
      <c r="T236" s="804"/>
      <c r="U236" s="804"/>
      <c r="V236" s="804"/>
      <c r="W236" s="808"/>
      <c r="X236" s="809"/>
      <c r="Y236" s="809"/>
      <c r="Z236" s="810"/>
      <c r="AA236" s="859"/>
      <c r="AB236" s="809"/>
      <c r="AC236" s="809"/>
      <c r="AD236" s="809"/>
      <c r="AE236" s="853"/>
      <c r="AF236" s="808"/>
      <c r="AG236" s="809"/>
      <c r="AH236" s="809"/>
      <c r="AI236" s="853"/>
      <c r="AJ236" s="812"/>
      <c r="AK236" s="804"/>
      <c r="AL236" s="804"/>
      <c r="AM236" s="804"/>
      <c r="AN236" s="804"/>
      <c r="AO236" s="804"/>
      <c r="AP236" s="804"/>
      <c r="AQ236" s="804"/>
      <c r="AR236" s="804"/>
      <c r="AS236" s="804"/>
      <c r="AT236" s="804"/>
      <c r="AU236" s="804"/>
      <c r="AV236" s="804"/>
      <c r="AW236" s="808"/>
      <c r="AX236" s="809"/>
      <c r="AY236" s="809"/>
      <c r="AZ236" s="810"/>
      <c r="BA236" s="859"/>
      <c r="BB236" s="809"/>
      <c r="BC236" s="809"/>
      <c r="BD236" s="809"/>
      <c r="BE236" s="853"/>
      <c r="BF236" s="808"/>
      <c r="BG236" s="809"/>
      <c r="BH236" s="809"/>
      <c r="BI236" s="853"/>
      <c r="BJ236" s="812"/>
      <c r="BK236" s="804"/>
      <c r="BL236" s="804"/>
      <c r="BM236" s="804"/>
      <c r="BN236" s="804"/>
      <c r="BO236" s="804"/>
      <c r="BP236" s="804"/>
      <c r="BQ236" s="804"/>
      <c r="BR236" s="804"/>
      <c r="BS236" s="804"/>
      <c r="BT236" s="804"/>
      <c r="BU236" s="804"/>
      <c r="BV236" s="804"/>
      <c r="BW236" s="808"/>
      <c r="BX236" s="809"/>
      <c r="BY236" s="809"/>
      <c r="BZ236" s="810"/>
      <c r="CA236" s="859"/>
      <c r="CB236" s="809"/>
      <c r="CC236" s="809"/>
      <c r="CD236" s="809"/>
      <c r="CE236" s="853"/>
      <c r="CF236" s="808"/>
      <c r="CG236" s="809"/>
      <c r="CH236" s="809"/>
      <c r="CI236" s="853"/>
      <c r="CJ236" s="812"/>
      <c r="CK236" s="804"/>
      <c r="CL236" s="804"/>
      <c r="CM236" s="804"/>
      <c r="CN236" s="804"/>
      <c r="CO236" s="804"/>
      <c r="CP236" s="804"/>
      <c r="CQ236" s="804"/>
      <c r="CR236" s="804"/>
      <c r="CS236" s="804"/>
      <c r="CT236" s="804"/>
      <c r="CU236" s="804"/>
      <c r="CV236" s="804"/>
      <c r="CW236" s="808"/>
      <c r="CX236" s="809"/>
      <c r="CY236" s="809"/>
      <c r="CZ236" s="810"/>
      <c r="DA236" s="859"/>
      <c r="DB236" s="809"/>
      <c r="DC236" s="809"/>
      <c r="DD236" s="809"/>
      <c r="DE236" s="853"/>
      <c r="DF236" s="808"/>
      <c r="DG236" s="809"/>
      <c r="DH236" s="809"/>
      <c r="DI236" s="853"/>
      <c r="DJ236" s="812"/>
      <c r="DK236" s="804"/>
      <c r="DL236" s="804"/>
      <c r="DM236" s="804"/>
      <c r="DN236" s="804"/>
      <c r="DO236" s="804"/>
      <c r="DP236" s="804"/>
      <c r="DQ236" s="804"/>
      <c r="DR236" s="804"/>
      <c r="DS236" s="804"/>
      <c r="DT236" s="804"/>
      <c r="DU236" s="804"/>
      <c r="DV236" s="804"/>
      <c r="DW236" s="808"/>
      <c r="DX236" s="809"/>
      <c r="DY236" s="809"/>
      <c r="DZ236" s="810"/>
      <c r="EA236" s="859"/>
      <c r="EB236" s="809"/>
      <c r="EC236" s="809"/>
      <c r="ED236" s="809"/>
      <c r="EE236" s="853"/>
      <c r="EF236" s="808"/>
      <c r="EG236" s="809"/>
      <c r="EH236" s="809"/>
      <c r="EI236" s="853"/>
      <c r="EJ236" s="812"/>
      <c r="EK236" s="804"/>
      <c r="EL236" s="804"/>
      <c r="EM236" s="804"/>
      <c r="EN236" s="804"/>
      <c r="EO236" s="804"/>
      <c r="EP236" s="804"/>
      <c r="EQ236" s="804"/>
      <c r="ER236" s="804"/>
      <c r="ES236" s="804"/>
      <c r="ET236" s="804"/>
      <c r="EU236" s="804"/>
      <c r="EV236" s="804"/>
      <c r="EW236" s="808"/>
      <c r="EX236" s="809"/>
      <c r="EY236" s="809"/>
      <c r="EZ236" s="810"/>
      <c r="FA236" s="859"/>
      <c r="FB236" s="809"/>
      <c r="FC236" s="809"/>
      <c r="FD236" s="809"/>
      <c r="FE236" s="853"/>
      <c r="FF236" s="808"/>
      <c r="FG236" s="809"/>
      <c r="FH236" s="809"/>
      <c r="FI236" s="853"/>
      <c r="FJ236" s="812"/>
      <c r="FK236" s="804"/>
      <c r="FL236" s="804"/>
      <c r="FM236" s="804"/>
      <c r="FN236" s="804"/>
      <c r="FO236" s="804"/>
      <c r="FP236" s="804"/>
      <c r="FQ236" s="804"/>
      <c r="FR236" s="804"/>
      <c r="FS236" s="804"/>
      <c r="FT236" s="804"/>
      <c r="FU236" s="804"/>
      <c r="FV236" s="804"/>
      <c r="FW236" s="808"/>
      <c r="FX236" s="809"/>
      <c r="FY236" s="809"/>
      <c r="FZ236" s="810"/>
      <c r="GA236" s="859"/>
      <c r="GB236" s="809"/>
      <c r="GC236" s="809"/>
      <c r="GD236" s="809"/>
      <c r="GE236" s="853"/>
      <c r="GF236" s="808"/>
      <c r="GG236" s="809"/>
      <c r="GH236" s="809"/>
      <c r="GI236" s="853"/>
      <c r="GJ236" s="812"/>
      <c r="GK236" s="804"/>
      <c r="GL236" s="804"/>
      <c r="GM236" s="804"/>
      <c r="GN236" s="804"/>
      <c r="GO236" s="804"/>
      <c r="GP236" s="804"/>
      <c r="GQ236" s="804"/>
      <c r="GR236" s="804"/>
      <c r="GS236" s="804"/>
      <c r="GT236" s="804"/>
      <c r="GU236" s="804"/>
      <c r="GV236" s="804"/>
      <c r="GW236" s="808"/>
      <c r="GX236" s="809"/>
      <c r="GY236" s="809"/>
      <c r="GZ236" s="810"/>
      <c r="HA236" s="859"/>
      <c r="HB236" s="809"/>
      <c r="HC236" s="809"/>
      <c r="HD236" s="809"/>
      <c r="HE236" s="853"/>
      <c r="HF236" s="808"/>
      <c r="HG236" s="809"/>
      <c r="HH236" s="809"/>
      <c r="HI236" s="853"/>
      <c r="HJ236" s="812"/>
      <c r="HK236" s="804"/>
      <c r="HL236" s="804"/>
      <c r="HM236" s="804"/>
      <c r="HN236" s="804"/>
      <c r="HO236" s="804"/>
      <c r="HP236" s="804"/>
      <c r="HQ236" s="804"/>
      <c r="HR236" s="804"/>
      <c r="HS236" s="804"/>
      <c r="HT236" s="804"/>
      <c r="HU236" s="804"/>
      <c r="HV236" s="804"/>
      <c r="HW236" s="808"/>
      <c r="HX236" s="809"/>
      <c r="HY236" s="809"/>
      <c r="HZ236" s="810"/>
      <c r="IA236" s="859"/>
      <c r="IB236" s="809"/>
      <c r="IC236" s="809"/>
      <c r="ID236" s="809"/>
      <c r="IE236" s="853"/>
      <c r="IF236" s="808"/>
      <c r="IG236" s="809"/>
      <c r="IH236" s="809"/>
      <c r="II236" s="853"/>
      <c r="IJ236" s="812"/>
      <c r="IK236" s="804"/>
      <c r="IL236" s="804"/>
      <c r="IM236" s="804"/>
      <c r="IN236" s="804"/>
      <c r="IO236" s="804"/>
      <c r="IP236" s="804"/>
      <c r="IQ236" s="804"/>
      <c r="IR236" s="804"/>
      <c r="IS236" s="804"/>
      <c r="IT236" s="804"/>
      <c r="IU236" s="804"/>
      <c r="IV236" s="804"/>
      <c r="IW236" s="808"/>
      <c r="IX236" s="809"/>
      <c r="IY236" s="809"/>
      <c r="IZ236" s="810"/>
    </row>
    <row r="237" spans="1:260" x14ac:dyDescent="0.25">
      <c r="A237" s="854" t="str">
        <f>IFERROR(INDEX(Lista_Pedidos,Procesos!Y231+A231-1,3),"")</f>
        <v/>
      </c>
      <c r="B237" s="855"/>
      <c r="C237" s="855"/>
      <c r="D237" s="855"/>
      <c r="E237" s="856"/>
      <c r="F237" s="857" t="str">
        <f>IF(Z231&gt;A231-1,E$11,"")</f>
        <v/>
      </c>
      <c r="G237" s="855"/>
      <c r="H237" s="855"/>
      <c r="I237" s="856"/>
      <c r="J237" s="526" t="str">
        <f>IFERROR(IF(IF(Z231&gt;A231-1,INDEX(Lista_Pedidos,Y231+A231-1,J231),"")=0,"",IF(Z231&gt;A231-1,INDEX(Lista_Pedidos,Y231+A231-1,J231),"")),"")</f>
        <v/>
      </c>
      <c r="K237" s="526" t="str">
        <f>IFERROR(IF(IF(Z231&gt;A231-1,INDEX(Lista_Pedidos,Y231+A231-1,K231),"")=0,"",IF(Z231&gt;A231-1,INDEX(Lista_Pedidos,Y231+A231-1,K231),"")),"")</f>
        <v/>
      </c>
      <c r="L237" s="526" t="str">
        <f>IFERROR(IF(IF(Z231&gt;A231-1,INDEX(Lista_Pedidos,Y231+A231-1,L231),"")=0,"",IF(Z231&gt;A231-1,INDEX(Lista_Pedidos,Y231+A231-1,L231),"")),"")</f>
        <v/>
      </c>
      <c r="M237" s="526" t="str">
        <f>IFERROR(IF(IF(Z231&gt;A231-1,INDEX(Lista_Pedidos,Y231+A231-1,M231),"")=0,"",IF(Z231&gt;A231-1,INDEX(Lista_Pedidos,Y231+A231-1,M231),"")),"")</f>
        <v/>
      </c>
      <c r="N237" s="526" t="str">
        <f>IFERROR(IF(IF(Z231&gt;A231-1,INDEX(Lista_Pedidos,Y231+A231-1,N231),"")=0,"",IF(Z231&gt;A231-1,INDEX(Lista_Pedidos,Y231+A231-1,N231),"")),"")</f>
        <v/>
      </c>
      <c r="O237" s="526" t="str">
        <f>IFERROR(IF(IF(Z231&gt;A231-1,INDEX(Lista_Pedidos,Y231+A231-1,O231),"")=0,"",IF(Z231&gt;A231-1,INDEX(Lista_Pedidos,Y231+A231-1,O231),"")),"")</f>
        <v/>
      </c>
      <c r="P237" s="526" t="str">
        <f>IFERROR(IF(IF(Z231&gt;A231-1,INDEX(Lista_Pedidos,Y231+A231-1,P231),"")=0,"",IF(Z231&gt;A231-1,INDEX(Lista_Pedidos,Y231+A231-1,P231),"")),"")</f>
        <v/>
      </c>
      <c r="Q237" s="526" t="str">
        <f>IFERROR(IF(IF(Z231&gt;A231-1,INDEX(Lista_Pedidos,Y231+A231-1,Q231),"")=0,"",IF(Z231&gt;A231-1,INDEX(Lista_Pedidos,Y231+A231-1,Q231),"")),"")</f>
        <v/>
      </c>
      <c r="R237" s="526" t="str">
        <f>IFERROR(IF(IF(Z231&gt;A231-1,INDEX(Lista_Pedidos,Y231+A231-1,R231),"")=0,"",IF(Z231&gt;A231-1,INDEX(Lista_Pedidos,Y231+A231-1,R231),"")),"")</f>
        <v/>
      </c>
      <c r="S237" s="526" t="str">
        <f>IFERROR(IF(IF(Z231&gt;A231-1,INDEX(Lista_Pedidos,Y231+A231-1,S231),"")=0,"",IF(Z231&gt;A231-1,INDEX(Lista_Pedidos,Y231+A231-1,S231),"")),"")</f>
        <v/>
      </c>
      <c r="T237" s="526" t="str">
        <f>IFERROR(IF(IF(Z231&gt;A231-1,INDEX(Lista_Pedidos,Y231+A231-1,T231),"")=0,"",IF(Z231&gt;A231-1,INDEX(Lista_Pedidos,Y231+A231-1,T231),"")),"")</f>
        <v/>
      </c>
      <c r="U237" s="526" t="str">
        <f>IFERROR(IF(IF(Z231&gt;A231-1,INDEX(Lista_Pedidos,Y231+A231-1,U231),"")=0,"",IF(Z231&gt;A231-1,INDEX(Lista_Pedidos,Y231+A231-1,U231),"")),"")</f>
        <v/>
      </c>
      <c r="V237" s="526" t="str">
        <f>IFERROR(IF(IF(Z231&gt;A231-1,INDEX(Lista_Pedidos,Y231+A231-1,V231),"")=0,"",IF(Z231&gt;A231-1,INDEX(Lista_Pedidos,Y231+A231-1,V231),"")),"")</f>
        <v/>
      </c>
      <c r="W237" s="857" t="str">
        <f>IF(SUM(J237:V237)&gt;1,SUM(J237:V237),"")</f>
        <v/>
      </c>
      <c r="X237" s="855"/>
      <c r="Y237" s="855"/>
      <c r="Z237" s="860"/>
      <c r="AA237" s="854" t="str">
        <f>IFERROR(INDEX(Lista_Pedidos,Procesos!AY231+AA231-1,3),"")</f>
        <v/>
      </c>
      <c r="AB237" s="855"/>
      <c r="AC237" s="855"/>
      <c r="AD237" s="855"/>
      <c r="AE237" s="856"/>
      <c r="AF237" s="857" t="str">
        <f>IF(AZ231&gt;AA231-1,AE$11,"")</f>
        <v/>
      </c>
      <c r="AG237" s="855"/>
      <c r="AH237" s="855"/>
      <c r="AI237" s="856"/>
      <c r="AJ237" s="526" t="str">
        <f>IFERROR(IF(IF(AZ231&gt;AA231-1,INDEX(Lista_Pedidos,AY231+AA231-1,AJ231),"")=0,"",IF(AZ231&gt;AA231-1,INDEX(Lista_Pedidos,AY231+AA231-1,AJ231),"")),"")</f>
        <v/>
      </c>
      <c r="AK237" s="526" t="str">
        <f>IFERROR(IF(IF(AZ231&gt;AA231-1,INDEX(Lista_Pedidos,AY231+AA231-1,AK231),"")=0,"",IF(AZ231&gt;AA231-1,INDEX(Lista_Pedidos,AY231+AA231-1,AK231),"")),"")</f>
        <v/>
      </c>
      <c r="AL237" s="526" t="str">
        <f>IFERROR(IF(IF(AZ231&gt;AA231-1,INDEX(Lista_Pedidos,AY231+AA231-1,AL231),"")=0,"",IF(AZ231&gt;AA231-1,INDEX(Lista_Pedidos,AY231+AA231-1,AL231),"")),"")</f>
        <v/>
      </c>
      <c r="AM237" s="526" t="str">
        <f>IFERROR(IF(IF(AZ231&gt;AA231-1,INDEX(Lista_Pedidos,AY231+AA231-1,AM231),"")=0,"",IF(AZ231&gt;AA231-1,INDEX(Lista_Pedidos,AY231+AA231-1,AM231),"")),"")</f>
        <v/>
      </c>
      <c r="AN237" s="526" t="str">
        <f>IFERROR(IF(IF(AZ231&gt;AA231-1,INDEX(Lista_Pedidos,AY231+AA231-1,AN231),"")=0,"",IF(AZ231&gt;AA231-1,INDEX(Lista_Pedidos,AY231+AA231-1,AN231),"")),"")</f>
        <v/>
      </c>
      <c r="AO237" s="526" t="str">
        <f>IFERROR(IF(IF(AZ231&gt;AA231-1,INDEX(Lista_Pedidos,AY231+AA231-1,AO231),"")=0,"",IF(AZ231&gt;AA231-1,INDEX(Lista_Pedidos,AY231+AA231-1,AO231),"")),"")</f>
        <v/>
      </c>
      <c r="AP237" s="526" t="str">
        <f>IFERROR(IF(IF(AZ231&gt;AA231-1,INDEX(Lista_Pedidos,AY231+AA231-1,AP231),"")=0,"",IF(AZ231&gt;AA231-1,INDEX(Lista_Pedidos,AY231+AA231-1,AP231),"")),"")</f>
        <v/>
      </c>
      <c r="AQ237" s="526" t="str">
        <f>IFERROR(IF(IF(AZ231&gt;AA231-1,INDEX(Lista_Pedidos,AY231+AA231-1,AQ231),"")=0,"",IF(AZ231&gt;AA231-1,INDEX(Lista_Pedidos,AY231+AA231-1,AQ231),"")),"")</f>
        <v/>
      </c>
      <c r="AR237" s="526" t="str">
        <f>IFERROR(IF(IF(AZ231&gt;AA231-1,INDEX(Lista_Pedidos,AY231+AA231-1,AR231),"")=0,"",IF(AZ231&gt;AA231-1,INDEX(Lista_Pedidos,AY231+AA231-1,AR231),"")),"")</f>
        <v/>
      </c>
      <c r="AS237" s="526" t="str">
        <f>IFERROR(IF(IF(AZ231&gt;AA231-1,INDEX(Lista_Pedidos,AY231+AA231-1,AS231),"")=0,"",IF(AZ231&gt;AA231-1,INDEX(Lista_Pedidos,AY231+AA231-1,AS231),"")),"")</f>
        <v/>
      </c>
      <c r="AT237" s="526" t="str">
        <f>IFERROR(IF(IF(AZ231&gt;AA231-1,INDEX(Lista_Pedidos,AY231+AA231-1,AT231),"")=0,"",IF(AZ231&gt;AA231-1,INDEX(Lista_Pedidos,AY231+AA231-1,AT231),"")),"")</f>
        <v/>
      </c>
      <c r="AU237" s="526" t="str">
        <f>IFERROR(IF(IF(AZ231&gt;AA231-1,INDEX(Lista_Pedidos,AY231+AA231-1,AU231),"")=0,"",IF(AZ231&gt;AA231-1,INDEX(Lista_Pedidos,AY231+AA231-1,AU231),"")),"")</f>
        <v/>
      </c>
      <c r="AV237" s="526" t="str">
        <f>IFERROR(IF(IF(AZ231&gt;AA231-1,INDEX(Lista_Pedidos,AY231+AA231-1,AV231),"")=0,"",IF(AZ231&gt;AA231-1,INDEX(Lista_Pedidos,AY231+AA231-1,AV231),"")),"")</f>
        <v/>
      </c>
      <c r="AW237" s="857" t="str">
        <f>IF(SUM(AJ237:AV237)&gt;1,SUM(AJ237:AV237),"")</f>
        <v/>
      </c>
      <c r="AX237" s="855"/>
      <c r="AY237" s="855"/>
      <c r="AZ237" s="860"/>
      <c r="BA237" s="854" t="str">
        <f>IFERROR(INDEX(Lista_Pedidos,Procesos!BY231+BA231-1,3),"")</f>
        <v/>
      </c>
      <c r="BB237" s="855"/>
      <c r="BC237" s="855"/>
      <c r="BD237" s="855"/>
      <c r="BE237" s="856"/>
      <c r="BF237" s="857" t="str">
        <f>IF(BZ231&gt;BA231-1,BE$11,"")</f>
        <v/>
      </c>
      <c r="BG237" s="855"/>
      <c r="BH237" s="855"/>
      <c r="BI237" s="856"/>
      <c r="BJ237" s="526" t="str">
        <f>IFERROR(IF(IF(BZ231&gt;BA231-1,INDEX(Lista_Pedidos,BY231+BA231-1,BJ231),"")=0,"",IF(BZ231&gt;BA231-1,INDEX(Lista_Pedidos,BY231+BA231-1,BJ231),"")),"")</f>
        <v/>
      </c>
      <c r="BK237" s="526" t="str">
        <f>IFERROR(IF(IF(BZ231&gt;BA231-1,INDEX(Lista_Pedidos,BY231+BA231-1,BK231),"")=0,"",IF(BZ231&gt;BA231-1,INDEX(Lista_Pedidos,BY231+BA231-1,BK231),"")),"")</f>
        <v/>
      </c>
      <c r="BL237" s="526" t="str">
        <f>IFERROR(IF(IF(BZ231&gt;BA231-1,INDEX(Lista_Pedidos,BY231+BA231-1,BL231),"")=0,"",IF(BZ231&gt;BA231-1,INDEX(Lista_Pedidos,BY231+BA231-1,BL231),"")),"")</f>
        <v/>
      </c>
      <c r="BM237" s="526" t="str">
        <f>IFERROR(IF(IF(BZ231&gt;BA231-1,INDEX(Lista_Pedidos,BY231+BA231-1,BM231),"")=0,"",IF(BZ231&gt;BA231-1,INDEX(Lista_Pedidos,BY231+BA231-1,BM231),"")),"")</f>
        <v/>
      </c>
      <c r="BN237" s="526" t="str">
        <f>IFERROR(IF(IF(BZ231&gt;BA231-1,INDEX(Lista_Pedidos,BY231+BA231-1,BN231),"")=0,"",IF(BZ231&gt;BA231-1,INDEX(Lista_Pedidos,BY231+BA231-1,BN231),"")),"")</f>
        <v/>
      </c>
      <c r="BO237" s="526" t="str">
        <f>IFERROR(IF(IF(BZ231&gt;BA231-1,INDEX(Lista_Pedidos,BY231+BA231-1,BO231),"")=0,"",IF(BZ231&gt;BA231-1,INDEX(Lista_Pedidos,BY231+BA231-1,BO231),"")),"")</f>
        <v/>
      </c>
      <c r="BP237" s="526" t="str">
        <f>IFERROR(IF(IF(BZ231&gt;BA231-1,INDEX(Lista_Pedidos,BY231+BA231-1,BP231),"")=0,"",IF(BZ231&gt;BA231-1,INDEX(Lista_Pedidos,BY231+BA231-1,BP231),"")),"")</f>
        <v/>
      </c>
      <c r="BQ237" s="526" t="str">
        <f>IFERROR(IF(IF(BZ231&gt;BA231-1,INDEX(Lista_Pedidos,BY231+BA231-1,BQ231),"")=0,"",IF(BZ231&gt;BA231-1,INDEX(Lista_Pedidos,BY231+BA231-1,BQ231),"")),"")</f>
        <v/>
      </c>
      <c r="BR237" s="526" t="str">
        <f>IFERROR(IF(IF(BZ231&gt;BA231-1,INDEX(Lista_Pedidos,BY231+BA231-1,BR231),"")=0,"",IF(BZ231&gt;BA231-1,INDEX(Lista_Pedidos,BY231+BA231-1,BR231),"")),"")</f>
        <v/>
      </c>
      <c r="BS237" s="526" t="str">
        <f>IFERROR(IF(IF(BZ231&gt;BA231-1,INDEX(Lista_Pedidos,BY231+BA231-1,BS231),"")=0,"",IF(BZ231&gt;BA231-1,INDEX(Lista_Pedidos,BY231+BA231-1,BS231),"")),"")</f>
        <v/>
      </c>
      <c r="BT237" s="526" t="str">
        <f>IFERROR(IF(IF(BZ231&gt;BA231-1,INDEX(Lista_Pedidos,BY231+BA231-1,BT231),"")=0,"",IF(BZ231&gt;BA231-1,INDEX(Lista_Pedidos,BY231+BA231-1,BT231),"")),"")</f>
        <v/>
      </c>
      <c r="BU237" s="526" t="str">
        <f>IFERROR(IF(IF(BZ231&gt;BA231-1,INDEX(Lista_Pedidos,BY231+BA231-1,BU231),"")=0,"",IF(BZ231&gt;BA231-1,INDEX(Lista_Pedidos,BY231+BA231-1,BU231),"")),"")</f>
        <v/>
      </c>
      <c r="BV237" s="526" t="str">
        <f>IFERROR(IF(IF(BZ231&gt;BA231-1,INDEX(Lista_Pedidos,BY231+BA231-1,BV231),"")=0,"",IF(BZ231&gt;BA231-1,INDEX(Lista_Pedidos,BY231+BA231-1,BV231),"")),"")</f>
        <v/>
      </c>
      <c r="BW237" s="857" t="str">
        <f>IF(SUM(BJ237:BV237)&gt;1,SUM(BJ237:BV237),"")</f>
        <v/>
      </c>
      <c r="BX237" s="855"/>
      <c r="BY237" s="855"/>
      <c r="BZ237" s="860"/>
      <c r="CA237" s="854" t="str">
        <f>IFERROR(INDEX(Lista_Pedidos,Procesos!CY231+CA231-1,3),"")</f>
        <v/>
      </c>
      <c r="CB237" s="855"/>
      <c r="CC237" s="855"/>
      <c r="CD237" s="855"/>
      <c r="CE237" s="856"/>
      <c r="CF237" s="857" t="str">
        <f>IF(CZ231&gt;CA231-1,CE$11,"")</f>
        <v/>
      </c>
      <c r="CG237" s="855"/>
      <c r="CH237" s="855"/>
      <c r="CI237" s="856"/>
      <c r="CJ237" s="526" t="str">
        <f>IFERROR(IF(IF(CZ231&gt;CA231-1,INDEX(Lista_Pedidos,CY231+CA231-1,CJ231),"")=0,"",IF(CZ231&gt;CA231-1,INDEX(Lista_Pedidos,CY231+CA231-1,CJ231),"")),"")</f>
        <v/>
      </c>
      <c r="CK237" s="526" t="str">
        <f>IFERROR(IF(IF(CZ231&gt;CA231-1,INDEX(Lista_Pedidos,CY231+CA231-1,CK231),"")=0,"",IF(CZ231&gt;CA231-1,INDEX(Lista_Pedidos,CY231+CA231-1,CK231),"")),"")</f>
        <v/>
      </c>
      <c r="CL237" s="526" t="str">
        <f>IFERROR(IF(IF(CZ231&gt;CA231-1,INDEX(Lista_Pedidos,CY231+CA231-1,CL231),"")=0,"",IF(CZ231&gt;CA231-1,INDEX(Lista_Pedidos,CY231+CA231-1,CL231),"")),"")</f>
        <v/>
      </c>
      <c r="CM237" s="526" t="str">
        <f>IFERROR(IF(IF(CZ231&gt;CA231-1,INDEX(Lista_Pedidos,CY231+CA231-1,CM231),"")=0,"",IF(CZ231&gt;CA231-1,INDEX(Lista_Pedidos,CY231+CA231-1,CM231),"")),"")</f>
        <v/>
      </c>
      <c r="CN237" s="526" t="str">
        <f>IFERROR(IF(IF(CZ231&gt;CA231-1,INDEX(Lista_Pedidos,CY231+CA231-1,CN231),"")=0,"",IF(CZ231&gt;CA231-1,INDEX(Lista_Pedidos,CY231+CA231-1,CN231),"")),"")</f>
        <v/>
      </c>
      <c r="CO237" s="526" t="str">
        <f>IFERROR(IF(IF(CZ231&gt;CA231-1,INDEX(Lista_Pedidos,CY231+CA231-1,CO231),"")=0,"",IF(CZ231&gt;CA231-1,INDEX(Lista_Pedidos,CY231+CA231-1,CO231),"")),"")</f>
        <v/>
      </c>
      <c r="CP237" s="526" t="str">
        <f>IFERROR(IF(IF(CZ231&gt;CA231-1,INDEX(Lista_Pedidos,CY231+CA231-1,CP231),"")=0,"",IF(CZ231&gt;CA231-1,INDEX(Lista_Pedidos,CY231+CA231-1,CP231),"")),"")</f>
        <v/>
      </c>
      <c r="CQ237" s="526" t="str">
        <f>IFERROR(IF(IF(CZ231&gt;CA231-1,INDEX(Lista_Pedidos,CY231+CA231-1,CQ231),"")=0,"",IF(CZ231&gt;CA231-1,INDEX(Lista_Pedidos,CY231+CA231-1,CQ231),"")),"")</f>
        <v/>
      </c>
      <c r="CR237" s="526" t="str">
        <f>IFERROR(IF(IF(CZ231&gt;CA231-1,INDEX(Lista_Pedidos,CY231+CA231-1,CR231),"")=0,"",IF(CZ231&gt;CA231-1,INDEX(Lista_Pedidos,CY231+CA231-1,CR231),"")),"")</f>
        <v/>
      </c>
      <c r="CS237" s="526" t="str">
        <f>IFERROR(IF(IF(CZ231&gt;CA231-1,INDEX(Lista_Pedidos,CY231+CA231-1,CS231),"")=0,"",IF(CZ231&gt;CA231-1,INDEX(Lista_Pedidos,CY231+CA231-1,CS231),"")),"")</f>
        <v/>
      </c>
      <c r="CT237" s="526" t="str">
        <f>IFERROR(IF(IF(CZ231&gt;CA231-1,INDEX(Lista_Pedidos,CY231+CA231-1,CT231),"")=0,"",IF(CZ231&gt;CA231-1,INDEX(Lista_Pedidos,CY231+CA231-1,CT231),"")),"")</f>
        <v/>
      </c>
      <c r="CU237" s="526" t="str">
        <f>IFERROR(IF(IF(CZ231&gt;CA231-1,INDEX(Lista_Pedidos,CY231+CA231-1,CU231),"")=0,"",IF(CZ231&gt;CA231-1,INDEX(Lista_Pedidos,CY231+CA231-1,CU231),"")),"")</f>
        <v/>
      </c>
      <c r="CV237" s="526" t="str">
        <f>IFERROR(IF(IF(CZ231&gt;CA231-1,INDEX(Lista_Pedidos,CY231+CA231-1,CV231),"")=0,"",IF(CZ231&gt;CA231-1,INDEX(Lista_Pedidos,CY231+CA231-1,CV231),"")),"")</f>
        <v/>
      </c>
      <c r="CW237" s="857" t="str">
        <f>IF(SUM(CJ237:CV237)&gt;1,SUM(CJ237:CV237),"")</f>
        <v/>
      </c>
      <c r="CX237" s="855"/>
      <c r="CY237" s="855"/>
      <c r="CZ237" s="860"/>
      <c r="DA237" s="854" t="str">
        <f>IFERROR(INDEX(Lista_Pedidos,Procesos!DY231+DA231-1,3),"")</f>
        <v/>
      </c>
      <c r="DB237" s="855"/>
      <c r="DC237" s="855"/>
      <c r="DD237" s="855"/>
      <c r="DE237" s="856"/>
      <c r="DF237" s="857" t="str">
        <f>IF(DZ231&gt;DA231-1,DE$11,"")</f>
        <v/>
      </c>
      <c r="DG237" s="855"/>
      <c r="DH237" s="855"/>
      <c r="DI237" s="856"/>
      <c r="DJ237" s="526" t="str">
        <f>IFERROR(IF(IF(DZ231&gt;DA231-1,INDEX(Lista_Pedidos,DY231+DA231-1,DJ231),"")=0,"",IF(DZ231&gt;DA231-1,INDEX(Lista_Pedidos,DY231+DA231-1,DJ231),"")),"")</f>
        <v/>
      </c>
      <c r="DK237" s="526" t="str">
        <f>IFERROR(IF(IF(DZ231&gt;DA231-1,INDEX(Lista_Pedidos,DY231+DA231-1,DK231),"")=0,"",IF(DZ231&gt;DA231-1,INDEX(Lista_Pedidos,DY231+DA231-1,DK231),"")),"")</f>
        <v/>
      </c>
      <c r="DL237" s="526" t="str">
        <f>IFERROR(IF(IF(DZ231&gt;DA231-1,INDEX(Lista_Pedidos,DY231+DA231-1,DL231),"")=0,"",IF(DZ231&gt;DA231-1,INDEX(Lista_Pedidos,DY231+DA231-1,DL231),"")),"")</f>
        <v/>
      </c>
      <c r="DM237" s="526" t="str">
        <f>IFERROR(IF(IF(DZ231&gt;DA231-1,INDEX(Lista_Pedidos,DY231+DA231-1,DM231),"")=0,"",IF(DZ231&gt;DA231-1,INDEX(Lista_Pedidos,DY231+DA231-1,DM231),"")),"")</f>
        <v/>
      </c>
      <c r="DN237" s="526" t="str">
        <f>IFERROR(IF(IF(DZ231&gt;DA231-1,INDEX(Lista_Pedidos,DY231+DA231-1,DN231),"")=0,"",IF(DZ231&gt;DA231-1,INDEX(Lista_Pedidos,DY231+DA231-1,DN231),"")),"")</f>
        <v/>
      </c>
      <c r="DO237" s="526" t="str">
        <f>IFERROR(IF(IF(DZ231&gt;DA231-1,INDEX(Lista_Pedidos,DY231+DA231-1,DO231),"")=0,"",IF(DZ231&gt;DA231-1,INDEX(Lista_Pedidos,DY231+DA231-1,DO231),"")),"")</f>
        <v/>
      </c>
      <c r="DP237" s="526" t="str">
        <f>IFERROR(IF(IF(DZ231&gt;DA231-1,INDEX(Lista_Pedidos,DY231+DA231-1,DP231),"")=0,"",IF(DZ231&gt;DA231-1,INDEX(Lista_Pedidos,DY231+DA231-1,DP231),"")),"")</f>
        <v/>
      </c>
      <c r="DQ237" s="526" t="str">
        <f>IFERROR(IF(IF(DZ231&gt;DA231-1,INDEX(Lista_Pedidos,DY231+DA231-1,DQ231),"")=0,"",IF(DZ231&gt;DA231-1,INDEX(Lista_Pedidos,DY231+DA231-1,DQ231),"")),"")</f>
        <v/>
      </c>
      <c r="DR237" s="526" t="str">
        <f>IFERROR(IF(IF(DZ231&gt;DA231-1,INDEX(Lista_Pedidos,DY231+DA231-1,DR231),"")=0,"",IF(DZ231&gt;DA231-1,INDEX(Lista_Pedidos,DY231+DA231-1,DR231),"")),"")</f>
        <v/>
      </c>
      <c r="DS237" s="526" t="str">
        <f>IFERROR(IF(IF(DZ231&gt;DA231-1,INDEX(Lista_Pedidos,DY231+DA231-1,DS231),"")=0,"",IF(DZ231&gt;DA231-1,INDEX(Lista_Pedidos,DY231+DA231-1,DS231),"")),"")</f>
        <v/>
      </c>
      <c r="DT237" s="526" t="str">
        <f>IFERROR(IF(IF(DZ231&gt;DA231-1,INDEX(Lista_Pedidos,DY231+DA231-1,DT231),"")=0,"",IF(DZ231&gt;DA231-1,INDEX(Lista_Pedidos,DY231+DA231-1,DT231),"")),"")</f>
        <v/>
      </c>
      <c r="DU237" s="526" t="str">
        <f>IFERROR(IF(IF(DZ231&gt;DA231-1,INDEX(Lista_Pedidos,DY231+DA231-1,DU231),"")=0,"",IF(DZ231&gt;DA231-1,INDEX(Lista_Pedidos,DY231+DA231-1,DU231),"")),"")</f>
        <v/>
      </c>
      <c r="DV237" s="526" t="str">
        <f>IFERROR(IF(IF(DZ231&gt;DA231-1,INDEX(Lista_Pedidos,DY231+DA231-1,DV231),"")=0,"",IF(DZ231&gt;DA231-1,INDEX(Lista_Pedidos,DY231+DA231-1,DV231),"")),"")</f>
        <v/>
      </c>
      <c r="DW237" s="857" t="str">
        <f>IF(SUM(DJ237:DV237)&gt;1,SUM(DJ237:DV237),"")</f>
        <v/>
      </c>
      <c r="DX237" s="855"/>
      <c r="DY237" s="855"/>
      <c r="DZ237" s="860"/>
      <c r="EA237" s="854" t="str">
        <f>IFERROR(INDEX(Lista_Pedidos,Procesos!EY231+EA231-1,3),"")</f>
        <v/>
      </c>
      <c r="EB237" s="855"/>
      <c r="EC237" s="855"/>
      <c r="ED237" s="855"/>
      <c r="EE237" s="856"/>
      <c r="EF237" s="857" t="str">
        <f>IF(EZ231&gt;EA231-1,EE$11,"")</f>
        <v/>
      </c>
      <c r="EG237" s="855"/>
      <c r="EH237" s="855"/>
      <c r="EI237" s="856"/>
      <c r="EJ237" s="526" t="str">
        <f>IFERROR(IF(IF(EZ231&gt;EA231-1,INDEX(Lista_Pedidos,EY231+EA231-1,EJ231),"")=0,"",IF(EZ231&gt;EA231-1,INDEX(Lista_Pedidos,EY231+EA231-1,EJ231),"")),"")</f>
        <v/>
      </c>
      <c r="EK237" s="526" t="str">
        <f>IFERROR(IF(IF(EZ231&gt;EA231-1,INDEX(Lista_Pedidos,EY231+EA231-1,EK231),"")=0,"",IF(EZ231&gt;EA231-1,INDEX(Lista_Pedidos,EY231+EA231-1,EK231),"")),"")</f>
        <v/>
      </c>
      <c r="EL237" s="526" t="str">
        <f>IFERROR(IF(IF(EZ231&gt;EA231-1,INDEX(Lista_Pedidos,EY231+EA231-1,EL231),"")=0,"",IF(EZ231&gt;EA231-1,INDEX(Lista_Pedidos,EY231+EA231-1,EL231),"")),"")</f>
        <v/>
      </c>
      <c r="EM237" s="526" t="str">
        <f>IFERROR(IF(IF(EZ231&gt;EA231-1,INDEX(Lista_Pedidos,EY231+EA231-1,EM231),"")=0,"",IF(EZ231&gt;EA231-1,INDEX(Lista_Pedidos,EY231+EA231-1,EM231),"")),"")</f>
        <v/>
      </c>
      <c r="EN237" s="526" t="str">
        <f>IFERROR(IF(IF(EZ231&gt;EA231-1,INDEX(Lista_Pedidos,EY231+EA231-1,EN231),"")=0,"",IF(EZ231&gt;EA231-1,INDEX(Lista_Pedidos,EY231+EA231-1,EN231),"")),"")</f>
        <v/>
      </c>
      <c r="EO237" s="526" t="str">
        <f>IFERROR(IF(IF(EZ231&gt;EA231-1,INDEX(Lista_Pedidos,EY231+EA231-1,EO231),"")=0,"",IF(EZ231&gt;EA231-1,INDEX(Lista_Pedidos,EY231+EA231-1,EO231),"")),"")</f>
        <v/>
      </c>
      <c r="EP237" s="526" t="str">
        <f>IFERROR(IF(IF(EZ231&gt;EA231-1,INDEX(Lista_Pedidos,EY231+EA231-1,EP231),"")=0,"",IF(EZ231&gt;EA231-1,INDEX(Lista_Pedidos,EY231+EA231-1,EP231),"")),"")</f>
        <v/>
      </c>
      <c r="EQ237" s="526" t="str">
        <f>IFERROR(IF(IF(EZ231&gt;EA231-1,INDEX(Lista_Pedidos,EY231+EA231-1,EQ231),"")=0,"",IF(EZ231&gt;EA231-1,INDEX(Lista_Pedidos,EY231+EA231-1,EQ231),"")),"")</f>
        <v/>
      </c>
      <c r="ER237" s="526" t="str">
        <f>IFERROR(IF(IF(EZ231&gt;EA231-1,INDEX(Lista_Pedidos,EY231+EA231-1,ER231),"")=0,"",IF(EZ231&gt;EA231-1,INDEX(Lista_Pedidos,EY231+EA231-1,ER231),"")),"")</f>
        <v/>
      </c>
      <c r="ES237" s="526" t="str">
        <f>IFERROR(IF(IF(EZ231&gt;EA231-1,INDEX(Lista_Pedidos,EY231+EA231-1,ES231),"")=0,"",IF(EZ231&gt;EA231-1,INDEX(Lista_Pedidos,EY231+EA231-1,ES231),"")),"")</f>
        <v/>
      </c>
      <c r="ET237" s="526" t="str">
        <f>IFERROR(IF(IF(EZ231&gt;EA231-1,INDEX(Lista_Pedidos,EY231+EA231-1,ET231),"")=0,"",IF(EZ231&gt;EA231-1,INDEX(Lista_Pedidos,EY231+EA231-1,ET231),"")),"")</f>
        <v/>
      </c>
      <c r="EU237" s="526" t="str">
        <f>IFERROR(IF(IF(EZ231&gt;EA231-1,INDEX(Lista_Pedidos,EY231+EA231-1,EU231),"")=0,"",IF(EZ231&gt;EA231-1,INDEX(Lista_Pedidos,EY231+EA231-1,EU231),"")),"")</f>
        <v/>
      </c>
      <c r="EV237" s="526" t="str">
        <f>IFERROR(IF(IF(EZ231&gt;EA231-1,INDEX(Lista_Pedidos,EY231+EA231-1,EV231),"")=0,"",IF(EZ231&gt;EA231-1,INDEX(Lista_Pedidos,EY231+EA231-1,EV231),"")),"")</f>
        <v/>
      </c>
      <c r="EW237" s="857" t="str">
        <f>IF(SUM(EJ237:EV237)&gt;1,SUM(EJ237:EV237),"")</f>
        <v/>
      </c>
      <c r="EX237" s="855"/>
      <c r="EY237" s="855"/>
      <c r="EZ237" s="860"/>
      <c r="FA237" s="854" t="str">
        <f>IFERROR(INDEX(Lista_Pedidos,Procesos!FY231+FA231-1,3),"")</f>
        <v/>
      </c>
      <c r="FB237" s="855"/>
      <c r="FC237" s="855"/>
      <c r="FD237" s="855"/>
      <c r="FE237" s="856"/>
      <c r="FF237" s="857" t="str">
        <f>IF(FZ231&gt;FA231-1,FE$11,"")</f>
        <v/>
      </c>
      <c r="FG237" s="855"/>
      <c r="FH237" s="855"/>
      <c r="FI237" s="856"/>
      <c r="FJ237" s="526" t="str">
        <f>IFERROR(IF(IF(FZ231&gt;FA231-1,INDEX(Lista_Pedidos,FY231+FA231-1,FJ231),"")=0,"",IF(FZ231&gt;FA231-1,INDEX(Lista_Pedidos,FY231+FA231-1,FJ231),"")),"")</f>
        <v/>
      </c>
      <c r="FK237" s="526" t="str">
        <f>IFERROR(IF(IF(FZ231&gt;FA231-1,INDEX(Lista_Pedidos,FY231+FA231-1,FK231),"")=0,"",IF(FZ231&gt;FA231-1,INDEX(Lista_Pedidos,FY231+FA231-1,FK231),"")),"")</f>
        <v/>
      </c>
      <c r="FL237" s="526" t="str">
        <f>IFERROR(IF(IF(FZ231&gt;FA231-1,INDEX(Lista_Pedidos,FY231+FA231-1,FL231),"")=0,"",IF(FZ231&gt;FA231-1,INDEX(Lista_Pedidos,FY231+FA231-1,FL231),"")),"")</f>
        <v/>
      </c>
      <c r="FM237" s="526" t="str">
        <f>IFERROR(IF(IF(FZ231&gt;FA231-1,INDEX(Lista_Pedidos,FY231+FA231-1,FM231),"")=0,"",IF(FZ231&gt;FA231-1,INDEX(Lista_Pedidos,FY231+FA231-1,FM231),"")),"")</f>
        <v/>
      </c>
      <c r="FN237" s="526" t="str">
        <f>IFERROR(IF(IF(FZ231&gt;FA231-1,INDEX(Lista_Pedidos,FY231+FA231-1,FN231),"")=0,"",IF(FZ231&gt;FA231-1,INDEX(Lista_Pedidos,FY231+FA231-1,FN231),"")),"")</f>
        <v/>
      </c>
      <c r="FO237" s="526" t="str">
        <f>IFERROR(IF(IF(FZ231&gt;FA231-1,INDEX(Lista_Pedidos,FY231+FA231-1,FO231),"")=0,"",IF(FZ231&gt;FA231-1,INDEX(Lista_Pedidos,FY231+FA231-1,FO231),"")),"")</f>
        <v/>
      </c>
      <c r="FP237" s="526" t="str">
        <f>IFERROR(IF(IF(FZ231&gt;FA231-1,INDEX(Lista_Pedidos,FY231+FA231-1,FP231),"")=0,"",IF(FZ231&gt;FA231-1,INDEX(Lista_Pedidos,FY231+FA231-1,FP231),"")),"")</f>
        <v/>
      </c>
      <c r="FQ237" s="526" t="str">
        <f>IFERROR(IF(IF(FZ231&gt;FA231-1,INDEX(Lista_Pedidos,FY231+FA231-1,FQ231),"")=0,"",IF(FZ231&gt;FA231-1,INDEX(Lista_Pedidos,FY231+FA231-1,FQ231),"")),"")</f>
        <v/>
      </c>
      <c r="FR237" s="526" t="str">
        <f>IFERROR(IF(IF(FZ231&gt;FA231-1,INDEX(Lista_Pedidos,FY231+FA231-1,FR231),"")=0,"",IF(FZ231&gt;FA231-1,INDEX(Lista_Pedidos,FY231+FA231-1,FR231),"")),"")</f>
        <v/>
      </c>
      <c r="FS237" s="526" t="str">
        <f>IFERROR(IF(IF(FZ231&gt;FA231-1,INDEX(Lista_Pedidos,FY231+FA231-1,FS231),"")=0,"",IF(FZ231&gt;FA231-1,INDEX(Lista_Pedidos,FY231+FA231-1,FS231),"")),"")</f>
        <v/>
      </c>
      <c r="FT237" s="526" t="str">
        <f>IFERROR(IF(IF(FZ231&gt;FA231-1,INDEX(Lista_Pedidos,FY231+FA231-1,FT231),"")=0,"",IF(FZ231&gt;FA231-1,INDEX(Lista_Pedidos,FY231+FA231-1,FT231),"")),"")</f>
        <v/>
      </c>
      <c r="FU237" s="526" t="str">
        <f>IFERROR(IF(IF(FZ231&gt;FA231-1,INDEX(Lista_Pedidos,FY231+FA231-1,FU231),"")=0,"",IF(FZ231&gt;FA231-1,INDEX(Lista_Pedidos,FY231+FA231-1,FU231),"")),"")</f>
        <v/>
      </c>
      <c r="FV237" s="526" t="str">
        <f>IFERROR(IF(IF(FZ231&gt;FA231-1,INDEX(Lista_Pedidos,FY231+FA231-1,FV231),"")=0,"",IF(FZ231&gt;FA231-1,INDEX(Lista_Pedidos,FY231+FA231-1,FV231),"")),"")</f>
        <v/>
      </c>
      <c r="FW237" s="857" t="str">
        <f>IF(SUM(FJ237:FV237)&gt;1,SUM(FJ237:FV237),"")</f>
        <v/>
      </c>
      <c r="FX237" s="855"/>
      <c r="FY237" s="855"/>
      <c r="FZ237" s="860"/>
      <c r="GA237" s="854" t="str">
        <f>IFERROR(INDEX(Lista_Pedidos,Procesos!GY231+GA231-1,3),"")</f>
        <v/>
      </c>
      <c r="GB237" s="855"/>
      <c r="GC237" s="855"/>
      <c r="GD237" s="855"/>
      <c r="GE237" s="856"/>
      <c r="GF237" s="857" t="str">
        <f>IF(GZ231&gt;GA231-1,GE$11,"")</f>
        <v/>
      </c>
      <c r="GG237" s="855"/>
      <c r="GH237" s="855"/>
      <c r="GI237" s="856"/>
      <c r="GJ237" s="526" t="str">
        <f>IFERROR(IF(IF(GZ231&gt;GA231-1,INDEX(Lista_Pedidos,GY231+GA231-1,GJ231),"")=0,"",IF(GZ231&gt;GA231-1,INDEX(Lista_Pedidos,GY231+GA231-1,GJ231),"")),"")</f>
        <v/>
      </c>
      <c r="GK237" s="526" t="str">
        <f>IFERROR(IF(IF(GZ231&gt;GA231-1,INDEX(Lista_Pedidos,GY231+GA231-1,GK231),"")=0,"",IF(GZ231&gt;GA231-1,INDEX(Lista_Pedidos,GY231+GA231-1,GK231),"")),"")</f>
        <v/>
      </c>
      <c r="GL237" s="526" t="str">
        <f>IFERROR(IF(IF(GZ231&gt;GA231-1,INDEX(Lista_Pedidos,GY231+GA231-1,GL231),"")=0,"",IF(GZ231&gt;GA231-1,INDEX(Lista_Pedidos,GY231+GA231-1,GL231),"")),"")</f>
        <v/>
      </c>
      <c r="GM237" s="526" t="str">
        <f>IFERROR(IF(IF(GZ231&gt;GA231-1,INDEX(Lista_Pedidos,GY231+GA231-1,GM231),"")=0,"",IF(GZ231&gt;GA231-1,INDEX(Lista_Pedidos,GY231+GA231-1,GM231),"")),"")</f>
        <v/>
      </c>
      <c r="GN237" s="526" t="str">
        <f>IFERROR(IF(IF(GZ231&gt;GA231-1,INDEX(Lista_Pedidos,GY231+GA231-1,GN231),"")=0,"",IF(GZ231&gt;GA231-1,INDEX(Lista_Pedidos,GY231+GA231-1,GN231),"")),"")</f>
        <v/>
      </c>
      <c r="GO237" s="526" t="str">
        <f>IFERROR(IF(IF(GZ231&gt;GA231-1,INDEX(Lista_Pedidos,GY231+GA231-1,GO231),"")=0,"",IF(GZ231&gt;GA231-1,INDEX(Lista_Pedidos,GY231+GA231-1,GO231),"")),"")</f>
        <v/>
      </c>
      <c r="GP237" s="526" t="str">
        <f>IFERROR(IF(IF(GZ231&gt;GA231-1,INDEX(Lista_Pedidos,GY231+GA231-1,GP231),"")=0,"",IF(GZ231&gt;GA231-1,INDEX(Lista_Pedidos,GY231+GA231-1,GP231),"")),"")</f>
        <v/>
      </c>
      <c r="GQ237" s="526" t="str">
        <f>IFERROR(IF(IF(GZ231&gt;GA231-1,INDEX(Lista_Pedidos,GY231+GA231-1,GQ231),"")=0,"",IF(GZ231&gt;GA231-1,INDEX(Lista_Pedidos,GY231+GA231-1,GQ231),"")),"")</f>
        <v/>
      </c>
      <c r="GR237" s="526" t="str">
        <f>IFERROR(IF(IF(GZ231&gt;GA231-1,INDEX(Lista_Pedidos,GY231+GA231-1,GR231),"")=0,"",IF(GZ231&gt;GA231-1,INDEX(Lista_Pedidos,GY231+GA231-1,GR231),"")),"")</f>
        <v/>
      </c>
      <c r="GS237" s="526" t="str">
        <f>IFERROR(IF(IF(GZ231&gt;GA231-1,INDEX(Lista_Pedidos,GY231+GA231-1,GS231),"")=0,"",IF(GZ231&gt;GA231-1,INDEX(Lista_Pedidos,GY231+GA231-1,GS231),"")),"")</f>
        <v/>
      </c>
      <c r="GT237" s="526" t="str">
        <f>IFERROR(IF(IF(GZ231&gt;GA231-1,INDEX(Lista_Pedidos,GY231+GA231-1,GT231),"")=0,"",IF(GZ231&gt;GA231-1,INDEX(Lista_Pedidos,GY231+GA231-1,GT231),"")),"")</f>
        <v/>
      </c>
      <c r="GU237" s="526" t="str">
        <f>IFERROR(IF(IF(GZ231&gt;GA231-1,INDEX(Lista_Pedidos,GY231+GA231-1,GU231),"")=0,"",IF(GZ231&gt;GA231-1,INDEX(Lista_Pedidos,GY231+GA231-1,GU231),"")),"")</f>
        <v/>
      </c>
      <c r="GV237" s="526" t="str">
        <f>IFERROR(IF(IF(GZ231&gt;GA231-1,INDEX(Lista_Pedidos,GY231+GA231-1,GV231),"")=0,"",IF(GZ231&gt;GA231-1,INDEX(Lista_Pedidos,GY231+GA231-1,GV231),"")),"")</f>
        <v/>
      </c>
      <c r="GW237" s="857" t="str">
        <f>IF(SUM(GJ237:GV237)&gt;1,SUM(GJ237:GV237),"")</f>
        <v/>
      </c>
      <c r="GX237" s="855"/>
      <c r="GY237" s="855"/>
      <c r="GZ237" s="860"/>
      <c r="HA237" s="854" t="str">
        <f>IFERROR(INDEX(Lista_Pedidos,Procesos!HY231+HA231-1,3),"")</f>
        <v/>
      </c>
      <c r="HB237" s="855"/>
      <c r="HC237" s="855"/>
      <c r="HD237" s="855"/>
      <c r="HE237" s="856"/>
      <c r="HF237" s="857" t="str">
        <f>IF(HZ231&gt;HA231-1,HE$11,"")</f>
        <v/>
      </c>
      <c r="HG237" s="855"/>
      <c r="HH237" s="855"/>
      <c r="HI237" s="856"/>
      <c r="HJ237" s="526" t="str">
        <f>IFERROR(IF(IF(HZ231&gt;HA231-1,INDEX(Lista_Pedidos,HY231+HA231-1,HJ231),"")=0,"",IF(HZ231&gt;HA231-1,INDEX(Lista_Pedidos,HY231+HA231-1,HJ231),"")),"")</f>
        <v/>
      </c>
      <c r="HK237" s="526" t="str">
        <f>IFERROR(IF(IF(HZ231&gt;HA231-1,INDEX(Lista_Pedidos,HY231+HA231-1,HK231),"")=0,"",IF(HZ231&gt;HA231-1,INDEX(Lista_Pedidos,HY231+HA231-1,HK231),"")),"")</f>
        <v/>
      </c>
      <c r="HL237" s="526" t="str">
        <f>IFERROR(IF(IF(HZ231&gt;HA231-1,INDEX(Lista_Pedidos,HY231+HA231-1,HL231),"")=0,"",IF(HZ231&gt;HA231-1,INDEX(Lista_Pedidos,HY231+HA231-1,HL231),"")),"")</f>
        <v/>
      </c>
      <c r="HM237" s="526" t="str">
        <f>IFERROR(IF(IF(HZ231&gt;HA231-1,INDEX(Lista_Pedidos,HY231+HA231-1,HM231),"")=0,"",IF(HZ231&gt;HA231-1,INDEX(Lista_Pedidos,HY231+HA231-1,HM231),"")),"")</f>
        <v/>
      </c>
      <c r="HN237" s="526" t="str">
        <f>IFERROR(IF(IF(HZ231&gt;HA231-1,INDEX(Lista_Pedidos,HY231+HA231-1,HN231),"")=0,"",IF(HZ231&gt;HA231-1,INDEX(Lista_Pedidos,HY231+HA231-1,HN231),"")),"")</f>
        <v/>
      </c>
      <c r="HO237" s="526" t="str">
        <f>IFERROR(IF(IF(HZ231&gt;HA231-1,INDEX(Lista_Pedidos,HY231+HA231-1,HO231),"")=0,"",IF(HZ231&gt;HA231-1,INDEX(Lista_Pedidos,HY231+HA231-1,HO231),"")),"")</f>
        <v/>
      </c>
      <c r="HP237" s="526" t="str">
        <f>IFERROR(IF(IF(HZ231&gt;HA231-1,INDEX(Lista_Pedidos,HY231+HA231-1,HP231),"")=0,"",IF(HZ231&gt;HA231-1,INDEX(Lista_Pedidos,HY231+HA231-1,HP231),"")),"")</f>
        <v/>
      </c>
      <c r="HQ237" s="526" t="str">
        <f>IFERROR(IF(IF(HZ231&gt;HA231-1,INDEX(Lista_Pedidos,HY231+HA231-1,HQ231),"")=0,"",IF(HZ231&gt;HA231-1,INDEX(Lista_Pedidos,HY231+HA231-1,HQ231),"")),"")</f>
        <v/>
      </c>
      <c r="HR237" s="526" t="str">
        <f>IFERROR(IF(IF(HZ231&gt;HA231-1,INDEX(Lista_Pedidos,HY231+HA231-1,HR231),"")=0,"",IF(HZ231&gt;HA231-1,INDEX(Lista_Pedidos,HY231+HA231-1,HR231),"")),"")</f>
        <v/>
      </c>
      <c r="HS237" s="526" t="str">
        <f>IFERROR(IF(IF(HZ231&gt;HA231-1,INDEX(Lista_Pedidos,HY231+HA231-1,HS231),"")=0,"",IF(HZ231&gt;HA231-1,INDEX(Lista_Pedidos,HY231+HA231-1,HS231),"")),"")</f>
        <v/>
      </c>
      <c r="HT237" s="526" t="str">
        <f>IFERROR(IF(IF(HZ231&gt;HA231-1,INDEX(Lista_Pedidos,HY231+HA231-1,HT231),"")=0,"",IF(HZ231&gt;HA231-1,INDEX(Lista_Pedidos,HY231+HA231-1,HT231),"")),"")</f>
        <v/>
      </c>
      <c r="HU237" s="526" t="str">
        <f>IFERROR(IF(IF(HZ231&gt;HA231-1,INDEX(Lista_Pedidos,HY231+HA231-1,HU231),"")=0,"",IF(HZ231&gt;HA231-1,INDEX(Lista_Pedidos,HY231+HA231-1,HU231),"")),"")</f>
        <v/>
      </c>
      <c r="HV237" s="526" t="str">
        <f>IFERROR(IF(IF(HZ231&gt;HA231-1,INDEX(Lista_Pedidos,HY231+HA231-1,HV231),"")=0,"",IF(HZ231&gt;HA231-1,INDEX(Lista_Pedidos,HY231+HA231-1,HV231),"")),"")</f>
        <v/>
      </c>
      <c r="HW237" s="857" t="str">
        <f>IF(SUM(HJ237:HV237)&gt;1,SUM(HJ237:HV237),"")</f>
        <v/>
      </c>
      <c r="HX237" s="855"/>
      <c r="HY237" s="855"/>
      <c r="HZ237" s="860"/>
      <c r="IA237" s="854" t="str">
        <f>IFERROR(INDEX(Lista_Pedidos,Procesos!IY231+IA231-1,3),"")</f>
        <v/>
      </c>
      <c r="IB237" s="855"/>
      <c r="IC237" s="855"/>
      <c r="ID237" s="855"/>
      <c r="IE237" s="856"/>
      <c r="IF237" s="857" t="str">
        <f>IF(IZ231&gt;IA231-1,IE$11,"")</f>
        <v/>
      </c>
      <c r="IG237" s="855"/>
      <c r="IH237" s="855"/>
      <c r="II237" s="856"/>
      <c r="IJ237" s="526" t="str">
        <f>IFERROR(IF(IF(IZ231&gt;IA231-1,INDEX(Lista_Pedidos,IY231+IA231-1,IJ231),"")=0,"",IF(IZ231&gt;IA231-1,INDEX(Lista_Pedidos,IY231+IA231-1,IJ231),"")),"")</f>
        <v/>
      </c>
      <c r="IK237" s="526" t="str">
        <f>IFERROR(IF(IF(IZ231&gt;IA231-1,INDEX(Lista_Pedidos,IY231+IA231-1,IK231),"")=0,"",IF(IZ231&gt;IA231-1,INDEX(Lista_Pedidos,IY231+IA231-1,IK231),"")),"")</f>
        <v/>
      </c>
      <c r="IL237" s="526" t="str">
        <f>IFERROR(IF(IF(IZ231&gt;IA231-1,INDEX(Lista_Pedidos,IY231+IA231-1,IL231),"")=0,"",IF(IZ231&gt;IA231-1,INDEX(Lista_Pedidos,IY231+IA231-1,IL231),"")),"")</f>
        <v/>
      </c>
      <c r="IM237" s="526" t="str">
        <f>IFERROR(IF(IF(IZ231&gt;IA231-1,INDEX(Lista_Pedidos,IY231+IA231-1,IM231),"")=0,"",IF(IZ231&gt;IA231-1,INDEX(Lista_Pedidos,IY231+IA231-1,IM231),"")),"")</f>
        <v/>
      </c>
      <c r="IN237" s="526" t="str">
        <f>IFERROR(IF(IF(IZ231&gt;IA231-1,INDEX(Lista_Pedidos,IY231+IA231-1,IN231),"")=0,"",IF(IZ231&gt;IA231-1,INDEX(Lista_Pedidos,IY231+IA231-1,IN231),"")),"")</f>
        <v/>
      </c>
      <c r="IO237" s="526" t="str">
        <f>IFERROR(IF(IF(IZ231&gt;IA231-1,INDEX(Lista_Pedidos,IY231+IA231-1,IO231),"")=0,"",IF(IZ231&gt;IA231-1,INDEX(Lista_Pedidos,IY231+IA231-1,IO231),"")),"")</f>
        <v/>
      </c>
      <c r="IP237" s="526" t="str">
        <f>IFERROR(IF(IF(IZ231&gt;IA231-1,INDEX(Lista_Pedidos,IY231+IA231-1,IP231),"")=0,"",IF(IZ231&gt;IA231-1,INDEX(Lista_Pedidos,IY231+IA231-1,IP231),"")),"")</f>
        <v/>
      </c>
      <c r="IQ237" s="526" t="str">
        <f>IFERROR(IF(IF(IZ231&gt;IA231-1,INDEX(Lista_Pedidos,IY231+IA231-1,IQ231),"")=0,"",IF(IZ231&gt;IA231-1,INDEX(Lista_Pedidos,IY231+IA231-1,IQ231),"")),"")</f>
        <v/>
      </c>
      <c r="IR237" s="526" t="str">
        <f>IFERROR(IF(IF(IZ231&gt;IA231-1,INDEX(Lista_Pedidos,IY231+IA231-1,IR231),"")=0,"",IF(IZ231&gt;IA231-1,INDEX(Lista_Pedidos,IY231+IA231-1,IR231),"")),"")</f>
        <v/>
      </c>
      <c r="IS237" s="526" t="str">
        <f>IFERROR(IF(IF(IZ231&gt;IA231-1,INDEX(Lista_Pedidos,IY231+IA231-1,IS231),"")=0,"",IF(IZ231&gt;IA231-1,INDEX(Lista_Pedidos,IY231+IA231-1,IS231),"")),"")</f>
        <v/>
      </c>
      <c r="IT237" s="526" t="str">
        <f>IFERROR(IF(IF(IZ231&gt;IA231-1,INDEX(Lista_Pedidos,IY231+IA231-1,IT231),"")=0,"",IF(IZ231&gt;IA231-1,INDEX(Lista_Pedidos,IY231+IA231-1,IT231),"")),"")</f>
        <v/>
      </c>
      <c r="IU237" s="526" t="str">
        <f>IFERROR(IF(IF(IZ231&gt;IA231-1,INDEX(Lista_Pedidos,IY231+IA231-1,IU231),"")=0,"",IF(IZ231&gt;IA231-1,INDEX(Lista_Pedidos,IY231+IA231-1,IU231),"")),"")</f>
        <v/>
      </c>
      <c r="IV237" s="526" t="str">
        <f>IFERROR(IF(IF(IZ231&gt;IA231-1,INDEX(Lista_Pedidos,IY231+IA231-1,IV231),"")=0,"",IF(IZ231&gt;IA231-1,INDEX(Lista_Pedidos,IY231+IA231-1,IV231),"")),"")</f>
        <v/>
      </c>
      <c r="IW237" s="857" t="str">
        <f>IF(SUM(IJ237:IV237)&gt;1,SUM(IJ237:IV237),"")</f>
        <v/>
      </c>
      <c r="IX237" s="855"/>
      <c r="IY237" s="855"/>
      <c r="IZ237" s="860"/>
    </row>
    <row r="238" spans="1:260" s="530" customFormat="1" x14ac:dyDescent="0.25">
      <c r="A238" s="823"/>
      <c r="B238" s="824"/>
      <c r="C238" s="824"/>
      <c r="D238" s="824"/>
      <c r="E238" s="824"/>
      <c r="F238" s="824"/>
      <c r="G238" s="824"/>
      <c r="H238" s="824"/>
      <c r="I238" s="824"/>
      <c r="J238" s="824"/>
      <c r="K238" s="824"/>
      <c r="L238" s="824"/>
      <c r="M238" s="824"/>
      <c r="N238" s="824"/>
      <c r="O238" s="824"/>
      <c r="P238" s="824"/>
      <c r="Q238" s="824"/>
      <c r="R238" s="824"/>
      <c r="S238" s="824"/>
      <c r="T238" s="824"/>
      <c r="U238" s="824"/>
      <c r="V238" s="824"/>
      <c r="W238" s="824" t="str">
        <f>IFERROR(IF(Z231&gt;A231-1,IF(INDEX(Lista_Pedidos,Y231+A231-1,2)&lt;&gt;"",INDEX(Lista_Pedidos,Y231+A231-1,2),""),""),"")</f>
        <v/>
      </c>
      <c r="X238" s="824"/>
      <c r="Y238" s="824"/>
      <c r="Z238" s="825"/>
      <c r="AA238" s="823"/>
      <c r="AB238" s="824"/>
      <c r="AC238" s="824"/>
      <c r="AD238" s="824"/>
      <c r="AE238" s="824"/>
      <c r="AF238" s="824"/>
      <c r="AG238" s="824"/>
      <c r="AH238" s="824"/>
      <c r="AI238" s="824"/>
      <c r="AJ238" s="824"/>
      <c r="AK238" s="824"/>
      <c r="AL238" s="824"/>
      <c r="AM238" s="824"/>
      <c r="AN238" s="824"/>
      <c r="AO238" s="824"/>
      <c r="AP238" s="824"/>
      <c r="AQ238" s="824"/>
      <c r="AR238" s="824"/>
      <c r="AS238" s="824"/>
      <c r="AT238" s="824"/>
      <c r="AU238" s="824"/>
      <c r="AV238" s="824"/>
      <c r="AW238" s="824" t="str">
        <f>IFERROR(IF(AZ231&gt;AA231-1,IF(INDEX(Lista_Pedidos,AY231+AA231-1,2)&lt;&gt;"",INDEX(Lista_Pedidos,AY231+AA231-1,2),""),""),"")</f>
        <v/>
      </c>
      <c r="AX238" s="824"/>
      <c r="AY238" s="824"/>
      <c r="AZ238" s="825"/>
      <c r="BA238" s="823"/>
      <c r="BB238" s="824"/>
      <c r="BC238" s="824"/>
      <c r="BD238" s="824"/>
      <c r="BE238" s="824"/>
      <c r="BF238" s="824"/>
      <c r="BG238" s="824"/>
      <c r="BH238" s="824"/>
      <c r="BI238" s="824"/>
      <c r="BJ238" s="824"/>
      <c r="BK238" s="824"/>
      <c r="BL238" s="824"/>
      <c r="BM238" s="824"/>
      <c r="BN238" s="824"/>
      <c r="BO238" s="824"/>
      <c r="BP238" s="824"/>
      <c r="BQ238" s="824"/>
      <c r="BR238" s="824"/>
      <c r="BS238" s="824"/>
      <c r="BT238" s="824"/>
      <c r="BU238" s="824"/>
      <c r="BV238" s="824"/>
      <c r="BW238" s="824" t="str">
        <f>IFERROR(IF(BZ231&gt;BA231-1,IF(INDEX(Lista_Pedidos,BY231+BA231-1,2)&lt;&gt;"",INDEX(Lista_Pedidos,BY231+BA231-1,2),""),""),"")</f>
        <v/>
      </c>
      <c r="BX238" s="824"/>
      <c r="BY238" s="824"/>
      <c r="BZ238" s="825"/>
      <c r="CA238" s="823"/>
      <c r="CB238" s="824"/>
      <c r="CC238" s="824"/>
      <c r="CD238" s="824"/>
      <c r="CE238" s="824"/>
      <c r="CF238" s="824"/>
      <c r="CG238" s="824"/>
      <c r="CH238" s="824"/>
      <c r="CI238" s="824"/>
      <c r="CJ238" s="824"/>
      <c r="CK238" s="824"/>
      <c r="CL238" s="824"/>
      <c r="CM238" s="824"/>
      <c r="CN238" s="824"/>
      <c r="CO238" s="824"/>
      <c r="CP238" s="824"/>
      <c r="CQ238" s="824"/>
      <c r="CR238" s="824"/>
      <c r="CS238" s="824"/>
      <c r="CT238" s="824"/>
      <c r="CU238" s="824"/>
      <c r="CV238" s="824"/>
      <c r="CW238" s="824" t="str">
        <f>IFERROR(IF(CZ231&gt;CA231-1,IF(INDEX(Lista_Pedidos,CY231+CA231-1,2)&lt;&gt;"",INDEX(Lista_Pedidos,CY231+CA231-1,2),""),""),"")</f>
        <v/>
      </c>
      <c r="CX238" s="824"/>
      <c r="CY238" s="824"/>
      <c r="CZ238" s="825"/>
      <c r="DA238" s="823"/>
      <c r="DB238" s="824"/>
      <c r="DC238" s="824"/>
      <c r="DD238" s="824"/>
      <c r="DE238" s="824"/>
      <c r="DF238" s="824"/>
      <c r="DG238" s="824"/>
      <c r="DH238" s="824"/>
      <c r="DI238" s="824"/>
      <c r="DJ238" s="824"/>
      <c r="DK238" s="824"/>
      <c r="DL238" s="824"/>
      <c r="DM238" s="824"/>
      <c r="DN238" s="824"/>
      <c r="DO238" s="824"/>
      <c r="DP238" s="824"/>
      <c r="DQ238" s="824"/>
      <c r="DR238" s="824"/>
      <c r="DS238" s="824"/>
      <c r="DT238" s="824"/>
      <c r="DU238" s="824"/>
      <c r="DV238" s="824"/>
      <c r="DW238" s="824" t="str">
        <f>IFERROR(IF(DZ231&gt;DA231-1,IF(INDEX(Lista_Pedidos,DY231+DA231-1,2)&lt;&gt;"",INDEX(Lista_Pedidos,DY231+DA231-1,2),""),""),"")</f>
        <v/>
      </c>
      <c r="DX238" s="824"/>
      <c r="DY238" s="824"/>
      <c r="DZ238" s="825"/>
      <c r="EA238" s="823"/>
      <c r="EB238" s="824"/>
      <c r="EC238" s="824"/>
      <c r="ED238" s="824"/>
      <c r="EE238" s="824"/>
      <c r="EF238" s="824"/>
      <c r="EG238" s="824"/>
      <c r="EH238" s="824"/>
      <c r="EI238" s="824"/>
      <c r="EJ238" s="824"/>
      <c r="EK238" s="824"/>
      <c r="EL238" s="824"/>
      <c r="EM238" s="824"/>
      <c r="EN238" s="824"/>
      <c r="EO238" s="824"/>
      <c r="EP238" s="824"/>
      <c r="EQ238" s="824"/>
      <c r="ER238" s="824"/>
      <c r="ES238" s="824"/>
      <c r="ET238" s="824"/>
      <c r="EU238" s="824"/>
      <c r="EV238" s="824"/>
      <c r="EW238" s="824" t="str">
        <f>IFERROR(IF(EZ231&gt;EA231-1,IF(INDEX(Lista_Pedidos,EY231+EA231-1,2)&lt;&gt;"",INDEX(Lista_Pedidos,EY231+EA231-1,2),""),""),"")</f>
        <v/>
      </c>
      <c r="EX238" s="824"/>
      <c r="EY238" s="824"/>
      <c r="EZ238" s="825"/>
      <c r="FA238" s="823"/>
      <c r="FB238" s="824"/>
      <c r="FC238" s="824"/>
      <c r="FD238" s="824"/>
      <c r="FE238" s="824"/>
      <c r="FF238" s="824"/>
      <c r="FG238" s="824"/>
      <c r="FH238" s="824"/>
      <c r="FI238" s="824"/>
      <c r="FJ238" s="824"/>
      <c r="FK238" s="824"/>
      <c r="FL238" s="824"/>
      <c r="FM238" s="824"/>
      <c r="FN238" s="824"/>
      <c r="FO238" s="824"/>
      <c r="FP238" s="824"/>
      <c r="FQ238" s="824"/>
      <c r="FR238" s="824"/>
      <c r="FS238" s="824"/>
      <c r="FT238" s="824"/>
      <c r="FU238" s="824"/>
      <c r="FV238" s="824"/>
      <c r="FW238" s="824" t="str">
        <f>IFERROR(IF(FZ231&gt;FA231-1,IF(INDEX(Lista_Pedidos,FY231+FA231-1,2)&lt;&gt;"",INDEX(Lista_Pedidos,FY231+FA231-1,2),""),""),"")</f>
        <v/>
      </c>
      <c r="FX238" s="824"/>
      <c r="FY238" s="824"/>
      <c r="FZ238" s="825"/>
      <c r="GA238" s="823"/>
      <c r="GB238" s="824"/>
      <c r="GC238" s="824"/>
      <c r="GD238" s="824"/>
      <c r="GE238" s="824"/>
      <c r="GF238" s="824"/>
      <c r="GG238" s="824"/>
      <c r="GH238" s="824"/>
      <c r="GI238" s="824"/>
      <c r="GJ238" s="824"/>
      <c r="GK238" s="824"/>
      <c r="GL238" s="824"/>
      <c r="GM238" s="824"/>
      <c r="GN238" s="824"/>
      <c r="GO238" s="824"/>
      <c r="GP238" s="824"/>
      <c r="GQ238" s="824"/>
      <c r="GR238" s="824"/>
      <c r="GS238" s="824"/>
      <c r="GT238" s="824"/>
      <c r="GU238" s="824"/>
      <c r="GV238" s="824"/>
      <c r="GW238" s="824" t="str">
        <f>IFERROR(IF(GZ231&gt;GA231-1,IF(INDEX(Lista_Pedidos,GY231+GA231-1,2)&lt;&gt;"",INDEX(Lista_Pedidos,GY231+GA231-1,2),""),""),"")</f>
        <v/>
      </c>
      <c r="GX238" s="824"/>
      <c r="GY238" s="824"/>
      <c r="GZ238" s="825"/>
      <c r="HA238" s="823"/>
      <c r="HB238" s="824"/>
      <c r="HC238" s="824"/>
      <c r="HD238" s="824"/>
      <c r="HE238" s="824"/>
      <c r="HF238" s="824"/>
      <c r="HG238" s="824"/>
      <c r="HH238" s="824"/>
      <c r="HI238" s="824"/>
      <c r="HJ238" s="824"/>
      <c r="HK238" s="824"/>
      <c r="HL238" s="824"/>
      <c r="HM238" s="824"/>
      <c r="HN238" s="824"/>
      <c r="HO238" s="824"/>
      <c r="HP238" s="824"/>
      <c r="HQ238" s="824"/>
      <c r="HR238" s="824"/>
      <c r="HS238" s="824"/>
      <c r="HT238" s="824"/>
      <c r="HU238" s="824"/>
      <c r="HV238" s="824"/>
      <c r="HW238" s="824" t="str">
        <f>IFERROR(IF(HZ231&gt;HA231-1,IF(INDEX(Lista_Pedidos,HY231+HA231-1,2)&lt;&gt;"",INDEX(Lista_Pedidos,HY231+HA231-1,2),""),""),"")</f>
        <v/>
      </c>
      <c r="HX238" s="824"/>
      <c r="HY238" s="824"/>
      <c r="HZ238" s="825"/>
      <c r="IA238" s="823"/>
      <c r="IB238" s="824"/>
      <c r="IC238" s="824"/>
      <c r="ID238" s="824"/>
      <c r="IE238" s="824"/>
      <c r="IF238" s="824"/>
      <c r="IG238" s="824"/>
      <c r="IH238" s="824"/>
      <c r="II238" s="824"/>
      <c r="IJ238" s="824"/>
      <c r="IK238" s="824"/>
      <c r="IL238" s="824"/>
      <c r="IM238" s="824"/>
      <c r="IN238" s="824"/>
      <c r="IO238" s="824"/>
      <c r="IP238" s="824"/>
      <c r="IQ238" s="824"/>
      <c r="IR238" s="824"/>
      <c r="IS238" s="824"/>
      <c r="IT238" s="824"/>
      <c r="IU238" s="824"/>
      <c r="IV238" s="824"/>
      <c r="IW238" s="824" t="str">
        <f>IFERROR(IF(IZ231&gt;IA231-1,IF(INDEX(Lista_Pedidos,IY231+IA231-1,2)&lt;&gt;"",INDEX(Lista_Pedidos,IY231+IA231-1,2),""),""),"")</f>
        <v/>
      </c>
      <c r="IX238" s="824"/>
      <c r="IY238" s="824"/>
      <c r="IZ238" s="825"/>
    </row>
    <row r="239" spans="1:260" s="530" customFormat="1" x14ac:dyDescent="0.25">
      <c r="A239" s="800" t="str">
        <f>IFERROR(IF(Z231&gt;A231-1,IF(INDEX(Lista_Pedidos,Y231+A231-1,6)&lt;&gt;"","Nombre de la Tela :     "&amp; INDEX(Lista_Pedidos,Y231+A231-1,6),""),""),"")</f>
        <v/>
      </c>
      <c r="B239" s="801"/>
      <c r="C239" s="801"/>
      <c r="D239" s="801"/>
      <c r="E239" s="801"/>
      <c r="F239" s="801"/>
      <c r="G239" s="801"/>
      <c r="H239" s="801"/>
      <c r="I239" s="801"/>
      <c r="J239" s="801"/>
      <c r="K239" s="801"/>
      <c r="L239" s="801"/>
      <c r="M239" s="801"/>
      <c r="N239" s="801"/>
      <c r="O239" s="801"/>
      <c r="P239" s="801"/>
      <c r="Q239" s="801"/>
      <c r="R239" s="801"/>
      <c r="S239" s="801"/>
      <c r="T239" s="801"/>
      <c r="U239" s="801"/>
      <c r="V239" s="801"/>
      <c r="W239" s="826"/>
      <c r="X239" s="826"/>
      <c r="Y239" s="826"/>
      <c r="Z239" s="827"/>
      <c r="AA239" s="800" t="str">
        <f>IFERROR(IF(AZ231&gt;AA231-1,IF(INDEX(Lista_Pedidos,AY231+AA231-1,6)&lt;&gt;"","Nombre de la Tela :     "&amp; INDEX(Lista_Pedidos,AY231+AA231-1,6),""),""),"")</f>
        <v/>
      </c>
      <c r="AB239" s="801"/>
      <c r="AC239" s="801"/>
      <c r="AD239" s="801"/>
      <c r="AE239" s="801"/>
      <c r="AF239" s="801"/>
      <c r="AG239" s="801"/>
      <c r="AH239" s="801"/>
      <c r="AI239" s="801"/>
      <c r="AJ239" s="801"/>
      <c r="AK239" s="801"/>
      <c r="AL239" s="801"/>
      <c r="AM239" s="801"/>
      <c r="AN239" s="801"/>
      <c r="AO239" s="801"/>
      <c r="AP239" s="801"/>
      <c r="AQ239" s="801"/>
      <c r="AR239" s="801"/>
      <c r="AS239" s="801"/>
      <c r="AT239" s="801"/>
      <c r="AU239" s="801"/>
      <c r="AV239" s="801"/>
      <c r="AW239" s="826"/>
      <c r="AX239" s="826"/>
      <c r="AY239" s="826"/>
      <c r="AZ239" s="827"/>
      <c r="BA239" s="800" t="str">
        <f>IFERROR(IF(BZ231&gt;BA231-1,IF(INDEX(Lista_Pedidos,BY231+BA231-1,6)&lt;&gt;"","Nombre de la Tela :     "&amp; INDEX(Lista_Pedidos,BY231+BA231-1,6),""),""),"")</f>
        <v/>
      </c>
      <c r="BB239" s="801"/>
      <c r="BC239" s="801"/>
      <c r="BD239" s="801"/>
      <c r="BE239" s="801"/>
      <c r="BF239" s="801"/>
      <c r="BG239" s="801"/>
      <c r="BH239" s="801"/>
      <c r="BI239" s="801"/>
      <c r="BJ239" s="801"/>
      <c r="BK239" s="801"/>
      <c r="BL239" s="801"/>
      <c r="BM239" s="801"/>
      <c r="BN239" s="801"/>
      <c r="BO239" s="801"/>
      <c r="BP239" s="801"/>
      <c r="BQ239" s="801"/>
      <c r="BR239" s="801"/>
      <c r="BS239" s="801"/>
      <c r="BT239" s="801"/>
      <c r="BU239" s="801"/>
      <c r="BV239" s="801"/>
      <c r="BW239" s="826"/>
      <c r="BX239" s="826"/>
      <c r="BY239" s="826"/>
      <c r="BZ239" s="827"/>
      <c r="CA239" s="800" t="str">
        <f>IFERROR(IF(CZ231&gt;CA231-1,IF(INDEX(Lista_Pedidos,CY231+CA231-1,6)&lt;&gt;"","Nombre de la Tela :     "&amp; INDEX(Lista_Pedidos,CY231+CA231-1,6),""),""),"")</f>
        <v/>
      </c>
      <c r="CB239" s="801"/>
      <c r="CC239" s="801"/>
      <c r="CD239" s="801"/>
      <c r="CE239" s="801"/>
      <c r="CF239" s="801"/>
      <c r="CG239" s="801"/>
      <c r="CH239" s="801"/>
      <c r="CI239" s="801"/>
      <c r="CJ239" s="801"/>
      <c r="CK239" s="801"/>
      <c r="CL239" s="801"/>
      <c r="CM239" s="801"/>
      <c r="CN239" s="801"/>
      <c r="CO239" s="801"/>
      <c r="CP239" s="801"/>
      <c r="CQ239" s="801"/>
      <c r="CR239" s="801"/>
      <c r="CS239" s="801"/>
      <c r="CT239" s="801"/>
      <c r="CU239" s="801"/>
      <c r="CV239" s="801"/>
      <c r="CW239" s="826"/>
      <c r="CX239" s="826"/>
      <c r="CY239" s="826"/>
      <c r="CZ239" s="827"/>
      <c r="DA239" s="800" t="str">
        <f>IFERROR(IF(DZ231&gt;DA231-1,IF(INDEX(Lista_Pedidos,DY231+DA231-1,6)&lt;&gt;"","Nombre de la Tela :     "&amp; INDEX(Lista_Pedidos,DY231+DA231-1,6),""),""),"")</f>
        <v/>
      </c>
      <c r="DB239" s="801"/>
      <c r="DC239" s="801"/>
      <c r="DD239" s="801"/>
      <c r="DE239" s="801"/>
      <c r="DF239" s="801"/>
      <c r="DG239" s="801"/>
      <c r="DH239" s="801"/>
      <c r="DI239" s="801"/>
      <c r="DJ239" s="801"/>
      <c r="DK239" s="801"/>
      <c r="DL239" s="801"/>
      <c r="DM239" s="801"/>
      <c r="DN239" s="801"/>
      <c r="DO239" s="801"/>
      <c r="DP239" s="801"/>
      <c r="DQ239" s="801"/>
      <c r="DR239" s="801"/>
      <c r="DS239" s="801"/>
      <c r="DT239" s="801"/>
      <c r="DU239" s="801"/>
      <c r="DV239" s="801"/>
      <c r="DW239" s="826"/>
      <c r="DX239" s="826"/>
      <c r="DY239" s="826"/>
      <c r="DZ239" s="827"/>
      <c r="EA239" s="800" t="str">
        <f>IFERROR(IF(EZ231&gt;EA231-1,IF(INDEX(Lista_Pedidos,EY231+EA231-1,6)&lt;&gt;"","Nombre de la Tela :     "&amp; INDEX(Lista_Pedidos,EY231+EA231-1,6),""),""),"")</f>
        <v/>
      </c>
      <c r="EB239" s="801"/>
      <c r="EC239" s="801"/>
      <c r="ED239" s="801"/>
      <c r="EE239" s="801"/>
      <c r="EF239" s="801"/>
      <c r="EG239" s="801"/>
      <c r="EH239" s="801"/>
      <c r="EI239" s="801"/>
      <c r="EJ239" s="801"/>
      <c r="EK239" s="801"/>
      <c r="EL239" s="801"/>
      <c r="EM239" s="801"/>
      <c r="EN239" s="801"/>
      <c r="EO239" s="801"/>
      <c r="EP239" s="801"/>
      <c r="EQ239" s="801"/>
      <c r="ER239" s="801"/>
      <c r="ES239" s="801"/>
      <c r="ET239" s="801"/>
      <c r="EU239" s="801"/>
      <c r="EV239" s="801"/>
      <c r="EW239" s="826"/>
      <c r="EX239" s="826"/>
      <c r="EY239" s="826"/>
      <c r="EZ239" s="827"/>
      <c r="FA239" s="800" t="str">
        <f>IFERROR(IF(FZ231&gt;FA231-1,IF(INDEX(Lista_Pedidos,FY231+FA231-1,6)&lt;&gt;"","Nombre de la Tela :     "&amp; INDEX(Lista_Pedidos,FY231+FA231-1,6),""),""),"")</f>
        <v/>
      </c>
      <c r="FB239" s="801"/>
      <c r="FC239" s="801"/>
      <c r="FD239" s="801"/>
      <c r="FE239" s="801"/>
      <c r="FF239" s="801"/>
      <c r="FG239" s="801"/>
      <c r="FH239" s="801"/>
      <c r="FI239" s="801"/>
      <c r="FJ239" s="801"/>
      <c r="FK239" s="801"/>
      <c r="FL239" s="801"/>
      <c r="FM239" s="801"/>
      <c r="FN239" s="801"/>
      <c r="FO239" s="801"/>
      <c r="FP239" s="801"/>
      <c r="FQ239" s="801"/>
      <c r="FR239" s="801"/>
      <c r="FS239" s="801"/>
      <c r="FT239" s="801"/>
      <c r="FU239" s="801"/>
      <c r="FV239" s="801"/>
      <c r="FW239" s="826"/>
      <c r="FX239" s="826"/>
      <c r="FY239" s="826"/>
      <c r="FZ239" s="827"/>
      <c r="GA239" s="800" t="str">
        <f>IFERROR(IF(GZ231&gt;GA231-1,IF(INDEX(Lista_Pedidos,GY231+GA231-1,6)&lt;&gt;"","Nombre de la Tela :     "&amp; INDEX(Lista_Pedidos,GY231+GA231-1,6),""),""),"")</f>
        <v/>
      </c>
      <c r="GB239" s="801"/>
      <c r="GC239" s="801"/>
      <c r="GD239" s="801"/>
      <c r="GE239" s="801"/>
      <c r="GF239" s="801"/>
      <c r="GG239" s="801"/>
      <c r="GH239" s="801"/>
      <c r="GI239" s="801"/>
      <c r="GJ239" s="801"/>
      <c r="GK239" s="801"/>
      <c r="GL239" s="801"/>
      <c r="GM239" s="801"/>
      <c r="GN239" s="801"/>
      <c r="GO239" s="801"/>
      <c r="GP239" s="801"/>
      <c r="GQ239" s="801"/>
      <c r="GR239" s="801"/>
      <c r="GS239" s="801"/>
      <c r="GT239" s="801"/>
      <c r="GU239" s="801"/>
      <c r="GV239" s="801"/>
      <c r="GW239" s="826"/>
      <c r="GX239" s="826"/>
      <c r="GY239" s="826"/>
      <c r="GZ239" s="827"/>
      <c r="HA239" s="800" t="str">
        <f>IFERROR(IF(HZ231&gt;HA231-1,IF(INDEX(Lista_Pedidos,HY231+HA231-1,6)&lt;&gt;"","Nombre de la Tela :     "&amp; INDEX(Lista_Pedidos,HY231+HA231-1,6),""),""),"")</f>
        <v/>
      </c>
      <c r="HB239" s="801"/>
      <c r="HC239" s="801"/>
      <c r="HD239" s="801"/>
      <c r="HE239" s="801"/>
      <c r="HF239" s="801"/>
      <c r="HG239" s="801"/>
      <c r="HH239" s="801"/>
      <c r="HI239" s="801"/>
      <c r="HJ239" s="801"/>
      <c r="HK239" s="801"/>
      <c r="HL239" s="801"/>
      <c r="HM239" s="801"/>
      <c r="HN239" s="801"/>
      <c r="HO239" s="801"/>
      <c r="HP239" s="801"/>
      <c r="HQ239" s="801"/>
      <c r="HR239" s="801"/>
      <c r="HS239" s="801"/>
      <c r="HT239" s="801"/>
      <c r="HU239" s="801"/>
      <c r="HV239" s="801"/>
      <c r="HW239" s="826"/>
      <c r="HX239" s="826"/>
      <c r="HY239" s="826"/>
      <c r="HZ239" s="827"/>
      <c r="IA239" s="800" t="str">
        <f>IFERROR(IF(IZ231&gt;IA231-1,IF(INDEX(Lista_Pedidos,IY231+IA231-1,6)&lt;&gt;"","Nombre de la Tela :     "&amp; INDEX(Lista_Pedidos,IY231+IA231-1,6),""),""),"")</f>
        <v/>
      </c>
      <c r="IB239" s="801"/>
      <c r="IC239" s="801"/>
      <c r="ID239" s="801"/>
      <c r="IE239" s="801"/>
      <c r="IF239" s="801"/>
      <c r="IG239" s="801"/>
      <c r="IH239" s="801"/>
      <c r="II239" s="801"/>
      <c r="IJ239" s="801"/>
      <c r="IK239" s="801"/>
      <c r="IL239" s="801"/>
      <c r="IM239" s="801"/>
      <c r="IN239" s="801"/>
      <c r="IO239" s="801"/>
      <c r="IP239" s="801"/>
      <c r="IQ239" s="801"/>
      <c r="IR239" s="801"/>
      <c r="IS239" s="801"/>
      <c r="IT239" s="801"/>
      <c r="IU239" s="801"/>
      <c r="IV239" s="801"/>
      <c r="IW239" s="826"/>
      <c r="IX239" s="826"/>
      <c r="IY239" s="826"/>
      <c r="IZ239" s="827"/>
    </row>
    <row r="240" spans="1:260" s="530" customFormat="1" x14ac:dyDescent="0.25">
      <c r="A240" s="800" t="str">
        <f>IFERROR(IF(Z231&gt;A231-1,IF(INDEX(Lista_Pedidos,Y231+A231-1,7)&lt;&gt;"","Hilo :     "&amp; INDEX(Lista_Pedidos,Y231+A231-1,7),""),""),"")</f>
        <v/>
      </c>
      <c r="B240" s="801"/>
      <c r="C240" s="801"/>
      <c r="D240" s="801"/>
      <c r="E240" s="801"/>
      <c r="F240" s="801"/>
      <c r="G240" s="801"/>
      <c r="H240" s="801"/>
      <c r="I240" s="801"/>
      <c r="J240" s="801"/>
      <c r="K240" s="801"/>
      <c r="L240" s="801"/>
      <c r="M240" s="801"/>
      <c r="N240" s="801"/>
      <c r="O240" s="801"/>
      <c r="P240" s="801"/>
      <c r="Q240" s="801"/>
      <c r="R240" s="801"/>
      <c r="S240" s="801"/>
      <c r="T240" s="801"/>
      <c r="U240" s="801"/>
      <c r="V240" s="801"/>
      <c r="W240" s="801"/>
      <c r="X240" s="801"/>
      <c r="Y240" s="801"/>
      <c r="Z240" s="802"/>
      <c r="AA240" s="800" t="str">
        <f>IFERROR(IF(AZ231&gt;AA231-1,IF(INDEX(Lista_Pedidos,AY231+AA231-1,7)&lt;&gt;"","Hilo :     "&amp; INDEX(Lista_Pedidos,AY231+AA231-1,7),""),""),"")</f>
        <v/>
      </c>
      <c r="AB240" s="801"/>
      <c r="AC240" s="801"/>
      <c r="AD240" s="801"/>
      <c r="AE240" s="801"/>
      <c r="AF240" s="801"/>
      <c r="AG240" s="801"/>
      <c r="AH240" s="801"/>
      <c r="AI240" s="801"/>
      <c r="AJ240" s="801"/>
      <c r="AK240" s="801"/>
      <c r="AL240" s="801"/>
      <c r="AM240" s="801"/>
      <c r="AN240" s="801"/>
      <c r="AO240" s="801"/>
      <c r="AP240" s="801"/>
      <c r="AQ240" s="801"/>
      <c r="AR240" s="801"/>
      <c r="AS240" s="801"/>
      <c r="AT240" s="801"/>
      <c r="AU240" s="801"/>
      <c r="AV240" s="801"/>
      <c r="AW240" s="801"/>
      <c r="AX240" s="801"/>
      <c r="AY240" s="801"/>
      <c r="AZ240" s="802"/>
      <c r="BA240" s="800" t="str">
        <f>IFERROR(IF(BZ231&gt;BA231-1,IF(INDEX(Lista_Pedidos,BY231+BA231-1,7)&lt;&gt;"","Hilo :     "&amp; INDEX(Lista_Pedidos,BY231+BA231-1,7),""),""),"")</f>
        <v/>
      </c>
      <c r="BB240" s="801"/>
      <c r="BC240" s="801"/>
      <c r="BD240" s="801"/>
      <c r="BE240" s="801"/>
      <c r="BF240" s="801"/>
      <c r="BG240" s="801"/>
      <c r="BH240" s="801"/>
      <c r="BI240" s="801"/>
      <c r="BJ240" s="801"/>
      <c r="BK240" s="801"/>
      <c r="BL240" s="801"/>
      <c r="BM240" s="801"/>
      <c r="BN240" s="801"/>
      <c r="BO240" s="801"/>
      <c r="BP240" s="801"/>
      <c r="BQ240" s="801"/>
      <c r="BR240" s="801"/>
      <c r="BS240" s="801"/>
      <c r="BT240" s="801"/>
      <c r="BU240" s="801"/>
      <c r="BV240" s="801"/>
      <c r="BW240" s="801"/>
      <c r="BX240" s="801"/>
      <c r="BY240" s="801"/>
      <c r="BZ240" s="802"/>
      <c r="CA240" s="800" t="str">
        <f>IFERROR(IF(CZ231&gt;CA231-1,IF(INDEX(Lista_Pedidos,CY231+CA231-1,7)&lt;&gt;"","Hilo :     "&amp; INDEX(Lista_Pedidos,CY231+CA231-1,7),""),""),"")</f>
        <v/>
      </c>
      <c r="CB240" s="801"/>
      <c r="CC240" s="801"/>
      <c r="CD240" s="801"/>
      <c r="CE240" s="801"/>
      <c r="CF240" s="801"/>
      <c r="CG240" s="801"/>
      <c r="CH240" s="801"/>
      <c r="CI240" s="801"/>
      <c r="CJ240" s="801"/>
      <c r="CK240" s="801"/>
      <c r="CL240" s="801"/>
      <c r="CM240" s="801"/>
      <c r="CN240" s="801"/>
      <c r="CO240" s="801"/>
      <c r="CP240" s="801"/>
      <c r="CQ240" s="801"/>
      <c r="CR240" s="801"/>
      <c r="CS240" s="801"/>
      <c r="CT240" s="801"/>
      <c r="CU240" s="801"/>
      <c r="CV240" s="801"/>
      <c r="CW240" s="801"/>
      <c r="CX240" s="801"/>
      <c r="CY240" s="801"/>
      <c r="CZ240" s="802"/>
      <c r="DA240" s="800" t="str">
        <f>IFERROR(IF(DZ231&gt;DA231-1,IF(INDEX(Lista_Pedidos,DY231+DA231-1,7)&lt;&gt;"","Hilo :     "&amp; INDEX(Lista_Pedidos,DY231+DA231-1,7),""),""),"")</f>
        <v/>
      </c>
      <c r="DB240" s="801"/>
      <c r="DC240" s="801"/>
      <c r="DD240" s="801"/>
      <c r="DE240" s="801"/>
      <c r="DF240" s="801"/>
      <c r="DG240" s="801"/>
      <c r="DH240" s="801"/>
      <c r="DI240" s="801"/>
      <c r="DJ240" s="801"/>
      <c r="DK240" s="801"/>
      <c r="DL240" s="801"/>
      <c r="DM240" s="801"/>
      <c r="DN240" s="801"/>
      <c r="DO240" s="801"/>
      <c r="DP240" s="801"/>
      <c r="DQ240" s="801"/>
      <c r="DR240" s="801"/>
      <c r="DS240" s="801"/>
      <c r="DT240" s="801"/>
      <c r="DU240" s="801"/>
      <c r="DV240" s="801"/>
      <c r="DW240" s="801"/>
      <c r="DX240" s="801"/>
      <c r="DY240" s="801"/>
      <c r="DZ240" s="802"/>
      <c r="EA240" s="800" t="str">
        <f>IFERROR(IF(EZ231&gt;EA231-1,IF(INDEX(Lista_Pedidos,EY231+EA231-1,7)&lt;&gt;"","Hilo :     "&amp; INDEX(Lista_Pedidos,EY231+EA231-1,7),""),""),"")</f>
        <v/>
      </c>
      <c r="EB240" s="801"/>
      <c r="EC240" s="801"/>
      <c r="ED240" s="801"/>
      <c r="EE240" s="801"/>
      <c r="EF240" s="801"/>
      <c r="EG240" s="801"/>
      <c r="EH240" s="801"/>
      <c r="EI240" s="801"/>
      <c r="EJ240" s="801"/>
      <c r="EK240" s="801"/>
      <c r="EL240" s="801"/>
      <c r="EM240" s="801"/>
      <c r="EN240" s="801"/>
      <c r="EO240" s="801"/>
      <c r="EP240" s="801"/>
      <c r="EQ240" s="801"/>
      <c r="ER240" s="801"/>
      <c r="ES240" s="801"/>
      <c r="ET240" s="801"/>
      <c r="EU240" s="801"/>
      <c r="EV240" s="801"/>
      <c r="EW240" s="801"/>
      <c r="EX240" s="801"/>
      <c r="EY240" s="801"/>
      <c r="EZ240" s="802"/>
      <c r="FA240" s="800" t="str">
        <f>IFERROR(IF(FZ231&gt;FA231-1,IF(INDEX(Lista_Pedidos,FY231+FA231-1,7)&lt;&gt;"","Hilo :     "&amp; INDEX(Lista_Pedidos,FY231+FA231-1,7),""),""),"")</f>
        <v/>
      </c>
      <c r="FB240" s="801"/>
      <c r="FC240" s="801"/>
      <c r="FD240" s="801"/>
      <c r="FE240" s="801"/>
      <c r="FF240" s="801"/>
      <c r="FG240" s="801"/>
      <c r="FH240" s="801"/>
      <c r="FI240" s="801"/>
      <c r="FJ240" s="801"/>
      <c r="FK240" s="801"/>
      <c r="FL240" s="801"/>
      <c r="FM240" s="801"/>
      <c r="FN240" s="801"/>
      <c r="FO240" s="801"/>
      <c r="FP240" s="801"/>
      <c r="FQ240" s="801"/>
      <c r="FR240" s="801"/>
      <c r="FS240" s="801"/>
      <c r="FT240" s="801"/>
      <c r="FU240" s="801"/>
      <c r="FV240" s="801"/>
      <c r="FW240" s="801"/>
      <c r="FX240" s="801"/>
      <c r="FY240" s="801"/>
      <c r="FZ240" s="802"/>
      <c r="GA240" s="800" t="str">
        <f>IFERROR(IF(GZ231&gt;GA231-1,IF(INDEX(Lista_Pedidos,GY231+GA231-1,7)&lt;&gt;"","Hilo :     "&amp; INDEX(Lista_Pedidos,GY231+GA231-1,7),""),""),"")</f>
        <v/>
      </c>
      <c r="GB240" s="801"/>
      <c r="GC240" s="801"/>
      <c r="GD240" s="801"/>
      <c r="GE240" s="801"/>
      <c r="GF240" s="801"/>
      <c r="GG240" s="801"/>
      <c r="GH240" s="801"/>
      <c r="GI240" s="801"/>
      <c r="GJ240" s="801"/>
      <c r="GK240" s="801"/>
      <c r="GL240" s="801"/>
      <c r="GM240" s="801"/>
      <c r="GN240" s="801"/>
      <c r="GO240" s="801"/>
      <c r="GP240" s="801"/>
      <c r="GQ240" s="801"/>
      <c r="GR240" s="801"/>
      <c r="GS240" s="801"/>
      <c r="GT240" s="801"/>
      <c r="GU240" s="801"/>
      <c r="GV240" s="801"/>
      <c r="GW240" s="801"/>
      <c r="GX240" s="801"/>
      <c r="GY240" s="801"/>
      <c r="GZ240" s="802"/>
      <c r="HA240" s="800" t="str">
        <f>IFERROR(IF(HZ231&gt;HA231-1,IF(INDEX(Lista_Pedidos,HY231+HA231-1,7)&lt;&gt;"","Hilo :     "&amp; INDEX(Lista_Pedidos,HY231+HA231-1,7),""),""),"")</f>
        <v/>
      </c>
      <c r="HB240" s="801"/>
      <c r="HC240" s="801"/>
      <c r="HD240" s="801"/>
      <c r="HE240" s="801"/>
      <c r="HF240" s="801"/>
      <c r="HG240" s="801"/>
      <c r="HH240" s="801"/>
      <c r="HI240" s="801"/>
      <c r="HJ240" s="801"/>
      <c r="HK240" s="801"/>
      <c r="HL240" s="801"/>
      <c r="HM240" s="801"/>
      <c r="HN240" s="801"/>
      <c r="HO240" s="801"/>
      <c r="HP240" s="801"/>
      <c r="HQ240" s="801"/>
      <c r="HR240" s="801"/>
      <c r="HS240" s="801"/>
      <c r="HT240" s="801"/>
      <c r="HU240" s="801"/>
      <c r="HV240" s="801"/>
      <c r="HW240" s="801"/>
      <c r="HX240" s="801"/>
      <c r="HY240" s="801"/>
      <c r="HZ240" s="802"/>
      <c r="IA240" s="800" t="str">
        <f>IFERROR(IF(IZ231&gt;IA231-1,IF(INDEX(Lista_Pedidos,IY231+IA231-1,7)&lt;&gt;"","Hilo :     "&amp; INDEX(Lista_Pedidos,IY231+IA231-1,7),""),""),"")</f>
        <v/>
      </c>
      <c r="IB240" s="801"/>
      <c r="IC240" s="801"/>
      <c r="ID240" s="801"/>
      <c r="IE240" s="801"/>
      <c r="IF240" s="801"/>
      <c r="IG240" s="801"/>
      <c r="IH240" s="801"/>
      <c r="II240" s="801"/>
      <c r="IJ240" s="801"/>
      <c r="IK240" s="801"/>
      <c r="IL240" s="801"/>
      <c r="IM240" s="801"/>
      <c r="IN240" s="801"/>
      <c r="IO240" s="801"/>
      <c r="IP240" s="801"/>
      <c r="IQ240" s="801"/>
      <c r="IR240" s="801"/>
      <c r="IS240" s="801"/>
      <c r="IT240" s="801"/>
      <c r="IU240" s="801"/>
      <c r="IV240" s="801"/>
      <c r="IW240" s="801"/>
      <c r="IX240" s="801"/>
      <c r="IY240" s="801"/>
      <c r="IZ240" s="802"/>
    </row>
    <row r="241" spans="1:260" s="530" customFormat="1" x14ac:dyDescent="0.25">
      <c r="A241" s="800" t="str">
        <f>IFERROR(IF(Z231&gt;A231-1,IF(INDEX(Lista_Pedidos,Y231+A231-1,8)&lt;&gt;"","Forro :     "&amp; INDEX(Lista_Pedidos,Y231+A231-1,8),""),""),"")</f>
        <v/>
      </c>
      <c r="B241" s="801"/>
      <c r="C241" s="801"/>
      <c r="D241" s="801"/>
      <c r="E241" s="801"/>
      <c r="F241" s="801"/>
      <c r="G241" s="801"/>
      <c r="H241" s="801"/>
      <c r="I241" s="801"/>
      <c r="J241" s="801"/>
      <c r="K241" s="801"/>
      <c r="L241" s="801"/>
      <c r="M241" s="801"/>
      <c r="N241" s="801"/>
      <c r="O241" s="801"/>
      <c r="P241" s="801"/>
      <c r="Q241" s="801"/>
      <c r="R241" s="801"/>
      <c r="S241" s="801"/>
      <c r="T241" s="801"/>
      <c r="U241" s="801"/>
      <c r="V241" s="801"/>
      <c r="W241" s="801"/>
      <c r="X241" s="801"/>
      <c r="Y241" s="801"/>
      <c r="Z241" s="802"/>
      <c r="AA241" s="800" t="str">
        <f>IFERROR(IF(AZ231&gt;AA231-1,IF(INDEX(Lista_Pedidos,AY231+AA231-1,8)&lt;&gt;"","Forro :     "&amp; INDEX(Lista_Pedidos,AY231+AA231-1,8),""),""),"")</f>
        <v/>
      </c>
      <c r="AB241" s="801"/>
      <c r="AC241" s="801"/>
      <c r="AD241" s="801"/>
      <c r="AE241" s="801"/>
      <c r="AF241" s="801"/>
      <c r="AG241" s="801"/>
      <c r="AH241" s="801"/>
      <c r="AI241" s="801"/>
      <c r="AJ241" s="801"/>
      <c r="AK241" s="801"/>
      <c r="AL241" s="801"/>
      <c r="AM241" s="801"/>
      <c r="AN241" s="801"/>
      <c r="AO241" s="801"/>
      <c r="AP241" s="801"/>
      <c r="AQ241" s="801"/>
      <c r="AR241" s="801"/>
      <c r="AS241" s="801"/>
      <c r="AT241" s="801"/>
      <c r="AU241" s="801"/>
      <c r="AV241" s="801"/>
      <c r="AW241" s="801"/>
      <c r="AX241" s="801"/>
      <c r="AY241" s="801"/>
      <c r="AZ241" s="802"/>
      <c r="BA241" s="800" t="str">
        <f>IFERROR(IF(BZ231&gt;BA231-1,IF(INDEX(Lista_Pedidos,BY231+BA231-1,8)&lt;&gt;"","Forro :     "&amp; INDEX(Lista_Pedidos,BY231+BA231-1,8),""),""),"")</f>
        <v/>
      </c>
      <c r="BB241" s="801"/>
      <c r="BC241" s="801"/>
      <c r="BD241" s="801"/>
      <c r="BE241" s="801"/>
      <c r="BF241" s="801"/>
      <c r="BG241" s="801"/>
      <c r="BH241" s="801"/>
      <c r="BI241" s="801"/>
      <c r="BJ241" s="801"/>
      <c r="BK241" s="801"/>
      <c r="BL241" s="801"/>
      <c r="BM241" s="801"/>
      <c r="BN241" s="801"/>
      <c r="BO241" s="801"/>
      <c r="BP241" s="801"/>
      <c r="BQ241" s="801"/>
      <c r="BR241" s="801"/>
      <c r="BS241" s="801"/>
      <c r="BT241" s="801"/>
      <c r="BU241" s="801"/>
      <c r="BV241" s="801"/>
      <c r="BW241" s="801"/>
      <c r="BX241" s="801"/>
      <c r="BY241" s="801"/>
      <c r="BZ241" s="802"/>
      <c r="CA241" s="800" t="str">
        <f>IFERROR(IF(CZ231&gt;CA231-1,IF(INDEX(Lista_Pedidos,CY231+CA231-1,8)&lt;&gt;"","Forro :     "&amp; INDEX(Lista_Pedidos,CY231+CA231-1,8),""),""),"")</f>
        <v/>
      </c>
      <c r="CB241" s="801"/>
      <c r="CC241" s="801"/>
      <c r="CD241" s="801"/>
      <c r="CE241" s="801"/>
      <c r="CF241" s="801"/>
      <c r="CG241" s="801"/>
      <c r="CH241" s="801"/>
      <c r="CI241" s="801"/>
      <c r="CJ241" s="801"/>
      <c r="CK241" s="801"/>
      <c r="CL241" s="801"/>
      <c r="CM241" s="801"/>
      <c r="CN241" s="801"/>
      <c r="CO241" s="801"/>
      <c r="CP241" s="801"/>
      <c r="CQ241" s="801"/>
      <c r="CR241" s="801"/>
      <c r="CS241" s="801"/>
      <c r="CT241" s="801"/>
      <c r="CU241" s="801"/>
      <c r="CV241" s="801"/>
      <c r="CW241" s="801"/>
      <c r="CX241" s="801"/>
      <c r="CY241" s="801"/>
      <c r="CZ241" s="802"/>
      <c r="DA241" s="800" t="str">
        <f>IFERROR(IF(DZ231&gt;DA231-1,IF(INDEX(Lista_Pedidos,DY231+DA231-1,8)&lt;&gt;"","Forro :     "&amp; INDEX(Lista_Pedidos,DY231+DA231-1,8),""),""),"")</f>
        <v/>
      </c>
      <c r="DB241" s="801"/>
      <c r="DC241" s="801"/>
      <c r="DD241" s="801"/>
      <c r="DE241" s="801"/>
      <c r="DF241" s="801"/>
      <c r="DG241" s="801"/>
      <c r="DH241" s="801"/>
      <c r="DI241" s="801"/>
      <c r="DJ241" s="801"/>
      <c r="DK241" s="801"/>
      <c r="DL241" s="801"/>
      <c r="DM241" s="801"/>
      <c r="DN241" s="801"/>
      <c r="DO241" s="801"/>
      <c r="DP241" s="801"/>
      <c r="DQ241" s="801"/>
      <c r="DR241" s="801"/>
      <c r="DS241" s="801"/>
      <c r="DT241" s="801"/>
      <c r="DU241" s="801"/>
      <c r="DV241" s="801"/>
      <c r="DW241" s="801"/>
      <c r="DX241" s="801"/>
      <c r="DY241" s="801"/>
      <c r="DZ241" s="802"/>
      <c r="EA241" s="800" t="str">
        <f>IFERROR(IF(EZ231&gt;EA231-1,IF(INDEX(Lista_Pedidos,EY231+EA231-1,8)&lt;&gt;"","Forro :     "&amp; INDEX(Lista_Pedidos,EY231+EA231-1,8),""),""),"")</f>
        <v/>
      </c>
      <c r="EB241" s="801"/>
      <c r="EC241" s="801"/>
      <c r="ED241" s="801"/>
      <c r="EE241" s="801"/>
      <c r="EF241" s="801"/>
      <c r="EG241" s="801"/>
      <c r="EH241" s="801"/>
      <c r="EI241" s="801"/>
      <c r="EJ241" s="801"/>
      <c r="EK241" s="801"/>
      <c r="EL241" s="801"/>
      <c r="EM241" s="801"/>
      <c r="EN241" s="801"/>
      <c r="EO241" s="801"/>
      <c r="EP241" s="801"/>
      <c r="EQ241" s="801"/>
      <c r="ER241" s="801"/>
      <c r="ES241" s="801"/>
      <c r="ET241" s="801"/>
      <c r="EU241" s="801"/>
      <c r="EV241" s="801"/>
      <c r="EW241" s="801"/>
      <c r="EX241" s="801"/>
      <c r="EY241" s="801"/>
      <c r="EZ241" s="802"/>
      <c r="FA241" s="800" t="str">
        <f>IFERROR(IF(FZ231&gt;FA231-1,IF(INDEX(Lista_Pedidos,FY231+FA231-1,8)&lt;&gt;"","Forro :     "&amp; INDEX(Lista_Pedidos,FY231+FA231-1,8),""),""),"")</f>
        <v/>
      </c>
      <c r="FB241" s="801"/>
      <c r="FC241" s="801"/>
      <c r="FD241" s="801"/>
      <c r="FE241" s="801"/>
      <c r="FF241" s="801"/>
      <c r="FG241" s="801"/>
      <c r="FH241" s="801"/>
      <c r="FI241" s="801"/>
      <c r="FJ241" s="801"/>
      <c r="FK241" s="801"/>
      <c r="FL241" s="801"/>
      <c r="FM241" s="801"/>
      <c r="FN241" s="801"/>
      <c r="FO241" s="801"/>
      <c r="FP241" s="801"/>
      <c r="FQ241" s="801"/>
      <c r="FR241" s="801"/>
      <c r="FS241" s="801"/>
      <c r="FT241" s="801"/>
      <c r="FU241" s="801"/>
      <c r="FV241" s="801"/>
      <c r="FW241" s="801"/>
      <c r="FX241" s="801"/>
      <c r="FY241" s="801"/>
      <c r="FZ241" s="802"/>
      <c r="GA241" s="800" t="str">
        <f>IFERROR(IF(GZ231&gt;GA231-1,IF(INDEX(Lista_Pedidos,GY231+GA231-1,8)&lt;&gt;"","Forro :     "&amp; INDEX(Lista_Pedidos,GY231+GA231-1,8),""),""),"")</f>
        <v/>
      </c>
      <c r="GB241" s="801"/>
      <c r="GC241" s="801"/>
      <c r="GD241" s="801"/>
      <c r="GE241" s="801"/>
      <c r="GF241" s="801"/>
      <c r="GG241" s="801"/>
      <c r="GH241" s="801"/>
      <c r="GI241" s="801"/>
      <c r="GJ241" s="801"/>
      <c r="GK241" s="801"/>
      <c r="GL241" s="801"/>
      <c r="GM241" s="801"/>
      <c r="GN241" s="801"/>
      <c r="GO241" s="801"/>
      <c r="GP241" s="801"/>
      <c r="GQ241" s="801"/>
      <c r="GR241" s="801"/>
      <c r="GS241" s="801"/>
      <c r="GT241" s="801"/>
      <c r="GU241" s="801"/>
      <c r="GV241" s="801"/>
      <c r="GW241" s="801"/>
      <c r="GX241" s="801"/>
      <c r="GY241" s="801"/>
      <c r="GZ241" s="802"/>
      <c r="HA241" s="800" t="str">
        <f>IFERROR(IF(HZ231&gt;HA231-1,IF(INDEX(Lista_Pedidos,HY231+HA231-1,8)&lt;&gt;"","Forro :     "&amp; INDEX(Lista_Pedidos,HY231+HA231-1,8),""),""),"")</f>
        <v/>
      </c>
      <c r="HB241" s="801"/>
      <c r="HC241" s="801"/>
      <c r="HD241" s="801"/>
      <c r="HE241" s="801"/>
      <c r="HF241" s="801"/>
      <c r="HG241" s="801"/>
      <c r="HH241" s="801"/>
      <c r="HI241" s="801"/>
      <c r="HJ241" s="801"/>
      <c r="HK241" s="801"/>
      <c r="HL241" s="801"/>
      <c r="HM241" s="801"/>
      <c r="HN241" s="801"/>
      <c r="HO241" s="801"/>
      <c r="HP241" s="801"/>
      <c r="HQ241" s="801"/>
      <c r="HR241" s="801"/>
      <c r="HS241" s="801"/>
      <c r="HT241" s="801"/>
      <c r="HU241" s="801"/>
      <c r="HV241" s="801"/>
      <c r="HW241" s="801"/>
      <c r="HX241" s="801"/>
      <c r="HY241" s="801"/>
      <c r="HZ241" s="802"/>
      <c r="IA241" s="800" t="str">
        <f>IFERROR(IF(IZ231&gt;IA231-1,IF(INDEX(Lista_Pedidos,IY231+IA231-1,8)&lt;&gt;"","Forro :     "&amp; INDEX(Lista_Pedidos,IY231+IA231-1,8),""),""),"")</f>
        <v/>
      </c>
      <c r="IB241" s="801"/>
      <c r="IC241" s="801"/>
      <c r="ID241" s="801"/>
      <c r="IE241" s="801"/>
      <c r="IF241" s="801"/>
      <c r="IG241" s="801"/>
      <c r="IH241" s="801"/>
      <c r="II241" s="801"/>
      <c r="IJ241" s="801"/>
      <c r="IK241" s="801"/>
      <c r="IL241" s="801"/>
      <c r="IM241" s="801"/>
      <c r="IN241" s="801"/>
      <c r="IO241" s="801"/>
      <c r="IP241" s="801"/>
      <c r="IQ241" s="801"/>
      <c r="IR241" s="801"/>
      <c r="IS241" s="801"/>
      <c r="IT241" s="801"/>
      <c r="IU241" s="801"/>
      <c r="IV241" s="801"/>
      <c r="IW241" s="801"/>
      <c r="IX241" s="801"/>
      <c r="IY241" s="801"/>
      <c r="IZ241" s="802"/>
    </row>
    <row r="242" spans="1:260" s="530" customFormat="1" x14ac:dyDescent="0.25">
      <c r="A242" s="800" t="str">
        <f>IF(A$5="Cliente Especial : NEON",IF(Z231&gt;A231-1,"Neon :      Si",""),"")</f>
        <v/>
      </c>
      <c r="B242" s="801"/>
      <c r="C242" s="801"/>
      <c r="D242" s="801"/>
      <c r="E242" s="801"/>
      <c r="F242" s="801"/>
      <c r="G242" s="801"/>
      <c r="H242" s="801"/>
      <c r="I242" s="801"/>
      <c r="J242" s="801"/>
      <c r="K242" s="801"/>
      <c r="L242" s="801"/>
      <c r="M242" s="801"/>
      <c r="N242" s="801"/>
      <c r="O242" s="801"/>
      <c r="P242" s="801"/>
      <c r="Q242" s="801"/>
      <c r="R242" s="801"/>
      <c r="S242" s="801"/>
      <c r="T242" s="801"/>
      <c r="U242" s="801"/>
      <c r="V242" s="801"/>
      <c r="W242" s="801"/>
      <c r="X242" s="801"/>
      <c r="Y242" s="801"/>
      <c r="Z242" s="802"/>
      <c r="AA242" s="800" t="str">
        <f>IF(AA$5="Cliente Especial : NEON",IF(AZ231&gt;AA231-1,"Neon :      Si",""),"")</f>
        <v/>
      </c>
      <c r="AB242" s="801"/>
      <c r="AC242" s="801"/>
      <c r="AD242" s="801"/>
      <c r="AE242" s="801"/>
      <c r="AF242" s="801"/>
      <c r="AG242" s="801"/>
      <c r="AH242" s="801"/>
      <c r="AI242" s="801"/>
      <c r="AJ242" s="801"/>
      <c r="AK242" s="801"/>
      <c r="AL242" s="801"/>
      <c r="AM242" s="801"/>
      <c r="AN242" s="801"/>
      <c r="AO242" s="801"/>
      <c r="AP242" s="801"/>
      <c r="AQ242" s="801"/>
      <c r="AR242" s="801"/>
      <c r="AS242" s="801"/>
      <c r="AT242" s="801"/>
      <c r="AU242" s="801"/>
      <c r="AV242" s="801"/>
      <c r="AW242" s="801"/>
      <c r="AX242" s="801"/>
      <c r="AY242" s="801"/>
      <c r="AZ242" s="802"/>
      <c r="BA242" s="800" t="str">
        <f>IF(BA$5="Cliente Especial : NEON",IF(BZ231&gt;BA231-1,"Neon :      Si",""),"")</f>
        <v/>
      </c>
      <c r="BB242" s="801"/>
      <c r="BC242" s="801"/>
      <c r="BD242" s="801"/>
      <c r="BE242" s="801"/>
      <c r="BF242" s="801"/>
      <c r="BG242" s="801"/>
      <c r="BH242" s="801"/>
      <c r="BI242" s="801"/>
      <c r="BJ242" s="801"/>
      <c r="BK242" s="801"/>
      <c r="BL242" s="801"/>
      <c r="BM242" s="801"/>
      <c r="BN242" s="801"/>
      <c r="BO242" s="801"/>
      <c r="BP242" s="801"/>
      <c r="BQ242" s="801"/>
      <c r="BR242" s="801"/>
      <c r="BS242" s="801"/>
      <c r="BT242" s="801"/>
      <c r="BU242" s="801"/>
      <c r="BV242" s="801"/>
      <c r="BW242" s="801"/>
      <c r="BX242" s="801"/>
      <c r="BY242" s="801"/>
      <c r="BZ242" s="802"/>
      <c r="CA242" s="800" t="str">
        <f>IF(CA$5="Cliente Especial : NEON",IF(CZ231&gt;CA231-1,"Neon :      Si",""),"")</f>
        <v/>
      </c>
      <c r="CB242" s="801"/>
      <c r="CC242" s="801"/>
      <c r="CD242" s="801"/>
      <c r="CE242" s="801"/>
      <c r="CF242" s="801"/>
      <c r="CG242" s="801"/>
      <c r="CH242" s="801"/>
      <c r="CI242" s="801"/>
      <c r="CJ242" s="801"/>
      <c r="CK242" s="801"/>
      <c r="CL242" s="801"/>
      <c r="CM242" s="801"/>
      <c r="CN242" s="801"/>
      <c r="CO242" s="801"/>
      <c r="CP242" s="801"/>
      <c r="CQ242" s="801"/>
      <c r="CR242" s="801"/>
      <c r="CS242" s="801"/>
      <c r="CT242" s="801"/>
      <c r="CU242" s="801"/>
      <c r="CV242" s="801"/>
      <c r="CW242" s="801"/>
      <c r="CX242" s="801"/>
      <c r="CY242" s="801"/>
      <c r="CZ242" s="802"/>
      <c r="DA242" s="800" t="str">
        <f>IF(DA$5="Cliente Especial : NEON",IF(DZ231&gt;DA231-1,"Neon :      Si",""),"")</f>
        <v/>
      </c>
      <c r="DB242" s="801"/>
      <c r="DC242" s="801"/>
      <c r="DD242" s="801"/>
      <c r="DE242" s="801"/>
      <c r="DF242" s="801"/>
      <c r="DG242" s="801"/>
      <c r="DH242" s="801"/>
      <c r="DI242" s="801"/>
      <c r="DJ242" s="801"/>
      <c r="DK242" s="801"/>
      <c r="DL242" s="801"/>
      <c r="DM242" s="801"/>
      <c r="DN242" s="801"/>
      <c r="DO242" s="801"/>
      <c r="DP242" s="801"/>
      <c r="DQ242" s="801"/>
      <c r="DR242" s="801"/>
      <c r="DS242" s="801"/>
      <c r="DT242" s="801"/>
      <c r="DU242" s="801"/>
      <c r="DV242" s="801"/>
      <c r="DW242" s="801"/>
      <c r="DX242" s="801"/>
      <c r="DY242" s="801"/>
      <c r="DZ242" s="802"/>
      <c r="EA242" s="800" t="str">
        <f>IF(EA$5="Cliente Especial : NEON",IF(EZ231&gt;EA231-1,"Neon :      Si",""),"")</f>
        <v/>
      </c>
      <c r="EB242" s="801"/>
      <c r="EC242" s="801"/>
      <c r="ED242" s="801"/>
      <c r="EE242" s="801"/>
      <c r="EF242" s="801"/>
      <c r="EG242" s="801"/>
      <c r="EH242" s="801"/>
      <c r="EI242" s="801"/>
      <c r="EJ242" s="801"/>
      <c r="EK242" s="801"/>
      <c r="EL242" s="801"/>
      <c r="EM242" s="801"/>
      <c r="EN242" s="801"/>
      <c r="EO242" s="801"/>
      <c r="EP242" s="801"/>
      <c r="EQ242" s="801"/>
      <c r="ER242" s="801"/>
      <c r="ES242" s="801"/>
      <c r="ET242" s="801"/>
      <c r="EU242" s="801"/>
      <c r="EV242" s="801"/>
      <c r="EW242" s="801"/>
      <c r="EX242" s="801"/>
      <c r="EY242" s="801"/>
      <c r="EZ242" s="802"/>
      <c r="FA242" s="800" t="str">
        <f>IF(FA$5="Cliente Especial : NEON",IF(FZ231&gt;FA231-1,"Neon :      Si",""),"")</f>
        <v/>
      </c>
      <c r="FB242" s="801"/>
      <c r="FC242" s="801"/>
      <c r="FD242" s="801"/>
      <c r="FE242" s="801"/>
      <c r="FF242" s="801"/>
      <c r="FG242" s="801"/>
      <c r="FH242" s="801"/>
      <c r="FI242" s="801"/>
      <c r="FJ242" s="801"/>
      <c r="FK242" s="801"/>
      <c r="FL242" s="801"/>
      <c r="FM242" s="801"/>
      <c r="FN242" s="801"/>
      <c r="FO242" s="801"/>
      <c r="FP242" s="801"/>
      <c r="FQ242" s="801"/>
      <c r="FR242" s="801"/>
      <c r="FS242" s="801"/>
      <c r="FT242" s="801"/>
      <c r="FU242" s="801"/>
      <c r="FV242" s="801"/>
      <c r="FW242" s="801"/>
      <c r="FX242" s="801"/>
      <c r="FY242" s="801"/>
      <c r="FZ242" s="802"/>
      <c r="GA242" s="800" t="str">
        <f>IF(GA$5="Cliente Especial : NEON",IF(GZ231&gt;GA231-1,"Neon :      Si",""),"")</f>
        <v/>
      </c>
      <c r="GB242" s="801"/>
      <c r="GC242" s="801"/>
      <c r="GD242" s="801"/>
      <c r="GE242" s="801"/>
      <c r="GF242" s="801"/>
      <c r="GG242" s="801"/>
      <c r="GH242" s="801"/>
      <c r="GI242" s="801"/>
      <c r="GJ242" s="801"/>
      <c r="GK242" s="801"/>
      <c r="GL242" s="801"/>
      <c r="GM242" s="801"/>
      <c r="GN242" s="801"/>
      <c r="GO242" s="801"/>
      <c r="GP242" s="801"/>
      <c r="GQ242" s="801"/>
      <c r="GR242" s="801"/>
      <c r="GS242" s="801"/>
      <c r="GT242" s="801"/>
      <c r="GU242" s="801"/>
      <c r="GV242" s="801"/>
      <c r="GW242" s="801"/>
      <c r="GX242" s="801"/>
      <c r="GY242" s="801"/>
      <c r="GZ242" s="802"/>
      <c r="HA242" s="800" t="str">
        <f>IF(HA$5="Cliente Especial : NEON",IF(HZ231&gt;HA231-1,"Neon :      Si",""),"")</f>
        <v/>
      </c>
      <c r="HB242" s="801"/>
      <c r="HC242" s="801"/>
      <c r="HD242" s="801"/>
      <c r="HE242" s="801"/>
      <c r="HF242" s="801"/>
      <c r="HG242" s="801"/>
      <c r="HH242" s="801"/>
      <c r="HI242" s="801"/>
      <c r="HJ242" s="801"/>
      <c r="HK242" s="801"/>
      <c r="HL242" s="801"/>
      <c r="HM242" s="801"/>
      <c r="HN242" s="801"/>
      <c r="HO242" s="801"/>
      <c r="HP242" s="801"/>
      <c r="HQ242" s="801"/>
      <c r="HR242" s="801"/>
      <c r="HS242" s="801"/>
      <c r="HT242" s="801"/>
      <c r="HU242" s="801"/>
      <c r="HV242" s="801"/>
      <c r="HW242" s="801"/>
      <c r="HX242" s="801"/>
      <c r="HY242" s="801"/>
      <c r="HZ242" s="802"/>
      <c r="IA242" s="800" t="str">
        <f>IF(IA$5="Cliente Especial : NEON",IF(IZ231&gt;IA231-1,"Neon :      Si",""),"")</f>
        <v/>
      </c>
      <c r="IB242" s="801"/>
      <c r="IC242" s="801"/>
      <c r="ID242" s="801"/>
      <c r="IE242" s="801"/>
      <c r="IF242" s="801"/>
      <c r="IG242" s="801"/>
      <c r="IH242" s="801"/>
      <c r="II242" s="801"/>
      <c r="IJ242" s="801"/>
      <c r="IK242" s="801"/>
      <c r="IL242" s="801"/>
      <c r="IM242" s="801"/>
      <c r="IN242" s="801"/>
      <c r="IO242" s="801"/>
      <c r="IP242" s="801"/>
      <c r="IQ242" s="801"/>
      <c r="IR242" s="801"/>
      <c r="IS242" s="801"/>
      <c r="IT242" s="801"/>
      <c r="IU242" s="801"/>
      <c r="IV242" s="801"/>
      <c r="IW242" s="801"/>
      <c r="IX242" s="801"/>
      <c r="IY242" s="801"/>
      <c r="IZ242" s="802"/>
    </row>
    <row r="243" spans="1:260" s="530" customFormat="1" x14ac:dyDescent="0.25">
      <c r="A243" s="800" t="str">
        <f>IFERROR(IF(Z231&gt;A231-1,IF(INDEX(Pedidos!J:AZ,Y231+A231-1,9)&lt;&gt;"","Cierre :     "&amp; INDEX(Pedidos!J:AZ,Y231+A231-1,9),""),""),"")</f>
        <v/>
      </c>
      <c r="B243" s="801"/>
      <c r="C243" s="801"/>
      <c r="D243" s="801"/>
      <c r="E243" s="801"/>
      <c r="F243" s="801"/>
      <c r="G243" s="801"/>
      <c r="H243" s="801"/>
      <c r="I243" s="801"/>
      <c r="J243" s="801"/>
      <c r="K243" s="801"/>
      <c r="L243" s="801"/>
      <c r="M243" s="801"/>
      <c r="N243" s="801"/>
      <c r="O243" s="801"/>
      <c r="P243" s="801"/>
      <c r="Q243" s="801"/>
      <c r="R243" s="801"/>
      <c r="S243" s="801"/>
      <c r="T243" s="801"/>
      <c r="U243" s="801"/>
      <c r="V243" s="801"/>
      <c r="W243" s="801"/>
      <c r="X243" s="801"/>
      <c r="Y243" s="801"/>
      <c r="Z243" s="802"/>
      <c r="AA243" s="800" t="str">
        <f>IFERROR(IF(AZ231&gt;AA231-1,IF(INDEX(Pedidos!AJ:BZ,AY231+AA231-1,9)&lt;&gt;"","Cierre :     "&amp; INDEX(Pedidos!AJ:BZ,AY231+AA231-1,9),""),""),"")</f>
        <v/>
      </c>
      <c r="AB243" s="801"/>
      <c r="AC243" s="801"/>
      <c r="AD243" s="801"/>
      <c r="AE243" s="801"/>
      <c r="AF243" s="801"/>
      <c r="AG243" s="801"/>
      <c r="AH243" s="801"/>
      <c r="AI243" s="801"/>
      <c r="AJ243" s="801"/>
      <c r="AK243" s="801"/>
      <c r="AL243" s="801"/>
      <c r="AM243" s="801"/>
      <c r="AN243" s="801"/>
      <c r="AO243" s="801"/>
      <c r="AP243" s="801"/>
      <c r="AQ243" s="801"/>
      <c r="AR243" s="801"/>
      <c r="AS243" s="801"/>
      <c r="AT243" s="801"/>
      <c r="AU243" s="801"/>
      <c r="AV243" s="801"/>
      <c r="AW243" s="801"/>
      <c r="AX243" s="801"/>
      <c r="AY243" s="801"/>
      <c r="AZ243" s="802"/>
      <c r="BA243" s="800" t="str">
        <f>IFERROR(IF(BZ231&gt;BA231-1,IF(INDEX(Pedidos!BJ:CZ,BY231+BA231-1,9)&lt;&gt;"","Cierre :     "&amp; INDEX(Pedidos!BJ:CZ,BY231+BA231-1,9),""),""),"")</f>
        <v/>
      </c>
      <c r="BB243" s="801"/>
      <c r="BC243" s="801"/>
      <c r="BD243" s="801"/>
      <c r="BE243" s="801"/>
      <c r="BF243" s="801"/>
      <c r="BG243" s="801"/>
      <c r="BH243" s="801"/>
      <c r="BI243" s="801"/>
      <c r="BJ243" s="801"/>
      <c r="BK243" s="801"/>
      <c r="BL243" s="801"/>
      <c r="BM243" s="801"/>
      <c r="BN243" s="801"/>
      <c r="BO243" s="801"/>
      <c r="BP243" s="801"/>
      <c r="BQ243" s="801"/>
      <c r="BR243" s="801"/>
      <c r="BS243" s="801"/>
      <c r="BT243" s="801"/>
      <c r="BU243" s="801"/>
      <c r="BV243" s="801"/>
      <c r="BW243" s="801"/>
      <c r="BX243" s="801"/>
      <c r="BY243" s="801"/>
      <c r="BZ243" s="802"/>
      <c r="CA243" s="800" t="str">
        <f>IFERROR(IF(CZ231&gt;CA231-1,IF(INDEX(Pedidos!CJ:DZ,CY231+CA231-1,9)&lt;&gt;"","Cierre :     "&amp; INDEX(Pedidos!CJ:DZ,CY231+CA231-1,9),""),""),"")</f>
        <v/>
      </c>
      <c r="CB243" s="801"/>
      <c r="CC243" s="801"/>
      <c r="CD243" s="801"/>
      <c r="CE243" s="801"/>
      <c r="CF243" s="801"/>
      <c r="CG243" s="801"/>
      <c r="CH243" s="801"/>
      <c r="CI243" s="801"/>
      <c r="CJ243" s="801"/>
      <c r="CK243" s="801"/>
      <c r="CL243" s="801"/>
      <c r="CM243" s="801"/>
      <c r="CN243" s="801"/>
      <c r="CO243" s="801"/>
      <c r="CP243" s="801"/>
      <c r="CQ243" s="801"/>
      <c r="CR243" s="801"/>
      <c r="CS243" s="801"/>
      <c r="CT243" s="801"/>
      <c r="CU243" s="801"/>
      <c r="CV243" s="801"/>
      <c r="CW243" s="801"/>
      <c r="CX243" s="801"/>
      <c r="CY243" s="801"/>
      <c r="CZ243" s="802"/>
      <c r="DA243" s="800" t="str">
        <f>IFERROR(IF(DZ231&gt;DA231-1,IF(INDEX(Pedidos!DJ:EZ,DY231+DA231-1,9)&lt;&gt;"","Cierre :     "&amp; INDEX(Pedidos!DJ:EZ,DY231+DA231-1,9),""),""),"")</f>
        <v/>
      </c>
      <c r="DB243" s="801"/>
      <c r="DC243" s="801"/>
      <c r="DD243" s="801"/>
      <c r="DE243" s="801"/>
      <c r="DF243" s="801"/>
      <c r="DG243" s="801"/>
      <c r="DH243" s="801"/>
      <c r="DI243" s="801"/>
      <c r="DJ243" s="801"/>
      <c r="DK243" s="801"/>
      <c r="DL243" s="801"/>
      <c r="DM243" s="801"/>
      <c r="DN243" s="801"/>
      <c r="DO243" s="801"/>
      <c r="DP243" s="801"/>
      <c r="DQ243" s="801"/>
      <c r="DR243" s="801"/>
      <c r="DS243" s="801"/>
      <c r="DT243" s="801"/>
      <c r="DU243" s="801"/>
      <c r="DV243" s="801"/>
      <c r="DW243" s="801"/>
      <c r="DX243" s="801"/>
      <c r="DY243" s="801"/>
      <c r="DZ243" s="802"/>
      <c r="EA243" s="800" t="str">
        <f>IFERROR(IF(EZ231&gt;EA231-1,IF(INDEX(Pedidos!EJ:FZ,EY231+EA231-1,9)&lt;&gt;"","Cierre :     "&amp; INDEX(Pedidos!EJ:FZ,EY231+EA231-1,9),""),""),"")</f>
        <v/>
      </c>
      <c r="EB243" s="801"/>
      <c r="EC243" s="801"/>
      <c r="ED243" s="801"/>
      <c r="EE243" s="801"/>
      <c r="EF243" s="801"/>
      <c r="EG243" s="801"/>
      <c r="EH243" s="801"/>
      <c r="EI243" s="801"/>
      <c r="EJ243" s="801"/>
      <c r="EK243" s="801"/>
      <c r="EL243" s="801"/>
      <c r="EM243" s="801"/>
      <c r="EN243" s="801"/>
      <c r="EO243" s="801"/>
      <c r="EP243" s="801"/>
      <c r="EQ243" s="801"/>
      <c r="ER243" s="801"/>
      <c r="ES243" s="801"/>
      <c r="ET243" s="801"/>
      <c r="EU243" s="801"/>
      <c r="EV243" s="801"/>
      <c r="EW243" s="801"/>
      <c r="EX243" s="801"/>
      <c r="EY243" s="801"/>
      <c r="EZ243" s="802"/>
      <c r="FA243" s="800" t="str">
        <f>IFERROR(IF(FZ231&gt;FA231-1,IF(INDEX(Pedidos!FJ:GZ,FY231+FA231-1,9)&lt;&gt;"","Cierre :     "&amp; INDEX(Pedidos!FJ:GZ,FY231+FA231-1,9),""),""),"")</f>
        <v/>
      </c>
      <c r="FB243" s="801"/>
      <c r="FC243" s="801"/>
      <c r="FD243" s="801"/>
      <c r="FE243" s="801"/>
      <c r="FF243" s="801"/>
      <c r="FG243" s="801"/>
      <c r="FH243" s="801"/>
      <c r="FI243" s="801"/>
      <c r="FJ243" s="801"/>
      <c r="FK243" s="801"/>
      <c r="FL243" s="801"/>
      <c r="FM243" s="801"/>
      <c r="FN243" s="801"/>
      <c r="FO243" s="801"/>
      <c r="FP243" s="801"/>
      <c r="FQ243" s="801"/>
      <c r="FR243" s="801"/>
      <c r="FS243" s="801"/>
      <c r="FT243" s="801"/>
      <c r="FU243" s="801"/>
      <c r="FV243" s="801"/>
      <c r="FW243" s="801"/>
      <c r="FX243" s="801"/>
      <c r="FY243" s="801"/>
      <c r="FZ243" s="802"/>
      <c r="GA243" s="800" t="str">
        <f>IFERROR(IF(GZ231&gt;GA231-1,IF(INDEX(Pedidos!GJ:HZ,GY231+GA231-1,9)&lt;&gt;"","Cierre :     "&amp; INDEX(Pedidos!GJ:HZ,GY231+GA231-1,9),""),""),"")</f>
        <v/>
      </c>
      <c r="GB243" s="801"/>
      <c r="GC243" s="801"/>
      <c r="GD243" s="801"/>
      <c r="GE243" s="801"/>
      <c r="GF243" s="801"/>
      <c r="GG243" s="801"/>
      <c r="GH243" s="801"/>
      <c r="GI243" s="801"/>
      <c r="GJ243" s="801"/>
      <c r="GK243" s="801"/>
      <c r="GL243" s="801"/>
      <c r="GM243" s="801"/>
      <c r="GN243" s="801"/>
      <c r="GO243" s="801"/>
      <c r="GP243" s="801"/>
      <c r="GQ243" s="801"/>
      <c r="GR243" s="801"/>
      <c r="GS243" s="801"/>
      <c r="GT243" s="801"/>
      <c r="GU243" s="801"/>
      <c r="GV243" s="801"/>
      <c r="GW243" s="801"/>
      <c r="GX243" s="801"/>
      <c r="GY243" s="801"/>
      <c r="GZ243" s="802"/>
      <c r="HA243" s="800" t="str">
        <f>IFERROR(IF(HZ231&gt;HA231-1,IF(INDEX(Pedidos!HJ:IZ,HY231+HA231-1,9)&lt;&gt;"","Cierre :     "&amp; INDEX(Pedidos!HJ:IZ,HY231+HA231-1,9),""),""),"")</f>
        <v/>
      </c>
      <c r="HB243" s="801"/>
      <c r="HC243" s="801"/>
      <c r="HD243" s="801"/>
      <c r="HE243" s="801"/>
      <c r="HF243" s="801"/>
      <c r="HG243" s="801"/>
      <c r="HH243" s="801"/>
      <c r="HI243" s="801"/>
      <c r="HJ243" s="801"/>
      <c r="HK243" s="801"/>
      <c r="HL243" s="801"/>
      <c r="HM243" s="801"/>
      <c r="HN243" s="801"/>
      <c r="HO243" s="801"/>
      <c r="HP243" s="801"/>
      <c r="HQ243" s="801"/>
      <c r="HR243" s="801"/>
      <c r="HS243" s="801"/>
      <c r="HT243" s="801"/>
      <c r="HU243" s="801"/>
      <c r="HV243" s="801"/>
      <c r="HW243" s="801"/>
      <c r="HX243" s="801"/>
      <c r="HY243" s="801"/>
      <c r="HZ243" s="802"/>
      <c r="IA243" s="800" t="str">
        <f>IFERROR(IF(IZ231&gt;IA231-1,IF(INDEX(Pedidos!IJ:JZ,IY231+IA231-1,9)&lt;&gt;"","Cierre :     "&amp; INDEX(Pedidos!IJ:JZ,IY231+IA231-1,9),""),""),"")</f>
        <v/>
      </c>
      <c r="IB243" s="801"/>
      <c r="IC243" s="801"/>
      <c r="ID243" s="801"/>
      <c r="IE243" s="801"/>
      <c r="IF243" s="801"/>
      <c r="IG243" s="801"/>
      <c r="IH243" s="801"/>
      <c r="II243" s="801"/>
      <c r="IJ243" s="801"/>
      <c r="IK243" s="801"/>
      <c r="IL243" s="801"/>
      <c r="IM243" s="801"/>
      <c r="IN243" s="801"/>
      <c r="IO243" s="801"/>
      <c r="IP243" s="801"/>
      <c r="IQ243" s="801"/>
      <c r="IR243" s="801"/>
      <c r="IS243" s="801"/>
      <c r="IT243" s="801"/>
      <c r="IU243" s="801"/>
      <c r="IV243" s="801"/>
      <c r="IW243" s="801"/>
      <c r="IX243" s="801"/>
      <c r="IY243" s="801"/>
      <c r="IZ243" s="802"/>
    </row>
    <row r="244" spans="1:260" s="530" customFormat="1" x14ac:dyDescent="0.25">
      <c r="A244" s="800" t="str">
        <f>IFERROR(IF(Z231&gt;A231-1,IF(INDEX(Pedidos!J:AZ,Y231+A231-1,11)&lt;&gt;"","Cordon :     "&amp; INDEX(Pedidos!J:AZ,Y231+A231-1,11),""),""),"")</f>
        <v/>
      </c>
      <c r="B244" s="801"/>
      <c r="C244" s="801"/>
      <c r="D244" s="801"/>
      <c r="E244" s="801"/>
      <c r="F244" s="801"/>
      <c r="G244" s="801"/>
      <c r="H244" s="801"/>
      <c r="I244" s="801"/>
      <c r="J244" s="801"/>
      <c r="K244" s="801"/>
      <c r="L244" s="801"/>
      <c r="M244" s="801"/>
      <c r="N244" s="801"/>
      <c r="O244" s="801"/>
      <c r="P244" s="801"/>
      <c r="Q244" s="801"/>
      <c r="R244" s="801"/>
      <c r="S244" s="801"/>
      <c r="T244" s="801"/>
      <c r="U244" s="801"/>
      <c r="V244" s="801"/>
      <c r="W244" s="801"/>
      <c r="X244" s="801"/>
      <c r="Y244" s="801"/>
      <c r="Z244" s="802"/>
      <c r="AA244" s="800" t="str">
        <f>IFERROR(IF(AZ231&gt;AA231-1,IF(INDEX(Pedidos!AJ:BZ,AY231+AA231-1,11)&lt;&gt;"","Cordon :     "&amp; INDEX(Pedidos!AJ:BZ,AY231+AA231-1,11),""),""),"")</f>
        <v/>
      </c>
      <c r="AB244" s="801"/>
      <c r="AC244" s="801"/>
      <c r="AD244" s="801"/>
      <c r="AE244" s="801"/>
      <c r="AF244" s="801"/>
      <c r="AG244" s="801"/>
      <c r="AH244" s="801"/>
      <c r="AI244" s="801"/>
      <c r="AJ244" s="801"/>
      <c r="AK244" s="801"/>
      <c r="AL244" s="801"/>
      <c r="AM244" s="801"/>
      <c r="AN244" s="801"/>
      <c r="AO244" s="801"/>
      <c r="AP244" s="801"/>
      <c r="AQ244" s="801"/>
      <c r="AR244" s="801"/>
      <c r="AS244" s="801"/>
      <c r="AT244" s="801"/>
      <c r="AU244" s="801"/>
      <c r="AV244" s="801"/>
      <c r="AW244" s="801"/>
      <c r="AX244" s="801"/>
      <c r="AY244" s="801"/>
      <c r="AZ244" s="802"/>
      <c r="BA244" s="800" t="str">
        <f>IFERROR(IF(BZ231&gt;BA231-1,IF(INDEX(Pedidos!BJ:CZ,BY231+BA231-1,11)&lt;&gt;"","Cordon :     "&amp; INDEX(Pedidos!BJ:CZ,BY231+BA231-1,11),""),""),"")</f>
        <v/>
      </c>
      <c r="BB244" s="801"/>
      <c r="BC244" s="801"/>
      <c r="BD244" s="801"/>
      <c r="BE244" s="801"/>
      <c r="BF244" s="801"/>
      <c r="BG244" s="801"/>
      <c r="BH244" s="801"/>
      <c r="BI244" s="801"/>
      <c r="BJ244" s="801"/>
      <c r="BK244" s="801"/>
      <c r="BL244" s="801"/>
      <c r="BM244" s="801"/>
      <c r="BN244" s="801"/>
      <c r="BO244" s="801"/>
      <c r="BP244" s="801"/>
      <c r="BQ244" s="801"/>
      <c r="BR244" s="801"/>
      <c r="BS244" s="801"/>
      <c r="BT244" s="801"/>
      <c r="BU244" s="801"/>
      <c r="BV244" s="801"/>
      <c r="BW244" s="801"/>
      <c r="BX244" s="801"/>
      <c r="BY244" s="801"/>
      <c r="BZ244" s="802"/>
      <c r="CA244" s="800" t="str">
        <f>IFERROR(IF(CZ231&gt;CA231-1,IF(INDEX(Pedidos!CJ:DZ,CY231+CA231-1,11)&lt;&gt;"","Cordon :     "&amp; INDEX(Pedidos!CJ:DZ,CY231+CA231-1,11),""),""),"")</f>
        <v/>
      </c>
      <c r="CB244" s="801"/>
      <c r="CC244" s="801"/>
      <c r="CD244" s="801"/>
      <c r="CE244" s="801"/>
      <c r="CF244" s="801"/>
      <c r="CG244" s="801"/>
      <c r="CH244" s="801"/>
      <c r="CI244" s="801"/>
      <c r="CJ244" s="801"/>
      <c r="CK244" s="801"/>
      <c r="CL244" s="801"/>
      <c r="CM244" s="801"/>
      <c r="CN244" s="801"/>
      <c r="CO244" s="801"/>
      <c r="CP244" s="801"/>
      <c r="CQ244" s="801"/>
      <c r="CR244" s="801"/>
      <c r="CS244" s="801"/>
      <c r="CT244" s="801"/>
      <c r="CU244" s="801"/>
      <c r="CV244" s="801"/>
      <c r="CW244" s="801"/>
      <c r="CX244" s="801"/>
      <c r="CY244" s="801"/>
      <c r="CZ244" s="802"/>
      <c r="DA244" s="800" t="str">
        <f>IFERROR(IF(DZ231&gt;DA231-1,IF(INDEX(Pedidos!DJ:EZ,DY231+DA231-1,11)&lt;&gt;"","Cordon :     "&amp; INDEX(Pedidos!DJ:EZ,DY231+DA231-1,11),""),""),"")</f>
        <v/>
      </c>
      <c r="DB244" s="801"/>
      <c r="DC244" s="801"/>
      <c r="DD244" s="801"/>
      <c r="DE244" s="801"/>
      <c r="DF244" s="801"/>
      <c r="DG244" s="801"/>
      <c r="DH244" s="801"/>
      <c r="DI244" s="801"/>
      <c r="DJ244" s="801"/>
      <c r="DK244" s="801"/>
      <c r="DL244" s="801"/>
      <c r="DM244" s="801"/>
      <c r="DN244" s="801"/>
      <c r="DO244" s="801"/>
      <c r="DP244" s="801"/>
      <c r="DQ244" s="801"/>
      <c r="DR244" s="801"/>
      <c r="DS244" s="801"/>
      <c r="DT244" s="801"/>
      <c r="DU244" s="801"/>
      <c r="DV244" s="801"/>
      <c r="DW244" s="801"/>
      <c r="DX244" s="801"/>
      <c r="DY244" s="801"/>
      <c r="DZ244" s="802"/>
      <c r="EA244" s="800" t="str">
        <f>IFERROR(IF(EZ231&gt;EA231-1,IF(INDEX(Pedidos!EJ:FZ,EY231+EA231-1,11)&lt;&gt;"","Cordon :     "&amp; INDEX(Pedidos!EJ:FZ,EY231+EA231-1,11),""),""),"")</f>
        <v/>
      </c>
      <c r="EB244" s="801"/>
      <c r="EC244" s="801"/>
      <c r="ED244" s="801"/>
      <c r="EE244" s="801"/>
      <c r="EF244" s="801"/>
      <c r="EG244" s="801"/>
      <c r="EH244" s="801"/>
      <c r="EI244" s="801"/>
      <c r="EJ244" s="801"/>
      <c r="EK244" s="801"/>
      <c r="EL244" s="801"/>
      <c r="EM244" s="801"/>
      <c r="EN244" s="801"/>
      <c r="EO244" s="801"/>
      <c r="EP244" s="801"/>
      <c r="EQ244" s="801"/>
      <c r="ER244" s="801"/>
      <c r="ES244" s="801"/>
      <c r="ET244" s="801"/>
      <c r="EU244" s="801"/>
      <c r="EV244" s="801"/>
      <c r="EW244" s="801"/>
      <c r="EX244" s="801"/>
      <c r="EY244" s="801"/>
      <c r="EZ244" s="802"/>
      <c r="FA244" s="800" t="str">
        <f>IFERROR(IF(FZ231&gt;FA231-1,IF(INDEX(Pedidos!FJ:GZ,FY231+FA231-1,11)&lt;&gt;"","Cordon :     "&amp; INDEX(Pedidos!FJ:GZ,FY231+FA231-1,11),""),""),"")</f>
        <v/>
      </c>
      <c r="FB244" s="801"/>
      <c r="FC244" s="801"/>
      <c r="FD244" s="801"/>
      <c r="FE244" s="801"/>
      <c r="FF244" s="801"/>
      <c r="FG244" s="801"/>
      <c r="FH244" s="801"/>
      <c r="FI244" s="801"/>
      <c r="FJ244" s="801"/>
      <c r="FK244" s="801"/>
      <c r="FL244" s="801"/>
      <c r="FM244" s="801"/>
      <c r="FN244" s="801"/>
      <c r="FO244" s="801"/>
      <c r="FP244" s="801"/>
      <c r="FQ244" s="801"/>
      <c r="FR244" s="801"/>
      <c r="FS244" s="801"/>
      <c r="FT244" s="801"/>
      <c r="FU244" s="801"/>
      <c r="FV244" s="801"/>
      <c r="FW244" s="801"/>
      <c r="FX244" s="801"/>
      <c r="FY244" s="801"/>
      <c r="FZ244" s="802"/>
      <c r="GA244" s="800" t="str">
        <f>IFERROR(IF(GZ231&gt;GA231-1,IF(INDEX(Pedidos!GJ:HZ,GY231+GA231-1,11)&lt;&gt;"","Cordon :     "&amp; INDEX(Pedidos!GJ:HZ,GY231+GA231-1,11),""),""),"")</f>
        <v/>
      </c>
      <c r="GB244" s="801"/>
      <c r="GC244" s="801"/>
      <c r="GD244" s="801"/>
      <c r="GE244" s="801"/>
      <c r="GF244" s="801"/>
      <c r="GG244" s="801"/>
      <c r="GH244" s="801"/>
      <c r="GI244" s="801"/>
      <c r="GJ244" s="801"/>
      <c r="GK244" s="801"/>
      <c r="GL244" s="801"/>
      <c r="GM244" s="801"/>
      <c r="GN244" s="801"/>
      <c r="GO244" s="801"/>
      <c r="GP244" s="801"/>
      <c r="GQ244" s="801"/>
      <c r="GR244" s="801"/>
      <c r="GS244" s="801"/>
      <c r="GT244" s="801"/>
      <c r="GU244" s="801"/>
      <c r="GV244" s="801"/>
      <c r="GW244" s="801"/>
      <c r="GX244" s="801"/>
      <c r="GY244" s="801"/>
      <c r="GZ244" s="802"/>
      <c r="HA244" s="800" t="str">
        <f>IFERROR(IF(HZ231&gt;HA231-1,IF(INDEX(Pedidos!HJ:IZ,HY231+HA231-1,11)&lt;&gt;"","Cordon :     "&amp; INDEX(Pedidos!HJ:IZ,HY231+HA231-1,11),""),""),"")</f>
        <v/>
      </c>
      <c r="HB244" s="801"/>
      <c r="HC244" s="801"/>
      <c r="HD244" s="801"/>
      <c r="HE244" s="801"/>
      <c r="HF244" s="801"/>
      <c r="HG244" s="801"/>
      <c r="HH244" s="801"/>
      <c r="HI244" s="801"/>
      <c r="HJ244" s="801"/>
      <c r="HK244" s="801"/>
      <c r="HL244" s="801"/>
      <c r="HM244" s="801"/>
      <c r="HN244" s="801"/>
      <c r="HO244" s="801"/>
      <c r="HP244" s="801"/>
      <c r="HQ244" s="801"/>
      <c r="HR244" s="801"/>
      <c r="HS244" s="801"/>
      <c r="HT244" s="801"/>
      <c r="HU244" s="801"/>
      <c r="HV244" s="801"/>
      <c r="HW244" s="801"/>
      <c r="HX244" s="801"/>
      <c r="HY244" s="801"/>
      <c r="HZ244" s="802"/>
      <c r="IA244" s="800" t="str">
        <f>IFERROR(IF(IZ231&gt;IA231-1,IF(INDEX(Pedidos!IJ:JZ,IY231+IA231-1,11)&lt;&gt;"","Cordon :     "&amp; INDEX(Pedidos!IJ:JZ,IY231+IA231-1,11),""),""),"")</f>
        <v/>
      </c>
      <c r="IB244" s="801"/>
      <c r="IC244" s="801"/>
      <c r="ID244" s="801"/>
      <c r="IE244" s="801"/>
      <c r="IF244" s="801"/>
      <c r="IG244" s="801"/>
      <c r="IH244" s="801"/>
      <c r="II244" s="801"/>
      <c r="IJ244" s="801"/>
      <c r="IK244" s="801"/>
      <c r="IL244" s="801"/>
      <c r="IM244" s="801"/>
      <c r="IN244" s="801"/>
      <c r="IO244" s="801"/>
      <c r="IP244" s="801"/>
      <c r="IQ244" s="801"/>
      <c r="IR244" s="801"/>
      <c r="IS244" s="801"/>
      <c r="IT244" s="801"/>
      <c r="IU244" s="801"/>
      <c r="IV244" s="801"/>
      <c r="IW244" s="801"/>
      <c r="IX244" s="801"/>
      <c r="IY244" s="801"/>
      <c r="IZ244" s="802"/>
    </row>
    <row r="245" spans="1:260" s="530" customFormat="1" x14ac:dyDescent="0.25">
      <c r="A245" s="800" t="str">
        <f>IFERROR(IF(Z231&gt;A231-1,IF(INDEX(Pedidos!J:AZ,Y231+A231-1,12)&lt;&gt;"","Color Cordon :     "&amp; INDEX(Pedidos!J:AZ,Y231+A231-1,12),""),""),"")</f>
        <v/>
      </c>
      <c r="B245" s="801"/>
      <c r="C245" s="801"/>
      <c r="D245" s="801"/>
      <c r="E245" s="801"/>
      <c r="F245" s="801"/>
      <c r="G245" s="801"/>
      <c r="H245" s="801"/>
      <c r="I245" s="801"/>
      <c r="J245" s="801"/>
      <c r="K245" s="801"/>
      <c r="L245" s="801"/>
      <c r="M245" s="801"/>
      <c r="N245" s="801"/>
      <c r="O245" s="801"/>
      <c r="P245" s="801"/>
      <c r="Q245" s="801"/>
      <c r="R245" s="801"/>
      <c r="S245" s="801"/>
      <c r="T245" s="801"/>
      <c r="U245" s="801"/>
      <c r="V245" s="801"/>
      <c r="W245" s="801"/>
      <c r="X245" s="801"/>
      <c r="Y245" s="801"/>
      <c r="Z245" s="802"/>
      <c r="AA245" s="800" t="str">
        <f>IFERROR(IF(AZ231&gt;AA231-1,IF(INDEX(Pedidos!AJ:BZ,AY231+AA231-1,12)&lt;&gt;"","Color Cordon :     "&amp; INDEX(Pedidos!AJ:BZ,AY231+AA231-1,12),""),""),"")</f>
        <v/>
      </c>
      <c r="AB245" s="801"/>
      <c r="AC245" s="801"/>
      <c r="AD245" s="801"/>
      <c r="AE245" s="801"/>
      <c r="AF245" s="801"/>
      <c r="AG245" s="801"/>
      <c r="AH245" s="801"/>
      <c r="AI245" s="801"/>
      <c r="AJ245" s="801"/>
      <c r="AK245" s="801"/>
      <c r="AL245" s="801"/>
      <c r="AM245" s="801"/>
      <c r="AN245" s="801"/>
      <c r="AO245" s="801"/>
      <c r="AP245" s="801"/>
      <c r="AQ245" s="801"/>
      <c r="AR245" s="801"/>
      <c r="AS245" s="801"/>
      <c r="AT245" s="801"/>
      <c r="AU245" s="801"/>
      <c r="AV245" s="801"/>
      <c r="AW245" s="801"/>
      <c r="AX245" s="801"/>
      <c r="AY245" s="801"/>
      <c r="AZ245" s="802"/>
      <c r="BA245" s="800" t="str">
        <f>IFERROR(IF(BZ231&gt;BA231-1,IF(INDEX(Pedidos!BJ:CZ,BY231+BA231-1,12)&lt;&gt;"","Color Cordon :     "&amp; INDEX(Pedidos!BJ:CZ,BY231+BA231-1,12),""),""),"")</f>
        <v/>
      </c>
      <c r="BB245" s="801"/>
      <c r="BC245" s="801"/>
      <c r="BD245" s="801"/>
      <c r="BE245" s="801"/>
      <c r="BF245" s="801"/>
      <c r="BG245" s="801"/>
      <c r="BH245" s="801"/>
      <c r="BI245" s="801"/>
      <c r="BJ245" s="801"/>
      <c r="BK245" s="801"/>
      <c r="BL245" s="801"/>
      <c r="BM245" s="801"/>
      <c r="BN245" s="801"/>
      <c r="BO245" s="801"/>
      <c r="BP245" s="801"/>
      <c r="BQ245" s="801"/>
      <c r="BR245" s="801"/>
      <c r="BS245" s="801"/>
      <c r="BT245" s="801"/>
      <c r="BU245" s="801"/>
      <c r="BV245" s="801"/>
      <c r="BW245" s="801"/>
      <c r="BX245" s="801"/>
      <c r="BY245" s="801"/>
      <c r="BZ245" s="802"/>
      <c r="CA245" s="800" t="str">
        <f>IFERROR(IF(CZ231&gt;CA231-1,IF(INDEX(Pedidos!CJ:DZ,CY231+CA231-1,12)&lt;&gt;"","Color Cordon :     "&amp; INDEX(Pedidos!CJ:DZ,CY231+CA231-1,12),""),""),"")</f>
        <v/>
      </c>
      <c r="CB245" s="801"/>
      <c r="CC245" s="801"/>
      <c r="CD245" s="801"/>
      <c r="CE245" s="801"/>
      <c r="CF245" s="801"/>
      <c r="CG245" s="801"/>
      <c r="CH245" s="801"/>
      <c r="CI245" s="801"/>
      <c r="CJ245" s="801"/>
      <c r="CK245" s="801"/>
      <c r="CL245" s="801"/>
      <c r="CM245" s="801"/>
      <c r="CN245" s="801"/>
      <c r="CO245" s="801"/>
      <c r="CP245" s="801"/>
      <c r="CQ245" s="801"/>
      <c r="CR245" s="801"/>
      <c r="CS245" s="801"/>
      <c r="CT245" s="801"/>
      <c r="CU245" s="801"/>
      <c r="CV245" s="801"/>
      <c r="CW245" s="801"/>
      <c r="CX245" s="801"/>
      <c r="CY245" s="801"/>
      <c r="CZ245" s="802"/>
      <c r="DA245" s="800" t="str">
        <f>IFERROR(IF(DZ231&gt;DA231-1,IF(INDEX(Pedidos!DJ:EZ,DY231+DA231-1,12)&lt;&gt;"","Color Cordon :     "&amp; INDEX(Pedidos!DJ:EZ,DY231+DA231-1,12),""),""),"")</f>
        <v/>
      </c>
      <c r="DB245" s="801"/>
      <c r="DC245" s="801"/>
      <c r="DD245" s="801"/>
      <c r="DE245" s="801"/>
      <c r="DF245" s="801"/>
      <c r="DG245" s="801"/>
      <c r="DH245" s="801"/>
      <c r="DI245" s="801"/>
      <c r="DJ245" s="801"/>
      <c r="DK245" s="801"/>
      <c r="DL245" s="801"/>
      <c r="DM245" s="801"/>
      <c r="DN245" s="801"/>
      <c r="DO245" s="801"/>
      <c r="DP245" s="801"/>
      <c r="DQ245" s="801"/>
      <c r="DR245" s="801"/>
      <c r="DS245" s="801"/>
      <c r="DT245" s="801"/>
      <c r="DU245" s="801"/>
      <c r="DV245" s="801"/>
      <c r="DW245" s="801"/>
      <c r="DX245" s="801"/>
      <c r="DY245" s="801"/>
      <c r="DZ245" s="802"/>
      <c r="EA245" s="800" t="str">
        <f>IFERROR(IF(EZ231&gt;EA231-1,IF(INDEX(Pedidos!EJ:FZ,EY231+EA231-1,12)&lt;&gt;"","Color Cordon :     "&amp; INDEX(Pedidos!EJ:FZ,EY231+EA231-1,12),""),""),"")</f>
        <v/>
      </c>
      <c r="EB245" s="801"/>
      <c r="EC245" s="801"/>
      <c r="ED245" s="801"/>
      <c r="EE245" s="801"/>
      <c r="EF245" s="801"/>
      <c r="EG245" s="801"/>
      <c r="EH245" s="801"/>
      <c r="EI245" s="801"/>
      <c r="EJ245" s="801"/>
      <c r="EK245" s="801"/>
      <c r="EL245" s="801"/>
      <c r="EM245" s="801"/>
      <c r="EN245" s="801"/>
      <c r="EO245" s="801"/>
      <c r="EP245" s="801"/>
      <c r="EQ245" s="801"/>
      <c r="ER245" s="801"/>
      <c r="ES245" s="801"/>
      <c r="ET245" s="801"/>
      <c r="EU245" s="801"/>
      <c r="EV245" s="801"/>
      <c r="EW245" s="801"/>
      <c r="EX245" s="801"/>
      <c r="EY245" s="801"/>
      <c r="EZ245" s="802"/>
      <c r="FA245" s="800" t="str">
        <f>IFERROR(IF(FZ231&gt;FA231-1,IF(INDEX(Pedidos!FJ:GZ,FY231+FA231-1,12)&lt;&gt;"","Color Cordon :     "&amp; INDEX(Pedidos!FJ:GZ,FY231+FA231-1,12),""),""),"")</f>
        <v/>
      </c>
      <c r="FB245" s="801"/>
      <c r="FC245" s="801"/>
      <c r="FD245" s="801"/>
      <c r="FE245" s="801"/>
      <c r="FF245" s="801"/>
      <c r="FG245" s="801"/>
      <c r="FH245" s="801"/>
      <c r="FI245" s="801"/>
      <c r="FJ245" s="801"/>
      <c r="FK245" s="801"/>
      <c r="FL245" s="801"/>
      <c r="FM245" s="801"/>
      <c r="FN245" s="801"/>
      <c r="FO245" s="801"/>
      <c r="FP245" s="801"/>
      <c r="FQ245" s="801"/>
      <c r="FR245" s="801"/>
      <c r="FS245" s="801"/>
      <c r="FT245" s="801"/>
      <c r="FU245" s="801"/>
      <c r="FV245" s="801"/>
      <c r="FW245" s="801"/>
      <c r="FX245" s="801"/>
      <c r="FY245" s="801"/>
      <c r="FZ245" s="802"/>
      <c r="GA245" s="800" t="str">
        <f>IFERROR(IF(GZ231&gt;GA231-1,IF(INDEX(Pedidos!GJ:HZ,GY231+GA231-1,12)&lt;&gt;"","Color Cordon :     "&amp; INDEX(Pedidos!GJ:HZ,GY231+GA231-1,12),""),""),"")</f>
        <v/>
      </c>
      <c r="GB245" s="801"/>
      <c r="GC245" s="801"/>
      <c r="GD245" s="801"/>
      <c r="GE245" s="801"/>
      <c r="GF245" s="801"/>
      <c r="GG245" s="801"/>
      <c r="GH245" s="801"/>
      <c r="GI245" s="801"/>
      <c r="GJ245" s="801"/>
      <c r="GK245" s="801"/>
      <c r="GL245" s="801"/>
      <c r="GM245" s="801"/>
      <c r="GN245" s="801"/>
      <c r="GO245" s="801"/>
      <c r="GP245" s="801"/>
      <c r="GQ245" s="801"/>
      <c r="GR245" s="801"/>
      <c r="GS245" s="801"/>
      <c r="GT245" s="801"/>
      <c r="GU245" s="801"/>
      <c r="GV245" s="801"/>
      <c r="GW245" s="801"/>
      <c r="GX245" s="801"/>
      <c r="GY245" s="801"/>
      <c r="GZ245" s="802"/>
      <c r="HA245" s="800" t="str">
        <f>IFERROR(IF(HZ231&gt;HA231-1,IF(INDEX(Pedidos!HJ:IZ,HY231+HA231-1,12)&lt;&gt;"","Color Cordon :     "&amp; INDEX(Pedidos!HJ:IZ,HY231+HA231-1,12),""),""),"")</f>
        <v/>
      </c>
      <c r="HB245" s="801"/>
      <c r="HC245" s="801"/>
      <c r="HD245" s="801"/>
      <c r="HE245" s="801"/>
      <c r="HF245" s="801"/>
      <c r="HG245" s="801"/>
      <c r="HH245" s="801"/>
      <c r="HI245" s="801"/>
      <c r="HJ245" s="801"/>
      <c r="HK245" s="801"/>
      <c r="HL245" s="801"/>
      <c r="HM245" s="801"/>
      <c r="HN245" s="801"/>
      <c r="HO245" s="801"/>
      <c r="HP245" s="801"/>
      <c r="HQ245" s="801"/>
      <c r="HR245" s="801"/>
      <c r="HS245" s="801"/>
      <c r="HT245" s="801"/>
      <c r="HU245" s="801"/>
      <c r="HV245" s="801"/>
      <c r="HW245" s="801"/>
      <c r="HX245" s="801"/>
      <c r="HY245" s="801"/>
      <c r="HZ245" s="802"/>
      <c r="IA245" s="800" t="str">
        <f>IFERROR(IF(IZ231&gt;IA231-1,IF(INDEX(Pedidos!IJ:JZ,IY231+IA231-1,12)&lt;&gt;"","Color Cordon :     "&amp; INDEX(Pedidos!IJ:JZ,IY231+IA231-1,12),""),""),"")</f>
        <v/>
      </c>
      <c r="IB245" s="801"/>
      <c r="IC245" s="801"/>
      <c r="ID245" s="801"/>
      <c r="IE245" s="801"/>
      <c r="IF245" s="801"/>
      <c r="IG245" s="801"/>
      <c r="IH245" s="801"/>
      <c r="II245" s="801"/>
      <c r="IJ245" s="801"/>
      <c r="IK245" s="801"/>
      <c r="IL245" s="801"/>
      <c r="IM245" s="801"/>
      <c r="IN245" s="801"/>
      <c r="IO245" s="801"/>
      <c r="IP245" s="801"/>
      <c r="IQ245" s="801"/>
      <c r="IR245" s="801"/>
      <c r="IS245" s="801"/>
      <c r="IT245" s="801"/>
      <c r="IU245" s="801"/>
      <c r="IV245" s="801"/>
      <c r="IW245" s="801"/>
      <c r="IX245" s="801"/>
      <c r="IY245" s="801"/>
      <c r="IZ245" s="802"/>
    </row>
    <row r="246" spans="1:260" s="530" customFormat="1" x14ac:dyDescent="0.25">
      <c r="A246" s="800"/>
      <c r="B246" s="801"/>
      <c r="C246" s="801"/>
      <c r="D246" s="801"/>
      <c r="E246" s="801"/>
      <c r="F246" s="801"/>
      <c r="G246" s="801"/>
      <c r="H246" s="801"/>
      <c r="I246" s="801"/>
      <c r="J246" s="801"/>
      <c r="K246" s="801"/>
      <c r="L246" s="801"/>
      <c r="M246" s="801"/>
      <c r="N246" s="801"/>
      <c r="O246" s="801"/>
      <c r="P246" s="801"/>
      <c r="Q246" s="801"/>
      <c r="R246" s="801"/>
      <c r="S246" s="801"/>
      <c r="T246" s="801"/>
      <c r="U246" s="801"/>
      <c r="V246" s="801"/>
      <c r="W246" s="801"/>
      <c r="X246" s="801"/>
      <c r="Y246" s="801"/>
      <c r="Z246" s="802"/>
      <c r="AA246" s="800"/>
      <c r="AB246" s="801"/>
      <c r="AC246" s="801"/>
      <c r="AD246" s="801"/>
      <c r="AE246" s="801"/>
      <c r="AF246" s="801"/>
      <c r="AG246" s="801"/>
      <c r="AH246" s="801"/>
      <c r="AI246" s="801"/>
      <c r="AJ246" s="801"/>
      <c r="AK246" s="801"/>
      <c r="AL246" s="801"/>
      <c r="AM246" s="801"/>
      <c r="AN246" s="801"/>
      <c r="AO246" s="801"/>
      <c r="AP246" s="801"/>
      <c r="AQ246" s="801"/>
      <c r="AR246" s="801"/>
      <c r="AS246" s="801"/>
      <c r="AT246" s="801"/>
      <c r="AU246" s="801"/>
      <c r="AV246" s="801"/>
      <c r="AW246" s="801"/>
      <c r="AX246" s="801"/>
      <c r="AY246" s="801"/>
      <c r="AZ246" s="802"/>
      <c r="BA246" s="800"/>
      <c r="BB246" s="801"/>
      <c r="BC246" s="801"/>
      <c r="BD246" s="801"/>
      <c r="BE246" s="801"/>
      <c r="BF246" s="801"/>
      <c r="BG246" s="801"/>
      <c r="BH246" s="801"/>
      <c r="BI246" s="801"/>
      <c r="BJ246" s="801"/>
      <c r="BK246" s="801"/>
      <c r="BL246" s="801"/>
      <c r="BM246" s="801"/>
      <c r="BN246" s="801"/>
      <c r="BO246" s="801"/>
      <c r="BP246" s="801"/>
      <c r="BQ246" s="801"/>
      <c r="BR246" s="801"/>
      <c r="BS246" s="801"/>
      <c r="BT246" s="801"/>
      <c r="BU246" s="801"/>
      <c r="BV246" s="801"/>
      <c r="BW246" s="801"/>
      <c r="BX246" s="801"/>
      <c r="BY246" s="801"/>
      <c r="BZ246" s="802"/>
      <c r="CA246" s="800"/>
      <c r="CB246" s="801"/>
      <c r="CC246" s="801"/>
      <c r="CD246" s="801"/>
      <c r="CE246" s="801"/>
      <c r="CF246" s="801"/>
      <c r="CG246" s="801"/>
      <c r="CH246" s="801"/>
      <c r="CI246" s="801"/>
      <c r="CJ246" s="801"/>
      <c r="CK246" s="801"/>
      <c r="CL246" s="801"/>
      <c r="CM246" s="801"/>
      <c r="CN246" s="801"/>
      <c r="CO246" s="801"/>
      <c r="CP246" s="801"/>
      <c r="CQ246" s="801"/>
      <c r="CR246" s="801"/>
      <c r="CS246" s="801"/>
      <c r="CT246" s="801"/>
      <c r="CU246" s="801"/>
      <c r="CV246" s="801"/>
      <c r="CW246" s="801"/>
      <c r="CX246" s="801"/>
      <c r="CY246" s="801"/>
      <c r="CZ246" s="802"/>
      <c r="DA246" s="800"/>
      <c r="DB246" s="801"/>
      <c r="DC246" s="801"/>
      <c r="DD246" s="801"/>
      <c r="DE246" s="801"/>
      <c r="DF246" s="801"/>
      <c r="DG246" s="801"/>
      <c r="DH246" s="801"/>
      <c r="DI246" s="801"/>
      <c r="DJ246" s="801"/>
      <c r="DK246" s="801"/>
      <c r="DL246" s="801"/>
      <c r="DM246" s="801"/>
      <c r="DN246" s="801"/>
      <c r="DO246" s="801"/>
      <c r="DP246" s="801"/>
      <c r="DQ246" s="801"/>
      <c r="DR246" s="801"/>
      <c r="DS246" s="801"/>
      <c r="DT246" s="801"/>
      <c r="DU246" s="801"/>
      <c r="DV246" s="801"/>
      <c r="DW246" s="801"/>
      <c r="DX246" s="801"/>
      <c r="DY246" s="801"/>
      <c r="DZ246" s="802"/>
      <c r="EA246" s="800"/>
      <c r="EB246" s="801"/>
      <c r="EC246" s="801"/>
      <c r="ED246" s="801"/>
      <c r="EE246" s="801"/>
      <c r="EF246" s="801"/>
      <c r="EG246" s="801"/>
      <c r="EH246" s="801"/>
      <c r="EI246" s="801"/>
      <c r="EJ246" s="801"/>
      <c r="EK246" s="801"/>
      <c r="EL246" s="801"/>
      <c r="EM246" s="801"/>
      <c r="EN246" s="801"/>
      <c r="EO246" s="801"/>
      <c r="EP246" s="801"/>
      <c r="EQ246" s="801"/>
      <c r="ER246" s="801"/>
      <c r="ES246" s="801"/>
      <c r="ET246" s="801"/>
      <c r="EU246" s="801"/>
      <c r="EV246" s="801"/>
      <c r="EW246" s="801"/>
      <c r="EX246" s="801"/>
      <c r="EY246" s="801"/>
      <c r="EZ246" s="802"/>
      <c r="FA246" s="800"/>
      <c r="FB246" s="801"/>
      <c r="FC246" s="801"/>
      <c r="FD246" s="801"/>
      <c r="FE246" s="801"/>
      <c r="FF246" s="801"/>
      <c r="FG246" s="801"/>
      <c r="FH246" s="801"/>
      <c r="FI246" s="801"/>
      <c r="FJ246" s="801"/>
      <c r="FK246" s="801"/>
      <c r="FL246" s="801"/>
      <c r="FM246" s="801"/>
      <c r="FN246" s="801"/>
      <c r="FO246" s="801"/>
      <c r="FP246" s="801"/>
      <c r="FQ246" s="801"/>
      <c r="FR246" s="801"/>
      <c r="FS246" s="801"/>
      <c r="FT246" s="801"/>
      <c r="FU246" s="801"/>
      <c r="FV246" s="801"/>
      <c r="FW246" s="801"/>
      <c r="FX246" s="801"/>
      <c r="FY246" s="801"/>
      <c r="FZ246" s="802"/>
      <c r="GA246" s="800"/>
      <c r="GB246" s="801"/>
      <c r="GC246" s="801"/>
      <c r="GD246" s="801"/>
      <c r="GE246" s="801"/>
      <c r="GF246" s="801"/>
      <c r="GG246" s="801"/>
      <c r="GH246" s="801"/>
      <c r="GI246" s="801"/>
      <c r="GJ246" s="801"/>
      <c r="GK246" s="801"/>
      <c r="GL246" s="801"/>
      <c r="GM246" s="801"/>
      <c r="GN246" s="801"/>
      <c r="GO246" s="801"/>
      <c r="GP246" s="801"/>
      <c r="GQ246" s="801"/>
      <c r="GR246" s="801"/>
      <c r="GS246" s="801"/>
      <c r="GT246" s="801"/>
      <c r="GU246" s="801"/>
      <c r="GV246" s="801"/>
      <c r="GW246" s="801"/>
      <c r="GX246" s="801"/>
      <c r="GY246" s="801"/>
      <c r="GZ246" s="802"/>
      <c r="HA246" s="800"/>
      <c r="HB246" s="801"/>
      <c r="HC246" s="801"/>
      <c r="HD246" s="801"/>
      <c r="HE246" s="801"/>
      <c r="HF246" s="801"/>
      <c r="HG246" s="801"/>
      <c r="HH246" s="801"/>
      <c r="HI246" s="801"/>
      <c r="HJ246" s="801"/>
      <c r="HK246" s="801"/>
      <c r="HL246" s="801"/>
      <c r="HM246" s="801"/>
      <c r="HN246" s="801"/>
      <c r="HO246" s="801"/>
      <c r="HP246" s="801"/>
      <c r="HQ246" s="801"/>
      <c r="HR246" s="801"/>
      <c r="HS246" s="801"/>
      <c r="HT246" s="801"/>
      <c r="HU246" s="801"/>
      <c r="HV246" s="801"/>
      <c r="HW246" s="801"/>
      <c r="HX246" s="801"/>
      <c r="HY246" s="801"/>
      <c r="HZ246" s="802"/>
      <c r="IA246" s="800"/>
      <c r="IB246" s="801"/>
      <c r="IC246" s="801"/>
      <c r="ID246" s="801"/>
      <c r="IE246" s="801"/>
      <c r="IF246" s="801"/>
      <c r="IG246" s="801"/>
      <c r="IH246" s="801"/>
      <c r="II246" s="801"/>
      <c r="IJ246" s="801"/>
      <c r="IK246" s="801"/>
      <c r="IL246" s="801"/>
      <c r="IM246" s="801"/>
      <c r="IN246" s="801"/>
      <c r="IO246" s="801"/>
      <c r="IP246" s="801"/>
      <c r="IQ246" s="801"/>
      <c r="IR246" s="801"/>
      <c r="IS246" s="801"/>
      <c r="IT246" s="801"/>
      <c r="IU246" s="801"/>
      <c r="IV246" s="801"/>
      <c r="IW246" s="801"/>
      <c r="IX246" s="801"/>
      <c r="IY246" s="801"/>
      <c r="IZ246" s="802"/>
    </row>
    <row r="247" spans="1:260" s="530" customFormat="1" x14ac:dyDescent="0.25">
      <c r="A247" s="800"/>
      <c r="B247" s="801"/>
      <c r="C247" s="801"/>
      <c r="D247" s="801"/>
      <c r="E247" s="801"/>
      <c r="F247" s="801"/>
      <c r="G247" s="801"/>
      <c r="H247" s="801"/>
      <c r="I247" s="801"/>
      <c r="J247" s="801"/>
      <c r="K247" s="801"/>
      <c r="L247" s="801"/>
      <c r="M247" s="801"/>
      <c r="N247" s="801"/>
      <c r="O247" s="801"/>
      <c r="P247" s="801"/>
      <c r="Q247" s="801"/>
      <c r="R247" s="801"/>
      <c r="S247" s="801"/>
      <c r="T247" s="801"/>
      <c r="U247" s="801"/>
      <c r="V247" s="801"/>
      <c r="W247" s="801"/>
      <c r="X247" s="801"/>
      <c r="Y247" s="801"/>
      <c r="Z247" s="802"/>
      <c r="AA247" s="800"/>
      <c r="AB247" s="801"/>
      <c r="AC247" s="801"/>
      <c r="AD247" s="801"/>
      <c r="AE247" s="801"/>
      <c r="AF247" s="801"/>
      <c r="AG247" s="801"/>
      <c r="AH247" s="801"/>
      <c r="AI247" s="801"/>
      <c r="AJ247" s="801"/>
      <c r="AK247" s="801"/>
      <c r="AL247" s="801"/>
      <c r="AM247" s="801"/>
      <c r="AN247" s="801"/>
      <c r="AO247" s="801"/>
      <c r="AP247" s="801"/>
      <c r="AQ247" s="801"/>
      <c r="AR247" s="801"/>
      <c r="AS247" s="801"/>
      <c r="AT247" s="801"/>
      <c r="AU247" s="801"/>
      <c r="AV247" s="801"/>
      <c r="AW247" s="801"/>
      <c r="AX247" s="801"/>
      <c r="AY247" s="801"/>
      <c r="AZ247" s="802"/>
      <c r="BA247" s="800"/>
      <c r="BB247" s="801"/>
      <c r="BC247" s="801"/>
      <c r="BD247" s="801"/>
      <c r="BE247" s="801"/>
      <c r="BF247" s="801"/>
      <c r="BG247" s="801"/>
      <c r="BH247" s="801"/>
      <c r="BI247" s="801"/>
      <c r="BJ247" s="801"/>
      <c r="BK247" s="801"/>
      <c r="BL247" s="801"/>
      <c r="BM247" s="801"/>
      <c r="BN247" s="801"/>
      <c r="BO247" s="801"/>
      <c r="BP247" s="801"/>
      <c r="BQ247" s="801"/>
      <c r="BR247" s="801"/>
      <c r="BS247" s="801"/>
      <c r="BT247" s="801"/>
      <c r="BU247" s="801"/>
      <c r="BV247" s="801"/>
      <c r="BW247" s="801"/>
      <c r="BX247" s="801"/>
      <c r="BY247" s="801"/>
      <c r="BZ247" s="802"/>
      <c r="CA247" s="800"/>
      <c r="CB247" s="801"/>
      <c r="CC247" s="801"/>
      <c r="CD247" s="801"/>
      <c r="CE247" s="801"/>
      <c r="CF247" s="801"/>
      <c r="CG247" s="801"/>
      <c r="CH247" s="801"/>
      <c r="CI247" s="801"/>
      <c r="CJ247" s="801"/>
      <c r="CK247" s="801"/>
      <c r="CL247" s="801"/>
      <c r="CM247" s="801"/>
      <c r="CN247" s="801"/>
      <c r="CO247" s="801"/>
      <c r="CP247" s="801"/>
      <c r="CQ247" s="801"/>
      <c r="CR247" s="801"/>
      <c r="CS247" s="801"/>
      <c r="CT247" s="801"/>
      <c r="CU247" s="801"/>
      <c r="CV247" s="801"/>
      <c r="CW247" s="801"/>
      <c r="CX247" s="801"/>
      <c r="CY247" s="801"/>
      <c r="CZ247" s="802"/>
      <c r="DA247" s="800"/>
      <c r="DB247" s="801"/>
      <c r="DC247" s="801"/>
      <c r="DD247" s="801"/>
      <c r="DE247" s="801"/>
      <c r="DF247" s="801"/>
      <c r="DG247" s="801"/>
      <c r="DH247" s="801"/>
      <c r="DI247" s="801"/>
      <c r="DJ247" s="801"/>
      <c r="DK247" s="801"/>
      <c r="DL247" s="801"/>
      <c r="DM247" s="801"/>
      <c r="DN247" s="801"/>
      <c r="DO247" s="801"/>
      <c r="DP247" s="801"/>
      <c r="DQ247" s="801"/>
      <c r="DR247" s="801"/>
      <c r="DS247" s="801"/>
      <c r="DT247" s="801"/>
      <c r="DU247" s="801"/>
      <c r="DV247" s="801"/>
      <c r="DW247" s="801"/>
      <c r="DX247" s="801"/>
      <c r="DY247" s="801"/>
      <c r="DZ247" s="802"/>
      <c r="EA247" s="800"/>
      <c r="EB247" s="801"/>
      <c r="EC247" s="801"/>
      <c r="ED247" s="801"/>
      <c r="EE247" s="801"/>
      <c r="EF247" s="801"/>
      <c r="EG247" s="801"/>
      <c r="EH247" s="801"/>
      <c r="EI247" s="801"/>
      <c r="EJ247" s="801"/>
      <c r="EK247" s="801"/>
      <c r="EL247" s="801"/>
      <c r="EM247" s="801"/>
      <c r="EN247" s="801"/>
      <c r="EO247" s="801"/>
      <c r="EP247" s="801"/>
      <c r="EQ247" s="801"/>
      <c r="ER247" s="801"/>
      <c r="ES247" s="801"/>
      <c r="ET247" s="801"/>
      <c r="EU247" s="801"/>
      <c r="EV247" s="801"/>
      <c r="EW247" s="801"/>
      <c r="EX247" s="801"/>
      <c r="EY247" s="801"/>
      <c r="EZ247" s="802"/>
      <c r="FA247" s="800"/>
      <c r="FB247" s="801"/>
      <c r="FC247" s="801"/>
      <c r="FD247" s="801"/>
      <c r="FE247" s="801"/>
      <c r="FF247" s="801"/>
      <c r="FG247" s="801"/>
      <c r="FH247" s="801"/>
      <c r="FI247" s="801"/>
      <c r="FJ247" s="801"/>
      <c r="FK247" s="801"/>
      <c r="FL247" s="801"/>
      <c r="FM247" s="801"/>
      <c r="FN247" s="801"/>
      <c r="FO247" s="801"/>
      <c r="FP247" s="801"/>
      <c r="FQ247" s="801"/>
      <c r="FR247" s="801"/>
      <c r="FS247" s="801"/>
      <c r="FT247" s="801"/>
      <c r="FU247" s="801"/>
      <c r="FV247" s="801"/>
      <c r="FW247" s="801"/>
      <c r="FX247" s="801"/>
      <c r="FY247" s="801"/>
      <c r="FZ247" s="802"/>
      <c r="GA247" s="800"/>
      <c r="GB247" s="801"/>
      <c r="GC247" s="801"/>
      <c r="GD247" s="801"/>
      <c r="GE247" s="801"/>
      <c r="GF247" s="801"/>
      <c r="GG247" s="801"/>
      <c r="GH247" s="801"/>
      <c r="GI247" s="801"/>
      <c r="GJ247" s="801"/>
      <c r="GK247" s="801"/>
      <c r="GL247" s="801"/>
      <c r="GM247" s="801"/>
      <c r="GN247" s="801"/>
      <c r="GO247" s="801"/>
      <c r="GP247" s="801"/>
      <c r="GQ247" s="801"/>
      <c r="GR247" s="801"/>
      <c r="GS247" s="801"/>
      <c r="GT247" s="801"/>
      <c r="GU247" s="801"/>
      <c r="GV247" s="801"/>
      <c r="GW247" s="801"/>
      <c r="GX247" s="801"/>
      <c r="GY247" s="801"/>
      <c r="GZ247" s="802"/>
      <c r="HA247" s="800"/>
      <c r="HB247" s="801"/>
      <c r="HC247" s="801"/>
      <c r="HD247" s="801"/>
      <c r="HE247" s="801"/>
      <c r="HF247" s="801"/>
      <c r="HG247" s="801"/>
      <c r="HH247" s="801"/>
      <c r="HI247" s="801"/>
      <c r="HJ247" s="801"/>
      <c r="HK247" s="801"/>
      <c r="HL247" s="801"/>
      <c r="HM247" s="801"/>
      <c r="HN247" s="801"/>
      <c r="HO247" s="801"/>
      <c r="HP247" s="801"/>
      <c r="HQ247" s="801"/>
      <c r="HR247" s="801"/>
      <c r="HS247" s="801"/>
      <c r="HT247" s="801"/>
      <c r="HU247" s="801"/>
      <c r="HV247" s="801"/>
      <c r="HW247" s="801"/>
      <c r="HX247" s="801"/>
      <c r="HY247" s="801"/>
      <c r="HZ247" s="802"/>
      <c r="IA247" s="800"/>
      <c r="IB247" s="801"/>
      <c r="IC247" s="801"/>
      <c r="ID247" s="801"/>
      <c r="IE247" s="801"/>
      <c r="IF247" s="801"/>
      <c r="IG247" s="801"/>
      <c r="IH247" s="801"/>
      <c r="II247" s="801"/>
      <c r="IJ247" s="801"/>
      <c r="IK247" s="801"/>
      <c r="IL247" s="801"/>
      <c r="IM247" s="801"/>
      <c r="IN247" s="801"/>
      <c r="IO247" s="801"/>
      <c r="IP247" s="801"/>
      <c r="IQ247" s="801"/>
      <c r="IR247" s="801"/>
      <c r="IS247" s="801"/>
      <c r="IT247" s="801"/>
      <c r="IU247" s="801"/>
      <c r="IV247" s="801"/>
      <c r="IW247" s="801"/>
      <c r="IX247" s="801"/>
      <c r="IY247" s="801"/>
      <c r="IZ247" s="802"/>
    </row>
    <row r="248" spans="1:260" s="530" customFormat="1" x14ac:dyDescent="0.25">
      <c r="A248" s="800" t="str">
        <f>IFERROR(IF(Z231&gt;A231-1,IF(INDEX(Pedidos!J:AZ,Y231+A231-1,31)&lt;&gt;"","Nombres :     "&amp; INDEX(Pedidos!J:AZ,Y231+A231-1,31),""),""),"")</f>
        <v/>
      </c>
      <c r="B248" s="801"/>
      <c r="C248" s="801"/>
      <c r="D248" s="801"/>
      <c r="E248" s="801"/>
      <c r="F248" s="801"/>
      <c r="G248" s="801"/>
      <c r="H248" s="801"/>
      <c r="I248" s="801"/>
      <c r="J248" s="801"/>
      <c r="K248" s="801"/>
      <c r="L248" s="801"/>
      <c r="M248" s="801"/>
      <c r="N248" s="801"/>
      <c r="O248" s="801"/>
      <c r="P248" s="801"/>
      <c r="Q248" s="801"/>
      <c r="R248" s="801"/>
      <c r="S248" s="801"/>
      <c r="T248" s="801"/>
      <c r="U248" s="801"/>
      <c r="V248" s="801"/>
      <c r="W248" s="801"/>
      <c r="X248" s="801"/>
      <c r="Y248" s="801"/>
      <c r="Z248" s="802"/>
      <c r="AA248" s="800" t="str">
        <f>IFERROR(IF(AZ231&gt;AA231-1,IF(INDEX(Pedidos!AJ:BZ,AY231+AA231-1,31)&lt;&gt;"","Nombres :     "&amp; INDEX(Pedidos!AJ:BZ,AY231+AA231-1,31),""),""),"")</f>
        <v/>
      </c>
      <c r="AB248" s="801"/>
      <c r="AC248" s="801"/>
      <c r="AD248" s="801"/>
      <c r="AE248" s="801"/>
      <c r="AF248" s="801"/>
      <c r="AG248" s="801"/>
      <c r="AH248" s="801"/>
      <c r="AI248" s="801"/>
      <c r="AJ248" s="801"/>
      <c r="AK248" s="801"/>
      <c r="AL248" s="801"/>
      <c r="AM248" s="801"/>
      <c r="AN248" s="801"/>
      <c r="AO248" s="801"/>
      <c r="AP248" s="801"/>
      <c r="AQ248" s="801"/>
      <c r="AR248" s="801"/>
      <c r="AS248" s="801"/>
      <c r="AT248" s="801"/>
      <c r="AU248" s="801"/>
      <c r="AV248" s="801"/>
      <c r="AW248" s="801"/>
      <c r="AX248" s="801"/>
      <c r="AY248" s="801"/>
      <c r="AZ248" s="802"/>
      <c r="BA248" s="800" t="str">
        <f>IFERROR(IF(BZ231&gt;BA231-1,IF(INDEX(Pedidos!BJ:CZ,BY231+BA231-1,31)&lt;&gt;"","Nombres :     "&amp; INDEX(Pedidos!BJ:CZ,BY231+BA231-1,31),""),""),"")</f>
        <v/>
      </c>
      <c r="BB248" s="801"/>
      <c r="BC248" s="801"/>
      <c r="BD248" s="801"/>
      <c r="BE248" s="801"/>
      <c r="BF248" s="801"/>
      <c r="BG248" s="801"/>
      <c r="BH248" s="801"/>
      <c r="BI248" s="801"/>
      <c r="BJ248" s="801"/>
      <c r="BK248" s="801"/>
      <c r="BL248" s="801"/>
      <c r="BM248" s="801"/>
      <c r="BN248" s="801"/>
      <c r="BO248" s="801"/>
      <c r="BP248" s="801"/>
      <c r="BQ248" s="801"/>
      <c r="BR248" s="801"/>
      <c r="BS248" s="801"/>
      <c r="BT248" s="801"/>
      <c r="BU248" s="801"/>
      <c r="BV248" s="801"/>
      <c r="BW248" s="801"/>
      <c r="BX248" s="801"/>
      <c r="BY248" s="801"/>
      <c r="BZ248" s="802"/>
      <c r="CA248" s="800" t="str">
        <f>IFERROR(IF(CZ231&gt;CA231-1,IF(INDEX(Pedidos!CJ:DZ,CY231+CA231-1,31)&lt;&gt;"","Nombres :     "&amp; INDEX(Pedidos!CJ:DZ,CY231+CA231-1,31),""),""),"")</f>
        <v/>
      </c>
      <c r="CB248" s="801"/>
      <c r="CC248" s="801"/>
      <c r="CD248" s="801"/>
      <c r="CE248" s="801"/>
      <c r="CF248" s="801"/>
      <c r="CG248" s="801"/>
      <c r="CH248" s="801"/>
      <c r="CI248" s="801"/>
      <c r="CJ248" s="801"/>
      <c r="CK248" s="801"/>
      <c r="CL248" s="801"/>
      <c r="CM248" s="801"/>
      <c r="CN248" s="801"/>
      <c r="CO248" s="801"/>
      <c r="CP248" s="801"/>
      <c r="CQ248" s="801"/>
      <c r="CR248" s="801"/>
      <c r="CS248" s="801"/>
      <c r="CT248" s="801"/>
      <c r="CU248" s="801"/>
      <c r="CV248" s="801"/>
      <c r="CW248" s="801"/>
      <c r="CX248" s="801"/>
      <c r="CY248" s="801"/>
      <c r="CZ248" s="802"/>
      <c r="DA248" s="800" t="str">
        <f>IFERROR(IF(DZ231&gt;DA231-1,IF(INDEX(Pedidos!DJ:EZ,DY231+DA231-1,31)&lt;&gt;"","Nombres :     "&amp; INDEX(Pedidos!DJ:EZ,DY231+DA231-1,31),""),""),"")</f>
        <v/>
      </c>
      <c r="DB248" s="801"/>
      <c r="DC248" s="801"/>
      <c r="DD248" s="801"/>
      <c r="DE248" s="801"/>
      <c r="DF248" s="801"/>
      <c r="DG248" s="801"/>
      <c r="DH248" s="801"/>
      <c r="DI248" s="801"/>
      <c r="DJ248" s="801"/>
      <c r="DK248" s="801"/>
      <c r="DL248" s="801"/>
      <c r="DM248" s="801"/>
      <c r="DN248" s="801"/>
      <c r="DO248" s="801"/>
      <c r="DP248" s="801"/>
      <c r="DQ248" s="801"/>
      <c r="DR248" s="801"/>
      <c r="DS248" s="801"/>
      <c r="DT248" s="801"/>
      <c r="DU248" s="801"/>
      <c r="DV248" s="801"/>
      <c r="DW248" s="801"/>
      <c r="DX248" s="801"/>
      <c r="DY248" s="801"/>
      <c r="DZ248" s="802"/>
      <c r="EA248" s="800" t="str">
        <f>IFERROR(IF(EZ231&gt;EA231-1,IF(INDEX(Pedidos!EJ:FZ,EY231+EA231-1,31)&lt;&gt;"","Nombres :     "&amp; INDEX(Pedidos!EJ:FZ,EY231+EA231-1,31),""),""),"")</f>
        <v/>
      </c>
      <c r="EB248" s="801"/>
      <c r="EC248" s="801"/>
      <c r="ED248" s="801"/>
      <c r="EE248" s="801"/>
      <c r="EF248" s="801"/>
      <c r="EG248" s="801"/>
      <c r="EH248" s="801"/>
      <c r="EI248" s="801"/>
      <c r="EJ248" s="801"/>
      <c r="EK248" s="801"/>
      <c r="EL248" s="801"/>
      <c r="EM248" s="801"/>
      <c r="EN248" s="801"/>
      <c r="EO248" s="801"/>
      <c r="EP248" s="801"/>
      <c r="EQ248" s="801"/>
      <c r="ER248" s="801"/>
      <c r="ES248" s="801"/>
      <c r="ET248" s="801"/>
      <c r="EU248" s="801"/>
      <c r="EV248" s="801"/>
      <c r="EW248" s="801"/>
      <c r="EX248" s="801"/>
      <c r="EY248" s="801"/>
      <c r="EZ248" s="802"/>
      <c r="FA248" s="800" t="str">
        <f>IFERROR(IF(FZ231&gt;FA231-1,IF(INDEX(Pedidos!FJ:GZ,FY231+FA231-1,31)&lt;&gt;"","Nombres :     "&amp; INDEX(Pedidos!FJ:GZ,FY231+FA231-1,31),""),""),"")</f>
        <v/>
      </c>
      <c r="FB248" s="801"/>
      <c r="FC248" s="801"/>
      <c r="FD248" s="801"/>
      <c r="FE248" s="801"/>
      <c r="FF248" s="801"/>
      <c r="FG248" s="801"/>
      <c r="FH248" s="801"/>
      <c r="FI248" s="801"/>
      <c r="FJ248" s="801"/>
      <c r="FK248" s="801"/>
      <c r="FL248" s="801"/>
      <c r="FM248" s="801"/>
      <c r="FN248" s="801"/>
      <c r="FO248" s="801"/>
      <c r="FP248" s="801"/>
      <c r="FQ248" s="801"/>
      <c r="FR248" s="801"/>
      <c r="FS248" s="801"/>
      <c r="FT248" s="801"/>
      <c r="FU248" s="801"/>
      <c r="FV248" s="801"/>
      <c r="FW248" s="801"/>
      <c r="FX248" s="801"/>
      <c r="FY248" s="801"/>
      <c r="FZ248" s="802"/>
      <c r="GA248" s="800" t="str">
        <f>IFERROR(IF(GZ231&gt;GA231-1,IF(INDEX(Pedidos!GJ:HZ,GY231+GA231-1,31)&lt;&gt;"","Nombres :     "&amp; INDEX(Pedidos!GJ:HZ,GY231+GA231-1,31),""),""),"")</f>
        <v/>
      </c>
      <c r="GB248" s="801"/>
      <c r="GC248" s="801"/>
      <c r="GD248" s="801"/>
      <c r="GE248" s="801"/>
      <c r="GF248" s="801"/>
      <c r="GG248" s="801"/>
      <c r="GH248" s="801"/>
      <c r="GI248" s="801"/>
      <c r="GJ248" s="801"/>
      <c r="GK248" s="801"/>
      <c r="GL248" s="801"/>
      <c r="GM248" s="801"/>
      <c r="GN248" s="801"/>
      <c r="GO248" s="801"/>
      <c r="GP248" s="801"/>
      <c r="GQ248" s="801"/>
      <c r="GR248" s="801"/>
      <c r="GS248" s="801"/>
      <c r="GT248" s="801"/>
      <c r="GU248" s="801"/>
      <c r="GV248" s="801"/>
      <c r="GW248" s="801"/>
      <c r="GX248" s="801"/>
      <c r="GY248" s="801"/>
      <c r="GZ248" s="802"/>
      <c r="HA248" s="800" t="str">
        <f>IFERROR(IF(HZ231&gt;HA231-1,IF(INDEX(Pedidos!HJ:IZ,HY231+HA231-1,31)&lt;&gt;"","Nombres :     "&amp; INDEX(Pedidos!HJ:IZ,HY231+HA231-1,31),""),""),"")</f>
        <v/>
      </c>
      <c r="HB248" s="801"/>
      <c r="HC248" s="801"/>
      <c r="HD248" s="801"/>
      <c r="HE248" s="801"/>
      <c r="HF248" s="801"/>
      <c r="HG248" s="801"/>
      <c r="HH248" s="801"/>
      <c r="HI248" s="801"/>
      <c r="HJ248" s="801"/>
      <c r="HK248" s="801"/>
      <c r="HL248" s="801"/>
      <c r="HM248" s="801"/>
      <c r="HN248" s="801"/>
      <c r="HO248" s="801"/>
      <c r="HP248" s="801"/>
      <c r="HQ248" s="801"/>
      <c r="HR248" s="801"/>
      <c r="HS248" s="801"/>
      <c r="HT248" s="801"/>
      <c r="HU248" s="801"/>
      <c r="HV248" s="801"/>
      <c r="HW248" s="801"/>
      <c r="HX248" s="801"/>
      <c r="HY248" s="801"/>
      <c r="HZ248" s="802"/>
      <c r="IA248" s="800" t="str">
        <f>IFERROR(IF(IZ231&gt;IA231-1,IF(INDEX(Pedidos!IJ:JZ,IY231+IA231-1,31)&lt;&gt;"","Nombres :     "&amp; INDEX(Pedidos!IJ:JZ,IY231+IA231-1,31),""),""),"")</f>
        <v/>
      </c>
      <c r="IB248" s="801"/>
      <c r="IC248" s="801"/>
      <c r="ID248" s="801"/>
      <c r="IE248" s="801"/>
      <c r="IF248" s="801"/>
      <c r="IG248" s="801"/>
      <c r="IH248" s="801"/>
      <c r="II248" s="801"/>
      <c r="IJ248" s="801"/>
      <c r="IK248" s="801"/>
      <c r="IL248" s="801"/>
      <c r="IM248" s="801"/>
      <c r="IN248" s="801"/>
      <c r="IO248" s="801"/>
      <c r="IP248" s="801"/>
      <c r="IQ248" s="801"/>
      <c r="IR248" s="801"/>
      <c r="IS248" s="801"/>
      <c r="IT248" s="801"/>
      <c r="IU248" s="801"/>
      <c r="IV248" s="801"/>
      <c r="IW248" s="801"/>
      <c r="IX248" s="801"/>
      <c r="IY248" s="801"/>
      <c r="IZ248" s="802"/>
    </row>
    <row r="249" spans="1:260" s="530" customFormat="1" x14ac:dyDescent="0.25">
      <c r="A249" s="820" t="str">
        <f>IFERROR(IF(Z231&gt;A231-1,IF(INDEX(Pedidos!J:AZ,Y231+A231-1,32)&lt;&gt;"","Localización de los Nombres :     "&amp; INDEX(Pedidos!J:AZ,Y231+A231-1,32),""),""),"")</f>
        <v/>
      </c>
      <c r="B249" s="821"/>
      <c r="C249" s="821"/>
      <c r="D249" s="821"/>
      <c r="E249" s="821"/>
      <c r="F249" s="821"/>
      <c r="G249" s="821"/>
      <c r="H249" s="821"/>
      <c r="I249" s="821"/>
      <c r="J249" s="821"/>
      <c r="K249" s="821"/>
      <c r="L249" s="821"/>
      <c r="M249" s="821"/>
      <c r="N249" s="821"/>
      <c r="O249" s="821"/>
      <c r="P249" s="821"/>
      <c r="Q249" s="821"/>
      <c r="R249" s="821"/>
      <c r="S249" s="821"/>
      <c r="T249" s="821"/>
      <c r="U249" s="821"/>
      <c r="V249" s="821"/>
      <c r="W249" s="821"/>
      <c r="X249" s="821"/>
      <c r="Y249" s="821"/>
      <c r="Z249" s="822"/>
      <c r="AA249" s="820" t="str">
        <f>IFERROR(IF(AZ231&gt;AA231-1,IF(INDEX(Pedidos!AJ:BZ,AY231+AA231-1,32)&lt;&gt;"","Localización de los Nombres :     "&amp; INDEX(Pedidos!AJ:BZ,AY231+AA231-1,32),""),""),"")</f>
        <v/>
      </c>
      <c r="AB249" s="821"/>
      <c r="AC249" s="821"/>
      <c r="AD249" s="821"/>
      <c r="AE249" s="821"/>
      <c r="AF249" s="821"/>
      <c r="AG249" s="821"/>
      <c r="AH249" s="821"/>
      <c r="AI249" s="821"/>
      <c r="AJ249" s="821"/>
      <c r="AK249" s="821"/>
      <c r="AL249" s="821"/>
      <c r="AM249" s="821"/>
      <c r="AN249" s="821"/>
      <c r="AO249" s="821"/>
      <c r="AP249" s="821"/>
      <c r="AQ249" s="821"/>
      <c r="AR249" s="821"/>
      <c r="AS249" s="821"/>
      <c r="AT249" s="821"/>
      <c r="AU249" s="821"/>
      <c r="AV249" s="821"/>
      <c r="AW249" s="821"/>
      <c r="AX249" s="821"/>
      <c r="AY249" s="821"/>
      <c r="AZ249" s="822"/>
      <c r="BA249" s="820" t="str">
        <f>IFERROR(IF(BZ231&gt;BA231-1,IF(INDEX(Pedidos!BJ:CZ,BY231+BA231-1,32)&lt;&gt;"","Localización de los Nombres :     "&amp; INDEX(Pedidos!BJ:CZ,BY231+BA231-1,32),""),""),"")</f>
        <v/>
      </c>
      <c r="BB249" s="821"/>
      <c r="BC249" s="821"/>
      <c r="BD249" s="821"/>
      <c r="BE249" s="821"/>
      <c r="BF249" s="821"/>
      <c r="BG249" s="821"/>
      <c r="BH249" s="821"/>
      <c r="BI249" s="821"/>
      <c r="BJ249" s="821"/>
      <c r="BK249" s="821"/>
      <c r="BL249" s="821"/>
      <c r="BM249" s="821"/>
      <c r="BN249" s="821"/>
      <c r="BO249" s="821"/>
      <c r="BP249" s="821"/>
      <c r="BQ249" s="821"/>
      <c r="BR249" s="821"/>
      <c r="BS249" s="821"/>
      <c r="BT249" s="821"/>
      <c r="BU249" s="821"/>
      <c r="BV249" s="821"/>
      <c r="BW249" s="821"/>
      <c r="BX249" s="821"/>
      <c r="BY249" s="821"/>
      <c r="BZ249" s="822"/>
      <c r="CA249" s="820" t="str">
        <f>IFERROR(IF(CZ231&gt;CA231-1,IF(INDEX(Pedidos!CJ:DZ,CY231+CA231-1,32)&lt;&gt;"","Localización de los Nombres :     "&amp; INDEX(Pedidos!CJ:DZ,CY231+CA231-1,32),""),""),"")</f>
        <v/>
      </c>
      <c r="CB249" s="821"/>
      <c r="CC249" s="821"/>
      <c r="CD249" s="821"/>
      <c r="CE249" s="821"/>
      <c r="CF249" s="821"/>
      <c r="CG249" s="821"/>
      <c r="CH249" s="821"/>
      <c r="CI249" s="821"/>
      <c r="CJ249" s="821"/>
      <c r="CK249" s="821"/>
      <c r="CL249" s="821"/>
      <c r="CM249" s="821"/>
      <c r="CN249" s="821"/>
      <c r="CO249" s="821"/>
      <c r="CP249" s="821"/>
      <c r="CQ249" s="821"/>
      <c r="CR249" s="821"/>
      <c r="CS249" s="821"/>
      <c r="CT249" s="821"/>
      <c r="CU249" s="821"/>
      <c r="CV249" s="821"/>
      <c r="CW249" s="821"/>
      <c r="CX249" s="821"/>
      <c r="CY249" s="821"/>
      <c r="CZ249" s="822"/>
      <c r="DA249" s="820" t="str">
        <f>IFERROR(IF(DZ231&gt;DA231-1,IF(INDEX(Pedidos!DJ:EZ,DY231+DA231-1,32)&lt;&gt;"","Localización de los Nombres :     "&amp; INDEX(Pedidos!DJ:EZ,DY231+DA231-1,32),""),""),"")</f>
        <v/>
      </c>
      <c r="DB249" s="821"/>
      <c r="DC249" s="821"/>
      <c r="DD249" s="821"/>
      <c r="DE249" s="821"/>
      <c r="DF249" s="821"/>
      <c r="DG249" s="821"/>
      <c r="DH249" s="821"/>
      <c r="DI249" s="821"/>
      <c r="DJ249" s="821"/>
      <c r="DK249" s="821"/>
      <c r="DL249" s="821"/>
      <c r="DM249" s="821"/>
      <c r="DN249" s="821"/>
      <c r="DO249" s="821"/>
      <c r="DP249" s="821"/>
      <c r="DQ249" s="821"/>
      <c r="DR249" s="821"/>
      <c r="DS249" s="821"/>
      <c r="DT249" s="821"/>
      <c r="DU249" s="821"/>
      <c r="DV249" s="821"/>
      <c r="DW249" s="821"/>
      <c r="DX249" s="821"/>
      <c r="DY249" s="821"/>
      <c r="DZ249" s="822"/>
      <c r="EA249" s="820" t="str">
        <f>IFERROR(IF(EZ231&gt;EA231-1,IF(INDEX(Pedidos!EJ:FZ,EY231+EA231-1,32)&lt;&gt;"","Localización de los Nombres :     "&amp; INDEX(Pedidos!EJ:FZ,EY231+EA231-1,32),""),""),"")</f>
        <v/>
      </c>
      <c r="EB249" s="821"/>
      <c r="EC249" s="821"/>
      <c r="ED249" s="821"/>
      <c r="EE249" s="821"/>
      <c r="EF249" s="821"/>
      <c r="EG249" s="821"/>
      <c r="EH249" s="821"/>
      <c r="EI249" s="821"/>
      <c r="EJ249" s="821"/>
      <c r="EK249" s="821"/>
      <c r="EL249" s="821"/>
      <c r="EM249" s="821"/>
      <c r="EN249" s="821"/>
      <c r="EO249" s="821"/>
      <c r="EP249" s="821"/>
      <c r="EQ249" s="821"/>
      <c r="ER249" s="821"/>
      <c r="ES249" s="821"/>
      <c r="ET249" s="821"/>
      <c r="EU249" s="821"/>
      <c r="EV249" s="821"/>
      <c r="EW249" s="821"/>
      <c r="EX249" s="821"/>
      <c r="EY249" s="821"/>
      <c r="EZ249" s="822"/>
      <c r="FA249" s="820" t="str">
        <f>IFERROR(IF(FZ231&gt;FA231-1,IF(INDEX(Pedidos!FJ:GZ,FY231+FA231-1,32)&lt;&gt;"","Localización de los Nombres :     "&amp; INDEX(Pedidos!FJ:GZ,FY231+FA231-1,32),""),""),"")</f>
        <v/>
      </c>
      <c r="FB249" s="821"/>
      <c r="FC249" s="821"/>
      <c r="FD249" s="821"/>
      <c r="FE249" s="821"/>
      <c r="FF249" s="821"/>
      <c r="FG249" s="821"/>
      <c r="FH249" s="821"/>
      <c r="FI249" s="821"/>
      <c r="FJ249" s="821"/>
      <c r="FK249" s="821"/>
      <c r="FL249" s="821"/>
      <c r="FM249" s="821"/>
      <c r="FN249" s="821"/>
      <c r="FO249" s="821"/>
      <c r="FP249" s="821"/>
      <c r="FQ249" s="821"/>
      <c r="FR249" s="821"/>
      <c r="FS249" s="821"/>
      <c r="FT249" s="821"/>
      <c r="FU249" s="821"/>
      <c r="FV249" s="821"/>
      <c r="FW249" s="821"/>
      <c r="FX249" s="821"/>
      <c r="FY249" s="821"/>
      <c r="FZ249" s="822"/>
      <c r="GA249" s="820" t="str">
        <f>IFERROR(IF(GZ231&gt;GA231-1,IF(INDEX(Pedidos!GJ:HZ,GY231+GA231-1,32)&lt;&gt;"","Localización de los Nombres :     "&amp; INDEX(Pedidos!GJ:HZ,GY231+GA231-1,32),""),""),"")</f>
        <v/>
      </c>
      <c r="GB249" s="821"/>
      <c r="GC249" s="821"/>
      <c r="GD249" s="821"/>
      <c r="GE249" s="821"/>
      <c r="GF249" s="821"/>
      <c r="GG249" s="821"/>
      <c r="GH249" s="821"/>
      <c r="GI249" s="821"/>
      <c r="GJ249" s="821"/>
      <c r="GK249" s="821"/>
      <c r="GL249" s="821"/>
      <c r="GM249" s="821"/>
      <c r="GN249" s="821"/>
      <c r="GO249" s="821"/>
      <c r="GP249" s="821"/>
      <c r="GQ249" s="821"/>
      <c r="GR249" s="821"/>
      <c r="GS249" s="821"/>
      <c r="GT249" s="821"/>
      <c r="GU249" s="821"/>
      <c r="GV249" s="821"/>
      <c r="GW249" s="821"/>
      <c r="GX249" s="821"/>
      <c r="GY249" s="821"/>
      <c r="GZ249" s="822"/>
      <c r="HA249" s="820" t="str">
        <f>IFERROR(IF(HZ231&gt;HA231-1,IF(INDEX(Pedidos!HJ:IZ,HY231+HA231-1,32)&lt;&gt;"","Localización de los Nombres :     "&amp; INDEX(Pedidos!HJ:IZ,HY231+HA231-1,32),""),""),"")</f>
        <v/>
      </c>
      <c r="HB249" s="821"/>
      <c r="HC249" s="821"/>
      <c r="HD249" s="821"/>
      <c r="HE249" s="821"/>
      <c r="HF249" s="821"/>
      <c r="HG249" s="821"/>
      <c r="HH249" s="821"/>
      <c r="HI249" s="821"/>
      <c r="HJ249" s="821"/>
      <c r="HK249" s="821"/>
      <c r="HL249" s="821"/>
      <c r="HM249" s="821"/>
      <c r="HN249" s="821"/>
      <c r="HO249" s="821"/>
      <c r="HP249" s="821"/>
      <c r="HQ249" s="821"/>
      <c r="HR249" s="821"/>
      <c r="HS249" s="821"/>
      <c r="HT249" s="821"/>
      <c r="HU249" s="821"/>
      <c r="HV249" s="821"/>
      <c r="HW249" s="821"/>
      <c r="HX249" s="821"/>
      <c r="HY249" s="821"/>
      <c r="HZ249" s="822"/>
      <c r="IA249" s="820" t="str">
        <f>IFERROR(IF(IZ231&gt;IA231-1,IF(INDEX(Pedidos!IJ:JZ,IY231+IA231-1,32)&lt;&gt;"","Localización de los Nombres :     "&amp; INDEX(Pedidos!IJ:JZ,IY231+IA231-1,32),""),""),"")</f>
        <v/>
      </c>
      <c r="IB249" s="821"/>
      <c r="IC249" s="821"/>
      <c r="ID249" s="821"/>
      <c r="IE249" s="821"/>
      <c r="IF249" s="821"/>
      <c r="IG249" s="821"/>
      <c r="IH249" s="821"/>
      <c r="II249" s="821"/>
      <c r="IJ249" s="821"/>
      <c r="IK249" s="821"/>
      <c r="IL249" s="821"/>
      <c r="IM249" s="821"/>
      <c r="IN249" s="821"/>
      <c r="IO249" s="821"/>
      <c r="IP249" s="821"/>
      <c r="IQ249" s="821"/>
      <c r="IR249" s="821"/>
      <c r="IS249" s="821"/>
      <c r="IT249" s="821"/>
      <c r="IU249" s="821"/>
      <c r="IV249" s="821"/>
      <c r="IW249" s="821"/>
      <c r="IX249" s="821"/>
      <c r="IY249" s="821"/>
      <c r="IZ249" s="822"/>
    </row>
    <row r="250" spans="1:260" s="530" customFormat="1" ht="15" customHeight="1" x14ac:dyDescent="0.25">
      <c r="A250" s="836" t="str">
        <f>IFERROR(IF(Z231&gt;A231-1,IF(INDEX(Pedidos!J:AZ,Y231+A231-1,37)&lt;&gt;"","Otras Instrucciones Especiales :     "&amp; INDEX(Pedidos!J:AZ,Y231+A231-1,37),""),""),"")</f>
        <v/>
      </c>
      <c r="B250" s="837"/>
      <c r="C250" s="837"/>
      <c r="D250" s="837"/>
      <c r="E250" s="837"/>
      <c r="F250" s="837"/>
      <c r="G250" s="837"/>
      <c r="H250" s="837"/>
      <c r="I250" s="837"/>
      <c r="J250" s="837"/>
      <c r="K250" s="837"/>
      <c r="L250" s="837"/>
      <c r="M250" s="837"/>
      <c r="N250" s="837"/>
      <c r="O250" s="837"/>
      <c r="P250" s="837"/>
      <c r="Q250" s="837"/>
      <c r="R250" s="837"/>
      <c r="S250" s="837"/>
      <c r="T250" s="837"/>
      <c r="U250" s="837"/>
      <c r="V250" s="837"/>
      <c r="W250" s="837"/>
      <c r="X250" s="837"/>
      <c r="Y250" s="837"/>
      <c r="Z250" s="838"/>
      <c r="AA250" s="836" t="str">
        <f>IFERROR(IF(AZ231&gt;AA231-1,IF(INDEX(Pedidos!AJ:BZ,AY231+AA231-1,37)&lt;&gt;"","Otras Instrucciones Especiales :     "&amp; INDEX(Pedidos!AJ:BZ,AY231+AA231-1,37),""),""),"")</f>
        <v/>
      </c>
      <c r="AB250" s="837"/>
      <c r="AC250" s="837"/>
      <c r="AD250" s="837"/>
      <c r="AE250" s="837"/>
      <c r="AF250" s="837"/>
      <c r="AG250" s="837"/>
      <c r="AH250" s="837"/>
      <c r="AI250" s="837"/>
      <c r="AJ250" s="837"/>
      <c r="AK250" s="837"/>
      <c r="AL250" s="837"/>
      <c r="AM250" s="837"/>
      <c r="AN250" s="837"/>
      <c r="AO250" s="837"/>
      <c r="AP250" s="837"/>
      <c r="AQ250" s="837"/>
      <c r="AR250" s="837"/>
      <c r="AS250" s="837"/>
      <c r="AT250" s="837"/>
      <c r="AU250" s="837"/>
      <c r="AV250" s="837"/>
      <c r="AW250" s="837"/>
      <c r="AX250" s="837"/>
      <c r="AY250" s="837"/>
      <c r="AZ250" s="838"/>
      <c r="BA250" s="836" t="str">
        <f>IFERROR(IF(BZ231&gt;BA231-1,IF(INDEX(Pedidos!BJ:CZ,BY231+BA231-1,37)&lt;&gt;"","Otras Instrucciones Especiales :     "&amp; INDEX(Pedidos!BJ:CZ,BY231+BA231-1,37),""),""),"")</f>
        <v/>
      </c>
      <c r="BB250" s="837"/>
      <c r="BC250" s="837"/>
      <c r="BD250" s="837"/>
      <c r="BE250" s="837"/>
      <c r="BF250" s="837"/>
      <c r="BG250" s="837"/>
      <c r="BH250" s="837"/>
      <c r="BI250" s="837"/>
      <c r="BJ250" s="837"/>
      <c r="BK250" s="837"/>
      <c r="BL250" s="837"/>
      <c r="BM250" s="837"/>
      <c r="BN250" s="837"/>
      <c r="BO250" s="837"/>
      <c r="BP250" s="837"/>
      <c r="BQ250" s="837"/>
      <c r="BR250" s="837"/>
      <c r="BS250" s="837"/>
      <c r="BT250" s="837"/>
      <c r="BU250" s="837"/>
      <c r="BV250" s="837"/>
      <c r="BW250" s="837"/>
      <c r="BX250" s="837"/>
      <c r="BY250" s="837"/>
      <c r="BZ250" s="838"/>
      <c r="CA250" s="836" t="str">
        <f>IFERROR(IF(CZ231&gt;CA231-1,IF(INDEX(Pedidos!CJ:DZ,CY231+CA231-1,37)&lt;&gt;"","Otras Instrucciones Especiales :     "&amp; INDEX(Pedidos!CJ:DZ,CY231+CA231-1,37),""),""),"")</f>
        <v/>
      </c>
      <c r="CB250" s="837"/>
      <c r="CC250" s="837"/>
      <c r="CD250" s="837"/>
      <c r="CE250" s="837"/>
      <c r="CF250" s="837"/>
      <c r="CG250" s="837"/>
      <c r="CH250" s="837"/>
      <c r="CI250" s="837"/>
      <c r="CJ250" s="837"/>
      <c r="CK250" s="837"/>
      <c r="CL250" s="837"/>
      <c r="CM250" s="837"/>
      <c r="CN250" s="837"/>
      <c r="CO250" s="837"/>
      <c r="CP250" s="837"/>
      <c r="CQ250" s="837"/>
      <c r="CR250" s="837"/>
      <c r="CS250" s="837"/>
      <c r="CT250" s="837"/>
      <c r="CU250" s="837"/>
      <c r="CV250" s="837"/>
      <c r="CW250" s="837"/>
      <c r="CX250" s="837"/>
      <c r="CY250" s="837"/>
      <c r="CZ250" s="838"/>
      <c r="DA250" s="836" t="str">
        <f>IFERROR(IF(DZ231&gt;DA231-1,IF(INDEX(Pedidos!DJ:EZ,DY231+DA231-1,37)&lt;&gt;"","Otras Instrucciones Especiales :     "&amp; INDEX(Pedidos!DJ:EZ,DY231+DA231-1,37),""),""),"")</f>
        <v/>
      </c>
      <c r="DB250" s="837"/>
      <c r="DC250" s="837"/>
      <c r="DD250" s="837"/>
      <c r="DE250" s="837"/>
      <c r="DF250" s="837"/>
      <c r="DG250" s="837"/>
      <c r="DH250" s="837"/>
      <c r="DI250" s="837"/>
      <c r="DJ250" s="837"/>
      <c r="DK250" s="837"/>
      <c r="DL250" s="837"/>
      <c r="DM250" s="837"/>
      <c r="DN250" s="837"/>
      <c r="DO250" s="837"/>
      <c r="DP250" s="837"/>
      <c r="DQ250" s="837"/>
      <c r="DR250" s="837"/>
      <c r="DS250" s="837"/>
      <c r="DT250" s="837"/>
      <c r="DU250" s="837"/>
      <c r="DV250" s="837"/>
      <c r="DW250" s="837"/>
      <c r="DX250" s="837"/>
      <c r="DY250" s="837"/>
      <c r="DZ250" s="838"/>
      <c r="EA250" s="836" t="str">
        <f>IFERROR(IF(EZ231&gt;EA231-1,IF(INDEX(Pedidos!EJ:FZ,EY231+EA231-1,37)&lt;&gt;"","Otras Instrucciones Especiales :     "&amp; INDEX(Pedidos!EJ:FZ,EY231+EA231-1,37),""),""),"")</f>
        <v/>
      </c>
      <c r="EB250" s="837"/>
      <c r="EC250" s="837"/>
      <c r="ED250" s="837"/>
      <c r="EE250" s="837"/>
      <c r="EF250" s="837"/>
      <c r="EG250" s="837"/>
      <c r="EH250" s="837"/>
      <c r="EI250" s="837"/>
      <c r="EJ250" s="837"/>
      <c r="EK250" s="837"/>
      <c r="EL250" s="837"/>
      <c r="EM250" s="837"/>
      <c r="EN250" s="837"/>
      <c r="EO250" s="837"/>
      <c r="EP250" s="837"/>
      <c r="EQ250" s="837"/>
      <c r="ER250" s="837"/>
      <c r="ES250" s="837"/>
      <c r="ET250" s="837"/>
      <c r="EU250" s="837"/>
      <c r="EV250" s="837"/>
      <c r="EW250" s="837"/>
      <c r="EX250" s="837"/>
      <c r="EY250" s="837"/>
      <c r="EZ250" s="838"/>
      <c r="FA250" s="836" t="str">
        <f>IFERROR(IF(FZ231&gt;FA231-1,IF(INDEX(Pedidos!FJ:GZ,FY231+FA231-1,37)&lt;&gt;"","Otras Instrucciones Especiales :     "&amp; INDEX(Pedidos!FJ:GZ,FY231+FA231-1,37),""),""),"")</f>
        <v/>
      </c>
      <c r="FB250" s="837"/>
      <c r="FC250" s="837"/>
      <c r="FD250" s="837"/>
      <c r="FE250" s="837"/>
      <c r="FF250" s="837"/>
      <c r="FG250" s="837"/>
      <c r="FH250" s="837"/>
      <c r="FI250" s="837"/>
      <c r="FJ250" s="837"/>
      <c r="FK250" s="837"/>
      <c r="FL250" s="837"/>
      <c r="FM250" s="837"/>
      <c r="FN250" s="837"/>
      <c r="FO250" s="837"/>
      <c r="FP250" s="837"/>
      <c r="FQ250" s="837"/>
      <c r="FR250" s="837"/>
      <c r="FS250" s="837"/>
      <c r="FT250" s="837"/>
      <c r="FU250" s="837"/>
      <c r="FV250" s="837"/>
      <c r="FW250" s="837"/>
      <c r="FX250" s="837"/>
      <c r="FY250" s="837"/>
      <c r="FZ250" s="838"/>
      <c r="GA250" s="836" t="str">
        <f>IFERROR(IF(GZ231&gt;GA231-1,IF(INDEX(Pedidos!GJ:HZ,GY231+GA231-1,37)&lt;&gt;"","Otras Instrucciones Especiales :     "&amp; INDEX(Pedidos!GJ:HZ,GY231+GA231-1,37),""),""),"")</f>
        <v/>
      </c>
      <c r="GB250" s="837"/>
      <c r="GC250" s="837"/>
      <c r="GD250" s="837"/>
      <c r="GE250" s="837"/>
      <c r="GF250" s="837"/>
      <c r="GG250" s="837"/>
      <c r="GH250" s="837"/>
      <c r="GI250" s="837"/>
      <c r="GJ250" s="837"/>
      <c r="GK250" s="837"/>
      <c r="GL250" s="837"/>
      <c r="GM250" s="837"/>
      <c r="GN250" s="837"/>
      <c r="GO250" s="837"/>
      <c r="GP250" s="837"/>
      <c r="GQ250" s="837"/>
      <c r="GR250" s="837"/>
      <c r="GS250" s="837"/>
      <c r="GT250" s="837"/>
      <c r="GU250" s="837"/>
      <c r="GV250" s="837"/>
      <c r="GW250" s="837"/>
      <c r="GX250" s="837"/>
      <c r="GY250" s="837"/>
      <c r="GZ250" s="838"/>
      <c r="HA250" s="836" t="str">
        <f>IFERROR(IF(HZ231&gt;HA231-1,IF(INDEX(Pedidos!HJ:IZ,HY231+HA231-1,37)&lt;&gt;"","Otras Instrucciones Especiales :     "&amp; INDEX(Pedidos!HJ:IZ,HY231+HA231-1,37),""),""),"")</f>
        <v/>
      </c>
      <c r="HB250" s="837"/>
      <c r="HC250" s="837"/>
      <c r="HD250" s="837"/>
      <c r="HE250" s="837"/>
      <c r="HF250" s="837"/>
      <c r="HG250" s="837"/>
      <c r="HH250" s="837"/>
      <c r="HI250" s="837"/>
      <c r="HJ250" s="837"/>
      <c r="HK250" s="837"/>
      <c r="HL250" s="837"/>
      <c r="HM250" s="837"/>
      <c r="HN250" s="837"/>
      <c r="HO250" s="837"/>
      <c r="HP250" s="837"/>
      <c r="HQ250" s="837"/>
      <c r="HR250" s="837"/>
      <c r="HS250" s="837"/>
      <c r="HT250" s="837"/>
      <c r="HU250" s="837"/>
      <c r="HV250" s="837"/>
      <c r="HW250" s="837"/>
      <c r="HX250" s="837"/>
      <c r="HY250" s="837"/>
      <c r="HZ250" s="838"/>
      <c r="IA250" s="836" t="str">
        <f>IFERROR(IF(IZ231&gt;IA231-1,IF(INDEX(Pedidos!IJ:JZ,IY231+IA231-1,37)&lt;&gt;"","Otras Instrucciones Especiales :     "&amp; INDEX(Pedidos!IJ:JZ,IY231+IA231-1,37),""),""),"")</f>
        <v/>
      </c>
      <c r="IB250" s="837"/>
      <c r="IC250" s="837"/>
      <c r="ID250" s="837"/>
      <c r="IE250" s="837"/>
      <c r="IF250" s="837"/>
      <c r="IG250" s="837"/>
      <c r="IH250" s="837"/>
      <c r="II250" s="837"/>
      <c r="IJ250" s="837"/>
      <c r="IK250" s="837"/>
      <c r="IL250" s="837"/>
      <c r="IM250" s="837"/>
      <c r="IN250" s="837"/>
      <c r="IO250" s="837"/>
      <c r="IP250" s="837"/>
      <c r="IQ250" s="837"/>
      <c r="IR250" s="837"/>
      <c r="IS250" s="837"/>
      <c r="IT250" s="837"/>
      <c r="IU250" s="837"/>
      <c r="IV250" s="837"/>
      <c r="IW250" s="837"/>
      <c r="IX250" s="837"/>
      <c r="IY250" s="837"/>
      <c r="IZ250" s="838"/>
    </row>
    <row r="251" spans="1:260" s="530" customFormat="1" ht="15.75" thickBot="1" x14ac:dyDescent="0.3">
      <c r="A251" s="839"/>
      <c r="B251" s="840"/>
      <c r="C251" s="840"/>
      <c r="D251" s="840"/>
      <c r="E251" s="840"/>
      <c r="F251" s="840"/>
      <c r="G251" s="840"/>
      <c r="H251" s="840"/>
      <c r="I251" s="840"/>
      <c r="J251" s="840"/>
      <c r="K251" s="840"/>
      <c r="L251" s="840"/>
      <c r="M251" s="840"/>
      <c r="N251" s="840"/>
      <c r="O251" s="840"/>
      <c r="P251" s="840"/>
      <c r="Q251" s="840"/>
      <c r="R251" s="840"/>
      <c r="S251" s="840"/>
      <c r="T251" s="840"/>
      <c r="U251" s="840"/>
      <c r="V251" s="840"/>
      <c r="W251" s="840"/>
      <c r="X251" s="840"/>
      <c r="Y251" s="840"/>
      <c r="Z251" s="841"/>
      <c r="AA251" s="839"/>
      <c r="AB251" s="840"/>
      <c r="AC251" s="840"/>
      <c r="AD251" s="840"/>
      <c r="AE251" s="840"/>
      <c r="AF251" s="840"/>
      <c r="AG251" s="840"/>
      <c r="AH251" s="840"/>
      <c r="AI251" s="840"/>
      <c r="AJ251" s="840"/>
      <c r="AK251" s="840"/>
      <c r="AL251" s="840"/>
      <c r="AM251" s="840"/>
      <c r="AN251" s="840"/>
      <c r="AO251" s="840"/>
      <c r="AP251" s="840"/>
      <c r="AQ251" s="840"/>
      <c r="AR251" s="840"/>
      <c r="AS251" s="840"/>
      <c r="AT251" s="840"/>
      <c r="AU251" s="840"/>
      <c r="AV251" s="840"/>
      <c r="AW251" s="840"/>
      <c r="AX251" s="840"/>
      <c r="AY251" s="840"/>
      <c r="AZ251" s="841"/>
      <c r="BA251" s="839"/>
      <c r="BB251" s="840"/>
      <c r="BC251" s="840"/>
      <c r="BD251" s="840"/>
      <c r="BE251" s="840"/>
      <c r="BF251" s="840"/>
      <c r="BG251" s="840"/>
      <c r="BH251" s="840"/>
      <c r="BI251" s="840"/>
      <c r="BJ251" s="840"/>
      <c r="BK251" s="840"/>
      <c r="BL251" s="840"/>
      <c r="BM251" s="840"/>
      <c r="BN251" s="840"/>
      <c r="BO251" s="840"/>
      <c r="BP251" s="840"/>
      <c r="BQ251" s="840"/>
      <c r="BR251" s="840"/>
      <c r="BS251" s="840"/>
      <c r="BT251" s="840"/>
      <c r="BU251" s="840"/>
      <c r="BV251" s="840"/>
      <c r="BW251" s="840"/>
      <c r="BX251" s="840"/>
      <c r="BY251" s="840"/>
      <c r="BZ251" s="841"/>
      <c r="CA251" s="839"/>
      <c r="CB251" s="840"/>
      <c r="CC251" s="840"/>
      <c r="CD251" s="840"/>
      <c r="CE251" s="840"/>
      <c r="CF251" s="840"/>
      <c r="CG251" s="840"/>
      <c r="CH251" s="840"/>
      <c r="CI251" s="840"/>
      <c r="CJ251" s="840"/>
      <c r="CK251" s="840"/>
      <c r="CL251" s="840"/>
      <c r="CM251" s="840"/>
      <c r="CN251" s="840"/>
      <c r="CO251" s="840"/>
      <c r="CP251" s="840"/>
      <c r="CQ251" s="840"/>
      <c r="CR251" s="840"/>
      <c r="CS251" s="840"/>
      <c r="CT251" s="840"/>
      <c r="CU251" s="840"/>
      <c r="CV251" s="840"/>
      <c r="CW251" s="840"/>
      <c r="CX251" s="840"/>
      <c r="CY251" s="840"/>
      <c r="CZ251" s="841"/>
      <c r="DA251" s="839"/>
      <c r="DB251" s="840"/>
      <c r="DC251" s="840"/>
      <c r="DD251" s="840"/>
      <c r="DE251" s="840"/>
      <c r="DF251" s="840"/>
      <c r="DG251" s="840"/>
      <c r="DH251" s="840"/>
      <c r="DI251" s="840"/>
      <c r="DJ251" s="840"/>
      <c r="DK251" s="840"/>
      <c r="DL251" s="840"/>
      <c r="DM251" s="840"/>
      <c r="DN251" s="840"/>
      <c r="DO251" s="840"/>
      <c r="DP251" s="840"/>
      <c r="DQ251" s="840"/>
      <c r="DR251" s="840"/>
      <c r="DS251" s="840"/>
      <c r="DT251" s="840"/>
      <c r="DU251" s="840"/>
      <c r="DV251" s="840"/>
      <c r="DW251" s="840"/>
      <c r="DX251" s="840"/>
      <c r="DY251" s="840"/>
      <c r="DZ251" s="841"/>
      <c r="EA251" s="839"/>
      <c r="EB251" s="840"/>
      <c r="EC251" s="840"/>
      <c r="ED251" s="840"/>
      <c r="EE251" s="840"/>
      <c r="EF251" s="840"/>
      <c r="EG251" s="840"/>
      <c r="EH251" s="840"/>
      <c r="EI251" s="840"/>
      <c r="EJ251" s="840"/>
      <c r="EK251" s="840"/>
      <c r="EL251" s="840"/>
      <c r="EM251" s="840"/>
      <c r="EN251" s="840"/>
      <c r="EO251" s="840"/>
      <c r="EP251" s="840"/>
      <c r="EQ251" s="840"/>
      <c r="ER251" s="840"/>
      <c r="ES251" s="840"/>
      <c r="ET251" s="840"/>
      <c r="EU251" s="840"/>
      <c r="EV251" s="840"/>
      <c r="EW251" s="840"/>
      <c r="EX251" s="840"/>
      <c r="EY251" s="840"/>
      <c r="EZ251" s="841"/>
      <c r="FA251" s="839"/>
      <c r="FB251" s="840"/>
      <c r="FC251" s="840"/>
      <c r="FD251" s="840"/>
      <c r="FE251" s="840"/>
      <c r="FF251" s="840"/>
      <c r="FG251" s="840"/>
      <c r="FH251" s="840"/>
      <c r="FI251" s="840"/>
      <c r="FJ251" s="840"/>
      <c r="FK251" s="840"/>
      <c r="FL251" s="840"/>
      <c r="FM251" s="840"/>
      <c r="FN251" s="840"/>
      <c r="FO251" s="840"/>
      <c r="FP251" s="840"/>
      <c r="FQ251" s="840"/>
      <c r="FR251" s="840"/>
      <c r="FS251" s="840"/>
      <c r="FT251" s="840"/>
      <c r="FU251" s="840"/>
      <c r="FV251" s="840"/>
      <c r="FW251" s="840"/>
      <c r="FX251" s="840"/>
      <c r="FY251" s="840"/>
      <c r="FZ251" s="841"/>
      <c r="GA251" s="839"/>
      <c r="GB251" s="840"/>
      <c r="GC251" s="840"/>
      <c r="GD251" s="840"/>
      <c r="GE251" s="840"/>
      <c r="GF251" s="840"/>
      <c r="GG251" s="840"/>
      <c r="GH251" s="840"/>
      <c r="GI251" s="840"/>
      <c r="GJ251" s="840"/>
      <c r="GK251" s="840"/>
      <c r="GL251" s="840"/>
      <c r="GM251" s="840"/>
      <c r="GN251" s="840"/>
      <c r="GO251" s="840"/>
      <c r="GP251" s="840"/>
      <c r="GQ251" s="840"/>
      <c r="GR251" s="840"/>
      <c r="GS251" s="840"/>
      <c r="GT251" s="840"/>
      <c r="GU251" s="840"/>
      <c r="GV251" s="840"/>
      <c r="GW251" s="840"/>
      <c r="GX251" s="840"/>
      <c r="GY251" s="840"/>
      <c r="GZ251" s="841"/>
      <c r="HA251" s="839"/>
      <c r="HB251" s="840"/>
      <c r="HC251" s="840"/>
      <c r="HD251" s="840"/>
      <c r="HE251" s="840"/>
      <c r="HF251" s="840"/>
      <c r="HG251" s="840"/>
      <c r="HH251" s="840"/>
      <c r="HI251" s="840"/>
      <c r="HJ251" s="840"/>
      <c r="HK251" s="840"/>
      <c r="HL251" s="840"/>
      <c r="HM251" s="840"/>
      <c r="HN251" s="840"/>
      <c r="HO251" s="840"/>
      <c r="HP251" s="840"/>
      <c r="HQ251" s="840"/>
      <c r="HR251" s="840"/>
      <c r="HS251" s="840"/>
      <c r="HT251" s="840"/>
      <c r="HU251" s="840"/>
      <c r="HV251" s="840"/>
      <c r="HW251" s="840"/>
      <c r="HX251" s="840"/>
      <c r="HY251" s="840"/>
      <c r="HZ251" s="841"/>
      <c r="IA251" s="839"/>
      <c r="IB251" s="840"/>
      <c r="IC251" s="840"/>
      <c r="ID251" s="840"/>
      <c r="IE251" s="840"/>
      <c r="IF251" s="840"/>
      <c r="IG251" s="840"/>
      <c r="IH251" s="840"/>
      <c r="II251" s="840"/>
      <c r="IJ251" s="840"/>
      <c r="IK251" s="840"/>
      <c r="IL251" s="840"/>
      <c r="IM251" s="840"/>
      <c r="IN251" s="840"/>
      <c r="IO251" s="840"/>
      <c r="IP251" s="840"/>
      <c r="IQ251" s="840"/>
      <c r="IR251" s="840"/>
      <c r="IS251" s="840"/>
      <c r="IT251" s="840"/>
      <c r="IU251" s="840"/>
      <c r="IV251" s="840"/>
      <c r="IW251" s="840"/>
      <c r="IX251" s="840"/>
      <c r="IY251" s="840"/>
      <c r="IZ251" s="841"/>
    </row>
    <row r="252" spans="1:260" x14ac:dyDescent="0.25">
      <c r="AA252" s="518"/>
      <c r="AB252" s="518"/>
      <c r="AC252" s="518"/>
      <c r="AD252" s="518"/>
      <c r="AE252" s="518"/>
      <c r="AF252" s="518"/>
      <c r="AG252" s="518"/>
      <c r="AH252" s="518"/>
      <c r="AI252" s="518"/>
      <c r="AJ252" s="518"/>
      <c r="AK252" s="518"/>
      <c r="AL252" s="518"/>
      <c r="AM252" s="518"/>
      <c r="AN252" s="518"/>
      <c r="AO252" s="518"/>
      <c r="AP252" s="518"/>
      <c r="AQ252" s="518"/>
      <c r="AR252" s="518"/>
      <c r="AS252" s="518"/>
      <c r="AT252" s="518"/>
      <c r="AU252" s="518"/>
      <c r="AV252" s="518"/>
      <c r="AW252" s="518"/>
    </row>
    <row r="253" spans="1:260" ht="15.75" thickBot="1" x14ac:dyDescent="0.3">
      <c r="A253" s="529">
        <v>12</v>
      </c>
      <c r="B253" s="529"/>
      <c r="C253" s="529"/>
      <c r="D253" s="529"/>
      <c r="E253" s="529"/>
      <c r="F253" s="529"/>
      <c r="G253" s="529"/>
      <c r="H253" s="529"/>
      <c r="I253" s="529"/>
      <c r="J253" s="529">
        <v>18</v>
      </c>
      <c r="K253" s="529">
        <v>19</v>
      </c>
      <c r="L253" s="529">
        <v>20</v>
      </c>
      <c r="M253" s="529">
        <v>21</v>
      </c>
      <c r="N253" s="529">
        <v>22</v>
      </c>
      <c r="O253" s="529">
        <v>23</v>
      </c>
      <c r="P253" s="529">
        <v>24</v>
      </c>
      <c r="Q253" s="529">
        <v>25</v>
      </c>
      <c r="R253" s="529">
        <v>26</v>
      </c>
      <c r="S253" s="529">
        <v>27</v>
      </c>
      <c r="T253" s="529">
        <v>28</v>
      </c>
      <c r="U253" s="529">
        <v>29</v>
      </c>
      <c r="V253" s="529">
        <v>30</v>
      </c>
      <c r="W253" s="529"/>
      <c r="X253" s="529"/>
      <c r="Y253" s="529" t="str">
        <f>IFERROR(IF(COUNTIF(Pedidos!$J:$J,Q$2)&gt;A253-1,MATCH(Q$2,Pedidos!$J:$J,0),""),"")</f>
        <v/>
      </c>
      <c r="Z253" s="529">
        <f>IFERROR(IF(Y253="",0,COUNTIF(Pedidos!$J:$J,Procesos!Q$2)),"")</f>
        <v>0</v>
      </c>
      <c r="AA253" s="529">
        <v>12</v>
      </c>
      <c r="AB253" s="529"/>
      <c r="AC253" s="529"/>
      <c r="AD253" s="529"/>
      <c r="AE253" s="529"/>
      <c r="AF253" s="529"/>
      <c r="AG253" s="529"/>
      <c r="AH253" s="529"/>
      <c r="AI253" s="529"/>
      <c r="AJ253" s="529">
        <v>18</v>
      </c>
      <c r="AK253" s="529">
        <v>19</v>
      </c>
      <c r="AL253" s="529">
        <v>20</v>
      </c>
      <c r="AM253" s="529">
        <v>21</v>
      </c>
      <c r="AN253" s="529">
        <v>22</v>
      </c>
      <c r="AO253" s="529">
        <v>23</v>
      </c>
      <c r="AP253" s="529">
        <v>24</v>
      </c>
      <c r="AQ253" s="529">
        <v>25</v>
      </c>
      <c r="AR253" s="529">
        <v>26</v>
      </c>
      <c r="AS253" s="529">
        <v>27</v>
      </c>
      <c r="AT253" s="529">
        <v>28</v>
      </c>
      <c r="AU253" s="529">
        <v>29</v>
      </c>
      <c r="AV253" s="529">
        <v>30</v>
      </c>
      <c r="AW253" s="529"/>
      <c r="AX253" s="529"/>
      <c r="AY253" s="529" t="str">
        <f>IFERROR(IF(COUNTIF(Pedidos!$J:$J,AQ$2)&gt;AA253-1,MATCH(AQ$2,Pedidos!$J:$J,0),""),"")</f>
        <v/>
      </c>
      <c r="AZ253" s="529">
        <f>IFERROR(IF(AY253="",0,COUNTIF(Pedidos!$J:$J,Procesos!AQ$2)),"")</f>
        <v>0</v>
      </c>
      <c r="BA253" s="529">
        <v>12</v>
      </c>
      <c r="BB253" s="529"/>
      <c r="BC253" s="529"/>
      <c r="BD253" s="529"/>
      <c r="BE253" s="529"/>
      <c r="BF253" s="529"/>
      <c r="BG253" s="529"/>
      <c r="BH253" s="529"/>
      <c r="BI253" s="529"/>
      <c r="BJ253" s="529">
        <v>18</v>
      </c>
      <c r="BK253" s="529">
        <v>19</v>
      </c>
      <c r="BL253" s="529">
        <v>20</v>
      </c>
      <c r="BM253" s="529">
        <v>21</v>
      </c>
      <c r="BN253" s="529">
        <v>22</v>
      </c>
      <c r="BO253" s="529">
        <v>23</v>
      </c>
      <c r="BP253" s="529">
        <v>24</v>
      </c>
      <c r="BQ253" s="529">
        <v>25</v>
      </c>
      <c r="BR253" s="529">
        <v>26</v>
      </c>
      <c r="BS253" s="529">
        <v>27</v>
      </c>
      <c r="BT253" s="529">
        <v>28</v>
      </c>
      <c r="BU253" s="529">
        <v>29</v>
      </c>
      <c r="BV253" s="529">
        <v>30</v>
      </c>
      <c r="BW253" s="529"/>
      <c r="BX253" s="529"/>
      <c r="BY253" s="529" t="str">
        <f>IFERROR(IF(COUNTIF(Pedidos!$J:$J,BQ$2)&gt;BA253-1,MATCH(BQ$2,Pedidos!$J:$J,0),""),"")</f>
        <v/>
      </c>
      <c r="BZ253" s="529">
        <f>IFERROR(IF(BY253="",0,COUNTIF(Pedidos!$J:$J,Procesos!BQ$2)),"")</f>
        <v>0</v>
      </c>
      <c r="CA253" s="529">
        <v>12</v>
      </c>
      <c r="CB253" s="529"/>
      <c r="CC253" s="529"/>
      <c r="CD253" s="529"/>
      <c r="CE253" s="529"/>
      <c r="CF253" s="529"/>
      <c r="CG253" s="529"/>
      <c r="CH253" s="529"/>
      <c r="CI253" s="529"/>
      <c r="CJ253" s="529">
        <v>18</v>
      </c>
      <c r="CK253" s="529">
        <v>19</v>
      </c>
      <c r="CL253" s="529">
        <v>20</v>
      </c>
      <c r="CM253" s="529">
        <v>21</v>
      </c>
      <c r="CN253" s="529">
        <v>22</v>
      </c>
      <c r="CO253" s="529">
        <v>23</v>
      </c>
      <c r="CP253" s="529">
        <v>24</v>
      </c>
      <c r="CQ253" s="529">
        <v>25</v>
      </c>
      <c r="CR253" s="529">
        <v>26</v>
      </c>
      <c r="CS253" s="529">
        <v>27</v>
      </c>
      <c r="CT253" s="529">
        <v>28</v>
      </c>
      <c r="CU253" s="529">
        <v>29</v>
      </c>
      <c r="CV253" s="529">
        <v>30</v>
      </c>
      <c r="CW253" s="529"/>
      <c r="CX253" s="529"/>
      <c r="CY253" s="529" t="str">
        <f>IFERROR(IF(COUNTIF(Pedidos!$J:$J,CQ$2)&gt;CA253-1,MATCH(CQ$2,Pedidos!$J:$J,0),""),"")</f>
        <v/>
      </c>
      <c r="CZ253" s="529">
        <f>IFERROR(IF(CY253="",0,COUNTIF(Pedidos!$J:$J,Procesos!CQ$2)),"")</f>
        <v>0</v>
      </c>
      <c r="DA253" s="529">
        <v>12</v>
      </c>
      <c r="DB253" s="529"/>
      <c r="DC253" s="529"/>
      <c r="DD253" s="529"/>
      <c r="DE253" s="529"/>
      <c r="DF253" s="529"/>
      <c r="DG253" s="529"/>
      <c r="DH253" s="529"/>
      <c r="DI253" s="529"/>
      <c r="DJ253" s="529">
        <v>18</v>
      </c>
      <c r="DK253" s="529">
        <v>19</v>
      </c>
      <c r="DL253" s="529">
        <v>20</v>
      </c>
      <c r="DM253" s="529">
        <v>21</v>
      </c>
      <c r="DN253" s="529">
        <v>22</v>
      </c>
      <c r="DO253" s="529">
        <v>23</v>
      </c>
      <c r="DP253" s="529">
        <v>24</v>
      </c>
      <c r="DQ253" s="529">
        <v>25</v>
      </c>
      <c r="DR253" s="529">
        <v>26</v>
      </c>
      <c r="DS253" s="529">
        <v>27</v>
      </c>
      <c r="DT253" s="529">
        <v>28</v>
      </c>
      <c r="DU253" s="529">
        <v>29</v>
      </c>
      <c r="DV253" s="529">
        <v>30</v>
      </c>
      <c r="DW253" s="529"/>
      <c r="DX253" s="529"/>
      <c r="DY253" s="529" t="str">
        <f>IFERROR(IF(COUNTIF(Pedidos!$J:$J,DQ$2)&gt;DA253-1,MATCH(DQ$2,Pedidos!$J:$J,0),""),"")</f>
        <v/>
      </c>
      <c r="DZ253" s="529">
        <f>IFERROR(IF(DY253="",0,COUNTIF(Pedidos!$J:$J,Procesos!DQ$2)),"")</f>
        <v>0</v>
      </c>
      <c r="EA253" s="529">
        <v>12</v>
      </c>
      <c r="EB253" s="529"/>
      <c r="EC253" s="529"/>
      <c r="ED253" s="529"/>
      <c r="EE253" s="529"/>
      <c r="EF253" s="529"/>
      <c r="EG253" s="529"/>
      <c r="EH253" s="529"/>
      <c r="EI253" s="529"/>
      <c r="EJ253" s="529">
        <v>18</v>
      </c>
      <c r="EK253" s="529">
        <v>19</v>
      </c>
      <c r="EL253" s="529">
        <v>20</v>
      </c>
      <c r="EM253" s="529">
        <v>21</v>
      </c>
      <c r="EN253" s="529">
        <v>22</v>
      </c>
      <c r="EO253" s="529">
        <v>23</v>
      </c>
      <c r="EP253" s="529">
        <v>24</v>
      </c>
      <c r="EQ253" s="529">
        <v>25</v>
      </c>
      <c r="ER253" s="529">
        <v>26</v>
      </c>
      <c r="ES253" s="529">
        <v>27</v>
      </c>
      <c r="ET253" s="529">
        <v>28</v>
      </c>
      <c r="EU253" s="529">
        <v>29</v>
      </c>
      <c r="EV253" s="529">
        <v>30</v>
      </c>
      <c r="EW253" s="529"/>
      <c r="EX253" s="529"/>
      <c r="EY253" s="529" t="str">
        <f>IFERROR(IF(COUNTIF(Pedidos!$J:$J,EQ$2)&gt;EA253-1,MATCH(EQ$2,Pedidos!$J:$J,0),""),"")</f>
        <v/>
      </c>
      <c r="EZ253" s="529">
        <f>IFERROR(IF(EY253="",0,COUNTIF(Pedidos!$J:$J,Procesos!EQ$2)),"")</f>
        <v>0</v>
      </c>
      <c r="FA253" s="529">
        <v>12</v>
      </c>
      <c r="FB253" s="529"/>
      <c r="FC253" s="529"/>
      <c r="FD253" s="529"/>
      <c r="FE253" s="529"/>
      <c r="FF253" s="529"/>
      <c r="FG253" s="529"/>
      <c r="FH253" s="529"/>
      <c r="FI253" s="529"/>
      <c r="FJ253" s="529">
        <v>18</v>
      </c>
      <c r="FK253" s="529">
        <v>19</v>
      </c>
      <c r="FL253" s="529">
        <v>20</v>
      </c>
      <c r="FM253" s="529">
        <v>21</v>
      </c>
      <c r="FN253" s="529">
        <v>22</v>
      </c>
      <c r="FO253" s="529">
        <v>23</v>
      </c>
      <c r="FP253" s="529">
        <v>24</v>
      </c>
      <c r="FQ253" s="529">
        <v>25</v>
      </c>
      <c r="FR253" s="529">
        <v>26</v>
      </c>
      <c r="FS253" s="529">
        <v>27</v>
      </c>
      <c r="FT253" s="529">
        <v>28</v>
      </c>
      <c r="FU253" s="529">
        <v>29</v>
      </c>
      <c r="FV253" s="529">
        <v>30</v>
      </c>
      <c r="FW253" s="529"/>
      <c r="FX253" s="529"/>
      <c r="FY253" s="529" t="str">
        <f>IFERROR(IF(COUNTIF(Pedidos!$J:$J,FQ$2)&gt;FA253-1,MATCH(FQ$2,Pedidos!$J:$J,0),""),"")</f>
        <v/>
      </c>
      <c r="FZ253" s="529">
        <f>IFERROR(IF(FY253="",0,COUNTIF(Pedidos!$J:$J,Procesos!FQ$2)),"")</f>
        <v>0</v>
      </c>
      <c r="GA253" s="529">
        <v>12</v>
      </c>
      <c r="GB253" s="529"/>
      <c r="GC253" s="529"/>
      <c r="GD253" s="529"/>
      <c r="GE253" s="529"/>
      <c r="GF253" s="529"/>
      <c r="GG253" s="529"/>
      <c r="GH253" s="529"/>
      <c r="GI253" s="529"/>
      <c r="GJ253" s="529">
        <v>18</v>
      </c>
      <c r="GK253" s="529">
        <v>19</v>
      </c>
      <c r="GL253" s="529">
        <v>20</v>
      </c>
      <c r="GM253" s="529">
        <v>21</v>
      </c>
      <c r="GN253" s="529">
        <v>22</v>
      </c>
      <c r="GO253" s="529">
        <v>23</v>
      </c>
      <c r="GP253" s="529">
        <v>24</v>
      </c>
      <c r="GQ253" s="529">
        <v>25</v>
      </c>
      <c r="GR253" s="529">
        <v>26</v>
      </c>
      <c r="GS253" s="529">
        <v>27</v>
      </c>
      <c r="GT253" s="529">
        <v>28</v>
      </c>
      <c r="GU253" s="529">
        <v>29</v>
      </c>
      <c r="GV253" s="529">
        <v>30</v>
      </c>
      <c r="GW253" s="529"/>
      <c r="GX253" s="529"/>
      <c r="GY253" s="529" t="str">
        <f>IFERROR(IF(COUNTIF(Pedidos!$J:$J,GQ$2)&gt;GA253-1,MATCH(GQ$2,Pedidos!$J:$J,0),""),"")</f>
        <v/>
      </c>
      <c r="GZ253" s="529">
        <f>IFERROR(IF(GY253="",0,COUNTIF(Pedidos!$J:$J,Procesos!GQ$2)),"")</f>
        <v>0</v>
      </c>
      <c r="HA253" s="529">
        <v>12</v>
      </c>
      <c r="HB253" s="529"/>
      <c r="HC253" s="529"/>
      <c r="HD253" s="529"/>
      <c r="HE253" s="529"/>
      <c r="HF253" s="529"/>
      <c r="HG253" s="529"/>
      <c r="HH253" s="529"/>
      <c r="HI253" s="529"/>
      <c r="HJ253" s="529">
        <v>18</v>
      </c>
      <c r="HK253" s="529">
        <v>19</v>
      </c>
      <c r="HL253" s="529">
        <v>20</v>
      </c>
      <c r="HM253" s="529">
        <v>21</v>
      </c>
      <c r="HN253" s="529">
        <v>22</v>
      </c>
      <c r="HO253" s="529">
        <v>23</v>
      </c>
      <c r="HP253" s="529">
        <v>24</v>
      </c>
      <c r="HQ253" s="529">
        <v>25</v>
      </c>
      <c r="HR253" s="529">
        <v>26</v>
      </c>
      <c r="HS253" s="529">
        <v>27</v>
      </c>
      <c r="HT253" s="529">
        <v>28</v>
      </c>
      <c r="HU253" s="529">
        <v>29</v>
      </c>
      <c r="HV253" s="529">
        <v>30</v>
      </c>
      <c r="HW253" s="529"/>
      <c r="HX253" s="529"/>
      <c r="HY253" s="529" t="str">
        <f>IFERROR(IF(COUNTIF(Pedidos!$J:$J,HQ$2)&gt;HA253-1,MATCH(HQ$2,Pedidos!$J:$J,0),""),"")</f>
        <v/>
      </c>
      <c r="HZ253" s="529">
        <f>IFERROR(IF(HY253="",0,COUNTIF(Pedidos!$J:$J,Procesos!HQ$2)),"")</f>
        <v>0</v>
      </c>
      <c r="IA253" s="529">
        <v>12</v>
      </c>
      <c r="IB253" s="529"/>
      <c r="IC253" s="529"/>
      <c r="ID253" s="529"/>
      <c r="IE253" s="529"/>
      <c r="IF253" s="529"/>
      <c r="IG253" s="529"/>
      <c r="IH253" s="529"/>
      <c r="II253" s="529"/>
      <c r="IJ253" s="529">
        <v>18</v>
      </c>
      <c r="IK253" s="529">
        <v>19</v>
      </c>
      <c r="IL253" s="529">
        <v>20</v>
      </c>
      <c r="IM253" s="529">
        <v>21</v>
      </c>
      <c r="IN253" s="529">
        <v>22</v>
      </c>
      <c r="IO253" s="529">
        <v>23</v>
      </c>
      <c r="IP253" s="529">
        <v>24</v>
      </c>
      <c r="IQ253" s="529">
        <v>25</v>
      </c>
      <c r="IR253" s="529">
        <v>26</v>
      </c>
      <c r="IS253" s="529">
        <v>27</v>
      </c>
      <c r="IT253" s="529">
        <v>28</v>
      </c>
      <c r="IU253" s="529">
        <v>29</v>
      </c>
      <c r="IV253" s="529">
        <v>30</v>
      </c>
      <c r="IW253" s="529"/>
      <c r="IX253" s="529"/>
      <c r="IY253" s="529" t="str">
        <f>IFERROR(IF(COUNTIF(Pedidos!$J:$J,IQ$2)&gt;IA253-1,MATCH(IQ$2,Pedidos!$J:$J,0),""),"")</f>
        <v/>
      </c>
      <c r="IZ253" s="529">
        <f>IFERROR(IF(IY253="",0,COUNTIF(Pedidos!$J:$J,Procesos!IQ$2)),"")</f>
        <v>0</v>
      </c>
    </row>
    <row r="254" spans="1:260" x14ac:dyDescent="0.25">
      <c r="A254" s="815" t="str">
        <f>IF(Z253&gt;=A253,Q$2 &amp;"     ITEM # "&amp;A253,"")</f>
        <v/>
      </c>
      <c r="B254" s="816"/>
      <c r="C254" s="816"/>
      <c r="D254" s="816"/>
      <c r="E254" s="816"/>
      <c r="F254" s="816"/>
      <c r="G254" s="816"/>
      <c r="H254" s="816"/>
      <c r="I254" s="817"/>
      <c r="J254" s="818" t="str">
        <f>IF(Z253&gt;=A253,$J$6,"")</f>
        <v/>
      </c>
      <c r="K254" s="816"/>
      <c r="L254" s="816"/>
      <c r="M254" s="816"/>
      <c r="N254" s="816"/>
      <c r="O254" s="816"/>
      <c r="P254" s="816"/>
      <c r="Q254" s="816"/>
      <c r="R254" s="816"/>
      <c r="S254" s="816"/>
      <c r="T254" s="816"/>
      <c r="U254" s="816"/>
      <c r="V254" s="816"/>
      <c r="W254" s="816"/>
      <c r="X254" s="816"/>
      <c r="Y254" s="816"/>
      <c r="Z254" s="819"/>
      <c r="AA254" s="815" t="str">
        <f>IF(AZ253&gt;=AA253,AQ$2 &amp;"     ITEM # "&amp;AA253,"")</f>
        <v/>
      </c>
      <c r="AB254" s="816"/>
      <c r="AC254" s="816"/>
      <c r="AD254" s="816"/>
      <c r="AE254" s="816"/>
      <c r="AF254" s="816"/>
      <c r="AG254" s="816"/>
      <c r="AH254" s="816"/>
      <c r="AI254" s="817"/>
      <c r="AJ254" s="818" t="str">
        <f>IF(AZ253&gt;=AA253,$J$6,"")</f>
        <v/>
      </c>
      <c r="AK254" s="816"/>
      <c r="AL254" s="816"/>
      <c r="AM254" s="816"/>
      <c r="AN254" s="816"/>
      <c r="AO254" s="816"/>
      <c r="AP254" s="816"/>
      <c r="AQ254" s="816"/>
      <c r="AR254" s="816"/>
      <c r="AS254" s="816"/>
      <c r="AT254" s="816"/>
      <c r="AU254" s="816"/>
      <c r="AV254" s="816"/>
      <c r="AW254" s="816"/>
      <c r="AX254" s="816"/>
      <c r="AY254" s="816"/>
      <c r="AZ254" s="819"/>
      <c r="BA254" s="815" t="str">
        <f>IF(BZ253&gt;=BA253,BQ$2 &amp;"     ITEM # "&amp;BA253,"")</f>
        <v/>
      </c>
      <c r="BB254" s="816"/>
      <c r="BC254" s="816"/>
      <c r="BD254" s="816"/>
      <c r="BE254" s="816"/>
      <c r="BF254" s="816"/>
      <c r="BG254" s="816"/>
      <c r="BH254" s="816"/>
      <c r="BI254" s="817"/>
      <c r="BJ254" s="818" t="str">
        <f>IF(BZ253&gt;=BA253,$J$6,"")</f>
        <v/>
      </c>
      <c r="BK254" s="816"/>
      <c r="BL254" s="816"/>
      <c r="BM254" s="816"/>
      <c r="BN254" s="816"/>
      <c r="BO254" s="816"/>
      <c r="BP254" s="816"/>
      <c r="BQ254" s="816"/>
      <c r="BR254" s="816"/>
      <c r="BS254" s="816"/>
      <c r="BT254" s="816"/>
      <c r="BU254" s="816"/>
      <c r="BV254" s="816"/>
      <c r="BW254" s="816"/>
      <c r="BX254" s="816"/>
      <c r="BY254" s="816"/>
      <c r="BZ254" s="819"/>
      <c r="CA254" s="815" t="str">
        <f>IF(CZ253&gt;=CA253,CQ$2 &amp;"     ITEM # "&amp;CA253,"")</f>
        <v/>
      </c>
      <c r="CB254" s="816"/>
      <c r="CC254" s="816"/>
      <c r="CD254" s="816"/>
      <c r="CE254" s="816"/>
      <c r="CF254" s="816"/>
      <c r="CG254" s="816"/>
      <c r="CH254" s="816"/>
      <c r="CI254" s="817"/>
      <c r="CJ254" s="818" t="str">
        <f>IF(CZ253&gt;=CA253,$J$6,"")</f>
        <v/>
      </c>
      <c r="CK254" s="816"/>
      <c r="CL254" s="816"/>
      <c r="CM254" s="816"/>
      <c r="CN254" s="816"/>
      <c r="CO254" s="816"/>
      <c r="CP254" s="816"/>
      <c r="CQ254" s="816"/>
      <c r="CR254" s="816"/>
      <c r="CS254" s="816"/>
      <c r="CT254" s="816"/>
      <c r="CU254" s="816"/>
      <c r="CV254" s="816"/>
      <c r="CW254" s="816"/>
      <c r="CX254" s="816"/>
      <c r="CY254" s="816"/>
      <c r="CZ254" s="819"/>
      <c r="DA254" s="815" t="str">
        <f>IF(DZ253&gt;=DA253,DQ$2 &amp;"     ITEM # "&amp;DA253,"")</f>
        <v/>
      </c>
      <c r="DB254" s="816"/>
      <c r="DC254" s="816"/>
      <c r="DD254" s="816"/>
      <c r="DE254" s="816"/>
      <c r="DF254" s="816"/>
      <c r="DG254" s="816"/>
      <c r="DH254" s="816"/>
      <c r="DI254" s="817"/>
      <c r="DJ254" s="818" t="str">
        <f>IF(DZ253&gt;=DA253,$J$6,"")</f>
        <v/>
      </c>
      <c r="DK254" s="816"/>
      <c r="DL254" s="816"/>
      <c r="DM254" s="816"/>
      <c r="DN254" s="816"/>
      <c r="DO254" s="816"/>
      <c r="DP254" s="816"/>
      <c r="DQ254" s="816"/>
      <c r="DR254" s="816"/>
      <c r="DS254" s="816"/>
      <c r="DT254" s="816"/>
      <c r="DU254" s="816"/>
      <c r="DV254" s="816"/>
      <c r="DW254" s="816"/>
      <c r="DX254" s="816"/>
      <c r="DY254" s="816"/>
      <c r="DZ254" s="819"/>
      <c r="EA254" s="815" t="str">
        <f>IF(EZ253&gt;=EA253,EQ$2 &amp;"     ITEM # "&amp;EA253,"")</f>
        <v/>
      </c>
      <c r="EB254" s="816"/>
      <c r="EC254" s="816"/>
      <c r="ED254" s="816"/>
      <c r="EE254" s="816"/>
      <c r="EF254" s="816"/>
      <c r="EG254" s="816"/>
      <c r="EH254" s="816"/>
      <c r="EI254" s="817"/>
      <c r="EJ254" s="818" t="str">
        <f>IF(EZ253&gt;=EA253,$J$6,"")</f>
        <v/>
      </c>
      <c r="EK254" s="816"/>
      <c r="EL254" s="816"/>
      <c r="EM254" s="816"/>
      <c r="EN254" s="816"/>
      <c r="EO254" s="816"/>
      <c r="EP254" s="816"/>
      <c r="EQ254" s="816"/>
      <c r="ER254" s="816"/>
      <c r="ES254" s="816"/>
      <c r="ET254" s="816"/>
      <c r="EU254" s="816"/>
      <c r="EV254" s="816"/>
      <c r="EW254" s="816"/>
      <c r="EX254" s="816"/>
      <c r="EY254" s="816"/>
      <c r="EZ254" s="819"/>
      <c r="FA254" s="815" t="str">
        <f>IF(FZ253&gt;=FA253,FQ$2 &amp;"     ITEM # "&amp;FA253,"")</f>
        <v/>
      </c>
      <c r="FB254" s="816"/>
      <c r="FC254" s="816"/>
      <c r="FD254" s="816"/>
      <c r="FE254" s="816"/>
      <c r="FF254" s="816"/>
      <c r="FG254" s="816"/>
      <c r="FH254" s="816"/>
      <c r="FI254" s="817"/>
      <c r="FJ254" s="818" t="str">
        <f>IF(FZ253&gt;=FA253,$J$6,"")</f>
        <v/>
      </c>
      <c r="FK254" s="816"/>
      <c r="FL254" s="816"/>
      <c r="FM254" s="816"/>
      <c r="FN254" s="816"/>
      <c r="FO254" s="816"/>
      <c r="FP254" s="816"/>
      <c r="FQ254" s="816"/>
      <c r="FR254" s="816"/>
      <c r="FS254" s="816"/>
      <c r="FT254" s="816"/>
      <c r="FU254" s="816"/>
      <c r="FV254" s="816"/>
      <c r="FW254" s="816"/>
      <c r="FX254" s="816"/>
      <c r="FY254" s="816"/>
      <c r="FZ254" s="819"/>
      <c r="GA254" s="815" t="str">
        <f>IF(GZ253&gt;=GA253,GQ$2 &amp;"     ITEM # "&amp;GA253,"")</f>
        <v/>
      </c>
      <c r="GB254" s="816"/>
      <c r="GC254" s="816"/>
      <c r="GD254" s="816"/>
      <c r="GE254" s="816"/>
      <c r="GF254" s="816"/>
      <c r="GG254" s="816"/>
      <c r="GH254" s="816"/>
      <c r="GI254" s="817"/>
      <c r="GJ254" s="818" t="str">
        <f>IF(GZ253&gt;=GA253,$J$6,"")</f>
        <v/>
      </c>
      <c r="GK254" s="816"/>
      <c r="GL254" s="816"/>
      <c r="GM254" s="816"/>
      <c r="GN254" s="816"/>
      <c r="GO254" s="816"/>
      <c r="GP254" s="816"/>
      <c r="GQ254" s="816"/>
      <c r="GR254" s="816"/>
      <c r="GS254" s="816"/>
      <c r="GT254" s="816"/>
      <c r="GU254" s="816"/>
      <c r="GV254" s="816"/>
      <c r="GW254" s="816"/>
      <c r="GX254" s="816"/>
      <c r="GY254" s="816"/>
      <c r="GZ254" s="819"/>
      <c r="HA254" s="815" t="str">
        <f>IF(HZ253&gt;=HA253,HQ$2 &amp;"     ITEM # "&amp;HA253,"")</f>
        <v/>
      </c>
      <c r="HB254" s="816"/>
      <c r="HC254" s="816"/>
      <c r="HD254" s="816"/>
      <c r="HE254" s="816"/>
      <c r="HF254" s="816"/>
      <c r="HG254" s="816"/>
      <c r="HH254" s="816"/>
      <c r="HI254" s="817"/>
      <c r="HJ254" s="818" t="str">
        <f>IF(HZ253&gt;=HA253,$J$6,"")</f>
        <v/>
      </c>
      <c r="HK254" s="816"/>
      <c r="HL254" s="816"/>
      <c r="HM254" s="816"/>
      <c r="HN254" s="816"/>
      <c r="HO254" s="816"/>
      <c r="HP254" s="816"/>
      <c r="HQ254" s="816"/>
      <c r="HR254" s="816"/>
      <c r="HS254" s="816"/>
      <c r="HT254" s="816"/>
      <c r="HU254" s="816"/>
      <c r="HV254" s="816"/>
      <c r="HW254" s="816"/>
      <c r="HX254" s="816"/>
      <c r="HY254" s="816"/>
      <c r="HZ254" s="819"/>
      <c r="IA254" s="815" t="str">
        <f>IF(IZ253&gt;=IA253,IQ$2 &amp;"     ITEM # "&amp;IA253,"")</f>
        <v/>
      </c>
      <c r="IB254" s="816"/>
      <c r="IC254" s="816"/>
      <c r="ID254" s="816"/>
      <c r="IE254" s="816"/>
      <c r="IF254" s="816"/>
      <c r="IG254" s="816"/>
      <c r="IH254" s="816"/>
      <c r="II254" s="817"/>
      <c r="IJ254" s="818" t="str">
        <f>IF(IZ253&gt;=IA253,$J$6,"")</f>
        <v/>
      </c>
      <c r="IK254" s="816"/>
      <c r="IL254" s="816"/>
      <c r="IM254" s="816"/>
      <c r="IN254" s="816"/>
      <c r="IO254" s="816"/>
      <c r="IP254" s="816"/>
      <c r="IQ254" s="816"/>
      <c r="IR254" s="816"/>
      <c r="IS254" s="816"/>
      <c r="IT254" s="816"/>
      <c r="IU254" s="816"/>
      <c r="IV254" s="816"/>
      <c r="IW254" s="816"/>
      <c r="IX254" s="816"/>
      <c r="IY254" s="816"/>
      <c r="IZ254" s="819"/>
    </row>
    <row r="255" spans="1:260" x14ac:dyDescent="0.25">
      <c r="A255" s="848" t="str">
        <f>IFERROR(INDEX(Lista_Pedidos,Procesos!Y253+A253-1,5),"")</f>
        <v/>
      </c>
      <c r="B255" s="843"/>
      <c r="C255" s="843"/>
      <c r="D255" s="843"/>
      <c r="E255" s="843"/>
      <c r="F255" s="843"/>
      <c r="G255" s="843"/>
      <c r="H255" s="843"/>
      <c r="I255" s="844"/>
      <c r="J255" s="842" t="str">
        <f>IF(Z253&gt;=A253,$J$7,"")</f>
        <v/>
      </c>
      <c r="K255" s="843"/>
      <c r="L255" s="844"/>
      <c r="M255" s="842" t="str">
        <f>IF(Z253&gt;=A253,$M$7,"")</f>
        <v/>
      </c>
      <c r="N255" s="843"/>
      <c r="O255" s="844"/>
      <c r="P255" s="842" t="str">
        <f>IF(Z253&gt;=A253,$P$7,"")</f>
        <v/>
      </c>
      <c r="Q255" s="843"/>
      <c r="R255" s="843"/>
      <c r="S255" s="843"/>
      <c r="T255" s="843"/>
      <c r="U255" s="844"/>
      <c r="V255" s="834" t="str">
        <f>IF(Z253&gt;=A253,$V$7,"")</f>
        <v/>
      </c>
      <c r="W255" s="842" t="str">
        <f>IF(Z253&gt;=A253,$W$7,"")</f>
        <v/>
      </c>
      <c r="X255" s="843"/>
      <c r="Y255" s="843"/>
      <c r="Z255" s="850"/>
      <c r="AA255" s="848" t="str">
        <f>IFERROR(INDEX(Lista_Pedidos,Procesos!AY253+AA253-1,5),"")</f>
        <v/>
      </c>
      <c r="AB255" s="843"/>
      <c r="AC255" s="843"/>
      <c r="AD255" s="843"/>
      <c r="AE255" s="843"/>
      <c r="AF255" s="843"/>
      <c r="AG255" s="843"/>
      <c r="AH255" s="843"/>
      <c r="AI255" s="844"/>
      <c r="AJ255" s="842" t="str">
        <f>IF(AZ253&gt;=AA253,$J$7,"")</f>
        <v/>
      </c>
      <c r="AK255" s="843"/>
      <c r="AL255" s="844"/>
      <c r="AM255" s="842" t="str">
        <f>IF(AZ253&gt;=AA253,$M$7,"")</f>
        <v/>
      </c>
      <c r="AN255" s="843"/>
      <c r="AO255" s="844"/>
      <c r="AP255" s="842" t="str">
        <f>IF(AZ253&gt;=AA253,$P$7,"")</f>
        <v/>
      </c>
      <c r="AQ255" s="843"/>
      <c r="AR255" s="843"/>
      <c r="AS255" s="843"/>
      <c r="AT255" s="843"/>
      <c r="AU255" s="844"/>
      <c r="AV255" s="834" t="str">
        <f>IF(AZ253&gt;=AA253,$V$7,"")</f>
        <v/>
      </c>
      <c r="AW255" s="842" t="str">
        <f>IF(AZ253&gt;=AA253,$W$7,"")</f>
        <v/>
      </c>
      <c r="AX255" s="843"/>
      <c r="AY255" s="843"/>
      <c r="AZ255" s="850"/>
      <c r="BA255" s="848" t="str">
        <f>IFERROR(INDEX(Lista_Pedidos,Procesos!BY253+BA253-1,5),"")</f>
        <v/>
      </c>
      <c r="BB255" s="843"/>
      <c r="BC255" s="843"/>
      <c r="BD255" s="843"/>
      <c r="BE255" s="843"/>
      <c r="BF255" s="843"/>
      <c r="BG255" s="843"/>
      <c r="BH255" s="843"/>
      <c r="BI255" s="844"/>
      <c r="BJ255" s="842" t="str">
        <f>IF(BZ253&gt;=BA253,$J$7,"")</f>
        <v/>
      </c>
      <c r="BK255" s="843"/>
      <c r="BL255" s="844"/>
      <c r="BM255" s="842" t="str">
        <f>IF(BZ253&gt;=BA253,$M$7,"")</f>
        <v/>
      </c>
      <c r="BN255" s="843"/>
      <c r="BO255" s="844"/>
      <c r="BP255" s="842" t="str">
        <f>IF(BZ253&gt;=BA253,$P$7,"")</f>
        <v/>
      </c>
      <c r="BQ255" s="843"/>
      <c r="BR255" s="843"/>
      <c r="BS255" s="843"/>
      <c r="BT255" s="843"/>
      <c r="BU255" s="844"/>
      <c r="BV255" s="834" t="str">
        <f>IF(BZ253&gt;=BA253,$V$7,"")</f>
        <v/>
      </c>
      <c r="BW255" s="842" t="str">
        <f>IF(BZ253&gt;=BA253,$W$7,"")</f>
        <v/>
      </c>
      <c r="BX255" s="843"/>
      <c r="BY255" s="843"/>
      <c r="BZ255" s="850"/>
      <c r="CA255" s="848" t="str">
        <f>IFERROR(INDEX(Lista_Pedidos,Procesos!CY253+CA253-1,5),"")</f>
        <v/>
      </c>
      <c r="CB255" s="843"/>
      <c r="CC255" s="843"/>
      <c r="CD255" s="843"/>
      <c r="CE255" s="843"/>
      <c r="CF255" s="843"/>
      <c r="CG255" s="843"/>
      <c r="CH255" s="843"/>
      <c r="CI255" s="844"/>
      <c r="CJ255" s="842" t="str">
        <f>IF(CZ253&gt;=CA253,$J$7,"")</f>
        <v/>
      </c>
      <c r="CK255" s="843"/>
      <c r="CL255" s="844"/>
      <c r="CM255" s="842" t="str">
        <f>IF(CZ253&gt;=CA253,$M$7,"")</f>
        <v/>
      </c>
      <c r="CN255" s="843"/>
      <c r="CO255" s="844"/>
      <c r="CP255" s="842" t="str">
        <f>IF(CZ253&gt;=CA253,$P$7,"")</f>
        <v/>
      </c>
      <c r="CQ255" s="843"/>
      <c r="CR255" s="843"/>
      <c r="CS255" s="843"/>
      <c r="CT255" s="843"/>
      <c r="CU255" s="844"/>
      <c r="CV255" s="834" t="str">
        <f>IF(CZ253&gt;=CA253,$V$7,"")</f>
        <v/>
      </c>
      <c r="CW255" s="842" t="str">
        <f>IF(CZ253&gt;=CA253,$W$7,"")</f>
        <v/>
      </c>
      <c r="CX255" s="843"/>
      <c r="CY255" s="843"/>
      <c r="CZ255" s="850"/>
      <c r="DA255" s="848" t="str">
        <f>IFERROR(INDEX(Lista_Pedidos,Procesos!DY253+DA253-1,5),"")</f>
        <v/>
      </c>
      <c r="DB255" s="843"/>
      <c r="DC255" s="843"/>
      <c r="DD255" s="843"/>
      <c r="DE255" s="843"/>
      <c r="DF255" s="843"/>
      <c r="DG255" s="843"/>
      <c r="DH255" s="843"/>
      <c r="DI255" s="844"/>
      <c r="DJ255" s="842" t="str">
        <f>IF(DZ253&gt;=DA253,$J$7,"")</f>
        <v/>
      </c>
      <c r="DK255" s="843"/>
      <c r="DL255" s="844"/>
      <c r="DM255" s="842" t="str">
        <f>IF(DZ253&gt;=DA253,$M$7,"")</f>
        <v/>
      </c>
      <c r="DN255" s="843"/>
      <c r="DO255" s="844"/>
      <c r="DP255" s="842" t="str">
        <f>IF(DZ253&gt;=DA253,$P$7,"")</f>
        <v/>
      </c>
      <c r="DQ255" s="843"/>
      <c r="DR255" s="843"/>
      <c r="DS255" s="843"/>
      <c r="DT255" s="843"/>
      <c r="DU255" s="844"/>
      <c r="DV255" s="834" t="str">
        <f>IF(DZ253&gt;=DA253,$V$7,"")</f>
        <v/>
      </c>
      <c r="DW255" s="842" t="str">
        <f>IF(DZ253&gt;=DA253,$W$7,"")</f>
        <v/>
      </c>
      <c r="DX255" s="843"/>
      <c r="DY255" s="843"/>
      <c r="DZ255" s="850"/>
      <c r="EA255" s="848" t="str">
        <f>IFERROR(INDEX(Lista_Pedidos,Procesos!EY253+EA253-1,5),"")</f>
        <v/>
      </c>
      <c r="EB255" s="843"/>
      <c r="EC255" s="843"/>
      <c r="ED255" s="843"/>
      <c r="EE255" s="843"/>
      <c r="EF255" s="843"/>
      <c r="EG255" s="843"/>
      <c r="EH255" s="843"/>
      <c r="EI255" s="844"/>
      <c r="EJ255" s="842" t="str">
        <f>IF(EZ253&gt;=EA253,$J$7,"")</f>
        <v/>
      </c>
      <c r="EK255" s="843"/>
      <c r="EL255" s="844"/>
      <c r="EM255" s="842" t="str">
        <f>IF(EZ253&gt;=EA253,$M$7,"")</f>
        <v/>
      </c>
      <c r="EN255" s="843"/>
      <c r="EO255" s="844"/>
      <c r="EP255" s="842" t="str">
        <f>IF(EZ253&gt;=EA253,$P$7,"")</f>
        <v/>
      </c>
      <c r="EQ255" s="843"/>
      <c r="ER255" s="843"/>
      <c r="ES255" s="843"/>
      <c r="ET255" s="843"/>
      <c r="EU255" s="844"/>
      <c r="EV255" s="834" t="str">
        <f>IF(EZ253&gt;=EA253,$V$7,"")</f>
        <v/>
      </c>
      <c r="EW255" s="842" t="str">
        <f>IF(EZ253&gt;=EA253,$W$7,"")</f>
        <v/>
      </c>
      <c r="EX255" s="843"/>
      <c r="EY255" s="843"/>
      <c r="EZ255" s="850"/>
      <c r="FA255" s="848" t="str">
        <f>IFERROR(INDEX(Lista_Pedidos,Procesos!FY253+FA253-1,5),"")</f>
        <v/>
      </c>
      <c r="FB255" s="843"/>
      <c r="FC255" s="843"/>
      <c r="FD255" s="843"/>
      <c r="FE255" s="843"/>
      <c r="FF255" s="843"/>
      <c r="FG255" s="843"/>
      <c r="FH255" s="843"/>
      <c r="FI255" s="844"/>
      <c r="FJ255" s="842" t="str">
        <f>IF(FZ253&gt;=FA253,$J$7,"")</f>
        <v/>
      </c>
      <c r="FK255" s="843"/>
      <c r="FL255" s="844"/>
      <c r="FM255" s="842" t="str">
        <f>IF(FZ253&gt;=FA253,$M$7,"")</f>
        <v/>
      </c>
      <c r="FN255" s="843"/>
      <c r="FO255" s="844"/>
      <c r="FP255" s="842" t="str">
        <f>IF(FZ253&gt;=FA253,$P$7,"")</f>
        <v/>
      </c>
      <c r="FQ255" s="843"/>
      <c r="FR255" s="843"/>
      <c r="FS255" s="843"/>
      <c r="FT255" s="843"/>
      <c r="FU255" s="844"/>
      <c r="FV255" s="834" t="str">
        <f>IF(FZ253&gt;=FA253,$V$7,"")</f>
        <v/>
      </c>
      <c r="FW255" s="842" t="str">
        <f>IF(FZ253&gt;=FA253,$W$7,"")</f>
        <v/>
      </c>
      <c r="FX255" s="843"/>
      <c r="FY255" s="843"/>
      <c r="FZ255" s="850"/>
      <c r="GA255" s="848" t="str">
        <f>IFERROR(INDEX(Lista_Pedidos,Procesos!GY253+GA253-1,5),"")</f>
        <v/>
      </c>
      <c r="GB255" s="843"/>
      <c r="GC255" s="843"/>
      <c r="GD255" s="843"/>
      <c r="GE255" s="843"/>
      <c r="GF255" s="843"/>
      <c r="GG255" s="843"/>
      <c r="GH255" s="843"/>
      <c r="GI255" s="844"/>
      <c r="GJ255" s="842" t="str">
        <f>IF(GZ253&gt;=GA253,$J$7,"")</f>
        <v/>
      </c>
      <c r="GK255" s="843"/>
      <c r="GL255" s="844"/>
      <c r="GM255" s="842" t="str">
        <f>IF(GZ253&gt;=GA253,$M$7,"")</f>
        <v/>
      </c>
      <c r="GN255" s="843"/>
      <c r="GO255" s="844"/>
      <c r="GP255" s="842" t="str">
        <f>IF(GZ253&gt;=GA253,$P$7,"")</f>
        <v/>
      </c>
      <c r="GQ255" s="843"/>
      <c r="GR255" s="843"/>
      <c r="GS255" s="843"/>
      <c r="GT255" s="843"/>
      <c r="GU255" s="844"/>
      <c r="GV255" s="834" t="str">
        <f>IF(GZ253&gt;=GA253,$V$7,"")</f>
        <v/>
      </c>
      <c r="GW255" s="842" t="str">
        <f>IF(GZ253&gt;=GA253,$W$7,"")</f>
        <v/>
      </c>
      <c r="GX255" s="843"/>
      <c r="GY255" s="843"/>
      <c r="GZ255" s="850"/>
      <c r="HA255" s="848" t="str">
        <f>IFERROR(INDEX(Lista_Pedidos,Procesos!HY253+HA253-1,5),"")</f>
        <v/>
      </c>
      <c r="HB255" s="843"/>
      <c r="HC255" s="843"/>
      <c r="HD255" s="843"/>
      <c r="HE255" s="843"/>
      <c r="HF255" s="843"/>
      <c r="HG255" s="843"/>
      <c r="HH255" s="843"/>
      <c r="HI255" s="844"/>
      <c r="HJ255" s="842" t="str">
        <f>IF(HZ253&gt;=HA253,$J$7,"")</f>
        <v/>
      </c>
      <c r="HK255" s="843"/>
      <c r="HL255" s="844"/>
      <c r="HM255" s="842" t="str">
        <f>IF(HZ253&gt;=HA253,$M$7,"")</f>
        <v/>
      </c>
      <c r="HN255" s="843"/>
      <c r="HO255" s="844"/>
      <c r="HP255" s="842" t="str">
        <f>IF(HZ253&gt;=HA253,$P$7,"")</f>
        <v/>
      </c>
      <c r="HQ255" s="843"/>
      <c r="HR255" s="843"/>
      <c r="HS255" s="843"/>
      <c r="HT255" s="843"/>
      <c r="HU255" s="844"/>
      <c r="HV255" s="834" t="str">
        <f>IF(HZ253&gt;=HA253,$V$7,"")</f>
        <v/>
      </c>
      <c r="HW255" s="842" t="str">
        <f>IF(HZ253&gt;=HA253,$W$7,"")</f>
        <v/>
      </c>
      <c r="HX255" s="843"/>
      <c r="HY255" s="843"/>
      <c r="HZ255" s="850"/>
      <c r="IA255" s="848" t="str">
        <f>IFERROR(INDEX(Lista_Pedidos,Procesos!IY253+IA253-1,5),"")</f>
        <v/>
      </c>
      <c r="IB255" s="843"/>
      <c r="IC255" s="843"/>
      <c r="ID255" s="843"/>
      <c r="IE255" s="843"/>
      <c r="IF255" s="843"/>
      <c r="IG255" s="843"/>
      <c r="IH255" s="843"/>
      <c r="II255" s="844"/>
      <c r="IJ255" s="842" t="str">
        <f>IF(IZ253&gt;=IA253,$J$7,"")</f>
        <v/>
      </c>
      <c r="IK255" s="843"/>
      <c r="IL255" s="844"/>
      <c r="IM255" s="842" t="str">
        <f>IF(IZ253&gt;=IA253,$M$7,"")</f>
        <v/>
      </c>
      <c r="IN255" s="843"/>
      <c r="IO255" s="844"/>
      <c r="IP255" s="842" t="str">
        <f>IF(IZ253&gt;=IA253,$P$7,"")</f>
        <v/>
      </c>
      <c r="IQ255" s="843"/>
      <c r="IR255" s="843"/>
      <c r="IS255" s="843"/>
      <c r="IT255" s="843"/>
      <c r="IU255" s="844"/>
      <c r="IV255" s="834" t="str">
        <f>IF(IZ253&gt;=IA253,$V$7,"")</f>
        <v/>
      </c>
      <c r="IW255" s="842" t="str">
        <f>IF(IZ253&gt;=IA253,$W$7,"")</f>
        <v/>
      </c>
      <c r="IX255" s="843"/>
      <c r="IY255" s="843"/>
      <c r="IZ255" s="850"/>
    </row>
    <row r="256" spans="1:260" x14ac:dyDescent="0.25">
      <c r="A256" s="849"/>
      <c r="B256" s="846"/>
      <c r="C256" s="846"/>
      <c r="D256" s="846"/>
      <c r="E256" s="846"/>
      <c r="F256" s="846"/>
      <c r="G256" s="846"/>
      <c r="H256" s="846"/>
      <c r="I256" s="847"/>
      <c r="J256" s="845"/>
      <c r="K256" s="846"/>
      <c r="L256" s="847"/>
      <c r="M256" s="845"/>
      <c r="N256" s="846"/>
      <c r="O256" s="847"/>
      <c r="P256" s="845"/>
      <c r="Q256" s="846"/>
      <c r="R256" s="846"/>
      <c r="S256" s="846"/>
      <c r="T256" s="846"/>
      <c r="U256" s="847"/>
      <c r="V256" s="835"/>
      <c r="W256" s="845"/>
      <c r="X256" s="846"/>
      <c r="Y256" s="846"/>
      <c r="Z256" s="851"/>
      <c r="AA256" s="849"/>
      <c r="AB256" s="846"/>
      <c r="AC256" s="846"/>
      <c r="AD256" s="846"/>
      <c r="AE256" s="846"/>
      <c r="AF256" s="846"/>
      <c r="AG256" s="846"/>
      <c r="AH256" s="846"/>
      <c r="AI256" s="847"/>
      <c r="AJ256" s="845"/>
      <c r="AK256" s="846"/>
      <c r="AL256" s="847"/>
      <c r="AM256" s="845"/>
      <c r="AN256" s="846"/>
      <c r="AO256" s="847"/>
      <c r="AP256" s="845"/>
      <c r="AQ256" s="846"/>
      <c r="AR256" s="846"/>
      <c r="AS256" s="846"/>
      <c r="AT256" s="846"/>
      <c r="AU256" s="847"/>
      <c r="AV256" s="835"/>
      <c r="AW256" s="845"/>
      <c r="AX256" s="846"/>
      <c r="AY256" s="846"/>
      <c r="AZ256" s="851"/>
      <c r="BA256" s="849"/>
      <c r="BB256" s="846"/>
      <c r="BC256" s="846"/>
      <c r="BD256" s="846"/>
      <c r="BE256" s="846"/>
      <c r="BF256" s="846"/>
      <c r="BG256" s="846"/>
      <c r="BH256" s="846"/>
      <c r="BI256" s="847"/>
      <c r="BJ256" s="845"/>
      <c r="BK256" s="846"/>
      <c r="BL256" s="847"/>
      <c r="BM256" s="845"/>
      <c r="BN256" s="846"/>
      <c r="BO256" s="847"/>
      <c r="BP256" s="845"/>
      <c r="BQ256" s="846"/>
      <c r="BR256" s="846"/>
      <c r="BS256" s="846"/>
      <c r="BT256" s="846"/>
      <c r="BU256" s="847"/>
      <c r="BV256" s="835"/>
      <c r="BW256" s="845"/>
      <c r="BX256" s="846"/>
      <c r="BY256" s="846"/>
      <c r="BZ256" s="851"/>
      <c r="CA256" s="849"/>
      <c r="CB256" s="846"/>
      <c r="CC256" s="846"/>
      <c r="CD256" s="846"/>
      <c r="CE256" s="846"/>
      <c r="CF256" s="846"/>
      <c r="CG256" s="846"/>
      <c r="CH256" s="846"/>
      <c r="CI256" s="847"/>
      <c r="CJ256" s="845"/>
      <c r="CK256" s="846"/>
      <c r="CL256" s="847"/>
      <c r="CM256" s="845"/>
      <c r="CN256" s="846"/>
      <c r="CO256" s="847"/>
      <c r="CP256" s="845"/>
      <c r="CQ256" s="846"/>
      <c r="CR256" s="846"/>
      <c r="CS256" s="846"/>
      <c r="CT256" s="846"/>
      <c r="CU256" s="847"/>
      <c r="CV256" s="835"/>
      <c r="CW256" s="845"/>
      <c r="CX256" s="846"/>
      <c r="CY256" s="846"/>
      <c r="CZ256" s="851"/>
      <c r="DA256" s="849"/>
      <c r="DB256" s="846"/>
      <c r="DC256" s="846"/>
      <c r="DD256" s="846"/>
      <c r="DE256" s="846"/>
      <c r="DF256" s="846"/>
      <c r="DG256" s="846"/>
      <c r="DH256" s="846"/>
      <c r="DI256" s="847"/>
      <c r="DJ256" s="845"/>
      <c r="DK256" s="846"/>
      <c r="DL256" s="847"/>
      <c r="DM256" s="845"/>
      <c r="DN256" s="846"/>
      <c r="DO256" s="847"/>
      <c r="DP256" s="845"/>
      <c r="DQ256" s="846"/>
      <c r="DR256" s="846"/>
      <c r="DS256" s="846"/>
      <c r="DT256" s="846"/>
      <c r="DU256" s="847"/>
      <c r="DV256" s="835"/>
      <c r="DW256" s="845"/>
      <c r="DX256" s="846"/>
      <c r="DY256" s="846"/>
      <c r="DZ256" s="851"/>
      <c r="EA256" s="849"/>
      <c r="EB256" s="846"/>
      <c r="EC256" s="846"/>
      <c r="ED256" s="846"/>
      <c r="EE256" s="846"/>
      <c r="EF256" s="846"/>
      <c r="EG256" s="846"/>
      <c r="EH256" s="846"/>
      <c r="EI256" s="847"/>
      <c r="EJ256" s="845"/>
      <c r="EK256" s="846"/>
      <c r="EL256" s="847"/>
      <c r="EM256" s="845"/>
      <c r="EN256" s="846"/>
      <c r="EO256" s="847"/>
      <c r="EP256" s="845"/>
      <c r="EQ256" s="846"/>
      <c r="ER256" s="846"/>
      <c r="ES256" s="846"/>
      <c r="ET256" s="846"/>
      <c r="EU256" s="847"/>
      <c r="EV256" s="835"/>
      <c r="EW256" s="845"/>
      <c r="EX256" s="846"/>
      <c r="EY256" s="846"/>
      <c r="EZ256" s="851"/>
      <c r="FA256" s="849"/>
      <c r="FB256" s="846"/>
      <c r="FC256" s="846"/>
      <c r="FD256" s="846"/>
      <c r="FE256" s="846"/>
      <c r="FF256" s="846"/>
      <c r="FG256" s="846"/>
      <c r="FH256" s="846"/>
      <c r="FI256" s="847"/>
      <c r="FJ256" s="845"/>
      <c r="FK256" s="846"/>
      <c r="FL256" s="847"/>
      <c r="FM256" s="845"/>
      <c r="FN256" s="846"/>
      <c r="FO256" s="847"/>
      <c r="FP256" s="845"/>
      <c r="FQ256" s="846"/>
      <c r="FR256" s="846"/>
      <c r="FS256" s="846"/>
      <c r="FT256" s="846"/>
      <c r="FU256" s="847"/>
      <c r="FV256" s="835"/>
      <c r="FW256" s="845"/>
      <c r="FX256" s="846"/>
      <c r="FY256" s="846"/>
      <c r="FZ256" s="851"/>
      <c r="GA256" s="849"/>
      <c r="GB256" s="846"/>
      <c r="GC256" s="846"/>
      <c r="GD256" s="846"/>
      <c r="GE256" s="846"/>
      <c r="GF256" s="846"/>
      <c r="GG256" s="846"/>
      <c r="GH256" s="846"/>
      <c r="GI256" s="847"/>
      <c r="GJ256" s="845"/>
      <c r="GK256" s="846"/>
      <c r="GL256" s="847"/>
      <c r="GM256" s="845"/>
      <c r="GN256" s="846"/>
      <c r="GO256" s="847"/>
      <c r="GP256" s="845"/>
      <c r="GQ256" s="846"/>
      <c r="GR256" s="846"/>
      <c r="GS256" s="846"/>
      <c r="GT256" s="846"/>
      <c r="GU256" s="847"/>
      <c r="GV256" s="835"/>
      <c r="GW256" s="845"/>
      <c r="GX256" s="846"/>
      <c r="GY256" s="846"/>
      <c r="GZ256" s="851"/>
      <c r="HA256" s="849"/>
      <c r="HB256" s="846"/>
      <c r="HC256" s="846"/>
      <c r="HD256" s="846"/>
      <c r="HE256" s="846"/>
      <c r="HF256" s="846"/>
      <c r="HG256" s="846"/>
      <c r="HH256" s="846"/>
      <c r="HI256" s="847"/>
      <c r="HJ256" s="845"/>
      <c r="HK256" s="846"/>
      <c r="HL256" s="847"/>
      <c r="HM256" s="845"/>
      <c r="HN256" s="846"/>
      <c r="HO256" s="847"/>
      <c r="HP256" s="845"/>
      <c r="HQ256" s="846"/>
      <c r="HR256" s="846"/>
      <c r="HS256" s="846"/>
      <c r="HT256" s="846"/>
      <c r="HU256" s="847"/>
      <c r="HV256" s="835"/>
      <c r="HW256" s="845"/>
      <c r="HX256" s="846"/>
      <c r="HY256" s="846"/>
      <c r="HZ256" s="851"/>
      <c r="IA256" s="849"/>
      <c r="IB256" s="846"/>
      <c r="IC256" s="846"/>
      <c r="ID256" s="846"/>
      <c r="IE256" s="846"/>
      <c r="IF256" s="846"/>
      <c r="IG256" s="846"/>
      <c r="IH256" s="846"/>
      <c r="II256" s="847"/>
      <c r="IJ256" s="845"/>
      <c r="IK256" s="846"/>
      <c r="IL256" s="847"/>
      <c r="IM256" s="845"/>
      <c r="IN256" s="846"/>
      <c r="IO256" s="847"/>
      <c r="IP256" s="845"/>
      <c r="IQ256" s="846"/>
      <c r="IR256" s="846"/>
      <c r="IS256" s="846"/>
      <c r="IT256" s="846"/>
      <c r="IU256" s="847"/>
      <c r="IV256" s="835"/>
      <c r="IW256" s="845"/>
      <c r="IX256" s="846"/>
      <c r="IY256" s="846"/>
      <c r="IZ256" s="851"/>
    </row>
    <row r="257" spans="1:260" ht="15" customHeight="1" x14ac:dyDescent="0.25">
      <c r="A257" s="858" t="str">
        <f>IF(Z253&gt;=A253,$A$9,"")</f>
        <v/>
      </c>
      <c r="B257" s="806"/>
      <c r="C257" s="806"/>
      <c r="D257" s="806"/>
      <c r="E257" s="852"/>
      <c r="F257" s="805" t="str">
        <f>IF(Z253&gt;=A253,$F$9,"")</f>
        <v/>
      </c>
      <c r="G257" s="806"/>
      <c r="H257" s="806"/>
      <c r="I257" s="852"/>
      <c r="J257" s="811" t="str">
        <f>IF(Z253&gt;=A253,$J$9,"")</f>
        <v/>
      </c>
      <c r="K257" s="803" t="str">
        <f>IF(Z253&gt;=A253,$K$9,"")</f>
        <v/>
      </c>
      <c r="L257" s="803" t="str">
        <f>IF(Z253&gt;=A253,$L$9,"")</f>
        <v/>
      </c>
      <c r="M257" s="803" t="str">
        <f>IF(Z253&gt;=A253,$M$9,"")</f>
        <v/>
      </c>
      <c r="N257" s="803" t="str">
        <f>IF(Z253&gt;=A253,$N$9,"")</f>
        <v/>
      </c>
      <c r="O257" s="803" t="str">
        <f>IF(Z253&gt;=A253,$O$9,"")</f>
        <v/>
      </c>
      <c r="P257" s="803" t="str">
        <f>IF(Z253&gt;=A253,$P$9,"")</f>
        <v/>
      </c>
      <c r="Q257" s="803" t="str">
        <f>IF(Z253&gt;=A253,$Q$9,"")</f>
        <v/>
      </c>
      <c r="R257" s="803" t="str">
        <f>IF(Z253&gt;=A253,$R$9,"")</f>
        <v/>
      </c>
      <c r="S257" s="803" t="str">
        <f>IF(Z253&gt;=A253,$S$9,"")</f>
        <v/>
      </c>
      <c r="T257" s="803" t="str">
        <f>IF(Z253&gt;=A253,$T$9,"")</f>
        <v/>
      </c>
      <c r="U257" s="803" t="str">
        <f>IF(Z253&gt;=A253,$U$9,"")</f>
        <v/>
      </c>
      <c r="V257" s="803" t="str">
        <f>IF(Z253&gt;=A253,$V$9,"")</f>
        <v/>
      </c>
      <c r="W257" s="805" t="str">
        <f>IF(Z253&gt;=A253,$W$9,"")</f>
        <v/>
      </c>
      <c r="X257" s="806"/>
      <c r="Y257" s="806"/>
      <c r="Z257" s="807"/>
      <c r="AA257" s="858" t="str">
        <f>IF(AZ253&gt;=AA253,$A$9,"")</f>
        <v/>
      </c>
      <c r="AB257" s="806"/>
      <c r="AC257" s="806"/>
      <c r="AD257" s="806"/>
      <c r="AE257" s="852"/>
      <c r="AF257" s="805" t="str">
        <f>IF(AZ253&gt;=AA253,$F$9,"")</f>
        <v/>
      </c>
      <c r="AG257" s="806"/>
      <c r="AH257" s="806"/>
      <c r="AI257" s="852"/>
      <c r="AJ257" s="811" t="str">
        <f>IF(AZ253&gt;=AA253,$J$9,"")</f>
        <v/>
      </c>
      <c r="AK257" s="803" t="str">
        <f>IF(AZ253&gt;=AA253,$K$9,"")</f>
        <v/>
      </c>
      <c r="AL257" s="803" t="str">
        <f>IF(AZ253&gt;=AA253,$L$9,"")</f>
        <v/>
      </c>
      <c r="AM257" s="803" t="str">
        <f>IF(AZ253&gt;=AA253,$M$9,"")</f>
        <v/>
      </c>
      <c r="AN257" s="803" t="str">
        <f>IF(AZ253&gt;=AA253,$N$9,"")</f>
        <v/>
      </c>
      <c r="AO257" s="803" t="str">
        <f>IF(AZ253&gt;=AA253,$O$9,"")</f>
        <v/>
      </c>
      <c r="AP257" s="803" t="str">
        <f>IF(AZ253&gt;=AA253,$P$9,"")</f>
        <v/>
      </c>
      <c r="AQ257" s="803" t="str">
        <f>IF(AZ253&gt;=AA253,$Q$9,"")</f>
        <v/>
      </c>
      <c r="AR257" s="803" t="str">
        <f>IF(AZ253&gt;=AA253,$R$9,"")</f>
        <v/>
      </c>
      <c r="AS257" s="803" t="str">
        <f>IF(AZ253&gt;=AA253,$S$9,"")</f>
        <v/>
      </c>
      <c r="AT257" s="803" t="str">
        <f>IF(AZ253&gt;=AA253,$T$9,"")</f>
        <v/>
      </c>
      <c r="AU257" s="803" t="str">
        <f>IF(AZ253&gt;=AA253,$U$9,"")</f>
        <v/>
      </c>
      <c r="AV257" s="803" t="str">
        <f>IF(AZ253&gt;=AA253,$V$9,"")</f>
        <v/>
      </c>
      <c r="AW257" s="805" t="str">
        <f>IF(AZ253&gt;=AA253,$W$9,"")</f>
        <v/>
      </c>
      <c r="AX257" s="806"/>
      <c r="AY257" s="806"/>
      <c r="AZ257" s="807"/>
      <c r="BA257" s="858" t="str">
        <f>IF(BZ253&gt;=BA253,$A$9,"")</f>
        <v/>
      </c>
      <c r="BB257" s="806"/>
      <c r="BC257" s="806"/>
      <c r="BD257" s="806"/>
      <c r="BE257" s="852"/>
      <c r="BF257" s="805" t="str">
        <f>IF(BZ253&gt;=BA253,$F$9,"")</f>
        <v/>
      </c>
      <c r="BG257" s="806"/>
      <c r="BH257" s="806"/>
      <c r="BI257" s="852"/>
      <c r="BJ257" s="811" t="str">
        <f>IF(BZ253&gt;=BA253,$J$9,"")</f>
        <v/>
      </c>
      <c r="BK257" s="803" t="str">
        <f>IF(BZ253&gt;=BA253,$K$9,"")</f>
        <v/>
      </c>
      <c r="BL257" s="803" t="str">
        <f>IF(BZ253&gt;=BA253,$L$9,"")</f>
        <v/>
      </c>
      <c r="BM257" s="803" t="str">
        <f>IF(BZ253&gt;=BA253,$M$9,"")</f>
        <v/>
      </c>
      <c r="BN257" s="803" t="str">
        <f>IF(BZ253&gt;=BA253,$N$9,"")</f>
        <v/>
      </c>
      <c r="BO257" s="803" t="str">
        <f>IF(BZ253&gt;=BA253,$O$9,"")</f>
        <v/>
      </c>
      <c r="BP257" s="803" t="str">
        <f>IF(BZ253&gt;=BA253,$P$9,"")</f>
        <v/>
      </c>
      <c r="BQ257" s="803" t="str">
        <f>IF(BZ253&gt;=BA253,$Q$9,"")</f>
        <v/>
      </c>
      <c r="BR257" s="803" t="str">
        <f>IF(BZ253&gt;=BA253,$R$9,"")</f>
        <v/>
      </c>
      <c r="BS257" s="803" t="str">
        <f>IF(BZ253&gt;=BA253,$S$9,"")</f>
        <v/>
      </c>
      <c r="BT257" s="803" t="str">
        <f>IF(BZ253&gt;=BA253,$T$9,"")</f>
        <v/>
      </c>
      <c r="BU257" s="803" t="str">
        <f>IF(BZ253&gt;=BA253,$U$9,"")</f>
        <v/>
      </c>
      <c r="BV257" s="803" t="str">
        <f>IF(BZ253&gt;=BA253,$V$9,"")</f>
        <v/>
      </c>
      <c r="BW257" s="805" t="str">
        <f>IF(BZ253&gt;=BA253,$W$9,"")</f>
        <v/>
      </c>
      <c r="BX257" s="806"/>
      <c r="BY257" s="806"/>
      <c r="BZ257" s="807"/>
      <c r="CA257" s="858" t="str">
        <f>IF(CZ253&gt;=CA253,$A$9,"")</f>
        <v/>
      </c>
      <c r="CB257" s="806"/>
      <c r="CC257" s="806"/>
      <c r="CD257" s="806"/>
      <c r="CE257" s="852"/>
      <c r="CF257" s="805" t="str">
        <f>IF(CZ253&gt;=CA253,$F$9,"")</f>
        <v/>
      </c>
      <c r="CG257" s="806"/>
      <c r="CH257" s="806"/>
      <c r="CI257" s="852"/>
      <c r="CJ257" s="811" t="str">
        <f>IF(CZ253&gt;=CA253,$J$9,"")</f>
        <v/>
      </c>
      <c r="CK257" s="803" t="str">
        <f>IF(CZ253&gt;=CA253,$K$9,"")</f>
        <v/>
      </c>
      <c r="CL257" s="803" t="str">
        <f>IF(CZ253&gt;=CA253,$L$9,"")</f>
        <v/>
      </c>
      <c r="CM257" s="803" t="str">
        <f>IF(CZ253&gt;=CA253,$M$9,"")</f>
        <v/>
      </c>
      <c r="CN257" s="803" t="str">
        <f>IF(CZ253&gt;=CA253,$N$9,"")</f>
        <v/>
      </c>
      <c r="CO257" s="803" t="str">
        <f>IF(CZ253&gt;=CA253,$O$9,"")</f>
        <v/>
      </c>
      <c r="CP257" s="803" t="str">
        <f>IF(CZ253&gt;=CA253,$P$9,"")</f>
        <v/>
      </c>
      <c r="CQ257" s="803" t="str">
        <f>IF(CZ253&gt;=CA253,$Q$9,"")</f>
        <v/>
      </c>
      <c r="CR257" s="803" t="str">
        <f>IF(CZ253&gt;=CA253,$R$9,"")</f>
        <v/>
      </c>
      <c r="CS257" s="803" t="str">
        <f>IF(CZ253&gt;=CA253,$S$9,"")</f>
        <v/>
      </c>
      <c r="CT257" s="803" t="str">
        <f>IF(CZ253&gt;=CA253,$T$9,"")</f>
        <v/>
      </c>
      <c r="CU257" s="803" t="str">
        <f>IF(CZ253&gt;=CA253,$U$9,"")</f>
        <v/>
      </c>
      <c r="CV257" s="803" t="str">
        <f>IF(CZ253&gt;=CA253,$V$9,"")</f>
        <v/>
      </c>
      <c r="CW257" s="805" t="str">
        <f>IF(CZ253&gt;=CA253,$W$9,"")</f>
        <v/>
      </c>
      <c r="CX257" s="806"/>
      <c r="CY257" s="806"/>
      <c r="CZ257" s="807"/>
      <c r="DA257" s="858" t="str">
        <f>IF(DZ253&gt;=DA253,$A$9,"")</f>
        <v/>
      </c>
      <c r="DB257" s="806"/>
      <c r="DC257" s="806"/>
      <c r="DD257" s="806"/>
      <c r="DE257" s="852"/>
      <c r="DF257" s="805" t="str">
        <f>IF(DZ253&gt;=DA253,$F$9,"")</f>
        <v/>
      </c>
      <c r="DG257" s="806"/>
      <c r="DH257" s="806"/>
      <c r="DI257" s="852"/>
      <c r="DJ257" s="811" t="str">
        <f>IF(DZ253&gt;=DA253,$J$9,"")</f>
        <v/>
      </c>
      <c r="DK257" s="803" t="str">
        <f>IF(DZ253&gt;=DA253,$K$9,"")</f>
        <v/>
      </c>
      <c r="DL257" s="803" t="str">
        <f>IF(DZ253&gt;=DA253,$L$9,"")</f>
        <v/>
      </c>
      <c r="DM257" s="803" t="str">
        <f>IF(DZ253&gt;=DA253,$M$9,"")</f>
        <v/>
      </c>
      <c r="DN257" s="803" t="str">
        <f>IF(DZ253&gt;=DA253,$N$9,"")</f>
        <v/>
      </c>
      <c r="DO257" s="803" t="str">
        <f>IF(DZ253&gt;=DA253,$O$9,"")</f>
        <v/>
      </c>
      <c r="DP257" s="803" t="str">
        <f>IF(DZ253&gt;=DA253,$P$9,"")</f>
        <v/>
      </c>
      <c r="DQ257" s="803" t="str">
        <f>IF(DZ253&gt;=DA253,$Q$9,"")</f>
        <v/>
      </c>
      <c r="DR257" s="803" t="str">
        <f>IF(DZ253&gt;=DA253,$R$9,"")</f>
        <v/>
      </c>
      <c r="DS257" s="803" t="str">
        <f>IF(DZ253&gt;=DA253,$S$9,"")</f>
        <v/>
      </c>
      <c r="DT257" s="803" t="str">
        <f>IF(DZ253&gt;=DA253,$T$9,"")</f>
        <v/>
      </c>
      <c r="DU257" s="803" t="str">
        <f>IF(DZ253&gt;=DA253,$U$9,"")</f>
        <v/>
      </c>
      <c r="DV257" s="803" t="str">
        <f>IF(DZ253&gt;=DA253,$V$9,"")</f>
        <v/>
      </c>
      <c r="DW257" s="805" t="str">
        <f>IF(DZ253&gt;=DA253,$W$9,"")</f>
        <v/>
      </c>
      <c r="DX257" s="806"/>
      <c r="DY257" s="806"/>
      <c r="DZ257" s="807"/>
      <c r="EA257" s="858" t="str">
        <f>IF(EZ253&gt;=EA253,$A$9,"")</f>
        <v/>
      </c>
      <c r="EB257" s="806"/>
      <c r="EC257" s="806"/>
      <c r="ED257" s="806"/>
      <c r="EE257" s="852"/>
      <c r="EF257" s="805" t="str">
        <f>IF(EZ253&gt;=EA253,$F$9,"")</f>
        <v/>
      </c>
      <c r="EG257" s="806"/>
      <c r="EH257" s="806"/>
      <c r="EI257" s="852"/>
      <c r="EJ257" s="811" t="str">
        <f>IF(EZ253&gt;=EA253,$J$9,"")</f>
        <v/>
      </c>
      <c r="EK257" s="803" t="str">
        <f>IF(EZ253&gt;=EA253,$K$9,"")</f>
        <v/>
      </c>
      <c r="EL257" s="803" t="str">
        <f>IF(EZ253&gt;=EA253,$L$9,"")</f>
        <v/>
      </c>
      <c r="EM257" s="803" t="str">
        <f>IF(EZ253&gt;=EA253,$M$9,"")</f>
        <v/>
      </c>
      <c r="EN257" s="803" t="str">
        <f>IF(EZ253&gt;=EA253,$N$9,"")</f>
        <v/>
      </c>
      <c r="EO257" s="803" t="str">
        <f>IF(EZ253&gt;=EA253,$O$9,"")</f>
        <v/>
      </c>
      <c r="EP257" s="803" t="str">
        <f>IF(EZ253&gt;=EA253,$P$9,"")</f>
        <v/>
      </c>
      <c r="EQ257" s="803" t="str">
        <f>IF(EZ253&gt;=EA253,$Q$9,"")</f>
        <v/>
      </c>
      <c r="ER257" s="803" t="str">
        <f>IF(EZ253&gt;=EA253,$R$9,"")</f>
        <v/>
      </c>
      <c r="ES257" s="803" t="str">
        <f>IF(EZ253&gt;=EA253,$S$9,"")</f>
        <v/>
      </c>
      <c r="ET257" s="803" t="str">
        <f>IF(EZ253&gt;=EA253,$T$9,"")</f>
        <v/>
      </c>
      <c r="EU257" s="803" t="str">
        <f>IF(EZ253&gt;=EA253,$U$9,"")</f>
        <v/>
      </c>
      <c r="EV257" s="803" t="str">
        <f>IF(EZ253&gt;=EA253,$V$9,"")</f>
        <v/>
      </c>
      <c r="EW257" s="805" t="str">
        <f>IF(EZ253&gt;=EA253,$W$9,"")</f>
        <v/>
      </c>
      <c r="EX257" s="806"/>
      <c r="EY257" s="806"/>
      <c r="EZ257" s="807"/>
      <c r="FA257" s="858" t="str">
        <f>IF(FZ253&gt;=FA253,$A$9,"")</f>
        <v/>
      </c>
      <c r="FB257" s="806"/>
      <c r="FC257" s="806"/>
      <c r="FD257" s="806"/>
      <c r="FE257" s="852"/>
      <c r="FF257" s="805" t="str">
        <f>IF(FZ253&gt;=FA253,$F$9,"")</f>
        <v/>
      </c>
      <c r="FG257" s="806"/>
      <c r="FH257" s="806"/>
      <c r="FI257" s="852"/>
      <c r="FJ257" s="811" t="str">
        <f>IF(FZ253&gt;=FA253,$J$9,"")</f>
        <v/>
      </c>
      <c r="FK257" s="803" t="str">
        <f>IF(FZ253&gt;=FA253,$K$9,"")</f>
        <v/>
      </c>
      <c r="FL257" s="803" t="str">
        <f>IF(FZ253&gt;=FA253,$L$9,"")</f>
        <v/>
      </c>
      <c r="FM257" s="803" t="str">
        <f>IF(FZ253&gt;=FA253,$M$9,"")</f>
        <v/>
      </c>
      <c r="FN257" s="803" t="str">
        <f>IF(FZ253&gt;=FA253,$N$9,"")</f>
        <v/>
      </c>
      <c r="FO257" s="803" t="str">
        <f>IF(FZ253&gt;=FA253,$O$9,"")</f>
        <v/>
      </c>
      <c r="FP257" s="803" t="str">
        <f>IF(FZ253&gt;=FA253,$P$9,"")</f>
        <v/>
      </c>
      <c r="FQ257" s="803" t="str">
        <f>IF(FZ253&gt;=FA253,$Q$9,"")</f>
        <v/>
      </c>
      <c r="FR257" s="803" t="str">
        <f>IF(FZ253&gt;=FA253,$R$9,"")</f>
        <v/>
      </c>
      <c r="FS257" s="803" t="str">
        <f>IF(FZ253&gt;=FA253,$S$9,"")</f>
        <v/>
      </c>
      <c r="FT257" s="803" t="str">
        <f>IF(FZ253&gt;=FA253,$T$9,"")</f>
        <v/>
      </c>
      <c r="FU257" s="803" t="str">
        <f>IF(FZ253&gt;=FA253,$U$9,"")</f>
        <v/>
      </c>
      <c r="FV257" s="803" t="str">
        <f>IF(FZ253&gt;=FA253,$V$9,"")</f>
        <v/>
      </c>
      <c r="FW257" s="805" t="str">
        <f>IF(FZ253&gt;=FA253,$W$9,"")</f>
        <v/>
      </c>
      <c r="FX257" s="806"/>
      <c r="FY257" s="806"/>
      <c r="FZ257" s="807"/>
      <c r="GA257" s="858" t="str">
        <f>IF(GZ253&gt;=GA253,$A$9,"")</f>
        <v/>
      </c>
      <c r="GB257" s="806"/>
      <c r="GC257" s="806"/>
      <c r="GD257" s="806"/>
      <c r="GE257" s="852"/>
      <c r="GF257" s="805" t="str">
        <f>IF(GZ253&gt;=GA253,$F$9,"")</f>
        <v/>
      </c>
      <c r="GG257" s="806"/>
      <c r="GH257" s="806"/>
      <c r="GI257" s="852"/>
      <c r="GJ257" s="811" t="str">
        <f>IF(GZ253&gt;=GA253,$J$9,"")</f>
        <v/>
      </c>
      <c r="GK257" s="803" t="str">
        <f>IF(GZ253&gt;=GA253,$K$9,"")</f>
        <v/>
      </c>
      <c r="GL257" s="803" t="str">
        <f>IF(GZ253&gt;=GA253,$L$9,"")</f>
        <v/>
      </c>
      <c r="GM257" s="803" t="str">
        <f>IF(GZ253&gt;=GA253,$M$9,"")</f>
        <v/>
      </c>
      <c r="GN257" s="803" t="str">
        <f>IF(GZ253&gt;=GA253,$N$9,"")</f>
        <v/>
      </c>
      <c r="GO257" s="803" t="str">
        <f>IF(GZ253&gt;=GA253,$O$9,"")</f>
        <v/>
      </c>
      <c r="GP257" s="803" t="str">
        <f>IF(GZ253&gt;=GA253,$P$9,"")</f>
        <v/>
      </c>
      <c r="GQ257" s="803" t="str">
        <f>IF(GZ253&gt;=GA253,$Q$9,"")</f>
        <v/>
      </c>
      <c r="GR257" s="803" t="str">
        <f>IF(GZ253&gt;=GA253,$R$9,"")</f>
        <v/>
      </c>
      <c r="GS257" s="803" t="str">
        <f>IF(GZ253&gt;=GA253,$S$9,"")</f>
        <v/>
      </c>
      <c r="GT257" s="803" t="str">
        <f>IF(GZ253&gt;=GA253,$T$9,"")</f>
        <v/>
      </c>
      <c r="GU257" s="803" t="str">
        <f>IF(GZ253&gt;=GA253,$U$9,"")</f>
        <v/>
      </c>
      <c r="GV257" s="803" t="str">
        <f>IF(GZ253&gt;=GA253,$V$9,"")</f>
        <v/>
      </c>
      <c r="GW257" s="805" t="str">
        <f>IF(GZ253&gt;=GA253,$W$9,"")</f>
        <v/>
      </c>
      <c r="GX257" s="806"/>
      <c r="GY257" s="806"/>
      <c r="GZ257" s="807"/>
      <c r="HA257" s="858" t="str">
        <f>IF(HZ253&gt;=HA253,$A$9,"")</f>
        <v/>
      </c>
      <c r="HB257" s="806"/>
      <c r="HC257" s="806"/>
      <c r="HD257" s="806"/>
      <c r="HE257" s="852"/>
      <c r="HF257" s="805" t="str">
        <f>IF(HZ253&gt;=HA253,$F$9,"")</f>
        <v/>
      </c>
      <c r="HG257" s="806"/>
      <c r="HH257" s="806"/>
      <c r="HI257" s="852"/>
      <c r="HJ257" s="811" t="str">
        <f>IF(HZ253&gt;=HA253,$J$9,"")</f>
        <v/>
      </c>
      <c r="HK257" s="803" t="str">
        <f>IF(HZ253&gt;=HA253,$K$9,"")</f>
        <v/>
      </c>
      <c r="HL257" s="803" t="str">
        <f>IF(HZ253&gt;=HA253,$L$9,"")</f>
        <v/>
      </c>
      <c r="HM257" s="803" t="str">
        <f>IF(HZ253&gt;=HA253,$M$9,"")</f>
        <v/>
      </c>
      <c r="HN257" s="803" t="str">
        <f>IF(HZ253&gt;=HA253,$N$9,"")</f>
        <v/>
      </c>
      <c r="HO257" s="803" t="str">
        <f>IF(HZ253&gt;=HA253,$O$9,"")</f>
        <v/>
      </c>
      <c r="HP257" s="803" t="str">
        <f>IF(HZ253&gt;=HA253,$P$9,"")</f>
        <v/>
      </c>
      <c r="HQ257" s="803" t="str">
        <f>IF(HZ253&gt;=HA253,$Q$9,"")</f>
        <v/>
      </c>
      <c r="HR257" s="803" t="str">
        <f>IF(HZ253&gt;=HA253,$R$9,"")</f>
        <v/>
      </c>
      <c r="HS257" s="803" t="str">
        <f>IF(HZ253&gt;=HA253,$S$9,"")</f>
        <v/>
      </c>
      <c r="HT257" s="803" t="str">
        <f>IF(HZ253&gt;=HA253,$T$9,"")</f>
        <v/>
      </c>
      <c r="HU257" s="803" t="str">
        <f>IF(HZ253&gt;=HA253,$U$9,"")</f>
        <v/>
      </c>
      <c r="HV257" s="803" t="str">
        <f>IF(HZ253&gt;=HA253,$V$9,"")</f>
        <v/>
      </c>
      <c r="HW257" s="805" t="str">
        <f>IF(HZ253&gt;=HA253,$W$9,"")</f>
        <v/>
      </c>
      <c r="HX257" s="806"/>
      <c r="HY257" s="806"/>
      <c r="HZ257" s="807"/>
      <c r="IA257" s="858" t="str">
        <f>IF(IZ253&gt;=IA253,$A$9,"")</f>
        <v/>
      </c>
      <c r="IB257" s="806"/>
      <c r="IC257" s="806"/>
      <c r="ID257" s="806"/>
      <c r="IE257" s="852"/>
      <c r="IF257" s="805" t="str">
        <f>IF(IZ253&gt;=IA253,$F$9,"")</f>
        <v/>
      </c>
      <c r="IG257" s="806"/>
      <c r="IH257" s="806"/>
      <c r="II257" s="852"/>
      <c r="IJ257" s="811" t="str">
        <f>IF(IZ253&gt;=IA253,$J$9,"")</f>
        <v/>
      </c>
      <c r="IK257" s="803" t="str">
        <f>IF(IZ253&gt;=IA253,$K$9,"")</f>
        <v/>
      </c>
      <c r="IL257" s="803" t="str">
        <f>IF(IZ253&gt;=IA253,$L$9,"")</f>
        <v/>
      </c>
      <c r="IM257" s="803" t="str">
        <f>IF(IZ253&gt;=IA253,$M$9,"")</f>
        <v/>
      </c>
      <c r="IN257" s="803" t="str">
        <f>IF(IZ253&gt;=IA253,$N$9,"")</f>
        <v/>
      </c>
      <c r="IO257" s="803" t="str">
        <f>IF(IZ253&gt;=IA253,$O$9,"")</f>
        <v/>
      </c>
      <c r="IP257" s="803" t="str">
        <f>IF(IZ253&gt;=IA253,$P$9,"")</f>
        <v/>
      </c>
      <c r="IQ257" s="803" t="str">
        <f>IF(IZ253&gt;=IA253,$Q$9,"")</f>
        <v/>
      </c>
      <c r="IR257" s="803" t="str">
        <f>IF(IZ253&gt;=IA253,$R$9,"")</f>
        <v/>
      </c>
      <c r="IS257" s="803" t="str">
        <f>IF(IZ253&gt;=IA253,$S$9,"")</f>
        <v/>
      </c>
      <c r="IT257" s="803" t="str">
        <f>IF(IZ253&gt;=IA253,$T$9,"")</f>
        <v/>
      </c>
      <c r="IU257" s="803" t="str">
        <f>IF(IZ253&gt;=IA253,$U$9,"")</f>
        <v/>
      </c>
      <c r="IV257" s="803" t="str">
        <f>IF(IZ253&gt;=IA253,$V$9,"")</f>
        <v/>
      </c>
      <c r="IW257" s="805" t="str">
        <f>IF(IZ253&gt;=IA253,$W$9,"")</f>
        <v/>
      </c>
      <c r="IX257" s="806"/>
      <c r="IY257" s="806"/>
      <c r="IZ257" s="807"/>
    </row>
    <row r="258" spans="1:260" x14ac:dyDescent="0.25">
      <c r="A258" s="859"/>
      <c r="B258" s="809"/>
      <c r="C258" s="809"/>
      <c r="D258" s="809"/>
      <c r="E258" s="853"/>
      <c r="F258" s="808"/>
      <c r="G258" s="809"/>
      <c r="H258" s="809"/>
      <c r="I258" s="853"/>
      <c r="J258" s="812"/>
      <c r="K258" s="804"/>
      <c r="L258" s="804"/>
      <c r="M258" s="804"/>
      <c r="N258" s="804"/>
      <c r="O258" s="804"/>
      <c r="P258" s="804"/>
      <c r="Q258" s="804"/>
      <c r="R258" s="804"/>
      <c r="S258" s="804"/>
      <c r="T258" s="804"/>
      <c r="U258" s="804"/>
      <c r="V258" s="804"/>
      <c r="W258" s="808"/>
      <c r="X258" s="809"/>
      <c r="Y258" s="809"/>
      <c r="Z258" s="810"/>
      <c r="AA258" s="859"/>
      <c r="AB258" s="809"/>
      <c r="AC258" s="809"/>
      <c r="AD258" s="809"/>
      <c r="AE258" s="853"/>
      <c r="AF258" s="808"/>
      <c r="AG258" s="809"/>
      <c r="AH258" s="809"/>
      <c r="AI258" s="853"/>
      <c r="AJ258" s="812"/>
      <c r="AK258" s="804"/>
      <c r="AL258" s="804"/>
      <c r="AM258" s="804"/>
      <c r="AN258" s="804"/>
      <c r="AO258" s="804"/>
      <c r="AP258" s="804"/>
      <c r="AQ258" s="804"/>
      <c r="AR258" s="804"/>
      <c r="AS258" s="804"/>
      <c r="AT258" s="804"/>
      <c r="AU258" s="804"/>
      <c r="AV258" s="804"/>
      <c r="AW258" s="808"/>
      <c r="AX258" s="809"/>
      <c r="AY258" s="809"/>
      <c r="AZ258" s="810"/>
      <c r="BA258" s="859"/>
      <c r="BB258" s="809"/>
      <c r="BC258" s="809"/>
      <c r="BD258" s="809"/>
      <c r="BE258" s="853"/>
      <c r="BF258" s="808"/>
      <c r="BG258" s="809"/>
      <c r="BH258" s="809"/>
      <c r="BI258" s="853"/>
      <c r="BJ258" s="812"/>
      <c r="BK258" s="804"/>
      <c r="BL258" s="804"/>
      <c r="BM258" s="804"/>
      <c r="BN258" s="804"/>
      <c r="BO258" s="804"/>
      <c r="BP258" s="804"/>
      <c r="BQ258" s="804"/>
      <c r="BR258" s="804"/>
      <c r="BS258" s="804"/>
      <c r="BT258" s="804"/>
      <c r="BU258" s="804"/>
      <c r="BV258" s="804"/>
      <c r="BW258" s="808"/>
      <c r="BX258" s="809"/>
      <c r="BY258" s="809"/>
      <c r="BZ258" s="810"/>
      <c r="CA258" s="859"/>
      <c r="CB258" s="809"/>
      <c r="CC258" s="809"/>
      <c r="CD258" s="809"/>
      <c r="CE258" s="853"/>
      <c r="CF258" s="808"/>
      <c r="CG258" s="809"/>
      <c r="CH258" s="809"/>
      <c r="CI258" s="853"/>
      <c r="CJ258" s="812"/>
      <c r="CK258" s="804"/>
      <c r="CL258" s="804"/>
      <c r="CM258" s="804"/>
      <c r="CN258" s="804"/>
      <c r="CO258" s="804"/>
      <c r="CP258" s="804"/>
      <c r="CQ258" s="804"/>
      <c r="CR258" s="804"/>
      <c r="CS258" s="804"/>
      <c r="CT258" s="804"/>
      <c r="CU258" s="804"/>
      <c r="CV258" s="804"/>
      <c r="CW258" s="808"/>
      <c r="CX258" s="809"/>
      <c r="CY258" s="809"/>
      <c r="CZ258" s="810"/>
      <c r="DA258" s="859"/>
      <c r="DB258" s="809"/>
      <c r="DC258" s="809"/>
      <c r="DD258" s="809"/>
      <c r="DE258" s="853"/>
      <c r="DF258" s="808"/>
      <c r="DG258" s="809"/>
      <c r="DH258" s="809"/>
      <c r="DI258" s="853"/>
      <c r="DJ258" s="812"/>
      <c r="DK258" s="804"/>
      <c r="DL258" s="804"/>
      <c r="DM258" s="804"/>
      <c r="DN258" s="804"/>
      <c r="DO258" s="804"/>
      <c r="DP258" s="804"/>
      <c r="DQ258" s="804"/>
      <c r="DR258" s="804"/>
      <c r="DS258" s="804"/>
      <c r="DT258" s="804"/>
      <c r="DU258" s="804"/>
      <c r="DV258" s="804"/>
      <c r="DW258" s="808"/>
      <c r="DX258" s="809"/>
      <c r="DY258" s="809"/>
      <c r="DZ258" s="810"/>
      <c r="EA258" s="859"/>
      <c r="EB258" s="809"/>
      <c r="EC258" s="809"/>
      <c r="ED258" s="809"/>
      <c r="EE258" s="853"/>
      <c r="EF258" s="808"/>
      <c r="EG258" s="809"/>
      <c r="EH258" s="809"/>
      <c r="EI258" s="853"/>
      <c r="EJ258" s="812"/>
      <c r="EK258" s="804"/>
      <c r="EL258" s="804"/>
      <c r="EM258" s="804"/>
      <c r="EN258" s="804"/>
      <c r="EO258" s="804"/>
      <c r="EP258" s="804"/>
      <c r="EQ258" s="804"/>
      <c r="ER258" s="804"/>
      <c r="ES258" s="804"/>
      <c r="ET258" s="804"/>
      <c r="EU258" s="804"/>
      <c r="EV258" s="804"/>
      <c r="EW258" s="808"/>
      <c r="EX258" s="809"/>
      <c r="EY258" s="809"/>
      <c r="EZ258" s="810"/>
      <c r="FA258" s="859"/>
      <c r="FB258" s="809"/>
      <c r="FC258" s="809"/>
      <c r="FD258" s="809"/>
      <c r="FE258" s="853"/>
      <c r="FF258" s="808"/>
      <c r="FG258" s="809"/>
      <c r="FH258" s="809"/>
      <c r="FI258" s="853"/>
      <c r="FJ258" s="812"/>
      <c r="FK258" s="804"/>
      <c r="FL258" s="804"/>
      <c r="FM258" s="804"/>
      <c r="FN258" s="804"/>
      <c r="FO258" s="804"/>
      <c r="FP258" s="804"/>
      <c r="FQ258" s="804"/>
      <c r="FR258" s="804"/>
      <c r="FS258" s="804"/>
      <c r="FT258" s="804"/>
      <c r="FU258" s="804"/>
      <c r="FV258" s="804"/>
      <c r="FW258" s="808"/>
      <c r="FX258" s="809"/>
      <c r="FY258" s="809"/>
      <c r="FZ258" s="810"/>
      <c r="GA258" s="859"/>
      <c r="GB258" s="809"/>
      <c r="GC258" s="809"/>
      <c r="GD258" s="809"/>
      <c r="GE258" s="853"/>
      <c r="GF258" s="808"/>
      <c r="GG258" s="809"/>
      <c r="GH258" s="809"/>
      <c r="GI258" s="853"/>
      <c r="GJ258" s="812"/>
      <c r="GK258" s="804"/>
      <c r="GL258" s="804"/>
      <c r="GM258" s="804"/>
      <c r="GN258" s="804"/>
      <c r="GO258" s="804"/>
      <c r="GP258" s="804"/>
      <c r="GQ258" s="804"/>
      <c r="GR258" s="804"/>
      <c r="GS258" s="804"/>
      <c r="GT258" s="804"/>
      <c r="GU258" s="804"/>
      <c r="GV258" s="804"/>
      <c r="GW258" s="808"/>
      <c r="GX258" s="809"/>
      <c r="GY258" s="809"/>
      <c r="GZ258" s="810"/>
      <c r="HA258" s="859"/>
      <c r="HB258" s="809"/>
      <c r="HC258" s="809"/>
      <c r="HD258" s="809"/>
      <c r="HE258" s="853"/>
      <c r="HF258" s="808"/>
      <c r="HG258" s="809"/>
      <c r="HH258" s="809"/>
      <c r="HI258" s="853"/>
      <c r="HJ258" s="812"/>
      <c r="HK258" s="804"/>
      <c r="HL258" s="804"/>
      <c r="HM258" s="804"/>
      <c r="HN258" s="804"/>
      <c r="HO258" s="804"/>
      <c r="HP258" s="804"/>
      <c r="HQ258" s="804"/>
      <c r="HR258" s="804"/>
      <c r="HS258" s="804"/>
      <c r="HT258" s="804"/>
      <c r="HU258" s="804"/>
      <c r="HV258" s="804"/>
      <c r="HW258" s="808"/>
      <c r="HX258" s="809"/>
      <c r="HY258" s="809"/>
      <c r="HZ258" s="810"/>
      <c r="IA258" s="859"/>
      <c r="IB258" s="809"/>
      <c r="IC258" s="809"/>
      <c r="ID258" s="809"/>
      <c r="IE258" s="853"/>
      <c r="IF258" s="808"/>
      <c r="IG258" s="809"/>
      <c r="IH258" s="809"/>
      <c r="II258" s="853"/>
      <c r="IJ258" s="812"/>
      <c r="IK258" s="804"/>
      <c r="IL258" s="804"/>
      <c r="IM258" s="804"/>
      <c r="IN258" s="804"/>
      <c r="IO258" s="804"/>
      <c r="IP258" s="804"/>
      <c r="IQ258" s="804"/>
      <c r="IR258" s="804"/>
      <c r="IS258" s="804"/>
      <c r="IT258" s="804"/>
      <c r="IU258" s="804"/>
      <c r="IV258" s="804"/>
      <c r="IW258" s="808"/>
      <c r="IX258" s="809"/>
      <c r="IY258" s="809"/>
      <c r="IZ258" s="810"/>
    </row>
    <row r="259" spans="1:260" ht="15" customHeight="1" x14ac:dyDescent="0.25">
      <c r="A259" s="854" t="str">
        <f>IFERROR(INDEX(Lista_Pedidos,Procesos!Y253+A253-1,3),"")</f>
        <v/>
      </c>
      <c r="B259" s="855"/>
      <c r="C259" s="855"/>
      <c r="D259" s="855"/>
      <c r="E259" s="856"/>
      <c r="F259" s="857" t="str">
        <f>IF(Z253&gt;A253-1,E$11,"")</f>
        <v/>
      </c>
      <c r="G259" s="855"/>
      <c r="H259" s="855"/>
      <c r="I259" s="856"/>
      <c r="J259" s="526" t="str">
        <f>IFERROR(IF(IF(Z253&gt;A253-1,INDEX(Lista_Pedidos,Y253+A253-1,J253),"")=0,"",IF(Z253&gt;A253-1,INDEX(Lista_Pedidos,Y253+A253-1,J253),"")),"")</f>
        <v/>
      </c>
      <c r="K259" s="526" t="str">
        <f>IFERROR(IF(IF(Z253&gt;A253-1,INDEX(Lista_Pedidos,Y253+A253-1,K253),"")=0,"",IF(Z253&gt;A253-1,INDEX(Lista_Pedidos,Y253+A253-1,K253),"")),"")</f>
        <v/>
      </c>
      <c r="L259" s="526" t="str">
        <f>IFERROR(IF(IF(Z253&gt;A253-1,INDEX(Lista_Pedidos,Y253+A253-1,L253),"")=0,"",IF(Z253&gt;A253-1,INDEX(Lista_Pedidos,Y253+A253-1,L253),"")),"")</f>
        <v/>
      </c>
      <c r="M259" s="526" t="str">
        <f>IFERROR(IF(IF(Z253&gt;A253-1,INDEX(Lista_Pedidos,Y253+A253-1,M253),"")=0,"",IF(Z253&gt;A253-1,INDEX(Lista_Pedidos,Y253+A253-1,M253),"")),"")</f>
        <v/>
      </c>
      <c r="N259" s="526" t="str">
        <f>IFERROR(IF(IF(Z253&gt;A253-1,INDEX(Lista_Pedidos,Y253+A253-1,N253),"")=0,"",IF(Z253&gt;A253-1,INDEX(Lista_Pedidos,Y253+A253-1,N253),"")),"")</f>
        <v/>
      </c>
      <c r="O259" s="526" t="str">
        <f>IFERROR(IF(IF(Z253&gt;A253-1,INDEX(Lista_Pedidos,Y253+A253-1,O253),"")=0,"",IF(Z253&gt;A253-1,INDEX(Lista_Pedidos,Y253+A253-1,O253),"")),"")</f>
        <v/>
      </c>
      <c r="P259" s="526" t="str">
        <f>IFERROR(IF(IF(Z253&gt;A253-1,INDEX(Lista_Pedidos,Y253+A253-1,P253),"")=0,"",IF(Z253&gt;A253-1,INDEX(Lista_Pedidos,Y253+A253-1,P253),"")),"")</f>
        <v/>
      </c>
      <c r="Q259" s="526" t="str">
        <f>IFERROR(IF(IF(Z253&gt;A253-1,INDEX(Lista_Pedidos,Y253+A253-1,Q253),"")=0,"",IF(Z253&gt;A253-1,INDEX(Lista_Pedidos,Y253+A253-1,Q253),"")),"")</f>
        <v/>
      </c>
      <c r="R259" s="526" t="str">
        <f>IFERROR(IF(IF(Z253&gt;A253-1,INDEX(Lista_Pedidos,Y253+A253-1,R253),"")=0,"",IF(Z253&gt;A253-1,INDEX(Lista_Pedidos,Y253+A253-1,R253),"")),"")</f>
        <v/>
      </c>
      <c r="S259" s="526" t="str">
        <f>IFERROR(IF(IF(Z253&gt;A253-1,INDEX(Lista_Pedidos,Y253+A253-1,S253),"")=0,"",IF(Z253&gt;A253-1,INDEX(Lista_Pedidos,Y253+A253-1,S253),"")),"")</f>
        <v/>
      </c>
      <c r="T259" s="526" t="str">
        <f>IFERROR(IF(IF(Z253&gt;A253-1,INDEX(Lista_Pedidos,Y253+A253-1,T253),"")=0,"",IF(Z253&gt;A253-1,INDEX(Lista_Pedidos,Y253+A253-1,T253),"")),"")</f>
        <v/>
      </c>
      <c r="U259" s="526" t="str">
        <f>IFERROR(IF(IF(Z253&gt;A253-1,INDEX(Lista_Pedidos,Y253+A253-1,U253),"")=0,"",IF(Z253&gt;A253-1,INDEX(Lista_Pedidos,Y253+A253-1,U253),"")),"")</f>
        <v/>
      </c>
      <c r="V259" s="526" t="str">
        <f>IFERROR(IF(IF(Z253&gt;A253-1,INDEX(Lista_Pedidos,Y253+A253-1,V253),"")=0,"",IF(Z253&gt;A253-1,INDEX(Lista_Pedidos,Y253+A253-1,V253),"")),"")</f>
        <v/>
      </c>
      <c r="W259" s="857" t="str">
        <f>IF(SUM(J259:V259)&gt;1,SUM(J259:V259),"")</f>
        <v/>
      </c>
      <c r="X259" s="855"/>
      <c r="Y259" s="855"/>
      <c r="Z259" s="860"/>
      <c r="AA259" s="854" t="str">
        <f>IFERROR(INDEX(Lista_Pedidos,Procesos!AY253+AA253-1,3),"")</f>
        <v/>
      </c>
      <c r="AB259" s="855"/>
      <c r="AC259" s="855"/>
      <c r="AD259" s="855"/>
      <c r="AE259" s="856"/>
      <c r="AF259" s="857" t="str">
        <f>IF(AZ253&gt;AA253-1,AE$11,"")</f>
        <v/>
      </c>
      <c r="AG259" s="855"/>
      <c r="AH259" s="855"/>
      <c r="AI259" s="856"/>
      <c r="AJ259" s="526" t="str">
        <f>IFERROR(IF(IF(AZ253&gt;AA253-1,INDEX(Lista_Pedidos,AY253+AA253-1,AJ253),"")=0,"",IF(AZ253&gt;AA253-1,INDEX(Lista_Pedidos,AY253+AA253-1,AJ253),"")),"")</f>
        <v/>
      </c>
      <c r="AK259" s="526" t="str">
        <f>IFERROR(IF(IF(AZ253&gt;AA253-1,INDEX(Lista_Pedidos,AY253+AA253-1,AK253),"")=0,"",IF(AZ253&gt;AA253-1,INDEX(Lista_Pedidos,AY253+AA253-1,AK253),"")),"")</f>
        <v/>
      </c>
      <c r="AL259" s="526" t="str">
        <f>IFERROR(IF(IF(AZ253&gt;AA253-1,INDEX(Lista_Pedidos,AY253+AA253-1,AL253),"")=0,"",IF(AZ253&gt;AA253-1,INDEX(Lista_Pedidos,AY253+AA253-1,AL253),"")),"")</f>
        <v/>
      </c>
      <c r="AM259" s="526" t="str">
        <f>IFERROR(IF(IF(AZ253&gt;AA253-1,INDEX(Lista_Pedidos,AY253+AA253-1,AM253),"")=0,"",IF(AZ253&gt;AA253-1,INDEX(Lista_Pedidos,AY253+AA253-1,AM253),"")),"")</f>
        <v/>
      </c>
      <c r="AN259" s="526" t="str">
        <f>IFERROR(IF(IF(AZ253&gt;AA253-1,INDEX(Lista_Pedidos,AY253+AA253-1,AN253),"")=0,"",IF(AZ253&gt;AA253-1,INDEX(Lista_Pedidos,AY253+AA253-1,AN253),"")),"")</f>
        <v/>
      </c>
      <c r="AO259" s="526" t="str">
        <f>IFERROR(IF(IF(AZ253&gt;AA253-1,INDEX(Lista_Pedidos,AY253+AA253-1,AO253),"")=0,"",IF(AZ253&gt;AA253-1,INDEX(Lista_Pedidos,AY253+AA253-1,AO253),"")),"")</f>
        <v/>
      </c>
      <c r="AP259" s="526" t="str">
        <f>IFERROR(IF(IF(AZ253&gt;AA253-1,INDEX(Lista_Pedidos,AY253+AA253-1,AP253),"")=0,"",IF(AZ253&gt;AA253-1,INDEX(Lista_Pedidos,AY253+AA253-1,AP253),"")),"")</f>
        <v/>
      </c>
      <c r="AQ259" s="526" t="str">
        <f>IFERROR(IF(IF(AZ253&gt;AA253-1,INDEX(Lista_Pedidos,AY253+AA253-1,AQ253),"")=0,"",IF(AZ253&gt;AA253-1,INDEX(Lista_Pedidos,AY253+AA253-1,AQ253),"")),"")</f>
        <v/>
      </c>
      <c r="AR259" s="526" t="str">
        <f>IFERROR(IF(IF(AZ253&gt;AA253-1,INDEX(Lista_Pedidos,AY253+AA253-1,AR253),"")=0,"",IF(AZ253&gt;AA253-1,INDEX(Lista_Pedidos,AY253+AA253-1,AR253),"")),"")</f>
        <v/>
      </c>
      <c r="AS259" s="526" t="str">
        <f>IFERROR(IF(IF(AZ253&gt;AA253-1,INDEX(Lista_Pedidos,AY253+AA253-1,AS253),"")=0,"",IF(AZ253&gt;AA253-1,INDEX(Lista_Pedidos,AY253+AA253-1,AS253),"")),"")</f>
        <v/>
      </c>
      <c r="AT259" s="526" t="str">
        <f>IFERROR(IF(IF(AZ253&gt;AA253-1,INDEX(Lista_Pedidos,AY253+AA253-1,AT253),"")=0,"",IF(AZ253&gt;AA253-1,INDEX(Lista_Pedidos,AY253+AA253-1,AT253),"")),"")</f>
        <v/>
      </c>
      <c r="AU259" s="526" t="str">
        <f>IFERROR(IF(IF(AZ253&gt;AA253-1,INDEX(Lista_Pedidos,AY253+AA253-1,AU253),"")=0,"",IF(AZ253&gt;AA253-1,INDEX(Lista_Pedidos,AY253+AA253-1,AU253),"")),"")</f>
        <v/>
      </c>
      <c r="AV259" s="526" t="str">
        <f>IFERROR(IF(IF(AZ253&gt;AA253-1,INDEX(Lista_Pedidos,AY253+AA253-1,AV253),"")=0,"",IF(AZ253&gt;AA253-1,INDEX(Lista_Pedidos,AY253+AA253-1,AV253),"")),"")</f>
        <v/>
      </c>
      <c r="AW259" s="857" t="str">
        <f>IF(SUM(AJ259:AV259)&gt;1,SUM(AJ259:AV259),"")</f>
        <v/>
      </c>
      <c r="AX259" s="855"/>
      <c r="AY259" s="855"/>
      <c r="AZ259" s="860"/>
      <c r="BA259" s="854" t="str">
        <f>IFERROR(INDEX(Lista_Pedidos,Procesos!BY253+BA253-1,3),"")</f>
        <v/>
      </c>
      <c r="BB259" s="855"/>
      <c r="BC259" s="855"/>
      <c r="BD259" s="855"/>
      <c r="BE259" s="856"/>
      <c r="BF259" s="857" t="str">
        <f>IF(BZ253&gt;BA253-1,BE$11,"")</f>
        <v/>
      </c>
      <c r="BG259" s="855"/>
      <c r="BH259" s="855"/>
      <c r="BI259" s="856"/>
      <c r="BJ259" s="526" t="str">
        <f>IFERROR(IF(IF(BZ253&gt;BA253-1,INDEX(Lista_Pedidos,BY253+BA253-1,BJ253),"")=0,"",IF(BZ253&gt;BA253-1,INDEX(Lista_Pedidos,BY253+BA253-1,BJ253),"")),"")</f>
        <v/>
      </c>
      <c r="BK259" s="526" t="str">
        <f>IFERROR(IF(IF(BZ253&gt;BA253-1,INDEX(Lista_Pedidos,BY253+BA253-1,BK253),"")=0,"",IF(BZ253&gt;BA253-1,INDEX(Lista_Pedidos,BY253+BA253-1,BK253),"")),"")</f>
        <v/>
      </c>
      <c r="BL259" s="526" t="str">
        <f>IFERROR(IF(IF(BZ253&gt;BA253-1,INDEX(Lista_Pedidos,BY253+BA253-1,BL253),"")=0,"",IF(BZ253&gt;BA253-1,INDEX(Lista_Pedidos,BY253+BA253-1,BL253),"")),"")</f>
        <v/>
      </c>
      <c r="BM259" s="526" t="str">
        <f>IFERROR(IF(IF(BZ253&gt;BA253-1,INDEX(Lista_Pedidos,BY253+BA253-1,BM253),"")=0,"",IF(BZ253&gt;BA253-1,INDEX(Lista_Pedidos,BY253+BA253-1,BM253),"")),"")</f>
        <v/>
      </c>
      <c r="BN259" s="526" t="str">
        <f>IFERROR(IF(IF(BZ253&gt;BA253-1,INDEX(Lista_Pedidos,BY253+BA253-1,BN253),"")=0,"",IF(BZ253&gt;BA253-1,INDEX(Lista_Pedidos,BY253+BA253-1,BN253),"")),"")</f>
        <v/>
      </c>
      <c r="BO259" s="526" t="str">
        <f>IFERROR(IF(IF(BZ253&gt;BA253-1,INDEX(Lista_Pedidos,BY253+BA253-1,BO253),"")=0,"",IF(BZ253&gt;BA253-1,INDEX(Lista_Pedidos,BY253+BA253-1,BO253),"")),"")</f>
        <v/>
      </c>
      <c r="BP259" s="526" t="str">
        <f>IFERROR(IF(IF(BZ253&gt;BA253-1,INDEX(Lista_Pedidos,BY253+BA253-1,BP253),"")=0,"",IF(BZ253&gt;BA253-1,INDEX(Lista_Pedidos,BY253+BA253-1,BP253),"")),"")</f>
        <v/>
      </c>
      <c r="BQ259" s="526" t="str">
        <f>IFERROR(IF(IF(BZ253&gt;BA253-1,INDEX(Lista_Pedidos,BY253+BA253-1,BQ253),"")=0,"",IF(BZ253&gt;BA253-1,INDEX(Lista_Pedidos,BY253+BA253-1,BQ253),"")),"")</f>
        <v/>
      </c>
      <c r="BR259" s="526" t="str">
        <f>IFERROR(IF(IF(BZ253&gt;BA253-1,INDEX(Lista_Pedidos,BY253+BA253-1,BR253),"")=0,"",IF(BZ253&gt;BA253-1,INDEX(Lista_Pedidos,BY253+BA253-1,BR253),"")),"")</f>
        <v/>
      </c>
      <c r="BS259" s="526" t="str">
        <f>IFERROR(IF(IF(BZ253&gt;BA253-1,INDEX(Lista_Pedidos,BY253+BA253-1,BS253),"")=0,"",IF(BZ253&gt;BA253-1,INDEX(Lista_Pedidos,BY253+BA253-1,BS253),"")),"")</f>
        <v/>
      </c>
      <c r="BT259" s="526" t="str">
        <f>IFERROR(IF(IF(BZ253&gt;BA253-1,INDEX(Lista_Pedidos,BY253+BA253-1,BT253),"")=0,"",IF(BZ253&gt;BA253-1,INDEX(Lista_Pedidos,BY253+BA253-1,BT253),"")),"")</f>
        <v/>
      </c>
      <c r="BU259" s="526" t="str">
        <f>IFERROR(IF(IF(BZ253&gt;BA253-1,INDEX(Lista_Pedidos,BY253+BA253-1,BU253),"")=0,"",IF(BZ253&gt;BA253-1,INDEX(Lista_Pedidos,BY253+BA253-1,BU253),"")),"")</f>
        <v/>
      </c>
      <c r="BV259" s="526" t="str">
        <f>IFERROR(IF(IF(BZ253&gt;BA253-1,INDEX(Lista_Pedidos,BY253+BA253-1,BV253),"")=0,"",IF(BZ253&gt;BA253-1,INDEX(Lista_Pedidos,BY253+BA253-1,BV253),"")),"")</f>
        <v/>
      </c>
      <c r="BW259" s="857" t="str">
        <f>IF(SUM(BJ259:BV259)&gt;1,SUM(BJ259:BV259),"")</f>
        <v/>
      </c>
      <c r="BX259" s="855"/>
      <c r="BY259" s="855"/>
      <c r="BZ259" s="860"/>
      <c r="CA259" s="854" t="str">
        <f>IFERROR(INDEX(Lista_Pedidos,Procesos!CY253+CA253-1,3),"")</f>
        <v/>
      </c>
      <c r="CB259" s="855"/>
      <c r="CC259" s="855"/>
      <c r="CD259" s="855"/>
      <c r="CE259" s="856"/>
      <c r="CF259" s="857" t="str">
        <f>IF(CZ253&gt;CA253-1,CE$11,"")</f>
        <v/>
      </c>
      <c r="CG259" s="855"/>
      <c r="CH259" s="855"/>
      <c r="CI259" s="856"/>
      <c r="CJ259" s="526" t="str">
        <f>IFERROR(IF(IF(CZ253&gt;CA253-1,INDEX(Lista_Pedidos,CY253+CA253-1,CJ253),"")=0,"",IF(CZ253&gt;CA253-1,INDEX(Lista_Pedidos,CY253+CA253-1,CJ253),"")),"")</f>
        <v/>
      </c>
      <c r="CK259" s="526" t="str">
        <f>IFERROR(IF(IF(CZ253&gt;CA253-1,INDEX(Lista_Pedidos,CY253+CA253-1,CK253),"")=0,"",IF(CZ253&gt;CA253-1,INDEX(Lista_Pedidos,CY253+CA253-1,CK253),"")),"")</f>
        <v/>
      </c>
      <c r="CL259" s="526" t="str">
        <f>IFERROR(IF(IF(CZ253&gt;CA253-1,INDEX(Lista_Pedidos,CY253+CA253-1,CL253),"")=0,"",IF(CZ253&gt;CA253-1,INDEX(Lista_Pedidos,CY253+CA253-1,CL253),"")),"")</f>
        <v/>
      </c>
      <c r="CM259" s="526" t="str">
        <f>IFERROR(IF(IF(CZ253&gt;CA253-1,INDEX(Lista_Pedidos,CY253+CA253-1,CM253),"")=0,"",IF(CZ253&gt;CA253-1,INDEX(Lista_Pedidos,CY253+CA253-1,CM253),"")),"")</f>
        <v/>
      </c>
      <c r="CN259" s="526" t="str">
        <f>IFERROR(IF(IF(CZ253&gt;CA253-1,INDEX(Lista_Pedidos,CY253+CA253-1,CN253),"")=0,"",IF(CZ253&gt;CA253-1,INDEX(Lista_Pedidos,CY253+CA253-1,CN253),"")),"")</f>
        <v/>
      </c>
      <c r="CO259" s="526" t="str">
        <f>IFERROR(IF(IF(CZ253&gt;CA253-1,INDEX(Lista_Pedidos,CY253+CA253-1,CO253),"")=0,"",IF(CZ253&gt;CA253-1,INDEX(Lista_Pedidos,CY253+CA253-1,CO253),"")),"")</f>
        <v/>
      </c>
      <c r="CP259" s="526" t="str">
        <f>IFERROR(IF(IF(CZ253&gt;CA253-1,INDEX(Lista_Pedidos,CY253+CA253-1,CP253),"")=0,"",IF(CZ253&gt;CA253-1,INDEX(Lista_Pedidos,CY253+CA253-1,CP253),"")),"")</f>
        <v/>
      </c>
      <c r="CQ259" s="526" t="str">
        <f>IFERROR(IF(IF(CZ253&gt;CA253-1,INDEX(Lista_Pedidos,CY253+CA253-1,CQ253),"")=0,"",IF(CZ253&gt;CA253-1,INDEX(Lista_Pedidos,CY253+CA253-1,CQ253),"")),"")</f>
        <v/>
      </c>
      <c r="CR259" s="526" t="str">
        <f>IFERROR(IF(IF(CZ253&gt;CA253-1,INDEX(Lista_Pedidos,CY253+CA253-1,CR253),"")=0,"",IF(CZ253&gt;CA253-1,INDEX(Lista_Pedidos,CY253+CA253-1,CR253),"")),"")</f>
        <v/>
      </c>
      <c r="CS259" s="526" t="str">
        <f>IFERROR(IF(IF(CZ253&gt;CA253-1,INDEX(Lista_Pedidos,CY253+CA253-1,CS253),"")=0,"",IF(CZ253&gt;CA253-1,INDEX(Lista_Pedidos,CY253+CA253-1,CS253),"")),"")</f>
        <v/>
      </c>
      <c r="CT259" s="526" t="str">
        <f>IFERROR(IF(IF(CZ253&gt;CA253-1,INDEX(Lista_Pedidos,CY253+CA253-1,CT253),"")=0,"",IF(CZ253&gt;CA253-1,INDEX(Lista_Pedidos,CY253+CA253-1,CT253),"")),"")</f>
        <v/>
      </c>
      <c r="CU259" s="526" t="str">
        <f>IFERROR(IF(IF(CZ253&gt;CA253-1,INDEX(Lista_Pedidos,CY253+CA253-1,CU253),"")=0,"",IF(CZ253&gt;CA253-1,INDEX(Lista_Pedidos,CY253+CA253-1,CU253),"")),"")</f>
        <v/>
      </c>
      <c r="CV259" s="526" t="str">
        <f>IFERROR(IF(IF(CZ253&gt;CA253-1,INDEX(Lista_Pedidos,CY253+CA253-1,CV253),"")=0,"",IF(CZ253&gt;CA253-1,INDEX(Lista_Pedidos,CY253+CA253-1,CV253),"")),"")</f>
        <v/>
      </c>
      <c r="CW259" s="857" t="str">
        <f>IF(SUM(CJ259:CV259)&gt;1,SUM(CJ259:CV259),"")</f>
        <v/>
      </c>
      <c r="CX259" s="855"/>
      <c r="CY259" s="855"/>
      <c r="CZ259" s="860"/>
      <c r="DA259" s="854" t="str">
        <f>IFERROR(INDEX(Lista_Pedidos,Procesos!DY253+DA253-1,3),"")</f>
        <v/>
      </c>
      <c r="DB259" s="855"/>
      <c r="DC259" s="855"/>
      <c r="DD259" s="855"/>
      <c r="DE259" s="856"/>
      <c r="DF259" s="857" t="str">
        <f>IF(DZ253&gt;DA253-1,DE$11,"")</f>
        <v/>
      </c>
      <c r="DG259" s="855"/>
      <c r="DH259" s="855"/>
      <c r="DI259" s="856"/>
      <c r="DJ259" s="526" t="str">
        <f>IFERROR(IF(IF(DZ253&gt;DA253-1,INDEX(Lista_Pedidos,DY253+DA253-1,DJ253),"")=0,"",IF(DZ253&gt;DA253-1,INDEX(Lista_Pedidos,DY253+DA253-1,DJ253),"")),"")</f>
        <v/>
      </c>
      <c r="DK259" s="526" t="str">
        <f>IFERROR(IF(IF(DZ253&gt;DA253-1,INDEX(Lista_Pedidos,DY253+DA253-1,DK253),"")=0,"",IF(DZ253&gt;DA253-1,INDEX(Lista_Pedidos,DY253+DA253-1,DK253),"")),"")</f>
        <v/>
      </c>
      <c r="DL259" s="526" t="str">
        <f>IFERROR(IF(IF(DZ253&gt;DA253-1,INDEX(Lista_Pedidos,DY253+DA253-1,DL253),"")=0,"",IF(DZ253&gt;DA253-1,INDEX(Lista_Pedidos,DY253+DA253-1,DL253),"")),"")</f>
        <v/>
      </c>
      <c r="DM259" s="526" t="str">
        <f>IFERROR(IF(IF(DZ253&gt;DA253-1,INDEX(Lista_Pedidos,DY253+DA253-1,DM253),"")=0,"",IF(DZ253&gt;DA253-1,INDEX(Lista_Pedidos,DY253+DA253-1,DM253),"")),"")</f>
        <v/>
      </c>
      <c r="DN259" s="526" t="str">
        <f>IFERROR(IF(IF(DZ253&gt;DA253-1,INDEX(Lista_Pedidos,DY253+DA253-1,DN253),"")=0,"",IF(DZ253&gt;DA253-1,INDEX(Lista_Pedidos,DY253+DA253-1,DN253),"")),"")</f>
        <v/>
      </c>
      <c r="DO259" s="526" t="str">
        <f>IFERROR(IF(IF(DZ253&gt;DA253-1,INDEX(Lista_Pedidos,DY253+DA253-1,DO253),"")=0,"",IF(DZ253&gt;DA253-1,INDEX(Lista_Pedidos,DY253+DA253-1,DO253),"")),"")</f>
        <v/>
      </c>
      <c r="DP259" s="526" t="str">
        <f>IFERROR(IF(IF(DZ253&gt;DA253-1,INDEX(Lista_Pedidos,DY253+DA253-1,DP253),"")=0,"",IF(DZ253&gt;DA253-1,INDEX(Lista_Pedidos,DY253+DA253-1,DP253),"")),"")</f>
        <v/>
      </c>
      <c r="DQ259" s="526" t="str">
        <f>IFERROR(IF(IF(DZ253&gt;DA253-1,INDEX(Lista_Pedidos,DY253+DA253-1,DQ253),"")=0,"",IF(DZ253&gt;DA253-1,INDEX(Lista_Pedidos,DY253+DA253-1,DQ253),"")),"")</f>
        <v/>
      </c>
      <c r="DR259" s="526" t="str">
        <f>IFERROR(IF(IF(DZ253&gt;DA253-1,INDEX(Lista_Pedidos,DY253+DA253-1,DR253),"")=0,"",IF(DZ253&gt;DA253-1,INDEX(Lista_Pedidos,DY253+DA253-1,DR253),"")),"")</f>
        <v/>
      </c>
      <c r="DS259" s="526" t="str">
        <f>IFERROR(IF(IF(DZ253&gt;DA253-1,INDEX(Lista_Pedidos,DY253+DA253-1,DS253),"")=0,"",IF(DZ253&gt;DA253-1,INDEX(Lista_Pedidos,DY253+DA253-1,DS253),"")),"")</f>
        <v/>
      </c>
      <c r="DT259" s="526" t="str">
        <f>IFERROR(IF(IF(DZ253&gt;DA253-1,INDEX(Lista_Pedidos,DY253+DA253-1,DT253),"")=0,"",IF(DZ253&gt;DA253-1,INDEX(Lista_Pedidos,DY253+DA253-1,DT253),"")),"")</f>
        <v/>
      </c>
      <c r="DU259" s="526" t="str">
        <f>IFERROR(IF(IF(DZ253&gt;DA253-1,INDEX(Lista_Pedidos,DY253+DA253-1,DU253),"")=0,"",IF(DZ253&gt;DA253-1,INDEX(Lista_Pedidos,DY253+DA253-1,DU253),"")),"")</f>
        <v/>
      </c>
      <c r="DV259" s="526" t="str">
        <f>IFERROR(IF(IF(DZ253&gt;DA253-1,INDEX(Lista_Pedidos,DY253+DA253-1,DV253),"")=0,"",IF(DZ253&gt;DA253-1,INDEX(Lista_Pedidos,DY253+DA253-1,DV253),"")),"")</f>
        <v/>
      </c>
      <c r="DW259" s="857" t="str">
        <f>IF(SUM(DJ259:DV259)&gt;1,SUM(DJ259:DV259),"")</f>
        <v/>
      </c>
      <c r="DX259" s="855"/>
      <c r="DY259" s="855"/>
      <c r="DZ259" s="860"/>
      <c r="EA259" s="854" t="str">
        <f>IFERROR(INDEX(Lista_Pedidos,Procesos!EY253+EA253-1,3),"")</f>
        <v/>
      </c>
      <c r="EB259" s="855"/>
      <c r="EC259" s="855"/>
      <c r="ED259" s="855"/>
      <c r="EE259" s="856"/>
      <c r="EF259" s="857" t="str">
        <f>IF(EZ253&gt;EA253-1,EE$11,"")</f>
        <v/>
      </c>
      <c r="EG259" s="855"/>
      <c r="EH259" s="855"/>
      <c r="EI259" s="856"/>
      <c r="EJ259" s="526" t="str">
        <f>IFERROR(IF(IF(EZ253&gt;EA253-1,INDEX(Lista_Pedidos,EY253+EA253-1,EJ253),"")=0,"",IF(EZ253&gt;EA253-1,INDEX(Lista_Pedidos,EY253+EA253-1,EJ253),"")),"")</f>
        <v/>
      </c>
      <c r="EK259" s="526" t="str">
        <f>IFERROR(IF(IF(EZ253&gt;EA253-1,INDEX(Lista_Pedidos,EY253+EA253-1,EK253),"")=0,"",IF(EZ253&gt;EA253-1,INDEX(Lista_Pedidos,EY253+EA253-1,EK253),"")),"")</f>
        <v/>
      </c>
      <c r="EL259" s="526" t="str">
        <f>IFERROR(IF(IF(EZ253&gt;EA253-1,INDEX(Lista_Pedidos,EY253+EA253-1,EL253),"")=0,"",IF(EZ253&gt;EA253-1,INDEX(Lista_Pedidos,EY253+EA253-1,EL253),"")),"")</f>
        <v/>
      </c>
      <c r="EM259" s="526" t="str">
        <f>IFERROR(IF(IF(EZ253&gt;EA253-1,INDEX(Lista_Pedidos,EY253+EA253-1,EM253),"")=0,"",IF(EZ253&gt;EA253-1,INDEX(Lista_Pedidos,EY253+EA253-1,EM253),"")),"")</f>
        <v/>
      </c>
      <c r="EN259" s="526" t="str">
        <f>IFERROR(IF(IF(EZ253&gt;EA253-1,INDEX(Lista_Pedidos,EY253+EA253-1,EN253),"")=0,"",IF(EZ253&gt;EA253-1,INDEX(Lista_Pedidos,EY253+EA253-1,EN253),"")),"")</f>
        <v/>
      </c>
      <c r="EO259" s="526" t="str">
        <f>IFERROR(IF(IF(EZ253&gt;EA253-1,INDEX(Lista_Pedidos,EY253+EA253-1,EO253),"")=0,"",IF(EZ253&gt;EA253-1,INDEX(Lista_Pedidos,EY253+EA253-1,EO253),"")),"")</f>
        <v/>
      </c>
      <c r="EP259" s="526" t="str">
        <f>IFERROR(IF(IF(EZ253&gt;EA253-1,INDEX(Lista_Pedidos,EY253+EA253-1,EP253),"")=0,"",IF(EZ253&gt;EA253-1,INDEX(Lista_Pedidos,EY253+EA253-1,EP253),"")),"")</f>
        <v/>
      </c>
      <c r="EQ259" s="526" t="str">
        <f>IFERROR(IF(IF(EZ253&gt;EA253-1,INDEX(Lista_Pedidos,EY253+EA253-1,EQ253),"")=0,"",IF(EZ253&gt;EA253-1,INDEX(Lista_Pedidos,EY253+EA253-1,EQ253),"")),"")</f>
        <v/>
      </c>
      <c r="ER259" s="526" t="str">
        <f>IFERROR(IF(IF(EZ253&gt;EA253-1,INDEX(Lista_Pedidos,EY253+EA253-1,ER253),"")=0,"",IF(EZ253&gt;EA253-1,INDEX(Lista_Pedidos,EY253+EA253-1,ER253),"")),"")</f>
        <v/>
      </c>
      <c r="ES259" s="526" t="str">
        <f>IFERROR(IF(IF(EZ253&gt;EA253-1,INDEX(Lista_Pedidos,EY253+EA253-1,ES253),"")=0,"",IF(EZ253&gt;EA253-1,INDEX(Lista_Pedidos,EY253+EA253-1,ES253),"")),"")</f>
        <v/>
      </c>
      <c r="ET259" s="526" t="str">
        <f>IFERROR(IF(IF(EZ253&gt;EA253-1,INDEX(Lista_Pedidos,EY253+EA253-1,ET253),"")=0,"",IF(EZ253&gt;EA253-1,INDEX(Lista_Pedidos,EY253+EA253-1,ET253),"")),"")</f>
        <v/>
      </c>
      <c r="EU259" s="526" t="str">
        <f>IFERROR(IF(IF(EZ253&gt;EA253-1,INDEX(Lista_Pedidos,EY253+EA253-1,EU253),"")=0,"",IF(EZ253&gt;EA253-1,INDEX(Lista_Pedidos,EY253+EA253-1,EU253),"")),"")</f>
        <v/>
      </c>
      <c r="EV259" s="526" t="str">
        <f>IFERROR(IF(IF(EZ253&gt;EA253-1,INDEX(Lista_Pedidos,EY253+EA253-1,EV253),"")=0,"",IF(EZ253&gt;EA253-1,INDEX(Lista_Pedidos,EY253+EA253-1,EV253),"")),"")</f>
        <v/>
      </c>
      <c r="EW259" s="857" t="str">
        <f>IF(SUM(EJ259:EV259)&gt;1,SUM(EJ259:EV259),"")</f>
        <v/>
      </c>
      <c r="EX259" s="855"/>
      <c r="EY259" s="855"/>
      <c r="EZ259" s="860"/>
      <c r="FA259" s="854" t="str">
        <f>IFERROR(INDEX(Lista_Pedidos,Procesos!FY253+FA253-1,3),"")</f>
        <v/>
      </c>
      <c r="FB259" s="855"/>
      <c r="FC259" s="855"/>
      <c r="FD259" s="855"/>
      <c r="FE259" s="856"/>
      <c r="FF259" s="857" t="str">
        <f>IF(FZ253&gt;FA253-1,FE$11,"")</f>
        <v/>
      </c>
      <c r="FG259" s="855"/>
      <c r="FH259" s="855"/>
      <c r="FI259" s="856"/>
      <c r="FJ259" s="526" t="str">
        <f>IFERROR(IF(IF(FZ253&gt;FA253-1,INDEX(Lista_Pedidos,FY253+FA253-1,FJ253),"")=0,"",IF(FZ253&gt;FA253-1,INDEX(Lista_Pedidos,FY253+FA253-1,FJ253),"")),"")</f>
        <v/>
      </c>
      <c r="FK259" s="526" t="str">
        <f>IFERROR(IF(IF(FZ253&gt;FA253-1,INDEX(Lista_Pedidos,FY253+FA253-1,FK253),"")=0,"",IF(FZ253&gt;FA253-1,INDEX(Lista_Pedidos,FY253+FA253-1,FK253),"")),"")</f>
        <v/>
      </c>
      <c r="FL259" s="526" t="str">
        <f>IFERROR(IF(IF(FZ253&gt;FA253-1,INDEX(Lista_Pedidos,FY253+FA253-1,FL253),"")=0,"",IF(FZ253&gt;FA253-1,INDEX(Lista_Pedidos,FY253+FA253-1,FL253),"")),"")</f>
        <v/>
      </c>
      <c r="FM259" s="526" t="str">
        <f>IFERROR(IF(IF(FZ253&gt;FA253-1,INDEX(Lista_Pedidos,FY253+FA253-1,FM253),"")=0,"",IF(FZ253&gt;FA253-1,INDEX(Lista_Pedidos,FY253+FA253-1,FM253),"")),"")</f>
        <v/>
      </c>
      <c r="FN259" s="526" t="str">
        <f>IFERROR(IF(IF(FZ253&gt;FA253-1,INDEX(Lista_Pedidos,FY253+FA253-1,FN253),"")=0,"",IF(FZ253&gt;FA253-1,INDEX(Lista_Pedidos,FY253+FA253-1,FN253),"")),"")</f>
        <v/>
      </c>
      <c r="FO259" s="526" t="str">
        <f>IFERROR(IF(IF(FZ253&gt;FA253-1,INDEX(Lista_Pedidos,FY253+FA253-1,FO253),"")=0,"",IF(FZ253&gt;FA253-1,INDEX(Lista_Pedidos,FY253+FA253-1,FO253),"")),"")</f>
        <v/>
      </c>
      <c r="FP259" s="526" t="str">
        <f>IFERROR(IF(IF(FZ253&gt;FA253-1,INDEX(Lista_Pedidos,FY253+FA253-1,FP253),"")=0,"",IF(FZ253&gt;FA253-1,INDEX(Lista_Pedidos,FY253+FA253-1,FP253),"")),"")</f>
        <v/>
      </c>
      <c r="FQ259" s="526" t="str">
        <f>IFERROR(IF(IF(FZ253&gt;FA253-1,INDEX(Lista_Pedidos,FY253+FA253-1,FQ253),"")=0,"",IF(FZ253&gt;FA253-1,INDEX(Lista_Pedidos,FY253+FA253-1,FQ253),"")),"")</f>
        <v/>
      </c>
      <c r="FR259" s="526" t="str">
        <f>IFERROR(IF(IF(FZ253&gt;FA253-1,INDEX(Lista_Pedidos,FY253+FA253-1,FR253),"")=0,"",IF(FZ253&gt;FA253-1,INDEX(Lista_Pedidos,FY253+FA253-1,FR253),"")),"")</f>
        <v/>
      </c>
      <c r="FS259" s="526" t="str">
        <f>IFERROR(IF(IF(FZ253&gt;FA253-1,INDEX(Lista_Pedidos,FY253+FA253-1,FS253),"")=0,"",IF(FZ253&gt;FA253-1,INDEX(Lista_Pedidos,FY253+FA253-1,FS253),"")),"")</f>
        <v/>
      </c>
      <c r="FT259" s="526" t="str">
        <f>IFERROR(IF(IF(FZ253&gt;FA253-1,INDEX(Lista_Pedidos,FY253+FA253-1,FT253),"")=0,"",IF(FZ253&gt;FA253-1,INDEX(Lista_Pedidos,FY253+FA253-1,FT253),"")),"")</f>
        <v/>
      </c>
      <c r="FU259" s="526" t="str">
        <f>IFERROR(IF(IF(FZ253&gt;FA253-1,INDEX(Lista_Pedidos,FY253+FA253-1,FU253),"")=0,"",IF(FZ253&gt;FA253-1,INDEX(Lista_Pedidos,FY253+FA253-1,FU253),"")),"")</f>
        <v/>
      </c>
      <c r="FV259" s="526" t="str">
        <f>IFERROR(IF(IF(FZ253&gt;FA253-1,INDEX(Lista_Pedidos,FY253+FA253-1,FV253),"")=0,"",IF(FZ253&gt;FA253-1,INDEX(Lista_Pedidos,FY253+FA253-1,FV253),"")),"")</f>
        <v/>
      </c>
      <c r="FW259" s="857" t="str">
        <f>IF(SUM(FJ259:FV259)&gt;1,SUM(FJ259:FV259),"")</f>
        <v/>
      </c>
      <c r="FX259" s="855"/>
      <c r="FY259" s="855"/>
      <c r="FZ259" s="860"/>
      <c r="GA259" s="854" t="str">
        <f>IFERROR(INDEX(Lista_Pedidos,Procesos!GY253+GA253-1,3),"")</f>
        <v/>
      </c>
      <c r="GB259" s="855"/>
      <c r="GC259" s="855"/>
      <c r="GD259" s="855"/>
      <c r="GE259" s="856"/>
      <c r="GF259" s="857" t="str">
        <f>IF(GZ253&gt;GA253-1,GE$11,"")</f>
        <v/>
      </c>
      <c r="GG259" s="855"/>
      <c r="GH259" s="855"/>
      <c r="GI259" s="856"/>
      <c r="GJ259" s="526" t="str">
        <f>IFERROR(IF(IF(GZ253&gt;GA253-1,INDEX(Lista_Pedidos,GY253+GA253-1,GJ253),"")=0,"",IF(GZ253&gt;GA253-1,INDEX(Lista_Pedidos,GY253+GA253-1,GJ253),"")),"")</f>
        <v/>
      </c>
      <c r="GK259" s="526" t="str">
        <f>IFERROR(IF(IF(GZ253&gt;GA253-1,INDEX(Lista_Pedidos,GY253+GA253-1,GK253),"")=0,"",IF(GZ253&gt;GA253-1,INDEX(Lista_Pedidos,GY253+GA253-1,GK253),"")),"")</f>
        <v/>
      </c>
      <c r="GL259" s="526" t="str">
        <f>IFERROR(IF(IF(GZ253&gt;GA253-1,INDEX(Lista_Pedidos,GY253+GA253-1,GL253),"")=0,"",IF(GZ253&gt;GA253-1,INDEX(Lista_Pedidos,GY253+GA253-1,GL253),"")),"")</f>
        <v/>
      </c>
      <c r="GM259" s="526" t="str">
        <f>IFERROR(IF(IF(GZ253&gt;GA253-1,INDEX(Lista_Pedidos,GY253+GA253-1,GM253),"")=0,"",IF(GZ253&gt;GA253-1,INDEX(Lista_Pedidos,GY253+GA253-1,GM253),"")),"")</f>
        <v/>
      </c>
      <c r="GN259" s="526" t="str">
        <f>IFERROR(IF(IF(GZ253&gt;GA253-1,INDEX(Lista_Pedidos,GY253+GA253-1,GN253),"")=0,"",IF(GZ253&gt;GA253-1,INDEX(Lista_Pedidos,GY253+GA253-1,GN253),"")),"")</f>
        <v/>
      </c>
      <c r="GO259" s="526" t="str">
        <f>IFERROR(IF(IF(GZ253&gt;GA253-1,INDEX(Lista_Pedidos,GY253+GA253-1,GO253),"")=0,"",IF(GZ253&gt;GA253-1,INDEX(Lista_Pedidos,GY253+GA253-1,GO253),"")),"")</f>
        <v/>
      </c>
      <c r="GP259" s="526" t="str">
        <f>IFERROR(IF(IF(GZ253&gt;GA253-1,INDEX(Lista_Pedidos,GY253+GA253-1,GP253),"")=0,"",IF(GZ253&gt;GA253-1,INDEX(Lista_Pedidos,GY253+GA253-1,GP253),"")),"")</f>
        <v/>
      </c>
      <c r="GQ259" s="526" t="str">
        <f>IFERROR(IF(IF(GZ253&gt;GA253-1,INDEX(Lista_Pedidos,GY253+GA253-1,GQ253),"")=0,"",IF(GZ253&gt;GA253-1,INDEX(Lista_Pedidos,GY253+GA253-1,GQ253),"")),"")</f>
        <v/>
      </c>
      <c r="GR259" s="526" t="str">
        <f>IFERROR(IF(IF(GZ253&gt;GA253-1,INDEX(Lista_Pedidos,GY253+GA253-1,GR253),"")=0,"",IF(GZ253&gt;GA253-1,INDEX(Lista_Pedidos,GY253+GA253-1,GR253),"")),"")</f>
        <v/>
      </c>
      <c r="GS259" s="526" t="str">
        <f>IFERROR(IF(IF(GZ253&gt;GA253-1,INDEX(Lista_Pedidos,GY253+GA253-1,GS253),"")=0,"",IF(GZ253&gt;GA253-1,INDEX(Lista_Pedidos,GY253+GA253-1,GS253),"")),"")</f>
        <v/>
      </c>
      <c r="GT259" s="526" t="str">
        <f>IFERROR(IF(IF(GZ253&gt;GA253-1,INDEX(Lista_Pedidos,GY253+GA253-1,GT253),"")=0,"",IF(GZ253&gt;GA253-1,INDEX(Lista_Pedidos,GY253+GA253-1,GT253),"")),"")</f>
        <v/>
      </c>
      <c r="GU259" s="526" t="str">
        <f>IFERROR(IF(IF(GZ253&gt;GA253-1,INDEX(Lista_Pedidos,GY253+GA253-1,GU253),"")=0,"",IF(GZ253&gt;GA253-1,INDEX(Lista_Pedidos,GY253+GA253-1,GU253),"")),"")</f>
        <v/>
      </c>
      <c r="GV259" s="526" t="str">
        <f>IFERROR(IF(IF(GZ253&gt;GA253-1,INDEX(Lista_Pedidos,GY253+GA253-1,GV253),"")=0,"",IF(GZ253&gt;GA253-1,INDEX(Lista_Pedidos,GY253+GA253-1,GV253),"")),"")</f>
        <v/>
      </c>
      <c r="GW259" s="857" t="str">
        <f>IF(SUM(GJ259:GV259)&gt;1,SUM(GJ259:GV259),"")</f>
        <v/>
      </c>
      <c r="GX259" s="855"/>
      <c r="GY259" s="855"/>
      <c r="GZ259" s="860"/>
      <c r="HA259" s="854" t="str">
        <f>IFERROR(INDEX(Lista_Pedidos,Procesos!HY253+HA253-1,3),"")</f>
        <v/>
      </c>
      <c r="HB259" s="855"/>
      <c r="HC259" s="855"/>
      <c r="HD259" s="855"/>
      <c r="HE259" s="856"/>
      <c r="HF259" s="857" t="str">
        <f>IF(HZ253&gt;HA253-1,HE$11,"")</f>
        <v/>
      </c>
      <c r="HG259" s="855"/>
      <c r="HH259" s="855"/>
      <c r="HI259" s="856"/>
      <c r="HJ259" s="526" t="str">
        <f>IFERROR(IF(IF(HZ253&gt;HA253-1,INDEX(Lista_Pedidos,HY253+HA253-1,HJ253),"")=0,"",IF(HZ253&gt;HA253-1,INDEX(Lista_Pedidos,HY253+HA253-1,HJ253),"")),"")</f>
        <v/>
      </c>
      <c r="HK259" s="526" t="str">
        <f>IFERROR(IF(IF(HZ253&gt;HA253-1,INDEX(Lista_Pedidos,HY253+HA253-1,HK253),"")=0,"",IF(HZ253&gt;HA253-1,INDEX(Lista_Pedidos,HY253+HA253-1,HK253),"")),"")</f>
        <v/>
      </c>
      <c r="HL259" s="526" t="str">
        <f>IFERROR(IF(IF(HZ253&gt;HA253-1,INDEX(Lista_Pedidos,HY253+HA253-1,HL253),"")=0,"",IF(HZ253&gt;HA253-1,INDEX(Lista_Pedidos,HY253+HA253-1,HL253),"")),"")</f>
        <v/>
      </c>
      <c r="HM259" s="526" t="str">
        <f>IFERROR(IF(IF(HZ253&gt;HA253-1,INDEX(Lista_Pedidos,HY253+HA253-1,HM253),"")=0,"",IF(HZ253&gt;HA253-1,INDEX(Lista_Pedidos,HY253+HA253-1,HM253),"")),"")</f>
        <v/>
      </c>
      <c r="HN259" s="526" t="str">
        <f>IFERROR(IF(IF(HZ253&gt;HA253-1,INDEX(Lista_Pedidos,HY253+HA253-1,HN253),"")=0,"",IF(HZ253&gt;HA253-1,INDEX(Lista_Pedidos,HY253+HA253-1,HN253),"")),"")</f>
        <v/>
      </c>
      <c r="HO259" s="526" t="str">
        <f>IFERROR(IF(IF(HZ253&gt;HA253-1,INDEX(Lista_Pedidos,HY253+HA253-1,HO253),"")=0,"",IF(HZ253&gt;HA253-1,INDEX(Lista_Pedidos,HY253+HA253-1,HO253),"")),"")</f>
        <v/>
      </c>
      <c r="HP259" s="526" t="str">
        <f>IFERROR(IF(IF(HZ253&gt;HA253-1,INDEX(Lista_Pedidos,HY253+HA253-1,HP253),"")=0,"",IF(HZ253&gt;HA253-1,INDEX(Lista_Pedidos,HY253+HA253-1,HP253),"")),"")</f>
        <v/>
      </c>
      <c r="HQ259" s="526" t="str">
        <f>IFERROR(IF(IF(HZ253&gt;HA253-1,INDEX(Lista_Pedidos,HY253+HA253-1,HQ253),"")=0,"",IF(HZ253&gt;HA253-1,INDEX(Lista_Pedidos,HY253+HA253-1,HQ253),"")),"")</f>
        <v/>
      </c>
      <c r="HR259" s="526" t="str">
        <f>IFERROR(IF(IF(HZ253&gt;HA253-1,INDEX(Lista_Pedidos,HY253+HA253-1,HR253),"")=0,"",IF(HZ253&gt;HA253-1,INDEX(Lista_Pedidos,HY253+HA253-1,HR253),"")),"")</f>
        <v/>
      </c>
      <c r="HS259" s="526" t="str">
        <f>IFERROR(IF(IF(HZ253&gt;HA253-1,INDEX(Lista_Pedidos,HY253+HA253-1,HS253),"")=0,"",IF(HZ253&gt;HA253-1,INDEX(Lista_Pedidos,HY253+HA253-1,HS253),"")),"")</f>
        <v/>
      </c>
      <c r="HT259" s="526" t="str">
        <f>IFERROR(IF(IF(HZ253&gt;HA253-1,INDEX(Lista_Pedidos,HY253+HA253-1,HT253),"")=0,"",IF(HZ253&gt;HA253-1,INDEX(Lista_Pedidos,HY253+HA253-1,HT253),"")),"")</f>
        <v/>
      </c>
      <c r="HU259" s="526" t="str">
        <f>IFERROR(IF(IF(HZ253&gt;HA253-1,INDEX(Lista_Pedidos,HY253+HA253-1,HU253),"")=0,"",IF(HZ253&gt;HA253-1,INDEX(Lista_Pedidos,HY253+HA253-1,HU253),"")),"")</f>
        <v/>
      </c>
      <c r="HV259" s="526" t="str">
        <f>IFERROR(IF(IF(HZ253&gt;HA253-1,INDEX(Lista_Pedidos,HY253+HA253-1,HV253),"")=0,"",IF(HZ253&gt;HA253-1,INDEX(Lista_Pedidos,HY253+HA253-1,HV253),"")),"")</f>
        <v/>
      </c>
      <c r="HW259" s="857" t="str">
        <f>IF(SUM(HJ259:HV259)&gt;1,SUM(HJ259:HV259),"")</f>
        <v/>
      </c>
      <c r="HX259" s="855"/>
      <c r="HY259" s="855"/>
      <c r="HZ259" s="860"/>
      <c r="IA259" s="854" t="str">
        <f>IFERROR(INDEX(Lista_Pedidos,Procesos!IY253+IA253-1,3),"")</f>
        <v/>
      </c>
      <c r="IB259" s="855"/>
      <c r="IC259" s="855"/>
      <c r="ID259" s="855"/>
      <c r="IE259" s="856"/>
      <c r="IF259" s="857" t="str">
        <f>IF(IZ253&gt;IA253-1,IE$11,"")</f>
        <v/>
      </c>
      <c r="IG259" s="855"/>
      <c r="IH259" s="855"/>
      <c r="II259" s="856"/>
      <c r="IJ259" s="526" t="str">
        <f>IFERROR(IF(IF(IZ253&gt;IA253-1,INDEX(Lista_Pedidos,IY253+IA253-1,IJ253),"")=0,"",IF(IZ253&gt;IA253-1,INDEX(Lista_Pedidos,IY253+IA253-1,IJ253),"")),"")</f>
        <v/>
      </c>
      <c r="IK259" s="526" t="str">
        <f>IFERROR(IF(IF(IZ253&gt;IA253-1,INDEX(Lista_Pedidos,IY253+IA253-1,IK253),"")=0,"",IF(IZ253&gt;IA253-1,INDEX(Lista_Pedidos,IY253+IA253-1,IK253),"")),"")</f>
        <v/>
      </c>
      <c r="IL259" s="526" t="str">
        <f>IFERROR(IF(IF(IZ253&gt;IA253-1,INDEX(Lista_Pedidos,IY253+IA253-1,IL253),"")=0,"",IF(IZ253&gt;IA253-1,INDEX(Lista_Pedidos,IY253+IA253-1,IL253),"")),"")</f>
        <v/>
      </c>
      <c r="IM259" s="526" t="str">
        <f>IFERROR(IF(IF(IZ253&gt;IA253-1,INDEX(Lista_Pedidos,IY253+IA253-1,IM253),"")=0,"",IF(IZ253&gt;IA253-1,INDEX(Lista_Pedidos,IY253+IA253-1,IM253),"")),"")</f>
        <v/>
      </c>
      <c r="IN259" s="526" t="str">
        <f>IFERROR(IF(IF(IZ253&gt;IA253-1,INDEX(Lista_Pedidos,IY253+IA253-1,IN253),"")=0,"",IF(IZ253&gt;IA253-1,INDEX(Lista_Pedidos,IY253+IA253-1,IN253),"")),"")</f>
        <v/>
      </c>
      <c r="IO259" s="526" t="str">
        <f>IFERROR(IF(IF(IZ253&gt;IA253-1,INDEX(Lista_Pedidos,IY253+IA253-1,IO253),"")=0,"",IF(IZ253&gt;IA253-1,INDEX(Lista_Pedidos,IY253+IA253-1,IO253),"")),"")</f>
        <v/>
      </c>
      <c r="IP259" s="526" t="str">
        <f>IFERROR(IF(IF(IZ253&gt;IA253-1,INDEX(Lista_Pedidos,IY253+IA253-1,IP253),"")=0,"",IF(IZ253&gt;IA253-1,INDEX(Lista_Pedidos,IY253+IA253-1,IP253),"")),"")</f>
        <v/>
      </c>
      <c r="IQ259" s="526" t="str">
        <f>IFERROR(IF(IF(IZ253&gt;IA253-1,INDEX(Lista_Pedidos,IY253+IA253-1,IQ253),"")=0,"",IF(IZ253&gt;IA253-1,INDEX(Lista_Pedidos,IY253+IA253-1,IQ253),"")),"")</f>
        <v/>
      </c>
      <c r="IR259" s="526" t="str">
        <f>IFERROR(IF(IF(IZ253&gt;IA253-1,INDEX(Lista_Pedidos,IY253+IA253-1,IR253),"")=0,"",IF(IZ253&gt;IA253-1,INDEX(Lista_Pedidos,IY253+IA253-1,IR253),"")),"")</f>
        <v/>
      </c>
      <c r="IS259" s="526" t="str">
        <f>IFERROR(IF(IF(IZ253&gt;IA253-1,INDEX(Lista_Pedidos,IY253+IA253-1,IS253),"")=0,"",IF(IZ253&gt;IA253-1,INDEX(Lista_Pedidos,IY253+IA253-1,IS253),"")),"")</f>
        <v/>
      </c>
      <c r="IT259" s="526" t="str">
        <f>IFERROR(IF(IF(IZ253&gt;IA253-1,INDEX(Lista_Pedidos,IY253+IA253-1,IT253),"")=0,"",IF(IZ253&gt;IA253-1,INDEX(Lista_Pedidos,IY253+IA253-1,IT253),"")),"")</f>
        <v/>
      </c>
      <c r="IU259" s="526" t="str">
        <f>IFERROR(IF(IF(IZ253&gt;IA253-1,INDEX(Lista_Pedidos,IY253+IA253-1,IU253),"")=0,"",IF(IZ253&gt;IA253-1,INDEX(Lista_Pedidos,IY253+IA253-1,IU253),"")),"")</f>
        <v/>
      </c>
      <c r="IV259" s="526" t="str">
        <f>IFERROR(IF(IF(IZ253&gt;IA253-1,INDEX(Lista_Pedidos,IY253+IA253-1,IV253),"")=0,"",IF(IZ253&gt;IA253-1,INDEX(Lista_Pedidos,IY253+IA253-1,IV253),"")),"")</f>
        <v/>
      </c>
      <c r="IW259" s="857" t="str">
        <f>IF(SUM(IJ259:IV259)&gt;1,SUM(IJ259:IV259),"")</f>
        <v/>
      </c>
      <c r="IX259" s="855"/>
      <c r="IY259" s="855"/>
      <c r="IZ259" s="860"/>
    </row>
    <row r="260" spans="1:260" x14ac:dyDescent="0.25">
      <c r="A260" s="823"/>
      <c r="B260" s="824"/>
      <c r="C260" s="824"/>
      <c r="D260" s="824"/>
      <c r="E260" s="824"/>
      <c r="F260" s="824"/>
      <c r="G260" s="824"/>
      <c r="H260" s="824"/>
      <c r="I260" s="824"/>
      <c r="J260" s="824"/>
      <c r="K260" s="824"/>
      <c r="L260" s="824"/>
      <c r="M260" s="824"/>
      <c r="N260" s="824"/>
      <c r="O260" s="824"/>
      <c r="P260" s="824"/>
      <c r="Q260" s="824"/>
      <c r="R260" s="824"/>
      <c r="S260" s="824"/>
      <c r="T260" s="824"/>
      <c r="U260" s="824"/>
      <c r="V260" s="824"/>
      <c r="W260" s="824" t="str">
        <f>IFERROR(IF(Z253&gt;A253-1,IF(INDEX(Lista_Pedidos,Y253+A253-1,2)&lt;&gt;"",INDEX(Lista_Pedidos,Y253+A253-1,2),""),""),"")</f>
        <v/>
      </c>
      <c r="X260" s="824"/>
      <c r="Y260" s="824"/>
      <c r="Z260" s="825"/>
      <c r="AA260" s="823"/>
      <c r="AB260" s="824"/>
      <c r="AC260" s="824"/>
      <c r="AD260" s="824"/>
      <c r="AE260" s="824"/>
      <c r="AF260" s="824"/>
      <c r="AG260" s="824"/>
      <c r="AH260" s="824"/>
      <c r="AI260" s="824"/>
      <c r="AJ260" s="824"/>
      <c r="AK260" s="824"/>
      <c r="AL260" s="824"/>
      <c r="AM260" s="824"/>
      <c r="AN260" s="824"/>
      <c r="AO260" s="824"/>
      <c r="AP260" s="824"/>
      <c r="AQ260" s="824"/>
      <c r="AR260" s="824"/>
      <c r="AS260" s="824"/>
      <c r="AT260" s="824"/>
      <c r="AU260" s="824"/>
      <c r="AV260" s="824"/>
      <c r="AW260" s="824" t="str">
        <f>IFERROR(IF(AZ253&gt;AA253-1,IF(INDEX(Lista_Pedidos,AY253+AA253-1,2)&lt;&gt;"",INDEX(Lista_Pedidos,AY253+AA253-1,2),""),""),"")</f>
        <v/>
      </c>
      <c r="AX260" s="824"/>
      <c r="AY260" s="824"/>
      <c r="AZ260" s="825"/>
      <c r="BA260" s="823"/>
      <c r="BB260" s="824"/>
      <c r="BC260" s="824"/>
      <c r="BD260" s="824"/>
      <c r="BE260" s="824"/>
      <c r="BF260" s="824"/>
      <c r="BG260" s="824"/>
      <c r="BH260" s="824"/>
      <c r="BI260" s="824"/>
      <c r="BJ260" s="824"/>
      <c r="BK260" s="824"/>
      <c r="BL260" s="824"/>
      <c r="BM260" s="824"/>
      <c r="BN260" s="824"/>
      <c r="BO260" s="824"/>
      <c r="BP260" s="824"/>
      <c r="BQ260" s="824"/>
      <c r="BR260" s="824"/>
      <c r="BS260" s="824"/>
      <c r="BT260" s="824"/>
      <c r="BU260" s="824"/>
      <c r="BV260" s="824"/>
      <c r="BW260" s="824" t="str">
        <f>IFERROR(IF(BZ253&gt;BA253-1,IF(INDEX(Lista_Pedidos,BY253+BA253-1,2)&lt;&gt;"",INDEX(Lista_Pedidos,BY253+BA253-1,2),""),""),"")</f>
        <v/>
      </c>
      <c r="BX260" s="824"/>
      <c r="BY260" s="824"/>
      <c r="BZ260" s="825"/>
      <c r="CA260" s="823"/>
      <c r="CB260" s="824"/>
      <c r="CC260" s="824"/>
      <c r="CD260" s="824"/>
      <c r="CE260" s="824"/>
      <c r="CF260" s="824"/>
      <c r="CG260" s="824"/>
      <c r="CH260" s="824"/>
      <c r="CI260" s="824"/>
      <c r="CJ260" s="824"/>
      <c r="CK260" s="824"/>
      <c r="CL260" s="824"/>
      <c r="CM260" s="824"/>
      <c r="CN260" s="824"/>
      <c r="CO260" s="824"/>
      <c r="CP260" s="824"/>
      <c r="CQ260" s="824"/>
      <c r="CR260" s="824"/>
      <c r="CS260" s="824"/>
      <c r="CT260" s="824"/>
      <c r="CU260" s="824"/>
      <c r="CV260" s="824"/>
      <c r="CW260" s="824" t="str">
        <f>IFERROR(IF(CZ253&gt;CA253-1,IF(INDEX(Lista_Pedidos,CY253+CA253-1,2)&lt;&gt;"",INDEX(Lista_Pedidos,CY253+CA253-1,2),""),""),"")</f>
        <v/>
      </c>
      <c r="CX260" s="824"/>
      <c r="CY260" s="824"/>
      <c r="CZ260" s="825"/>
      <c r="DA260" s="823"/>
      <c r="DB260" s="824"/>
      <c r="DC260" s="824"/>
      <c r="DD260" s="824"/>
      <c r="DE260" s="824"/>
      <c r="DF260" s="824"/>
      <c r="DG260" s="824"/>
      <c r="DH260" s="824"/>
      <c r="DI260" s="824"/>
      <c r="DJ260" s="824"/>
      <c r="DK260" s="824"/>
      <c r="DL260" s="824"/>
      <c r="DM260" s="824"/>
      <c r="DN260" s="824"/>
      <c r="DO260" s="824"/>
      <c r="DP260" s="824"/>
      <c r="DQ260" s="824"/>
      <c r="DR260" s="824"/>
      <c r="DS260" s="824"/>
      <c r="DT260" s="824"/>
      <c r="DU260" s="824"/>
      <c r="DV260" s="824"/>
      <c r="DW260" s="824" t="str">
        <f>IFERROR(IF(DZ253&gt;DA253-1,IF(INDEX(Lista_Pedidos,DY253+DA253-1,2)&lt;&gt;"",INDEX(Lista_Pedidos,DY253+DA253-1,2),""),""),"")</f>
        <v/>
      </c>
      <c r="DX260" s="824"/>
      <c r="DY260" s="824"/>
      <c r="DZ260" s="825"/>
      <c r="EA260" s="823"/>
      <c r="EB260" s="824"/>
      <c r="EC260" s="824"/>
      <c r="ED260" s="824"/>
      <c r="EE260" s="824"/>
      <c r="EF260" s="824"/>
      <c r="EG260" s="824"/>
      <c r="EH260" s="824"/>
      <c r="EI260" s="824"/>
      <c r="EJ260" s="824"/>
      <c r="EK260" s="824"/>
      <c r="EL260" s="824"/>
      <c r="EM260" s="824"/>
      <c r="EN260" s="824"/>
      <c r="EO260" s="824"/>
      <c r="EP260" s="824"/>
      <c r="EQ260" s="824"/>
      <c r="ER260" s="824"/>
      <c r="ES260" s="824"/>
      <c r="ET260" s="824"/>
      <c r="EU260" s="824"/>
      <c r="EV260" s="824"/>
      <c r="EW260" s="824" t="str">
        <f>IFERROR(IF(EZ253&gt;EA253-1,IF(INDEX(Lista_Pedidos,EY253+EA253-1,2)&lt;&gt;"",INDEX(Lista_Pedidos,EY253+EA253-1,2),""),""),"")</f>
        <v/>
      </c>
      <c r="EX260" s="824"/>
      <c r="EY260" s="824"/>
      <c r="EZ260" s="825"/>
      <c r="FA260" s="823"/>
      <c r="FB260" s="824"/>
      <c r="FC260" s="824"/>
      <c r="FD260" s="824"/>
      <c r="FE260" s="824"/>
      <c r="FF260" s="824"/>
      <c r="FG260" s="824"/>
      <c r="FH260" s="824"/>
      <c r="FI260" s="824"/>
      <c r="FJ260" s="824"/>
      <c r="FK260" s="824"/>
      <c r="FL260" s="824"/>
      <c r="FM260" s="824"/>
      <c r="FN260" s="824"/>
      <c r="FO260" s="824"/>
      <c r="FP260" s="824"/>
      <c r="FQ260" s="824"/>
      <c r="FR260" s="824"/>
      <c r="FS260" s="824"/>
      <c r="FT260" s="824"/>
      <c r="FU260" s="824"/>
      <c r="FV260" s="824"/>
      <c r="FW260" s="824" t="str">
        <f>IFERROR(IF(FZ253&gt;FA253-1,IF(INDEX(Lista_Pedidos,FY253+FA253-1,2)&lt;&gt;"",INDEX(Lista_Pedidos,FY253+FA253-1,2),""),""),"")</f>
        <v/>
      </c>
      <c r="FX260" s="824"/>
      <c r="FY260" s="824"/>
      <c r="FZ260" s="825"/>
      <c r="GA260" s="823"/>
      <c r="GB260" s="824"/>
      <c r="GC260" s="824"/>
      <c r="GD260" s="824"/>
      <c r="GE260" s="824"/>
      <c r="GF260" s="824"/>
      <c r="GG260" s="824"/>
      <c r="GH260" s="824"/>
      <c r="GI260" s="824"/>
      <c r="GJ260" s="824"/>
      <c r="GK260" s="824"/>
      <c r="GL260" s="824"/>
      <c r="GM260" s="824"/>
      <c r="GN260" s="824"/>
      <c r="GO260" s="824"/>
      <c r="GP260" s="824"/>
      <c r="GQ260" s="824"/>
      <c r="GR260" s="824"/>
      <c r="GS260" s="824"/>
      <c r="GT260" s="824"/>
      <c r="GU260" s="824"/>
      <c r="GV260" s="824"/>
      <c r="GW260" s="824" t="str">
        <f>IFERROR(IF(GZ253&gt;GA253-1,IF(INDEX(Lista_Pedidos,GY253+GA253-1,2)&lt;&gt;"",INDEX(Lista_Pedidos,GY253+GA253-1,2),""),""),"")</f>
        <v/>
      </c>
      <c r="GX260" s="824"/>
      <c r="GY260" s="824"/>
      <c r="GZ260" s="825"/>
      <c r="HA260" s="823"/>
      <c r="HB260" s="824"/>
      <c r="HC260" s="824"/>
      <c r="HD260" s="824"/>
      <c r="HE260" s="824"/>
      <c r="HF260" s="824"/>
      <c r="HG260" s="824"/>
      <c r="HH260" s="824"/>
      <c r="HI260" s="824"/>
      <c r="HJ260" s="824"/>
      <c r="HK260" s="824"/>
      <c r="HL260" s="824"/>
      <c r="HM260" s="824"/>
      <c r="HN260" s="824"/>
      <c r="HO260" s="824"/>
      <c r="HP260" s="824"/>
      <c r="HQ260" s="824"/>
      <c r="HR260" s="824"/>
      <c r="HS260" s="824"/>
      <c r="HT260" s="824"/>
      <c r="HU260" s="824"/>
      <c r="HV260" s="824"/>
      <c r="HW260" s="824" t="str">
        <f>IFERROR(IF(HZ253&gt;HA253-1,IF(INDEX(Lista_Pedidos,HY253+HA253-1,2)&lt;&gt;"",INDEX(Lista_Pedidos,HY253+HA253-1,2),""),""),"")</f>
        <v/>
      </c>
      <c r="HX260" s="824"/>
      <c r="HY260" s="824"/>
      <c r="HZ260" s="825"/>
      <c r="IA260" s="823"/>
      <c r="IB260" s="824"/>
      <c r="IC260" s="824"/>
      <c r="ID260" s="824"/>
      <c r="IE260" s="824"/>
      <c r="IF260" s="824"/>
      <c r="IG260" s="824"/>
      <c r="IH260" s="824"/>
      <c r="II260" s="824"/>
      <c r="IJ260" s="824"/>
      <c r="IK260" s="824"/>
      <c r="IL260" s="824"/>
      <c r="IM260" s="824"/>
      <c r="IN260" s="824"/>
      <c r="IO260" s="824"/>
      <c r="IP260" s="824"/>
      <c r="IQ260" s="824"/>
      <c r="IR260" s="824"/>
      <c r="IS260" s="824"/>
      <c r="IT260" s="824"/>
      <c r="IU260" s="824"/>
      <c r="IV260" s="824"/>
      <c r="IW260" s="824" t="str">
        <f>IFERROR(IF(IZ253&gt;IA253-1,IF(INDEX(Lista_Pedidos,IY253+IA253-1,2)&lt;&gt;"",INDEX(Lista_Pedidos,IY253+IA253-1,2),""),""),"")</f>
        <v/>
      </c>
      <c r="IX260" s="824"/>
      <c r="IY260" s="824"/>
      <c r="IZ260" s="825"/>
    </row>
    <row r="261" spans="1:260" x14ac:dyDescent="0.25">
      <c r="A261" s="800" t="str">
        <f>IFERROR(IF(Z253&gt;A253-1,IF(INDEX(Lista_Pedidos,Y253+A253-1,6)&lt;&gt;"","Nombre de la Tela :     "&amp; INDEX(Lista_Pedidos,Y253+A253-1,6),""),""),"")</f>
        <v/>
      </c>
      <c r="B261" s="801"/>
      <c r="C261" s="801"/>
      <c r="D261" s="801"/>
      <c r="E261" s="801"/>
      <c r="F261" s="801"/>
      <c r="G261" s="801"/>
      <c r="H261" s="801"/>
      <c r="I261" s="801"/>
      <c r="J261" s="801"/>
      <c r="K261" s="801"/>
      <c r="L261" s="801"/>
      <c r="M261" s="801"/>
      <c r="N261" s="801"/>
      <c r="O261" s="801"/>
      <c r="P261" s="801"/>
      <c r="Q261" s="801"/>
      <c r="R261" s="801"/>
      <c r="S261" s="801"/>
      <c r="T261" s="801"/>
      <c r="U261" s="801"/>
      <c r="V261" s="801"/>
      <c r="W261" s="826"/>
      <c r="X261" s="826"/>
      <c r="Y261" s="826"/>
      <c r="Z261" s="827"/>
      <c r="AA261" s="800" t="str">
        <f>IFERROR(IF(AZ253&gt;AA253-1,IF(INDEX(Lista_Pedidos,AY253+AA253-1,6)&lt;&gt;"","Nombre de la Tela :     "&amp; INDEX(Lista_Pedidos,AY253+AA253-1,6),""),""),"")</f>
        <v/>
      </c>
      <c r="AB261" s="801"/>
      <c r="AC261" s="801"/>
      <c r="AD261" s="801"/>
      <c r="AE261" s="801"/>
      <c r="AF261" s="801"/>
      <c r="AG261" s="801"/>
      <c r="AH261" s="801"/>
      <c r="AI261" s="801"/>
      <c r="AJ261" s="801"/>
      <c r="AK261" s="801"/>
      <c r="AL261" s="801"/>
      <c r="AM261" s="801"/>
      <c r="AN261" s="801"/>
      <c r="AO261" s="801"/>
      <c r="AP261" s="801"/>
      <c r="AQ261" s="801"/>
      <c r="AR261" s="801"/>
      <c r="AS261" s="801"/>
      <c r="AT261" s="801"/>
      <c r="AU261" s="801"/>
      <c r="AV261" s="801"/>
      <c r="AW261" s="826"/>
      <c r="AX261" s="826"/>
      <c r="AY261" s="826"/>
      <c r="AZ261" s="827"/>
      <c r="BA261" s="800" t="str">
        <f>IFERROR(IF(BZ253&gt;BA253-1,IF(INDEX(Lista_Pedidos,BY253+BA253-1,6)&lt;&gt;"","Nombre de la Tela :     "&amp; INDEX(Lista_Pedidos,BY253+BA253-1,6),""),""),"")</f>
        <v/>
      </c>
      <c r="BB261" s="801"/>
      <c r="BC261" s="801"/>
      <c r="BD261" s="801"/>
      <c r="BE261" s="801"/>
      <c r="BF261" s="801"/>
      <c r="BG261" s="801"/>
      <c r="BH261" s="801"/>
      <c r="BI261" s="801"/>
      <c r="BJ261" s="801"/>
      <c r="BK261" s="801"/>
      <c r="BL261" s="801"/>
      <c r="BM261" s="801"/>
      <c r="BN261" s="801"/>
      <c r="BO261" s="801"/>
      <c r="BP261" s="801"/>
      <c r="BQ261" s="801"/>
      <c r="BR261" s="801"/>
      <c r="BS261" s="801"/>
      <c r="BT261" s="801"/>
      <c r="BU261" s="801"/>
      <c r="BV261" s="801"/>
      <c r="BW261" s="826"/>
      <c r="BX261" s="826"/>
      <c r="BY261" s="826"/>
      <c r="BZ261" s="827"/>
      <c r="CA261" s="800" t="str">
        <f>IFERROR(IF(CZ253&gt;CA253-1,IF(INDEX(Lista_Pedidos,CY253+CA253-1,6)&lt;&gt;"","Nombre de la Tela :     "&amp; INDEX(Lista_Pedidos,CY253+CA253-1,6),""),""),"")</f>
        <v/>
      </c>
      <c r="CB261" s="801"/>
      <c r="CC261" s="801"/>
      <c r="CD261" s="801"/>
      <c r="CE261" s="801"/>
      <c r="CF261" s="801"/>
      <c r="CG261" s="801"/>
      <c r="CH261" s="801"/>
      <c r="CI261" s="801"/>
      <c r="CJ261" s="801"/>
      <c r="CK261" s="801"/>
      <c r="CL261" s="801"/>
      <c r="CM261" s="801"/>
      <c r="CN261" s="801"/>
      <c r="CO261" s="801"/>
      <c r="CP261" s="801"/>
      <c r="CQ261" s="801"/>
      <c r="CR261" s="801"/>
      <c r="CS261" s="801"/>
      <c r="CT261" s="801"/>
      <c r="CU261" s="801"/>
      <c r="CV261" s="801"/>
      <c r="CW261" s="826"/>
      <c r="CX261" s="826"/>
      <c r="CY261" s="826"/>
      <c r="CZ261" s="827"/>
      <c r="DA261" s="800" t="str">
        <f>IFERROR(IF(DZ253&gt;DA253-1,IF(INDEX(Lista_Pedidos,DY253+DA253-1,6)&lt;&gt;"","Nombre de la Tela :     "&amp; INDEX(Lista_Pedidos,DY253+DA253-1,6),""),""),"")</f>
        <v/>
      </c>
      <c r="DB261" s="801"/>
      <c r="DC261" s="801"/>
      <c r="DD261" s="801"/>
      <c r="DE261" s="801"/>
      <c r="DF261" s="801"/>
      <c r="DG261" s="801"/>
      <c r="DH261" s="801"/>
      <c r="DI261" s="801"/>
      <c r="DJ261" s="801"/>
      <c r="DK261" s="801"/>
      <c r="DL261" s="801"/>
      <c r="DM261" s="801"/>
      <c r="DN261" s="801"/>
      <c r="DO261" s="801"/>
      <c r="DP261" s="801"/>
      <c r="DQ261" s="801"/>
      <c r="DR261" s="801"/>
      <c r="DS261" s="801"/>
      <c r="DT261" s="801"/>
      <c r="DU261" s="801"/>
      <c r="DV261" s="801"/>
      <c r="DW261" s="826"/>
      <c r="DX261" s="826"/>
      <c r="DY261" s="826"/>
      <c r="DZ261" s="827"/>
      <c r="EA261" s="800" t="str">
        <f>IFERROR(IF(EZ253&gt;EA253-1,IF(INDEX(Lista_Pedidos,EY253+EA253-1,6)&lt;&gt;"","Nombre de la Tela :     "&amp; INDEX(Lista_Pedidos,EY253+EA253-1,6),""),""),"")</f>
        <v/>
      </c>
      <c r="EB261" s="801"/>
      <c r="EC261" s="801"/>
      <c r="ED261" s="801"/>
      <c r="EE261" s="801"/>
      <c r="EF261" s="801"/>
      <c r="EG261" s="801"/>
      <c r="EH261" s="801"/>
      <c r="EI261" s="801"/>
      <c r="EJ261" s="801"/>
      <c r="EK261" s="801"/>
      <c r="EL261" s="801"/>
      <c r="EM261" s="801"/>
      <c r="EN261" s="801"/>
      <c r="EO261" s="801"/>
      <c r="EP261" s="801"/>
      <c r="EQ261" s="801"/>
      <c r="ER261" s="801"/>
      <c r="ES261" s="801"/>
      <c r="ET261" s="801"/>
      <c r="EU261" s="801"/>
      <c r="EV261" s="801"/>
      <c r="EW261" s="826"/>
      <c r="EX261" s="826"/>
      <c r="EY261" s="826"/>
      <c r="EZ261" s="827"/>
      <c r="FA261" s="800" t="str">
        <f>IFERROR(IF(FZ253&gt;FA253-1,IF(INDEX(Lista_Pedidos,FY253+FA253-1,6)&lt;&gt;"","Nombre de la Tela :     "&amp; INDEX(Lista_Pedidos,FY253+FA253-1,6),""),""),"")</f>
        <v/>
      </c>
      <c r="FB261" s="801"/>
      <c r="FC261" s="801"/>
      <c r="FD261" s="801"/>
      <c r="FE261" s="801"/>
      <c r="FF261" s="801"/>
      <c r="FG261" s="801"/>
      <c r="FH261" s="801"/>
      <c r="FI261" s="801"/>
      <c r="FJ261" s="801"/>
      <c r="FK261" s="801"/>
      <c r="FL261" s="801"/>
      <c r="FM261" s="801"/>
      <c r="FN261" s="801"/>
      <c r="FO261" s="801"/>
      <c r="FP261" s="801"/>
      <c r="FQ261" s="801"/>
      <c r="FR261" s="801"/>
      <c r="FS261" s="801"/>
      <c r="FT261" s="801"/>
      <c r="FU261" s="801"/>
      <c r="FV261" s="801"/>
      <c r="FW261" s="826"/>
      <c r="FX261" s="826"/>
      <c r="FY261" s="826"/>
      <c r="FZ261" s="827"/>
      <c r="GA261" s="800" t="str">
        <f>IFERROR(IF(GZ253&gt;GA253-1,IF(INDEX(Lista_Pedidos,GY253+GA253-1,6)&lt;&gt;"","Nombre de la Tela :     "&amp; INDEX(Lista_Pedidos,GY253+GA253-1,6),""),""),"")</f>
        <v/>
      </c>
      <c r="GB261" s="801"/>
      <c r="GC261" s="801"/>
      <c r="GD261" s="801"/>
      <c r="GE261" s="801"/>
      <c r="GF261" s="801"/>
      <c r="GG261" s="801"/>
      <c r="GH261" s="801"/>
      <c r="GI261" s="801"/>
      <c r="GJ261" s="801"/>
      <c r="GK261" s="801"/>
      <c r="GL261" s="801"/>
      <c r="GM261" s="801"/>
      <c r="GN261" s="801"/>
      <c r="GO261" s="801"/>
      <c r="GP261" s="801"/>
      <c r="GQ261" s="801"/>
      <c r="GR261" s="801"/>
      <c r="GS261" s="801"/>
      <c r="GT261" s="801"/>
      <c r="GU261" s="801"/>
      <c r="GV261" s="801"/>
      <c r="GW261" s="826"/>
      <c r="GX261" s="826"/>
      <c r="GY261" s="826"/>
      <c r="GZ261" s="827"/>
      <c r="HA261" s="800" t="str">
        <f>IFERROR(IF(HZ253&gt;HA253-1,IF(INDEX(Lista_Pedidos,HY253+HA253-1,6)&lt;&gt;"","Nombre de la Tela :     "&amp; INDEX(Lista_Pedidos,HY253+HA253-1,6),""),""),"")</f>
        <v/>
      </c>
      <c r="HB261" s="801"/>
      <c r="HC261" s="801"/>
      <c r="HD261" s="801"/>
      <c r="HE261" s="801"/>
      <c r="HF261" s="801"/>
      <c r="HG261" s="801"/>
      <c r="HH261" s="801"/>
      <c r="HI261" s="801"/>
      <c r="HJ261" s="801"/>
      <c r="HK261" s="801"/>
      <c r="HL261" s="801"/>
      <c r="HM261" s="801"/>
      <c r="HN261" s="801"/>
      <c r="HO261" s="801"/>
      <c r="HP261" s="801"/>
      <c r="HQ261" s="801"/>
      <c r="HR261" s="801"/>
      <c r="HS261" s="801"/>
      <c r="HT261" s="801"/>
      <c r="HU261" s="801"/>
      <c r="HV261" s="801"/>
      <c r="HW261" s="826"/>
      <c r="HX261" s="826"/>
      <c r="HY261" s="826"/>
      <c r="HZ261" s="827"/>
      <c r="IA261" s="800" t="str">
        <f>IFERROR(IF(IZ253&gt;IA253-1,IF(INDEX(Lista_Pedidos,IY253+IA253-1,6)&lt;&gt;"","Nombre de la Tela :     "&amp; INDEX(Lista_Pedidos,IY253+IA253-1,6),""),""),"")</f>
        <v/>
      </c>
      <c r="IB261" s="801"/>
      <c r="IC261" s="801"/>
      <c r="ID261" s="801"/>
      <c r="IE261" s="801"/>
      <c r="IF261" s="801"/>
      <c r="IG261" s="801"/>
      <c r="IH261" s="801"/>
      <c r="II261" s="801"/>
      <c r="IJ261" s="801"/>
      <c r="IK261" s="801"/>
      <c r="IL261" s="801"/>
      <c r="IM261" s="801"/>
      <c r="IN261" s="801"/>
      <c r="IO261" s="801"/>
      <c r="IP261" s="801"/>
      <c r="IQ261" s="801"/>
      <c r="IR261" s="801"/>
      <c r="IS261" s="801"/>
      <c r="IT261" s="801"/>
      <c r="IU261" s="801"/>
      <c r="IV261" s="801"/>
      <c r="IW261" s="826"/>
      <c r="IX261" s="826"/>
      <c r="IY261" s="826"/>
      <c r="IZ261" s="827"/>
    </row>
    <row r="262" spans="1:260" x14ac:dyDescent="0.25">
      <c r="A262" s="800" t="str">
        <f>IFERROR(IF(Z253&gt;A253-1,IF(INDEX(Lista_Pedidos,Y253+A253-1,7)&lt;&gt;"","Hilo :     "&amp; INDEX(Lista_Pedidos,Y253+A253-1,7),""),""),"")</f>
        <v/>
      </c>
      <c r="B262" s="801"/>
      <c r="C262" s="801"/>
      <c r="D262" s="801"/>
      <c r="E262" s="801"/>
      <c r="F262" s="801"/>
      <c r="G262" s="801"/>
      <c r="H262" s="801"/>
      <c r="I262" s="801"/>
      <c r="J262" s="801"/>
      <c r="K262" s="801"/>
      <c r="L262" s="801"/>
      <c r="M262" s="801"/>
      <c r="N262" s="801"/>
      <c r="O262" s="801"/>
      <c r="P262" s="801"/>
      <c r="Q262" s="801"/>
      <c r="R262" s="801"/>
      <c r="S262" s="801"/>
      <c r="T262" s="801"/>
      <c r="U262" s="801"/>
      <c r="V262" s="801"/>
      <c r="W262" s="801"/>
      <c r="X262" s="801"/>
      <c r="Y262" s="801"/>
      <c r="Z262" s="802"/>
      <c r="AA262" s="800" t="str">
        <f>IFERROR(IF(AZ253&gt;AA253-1,IF(INDEX(Lista_Pedidos,AY253+AA253-1,7)&lt;&gt;"","Hilo :     "&amp; INDEX(Lista_Pedidos,AY253+AA253-1,7),""),""),"")</f>
        <v/>
      </c>
      <c r="AB262" s="801"/>
      <c r="AC262" s="801"/>
      <c r="AD262" s="801"/>
      <c r="AE262" s="801"/>
      <c r="AF262" s="801"/>
      <c r="AG262" s="801"/>
      <c r="AH262" s="801"/>
      <c r="AI262" s="801"/>
      <c r="AJ262" s="801"/>
      <c r="AK262" s="801"/>
      <c r="AL262" s="801"/>
      <c r="AM262" s="801"/>
      <c r="AN262" s="801"/>
      <c r="AO262" s="801"/>
      <c r="AP262" s="801"/>
      <c r="AQ262" s="801"/>
      <c r="AR262" s="801"/>
      <c r="AS262" s="801"/>
      <c r="AT262" s="801"/>
      <c r="AU262" s="801"/>
      <c r="AV262" s="801"/>
      <c r="AW262" s="801"/>
      <c r="AX262" s="801"/>
      <c r="AY262" s="801"/>
      <c r="AZ262" s="802"/>
      <c r="BA262" s="800" t="str">
        <f>IFERROR(IF(BZ253&gt;BA253-1,IF(INDEX(Lista_Pedidos,BY253+BA253-1,7)&lt;&gt;"","Hilo :     "&amp; INDEX(Lista_Pedidos,BY253+BA253-1,7),""),""),"")</f>
        <v/>
      </c>
      <c r="BB262" s="801"/>
      <c r="BC262" s="801"/>
      <c r="BD262" s="801"/>
      <c r="BE262" s="801"/>
      <c r="BF262" s="801"/>
      <c r="BG262" s="801"/>
      <c r="BH262" s="801"/>
      <c r="BI262" s="801"/>
      <c r="BJ262" s="801"/>
      <c r="BK262" s="801"/>
      <c r="BL262" s="801"/>
      <c r="BM262" s="801"/>
      <c r="BN262" s="801"/>
      <c r="BO262" s="801"/>
      <c r="BP262" s="801"/>
      <c r="BQ262" s="801"/>
      <c r="BR262" s="801"/>
      <c r="BS262" s="801"/>
      <c r="BT262" s="801"/>
      <c r="BU262" s="801"/>
      <c r="BV262" s="801"/>
      <c r="BW262" s="801"/>
      <c r="BX262" s="801"/>
      <c r="BY262" s="801"/>
      <c r="BZ262" s="802"/>
      <c r="CA262" s="800" t="str">
        <f>IFERROR(IF(CZ253&gt;CA253-1,IF(INDEX(Lista_Pedidos,CY253+CA253-1,7)&lt;&gt;"","Hilo :     "&amp; INDEX(Lista_Pedidos,CY253+CA253-1,7),""),""),"")</f>
        <v/>
      </c>
      <c r="CB262" s="801"/>
      <c r="CC262" s="801"/>
      <c r="CD262" s="801"/>
      <c r="CE262" s="801"/>
      <c r="CF262" s="801"/>
      <c r="CG262" s="801"/>
      <c r="CH262" s="801"/>
      <c r="CI262" s="801"/>
      <c r="CJ262" s="801"/>
      <c r="CK262" s="801"/>
      <c r="CL262" s="801"/>
      <c r="CM262" s="801"/>
      <c r="CN262" s="801"/>
      <c r="CO262" s="801"/>
      <c r="CP262" s="801"/>
      <c r="CQ262" s="801"/>
      <c r="CR262" s="801"/>
      <c r="CS262" s="801"/>
      <c r="CT262" s="801"/>
      <c r="CU262" s="801"/>
      <c r="CV262" s="801"/>
      <c r="CW262" s="801"/>
      <c r="CX262" s="801"/>
      <c r="CY262" s="801"/>
      <c r="CZ262" s="802"/>
      <c r="DA262" s="800" t="str">
        <f>IFERROR(IF(DZ253&gt;DA253-1,IF(INDEX(Lista_Pedidos,DY253+DA253-1,7)&lt;&gt;"","Hilo :     "&amp; INDEX(Lista_Pedidos,DY253+DA253-1,7),""),""),"")</f>
        <v/>
      </c>
      <c r="DB262" s="801"/>
      <c r="DC262" s="801"/>
      <c r="DD262" s="801"/>
      <c r="DE262" s="801"/>
      <c r="DF262" s="801"/>
      <c r="DG262" s="801"/>
      <c r="DH262" s="801"/>
      <c r="DI262" s="801"/>
      <c r="DJ262" s="801"/>
      <c r="DK262" s="801"/>
      <c r="DL262" s="801"/>
      <c r="DM262" s="801"/>
      <c r="DN262" s="801"/>
      <c r="DO262" s="801"/>
      <c r="DP262" s="801"/>
      <c r="DQ262" s="801"/>
      <c r="DR262" s="801"/>
      <c r="DS262" s="801"/>
      <c r="DT262" s="801"/>
      <c r="DU262" s="801"/>
      <c r="DV262" s="801"/>
      <c r="DW262" s="801"/>
      <c r="DX262" s="801"/>
      <c r="DY262" s="801"/>
      <c r="DZ262" s="802"/>
      <c r="EA262" s="800" t="str">
        <f>IFERROR(IF(EZ253&gt;EA253-1,IF(INDEX(Lista_Pedidos,EY253+EA253-1,7)&lt;&gt;"","Hilo :     "&amp; INDEX(Lista_Pedidos,EY253+EA253-1,7),""),""),"")</f>
        <v/>
      </c>
      <c r="EB262" s="801"/>
      <c r="EC262" s="801"/>
      <c r="ED262" s="801"/>
      <c r="EE262" s="801"/>
      <c r="EF262" s="801"/>
      <c r="EG262" s="801"/>
      <c r="EH262" s="801"/>
      <c r="EI262" s="801"/>
      <c r="EJ262" s="801"/>
      <c r="EK262" s="801"/>
      <c r="EL262" s="801"/>
      <c r="EM262" s="801"/>
      <c r="EN262" s="801"/>
      <c r="EO262" s="801"/>
      <c r="EP262" s="801"/>
      <c r="EQ262" s="801"/>
      <c r="ER262" s="801"/>
      <c r="ES262" s="801"/>
      <c r="ET262" s="801"/>
      <c r="EU262" s="801"/>
      <c r="EV262" s="801"/>
      <c r="EW262" s="801"/>
      <c r="EX262" s="801"/>
      <c r="EY262" s="801"/>
      <c r="EZ262" s="802"/>
      <c r="FA262" s="800" t="str">
        <f>IFERROR(IF(FZ253&gt;FA253-1,IF(INDEX(Lista_Pedidos,FY253+FA253-1,7)&lt;&gt;"","Hilo :     "&amp; INDEX(Lista_Pedidos,FY253+FA253-1,7),""),""),"")</f>
        <v/>
      </c>
      <c r="FB262" s="801"/>
      <c r="FC262" s="801"/>
      <c r="FD262" s="801"/>
      <c r="FE262" s="801"/>
      <c r="FF262" s="801"/>
      <c r="FG262" s="801"/>
      <c r="FH262" s="801"/>
      <c r="FI262" s="801"/>
      <c r="FJ262" s="801"/>
      <c r="FK262" s="801"/>
      <c r="FL262" s="801"/>
      <c r="FM262" s="801"/>
      <c r="FN262" s="801"/>
      <c r="FO262" s="801"/>
      <c r="FP262" s="801"/>
      <c r="FQ262" s="801"/>
      <c r="FR262" s="801"/>
      <c r="FS262" s="801"/>
      <c r="FT262" s="801"/>
      <c r="FU262" s="801"/>
      <c r="FV262" s="801"/>
      <c r="FW262" s="801"/>
      <c r="FX262" s="801"/>
      <c r="FY262" s="801"/>
      <c r="FZ262" s="802"/>
      <c r="GA262" s="800" t="str">
        <f>IFERROR(IF(GZ253&gt;GA253-1,IF(INDEX(Lista_Pedidos,GY253+GA253-1,7)&lt;&gt;"","Hilo :     "&amp; INDEX(Lista_Pedidos,GY253+GA253-1,7),""),""),"")</f>
        <v/>
      </c>
      <c r="GB262" s="801"/>
      <c r="GC262" s="801"/>
      <c r="GD262" s="801"/>
      <c r="GE262" s="801"/>
      <c r="GF262" s="801"/>
      <c r="GG262" s="801"/>
      <c r="GH262" s="801"/>
      <c r="GI262" s="801"/>
      <c r="GJ262" s="801"/>
      <c r="GK262" s="801"/>
      <c r="GL262" s="801"/>
      <c r="GM262" s="801"/>
      <c r="GN262" s="801"/>
      <c r="GO262" s="801"/>
      <c r="GP262" s="801"/>
      <c r="GQ262" s="801"/>
      <c r="GR262" s="801"/>
      <c r="GS262" s="801"/>
      <c r="GT262" s="801"/>
      <c r="GU262" s="801"/>
      <c r="GV262" s="801"/>
      <c r="GW262" s="801"/>
      <c r="GX262" s="801"/>
      <c r="GY262" s="801"/>
      <c r="GZ262" s="802"/>
      <c r="HA262" s="800" t="str">
        <f>IFERROR(IF(HZ253&gt;HA253-1,IF(INDEX(Lista_Pedidos,HY253+HA253-1,7)&lt;&gt;"","Hilo :     "&amp; INDEX(Lista_Pedidos,HY253+HA253-1,7),""),""),"")</f>
        <v/>
      </c>
      <c r="HB262" s="801"/>
      <c r="HC262" s="801"/>
      <c r="HD262" s="801"/>
      <c r="HE262" s="801"/>
      <c r="HF262" s="801"/>
      <c r="HG262" s="801"/>
      <c r="HH262" s="801"/>
      <c r="HI262" s="801"/>
      <c r="HJ262" s="801"/>
      <c r="HK262" s="801"/>
      <c r="HL262" s="801"/>
      <c r="HM262" s="801"/>
      <c r="HN262" s="801"/>
      <c r="HO262" s="801"/>
      <c r="HP262" s="801"/>
      <c r="HQ262" s="801"/>
      <c r="HR262" s="801"/>
      <c r="HS262" s="801"/>
      <c r="HT262" s="801"/>
      <c r="HU262" s="801"/>
      <c r="HV262" s="801"/>
      <c r="HW262" s="801"/>
      <c r="HX262" s="801"/>
      <c r="HY262" s="801"/>
      <c r="HZ262" s="802"/>
      <c r="IA262" s="800" t="str">
        <f>IFERROR(IF(IZ253&gt;IA253-1,IF(INDEX(Lista_Pedidos,IY253+IA253-1,7)&lt;&gt;"","Hilo :     "&amp; INDEX(Lista_Pedidos,IY253+IA253-1,7),""),""),"")</f>
        <v/>
      </c>
      <c r="IB262" s="801"/>
      <c r="IC262" s="801"/>
      <c r="ID262" s="801"/>
      <c r="IE262" s="801"/>
      <c r="IF262" s="801"/>
      <c r="IG262" s="801"/>
      <c r="IH262" s="801"/>
      <c r="II262" s="801"/>
      <c r="IJ262" s="801"/>
      <c r="IK262" s="801"/>
      <c r="IL262" s="801"/>
      <c r="IM262" s="801"/>
      <c r="IN262" s="801"/>
      <c r="IO262" s="801"/>
      <c r="IP262" s="801"/>
      <c r="IQ262" s="801"/>
      <c r="IR262" s="801"/>
      <c r="IS262" s="801"/>
      <c r="IT262" s="801"/>
      <c r="IU262" s="801"/>
      <c r="IV262" s="801"/>
      <c r="IW262" s="801"/>
      <c r="IX262" s="801"/>
      <c r="IY262" s="801"/>
      <c r="IZ262" s="802"/>
    </row>
    <row r="263" spans="1:260" x14ac:dyDescent="0.25">
      <c r="A263" s="800" t="str">
        <f>IFERROR(IF(Z253&gt;A253-1,IF(INDEX(Lista_Pedidos,Y253+A253-1,8)&lt;&gt;"","Forro :     "&amp; INDEX(Lista_Pedidos,Y253+A253-1,8),""),""),"")</f>
        <v/>
      </c>
      <c r="B263" s="801"/>
      <c r="C263" s="801"/>
      <c r="D263" s="801"/>
      <c r="E263" s="801"/>
      <c r="F263" s="801"/>
      <c r="G263" s="801"/>
      <c r="H263" s="801"/>
      <c r="I263" s="801"/>
      <c r="J263" s="801"/>
      <c r="K263" s="801"/>
      <c r="L263" s="801"/>
      <c r="M263" s="801"/>
      <c r="N263" s="801"/>
      <c r="O263" s="801"/>
      <c r="P263" s="801"/>
      <c r="Q263" s="801"/>
      <c r="R263" s="801"/>
      <c r="S263" s="801"/>
      <c r="T263" s="801"/>
      <c r="U263" s="801"/>
      <c r="V263" s="801"/>
      <c r="W263" s="801"/>
      <c r="X263" s="801"/>
      <c r="Y263" s="801"/>
      <c r="Z263" s="802"/>
      <c r="AA263" s="800" t="str">
        <f>IFERROR(IF(AZ253&gt;AA253-1,IF(INDEX(Lista_Pedidos,AY253+AA253-1,8)&lt;&gt;"","Forro :     "&amp; INDEX(Lista_Pedidos,AY253+AA253-1,8),""),""),"")</f>
        <v/>
      </c>
      <c r="AB263" s="801"/>
      <c r="AC263" s="801"/>
      <c r="AD263" s="801"/>
      <c r="AE263" s="801"/>
      <c r="AF263" s="801"/>
      <c r="AG263" s="801"/>
      <c r="AH263" s="801"/>
      <c r="AI263" s="801"/>
      <c r="AJ263" s="801"/>
      <c r="AK263" s="801"/>
      <c r="AL263" s="801"/>
      <c r="AM263" s="801"/>
      <c r="AN263" s="801"/>
      <c r="AO263" s="801"/>
      <c r="AP263" s="801"/>
      <c r="AQ263" s="801"/>
      <c r="AR263" s="801"/>
      <c r="AS263" s="801"/>
      <c r="AT263" s="801"/>
      <c r="AU263" s="801"/>
      <c r="AV263" s="801"/>
      <c r="AW263" s="801"/>
      <c r="AX263" s="801"/>
      <c r="AY263" s="801"/>
      <c r="AZ263" s="802"/>
      <c r="BA263" s="800" t="str">
        <f>IFERROR(IF(BZ253&gt;BA253-1,IF(INDEX(Lista_Pedidos,BY253+BA253-1,8)&lt;&gt;"","Forro :     "&amp; INDEX(Lista_Pedidos,BY253+BA253-1,8),""),""),"")</f>
        <v/>
      </c>
      <c r="BB263" s="801"/>
      <c r="BC263" s="801"/>
      <c r="BD263" s="801"/>
      <c r="BE263" s="801"/>
      <c r="BF263" s="801"/>
      <c r="BG263" s="801"/>
      <c r="BH263" s="801"/>
      <c r="BI263" s="801"/>
      <c r="BJ263" s="801"/>
      <c r="BK263" s="801"/>
      <c r="BL263" s="801"/>
      <c r="BM263" s="801"/>
      <c r="BN263" s="801"/>
      <c r="BO263" s="801"/>
      <c r="BP263" s="801"/>
      <c r="BQ263" s="801"/>
      <c r="BR263" s="801"/>
      <c r="BS263" s="801"/>
      <c r="BT263" s="801"/>
      <c r="BU263" s="801"/>
      <c r="BV263" s="801"/>
      <c r="BW263" s="801"/>
      <c r="BX263" s="801"/>
      <c r="BY263" s="801"/>
      <c r="BZ263" s="802"/>
      <c r="CA263" s="800" t="str">
        <f>IFERROR(IF(CZ253&gt;CA253-1,IF(INDEX(Lista_Pedidos,CY253+CA253-1,8)&lt;&gt;"","Forro :     "&amp; INDEX(Lista_Pedidos,CY253+CA253-1,8),""),""),"")</f>
        <v/>
      </c>
      <c r="CB263" s="801"/>
      <c r="CC263" s="801"/>
      <c r="CD263" s="801"/>
      <c r="CE263" s="801"/>
      <c r="CF263" s="801"/>
      <c r="CG263" s="801"/>
      <c r="CH263" s="801"/>
      <c r="CI263" s="801"/>
      <c r="CJ263" s="801"/>
      <c r="CK263" s="801"/>
      <c r="CL263" s="801"/>
      <c r="CM263" s="801"/>
      <c r="CN263" s="801"/>
      <c r="CO263" s="801"/>
      <c r="CP263" s="801"/>
      <c r="CQ263" s="801"/>
      <c r="CR263" s="801"/>
      <c r="CS263" s="801"/>
      <c r="CT263" s="801"/>
      <c r="CU263" s="801"/>
      <c r="CV263" s="801"/>
      <c r="CW263" s="801"/>
      <c r="CX263" s="801"/>
      <c r="CY263" s="801"/>
      <c r="CZ263" s="802"/>
      <c r="DA263" s="800" t="str">
        <f>IFERROR(IF(DZ253&gt;DA253-1,IF(INDEX(Lista_Pedidos,DY253+DA253-1,8)&lt;&gt;"","Forro :     "&amp; INDEX(Lista_Pedidos,DY253+DA253-1,8),""),""),"")</f>
        <v/>
      </c>
      <c r="DB263" s="801"/>
      <c r="DC263" s="801"/>
      <c r="DD263" s="801"/>
      <c r="DE263" s="801"/>
      <c r="DF263" s="801"/>
      <c r="DG263" s="801"/>
      <c r="DH263" s="801"/>
      <c r="DI263" s="801"/>
      <c r="DJ263" s="801"/>
      <c r="DK263" s="801"/>
      <c r="DL263" s="801"/>
      <c r="DM263" s="801"/>
      <c r="DN263" s="801"/>
      <c r="DO263" s="801"/>
      <c r="DP263" s="801"/>
      <c r="DQ263" s="801"/>
      <c r="DR263" s="801"/>
      <c r="DS263" s="801"/>
      <c r="DT263" s="801"/>
      <c r="DU263" s="801"/>
      <c r="DV263" s="801"/>
      <c r="DW263" s="801"/>
      <c r="DX263" s="801"/>
      <c r="DY263" s="801"/>
      <c r="DZ263" s="802"/>
      <c r="EA263" s="800" t="str">
        <f>IFERROR(IF(EZ253&gt;EA253-1,IF(INDEX(Lista_Pedidos,EY253+EA253-1,8)&lt;&gt;"","Forro :     "&amp; INDEX(Lista_Pedidos,EY253+EA253-1,8),""),""),"")</f>
        <v/>
      </c>
      <c r="EB263" s="801"/>
      <c r="EC263" s="801"/>
      <c r="ED263" s="801"/>
      <c r="EE263" s="801"/>
      <c r="EF263" s="801"/>
      <c r="EG263" s="801"/>
      <c r="EH263" s="801"/>
      <c r="EI263" s="801"/>
      <c r="EJ263" s="801"/>
      <c r="EK263" s="801"/>
      <c r="EL263" s="801"/>
      <c r="EM263" s="801"/>
      <c r="EN263" s="801"/>
      <c r="EO263" s="801"/>
      <c r="EP263" s="801"/>
      <c r="EQ263" s="801"/>
      <c r="ER263" s="801"/>
      <c r="ES263" s="801"/>
      <c r="ET263" s="801"/>
      <c r="EU263" s="801"/>
      <c r="EV263" s="801"/>
      <c r="EW263" s="801"/>
      <c r="EX263" s="801"/>
      <c r="EY263" s="801"/>
      <c r="EZ263" s="802"/>
      <c r="FA263" s="800" t="str">
        <f>IFERROR(IF(FZ253&gt;FA253-1,IF(INDEX(Lista_Pedidos,FY253+FA253-1,8)&lt;&gt;"","Forro :     "&amp; INDEX(Lista_Pedidos,FY253+FA253-1,8),""),""),"")</f>
        <v/>
      </c>
      <c r="FB263" s="801"/>
      <c r="FC263" s="801"/>
      <c r="FD263" s="801"/>
      <c r="FE263" s="801"/>
      <c r="FF263" s="801"/>
      <c r="FG263" s="801"/>
      <c r="FH263" s="801"/>
      <c r="FI263" s="801"/>
      <c r="FJ263" s="801"/>
      <c r="FK263" s="801"/>
      <c r="FL263" s="801"/>
      <c r="FM263" s="801"/>
      <c r="FN263" s="801"/>
      <c r="FO263" s="801"/>
      <c r="FP263" s="801"/>
      <c r="FQ263" s="801"/>
      <c r="FR263" s="801"/>
      <c r="FS263" s="801"/>
      <c r="FT263" s="801"/>
      <c r="FU263" s="801"/>
      <c r="FV263" s="801"/>
      <c r="FW263" s="801"/>
      <c r="FX263" s="801"/>
      <c r="FY263" s="801"/>
      <c r="FZ263" s="802"/>
      <c r="GA263" s="800" t="str">
        <f>IFERROR(IF(GZ253&gt;GA253-1,IF(INDEX(Lista_Pedidos,GY253+GA253-1,8)&lt;&gt;"","Forro :     "&amp; INDEX(Lista_Pedidos,GY253+GA253-1,8),""),""),"")</f>
        <v/>
      </c>
      <c r="GB263" s="801"/>
      <c r="GC263" s="801"/>
      <c r="GD263" s="801"/>
      <c r="GE263" s="801"/>
      <c r="GF263" s="801"/>
      <c r="GG263" s="801"/>
      <c r="GH263" s="801"/>
      <c r="GI263" s="801"/>
      <c r="GJ263" s="801"/>
      <c r="GK263" s="801"/>
      <c r="GL263" s="801"/>
      <c r="GM263" s="801"/>
      <c r="GN263" s="801"/>
      <c r="GO263" s="801"/>
      <c r="GP263" s="801"/>
      <c r="GQ263" s="801"/>
      <c r="GR263" s="801"/>
      <c r="GS263" s="801"/>
      <c r="GT263" s="801"/>
      <c r="GU263" s="801"/>
      <c r="GV263" s="801"/>
      <c r="GW263" s="801"/>
      <c r="GX263" s="801"/>
      <c r="GY263" s="801"/>
      <c r="GZ263" s="802"/>
      <c r="HA263" s="800" t="str">
        <f>IFERROR(IF(HZ253&gt;HA253-1,IF(INDEX(Lista_Pedidos,HY253+HA253-1,8)&lt;&gt;"","Forro :     "&amp; INDEX(Lista_Pedidos,HY253+HA253-1,8),""),""),"")</f>
        <v/>
      </c>
      <c r="HB263" s="801"/>
      <c r="HC263" s="801"/>
      <c r="HD263" s="801"/>
      <c r="HE263" s="801"/>
      <c r="HF263" s="801"/>
      <c r="HG263" s="801"/>
      <c r="HH263" s="801"/>
      <c r="HI263" s="801"/>
      <c r="HJ263" s="801"/>
      <c r="HK263" s="801"/>
      <c r="HL263" s="801"/>
      <c r="HM263" s="801"/>
      <c r="HN263" s="801"/>
      <c r="HO263" s="801"/>
      <c r="HP263" s="801"/>
      <c r="HQ263" s="801"/>
      <c r="HR263" s="801"/>
      <c r="HS263" s="801"/>
      <c r="HT263" s="801"/>
      <c r="HU263" s="801"/>
      <c r="HV263" s="801"/>
      <c r="HW263" s="801"/>
      <c r="HX263" s="801"/>
      <c r="HY263" s="801"/>
      <c r="HZ263" s="802"/>
      <c r="IA263" s="800" t="str">
        <f>IFERROR(IF(IZ253&gt;IA253-1,IF(INDEX(Lista_Pedidos,IY253+IA253-1,8)&lt;&gt;"","Forro :     "&amp; INDEX(Lista_Pedidos,IY253+IA253-1,8),""),""),"")</f>
        <v/>
      </c>
      <c r="IB263" s="801"/>
      <c r="IC263" s="801"/>
      <c r="ID263" s="801"/>
      <c r="IE263" s="801"/>
      <c r="IF263" s="801"/>
      <c r="IG263" s="801"/>
      <c r="IH263" s="801"/>
      <c r="II263" s="801"/>
      <c r="IJ263" s="801"/>
      <c r="IK263" s="801"/>
      <c r="IL263" s="801"/>
      <c r="IM263" s="801"/>
      <c r="IN263" s="801"/>
      <c r="IO263" s="801"/>
      <c r="IP263" s="801"/>
      <c r="IQ263" s="801"/>
      <c r="IR263" s="801"/>
      <c r="IS263" s="801"/>
      <c r="IT263" s="801"/>
      <c r="IU263" s="801"/>
      <c r="IV263" s="801"/>
      <c r="IW263" s="801"/>
      <c r="IX263" s="801"/>
      <c r="IY263" s="801"/>
      <c r="IZ263" s="802"/>
    </row>
    <row r="264" spans="1:260" x14ac:dyDescent="0.25">
      <c r="A264" s="800" t="str">
        <f>IF(A$5="Cliente Especial : NEON",IF(Z253&gt;A253-1,"Neon :      Si",""),"")</f>
        <v/>
      </c>
      <c r="B264" s="801"/>
      <c r="C264" s="801"/>
      <c r="D264" s="801"/>
      <c r="E264" s="801"/>
      <c r="F264" s="801"/>
      <c r="G264" s="801"/>
      <c r="H264" s="801"/>
      <c r="I264" s="801"/>
      <c r="J264" s="801"/>
      <c r="K264" s="801"/>
      <c r="L264" s="801"/>
      <c r="M264" s="801"/>
      <c r="N264" s="801"/>
      <c r="O264" s="801"/>
      <c r="P264" s="801"/>
      <c r="Q264" s="801"/>
      <c r="R264" s="801"/>
      <c r="S264" s="801"/>
      <c r="T264" s="801"/>
      <c r="U264" s="801"/>
      <c r="V264" s="801"/>
      <c r="W264" s="801"/>
      <c r="X264" s="801"/>
      <c r="Y264" s="801"/>
      <c r="Z264" s="802"/>
      <c r="AA264" s="800" t="str">
        <f>IF(AA$5="Cliente Especial : NEON",IF(AZ253&gt;AA253-1,"Neon :      Si",""),"")</f>
        <v/>
      </c>
      <c r="AB264" s="801"/>
      <c r="AC264" s="801"/>
      <c r="AD264" s="801"/>
      <c r="AE264" s="801"/>
      <c r="AF264" s="801"/>
      <c r="AG264" s="801"/>
      <c r="AH264" s="801"/>
      <c r="AI264" s="801"/>
      <c r="AJ264" s="801"/>
      <c r="AK264" s="801"/>
      <c r="AL264" s="801"/>
      <c r="AM264" s="801"/>
      <c r="AN264" s="801"/>
      <c r="AO264" s="801"/>
      <c r="AP264" s="801"/>
      <c r="AQ264" s="801"/>
      <c r="AR264" s="801"/>
      <c r="AS264" s="801"/>
      <c r="AT264" s="801"/>
      <c r="AU264" s="801"/>
      <c r="AV264" s="801"/>
      <c r="AW264" s="801"/>
      <c r="AX264" s="801"/>
      <c r="AY264" s="801"/>
      <c r="AZ264" s="802"/>
      <c r="BA264" s="800" t="str">
        <f>IF(BA$5="Cliente Especial : NEON",IF(BZ253&gt;BA253-1,"Neon :      Si",""),"")</f>
        <v/>
      </c>
      <c r="BB264" s="801"/>
      <c r="BC264" s="801"/>
      <c r="BD264" s="801"/>
      <c r="BE264" s="801"/>
      <c r="BF264" s="801"/>
      <c r="BG264" s="801"/>
      <c r="BH264" s="801"/>
      <c r="BI264" s="801"/>
      <c r="BJ264" s="801"/>
      <c r="BK264" s="801"/>
      <c r="BL264" s="801"/>
      <c r="BM264" s="801"/>
      <c r="BN264" s="801"/>
      <c r="BO264" s="801"/>
      <c r="BP264" s="801"/>
      <c r="BQ264" s="801"/>
      <c r="BR264" s="801"/>
      <c r="BS264" s="801"/>
      <c r="BT264" s="801"/>
      <c r="BU264" s="801"/>
      <c r="BV264" s="801"/>
      <c r="BW264" s="801"/>
      <c r="BX264" s="801"/>
      <c r="BY264" s="801"/>
      <c r="BZ264" s="802"/>
      <c r="CA264" s="800" t="str">
        <f>IF(CA$5="Cliente Especial : NEON",IF(CZ253&gt;CA253-1,"Neon :      Si",""),"")</f>
        <v/>
      </c>
      <c r="CB264" s="801"/>
      <c r="CC264" s="801"/>
      <c r="CD264" s="801"/>
      <c r="CE264" s="801"/>
      <c r="CF264" s="801"/>
      <c r="CG264" s="801"/>
      <c r="CH264" s="801"/>
      <c r="CI264" s="801"/>
      <c r="CJ264" s="801"/>
      <c r="CK264" s="801"/>
      <c r="CL264" s="801"/>
      <c r="CM264" s="801"/>
      <c r="CN264" s="801"/>
      <c r="CO264" s="801"/>
      <c r="CP264" s="801"/>
      <c r="CQ264" s="801"/>
      <c r="CR264" s="801"/>
      <c r="CS264" s="801"/>
      <c r="CT264" s="801"/>
      <c r="CU264" s="801"/>
      <c r="CV264" s="801"/>
      <c r="CW264" s="801"/>
      <c r="CX264" s="801"/>
      <c r="CY264" s="801"/>
      <c r="CZ264" s="802"/>
      <c r="DA264" s="800" t="str">
        <f>IF(DA$5="Cliente Especial : NEON",IF(DZ253&gt;DA253-1,"Neon :      Si",""),"")</f>
        <v/>
      </c>
      <c r="DB264" s="801"/>
      <c r="DC264" s="801"/>
      <c r="DD264" s="801"/>
      <c r="DE264" s="801"/>
      <c r="DF264" s="801"/>
      <c r="DG264" s="801"/>
      <c r="DH264" s="801"/>
      <c r="DI264" s="801"/>
      <c r="DJ264" s="801"/>
      <c r="DK264" s="801"/>
      <c r="DL264" s="801"/>
      <c r="DM264" s="801"/>
      <c r="DN264" s="801"/>
      <c r="DO264" s="801"/>
      <c r="DP264" s="801"/>
      <c r="DQ264" s="801"/>
      <c r="DR264" s="801"/>
      <c r="DS264" s="801"/>
      <c r="DT264" s="801"/>
      <c r="DU264" s="801"/>
      <c r="DV264" s="801"/>
      <c r="DW264" s="801"/>
      <c r="DX264" s="801"/>
      <c r="DY264" s="801"/>
      <c r="DZ264" s="802"/>
      <c r="EA264" s="800" t="str">
        <f>IF(EA$5="Cliente Especial : NEON",IF(EZ253&gt;EA253-1,"Neon :      Si",""),"")</f>
        <v/>
      </c>
      <c r="EB264" s="801"/>
      <c r="EC264" s="801"/>
      <c r="ED264" s="801"/>
      <c r="EE264" s="801"/>
      <c r="EF264" s="801"/>
      <c r="EG264" s="801"/>
      <c r="EH264" s="801"/>
      <c r="EI264" s="801"/>
      <c r="EJ264" s="801"/>
      <c r="EK264" s="801"/>
      <c r="EL264" s="801"/>
      <c r="EM264" s="801"/>
      <c r="EN264" s="801"/>
      <c r="EO264" s="801"/>
      <c r="EP264" s="801"/>
      <c r="EQ264" s="801"/>
      <c r="ER264" s="801"/>
      <c r="ES264" s="801"/>
      <c r="ET264" s="801"/>
      <c r="EU264" s="801"/>
      <c r="EV264" s="801"/>
      <c r="EW264" s="801"/>
      <c r="EX264" s="801"/>
      <c r="EY264" s="801"/>
      <c r="EZ264" s="802"/>
      <c r="FA264" s="800" t="str">
        <f>IF(FA$5="Cliente Especial : NEON",IF(FZ253&gt;FA253-1,"Neon :      Si",""),"")</f>
        <v/>
      </c>
      <c r="FB264" s="801"/>
      <c r="FC264" s="801"/>
      <c r="FD264" s="801"/>
      <c r="FE264" s="801"/>
      <c r="FF264" s="801"/>
      <c r="FG264" s="801"/>
      <c r="FH264" s="801"/>
      <c r="FI264" s="801"/>
      <c r="FJ264" s="801"/>
      <c r="FK264" s="801"/>
      <c r="FL264" s="801"/>
      <c r="FM264" s="801"/>
      <c r="FN264" s="801"/>
      <c r="FO264" s="801"/>
      <c r="FP264" s="801"/>
      <c r="FQ264" s="801"/>
      <c r="FR264" s="801"/>
      <c r="FS264" s="801"/>
      <c r="FT264" s="801"/>
      <c r="FU264" s="801"/>
      <c r="FV264" s="801"/>
      <c r="FW264" s="801"/>
      <c r="FX264" s="801"/>
      <c r="FY264" s="801"/>
      <c r="FZ264" s="802"/>
      <c r="GA264" s="800" t="str">
        <f>IF(GA$5="Cliente Especial : NEON",IF(GZ253&gt;GA253-1,"Neon :      Si",""),"")</f>
        <v/>
      </c>
      <c r="GB264" s="801"/>
      <c r="GC264" s="801"/>
      <c r="GD264" s="801"/>
      <c r="GE264" s="801"/>
      <c r="GF264" s="801"/>
      <c r="GG264" s="801"/>
      <c r="GH264" s="801"/>
      <c r="GI264" s="801"/>
      <c r="GJ264" s="801"/>
      <c r="GK264" s="801"/>
      <c r="GL264" s="801"/>
      <c r="GM264" s="801"/>
      <c r="GN264" s="801"/>
      <c r="GO264" s="801"/>
      <c r="GP264" s="801"/>
      <c r="GQ264" s="801"/>
      <c r="GR264" s="801"/>
      <c r="GS264" s="801"/>
      <c r="GT264" s="801"/>
      <c r="GU264" s="801"/>
      <c r="GV264" s="801"/>
      <c r="GW264" s="801"/>
      <c r="GX264" s="801"/>
      <c r="GY264" s="801"/>
      <c r="GZ264" s="802"/>
      <c r="HA264" s="800" t="str">
        <f>IF(HA$5="Cliente Especial : NEON",IF(HZ253&gt;HA253-1,"Neon :      Si",""),"")</f>
        <v/>
      </c>
      <c r="HB264" s="801"/>
      <c r="HC264" s="801"/>
      <c r="HD264" s="801"/>
      <c r="HE264" s="801"/>
      <c r="HF264" s="801"/>
      <c r="HG264" s="801"/>
      <c r="HH264" s="801"/>
      <c r="HI264" s="801"/>
      <c r="HJ264" s="801"/>
      <c r="HK264" s="801"/>
      <c r="HL264" s="801"/>
      <c r="HM264" s="801"/>
      <c r="HN264" s="801"/>
      <c r="HO264" s="801"/>
      <c r="HP264" s="801"/>
      <c r="HQ264" s="801"/>
      <c r="HR264" s="801"/>
      <c r="HS264" s="801"/>
      <c r="HT264" s="801"/>
      <c r="HU264" s="801"/>
      <c r="HV264" s="801"/>
      <c r="HW264" s="801"/>
      <c r="HX264" s="801"/>
      <c r="HY264" s="801"/>
      <c r="HZ264" s="802"/>
      <c r="IA264" s="800" t="str">
        <f>IF(IA$5="Cliente Especial : NEON",IF(IZ253&gt;IA253-1,"Neon :      Si",""),"")</f>
        <v/>
      </c>
      <c r="IB264" s="801"/>
      <c r="IC264" s="801"/>
      <c r="ID264" s="801"/>
      <c r="IE264" s="801"/>
      <c r="IF264" s="801"/>
      <c r="IG264" s="801"/>
      <c r="IH264" s="801"/>
      <c r="II264" s="801"/>
      <c r="IJ264" s="801"/>
      <c r="IK264" s="801"/>
      <c r="IL264" s="801"/>
      <c r="IM264" s="801"/>
      <c r="IN264" s="801"/>
      <c r="IO264" s="801"/>
      <c r="IP264" s="801"/>
      <c r="IQ264" s="801"/>
      <c r="IR264" s="801"/>
      <c r="IS264" s="801"/>
      <c r="IT264" s="801"/>
      <c r="IU264" s="801"/>
      <c r="IV264" s="801"/>
      <c r="IW264" s="801"/>
      <c r="IX264" s="801"/>
      <c r="IY264" s="801"/>
      <c r="IZ264" s="802"/>
    </row>
    <row r="265" spans="1:260" x14ac:dyDescent="0.25">
      <c r="A265" s="800" t="str">
        <f>IFERROR(IF(Z253&gt;A253-1,IF(INDEX(Pedidos!J:AZ,Y253+A253-1,9)&lt;&gt;"","Cierre :     "&amp; INDEX(Pedidos!J:AZ,Y253+A253-1,9),""),""),"")</f>
        <v/>
      </c>
      <c r="B265" s="801"/>
      <c r="C265" s="801"/>
      <c r="D265" s="801"/>
      <c r="E265" s="801"/>
      <c r="F265" s="801"/>
      <c r="G265" s="801"/>
      <c r="H265" s="801"/>
      <c r="I265" s="801"/>
      <c r="J265" s="801"/>
      <c r="K265" s="801"/>
      <c r="L265" s="801"/>
      <c r="M265" s="801"/>
      <c r="N265" s="801"/>
      <c r="O265" s="801"/>
      <c r="P265" s="801"/>
      <c r="Q265" s="801"/>
      <c r="R265" s="801"/>
      <c r="S265" s="801"/>
      <c r="T265" s="801"/>
      <c r="U265" s="801"/>
      <c r="V265" s="801"/>
      <c r="W265" s="801"/>
      <c r="X265" s="801"/>
      <c r="Y265" s="801"/>
      <c r="Z265" s="802"/>
      <c r="AA265" s="800" t="str">
        <f>IFERROR(IF(AZ253&gt;AA253-1,IF(INDEX(Pedidos!AJ:BZ,AY253+AA253-1,9)&lt;&gt;"","Cierre :     "&amp; INDEX(Pedidos!AJ:BZ,AY253+AA253-1,9),""),""),"")</f>
        <v/>
      </c>
      <c r="AB265" s="801"/>
      <c r="AC265" s="801"/>
      <c r="AD265" s="801"/>
      <c r="AE265" s="801"/>
      <c r="AF265" s="801"/>
      <c r="AG265" s="801"/>
      <c r="AH265" s="801"/>
      <c r="AI265" s="801"/>
      <c r="AJ265" s="801"/>
      <c r="AK265" s="801"/>
      <c r="AL265" s="801"/>
      <c r="AM265" s="801"/>
      <c r="AN265" s="801"/>
      <c r="AO265" s="801"/>
      <c r="AP265" s="801"/>
      <c r="AQ265" s="801"/>
      <c r="AR265" s="801"/>
      <c r="AS265" s="801"/>
      <c r="AT265" s="801"/>
      <c r="AU265" s="801"/>
      <c r="AV265" s="801"/>
      <c r="AW265" s="801"/>
      <c r="AX265" s="801"/>
      <c r="AY265" s="801"/>
      <c r="AZ265" s="802"/>
      <c r="BA265" s="800" t="str">
        <f>IFERROR(IF(BZ253&gt;BA253-1,IF(INDEX(Pedidos!BJ:CZ,BY253+BA253-1,9)&lt;&gt;"","Cierre :     "&amp; INDEX(Pedidos!BJ:CZ,BY253+BA253-1,9),""),""),"")</f>
        <v/>
      </c>
      <c r="BB265" s="801"/>
      <c r="BC265" s="801"/>
      <c r="BD265" s="801"/>
      <c r="BE265" s="801"/>
      <c r="BF265" s="801"/>
      <c r="BG265" s="801"/>
      <c r="BH265" s="801"/>
      <c r="BI265" s="801"/>
      <c r="BJ265" s="801"/>
      <c r="BK265" s="801"/>
      <c r="BL265" s="801"/>
      <c r="BM265" s="801"/>
      <c r="BN265" s="801"/>
      <c r="BO265" s="801"/>
      <c r="BP265" s="801"/>
      <c r="BQ265" s="801"/>
      <c r="BR265" s="801"/>
      <c r="BS265" s="801"/>
      <c r="BT265" s="801"/>
      <c r="BU265" s="801"/>
      <c r="BV265" s="801"/>
      <c r="BW265" s="801"/>
      <c r="BX265" s="801"/>
      <c r="BY265" s="801"/>
      <c r="BZ265" s="802"/>
      <c r="CA265" s="800" t="str">
        <f>IFERROR(IF(CZ253&gt;CA253-1,IF(INDEX(Pedidos!CJ:DZ,CY253+CA253-1,9)&lt;&gt;"","Cierre :     "&amp; INDEX(Pedidos!CJ:DZ,CY253+CA253-1,9),""),""),"")</f>
        <v/>
      </c>
      <c r="CB265" s="801"/>
      <c r="CC265" s="801"/>
      <c r="CD265" s="801"/>
      <c r="CE265" s="801"/>
      <c r="CF265" s="801"/>
      <c r="CG265" s="801"/>
      <c r="CH265" s="801"/>
      <c r="CI265" s="801"/>
      <c r="CJ265" s="801"/>
      <c r="CK265" s="801"/>
      <c r="CL265" s="801"/>
      <c r="CM265" s="801"/>
      <c r="CN265" s="801"/>
      <c r="CO265" s="801"/>
      <c r="CP265" s="801"/>
      <c r="CQ265" s="801"/>
      <c r="CR265" s="801"/>
      <c r="CS265" s="801"/>
      <c r="CT265" s="801"/>
      <c r="CU265" s="801"/>
      <c r="CV265" s="801"/>
      <c r="CW265" s="801"/>
      <c r="CX265" s="801"/>
      <c r="CY265" s="801"/>
      <c r="CZ265" s="802"/>
      <c r="DA265" s="800" t="str">
        <f>IFERROR(IF(DZ253&gt;DA253-1,IF(INDEX(Pedidos!DJ:EZ,DY253+DA253-1,9)&lt;&gt;"","Cierre :     "&amp; INDEX(Pedidos!DJ:EZ,DY253+DA253-1,9),""),""),"")</f>
        <v/>
      </c>
      <c r="DB265" s="801"/>
      <c r="DC265" s="801"/>
      <c r="DD265" s="801"/>
      <c r="DE265" s="801"/>
      <c r="DF265" s="801"/>
      <c r="DG265" s="801"/>
      <c r="DH265" s="801"/>
      <c r="DI265" s="801"/>
      <c r="DJ265" s="801"/>
      <c r="DK265" s="801"/>
      <c r="DL265" s="801"/>
      <c r="DM265" s="801"/>
      <c r="DN265" s="801"/>
      <c r="DO265" s="801"/>
      <c r="DP265" s="801"/>
      <c r="DQ265" s="801"/>
      <c r="DR265" s="801"/>
      <c r="DS265" s="801"/>
      <c r="DT265" s="801"/>
      <c r="DU265" s="801"/>
      <c r="DV265" s="801"/>
      <c r="DW265" s="801"/>
      <c r="DX265" s="801"/>
      <c r="DY265" s="801"/>
      <c r="DZ265" s="802"/>
      <c r="EA265" s="800" t="str">
        <f>IFERROR(IF(EZ253&gt;EA253-1,IF(INDEX(Pedidos!EJ:FZ,EY253+EA253-1,9)&lt;&gt;"","Cierre :     "&amp; INDEX(Pedidos!EJ:FZ,EY253+EA253-1,9),""),""),"")</f>
        <v/>
      </c>
      <c r="EB265" s="801"/>
      <c r="EC265" s="801"/>
      <c r="ED265" s="801"/>
      <c r="EE265" s="801"/>
      <c r="EF265" s="801"/>
      <c r="EG265" s="801"/>
      <c r="EH265" s="801"/>
      <c r="EI265" s="801"/>
      <c r="EJ265" s="801"/>
      <c r="EK265" s="801"/>
      <c r="EL265" s="801"/>
      <c r="EM265" s="801"/>
      <c r="EN265" s="801"/>
      <c r="EO265" s="801"/>
      <c r="EP265" s="801"/>
      <c r="EQ265" s="801"/>
      <c r="ER265" s="801"/>
      <c r="ES265" s="801"/>
      <c r="ET265" s="801"/>
      <c r="EU265" s="801"/>
      <c r="EV265" s="801"/>
      <c r="EW265" s="801"/>
      <c r="EX265" s="801"/>
      <c r="EY265" s="801"/>
      <c r="EZ265" s="802"/>
      <c r="FA265" s="800" t="str">
        <f>IFERROR(IF(FZ253&gt;FA253-1,IF(INDEX(Pedidos!FJ:GZ,FY253+FA253-1,9)&lt;&gt;"","Cierre :     "&amp; INDEX(Pedidos!FJ:GZ,FY253+FA253-1,9),""),""),"")</f>
        <v/>
      </c>
      <c r="FB265" s="801"/>
      <c r="FC265" s="801"/>
      <c r="FD265" s="801"/>
      <c r="FE265" s="801"/>
      <c r="FF265" s="801"/>
      <c r="FG265" s="801"/>
      <c r="FH265" s="801"/>
      <c r="FI265" s="801"/>
      <c r="FJ265" s="801"/>
      <c r="FK265" s="801"/>
      <c r="FL265" s="801"/>
      <c r="FM265" s="801"/>
      <c r="FN265" s="801"/>
      <c r="FO265" s="801"/>
      <c r="FP265" s="801"/>
      <c r="FQ265" s="801"/>
      <c r="FR265" s="801"/>
      <c r="FS265" s="801"/>
      <c r="FT265" s="801"/>
      <c r="FU265" s="801"/>
      <c r="FV265" s="801"/>
      <c r="FW265" s="801"/>
      <c r="FX265" s="801"/>
      <c r="FY265" s="801"/>
      <c r="FZ265" s="802"/>
      <c r="GA265" s="800" t="str">
        <f>IFERROR(IF(GZ253&gt;GA253-1,IF(INDEX(Pedidos!GJ:HZ,GY253+GA253-1,9)&lt;&gt;"","Cierre :     "&amp; INDEX(Pedidos!GJ:HZ,GY253+GA253-1,9),""),""),"")</f>
        <v/>
      </c>
      <c r="GB265" s="801"/>
      <c r="GC265" s="801"/>
      <c r="GD265" s="801"/>
      <c r="GE265" s="801"/>
      <c r="GF265" s="801"/>
      <c r="GG265" s="801"/>
      <c r="GH265" s="801"/>
      <c r="GI265" s="801"/>
      <c r="GJ265" s="801"/>
      <c r="GK265" s="801"/>
      <c r="GL265" s="801"/>
      <c r="GM265" s="801"/>
      <c r="GN265" s="801"/>
      <c r="GO265" s="801"/>
      <c r="GP265" s="801"/>
      <c r="GQ265" s="801"/>
      <c r="GR265" s="801"/>
      <c r="GS265" s="801"/>
      <c r="GT265" s="801"/>
      <c r="GU265" s="801"/>
      <c r="GV265" s="801"/>
      <c r="GW265" s="801"/>
      <c r="GX265" s="801"/>
      <c r="GY265" s="801"/>
      <c r="GZ265" s="802"/>
      <c r="HA265" s="800" t="str">
        <f>IFERROR(IF(HZ253&gt;HA253-1,IF(INDEX(Pedidos!HJ:IZ,HY253+HA253-1,9)&lt;&gt;"","Cierre :     "&amp; INDEX(Pedidos!HJ:IZ,HY253+HA253-1,9),""),""),"")</f>
        <v/>
      </c>
      <c r="HB265" s="801"/>
      <c r="HC265" s="801"/>
      <c r="HD265" s="801"/>
      <c r="HE265" s="801"/>
      <c r="HF265" s="801"/>
      <c r="HG265" s="801"/>
      <c r="HH265" s="801"/>
      <c r="HI265" s="801"/>
      <c r="HJ265" s="801"/>
      <c r="HK265" s="801"/>
      <c r="HL265" s="801"/>
      <c r="HM265" s="801"/>
      <c r="HN265" s="801"/>
      <c r="HO265" s="801"/>
      <c r="HP265" s="801"/>
      <c r="HQ265" s="801"/>
      <c r="HR265" s="801"/>
      <c r="HS265" s="801"/>
      <c r="HT265" s="801"/>
      <c r="HU265" s="801"/>
      <c r="HV265" s="801"/>
      <c r="HW265" s="801"/>
      <c r="HX265" s="801"/>
      <c r="HY265" s="801"/>
      <c r="HZ265" s="802"/>
      <c r="IA265" s="800" t="str">
        <f>IFERROR(IF(IZ253&gt;IA253-1,IF(INDEX(Pedidos!IJ:JZ,IY253+IA253-1,9)&lt;&gt;"","Cierre :     "&amp; INDEX(Pedidos!IJ:JZ,IY253+IA253-1,9),""),""),"")</f>
        <v/>
      </c>
      <c r="IB265" s="801"/>
      <c r="IC265" s="801"/>
      <c r="ID265" s="801"/>
      <c r="IE265" s="801"/>
      <c r="IF265" s="801"/>
      <c r="IG265" s="801"/>
      <c r="IH265" s="801"/>
      <c r="II265" s="801"/>
      <c r="IJ265" s="801"/>
      <c r="IK265" s="801"/>
      <c r="IL265" s="801"/>
      <c r="IM265" s="801"/>
      <c r="IN265" s="801"/>
      <c r="IO265" s="801"/>
      <c r="IP265" s="801"/>
      <c r="IQ265" s="801"/>
      <c r="IR265" s="801"/>
      <c r="IS265" s="801"/>
      <c r="IT265" s="801"/>
      <c r="IU265" s="801"/>
      <c r="IV265" s="801"/>
      <c r="IW265" s="801"/>
      <c r="IX265" s="801"/>
      <c r="IY265" s="801"/>
      <c r="IZ265" s="802"/>
    </row>
    <row r="266" spans="1:260" x14ac:dyDescent="0.25">
      <c r="A266" s="800" t="str">
        <f>IFERROR(IF(Z253&gt;A253-1,IF(INDEX(Pedidos!J:AZ,Y253+A253-1,11)&lt;&gt;"","Cordon :     "&amp; INDEX(Pedidos!J:AZ,Y253+A253-1,11),""),""),"")</f>
        <v/>
      </c>
      <c r="B266" s="801"/>
      <c r="C266" s="801"/>
      <c r="D266" s="801"/>
      <c r="E266" s="801"/>
      <c r="F266" s="801"/>
      <c r="G266" s="801"/>
      <c r="H266" s="801"/>
      <c r="I266" s="801"/>
      <c r="J266" s="801"/>
      <c r="K266" s="801"/>
      <c r="L266" s="801"/>
      <c r="M266" s="801"/>
      <c r="N266" s="801"/>
      <c r="O266" s="801"/>
      <c r="P266" s="801"/>
      <c r="Q266" s="801"/>
      <c r="R266" s="801"/>
      <c r="S266" s="801"/>
      <c r="T266" s="801"/>
      <c r="U266" s="801"/>
      <c r="V266" s="801"/>
      <c r="W266" s="801"/>
      <c r="X266" s="801"/>
      <c r="Y266" s="801"/>
      <c r="Z266" s="802"/>
      <c r="AA266" s="800" t="str">
        <f>IFERROR(IF(AZ253&gt;AA253-1,IF(INDEX(Pedidos!AJ:BZ,AY253+AA253-1,11)&lt;&gt;"","Cordon :     "&amp; INDEX(Pedidos!AJ:BZ,AY253+AA253-1,11),""),""),"")</f>
        <v/>
      </c>
      <c r="AB266" s="801"/>
      <c r="AC266" s="801"/>
      <c r="AD266" s="801"/>
      <c r="AE266" s="801"/>
      <c r="AF266" s="801"/>
      <c r="AG266" s="801"/>
      <c r="AH266" s="801"/>
      <c r="AI266" s="801"/>
      <c r="AJ266" s="801"/>
      <c r="AK266" s="801"/>
      <c r="AL266" s="801"/>
      <c r="AM266" s="801"/>
      <c r="AN266" s="801"/>
      <c r="AO266" s="801"/>
      <c r="AP266" s="801"/>
      <c r="AQ266" s="801"/>
      <c r="AR266" s="801"/>
      <c r="AS266" s="801"/>
      <c r="AT266" s="801"/>
      <c r="AU266" s="801"/>
      <c r="AV266" s="801"/>
      <c r="AW266" s="801"/>
      <c r="AX266" s="801"/>
      <c r="AY266" s="801"/>
      <c r="AZ266" s="802"/>
      <c r="BA266" s="800" t="str">
        <f>IFERROR(IF(BZ253&gt;BA253-1,IF(INDEX(Pedidos!BJ:CZ,BY253+BA253-1,11)&lt;&gt;"","Cordon :     "&amp; INDEX(Pedidos!BJ:CZ,BY253+BA253-1,11),""),""),"")</f>
        <v/>
      </c>
      <c r="BB266" s="801"/>
      <c r="BC266" s="801"/>
      <c r="BD266" s="801"/>
      <c r="BE266" s="801"/>
      <c r="BF266" s="801"/>
      <c r="BG266" s="801"/>
      <c r="BH266" s="801"/>
      <c r="BI266" s="801"/>
      <c r="BJ266" s="801"/>
      <c r="BK266" s="801"/>
      <c r="BL266" s="801"/>
      <c r="BM266" s="801"/>
      <c r="BN266" s="801"/>
      <c r="BO266" s="801"/>
      <c r="BP266" s="801"/>
      <c r="BQ266" s="801"/>
      <c r="BR266" s="801"/>
      <c r="BS266" s="801"/>
      <c r="BT266" s="801"/>
      <c r="BU266" s="801"/>
      <c r="BV266" s="801"/>
      <c r="BW266" s="801"/>
      <c r="BX266" s="801"/>
      <c r="BY266" s="801"/>
      <c r="BZ266" s="802"/>
      <c r="CA266" s="800" t="str">
        <f>IFERROR(IF(CZ253&gt;CA253-1,IF(INDEX(Pedidos!CJ:DZ,CY253+CA253-1,11)&lt;&gt;"","Cordon :     "&amp; INDEX(Pedidos!CJ:DZ,CY253+CA253-1,11),""),""),"")</f>
        <v/>
      </c>
      <c r="CB266" s="801"/>
      <c r="CC266" s="801"/>
      <c r="CD266" s="801"/>
      <c r="CE266" s="801"/>
      <c r="CF266" s="801"/>
      <c r="CG266" s="801"/>
      <c r="CH266" s="801"/>
      <c r="CI266" s="801"/>
      <c r="CJ266" s="801"/>
      <c r="CK266" s="801"/>
      <c r="CL266" s="801"/>
      <c r="CM266" s="801"/>
      <c r="CN266" s="801"/>
      <c r="CO266" s="801"/>
      <c r="CP266" s="801"/>
      <c r="CQ266" s="801"/>
      <c r="CR266" s="801"/>
      <c r="CS266" s="801"/>
      <c r="CT266" s="801"/>
      <c r="CU266" s="801"/>
      <c r="CV266" s="801"/>
      <c r="CW266" s="801"/>
      <c r="CX266" s="801"/>
      <c r="CY266" s="801"/>
      <c r="CZ266" s="802"/>
      <c r="DA266" s="800" t="str">
        <f>IFERROR(IF(DZ253&gt;DA253-1,IF(INDEX(Pedidos!DJ:EZ,DY253+DA253-1,11)&lt;&gt;"","Cordon :     "&amp; INDEX(Pedidos!DJ:EZ,DY253+DA253-1,11),""),""),"")</f>
        <v/>
      </c>
      <c r="DB266" s="801"/>
      <c r="DC266" s="801"/>
      <c r="DD266" s="801"/>
      <c r="DE266" s="801"/>
      <c r="DF266" s="801"/>
      <c r="DG266" s="801"/>
      <c r="DH266" s="801"/>
      <c r="DI266" s="801"/>
      <c r="DJ266" s="801"/>
      <c r="DK266" s="801"/>
      <c r="DL266" s="801"/>
      <c r="DM266" s="801"/>
      <c r="DN266" s="801"/>
      <c r="DO266" s="801"/>
      <c r="DP266" s="801"/>
      <c r="DQ266" s="801"/>
      <c r="DR266" s="801"/>
      <c r="DS266" s="801"/>
      <c r="DT266" s="801"/>
      <c r="DU266" s="801"/>
      <c r="DV266" s="801"/>
      <c r="DW266" s="801"/>
      <c r="DX266" s="801"/>
      <c r="DY266" s="801"/>
      <c r="DZ266" s="802"/>
      <c r="EA266" s="800" t="str">
        <f>IFERROR(IF(EZ253&gt;EA253-1,IF(INDEX(Pedidos!EJ:FZ,EY253+EA253-1,11)&lt;&gt;"","Cordon :     "&amp; INDEX(Pedidos!EJ:FZ,EY253+EA253-1,11),""),""),"")</f>
        <v/>
      </c>
      <c r="EB266" s="801"/>
      <c r="EC266" s="801"/>
      <c r="ED266" s="801"/>
      <c r="EE266" s="801"/>
      <c r="EF266" s="801"/>
      <c r="EG266" s="801"/>
      <c r="EH266" s="801"/>
      <c r="EI266" s="801"/>
      <c r="EJ266" s="801"/>
      <c r="EK266" s="801"/>
      <c r="EL266" s="801"/>
      <c r="EM266" s="801"/>
      <c r="EN266" s="801"/>
      <c r="EO266" s="801"/>
      <c r="EP266" s="801"/>
      <c r="EQ266" s="801"/>
      <c r="ER266" s="801"/>
      <c r="ES266" s="801"/>
      <c r="ET266" s="801"/>
      <c r="EU266" s="801"/>
      <c r="EV266" s="801"/>
      <c r="EW266" s="801"/>
      <c r="EX266" s="801"/>
      <c r="EY266" s="801"/>
      <c r="EZ266" s="802"/>
      <c r="FA266" s="800" t="str">
        <f>IFERROR(IF(FZ253&gt;FA253-1,IF(INDEX(Pedidos!FJ:GZ,FY253+FA253-1,11)&lt;&gt;"","Cordon :     "&amp; INDEX(Pedidos!FJ:GZ,FY253+FA253-1,11),""),""),"")</f>
        <v/>
      </c>
      <c r="FB266" s="801"/>
      <c r="FC266" s="801"/>
      <c r="FD266" s="801"/>
      <c r="FE266" s="801"/>
      <c r="FF266" s="801"/>
      <c r="FG266" s="801"/>
      <c r="FH266" s="801"/>
      <c r="FI266" s="801"/>
      <c r="FJ266" s="801"/>
      <c r="FK266" s="801"/>
      <c r="FL266" s="801"/>
      <c r="FM266" s="801"/>
      <c r="FN266" s="801"/>
      <c r="FO266" s="801"/>
      <c r="FP266" s="801"/>
      <c r="FQ266" s="801"/>
      <c r="FR266" s="801"/>
      <c r="FS266" s="801"/>
      <c r="FT266" s="801"/>
      <c r="FU266" s="801"/>
      <c r="FV266" s="801"/>
      <c r="FW266" s="801"/>
      <c r="FX266" s="801"/>
      <c r="FY266" s="801"/>
      <c r="FZ266" s="802"/>
      <c r="GA266" s="800" t="str">
        <f>IFERROR(IF(GZ253&gt;GA253-1,IF(INDEX(Pedidos!GJ:HZ,GY253+GA253-1,11)&lt;&gt;"","Cordon :     "&amp; INDEX(Pedidos!GJ:HZ,GY253+GA253-1,11),""),""),"")</f>
        <v/>
      </c>
      <c r="GB266" s="801"/>
      <c r="GC266" s="801"/>
      <c r="GD266" s="801"/>
      <c r="GE266" s="801"/>
      <c r="GF266" s="801"/>
      <c r="GG266" s="801"/>
      <c r="GH266" s="801"/>
      <c r="GI266" s="801"/>
      <c r="GJ266" s="801"/>
      <c r="GK266" s="801"/>
      <c r="GL266" s="801"/>
      <c r="GM266" s="801"/>
      <c r="GN266" s="801"/>
      <c r="GO266" s="801"/>
      <c r="GP266" s="801"/>
      <c r="GQ266" s="801"/>
      <c r="GR266" s="801"/>
      <c r="GS266" s="801"/>
      <c r="GT266" s="801"/>
      <c r="GU266" s="801"/>
      <c r="GV266" s="801"/>
      <c r="GW266" s="801"/>
      <c r="GX266" s="801"/>
      <c r="GY266" s="801"/>
      <c r="GZ266" s="802"/>
      <c r="HA266" s="800" t="str">
        <f>IFERROR(IF(HZ253&gt;HA253-1,IF(INDEX(Pedidos!HJ:IZ,HY253+HA253-1,11)&lt;&gt;"","Cordon :     "&amp; INDEX(Pedidos!HJ:IZ,HY253+HA253-1,11),""),""),"")</f>
        <v/>
      </c>
      <c r="HB266" s="801"/>
      <c r="HC266" s="801"/>
      <c r="HD266" s="801"/>
      <c r="HE266" s="801"/>
      <c r="HF266" s="801"/>
      <c r="HG266" s="801"/>
      <c r="HH266" s="801"/>
      <c r="HI266" s="801"/>
      <c r="HJ266" s="801"/>
      <c r="HK266" s="801"/>
      <c r="HL266" s="801"/>
      <c r="HM266" s="801"/>
      <c r="HN266" s="801"/>
      <c r="HO266" s="801"/>
      <c r="HP266" s="801"/>
      <c r="HQ266" s="801"/>
      <c r="HR266" s="801"/>
      <c r="HS266" s="801"/>
      <c r="HT266" s="801"/>
      <c r="HU266" s="801"/>
      <c r="HV266" s="801"/>
      <c r="HW266" s="801"/>
      <c r="HX266" s="801"/>
      <c r="HY266" s="801"/>
      <c r="HZ266" s="802"/>
      <c r="IA266" s="800" t="str">
        <f>IFERROR(IF(IZ253&gt;IA253-1,IF(INDEX(Pedidos!IJ:JZ,IY253+IA253-1,11)&lt;&gt;"","Cordon :     "&amp; INDEX(Pedidos!IJ:JZ,IY253+IA253-1,11),""),""),"")</f>
        <v/>
      </c>
      <c r="IB266" s="801"/>
      <c r="IC266" s="801"/>
      <c r="ID266" s="801"/>
      <c r="IE266" s="801"/>
      <c r="IF266" s="801"/>
      <c r="IG266" s="801"/>
      <c r="IH266" s="801"/>
      <c r="II266" s="801"/>
      <c r="IJ266" s="801"/>
      <c r="IK266" s="801"/>
      <c r="IL266" s="801"/>
      <c r="IM266" s="801"/>
      <c r="IN266" s="801"/>
      <c r="IO266" s="801"/>
      <c r="IP266" s="801"/>
      <c r="IQ266" s="801"/>
      <c r="IR266" s="801"/>
      <c r="IS266" s="801"/>
      <c r="IT266" s="801"/>
      <c r="IU266" s="801"/>
      <c r="IV266" s="801"/>
      <c r="IW266" s="801"/>
      <c r="IX266" s="801"/>
      <c r="IY266" s="801"/>
      <c r="IZ266" s="802"/>
    </row>
    <row r="267" spans="1:260" x14ac:dyDescent="0.25">
      <c r="A267" s="800" t="str">
        <f>IFERROR(IF(Z253&gt;A253-1,IF(INDEX(Pedidos!J:AZ,Y253+A253-1,12)&lt;&gt;"","Color Cordon :     "&amp; INDEX(Pedidos!J:AZ,Y253+A253-1,12),""),""),"")</f>
        <v/>
      </c>
      <c r="B267" s="801"/>
      <c r="C267" s="801"/>
      <c r="D267" s="801"/>
      <c r="E267" s="801"/>
      <c r="F267" s="801"/>
      <c r="G267" s="801"/>
      <c r="H267" s="801"/>
      <c r="I267" s="801"/>
      <c r="J267" s="801"/>
      <c r="K267" s="801"/>
      <c r="L267" s="801"/>
      <c r="M267" s="801"/>
      <c r="N267" s="801"/>
      <c r="O267" s="801"/>
      <c r="P267" s="801"/>
      <c r="Q267" s="801"/>
      <c r="R267" s="801"/>
      <c r="S267" s="801"/>
      <c r="T267" s="801"/>
      <c r="U267" s="801"/>
      <c r="V267" s="801"/>
      <c r="W267" s="801"/>
      <c r="X267" s="801"/>
      <c r="Y267" s="801"/>
      <c r="Z267" s="802"/>
      <c r="AA267" s="800" t="str">
        <f>IFERROR(IF(AZ253&gt;AA253-1,IF(INDEX(Pedidos!AJ:BZ,AY253+AA253-1,12)&lt;&gt;"","Color Cordon :     "&amp; INDEX(Pedidos!AJ:BZ,AY253+AA253-1,12),""),""),"")</f>
        <v/>
      </c>
      <c r="AB267" s="801"/>
      <c r="AC267" s="801"/>
      <c r="AD267" s="801"/>
      <c r="AE267" s="801"/>
      <c r="AF267" s="801"/>
      <c r="AG267" s="801"/>
      <c r="AH267" s="801"/>
      <c r="AI267" s="801"/>
      <c r="AJ267" s="801"/>
      <c r="AK267" s="801"/>
      <c r="AL267" s="801"/>
      <c r="AM267" s="801"/>
      <c r="AN267" s="801"/>
      <c r="AO267" s="801"/>
      <c r="AP267" s="801"/>
      <c r="AQ267" s="801"/>
      <c r="AR267" s="801"/>
      <c r="AS267" s="801"/>
      <c r="AT267" s="801"/>
      <c r="AU267" s="801"/>
      <c r="AV267" s="801"/>
      <c r="AW267" s="801"/>
      <c r="AX267" s="801"/>
      <c r="AY267" s="801"/>
      <c r="AZ267" s="802"/>
      <c r="BA267" s="800" t="str">
        <f>IFERROR(IF(BZ253&gt;BA253-1,IF(INDEX(Pedidos!BJ:CZ,BY253+BA253-1,12)&lt;&gt;"","Color Cordon :     "&amp; INDEX(Pedidos!BJ:CZ,BY253+BA253-1,12),""),""),"")</f>
        <v/>
      </c>
      <c r="BB267" s="801"/>
      <c r="BC267" s="801"/>
      <c r="BD267" s="801"/>
      <c r="BE267" s="801"/>
      <c r="BF267" s="801"/>
      <c r="BG267" s="801"/>
      <c r="BH267" s="801"/>
      <c r="BI267" s="801"/>
      <c r="BJ267" s="801"/>
      <c r="BK267" s="801"/>
      <c r="BL267" s="801"/>
      <c r="BM267" s="801"/>
      <c r="BN267" s="801"/>
      <c r="BO267" s="801"/>
      <c r="BP267" s="801"/>
      <c r="BQ267" s="801"/>
      <c r="BR267" s="801"/>
      <c r="BS267" s="801"/>
      <c r="BT267" s="801"/>
      <c r="BU267" s="801"/>
      <c r="BV267" s="801"/>
      <c r="BW267" s="801"/>
      <c r="BX267" s="801"/>
      <c r="BY267" s="801"/>
      <c r="BZ267" s="802"/>
      <c r="CA267" s="800" t="str">
        <f>IFERROR(IF(CZ253&gt;CA253-1,IF(INDEX(Pedidos!CJ:DZ,CY253+CA253-1,12)&lt;&gt;"","Color Cordon :     "&amp; INDEX(Pedidos!CJ:DZ,CY253+CA253-1,12),""),""),"")</f>
        <v/>
      </c>
      <c r="CB267" s="801"/>
      <c r="CC267" s="801"/>
      <c r="CD267" s="801"/>
      <c r="CE267" s="801"/>
      <c r="CF267" s="801"/>
      <c r="CG267" s="801"/>
      <c r="CH267" s="801"/>
      <c r="CI267" s="801"/>
      <c r="CJ267" s="801"/>
      <c r="CK267" s="801"/>
      <c r="CL267" s="801"/>
      <c r="CM267" s="801"/>
      <c r="CN267" s="801"/>
      <c r="CO267" s="801"/>
      <c r="CP267" s="801"/>
      <c r="CQ267" s="801"/>
      <c r="CR267" s="801"/>
      <c r="CS267" s="801"/>
      <c r="CT267" s="801"/>
      <c r="CU267" s="801"/>
      <c r="CV267" s="801"/>
      <c r="CW267" s="801"/>
      <c r="CX267" s="801"/>
      <c r="CY267" s="801"/>
      <c r="CZ267" s="802"/>
      <c r="DA267" s="800" t="str">
        <f>IFERROR(IF(DZ253&gt;DA253-1,IF(INDEX(Pedidos!DJ:EZ,DY253+DA253-1,12)&lt;&gt;"","Color Cordon :     "&amp; INDEX(Pedidos!DJ:EZ,DY253+DA253-1,12),""),""),"")</f>
        <v/>
      </c>
      <c r="DB267" s="801"/>
      <c r="DC267" s="801"/>
      <c r="DD267" s="801"/>
      <c r="DE267" s="801"/>
      <c r="DF267" s="801"/>
      <c r="DG267" s="801"/>
      <c r="DH267" s="801"/>
      <c r="DI267" s="801"/>
      <c r="DJ267" s="801"/>
      <c r="DK267" s="801"/>
      <c r="DL267" s="801"/>
      <c r="DM267" s="801"/>
      <c r="DN267" s="801"/>
      <c r="DO267" s="801"/>
      <c r="DP267" s="801"/>
      <c r="DQ267" s="801"/>
      <c r="DR267" s="801"/>
      <c r="DS267" s="801"/>
      <c r="DT267" s="801"/>
      <c r="DU267" s="801"/>
      <c r="DV267" s="801"/>
      <c r="DW267" s="801"/>
      <c r="DX267" s="801"/>
      <c r="DY267" s="801"/>
      <c r="DZ267" s="802"/>
      <c r="EA267" s="800" t="str">
        <f>IFERROR(IF(EZ253&gt;EA253-1,IF(INDEX(Pedidos!EJ:FZ,EY253+EA253-1,12)&lt;&gt;"","Color Cordon :     "&amp; INDEX(Pedidos!EJ:FZ,EY253+EA253-1,12),""),""),"")</f>
        <v/>
      </c>
      <c r="EB267" s="801"/>
      <c r="EC267" s="801"/>
      <c r="ED267" s="801"/>
      <c r="EE267" s="801"/>
      <c r="EF267" s="801"/>
      <c r="EG267" s="801"/>
      <c r="EH267" s="801"/>
      <c r="EI267" s="801"/>
      <c r="EJ267" s="801"/>
      <c r="EK267" s="801"/>
      <c r="EL267" s="801"/>
      <c r="EM267" s="801"/>
      <c r="EN267" s="801"/>
      <c r="EO267" s="801"/>
      <c r="EP267" s="801"/>
      <c r="EQ267" s="801"/>
      <c r="ER267" s="801"/>
      <c r="ES267" s="801"/>
      <c r="ET267" s="801"/>
      <c r="EU267" s="801"/>
      <c r="EV267" s="801"/>
      <c r="EW267" s="801"/>
      <c r="EX267" s="801"/>
      <c r="EY267" s="801"/>
      <c r="EZ267" s="802"/>
      <c r="FA267" s="800" t="str">
        <f>IFERROR(IF(FZ253&gt;FA253-1,IF(INDEX(Pedidos!FJ:GZ,FY253+FA253-1,12)&lt;&gt;"","Color Cordon :     "&amp; INDEX(Pedidos!FJ:GZ,FY253+FA253-1,12),""),""),"")</f>
        <v/>
      </c>
      <c r="FB267" s="801"/>
      <c r="FC267" s="801"/>
      <c r="FD267" s="801"/>
      <c r="FE267" s="801"/>
      <c r="FF267" s="801"/>
      <c r="FG267" s="801"/>
      <c r="FH267" s="801"/>
      <c r="FI267" s="801"/>
      <c r="FJ267" s="801"/>
      <c r="FK267" s="801"/>
      <c r="FL267" s="801"/>
      <c r="FM267" s="801"/>
      <c r="FN267" s="801"/>
      <c r="FO267" s="801"/>
      <c r="FP267" s="801"/>
      <c r="FQ267" s="801"/>
      <c r="FR267" s="801"/>
      <c r="FS267" s="801"/>
      <c r="FT267" s="801"/>
      <c r="FU267" s="801"/>
      <c r="FV267" s="801"/>
      <c r="FW267" s="801"/>
      <c r="FX267" s="801"/>
      <c r="FY267" s="801"/>
      <c r="FZ267" s="802"/>
      <c r="GA267" s="800" t="str">
        <f>IFERROR(IF(GZ253&gt;GA253-1,IF(INDEX(Pedidos!GJ:HZ,GY253+GA253-1,12)&lt;&gt;"","Color Cordon :     "&amp; INDEX(Pedidos!GJ:HZ,GY253+GA253-1,12),""),""),"")</f>
        <v/>
      </c>
      <c r="GB267" s="801"/>
      <c r="GC267" s="801"/>
      <c r="GD267" s="801"/>
      <c r="GE267" s="801"/>
      <c r="GF267" s="801"/>
      <c r="GG267" s="801"/>
      <c r="GH267" s="801"/>
      <c r="GI267" s="801"/>
      <c r="GJ267" s="801"/>
      <c r="GK267" s="801"/>
      <c r="GL267" s="801"/>
      <c r="GM267" s="801"/>
      <c r="GN267" s="801"/>
      <c r="GO267" s="801"/>
      <c r="GP267" s="801"/>
      <c r="GQ267" s="801"/>
      <c r="GR267" s="801"/>
      <c r="GS267" s="801"/>
      <c r="GT267" s="801"/>
      <c r="GU267" s="801"/>
      <c r="GV267" s="801"/>
      <c r="GW267" s="801"/>
      <c r="GX267" s="801"/>
      <c r="GY267" s="801"/>
      <c r="GZ267" s="802"/>
      <c r="HA267" s="800" t="str">
        <f>IFERROR(IF(HZ253&gt;HA253-1,IF(INDEX(Pedidos!HJ:IZ,HY253+HA253-1,12)&lt;&gt;"","Color Cordon :     "&amp; INDEX(Pedidos!HJ:IZ,HY253+HA253-1,12),""),""),"")</f>
        <v/>
      </c>
      <c r="HB267" s="801"/>
      <c r="HC267" s="801"/>
      <c r="HD267" s="801"/>
      <c r="HE267" s="801"/>
      <c r="HF267" s="801"/>
      <c r="HG267" s="801"/>
      <c r="HH267" s="801"/>
      <c r="HI267" s="801"/>
      <c r="HJ267" s="801"/>
      <c r="HK267" s="801"/>
      <c r="HL267" s="801"/>
      <c r="HM267" s="801"/>
      <c r="HN267" s="801"/>
      <c r="HO267" s="801"/>
      <c r="HP267" s="801"/>
      <c r="HQ267" s="801"/>
      <c r="HR267" s="801"/>
      <c r="HS267" s="801"/>
      <c r="HT267" s="801"/>
      <c r="HU267" s="801"/>
      <c r="HV267" s="801"/>
      <c r="HW267" s="801"/>
      <c r="HX267" s="801"/>
      <c r="HY267" s="801"/>
      <c r="HZ267" s="802"/>
      <c r="IA267" s="800" t="str">
        <f>IFERROR(IF(IZ253&gt;IA253-1,IF(INDEX(Pedidos!IJ:JZ,IY253+IA253-1,12)&lt;&gt;"","Color Cordon :     "&amp; INDEX(Pedidos!IJ:JZ,IY253+IA253-1,12),""),""),"")</f>
        <v/>
      </c>
      <c r="IB267" s="801"/>
      <c r="IC267" s="801"/>
      <c r="ID267" s="801"/>
      <c r="IE267" s="801"/>
      <c r="IF267" s="801"/>
      <c r="IG267" s="801"/>
      <c r="IH267" s="801"/>
      <c r="II267" s="801"/>
      <c r="IJ267" s="801"/>
      <c r="IK267" s="801"/>
      <c r="IL267" s="801"/>
      <c r="IM267" s="801"/>
      <c r="IN267" s="801"/>
      <c r="IO267" s="801"/>
      <c r="IP267" s="801"/>
      <c r="IQ267" s="801"/>
      <c r="IR267" s="801"/>
      <c r="IS267" s="801"/>
      <c r="IT267" s="801"/>
      <c r="IU267" s="801"/>
      <c r="IV267" s="801"/>
      <c r="IW267" s="801"/>
      <c r="IX267" s="801"/>
      <c r="IY267" s="801"/>
      <c r="IZ267" s="802"/>
    </row>
    <row r="268" spans="1:260" x14ac:dyDescent="0.25">
      <c r="A268" s="800"/>
      <c r="B268" s="801"/>
      <c r="C268" s="801"/>
      <c r="D268" s="801"/>
      <c r="E268" s="801"/>
      <c r="F268" s="801"/>
      <c r="G268" s="801"/>
      <c r="H268" s="801"/>
      <c r="I268" s="801"/>
      <c r="J268" s="801"/>
      <c r="K268" s="801"/>
      <c r="L268" s="801"/>
      <c r="M268" s="801"/>
      <c r="N268" s="801"/>
      <c r="O268" s="801"/>
      <c r="P268" s="801"/>
      <c r="Q268" s="801"/>
      <c r="R268" s="801"/>
      <c r="S268" s="801"/>
      <c r="T268" s="801"/>
      <c r="U268" s="801"/>
      <c r="V268" s="801"/>
      <c r="W268" s="801"/>
      <c r="X268" s="801"/>
      <c r="Y268" s="801"/>
      <c r="Z268" s="802"/>
      <c r="AA268" s="800"/>
      <c r="AB268" s="801"/>
      <c r="AC268" s="801"/>
      <c r="AD268" s="801"/>
      <c r="AE268" s="801"/>
      <c r="AF268" s="801"/>
      <c r="AG268" s="801"/>
      <c r="AH268" s="801"/>
      <c r="AI268" s="801"/>
      <c r="AJ268" s="801"/>
      <c r="AK268" s="801"/>
      <c r="AL268" s="801"/>
      <c r="AM268" s="801"/>
      <c r="AN268" s="801"/>
      <c r="AO268" s="801"/>
      <c r="AP268" s="801"/>
      <c r="AQ268" s="801"/>
      <c r="AR268" s="801"/>
      <c r="AS268" s="801"/>
      <c r="AT268" s="801"/>
      <c r="AU268" s="801"/>
      <c r="AV268" s="801"/>
      <c r="AW268" s="801"/>
      <c r="AX268" s="801"/>
      <c r="AY268" s="801"/>
      <c r="AZ268" s="802"/>
      <c r="BA268" s="800"/>
      <c r="BB268" s="801"/>
      <c r="BC268" s="801"/>
      <c r="BD268" s="801"/>
      <c r="BE268" s="801"/>
      <c r="BF268" s="801"/>
      <c r="BG268" s="801"/>
      <c r="BH268" s="801"/>
      <c r="BI268" s="801"/>
      <c r="BJ268" s="801"/>
      <c r="BK268" s="801"/>
      <c r="BL268" s="801"/>
      <c r="BM268" s="801"/>
      <c r="BN268" s="801"/>
      <c r="BO268" s="801"/>
      <c r="BP268" s="801"/>
      <c r="BQ268" s="801"/>
      <c r="BR268" s="801"/>
      <c r="BS268" s="801"/>
      <c r="BT268" s="801"/>
      <c r="BU268" s="801"/>
      <c r="BV268" s="801"/>
      <c r="BW268" s="801"/>
      <c r="BX268" s="801"/>
      <c r="BY268" s="801"/>
      <c r="BZ268" s="802"/>
      <c r="CA268" s="800"/>
      <c r="CB268" s="801"/>
      <c r="CC268" s="801"/>
      <c r="CD268" s="801"/>
      <c r="CE268" s="801"/>
      <c r="CF268" s="801"/>
      <c r="CG268" s="801"/>
      <c r="CH268" s="801"/>
      <c r="CI268" s="801"/>
      <c r="CJ268" s="801"/>
      <c r="CK268" s="801"/>
      <c r="CL268" s="801"/>
      <c r="CM268" s="801"/>
      <c r="CN268" s="801"/>
      <c r="CO268" s="801"/>
      <c r="CP268" s="801"/>
      <c r="CQ268" s="801"/>
      <c r="CR268" s="801"/>
      <c r="CS268" s="801"/>
      <c r="CT268" s="801"/>
      <c r="CU268" s="801"/>
      <c r="CV268" s="801"/>
      <c r="CW268" s="801"/>
      <c r="CX268" s="801"/>
      <c r="CY268" s="801"/>
      <c r="CZ268" s="802"/>
      <c r="DA268" s="800"/>
      <c r="DB268" s="801"/>
      <c r="DC268" s="801"/>
      <c r="DD268" s="801"/>
      <c r="DE268" s="801"/>
      <c r="DF268" s="801"/>
      <c r="DG268" s="801"/>
      <c r="DH268" s="801"/>
      <c r="DI268" s="801"/>
      <c r="DJ268" s="801"/>
      <c r="DK268" s="801"/>
      <c r="DL268" s="801"/>
      <c r="DM268" s="801"/>
      <c r="DN268" s="801"/>
      <c r="DO268" s="801"/>
      <c r="DP268" s="801"/>
      <c r="DQ268" s="801"/>
      <c r="DR268" s="801"/>
      <c r="DS268" s="801"/>
      <c r="DT268" s="801"/>
      <c r="DU268" s="801"/>
      <c r="DV268" s="801"/>
      <c r="DW268" s="801"/>
      <c r="DX268" s="801"/>
      <c r="DY268" s="801"/>
      <c r="DZ268" s="802"/>
      <c r="EA268" s="800"/>
      <c r="EB268" s="801"/>
      <c r="EC268" s="801"/>
      <c r="ED268" s="801"/>
      <c r="EE268" s="801"/>
      <c r="EF268" s="801"/>
      <c r="EG268" s="801"/>
      <c r="EH268" s="801"/>
      <c r="EI268" s="801"/>
      <c r="EJ268" s="801"/>
      <c r="EK268" s="801"/>
      <c r="EL268" s="801"/>
      <c r="EM268" s="801"/>
      <c r="EN268" s="801"/>
      <c r="EO268" s="801"/>
      <c r="EP268" s="801"/>
      <c r="EQ268" s="801"/>
      <c r="ER268" s="801"/>
      <c r="ES268" s="801"/>
      <c r="ET268" s="801"/>
      <c r="EU268" s="801"/>
      <c r="EV268" s="801"/>
      <c r="EW268" s="801"/>
      <c r="EX268" s="801"/>
      <c r="EY268" s="801"/>
      <c r="EZ268" s="802"/>
      <c r="FA268" s="800"/>
      <c r="FB268" s="801"/>
      <c r="FC268" s="801"/>
      <c r="FD268" s="801"/>
      <c r="FE268" s="801"/>
      <c r="FF268" s="801"/>
      <c r="FG268" s="801"/>
      <c r="FH268" s="801"/>
      <c r="FI268" s="801"/>
      <c r="FJ268" s="801"/>
      <c r="FK268" s="801"/>
      <c r="FL268" s="801"/>
      <c r="FM268" s="801"/>
      <c r="FN268" s="801"/>
      <c r="FO268" s="801"/>
      <c r="FP268" s="801"/>
      <c r="FQ268" s="801"/>
      <c r="FR268" s="801"/>
      <c r="FS268" s="801"/>
      <c r="FT268" s="801"/>
      <c r="FU268" s="801"/>
      <c r="FV268" s="801"/>
      <c r="FW268" s="801"/>
      <c r="FX268" s="801"/>
      <c r="FY268" s="801"/>
      <c r="FZ268" s="802"/>
      <c r="GA268" s="800"/>
      <c r="GB268" s="801"/>
      <c r="GC268" s="801"/>
      <c r="GD268" s="801"/>
      <c r="GE268" s="801"/>
      <c r="GF268" s="801"/>
      <c r="GG268" s="801"/>
      <c r="GH268" s="801"/>
      <c r="GI268" s="801"/>
      <c r="GJ268" s="801"/>
      <c r="GK268" s="801"/>
      <c r="GL268" s="801"/>
      <c r="GM268" s="801"/>
      <c r="GN268" s="801"/>
      <c r="GO268" s="801"/>
      <c r="GP268" s="801"/>
      <c r="GQ268" s="801"/>
      <c r="GR268" s="801"/>
      <c r="GS268" s="801"/>
      <c r="GT268" s="801"/>
      <c r="GU268" s="801"/>
      <c r="GV268" s="801"/>
      <c r="GW268" s="801"/>
      <c r="GX268" s="801"/>
      <c r="GY268" s="801"/>
      <c r="GZ268" s="802"/>
      <c r="HA268" s="800"/>
      <c r="HB268" s="801"/>
      <c r="HC268" s="801"/>
      <c r="HD268" s="801"/>
      <c r="HE268" s="801"/>
      <c r="HF268" s="801"/>
      <c r="HG268" s="801"/>
      <c r="HH268" s="801"/>
      <c r="HI268" s="801"/>
      <c r="HJ268" s="801"/>
      <c r="HK268" s="801"/>
      <c r="HL268" s="801"/>
      <c r="HM268" s="801"/>
      <c r="HN268" s="801"/>
      <c r="HO268" s="801"/>
      <c r="HP268" s="801"/>
      <c r="HQ268" s="801"/>
      <c r="HR268" s="801"/>
      <c r="HS268" s="801"/>
      <c r="HT268" s="801"/>
      <c r="HU268" s="801"/>
      <c r="HV268" s="801"/>
      <c r="HW268" s="801"/>
      <c r="HX268" s="801"/>
      <c r="HY268" s="801"/>
      <c r="HZ268" s="802"/>
      <c r="IA268" s="800"/>
      <c r="IB268" s="801"/>
      <c r="IC268" s="801"/>
      <c r="ID268" s="801"/>
      <c r="IE268" s="801"/>
      <c r="IF268" s="801"/>
      <c r="IG268" s="801"/>
      <c r="IH268" s="801"/>
      <c r="II268" s="801"/>
      <c r="IJ268" s="801"/>
      <c r="IK268" s="801"/>
      <c r="IL268" s="801"/>
      <c r="IM268" s="801"/>
      <c r="IN268" s="801"/>
      <c r="IO268" s="801"/>
      <c r="IP268" s="801"/>
      <c r="IQ268" s="801"/>
      <c r="IR268" s="801"/>
      <c r="IS268" s="801"/>
      <c r="IT268" s="801"/>
      <c r="IU268" s="801"/>
      <c r="IV268" s="801"/>
      <c r="IW268" s="801"/>
      <c r="IX268" s="801"/>
      <c r="IY268" s="801"/>
      <c r="IZ268" s="802"/>
    </row>
    <row r="269" spans="1:260" x14ac:dyDescent="0.25">
      <c r="A269" s="800"/>
      <c r="B269" s="801"/>
      <c r="C269" s="801"/>
      <c r="D269" s="801"/>
      <c r="E269" s="801"/>
      <c r="F269" s="801"/>
      <c r="G269" s="801"/>
      <c r="H269" s="801"/>
      <c r="I269" s="801"/>
      <c r="J269" s="801"/>
      <c r="K269" s="801"/>
      <c r="L269" s="801"/>
      <c r="M269" s="801"/>
      <c r="N269" s="801"/>
      <c r="O269" s="801"/>
      <c r="P269" s="801"/>
      <c r="Q269" s="801"/>
      <c r="R269" s="801"/>
      <c r="S269" s="801"/>
      <c r="T269" s="801"/>
      <c r="U269" s="801"/>
      <c r="V269" s="801"/>
      <c r="W269" s="801"/>
      <c r="X269" s="801"/>
      <c r="Y269" s="801"/>
      <c r="Z269" s="802"/>
      <c r="AA269" s="800"/>
      <c r="AB269" s="801"/>
      <c r="AC269" s="801"/>
      <c r="AD269" s="801"/>
      <c r="AE269" s="801"/>
      <c r="AF269" s="801"/>
      <c r="AG269" s="801"/>
      <c r="AH269" s="801"/>
      <c r="AI269" s="801"/>
      <c r="AJ269" s="801"/>
      <c r="AK269" s="801"/>
      <c r="AL269" s="801"/>
      <c r="AM269" s="801"/>
      <c r="AN269" s="801"/>
      <c r="AO269" s="801"/>
      <c r="AP269" s="801"/>
      <c r="AQ269" s="801"/>
      <c r="AR269" s="801"/>
      <c r="AS269" s="801"/>
      <c r="AT269" s="801"/>
      <c r="AU269" s="801"/>
      <c r="AV269" s="801"/>
      <c r="AW269" s="801"/>
      <c r="AX269" s="801"/>
      <c r="AY269" s="801"/>
      <c r="AZ269" s="802"/>
      <c r="BA269" s="800"/>
      <c r="BB269" s="801"/>
      <c r="BC269" s="801"/>
      <c r="BD269" s="801"/>
      <c r="BE269" s="801"/>
      <c r="BF269" s="801"/>
      <c r="BG269" s="801"/>
      <c r="BH269" s="801"/>
      <c r="BI269" s="801"/>
      <c r="BJ269" s="801"/>
      <c r="BK269" s="801"/>
      <c r="BL269" s="801"/>
      <c r="BM269" s="801"/>
      <c r="BN269" s="801"/>
      <c r="BO269" s="801"/>
      <c r="BP269" s="801"/>
      <c r="BQ269" s="801"/>
      <c r="BR269" s="801"/>
      <c r="BS269" s="801"/>
      <c r="BT269" s="801"/>
      <c r="BU269" s="801"/>
      <c r="BV269" s="801"/>
      <c r="BW269" s="801"/>
      <c r="BX269" s="801"/>
      <c r="BY269" s="801"/>
      <c r="BZ269" s="802"/>
      <c r="CA269" s="800"/>
      <c r="CB269" s="801"/>
      <c r="CC269" s="801"/>
      <c r="CD269" s="801"/>
      <c r="CE269" s="801"/>
      <c r="CF269" s="801"/>
      <c r="CG269" s="801"/>
      <c r="CH269" s="801"/>
      <c r="CI269" s="801"/>
      <c r="CJ269" s="801"/>
      <c r="CK269" s="801"/>
      <c r="CL269" s="801"/>
      <c r="CM269" s="801"/>
      <c r="CN269" s="801"/>
      <c r="CO269" s="801"/>
      <c r="CP269" s="801"/>
      <c r="CQ269" s="801"/>
      <c r="CR269" s="801"/>
      <c r="CS269" s="801"/>
      <c r="CT269" s="801"/>
      <c r="CU269" s="801"/>
      <c r="CV269" s="801"/>
      <c r="CW269" s="801"/>
      <c r="CX269" s="801"/>
      <c r="CY269" s="801"/>
      <c r="CZ269" s="802"/>
      <c r="DA269" s="800"/>
      <c r="DB269" s="801"/>
      <c r="DC269" s="801"/>
      <c r="DD269" s="801"/>
      <c r="DE269" s="801"/>
      <c r="DF269" s="801"/>
      <c r="DG269" s="801"/>
      <c r="DH269" s="801"/>
      <c r="DI269" s="801"/>
      <c r="DJ269" s="801"/>
      <c r="DK269" s="801"/>
      <c r="DL269" s="801"/>
      <c r="DM269" s="801"/>
      <c r="DN269" s="801"/>
      <c r="DO269" s="801"/>
      <c r="DP269" s="801"/>
      <c r="DQ269" s="801"/>
      <c r="DR269" s="801"/>
      <c r="DS269" s="801"/>
      <c r="DT269" s="801"/>
      <c r="DU269" s="801"/>
      <c r="DV269" s="801"/>
      <c r="DW269" s="801"/>
      <c r="DX269" s="801"/>
      <c r="DY269" s="801"/>
      <c r="DZ269" s="802"/>
      <c r="EA269" s="800"/>
      <c r="EB269" s="801"/>
      <c r="EC269" s="801"/>
      <c r="ED269" s="801"/>
      <c r="EE269" s="801"/>
      <c r="EF269" s="801"/>
      <c r="EG269" s="801"/>
      <c r="EH269" s="801"/>
      <c r="EI269" s="801"/>
      <c r="EJ269" s="801"/>
      <c r="EK269" s="801"/>
      <c r="EL269" s="801"/>
      <c r="EM269" s="801"/>
      <c r="EN269" s="801"/>
      <c r="EO269" s="801"/>
      <c r="EP269" s="801"/>
      <c r="EQ269" s="801"/>
      <c r="ER269" s="801"/>
      <c r="ES269" s="801"/>
      <c r="ET269" s="801"/>
      <c r="EU269" s="801"/>
      <c r="EV269" s="801"/>
      <c r="EW269" s="801"/>
      <c r="EX269" s="801"/>
      <c r="EY269" s="801"/>
      <c r="EZ269" s="802"/>
      <c r="FA269" s="800"/>
      <c r="FB269" s="801"/>
      <c r="FC269" s="801"/>
      <c r="FD269" s="801"/>
      <c r="FE269" s="801"/>
      <c r="FF269" s="801"/>
      <c r="FG269" s="801"/>
      <c r="FH269" s="801"/>
      <c r="FI269" s="801"/>
      <c r="FJ269" s="801"/>
      <c r="FK269" s="801"/>
      <c r="FL269" s="801"/>
      <c r="FM269" s="801"/>
      <c r="FN269" s="801"/>
      <c r="FO269" s="801"/>
      <c r="FP269" s="801"/>
      <c r="FQ269" s="801"/>
      <c r="FR269" s="801"/>
      <c r="FS269" s="801"/>
      <c r="FT269" s="801"/>
      <c r="FU269" s="801"/>
      <c r="FV269" s="801"/>
      <c r="FW269" s="801"/>
      <c r="FX269" s="801"/>
      <c r="FY269" s="801"/>
      <c r="FZ269" s="802"/>
      <c r="GA269" s="800"/>
      <c r="GB269" s="801"/>
      <c r="GC269" s="801"/>
      <c r="GD269" s="801"/>
      <c r="GE269" s="801"/>
      <c r="GF269" s="801"/>
      <c r="GG269" s="801"/>
      <c r="GH269" s="801"/>
      <c r="GI269" s="801"/>
      <c r="GJ269" s="801"/>
      <c r="GK269" s="801"/>
      <c r="GL269" s="801"/>
      <c r="GM269" s="801"/>
      <c r="GN269" s="801"/>
      <c r="GO269" s="801"/>
      <c r="GP269" s="801"/>
      <c r="GQ269" s="801"/>
      <c r="GR269" s="801"/>
      <c r="GS269" s="801"/>
      <c r="GT269" s="801"/>
      <c r="GU269" s="801"/>
      <c r="GV269" s="801"/>
      <c r="GW269" s="801"/>
      <c r="GX269" s="801"/>
      <c r="GY269" s="801"/>
      <c r="GZ269" s="802"/>
      <c r="HA269" s="800"/>
      <c r="HB269" s="801"/>
      <c r="HC269" s="801"/>
      <c r="HD269" s="801"/>
      <c r="HE269" s="801"/>
      <c r="HF269" s="801"/>
      <c r="HG269" s="801"/>
      <c r="HH269" s="801"/>
      <c r="HI269" s="801"/>
      <c r="HJ269" s="801"/>
      <c r="HK269" s="801"/>
      <c r="HL269" s="801"/>
      <c r="HM269" s="801"/>
      <c r="HN269" s="801"/>
      <c r="HO269" s="801"/>
      <c r="HP269" s="801"/>
      <c r="HQ269" s="801"/>
      <c r="HR269" s="801"/>
      <c r="HS269" s="801"/>
      <c r="HT269" s="801"/>
      <c r="HU269" s="801"/>
      <c r="HV269" s="801"/>
      <c r="HW269" s="801"/>
      <c r="HX269" s="801"/>
      <c r="HY269" s="801"/>
      <c r="HZ269" s="802"/>
      <c r="IA269" s="800"/>
      <c r="IB269" s="801"/>
      <c r="IC269" s="801"/>
      <c r="ID269" s="801"/>
      <c r="IE269" s="801"/>
      <c r="IF269" s="801"/>
      <c r="IG269" s="801"/>
      <c r="IH269" s="801"/>
      <c r="II269" s="801"/>
      <c r="IJ269" s="801"/>
      <c r="IK269" s="801"/>
      <c r="IL269" s="801"/>
      <c r="IM269" s="801"/>
      <c r="IN269" s="801"/>
      <c r="IO269" s="801"/>
      <c r="IP269" s="801"/>
      <c r="IQ269" s="801"/>
      <c r="IR269" s="801"/>
      <c r="IS269" s="801"/>
      <c r="IT269" s="801"/>
      <c r="IU269" s="801"/>
      <c r="IV269" s="801"/>
      <c r="IW269" s="801"/>
      <c r="IX269" s="801"/>
      <c r="IY269" s="801"/>
      <c r="IZ269" s="802"/>
    </row>
    <row r="270" spans="1:260" x14ac:dyDescent="0.25">
      <c r="A270" s="800" t="str">
        <f>IFERROR(IF(Z253&gt;A253-1,IF(INDEX(Pedidos!J:AZ,Y253+A253-1,31)&lt;&gt;"","Nombres :     "&amp; INDEX(Pedidos!J:AZ,Y253+A253-1,31),""),""),"")</f>
        <v/>
      </c>
      <c r="B270" s="801"/>
      <c r="C270" s="801"/>
      <c r="D270" s="801"/>
      <c r="E270" s="801"/>
      <c r="F270" s="801"/>
      <c r="G270" s="801"/>
      <c r="H270" s="801"/>
      <c r="I270" s="801"/>
      <c r="J270" s="801"/>
      <c r="K270" s="801"/>
      <c r="L270" s="801"/>
      <c r="M270" s="801"/>
      <c r="N270" s="801"/>
      <c r="O270" s="801"/>
      <c r="P270" s="801"/>
      <c r="Q270" s="801"/>
      <c r="R270" s="801"/>
      <c r="S270" s="801"/>
      <c r="T270" s="801"/>
      <c r="U270" s="801"/>
      <c r="V270" s="801"/>
      <c r="W270" s="801"/>
      <c r="X270" s="801"/>
      <c r="Y270" s="801"/>
      <c r="Z270" s="802"/>
      <c r="AA270" s="800" t="str">
        <f>IFERROR(IF(AZ253&gt;AA253-1,IF(INDEX(Pedidos!AJ:BZ,AY253+AA253-1,31)&lt;&gt;"","Nombres :     "&amp; INDEX(Pedidos!AJ:BZ,AY253+AA253-1,31),""),""),"")</f>
        <v/>
      </c>
      <c r="AB270" s="801"/>
      <c r="AC270" s="801"/>
      <c r="AD270" s="801"/>
      <c r="AE270" s="801"/>
      <c r="AF270" s="801"/>
      <c r="AG270" s="801"/>
      <c r="AH270" s="801"/>
      <c r="AI270" s="801"/>
      <c r="AJ270" s="801"/>
      <c r="AK270" s="801"/>
      <c r="AL270" s="801"/>
      <c r="AM270" s="801"/>
      <c r="AN270" s="801"/>
      <c r="AO270" s="801"/>
      <c r="AP270" s="801"/>
      <c r="AQ270" s="801"/>
      <c r="AR270" s="801"/>
      <c r="AS270" s="801"/>
      <c r="AT270" s="801"/>
      <c r="AU270" s="801"/>
      <c r="AV270" s="801"/>
      <c r="AW270" s="801"/>
      <c r="AX270" s="801"/>
      <c r="AY270" s="801"/>
      <c r="AZ270" s="802"/>
      <c r="BA270" s="800" t="str">
        <f>IFERROR(IF(BZ253&gt;BA253-1,IF(INDEX(Pedidos!BJ:CZ,BY253+BA253-1,31)&lt;&gt;"","Nombres :     "&amp; INDEX(Pedidos!BJ:CZ,BY253+BA253-1,31),""),""),"")</f>
        <v/>
      </c>
      <c r="BB270" s="801"/>
      <c r="BC270" s="801"/>
      <c r="BD270" s="801"/>
      <c r="BE270" s="801"/>
      <c r="BF270" s="801"/>
      <c r="BG270" s="801"/>
      <c r="BH270" s="801"/>
      <c r="BI270" s="801"/>
      <c r="BJ270" s="801"/>
      <c r="BK270" s="801"/>
      <c r="BL270" s="801"/>
      <c r="BM270" s="801"/>
      <c r="BN270" s="801"/>
      <c r="BO270" s="801"/>
      <c r="BP270" s="801"/>
      <c r="BQ270" s="801"/>
      <c r="BR270" s="801"/>
      <c r="BS270" s="801"/>
      <c r="BT270" s="801"/>
      <c r="BU270" s="801"/>
      <c r="BV270" s="801"/>
      <c r="BW270" s="801"/>
      <c r="BX270" s="801"/>
      <c r="BY270" s="801"/>
      <c r="BZ270" s="802"/>
      <c r="CA270" s="800" t="str">
        <f>IFERROR(IF(CZ253&gt;CA253-1,IF(INDEX(Pedidos!CJ:DZ,CY253+CA253-1,31)&lt;&gt;"","Nombres :     "&amp; INDEX(Pedidos!CJ:DZ,CY253+CA253-1,31),""),""),"")</f>
        <v/>
      </c>
      <c r="CB270" s="801"/>
      <c r="CC270" s="801"/>
      <c r="CD270" s="801"/>
      <c r="CE270" s="801"/>
      <c r="CF270" s="801"/>
      <c r="CG270" s="801"/>
      <c r="CH270" s="801"/>
      <c r="CI270" s="801"/>
      <c r="CJ270" s="801"/>
      <c r="CK270" s="801"/>
      <c r="CL270" s="801"/>
      <c r="CM270" s="801"/>
      <c r="CN270" s="801"/>
      <c r="CO270" s="801"/>
      <c r="CP270" s="801"/>
      <c r="CQ270" s="801"/>
      <c r="CR270" s="801"/>
      <c r="CS270" s="801"/>
      <c r="CT270" s="801"/>
      <c r="CU270" s="801"/>
      <c r="CV270" s="801"/>
      <c r="CW270" s="801"/>
      <c r="CX270" s="801"/>
      <c r="CY270" s="801"/>
      <c r="CZ270" s="802"/>
      <c r="DA270" s="800" t="str">
        <f>IFERROR(IF(DZ253&gt;DA253-1,IF(INDEX(Pedidos!DJ:EZ,DY253+DA253-1,31)&lt;&gt;"","Nombres :     "&amp; INDEX(Pedidos!DJ:EZ,DY253+DA253-1,31),""),""),"")</f>
        <v/>
      </c>
      <c r="DB270" s="801"/>
      <c r="DC270" s="801"/>
      <c r="DD270" s="801"/>
      <c r="DE270" s="801"/>
      <c r="DF270" s="801"/>
      <c r="DG270" s="801"/>
      <c r="DH270" s="801"/>
      <c r="DI270" s="801"/>
      <c r="DJ270" s="801"/>
      <c r="DK270" s="801"/>
      <c r="DL270" s="801"/>
      <c r="DM270" s="801"/>
      <c r="DN270" s="801"/>
      <c r="DO270" s="801"/>
      <c r="DP270" s="801"/>
      <c r="DQ270" s="801"/>
      <c r="DR270" s="801"/>
      <c r="DS270" s="801"/>
      <c r="DT270" s="801"/>
      <c r="DU270" s="801"/>
      <c r="DV270" s="801"/>
      <c r="DW270" s="801"/>
      <c r="DX270" s="801"/>
      <c r="DY270" s="801"/>
      <c r="DZ270" s="802"/>
      <c r="EA270" s="800" t="str">
        <f>IFERROR(IF(EZ253&gt;EA253-1,IF(INDEX(Pedidos!EJ:FZ,EY253+EA253-1,31)&lt;&gt;"","Nombres :     "&amp; INDEX(Pedidos!EJ:FZ,EY253+EA253-1,31),""),""),"")</f>
        <v/>
      </c>
      <c r="EB270" s="801"/>
      <c r="EC270" s="801"/>
      <c r="ED270" s="801"/>
      <c r="EE270" s="801"/>
      <c r="EF270" s="801"/>
      <c r="EG270" s="801"/>
      <c r="EH270" s="801"/>
      <c r="EI270" s="801"/>
      <c r="EJ270" s="801"/>
      <c r="EK270" s="801"/>
      <c r="EL270" s="801"/>
      <c r="EM270" s="801"/>
      <c r="EN270" s="801"/>
      <c r="EO270" s="801"/>
      <c r="EP270" s="801"/>
      <c r="EQ270" s="801"/>
      <c r="ER270" s="801"/>
      <c r="ES270" s="801"/>
      <c r="ET270" s="801"/>
      <c r="EU270" s="801"/>
      <c r="EV270" s="801"/>
      <c r="EW270" s="801"/>
      <c r="EX270" s="801"/>
      <c r="EY270" s="801"/>
      <c r="EZ270" s="802"/>
      <c r="FA270" s="800" t="str">
        <f>IFERROR(IF(FZ253&gt;FA253-1,IF(INDEX(Pedidos!FJ:GZ,FY253+FA253-1,31)&lt;&gt;"","Nombres :     "&amp; INDEX(Pedidos!FJ:GZ,FY253+FA253-1,31),""),""),"")</f>
        <v/>
      </c>
      <c r="FB270" s="801"/>
      <c r="FC270" s="801"/>
      <c r="FD270" s="801"/>
      <c r="FE270" s="801"/>
      <c r="FF270" s="801"/>
      <c r="FG270" s="801"/>
      <c r="FH270" s="801"/>
      <c r="FI270" s="801"/>
      <c r="FJ270" s="801"/>
      <c r="FK270" s="801"/>
      <c r="FL270" s="801"/>
      <c r="FM270" s="801"/>
      <c r="FN270" s="801"/>
      <c r="FO270" s="801"/>
      <c r="FP270" s="801"/>
      <c r="FQ270" s="801"/>
      <c r="FR270" s="801"/>
      <c r="FS270" s="801"/>
      <c r="FT270" s="801"/>
      <c r="FU270" s="801"/>
      <c r="FV270" s="801"/>
      <c r="FW270" s="801"/>
      <c r="FX270" s="801"/>
      <c r="FY270" s="801"/>
      <c r="FZ270" s="802"/>
      <c r="GA270" s="800" t="str">
        <f>IFERROR(IF(GZ253&gt;GA253-1,IF(INDEX(Pedidos!GJ:HZ,GY253+GA253-1,31)&lt;&gt;"","Nombres :     "&amp; INDEX(Pedidos!GJ:HZ,GY253+GA253-1,31),""),""),"")</f>
        <v/>
      </c>
      <c r="GB270" s="801"/>
      <c r="GC270" s="801"/>
      <c r="GD270" s="801"/>
      <c r="GE270" s="801"/>
      <c r="GF270" s="801"/>
      <c r="GG270" s="801"/>
      <c r="GH270" s="801"/>
      <c r="GI270" s="801"/>
      <c r="GJ270" s="801"/>
      <c r="GK270" s="801"/>
      <c r="GL270" s="801"/>
      <c r="GM270" s="801"/>
      <c r="GN270" s="801"/>
      <c r="GO270" s="801"/>
      <c r="GP270" s="801"/>
      <c r="GQ270" s="801"/>
      <c r="GR270" s="801"/>
      <c r="GS270" s="801"/>
      <c r="GT270" s="801"/>
      <c r="GU270" s="801"/>
      <c r="GV270" s="801"/>
      <c r="GW270" s="801"/>
      <c r="GX270" s="801"/>
      <c r="GY270" s="801"/>
      <c r="GZ270" s="802"/>
      <c r="HA270" s="800" t="str">
        <f>IFERROR(IF(HZ253&gt;HA253-1,IF(INDEX(Pedidos!HJ:IZ,HY253+HA253-1,31)&lt;&gt;"","Nombres :     "&amp; INDEX(Pedidos!HJ:IZ,HY253+HA253-1,31),""),""),"")</f>
        <v/>
      </c>
      <c r="HB270" s="801"/>
      <c r="HC270" s="801"/>
      <c r="HD270" s="801"/>
      <c r="HE270" s="801"/>
      <c r="HF270" s="801"/>
      <c r="HG270" s="801"/>
      <c r="HH270" s="801"/>
      <c r="HI270" s="801"/>
      <c r="HJ270" s="801"/>
      <c r="HK270" s="801"/>
      <c r="HL270" s="801"/>
      <c r="HM270" s="801"/>
      <c r="HN270" s="801"/>
      <c r="HO270" s="801"/>
      <c r="HP270" s="801"/>
      <c r="HQ270" s="801"/>
      <c r="HR270" s="801"/>
      <c r="HS270" s="801"/>
      <c r="HT270" s="801"/>
      <c r="HU270" s="801"/>
      <c r="HV270" s="801"/>
      <c r="HW270" s="801"/>
      <c r="HX270" s="801"/>
      <c r="HY270" s="801"/>
      <c r="HZ270" s="802"/>
      <c r="IA270" s="800" t="str">
        <f>IFERROR(IF(IZ253&gt;IA253-1,IF(INDEX(Pedidos!IJ:JZ,IY253+IA253-1,31)&lt;&gt;"","Nombres :     "&amp; INDEX(Pedidos!IJ:JZ,IY253+IA253-1,31),""),""),"")</f>
        <v/>
      </c>
      <c r="IB270" s="801"/>
      <c r="IC270" s="801"/>
      <c r="ID270" s="801"/>
      <c r="IE270" s="801"/>
      <c r="IF270" s="801"/>
      <c r="IG270" s="801"/>
      <c r="IH270" s="801"/>
      <c r="II270" s="801"/>
      <c r="IJ270" s="801"/>
      <c r="IK270" s="801"/>
      <c r="IL270" s="801"/>
      <c r="IM270" s="801"/>
      <c r="IN270" s="801"/>
      <c r="IO270" s="801"/>
      <c r="IP270" s="801"/>
      <c r="IQ270" s="801"/>
      <c r="IR270" s="801"/>
      <c r="IS270" s="801"/>
      <c r="IT270" s="801"/>
      <c r="IU270" s="801"/>
      <c r="IV270" s="801"/>
      <c r="IW270" s="801"/>
      <c r="IX270" s="801"/>
      <c r="IY270" s="801"/>
      <c r="IZ270" s="802"/>
    </row>
    <row r="271" spans="1:260" x14ac:dyDescent="0.25">
      <c r="A271" s="820" t="str">
        <f>IFERROR(IF(Z253&gt;A253-1,IF(INDEX(Pedidos!J:AZ,Y253+A253-1,32)&lt;&gt;"","Localización de los Nombres :     "&amp; INDEX(Pedidos!J:AZ,Y253+A253-1,32),""),""),"")</f>
        <v/>
      </c>
      <c r="B271" s="821"/>
      <c r="C271" s="821"/>
      <c r="D271" s="821"/>
      <c r="E271" s="821"/>
      <c r="F271" s="821"/>
      <c r="G271" s="821"/>
      <c r="H271" s="821"/>
      <c r="I271" s="821"/>
      <c r="J271" s="821"/>
      <c r="K271" s="821"/>
      <c r="L271" s="821"/>
      <c r="M271" s="821"/>
      <c r="N271" s="821"/>
      <c r="O271" s="821"/>
      <c r="P271" s="821"/>
      <c r="Q271" s="821"/>
      <c r="R271" s="821"/>
      <c r="S271" s="821"/>
      <c r="T271" s="821"/>
      <c r="U271" s="821"/>
      <c r="V271" s="821"/>
      <c r="W271" s="821"/>
      <c r="X271" s="821"/>
      <c r="Y271" s="821"/>
      <c r="Z271" s="822"/>
      <c r="AA271" s="820" t="str">
        <f>IFERROR(IF(AZ253&gt;AA253-1,IF(INDEX(Pedidos!AJ:BZ,AY253+AA253-1,32)&lt;&gt;"","Localización de los Nombres :     "&amp; INDEX(Pedidos!AJ:BZ,AY253+AA253-1,32),""),""),"")</f>
        <v/>
      </c>
      <c r="AB271" s="821"/>
      <c r="AC271" s="821"/>
      <c r="AD271" s="821"/>
      <c r="AE271" s="821"/>
      <c r="AF271" s="821"/>
      <c r="AG271" s="821"/>
      <c r="AH271" s="821"/>
      <c r="AI271" s="821"/>
      <c r="AJ271" s="821"/>
      <c r="AK271" s="821"/>
      <c r="AL271" s="821"/>
      <c r="AM271" s="821"/>
      <c r="AN271" s="821"/>
      <c r="AO271" s="821"/>
      <c r="AP271" s="821"/>
      <c r="AQ271" s="821"/>
      <c r="AR271" s="821"/>
      <c r="AS271" s="821"/>
      <c r="AT271" s="821"/>
      <c r="AU271" s="821"/>
      <c r="AV271" s="821"/>
      <c r="AW271" s="821"/>
      <c r="AX271" s="821"/>
      <c r="AY271" s="821"/>
      <c r="AZ271" s="822"/>
      <c r="BA271" s="820" t="str">
        <f>IFERROR(IF(BZ253&gt;BA253-1,IF(INDEX(Pedidos!BJ:CZ,BY253+BA253-1,32)&lt;&gt;"","Localización de los Nombres :     "&amp; INDEX(Pedidos!BJ:CZ,BY253+BA253-1,32),""),""),"")</f>
        <v/>
      </c>
      <c r="BB271" s="821"/>
      <c r="BC271" s="821"/>
      <c r="BD271" s="821"/>
      <c r="BE271" s="821"/>
      <c r="BF271" s="821"/>
      <c r="BG271" s="821"/>
      <c r="BH271" s="821"/>
      <c r="BI271" s="821"/>
      <c r="BJ271" s="821"/>
      <c r="BK271" s="821"/>
      <c r="BL271" s="821"/>
      <c r="BM271" s="821"/>
      <c r="BN271" s="821"/>
      <c r="BO271" s="821"/>
      <c r="BP271" s="821"/>
      <c r="BQ271" s="821"/>
      <c r="BR271" s="821"/>
      <c r="BS271" s="821"/>
      <c r="BT271" s="821"/>
      <c r="BU271" s="821"/>
      <c r="BV271" s="821"/>
      <c r="BW271" s="821"/>
      <c r="BX271" s="821"/>
      <c r="BY271" s="821"/>
      <c r="BZ271" s="822"/>
      <c r="CA271" s="820" t="str">
        <f>IFERROR(IF(CZ253&gt;CA253-1,IF(INDEX(Pedidos!CJ:DZ,CY253+CA253-1,32)&lt;&gt;"","Localización de los Nombres :     "&amp; INDEX(Pedidos!CJ:DZ,CY253+CA253-1,32),""),""),"")</f>
        <v/>
      </c>
      <c r="CB271" s="821"/>
      <c r="CC271" s="821"/>
      <c r="CD271" s="821"/>
      <c r="CE271" s="821"/>
      <c r="CF271" s="821"/>
      <c r="CG271" s="821"/>
      <c r="CH271" s="821"/>
      <c r="CI271" s="821"/>
      <c r="CJ271" s="821"/>
      <c r="CK271" s="821"/>
      <c r="CL271" s="821"/>
      <c r="CM271" s="821"/>
      <c r="CN271" s="821"/>
      <c r="CO271" s="821"/>
      <c r="CP271" s="821"/>
      <c r="CQ271" s="821"/>
      <c r="CR271" s="821"/>
      <c r="CS271" s="821"/>
      <c r="CT271" s="821"/>
      <c r="CU271" s="821"/>
      <c r="CV271" s="821"/>
      <c r="CW271" s="821"/>
      <c r="CX271" s="821"/>
      <c r="CY271" s="821"/>
      <c r="CZ271" s="822"/>
      <c r="DA271" s="820" t="str">
        <f>IFERROR(IF(DZ253&gt;DA253-1,IF(INDEX(Pedidos!DJ:EZ,DY253+DA253-1,32)&lt;&gt;"","Localización de los Nombres :     "&amp; INDEX(Pedidos!DJ:EZ,DY253+DA253-1,32),""),""),"")</f>
        <v/>
      </c>
      <c r="DB271" s="821"/>
      <c r="DC271" s="821"/>
      <c r="DD271" s="821"/>
      <c r="DE271" s="821"/>
      <c r="DF271" s="821"/>
      <c r="DG271" s="821"/>
      <c r="DH271" s="821"/>
      <c r="DI271" s="821"/>
      <c r="DJ271" s="821"/>
      <c r="DK271" s="821"/>
      <c r="DL271" s="821"/>
      <c r="DM271" s="821"/>
      <c r="DN271" s="821"/>
      <c r="DO271" s="821"/>
      <c r="DP271" s="821"/>
      <c r="DQ271" s="821"/>
      <c r="DR271" s="821"/>
      <c r="DS271" s="821"/>
      <c r="DT271" s="821"/>
      <c r="DU271" s="821"/>
      <c r="DV271" s="821"/>
      <c r="DW271" s="821"/>
      <c r="DX271" s="821"/>
      <c r="DY271" s="821"/>
      <c r="DZ271" s="822"/>
      <c r="EA271" s="820" t="str">
        <f>IFERROR(IF(EZ253&gt;EA253-1,IF(INDEX(Pedidos!EJ:FZ,EY253+EA253-1,32)&lt;&gt;"","Localización de los Nombres :     "&amp; INDEX(Pedidos!EJ:FZ,EY253+EA253-1,32),""),""),"")</f>
        <v/>
      </c>
      <c r="EB271" s="821"/>
      <c r="EC271" s="821"/>
      <c r="ED271" s="821"/>
      <c r="EE271" s="821"/>
      <c r="EF271" s="821"/>
      <c r="EG271" s="821"/>
      <c r="EH271" s="821"/>
      <c r="EI271" s="821"/>
      <c r="EJ271" s="821"/>
      <c r="EK271" s="821"/>
      <c r="EL271" s="821"/>
      <c r="EM271" s="821"/>
      <c r="EN271" s="821"/>
      <c r="EO271" s="821"/>
      <c r="EP271" s="821"/>
      <c r="EQ271" s="821"/>
      <c r="ER271" s="821"/>
      <c r="ES271" s="821"/>
      <c r="ET271" s="821"/>
      <c r="EU271" s="821"/>
      <c r="EV271" s="821"/>
      <c r="EW271" s="821"/>
      <c r="EX271" s="821"/>
      <c r="EY271" s="821"/>
      <c r="EZ271" s="822"/>
      <c r="FA271" s="820" t="str">
        <f>IFERROR(IF(FZ253&gt;FA253-1,IF(INDEX(Pedidos!FJ:GZ,FY253+FA253-1,32)&lt;&gt;"","Localización de los Nombres :     "&amp; INDEX(Pedidos!FJ:GZ,FY253+FA253-1,32),""),""),"")</f>
        <v/>
      </c>
      <c r="FB271" s="821"/>
      <c r="FC271" s="821"/>
      <c r="FD271" s="821"/>
      <c r="FE271" s="821"/>
      <c r="FF271" s="821"/>
      <c r="FG271" s="821"/>
      <c r="FH271" s="821"/>
      <c r="FI271" s="821"/>
      <c r="FJ271" s="821"/>
      <c r="FK271" s="821"/>
      <c r="FL271" s="821"/>
      <c r="FM271" s="821"/>
      <c r="FN271" s="821"/>
      <c r="FO271" s="821"/>
      <c r="FP271" s="821"/>
      <c r="FQ271" s="821"/>
      <c r="FR271" s="821"/>
      <c r="FS271" s="821"/>
      <c r="FT271" s="821"/>
      <c r="FU271" s="821"/>
      <c r="FV271" s="821"/>
      <c r="FW271" s="821"/>
      <c r="FX271" s="821"/>
      <c r="FY271" s="821"/>
      <c r="FZ271" s="822"/>
      <c r="GA271" s="820" t="str">
        <f>IFERROR(IF(GZ253&gt;GA253-1,IF(INDEX(Pedidos!GJ:HZ,GY253+GA253-1,32)&lt;&gt;"","Localización de los Nombres :     "&amp; INDEX(Pedidos!GJ:HZ,GY253+GA253-1,32),""),""),"")</f>
        <v/>
      </c>
      <c r="GB271" s="821"/>
      <c r="GC271" s="821"/>
      <c r="GD271" s="821"/>
      <c r="GE271" s="821"/>
      <c r="GF271" s="821"/>
      <c r="GG271" s="821"/>
      <c r="GH271" s="821"/>
      <c r="GI271" s="821"/>
      <c r="GJ271" s="821"/>
      <c r="GK271" s="821"/>
      <c r="GL271" s="821"/>
      <c r="GM271" s="821"/>
      <c r="GN271" s="821"/>
      <c r="GO271" s="821"/>
      <c r="GP271" s="821"/>
      <c r="GQ271" s="821"/>
      <c r="GR271" s="821"/>
      <c r="GS271" s="821"/>
      <c r="GT271" s="821"/>
      <c r="GU271" s="821"/>
      <c r="GV271" s="821"/>
      <c r="GW271" s="821"/>
      <c r="GX271" s="821"/>
      <c r="GY271" s="821"/>
      <c r="GZ271" s="822"/>
      <c r="HA271" s="820" t="str">
        <f>IFERROR(IF(HZ253&gt;HA253-1,IF(INDEX(Pedidos!HJ:IZ,HY253+HA253-1,32)&lt;&gt;"","Localización de los Nombres :     "&amp; INDEX(Pedidos!HJ:IZ,HY253+HA253-1,32),""),""),"")</f>
        <v/>
      </c>
      <c r="HB271" s="821"/>
      <c r="HC271" s="821"/>
      <c r="HD271" s="821"/>
      <c r="HE271" s="821"/>
      <c r="HF271" s="821"/>
      <c r="HG271" s="821"/>
      <c r="HH271" s="821"/>
      <c r="HI271" s="821"/>
      <c r="HJ271" s="821"/>
      <c r="HK271" s="821"/>
      <c r="HL271" s="821"/>
      <c r="HM271" s="821"/>
      <c r="HN271" s="821"/>
      <c r="HO271" s="821"/>
      <c r="HP271" s="821"/>
      <c r="HQ271" s="821"/>
      <c r="HR271" s="821"/>
      <c r="HS271" s="821"/>
      <c r="HT271" s="821"/>
      <c r="HU271" s="821"/>
      <c r="HV271" s="821"/>
      <c r="HW271" s="821"/>
      <c r="HX271" s="821"/>
      <c r="HY271" s="821"/>
      <c r="HZ271" s="822"/>
      <c r="IA271" s="820" t="str">
        <f>IFERROR(IF(IZ253&gt;IA253-1,IF(INDEX(Pedidos!IJ:JZ,IY253+IA253-1,32)&lt;&gt;"","Localización de los Nombres :     "&amp; INDEX(Pedidos!IJ:JZ,IY253+IA253-1,32),""),""),"")</f>
        <v/>
      </c>
      <c r="IB271" s="821"/>
      <c r="IC271" s="821"/>
      <c r="ID271" s="821"/>
      <c r="IE271" s="821"/>
      <c r="IF271" s="821"/>
      <c r="IG271" s="821"/>
      <c r="IH271" s="821"/>
      <c r="II271" s="821"/>
      <c r="IJ271" s="821"/>
      <c r="IK271" s="821"/>
      <c r="IL271" s="821"/>
      <c r="IM271" s="821"/>
      <c r="IN271" s="821"/>
      <c r="IO271" s="821"/>
      <c r="IP271" s="821"/>
      <c r="IQ271" s="821"/>
      <c r="IR271" s="821"/>
      <c r="IS271" s="821"/>
      <c r="IT271" s="821"/>
      <c r="IU271" s="821"/>
      <c r="IV271" s="821"/>
      <c r="IW271" s="821"/>
      <c r="IX271" s="821"/>
      <c r="IY271" s="821"/>
      <c r="IZ271" s="822"/>
    </row>
    <row r="272" spans="1:260" x14ac:dyDescent="0.25">
      <c r="A272" s="836" t="str">
        <f>IFERROR(IF(Z253&gt;A253-1,IF(INDEX(Pedidos!J:AZ,Y253+A253-1,37)&lt;&gt;"","Otras Instrucciones Especiales :     "&amp; INDEX(Pedidos!J:AZ,Y253+A253-1,37),""),""),"")</f>
        <v/>
      </c>
      <c r="B272" s="837"/>
      <c r="C272" s="837"/>
      <c r="D272" s="837"/>
      <c r="E272" s="837"/>
      <c r="F272" s="837"/>
      <c r="G272" s="837"/>
      <c r="H272" s="837"/>
      <c r="I272" s="837"/>
      <c r="J272" s="837"/>
      <c r="K272" s="837"/>
      <c r="L272" s="837"/>
      <c r="M272" s="837"/>
      <c r="N272" s="837"/>
      <c r="O272" s="837"/>
      <c r="P272" s="837"/>
      <c r="Q272" s="837"/>
      <c r="R272" s="837"/>
      <c r="S272" s="837"/>
      <c r="T272" s="837"/>
      <c r="U272" s="837"/>
      <c r="V272" s="837"/>
      <c r="W272" s="837"/>
      <c r="X272" s="837"/>
      <c r="Y272" s="837"/>
      <c r="Z272" s="838"/>
      <c r="AA272" s="836" t="str">
        <f>IFERROR(IF(AZ253&gt;AA253-1,IF(INDEX(Pedidos!AJ:BZ,AY253+AA253-1,37)&lt;&gt;"","Otras Instrucciones Especiales :     "&amp; INDEX(Pedidos!AJ:BZ,AY253+AA253-1,37),""),""),"")</f>
        <v/>
      </c>
      <c r="AB272" s="837"/>
      <c r="AC272" s="837"/>
      <c r="AD272" s="837"/>
      <c r="AE272" s="837"/>
      <c r="AF272" s="837"/>
      <c r="AG272" s="837"/>
      <c r="AH272" s="837"/>
      <c r="AI272" s="837"/>
      <c r="AJ272" s="837"/>
      <c r="AK272" s="837"/>
      <c r="AL272" s="837"/>
      <c r="AM272" s="837"/>
      <c r="AN272" s="837"/>
      <c r="AO272" s="837"/>
      <c r="AP272" s="837"/>
      <c r="AQ272" s="837"/>
      <c r="AR272" s="837"/>
      <c r="AS272" s="837"/>
      <c r="AT272" s="837"/>
      <c r="AU272" s="837"/>
      <c r="AV272" s="837"/>
      <c r="AW272" s="837"/>
      <c r="AX272" s="837"/>
      <c r="AY272" s="837"/>
      <c r="AZ272" s="838"/>
      <c r="BA272" s="836" t="str">
        <f>IFERROR(IF(BZ253&gt;BA253-1,IF(INDEX(Pedidos!BJ:CZ,BY253+BA253-1,37)&lt;&gt;"","Otras Instrucciones Especiales :     "&amp; INDEX(Pedidos!BJ:CZ,BY253+BA253-1,37),""),""),"")</f>
        <v/>
      </c>
      <c r="BB272" s="837"/>
      <c r="BC272" s="837"/>
      <c r="BD272" s="837"/>
      <c r="BE272" s="837"/>
      <c r="BF272" s="837"/>
      <c r="BG272" s="837"/>
      <c r="BH272" s="837"/>
      <c r="BI272" s="837"/>
      <c r="BJ272" s="837"/>
      <c r="BK272" s="837"/>
      <c r="BL272" s="837"/>
      <c r="BM272" s="837"/>
      <c r="BN272" s="837"/>
      <c r="BO272" s="837"/>
      <c r="BP272" s="837"/>
      <c r="BQ272" s="837"/>
      <c r="BR272" s="837"/>
      <c r="BS272" s="837"/>
      <c r="BT272" s="837"/>
      <c r="BU272" s="837"/>
      <c r="BV272" s="837"/>
      <c r="BW272" s="837"/>
      <c r="BX272" s="837"/>
      <c r="BY272" s="837"/>
      <c r="BZ272" s="838"/>
      <c r="CA272" s="836" t="str">
        <f>IFERROR(IF(CZ253&gt;CA253-1,IF(INDEX(Pedidos!CJ:DZ,CY253+CA253-1,37)&lt;&gt;"","Otras Instrucciones Especiales :     "&amp; INDEX(Pedidos!CJ:DZ,CY253+CA253-1,37),""),""),"")</f>
        <v/>
      </c>
      <c r="CB272" s="837"/>
      <c r="CC272" s="837"/>
      <c r="CD272" s="837"/>
      <c r="CE272" s="837"/>
      <c r="CF272" s="837"/>
      <c r="CG272" s="837"/>
      <c r="CH272" s="837"/>
      <c r="CI272" s="837"/>
      <c r="CJ272" s="837"/>
      <c r="CK272" s="837"/>
      <c r="CL272" s="837"/>
      <c r="CM272" s="837"/>
      <c r="CN272" s="837"/>
      <c r="CO272" s="837"/>
      <c r="CP272" s="837"/>
      <c r="CQ272" s="837"/>
      <c r="CR272" s="837"/>
      <c r="CS272" s="837"/>
      <c r="CT272" s="837"/>
      <c r="CU272" s="837"/>
      <c r="CV272" s="837"/>
      <c r="CW272" s="837"/>
      <c r="CX272" s="837"/>
      <c r="CY272" s="837"/>
      <c r="CZ272" s="838"/>
      <c r="DA272" s="836" t="str">
        <f>IFERROR(IF(DZ253&gt;DA253-1,IF(INDEX(Pedidos!DJ:EZ,DY253+DA253-1,37)&lt;&gt;"","Otras Instrucciones Especiales :     "&amp; INDEX(Pedidos!DJ:EZ,DY253+DA253-1,37),""),""),"")</f>
        <v/>
      </c>
      <c r="DB272" s="837"/>
      <c r="DC272" s="837"/>
      <c r="DD272" s="837"/>
      <c r="DE272" s="837"/>
      <c r="DF272" s="837"/>
      <c r="DG272" s="837"/>
      <c r="DH272" s="837"/>
      <c r="DI272" s="837"/>
      <c r="DJ272" s="837"/>
      <c r="DK272" s="837"/>
      <c r="DL272" s="837"/>
      <c r="DM272" s="837"/>
      <c r="DN272" s="837"/>
      <c r="DO272" s="837"/>
      <c r="DP272" s="837"/>
      <c r="DQ272" s="837"/>
      <c r="DR272" s="837"/>
      <c r="DS272" s="837"/>
      <c r="DT272" s="837"/>
      <c r="DU272" s="837"/>
      <c r="DV272" s="837"/>
      <c r="DW272" s="837"/>
      <c r="DX272" s="837"/>
      <c r="DY272" s="837"/>
      <c r="DZ272" s="838"/>
      <c r="EA272" s="836" t="str">
        <f>IFERROR(IF(EZ253&gt;EA253-1,IF(INDEX(Pedidos!EJ:FZ,EY253+EA253-1,37)&lt;&gt;"","Otras Instrucciones Especiales :     "&amp; INDEX(Pedidos!EJ:FZ,EY253+EA253-1,37),""),""),"")</f>
        <v/>
      </c>
      <c r="EB272" s="837"/>
      <c r="EC272" s="837"/>
      <c r="ED272" s="837"/>
      <c r="EE272" s="837"/>
      <c r="EF272" s="837"/>
      <c r="EG272" s="837"/>
      <c r="EH272" s="837"/>
      <c r="EI272" s="837"/>
      <c r="EJ272" s="837"/>
      <c r="EK272" s="837"/>
      <c r="EL272" s="837"/>
      <c r="EM272" s="837"/>
      <c r="EN272" s="837"/>
      <c r="EO272" s="837"/>
      <c r="EP272" s="837"/>
      <c r="EQ272" s="837"/>
      <c r="ER272" s="837"/>
      <c r="ES272" s="837"/>
      <c r="ET272" s="837"/>
      <c r="EU272" s="837"/>
      <c r="EV272" s="837"/>
      <c r="EW272" s="837"/>
      <c r="EX272" s="837"/>
      <c r="EY272" s="837"/>
      <c r="EZ272" s="838"/>
      <c r="FA272" s="836" t="str">
        <f>IFERROR(IF(FZ253&gt;FA253-1,IF(INDEX(Pedidos!FJ:GZ,FY253+FA253-1,37)&lt;&gt;"","Otras Instrucciones Especiales :     "&amp; INDEX(Pedidos!FJ:GZ,FY253+FA253-1,37),""),""),"")</f>
        <v/>
      </c>
      <c r="FB272" s="837"/>
      <c r="FC272" s="837"/>
      <c r="FD272" s="837"/>
      <c r="FE272" s="837"/>
      <c r="FF272" s="837"/>
      <c r="FG272" s="837"/>
      <c r="FH272" s="837"/>
      <c r="FI272" s="837"/>
      <c r="FJ272" s="837"/>
      <c r="FK272" s="837"/>
      <c r="FL272" s="837"/>
      <c r="FM272" s="837"/>
      <c r="FN272" s="837"/>
      <c r="FO272" s="837"/>
      <c r="FP272" s="837"/>
      <c r="FQ272" s="837"/>
      <c r="FR272" s="837"/>
      <c r="FS272" s="837"/>
      <c r="FT272" s="837"/>
      <c r="FU272" s="837"/>
      <c r="FV272" s="837"/>
      <c r="FW272" s="837"/>
      <c r="FX272" s="837"/>
      <c r="FY272" s="837"/>
      <c r="FZ272" s="838"/>
      <c r="GA272" s="836" t="str">
        <f>IFERROR(IF(GZ253&gt;GA253-1,IF(INDEX(Pedidos!GJ:HZ,GY253+GA253-1,37)&lt;&gt;"","Otras Instrucciones Especiales :     "&amp; INDEX(Pedidos!GJ:HZ,GY253+GA253-1,37),""),""),"")</f>
        <v/>
      </c>
      <c r="GB272" s="837"/>
      <c r="GC272" s="837"/>
      <c r="GD272" s="837"/>
      <c r="GE272" s="837"/>
      <c r="GF272" s="837"/>
      <c r="GG272" s="837"/>
      <c r="GH272" s="837"/>
      <c r="GI272" s="837"/>
      <c r="GJ272" s="837"/>
      <c r="GK272" s="837"/>
      <c r="GL272" s="837"/>
      <c r="GM272" s="837"/>
      <c r="GN272" s="837"/>
      <c r="GO272" s="837"/>
      <c r="GP272" s="837"/>
      <c r="GQ272" s="837"/>
      <c r="GR272" s="837"/>
      <c r="GS272" s="837"/>
      <c r="GT272" s="837"/>
      <c r="GU272" s="837"/>
      <c r="GV272" s="837"/>
      <c r="GW272" s="837"/>
      <c r="GX272" s="837"/>
      <c r="GY272" s="837"/>
      <c r="GZ272" s="838"/>
      <c r="HA272" s="836" t="str">
        <f>IFERROR(IF(HZ253&gt;HA253-1,IF(INDEX(Pedidos!HJ:IZ,HY253+HA253-1,37)&lt;&gt;"","Otras Instrucciones Especiales :     "&amp; INDEX(Pedidos!HJ:IZ,HY253+HA253-1,37),""),""),"")</f>
        <v/>
      </c>
      <c r="HB272" s="837"/>
      <c r="HC272" s="837"/>
      <c r="HD272" s="837"/>
      <c r="HE272" s="837"/>
      <c r="HF272" s="837"/>
      <c r="HG272" s="837"/>
      <c r="HH272" s="837"/>
      <c r="HI272" s="837"/>
      <c r="HJ272" s="837"/>
      <c r="HK272" s="837"/>
      <c r="HL272" s="837"/>
      <c r="HM272" s="837"/>
      <c r="HN272" s="837"/>
      <c r="HO272" s="837"/>
      <c r="HP272" s="837"/>
      <c r="HQ272" s="837"/>
      <c r="HR272" s="837"/>
      <c r="HS272" s="837"/>
      <c r="HT272" s="837"/>
      <c r="HU272" s="837"/>
      <c r="HV272" s="837"/>
      <c r="HW272" s="837"/>
      <c r="HX272" s="837"/>
      <c r="HY272" s="837"/>
      <c r="HZ272" s="838"/>
      <c r="IA272" s="836" t="str">
        <f>IFERROR(IF(IZ253&gt;IA253-1,IF(INDEX(Pedidos!IJ:JZ,IY253+IA253-1,37)&lt;&gt;"","Otras Instrucciones Especiales :     "&amp; INDEX(Pedidos!IJ:JZ,IY253+IA253-1,37),""),""),"")</f>
        <v/>
      </c>
      <c r="IB272" s="837"/>
      <c r="IC272" s="837"/>
      <c r="ID272" s="837"/>
      <c r="IE272" s="837"/>
      <c r="IF272" s="837"/>
      <c r="IG272" s="837"/>
      <c r="IH272" s="837"/>
      <c r="II272" s="837"/>
      <c r="IJ272" s="837"/>
      <c r="IK272" s="837"/>
      <c r="IL272" s="837"/>
      <c r="IM272" s="837"/>
      <c r="IN272" s="837"/>
      <c r="IO272" s="837"/>
      <c r="IP272" s="837"/>
      <c r="IQ272" s="837"/>
      <c r="IR272" s="837"/>
      <c r="IS272" s="837"/>
      <c r="IT272" s="837"/>
      <c r="IU272" s="837"/>
      <c r="IV272" s="837"/>
      <c r="IW272" s="837"/>
      <c r="IX272" s="837"/>
      <c r="IY272" s="837"/>
      <c r="IZ272" s="838"/>
    </row>
    <row r="273" spans="1:260" ht="15.75" thickBot="1" x14ac:dyDescent="0.3">
      <c r="A273" s="839"/>
      <c r="B273" s="840"/>
      <c r="C273" s="840"/>
      <c r="D273" s="840"/>
      <c r="E273" s="840"/>
      <c r="F273" s="840"/>
      <c r="G273" s="840"/>
      <c r="H273" s="840"/>
      <c r="I273" s="840"/>
      <c r="J273" s="840"/>
      <c r="K273" s="840"/>
      <c r="L273" s="840"/>
      <c r="M273" s="840"/>
      <c r="N273" s="840"/>
      <c r="O273" s="840"/>
      <c r="P273" s="840"/>
      <c r="Q273" s="840"/>
      <c r="R273" s="840"/>
      <c r="S273" s="840"/>
      <c r="T273" s="840"/>
      <c r="U273" s="840"/>
      <c r="V273" s="840"/>
      <c r="W273" s="840"/>
      <c r="X273" s="840"/>
      <c r="Y273" s="840"/>
      <c r="Z273" s="841"/>
      <c r="AA273" s="839"/>
      <c r="AB273" s="840"/>
      <c r="AC273" s="840"/>
      <c r="AD273" s="840"/>
      <c r="AE273" s="840"/>
      <c r="AF273" s="840"/>
      <c r="AG273" s="840"/>
      <c r="AH273" s="840"/>
      <c r="AI273" s="840"/>
      <c r="AJ273" s="840"/>
      <c r="AK273" s="840"/>
      <c r="AL273" s="840"/>
      <c r="AM273" s="840"/>
      <c r="AN273" s="840"/>
      <c r="AO273" s="840"/>
      <c r="AP273" s="840"/>
      <c r="AQ273" s="840"/>
      <c r="AR273" s="840"/>
      <c r="AS273" s="840"/>
      <c r="AT273" s="840"/>
      <c r="AU273" s="840"/>
      <c r="AV273" s="840"/>
      <c r="AW273" s="840"/>
      <c r="AX273" s="840"/>
      <c r="AY273" s="840"/>
      <c r="AZ273" s="841"/>
      <c r="BA273" s="839"/>
      <c r="BB273" s="840"/>
      <c r="BC273" s="840"/>
      <c r="BD273" s="840"/>
      <c r="BE273" s="840"/>
      <c r="BF273" s="840"/>
      <c r="BG273" s="840"/>
      <c r="BH273" s="840"/>
      <c r="BI273" s="840"/>
      <c r="BJ273" s="840"/>
      <c r="BK273" s="840"/>
      <c r="BL273" s="840"/>
      <c r="BM273" s="840"/>
      <c r="BN273" s="840"/>
      <c r="BO273" s="840"/>
      <c r="BP273" s="840"/>
      <c r="BQ273" s="840"/>
      <c r="BR273" s="840"/>
      <c r="BS273" s="840"/>
      <c r="BT273" s="840"/>
      <c r="BU273" s="840"/>
      <c r="BV273" s="840"/>
      <c r="BW273" s="840"/>
      <c r="BX273" s="840"/>
      <c r="BY273" s="840"/>
      <c r="BZ273" s="841"/>
      <c r="CA273" s="839"/>
      <c r="CB273" s="840"/>
      <c r="CC273" s="840"/>
      <c r="CD273" s="840"/>
      <c r="CE273" s="840"/>
      <c r="CF273" s="840"/>
      <c r="CG273" s="840"/>
      <c r="CH273" s="840"/>
      <c r="CI273" s="840"/>
      <c r="CJ273" s="840"/>
      <c r="CK273" s="840"/>
      <c r="CL273" s="840"/>
      <c r="CM273" s="840"/>
      <c r="CN273" s="840"/>
      <c r="CO273" s="840"/>
      <c r="CP273" s="840"/>
      <c r="CQ273" s="840"/>
      <c r="CR273" s="840"/>
      <c r="CS273" s="840"/>
      <c r="CT273" s="840"/>
      <c r="CU273" s="840"/>
      <c r="CV273" s="840"/>
      <c r="CW273" s="840"/>
      <c r="CX273" s="840"/>
      <c r="CY273" s="840"/>
      <c r="CZ273" s="841"/>
      <c r="DA273" s="839"/>
      <c r="DB273" s="840"/>
      <c r="DC273" s="840"/>
      <c r="DD273" s="840"/>
      <c r="DE273" s="840"/>
      <c r="DF273" s="840"/>
      <c r="DG273" s="840"/>
      <c r="DH273" s="840"/>
      <c r="DI273" s="840"/>
      <c r="DJ273" s="840"/>
      <c r="DK273" s="840"/>
      <c r="DL273" s="840"/>
      <c r="DM273" s="840"/>
      <c r="DN273" s="840"/>
      <c r="DO273" s="840"/>
      <c r="DP273" s="840"/>
      <c r="DQ273" s="840"/>
      <c r="DR273" s="840"/>
      <c r="DS273" s="840"/>
      <c r="DT273" s="840"/>
      <c r="DU273" s="840"/>
      <c r="DV273" s="840"/>
      <c r="DW273" s="840"/>
      <c r="DX273" s="840"/>
      <c r="DY273" s="840"/>
      <c r="DZ273" s="841"/>
      <c r="EA273" s="839"/>
      <c r="EB273" s="840"/>
      <c r="EC273" s="840"/>
      <c r="ED273" s="840"/>
      <c r="EE273" s="840"/>
      <c r="EF273" s="840"/>
      <c r="EG273" s="840"/>
      <c r="EH273" s="840"/>
      <c r="EI273" s="840"/>
      <c r="EJ273" s="840"/>
      <c r="EK273" s="840"/>
      <c r="EL273" s="840"/>
      <c r="EM273" s="840"/>
      <c r="EN273" s="840"/>
      <c r="EO273" s="840"/>
      <c r="EP273" s="840"/>
      <c r="EQ273" s="840"/>
      <c r="ER273" s="840"/>
      <c r="ES273" s="840"/>
      <c r="ET273" s="840"/>
      <c r="EU273" s="840"/>
      <c r="EV273" s="840"/>
      <c r="EW273" s="840"/>
      <c r="EX273" s="840"/>
      <c r="EY273" s="840"/>
      <c r="EZ273" s="841"/>
      <c r="FA273" s="839"/>
      <c r="FB273" s="840"/>
      <c r="FC273" s="840"/>
      <c r="FD273" s="840"/>
      <c r="FE273" s="840"/>
      <c r="FF273" s="840"/>
      <c r="FG273" s="840"/>
      <c r="FH273" s="840"/>
      <c r="FI273" s="840"/>
      <c r="FJ273" s="840"/>
      <c r="FK273" s="840"/>
      <c r="FL273" s="840"/>
      <c r="FM273" s="840"/>
      <c r="FN273" s="840"/>
      <c r="FO273" s="840"/>
      <c r="FP273" s="840"/>
      <c r="FQ273" s="840"/>
      <c r="FR273" s="840"/>
      <c r="FS273" s="840"/>
      <c r="FT273" s="840"/>
      <c r="FU273" s="840"/>
      <c r="FV273" s="840"/>
      <c r="FW273" s="840"/>
      <c r="FX273" s="840"/>
      <c r="FY273" s="840"/>
      <c r="FZ273" s="841"/>
      <c r="GA273" s="839"/>
      <c r="GB273" s="840"/>
      <c r="GC273" s="840"/>
      <c r="GD273" s="840"/>
      <c r="GE273" s="840"/>
      <c r="GF273" s="840"/>
      <c r="GG273" s="840"/>
      <c r="GH273" s="840"/>
      <c r="GI273" s="840"/>
      <c r="GJ273" s="840"/>
      <c r="GK273" s="840"/>
      <c r="GL273" s="840"/>
      <c r="GM273" s="840"/>
      <c r="GN273" s="840"/>
      <c r="GO273" s="840"/>
      <c r="GP273" s="840"/>
      <c r="GQ273" s="840"/>
      <c r="GR273" s="840"/>
      <c r="GS273" s="840"/>
      <c r="GT273" s="840"/>
      <c r="GU273" s="840"/>
      <c r="GV273" s="840"/>
      <c r="GW273" s="840"/>
      <c r="GX273" s="840"/>
      <c r="GY273" s="840"/>
      <c r="GZ273" s="841"/>
      <c r="HA273" s="839"/>
      <c r="HB273" s="840"/>
      <c r="HC273" s="840"/>
      <c r="HD273" s="840"/>
      <c r="HE273" s="840"/>
      <c r="HF273" s="840"/>
      <c r="HG273" s="840"/>
      <c r="HH273" s="840"/>
      <c r="HI273" s="840"/>
      <c r="HJ273" s="840"/>
      <c r="HK273" s="840"/>
      <c r="HL273" s="840"/>
      <c r="HM273" s="840"/>
      <c r="HN273" s="840"/>
      <c r="HO273" s="840"/>
      <c r="HP273" s="840"/>
      <c r="HQ273" s="840"/>
      <c r="HR273" s="840"/>
      <c r="HS273" s="840"/>
      <c r="HT273" s="840"/>
      <c r="HU273" s="840"/>
      <c r="HV273" s="840"/>
      <c r="HW273" s="840"/>
      <c r="HX273" s="840"/>
      <c r="HY273" s="840"/>
      <c r="HZ273" s="841"/>
      <c r="IA273" s="839"/>
      <c r="IB273" s="840"/>
      <c r="IC273" s="840"/>
      <c r="ID273" s="840"/>
      <c r="IE273" s="840"/>
      <c r="IF273" s="840"/>
      <c r="IG273" s="840"/>
      <c r="IH273" s="840"/>
      <c r="II273" s="840"/>
      <c r="IJ273" s="840"/>
      <c r="IK273" s="840"/>
      <c r="IL273" s="840"/>
      <c r="IM273" s="840"/>
      <c r="IN273" s="840"/>
      <c r="IO273" s="840"/>
      <c r="IP273" s="840"/>
      <c r="IQ273" s="840"/>
      <c r="IR273" s="840"/>
      <c r="IS273" s="840"/>
      <c r="IT273" s="840"/>
      <c r="IU273" s="840"/>
      <c r="IV273" s="840"/>
      <c r="IW273" s="840"/>
      <c r="IX273" s="840"/>
      <c r="IY273" s="840"/>
      <c r="IZ273" s="841"/>
    </row>
    <row r="274" spans="1:260" x14ac:dyDescent="0.25">
      <c r="A274" s="836" t="str">
        <f>IFERROR(IF(Z255&gt;A255-1,IF(INDEX(Pedidos!J:AZ,Y255+A255-1,37)&lt;&gt;"","Otras Instrucciones Especiales :     "&amp; INDEX(Pedidos!J:AZ,Y255+A255-1,37),""),""),"")</f>
        <v/>
      </c>
      <c r="B274" s="837"/>
      <c r="C274" s="837"/>
      <c r="D274" s="837"/>
      <c r="E274" s="837"/>
      <c r="F274" s="837"/>
      <c r="G274" s="837"/>
      <c r="H274" s="837"/>
      <c r="I274" s="837"/>
      <c r="J274" s="837"/>
      <c r="K274" s="837"/>
      <c r="L274" s="837"/>
      <c r="M274" s="837"/>
      <c r="N274" s="837"/>
      <c r="O274" s="837"/>
      <c r="P274" s="837"/>
      <c r="Q274" s="837"/>
      <c r="R274" s="837"/>
      <c r="S274" s="837"/>
      <c r="T274" s="837"/>
      <c r="U274" s="837"/>
      <c r="V274" s="837"/>
      <c r="W274" s="837"/>
      <c r="X274" s="837"/>
      <c r="Y274" s="837"/>
      <c r="Z274" s="838"/>
      <c r="AA274" s="836" t="str">
        <f>IFERROR(IF(AZ255&gt;AA255-1,IF(INDEX(Pedidos!AJ:BZ,AY255+AA255-1,37)&lt;&gt;"","Otras Instrucciones Especiales :     "&amp; INDEX(Pedidos!AJ:BZ,AY255+AA255-1,37),""),""),"")</f>
        <v/>
      </c>
      <c r="AB274" s="837"/>
      <c r="AC274" s="837"/>
      <c r="AD274" s="837"/>
      <c r="AE274" s="837"/>
      <c r="AF274" s="837"/>
      <c r="AG274" s="837"/>
      <c r="AH274" s="837"/>
      <c r="AI274" s="837"/>
      <c r="AJ274" s="837"/>
      <c r="AK274" s="837"/>
      <c r="AL274" s="837"/>
      <c r="AM274" s="837"/>
      <c r="AN274" s="837"/>
      <c r="AO274" s="837"/>
      <c r="AP274" s="837"/>
      <c r="AQ274" s="837"/>
      <c r="AR274" s="837"/>
      <c r="AS274" s="837"/>
      <c r="AT274" s="837"/>
      <c r="AU274" s="837"/>
      <c r="AV274" s="837"/>
      <c r="AW274" s="837"/>
      <c r="AX274" s="837"/>
      <c r="AY274" s="837"/>
      <c r="AZ274" s="838"/>
      <c r="BA274" s="836" t="str">
        <f>IFERROR(IF(BZ255&gt;BA255-1,IF(INDEX(Pedidos!BJ:CZ,BY255+BA255-1,37)&lt;&gt;"","Otras Instrucciones Especiales :     "&amp; INDEX(Pedidos!BJ:CZ,BY255+BA255-1,37),""),""),"")</f>
        <v/>
      </c>
      <c r="BB274" s="837"/>
      <c r="BC274" s="837"/>
      <c r="BD274" s="837"/>
      <c r="BE274" s="837"/>
      <c r="BF274" s="837"/>
      <c r="BG274" s="837"/>
      <c r="BH274" s="837"/>
      <c r="BI274" s="837"/>
      <c r="BJ274" s="837"/>
      <c r="BK274" s="837"/>
      <c r="BL274" s="837"/>
      <c r="BM274" s="837"/>
      <c r="BN274" s="837"/>
      <c r="BO274" s="837"/>
      <c r="BP274" s="837"/>
      <c r="BQ274" s="837"/>
      <c r="BR274" s="837"/>
      <c r="BS274" s="837"/>
      <c r="BT274" s="837"/>
      <c r="BU274" s="837"/>
      <c r="BV274" s="837"/>
      <c r="BW274" s="837"/>
      <c r="BX274" s="837"/>
      <c r="BY274" s="837"/>
      <c r="BZ274" s="838"/>
      <c r="CA274" s="836" t="str">
        <f>IFERROR(IF(CZ255&gt;CA255-1,IF(INDEX(Pedidos!CJ:DZ,CY255+CA255-1,37)&lt;&gt;"","Otras Instrucciones Especiales :     "&amp; INDEX(Pedidos!CJ:DZ,CY255+CA255-1,37),""),""),"")</f>
        <v/>
      </c>
      <c r="CB274" s="837"/>
      <c r="CC274" s="837"/>
      <c r="CD274" s="837"/>
      <c r="CE274" s="837"/>
      <c r="CF274" s="837"/>
      <c r="CG274" s="837"/>
      <c r="CH274" s="837"/>
      <c r="CI274" s="837"/>
      <c r="CJ274" s="837"/>
      <c r="CK274" s="837"/>
      <c r="CL274" s="837"/>
      <c r="CM274" s="837"/>
      <c r="CN274" s="837"/>
      <c r="CO274" s="837"/>
      <c r="CP274" s="837"/>
      <c r="CQ274" s="837"/>
      <c r="CR274" s="837"/>
      <c r="CS274" s="837"/>
      <c r="CT274" s="837"/>
      <c r="CU274" s="837"/>
      <c r="CV274" s="837"/>
      <c r="CW274" s="837"/>
      <c r="CX274" s="837"/>
      <c r="CY274" s="837"/>
      <c r="CZ274" s="838"/>
      <c r="DA274" s="836" t="str">
        <f>IFERROR(IF(DZ255&gt;DA255-1,IF(INDEX(Pedidos!DJ:EZ,DY255+DA255-1,37)&lt;&gt;"","Otras Instrucciones Especiales :     "&amp; INDEX(Pedidos!DJ:EZ,DY255+DA255-1,37),""),""),"")</f>
        <v/>
      </c>
      <c r="DB274" s="837"/>
      <c r="DC274" s="837"/>
      <c r="DD274" s="837"/>
      <c r="DE274" s="837"/>
      <c r="DF274" s="837"/>
      <c r="DG274" s="837"/>
      <c r="DH274" s="837"/>
      <c r="DI274" s="837"/>
      <c r="DJ274" s="837"/>
      <c r="DK274" s="837"/>
      <c r="DL274" s="837"/>
      <c r="DM274" s="837"/>
      <c r="DN274" s="837"/>
      <c r="DO274" s="837"/>
      <c r="DP274" s="837"/>
      <c r="DQ274" s="837"/>
      <c r="DR274" s="837"/>
      <c r="DS274" s="837"/>
      <c r="DT274" s="837"/>
      <c r="DU274" s="837"/>
      <c r="DV274" s="837"/>
      <c r="DW274" s="837"/>
      <c r="DX274" s="837"/>
      <c r="DY274" s="837"/>
      <c r="DZ274" s="838"/>
      <c r="EA274" s="836" t="str">
        <f>IFERROR(IF(EZ255&gt;EA255-1,IF(INDEX(Pedidos!EJ:FZ,EY255+EA255-1,37)&lt;&gt;"","Otras Instrucciones Especiales :     "&amp; INDEX(Pedidos!EJ:FZ,EY255+EA255-1,37),""),""),"")</f>
        <v/>
      </c>
      <c r="EB274" s="837"/>
      <c r="EC274" s="837"/>
      <c r="ED274" s="837"/>
      <c r="EE274" s="837"/>
      <c r="EF274" s="837"/>
      <c r="EG274" s="837"/>
      <c r="EH274" s="837"/>
      <c r="EI274" s="837"/>
      <c r="EJ274" s="837"/>
      <c r="EK274" s="837"/>
      <c r="EL274" s="837"/>
      <c r="EM274" s="837"/>
      <c r="EN274" s="837"/>
      <c r="EO274" s="837"/>
      <c r="EP274" s="837"/>
      <c r="EQ274" s="837"/>
      <c r="ER274" s="837"/>
      <c r="ES274" s="837"/>
      <c r="ET274" s="837"/>
      <c r="EU274" s="837"/>
      <c r="EV274" s="837"/>
      <c r="EW274" s="837"/>
      <c r="EX274" s="837"/>
      <c r="EY274" s="837"/>
      <c r="EZ274" s="838"/>
      <c r="FA274" s="836" t="str">
        <f>IFERROR(IF(FZ255&gt;FA255-1,IF(INDEX(Pedidos!FJ:GZ,FY255+FA255-1,37)&lt;&gt;"","Otras Instrucciones Especiales :     "&amp; INDEX(Pedidos!FJ:GZ,FY255+FA255-1,37),""),""),"")</f>
        <v/>
      </c>
      <c r="FB274" s="837"/>
      <c r="FC274" s="837"/>
      <c r="FD274" s="837"/>
      <c r="FE274" s="837"/>
      <c r="FF274" s="837"/>
      <c r="FG274" s="837"/>
      <c r="FH274" s="837"/>
      <c r="FI274" s="837"/>
      <c r="FJ274" s="837"/>
      <c r="FK274" s="837"/>
      <c r="FL274" s="837"/>
      <c r="FM274" s="837"/>
      <c r="FN274" s="837"/>
      <c r="FO274" s="837"/>
      <c r="FP274" s="837"/>
      <c r="FQ274" s="837"/>
      <c r="FR274" s="837"/>
      <c r="FS274" s="837"/>
      <c r="FT274" s="837"/>
      <c r="FU274" s="837"/>
      <c r="FV274" s="837"/>
      <c r="FW274" s="837"/>
      <c r="FX274" s="837"/>
      <c r="FY274" s="837"/>
      <c r="FZ274" s="838"/>
      <c r="GA274" s="836" t="str">
        <f>IFERROR(IF(GZ255&gt;GA255-1,IF(INDEX(Pedidos!GJ:HZ,GY255+GA255-1,37)&lt;&gt;"","Otras Instrucciones Especiales :     "&amp; INDEX(Pedidos!GJ:HZ,GY255+GA255-1,37),""),""),"")</f>
        <v/>
      </c>
      <c r="GB274" s="837"/>
      <c r="GC274" s="837"/>
      <c r="GD274" s="837"/>
      <c r="GE274" s="837"/>
      <c r="GF274" s="837"/>
      <c r="GG274" s="837"/>
      <c r="GH274" s="837"/>
      <c r="GI274" s="837"/>
      <c r="GJ274" s="837"/>
      <c r="GK274" s="837"/>
      <c r="GL274" s="837"/>
      <c r="GM274" s="837"/>
      <c r="GN274" s="837"/>
      <c r="GO274" s="837"/>
      <c r="GP274" s="837"/>
      <c r="GQ274" s="837"/>
      <c r="GR274" s="837"/>
      <c r="GS274" s="837"/>
      <c r="GT274" s="837"/>
      <c r="GU274" s="837"/>
      <c r="GV274" s="837"/>
      <c r="GW274" s="837"/>
      <c r="GX274" s="837"/>
      <c r="GY274" s="837"/>
      <c r="GZ274" s="838"/>
      <c r="HA274" s="836" t="str">
        <f>IFERROR(IF(HZ255&gt;HA255-1,IF(INDEX(Pedidos!HJ:IZ,HY255+HA255-1,37)&lt;&gt;"","Otras Instrucciones Especiales :     "&amp; INDEX(Pedidos!HJ:IZ,HY255+HA255-1,37),""),""),"")</f>
        <v/>
      </c>
      <c r="HB274" s="837"/>
      <c r="HC274" s="837"/>
      <c r="HD274" s="837"/>
      <c r="HE274" s="837"/>
      <c r="HF274" s="837"/>
      <c r="HG274" s="837"/>
      <c r="HH274" s="837"/>
      <c r="HI274" s="837"/>
      <c r="HJ274" s="837"/>
      <c r="HK274" s="837"/>
      <c r="HL274" s="837"/>
      <c r="HM274" s="837"/>
      <c r="HN274" s="837"/>
      <c r="HO274" s="837"/>
      <c r="HP274" s="837"/>
      <c r="HQ274" s="837"/>
      <c r="HR274" s="837"/>
      <c r="HS274" s="837"/>
      <c r="HT274" s="837"/>
      <c r="HU274" s="837"/>
      <c r="HV274" s="837"/>
      <c r="HW274" s="837"/>
      <c r="HX274" s="837"/>
      <c r="HY274" s="837"/>
      <c r="HZ274" s="838"/>
      <c r="IA274" s="836" t="str">
        <f>IFERROR(IF(IZ255&gt;IA255-1,IF(INDEX(Pedidos!IJ:JZ,IY255+IA255-1,37)&lt;&gt;"","Otras Instrucciones Especiales :     "&amp; INDEX(Pedidos!IJ:JZ,IY255+IA255-1,37),""),""),"")</f>
        <v/>
      </c>
      <c r="IB274" s="837"/>
      <c r="IC274" s="837"/>
      <c r="ID274" s="837"/>
      <c r="IE274" s="837"/>
      <c r="IF274" s="837"/>
      <c r="IG274" s="837"/>
      <c r="IH274" s="837"/>
      <c r="II274" s="837"/>
      <c r="IJ274" s="837"/>
      <c r="IK274" s="837"/>
      <c r="IL274" s="837"/>
      <c r="IM274" s="837"/>
      <c r="IN274" s="837"/>
      <c r="IO274" s="837"/>
      <c r="IP274" s="837"/>
      <c r="IQ274" s="837"/>
      <c r="IR274" s="837"/>
      <c r="IS274" s="837"/>
      <c r="IT274" s="837"/>
      <c r="IU274" s="837"/>
      <c r="IV274" s="837"/>
      <c r="IW274" s="837"/>
      <c r="IX274" s="837"/>
      <c r="IY274" s="837"/>
      <c r="IZ274" s="838"/>
    </row>
    <row r="275" spans="1:260" ht="15.75" thickBot="1" x14ac:dyDescent="0.3">
      <c r="A275" s="839"/>
      <c r="B275" s="840"/>
      <c r="C275" s="840"/>
      <c r="D275" s="840"/>
      <c r="E275" s="840"/>
      <c r="F275" s="840"/>
      <c r="G275" s="840"/>
      <c r="H275" s="840"/>
      <c r="I275" s="840"/>
      <c r="J275" s="840"/>
      <c r="K275" s="840"/>
      <c r="L275" s="840"/>
      <c r="M275" s="840"/>
      <c r="N275" s="840"/>
      <c r="O275" s="840"/>
      <c r="P275" s="840"/>
      <c r="Q275" s="840"/>
      <c r="R275" s="840"/>
      <c r="S275" s="840"/>
      <c r="T275" s="840"/>
      <c r="U275" s="840"/>
      <c r="V275" s="840"/>
      <c r="W275" s="840"/>
      <c r="X275" s="840"/>
      <c r="Y275" s="840"/>
      <c r="Z275" s="841"/>
      <c r="AA275" s="839"/>
      <c r="AB275" s="840"/>
      <c r="AC275" s="840"/>
      <c r="AD275" s="840"/>
      <c r="AE275" s="840"/>
      <c r="AF275" s="840"/>
      <c r="AG275" s="840"/>
      <c r="AH275" s="840"/>
      <c r="AI275" s="840"/>
      <c r="AJ275" s="840"/>
      <c r="AK275" s="840"/>
      <c r="AL275" s="840"/>
      <c r="AM275" s="840"/>
      <c r="AN275" s="840"/>
      <c r="AO275" s="840"/>
      <c r="AP275" s="840"/>
      <c r="AQ275" s="840"/>
      <c r="AR275" s="840"/>
      <c r="AS275" s="840"/>
      <c r="AT275" s="840"/>
      <c r="AU275" s="840"/>
      <c r="AV275" s="840"/>
      <c r="AW275" s="840"/>
      <c r="AX275" s="840"/>
      <c r="AY275" s="840"/>
      <c r="AZ275" s="841"/>
      <c r="BA275" s="839"/>
      <c r="BB275" s="840"/>
      <c r="BC275" s="840"/>
      <c r="BD275" s="840"/>
      <c r="BE275" s="840"/>
      <c r="BF275" s="840"/>
      <c r="BG275" s="840"/>
      <c r="BH275" s="840"/>
      <c r="BI275" s="840"/>
      <c r="BJ275" s="840"/>
      <c r="BK275" s="840"/>
      <c r="BL275" s="840"/>
      <c r="BM275" s="840"/>
      <c r="BN275" s="840"/>
      <c r="BO275" s="840"/>
      <c r="BP275" s="840"/>
      <c r="BQ275" s="840"/>
      <c r="BR275" s="840"/>
      <c r="BS275" s="840"/>
      <c r="BT275" s="840"/>
      <c r="BU275" s="840"/>
      <c r="BV275" s="840"/>
      <c r="BW275" s="840"/>
      <c r="BX275" s="840"/>
      <c r="BY275" s="840"/>
      <c r="BZ275" s="841"/>
      <c r="CA275" s="839"/>
      <c r="CB275" s="840"/>
      <c r="CC275" s="840"/>
      <c r="CD275" s="840"/>
      <c r="CE275" s="840"/>
      <c r="CF275" s="840"/>
      <c r="CG275" s="840"/>
      <c r="CH275" s="840"/>
      <c r="CI275" s="840"/>
      <c r="CJ275" s="840"/>
      <c r="CK275" s="840"/>
      <c r="CL275" s="840"/>
      <c r="CM275" s="840"/>
      <c r="CN275" s="840"/>
      <c r="CO275" s="840"/>
      <c r="CP275" s="840"/>
      <c r="CQ275" s="840"/>
      <c r="CR275" s="840"/>
      <c r="CS275" s="840"/>
      <c r="CT275" s="840"/>
      <c r="CU275" s="840"/>
      <c r="CV275" s="840"/>
      <c r="CW275" s="840"/>
      <c r="CX275" s="840"/>
      <c r="CY275" s="840"/>
      <c r="CZ275" s="841"/>
      <c r="DA275" s="839"/>
      <c r="DB275" s="840"/>
      <c r="DC275" s="840"/>
      <c r="DD275" s="840"/>
      <c r="DE275" s="840"/>
      <c r="DF275" s="840"/>
      <c r="DG275" s="840"/>
      <c r="DH275" s="840"/>
      <c r="DI275" s="840"/>
      <c r="DJ275" s="840"/>
      <c r="DK275" s="840"/>
      <c r="DL275" s="840"/>
      <c r="DM275" s="840"/>
      <c r="DN275" s="840"/>
      <c r="DO275" s="840"/>
      <c r="DP275" s="840"/>
      <c r="DQ275" s="840"/>
      <c r="DR275" s="840"/>
      <c r="DS275" s="840"/>
      <c r="DT275" s="840"/>
      <c r="DU275" s="840"/>
      <c r="DV275" s="840"/>
      <c r="DW275" s="840"/>
      <c r="DX275" s="840"/>
      <c r="DY275" s="840"/>
      <c r="DZ275" s="841"/>
      <c r="EA275" s="839"/>
      <c r="EB275" s="840"/>
      <c r="EC275" s="840"/>
      <c r="ED275" s="840"/>
      <c r="EE275" s="840"/>
      <c r="EF275" s="840"/>
      <c r="EG275" s="840"/>
      <c r="EH275" s="840"/>
      <c r="EI275" s="840"/>
      <c r="EJ275" s="840"/>
      <c r="EK275" s="840"/>
      <c r="EL275" s="840"/>
      <c r="EM275" s="840"/>
      <c r="EN275" s="840"/>
      <c r="EO275" s="840"/>
      <c r="EP275" s="840"/>
      <c r="EQ275" s="840"/>
      <c r="ER275" s="840"/>
      <c r="ES275" s="840"/>
      <c r="ET275" s="840"/>
      <c r="EU275" s="840"/>
      <c r="EV275" s="840"/>
      <c r="EW275" s="840"/>
      <c r="EX275" s="840"/>
      <c r="EY275" s="840"/>
      <c r="EZ275" s="841"/>
      <c r="FA275" s="839"/>
      <c r="FB275" s="840"/>
      <c r="FC275" s="840"/>
      <c r="FD275" s="840"/>
      <c r="FE275" s="840"/>
      <c r="FF275" s="840"/>
      <c r="FG275" s="840"/>
      <c r="FH275" s="840"/>
      <c r="FI275" s="840"/>
      <c r="FJ275" s="840"/>
      <c r="FK275" s="840"/>
      <c r="FL275" s="840"/>
      <c r="FM275" s="840"/>
      <c r="FN275" s="840"/>
      <c r="FO275" s="840"/>
      <c r="FP275" s="840"/>
      <c r="FQ275" s="840"/>
      <c r="FR275" s="840"/>
      <c r="FS275" s="840"/>
      <c r="FT275" s="840"/>
      <c r="FU275" s="840"/>
      <c r="FV275" s="840"/>
      <c r="FW275" s="840"/>
      <c r="FX275" s="840"/>
      <c r="FY275" s="840"/>
      <c r="FZ275" s="841"/>
      <c r="GA275" s="839"/>
      <c r="GB275" s="840"/>
      <c r="GC275" s="840"/>
      <c r="GD275" s="840"/>
      <c r="GE275" s="840"/>
      <c r="GF275" s="840"/>
      <c r="GG275" s="840"/>
      <c r="GH275" s="840"/>
      <c r="GI275" s="840"/>
      <c r="GJ275" s="840"/>
      <c r="GK275" s="840"/>
      <c r="GL275" s="840"/>
      <c r="GM275" s="840"/>
      <c r="GN275" s="840"/>
      <c r="GO275" s="840"/>
      <c r="GP275" s="840"/>
      <c r="GQ275" s="840"/>
      <c r="GR275" s="840"/>
      <c r="GS275" s="840"/>
      <c r="GT275" s="840"/>
      <c r="GU275" s="840"/>
      <c r="GV275" s="840"/>
      <c r="GW275" s="840"/>
      <c r="GX275" s="840"/>
      <c r="GY275" s="840"/>
      <c r="GZ275" s="841"/>
      <c r="HA275" s="839"/>
      <c r="HB275" s="840"/>
      <c r="HC275" s="840"/>
      <c r="HD275" s="840"/>
      <c r="HE275" s="840"/>
      <c r="HF275" s="840"/>
      <c r="HG275" s="840"/>
      <c r="HH275" s="840"/>
      <c r="HI275" s="840"/>
      <c r="HJ275" s="840"/>
      <c r="HK275" s="840"/>
      <c r="HL275" s="840"/>
      <c r="HM275" s="840"/>
      <c r="HN275" s="840"/>
      <c r="HO275" s="840"/>
      <c r="HP275" s="840"/>
      <c r="HQ275" s="840"/>
      <c r="HR275" s="840"/>
      <c r="HS275" s="840"/>
      <c r="HT275" s="840"/>
      <c r="HU275" s="840"/>
      <c r="HV275" s="840"/>
      <c r="HW275" s="840"/>
      <c r="HX275" s="840"/>
      <c r="HY275" s="840"/>
      <c r="HZ275" s="841"/>
      <c r="IA275" s="839"/>
      <c r="IB275" s="840"/>
      <c r="IC275" s="840"/>
      <c r="ID275" s="840"/>
      <c r="IE275" s="840"/>
      <c r="IF275" s="840"/>
      <c r="IG275" s="840"/>
      <c r="IH275" s="840"/>
      <c r="II275" s="840"/>
      <c r="IJ275" s="840"/>
      <c r="IK275" s="840"/>
      <c r="IL275" s="840"/>
      <c r="IM275" s="840"/>
      <c r="IN275" s="840"/>
      <c r="IO275" s="840"/>
      <c r="IP275" s="840"/>
      <c r="IQ275" s="840"/>
      <c r="IR275" s="840"/>
      <c r="IS275" s="840"/>
      <c r="IT275" s="840"/>
      <c r="IU275" s="840"/>
      <c r="IV275" s="840"/>
      <c r="IW275" s="840"/>
      <c r="IX275" s="840"/>
      <c r="IY275" s="840"/>
      <c r="IZ275" s="841"/>
    </row>
    <row r="276" spans="1:260" x14ac:dyDescent="0.25">
      <c r="A276" s="529"/>
      <c r="B276" s="529"/>
      <c r="C276" s="529"/>
      <c r="D276" s="529"/>
      <c r="E276" s="529"/>
      <c r="F276" s="529"/>
      <c r="G276" s="529"/>
      <c r="H276" s="529"/>
      <c r="I276" s="529"/>
      <c r="J276" s="529">
        <v>18</v>
      </c>
      <c r="K276" s="529">
        <v>19</v>
      </c>
      <c r="L276" s="529">
        <v>20</v>
      </c>
      <c r="M276" s="529">
        <v>21</v>
      </c>
      <c r="N276" s="529">
        <v>22</v>
      </c>
      <c r="O276" s="529">
        <v>23</v>
      </c>
      <c r="P276" s="529">
        <v>24</v>
      </c>
      <c r="Q276" s="529">
        <v>25</v>
      </c>
      <c r="R276" s="529">
        <v>26</v>
      </c>
      <c r="S276" s="529">
        <v>27</v>
      </c>
      <c r="T276" s="529">
        <v>28</v>
      </c>
      <c r="U276" s="529">
        <v>29</v>
      </c>
      <c r="V276" s="529">
        <v>30</v>
      </c>
      <c r="W276" s="529"/>
      <c r="X276" s="529"/>
      <c r="Y276" s="529">
        <f>IFERROR(IF(COUNTIF(Pedidos!$J:$J,Q$2)&gt;A276-1,MATCH(Q$2,Pedidos!$J:$J,0),""),"")</f>
        <v>22</v>
      </c>
      <c r="Z276" s="529">
        <f>IFERROR(IF(Y276="",0,COUNTIF(Pedidos!$J:$J,Procesos!Q$2)),"")</f>
        <v>1</v>
      </c>
      <c r="AA276" s="529"/>
      <c r="AB276" s="529"/>
      <c r="AC276" s="529"/>
      <c r="AD276" s="529"/>
      <c r="AE276" s="529"/>
      <c r="AF276" s="529"/>
      <c r="AG276" s="529"/>
      <c r="AH276" s="529"/>
      <c r="AI276" s="529"/>
      <c r="AJ276" s="529">
        <v>18</v>
      </c>
      <c r="AK276" s="529">
        <v>19</v>
      </c>
      <c r="AL276" s="529">
        <v>20</v>
      </c>
      <c r="AM276" s="529">
        <v>21</v>
      </c>
      <c r="AN276" s="529">
        <v>22</v>
      </c>
      <c r="AO276" s="529">
        <v>23</v>
      </c>
      <c r="AP276" s="529">
        <v>24</v>
      </c>
      <c r="AQ276" s="529">
        <v>25</v>
      </c>
      <c r="AR276" s="529">
        <v>26</v>
      </c>
      <c r="AS276" s="529">
        <v>27</v>
      </c>
      <c r="AT276" s="529">
        <v>28</v>
      </c>
      <c r="AU276" s="529">
        <v>29</v>
      </c>
      <c r="AV276" s="529">
        <v>30</v>
      </c>
      <c r="AW276" s="529"/>
      <c r="AX276" s="529"/>
      <c r="AY276" s="529">
        <f>IFERROR(IF(COUNTIF(Pedidos!$J:$J,AQ$2)&gt;AA276-1,MATCH(AQ$2,Pedidos!$J:$J,0),""),"")</f>
        <v>30</v>
      </c>
      <c r="AZ276" s="529">
        <f>IFERROR(IF(AY276="",0,COUNTIF(Pedidos!$J:$J,Procesos!AQ$2)),"")</f>
        <v>4</v>
      </c>
      <c r="BA276" s="529"/>
      <c r="BB276" s="529"/>
      <c r="BC276" s="529"/>
      <c r="BD276" s="529"/>
      <c r="BE276" s="529"/>
      <c r="BF276" s="529"/>
      <c r="BG276" s="529"/>
      <c r="BH276" s="529"/>
      <c r="BI276" s="529"/>
      <c r="BJ276" s="529">
        <v>18</v>
      </c>
      <c r="BK276" s="529">
        <v>19</v>
      </c>
      <c r="BL276" s="529">
        <v>20</v>
      </c>
      <c r="BM276" s="529">
        <v>21</v>
      </c>
      <c r="BN276" s="529">
        <v>22</v>
      </c>
      <c r="BO276" s="529">
        <v>23</v>
      </c>
      <c r="BP276" s="529">
        <v>24</v>
      </c>
      <c r="BQ276" s="529">
        <v>25</v>
      </c>
      <c r="BR276" s="529">
        <v>26</v>
      </c>
      <c r="BS276" s="529">
        <v>27</v>
      </c>
      <c r="BT276" s="529">
        <v>28</v>
      </c>
      <c r="BU276" s="529">
        <v>29</v>
      </c>
      <c r="BV276" s="529">
        <v>30</v>
      </c>
      <c r="BW276" s="529"/>
      <c r="BX276" s="529"/>
      <c r="BY276" s="529" t="str">
        <f>IFERROR(IF(COUNTIF(Pedidos!$J:$J,BQ$2)&gt;BA276-1,MATCH(BQ$2,Pedidos!$J:$J,0),""),"")</f>
        <v/>
      </c>
      <c r="BZ276" s="529">
        <f>IFERROR(IF(BY276="",0,COUNTIF(Pedidos!$J:$J,Procesos!BQ$2)),"")</f>
        <v>0</v>
      </c>
      <c r="CA276" s="529"/>
      <c r="CB276" s="529"/>
      <c r="CC276" s="529"/>
      <c r="CD276" s="529"/>
      <c r="CE276" s="529"/>
      <c r="CF276" s="529"/>
      <c r="CG276" s="529"/>
      <c r="CH276" s="529"/>
      <c r="CI276" s="529"/>
      <c r="CJ276" s="529">
        <v>18</v>
      </c>
      <c r="CK276" s="529">
        <v>19</v>
      </c>
      <c r="CL276" s="529">
        <v>20</v>
      </c>
      <c r="CM276" s="529">
        <v>21</v>
      </c>
      <c r="CN276" s="529">
        <v>22</v>
      </c>
      <c r="CO276" s="529">
        <v>23</v>
      </c>
      <c r="CP276" s="529">
        <v>24</v>
      </c>
      <c r="CQ276" s="529">
        <v>25</v>
      </c>
      <c r="CR276" s="529">
        <v>26</v>
      </c>
      <c r="CS276" s="529">
        <v>27</v>
      </c>
      <c r="CT276" s="529">
        <v>28</v>
      </c>
      <c r="CU276" s="529">
        <v>29</v>
      </c>
      <c r="CV276" s="529">
        <v>30</v>
      </c>
      <c r="CW276" s="529"/>
      <c r="CX276" s="529"/>
      <c r="CY276" s="529" t="str">
        <f>IFERROR(IF(COUNTIF(Pedidos!$J:$J,CQ$2)&gt;CA276-1,MATCH(CQ$2,Pedidos!$J:$J,0),""),"")</f>
        <v/>
      </c>
      <c r="CZ276" s="529">
        <f>IFERROR(IF(CY276="",0,COUNTIF(Pedidos!$J:$J,Procesos!CQ$2)),"")</f>
        <v>0</v>
      </c>
      <c r="DA276" s="529"/>
      <c r="DB276" s="529"/>
      <c r="DC276" s="529"/>
      <c r="DD276" s="529"/>
      <c r="DE276" s="529"/>
      <c r="DF276" s="529"/>
      <c r="DG276" s="529"/>
      <c r="DH276" s="529"/>
      <c r="DI276" s="529"/>
      <c r="DJ276" s="529">
        <v>18</v>
      </c>
      <c r="DK276" s="529">
        <v>19</v>
      </c>
      <c r="DL276" s="529">
        <v>20</v>
      </c>
      <c r="DM276" s="529">
        <v>21</v>
      </c>
      <c r="DN276" s="529">
        <v>22</v>
      </c>
      <c r="DO276" s="529">
        <v>23</v>
      </c>
      <c r="DP276" s="529">
        <v>24</v>
      </c>
      <c r="DQ276" s="529">
        <v>25</v>
      </c>
      <c r="DR276" s="529">
        <v>26</v>
      </c>
      <c r="DS276" s="529">
        <v>27</v>
      </c>
      <c r="DT276" s="529">
        <v>28</v>
      </c>
      <c r="DU276" s="529">
        <v>29</v>
      </c>
      <c r="DV276" s="529">
        <v>30</v>
      </c>
      <c r="DW276" s="529"/>
      <c r="DX276" s="529"/>
      <c r="DY276" s="529" t="str">
        <f>IFERROR(IF(COUNTIF(Pedidos!$J:$J,DQ$2)&gt;DA276-1,MATCH(DQ$2,Pedidos!$J:$J,0),""),"")</f>
        <v/>
      </c>
      <c r="DZ276" s="529">
        <f>IFERROR(IF(DY276="",0,COUNTIF(Pedidos!$J:$J,Procesos!DQ$2)),"")</f>
        <v>0</v>
      </c>
      <c r="EA276" s="529"/>
      <c r="EB276" s="529"/>
      <c r="EC276" s="529"/>
      <c r="ED276" s="529"/>
      <c r="EE276" s="529"/>
      <c r="EF276" s="529"/>
      <c r="EG276" s="529"/>
      <c r="EH276" s="529"/>
      <c r="EI276" s="529"/>
      <c r="EJ276" s="529">
        <v>18</v>
      </c>
      <c r="EK276" s="529">
        <v>19</v>
      </c>
      <c r="EL276" s="529">
        <v>20</v>
      </c>
      <c r="EM276" s="529">
        <v>21</v>
      </c>
      <c r="EN276" s="529">
        <v>22</v>
      </c>
      <c r="EO276" s="529">
        <v>23</v>
      </c>
      <c r="EP276" s="529">
        <v>24</v>
      </c>
      <c r="EQ276" s="529">
        <v>25</v>
      </c>
      <c r="ER276" s="529">
        <v>26</v>
      </c>
      <c r="ES276" s="529">
        <v>27</v>
      </c>
      <c r="ET276" s="529">
        <v>28</v>
      </c>
      <c r="EU276" s="529">
        <v>29</v>
      </c>
      <c r="EV276" s="529">
        <v>30</v>
      </c>
      <c r="EW276" s="529"/>
      <c r="EX276" s="529"/>
      <c r="EY276" s="529" t="str">
        <f>IFERROR(IF(COUNTIF(Pedidos!$J:$J,EQ$2)&gt;EA276-1,MATCH(EQ$2,Pedidos!$J:$J,0),""),"")</f>
        <v/>
      </c>
      <c r="EZ276" s="529">
        <f>IFERROR(IF(EY276="",0,COUNTIF(Pedidos!$J:$J,Procesos!EQ$2)),"")</f>
        <v>0</v>
      </c>
      <c r="FA276" s="529"/>
      <c r="FB276" s="529"/>
      <c r="FC276" s="529"/>
      <c r="FD276" s="529"/>
      <c r="FE276" s="529"/>
      <c r="FF276" s="529"/>
      <c r="FG276" s="529"/>
      <c r="FH276" s="529"/>
      <c r="FI276" s="529"/>
      <c r="FJ276" s="529">
        <v>18</v>
      </c>
      <c r="FK276" s="529">
        <v>19</v>
      </c>
      <c r="FL276" s="529">
        <v>20</v>
      </c>
      <c r="FM276" s="529">
        <v>21</v>
      </c>
      <c r="FN276" s="529">
        <v>22</v>
      </c>
      <c r="FO276" s="529">
        <v>23</v>
      </c>
      <c r="FP276" s="529">
        <v>24</v>
      </c>
      <c r="FQ276" s="529">
        <v>25</v>
      </c>
      <c r="FR276" s="529">
        <v>26</v>
      </c>
      <c r="FS276" s="529">
        <v>27</v>
      </c>
      <c r="FT276" s="529">
        <v>28</v>
      </c>
      <c r="FU276" s="529">
        <v>29</v>
      </c>
      <c r="FV276" s="529">
        <v>30</v>
      </c>
      <c r="FW276" s="529"/>
      <c r="FX276" s="529"/>
      <c r="FY276" s="529" t="str">
        <f>IFERROR(IF(COUNTIF(Pedidos!$J:$J,FQ$2)&gt;FA276-1,MATCH(FQ$2,Pedidos!$J:$J,0),""),"")</f>
        <v/>
      </c>
      <c r="FZ276" s="529">
        <f>IFERROR(IF(FY276="",0,COUNTIF(Pedidos!$J:$J,Procesos!FQ$2)),"")</f>
        <v>0</v>
      </c>
      <c r="GA276" s="529"/>
      <c r="GB276" s="529"/>
      <c r="GC276" s="529"/>
      <c r="GD276" s="529"/>
      <c r="GE276" s="529"/>
      <c r="GF276" s="529"/>
      <c r="GG276" s="529"/>
      <c r="GH276" s="529"/>
      <c r="GI276" s="529"/>
      <c r="GJ276" s="529">
        <v>18</v>
      </c>
      <c r="GK276" s="529">
        <v>19</v>
      </c>
      <c r="GL276" s="529">
        <v>20</v>
      </c>
      <c r="GM276" s="529">
        <v>21</v>
      </c>
      <c r="GN276" s="529">
        <v>22</v>
      </c>
      <c r="GO276" s="529">
        <v>23</v>
      </c>
      <c r="GP276" s="529">
        <v>24</v>
      </c>
      <c r="GQ276" s="529">
        <v>25</v>
      </c>
      <c r="GR276" s="529">
        <v>26</v>
      </c>
      <c r="GS276" s="529">
        <v>27</v>
      </c>
      <c r="GT276" s="529">
        <v>28</v>
      </c>
      <c r="GU276" s="529">
        <v>29</v>
      </c>
      <c r="GV276" s="529">
        <v>30</v>
      </c>
      <c r="GW276" s="529"/>
      <c r="GX276" s="529"/>
      <c r="GY276" s="529" t="str">
        <f>IFERROR(IF(COUNTIF(Pedidos!$J:$J,GQ$2)&gt;GA276-1,MATCH(GQ$2,Pedidos!$J:$J,0),""),"")</f>
        <v/>
      </c>
      <c r="GZ276" s="529">
        <f>IFERROR(IF(GY276="",0,COUNTIF(Pedidos!$J:$J,Procesos!GQ$2)),"")</f>
        <v>0</v>
      </c>
      <c r="HA276" s="529"/>
      <c r="HB276" s="529"/>
      <c r="HC276" s="529"/>
      <c r="HD276" s="529"/>
      <c r="HE276" s="529"/>
      <c r="HF276" s="529"/>
      <c r="HG276" s="529"/>
      <c r="HH276" s="529"/>
      <c r="HI276" s="529"/>
      <c r="HJ276" s="529">
        <v>18</v>
      </c>
      <c r="HK276" s="529">
        <v>19</v>
      </c>
      <c r="HL276" s="529">
        <v>20</v>
      </c>
      <c r="HM276" s="529">
        <v>21</v>
      </c>
      <c r="HN276" s="529">
        <v>22</v>
      </c>
      <c r="HO276" s="529">
        <v>23</v>
      </c>
      <c r="HP276" s="529">
        <v>24</v>
      </c>
      <c r="HQ276" s="529">
        <v>25</v>
      </c>
      <c r="HR276" s="529">
        <v>26</v>
      </c>
      <c r="HS276" s="529">
        <v>27</v>
      </c>
      <c r="HT276" s="529">
        <v>28</v>
      </c>
      <c r="HU276" s="529">
        <v>29</v>
      </c>
      <c r="HV276" s="529">
        <v>30</v>
      </c>
      <c r="HW276" s="529"/>
      <c r="HX276" s="529"/>
      <c r="HY276" s="529" t="str">
        <f>IFERROR(IF(COUNTIF(Pedidos!$J:$J,HQ$2)&gt;HA276-1,MATCH(HQ$2,Pedidos!$J:$J,0),""),"")</f>
        <v/>
      </c>
      <c r="HZ276" s="529">
        <f>IFERROR(IF(HY276="",0,COUNTIF(Pedidos!$J:$J,Procesos!HQ$2)),"")</f>
        <v>0</v>
      </c>
      <c r="IA276" s="529"/>
      <c r="IB276" s="529"/>
      <c r="IC276" s="529"/>
      <c r="ID276" s="529"/>
      <c r="IE276" s="529"/>
      <c r="IF276" s="529"/>
      <c r="IG276" s="529"/>
      <c r="IH276" s="529"/>
      <c r="II276" s="529"/>
      <c r="IJ276" s="529">
        <v>18</v>
      </c>
      <c r="IK276" s="529">
        <v>19</v>
      </c>
      <c r="IL276" s="529">
        <v>20</v>
      </c>
      <c r="IM276" s="529">
        <v>21</v>
      </c>
      <c r="IN276" s="529">
        <v>22</v>
      </c>
      <c r="IO276" s="529">
        <v>23</v>
      </c>
      <c r="IP276" s="529">
        <v>24</v>
      </c>
      <c r="IQ276" s="529">
        <v>25</v>
      </c>
      <c r="IR276" s="529">
        <v>26</v>
      </c>
      <c r="IS276" s="529">
        <v>27</v>
      </c>
      <c r="IT276" s="529">
        <v>28</v>
      </c>
      <c r="IU276" s="529">
        <v>29</v>
      </c>
      <c r="IV276" s="529">
        <v>30</v>
      </c>
      <c r="IW276" s="529"/>
      <c r="IX276" s="529"/>
      <c r="IY276" s="529" t="str">
        <f>IFERROR(IF(COUNTIF(Pedidos!$J:$J,IQ$2)&gt;IA276-1,MATCH(IQ$2,Pedidos!$J:$J,0),""),"")</f>
        <v/>
      </c>
      <c r="IZ276" s="529">
        <f>IFERROR(IF(IY276="",0,COUNTIF(Pedidos!$J:$J,Procesos!IQ$2)),"")</f>
        <v>0</v>
      </c>
    </row>
    <row r="277" spans="1:260" ht="15.75" thickBot="1" x14ac:dyDescent="0.3">
      <c r="A277" s="529">
        <v>13</v>
      </c>
      <c r="B277" s="529"/>
      <c r="C277" s="529"/>
      <c r="D277" s="529"/>
      <c r="E277" s="529"/>
      <c r="F277" s="529"/>
      <c r="G277" s="529"/>
      <c r="H277" s="529"/>
      <c r="I277" s="529"/>
      <c r="J277" s="529">
        <v>18</v>
      </c>
      <c r="K277" s="529">
        <v>19</v>
      </c>
      <c r="L277" s="529">
        <v>20</v>
      </c>
      <c r="M277" s="529">
        <v>21</v>
      </c>
      <c r="N277" s="529">
        <v>22</v>
      </c>
      <c r="O277" s="529">
        <v>23</v>
      </c>
      <c r="P277" s="529">
        <v>24</v>
      </c>
      <c r="Q277" s="529">
        <v>25</v>
      </c>
      <c r="R277" s="529">
        <v>26</v>
      </c>
      <c r="S277" s="529">
        <v>27</v>
      </c>
      <c r="T277" s="529">
        <v>28</v>
      </c>
      <c r="U277" s="529">
        <v>29</v>
      </c>
      <c r="V277" s="529">
        <v>30</v>
      </c>
      <c r="W277" s="529"/>
      <c r="X277" s="529"/>
      <c r="Y277" s="529" t="str">
        <f>IFERROR(IF(COUNTIF(Pedidos!$J:$J,Q$2)&gt;A277-1,MATCH(Q$2,Pedidos!$J:$J,0),""),"")</f>
        <v/>
      </c>
      <c r="Z277" s="529">
        <f>IFERROR(IF(Y277="",0,COUNTIF(Pedidos!$J:$J,Procesos!Q$2)),"")</f>
        <v>0</v>
      </c>
      <c r="AA277" s="529">
        <v>13</v>
      </c>
      <c r="AB277" s="529"/>
      <c r="AC277" s="529"/>
      <c r="AD277" s="529"/>
      <c r="AE277" s="529"/>
      <c r="AF277" s="529"/>
      <c r="AG277" s="529"/>
      <c r="AH277" s="529"/>
      <c r="AI277" s="529"/>
      <c r="AJ277" s="529">
        <v>18</v>
      </c>
      <c r="AK277" s="529">
        <v>19</v>
      </c>
      <c r="AL277" s="529">
        <v>20</v>
      </c>
      <c r="AM277" s="529">
        <v>21</v>
      </c>
      <c r="AN277" s="529">
        <v>22</v>
      </c>
      <c r="AO277" s="529">
        <v>23</v>
      </c>
      <c r="AP277" s="529">
        <v>24</v>
      </c>
      <c r="AQ277" s="529">
        <v>25</v>
      </c>
      <c r="AR277" s="529">
        <v>26</v>
      </c>
      <c r="AS277" s="529">
        <v>27</v>
      </c>
      <c r="AT277" s="529">
        <v>28</v>
      </c>
      <c r="AU277" s="529">
        <v>29</v>
      </c>
      <c r="AV277" s="529">
        <v>30</v>
      </c>
      <c r="AW277" s="529"/>
      <c r="AX277" s="529"/>
      <c r="AY277" s="529" t="str">
        <f>IFERROR(IF(COUNTIF(Pedidos!$J:$J,AQ$2)&gt;AA277-1,MATCH(AQ$2,Pedidos!$J:$J,0),""),"")</f>
        <v/>
      </c>
      <c r="AZ277" s="529">
        <f>IFERROR(IF(AY277="",0,COUNTIF(Pedidos!$J:$J,Procesos!AQ$2)),"")</f>
        <v>0</v>
      </c>
      <c r="BA277" s="529">
        <v>13</v>
      </c>
      <c r="BB277" s="529"/>
      <c r="BC277" s="529"/>
      <c r="BD277" s="529"/>
      <c r="BE277" s="529"/>
      <c r="BF277" s="529"/>
      <c r="BG277" s="529"/>
      <c r="BH277" s="529"/>
      <c r="BI277" s="529"/>
      <c r="BJ277" s="529">
        <v>18</v>
      </c>
      <c r="BK277" s="529">
        <v>19</v>
      </c>
      <c r="BL277" s="529">
        <v>20</v>
      </c>
      <c r="BM277" s="529">
        <v>21</v>
      </c>
      <c r="BN277" s="529">
        <v>22</v>
      </c>
      <c r="BO277" s="529">
        <v>23</v>
      </c>
      <c r="BP277" s="529">
        <v>24</v>
      </c>
      <c r="BQ277" s="529">
        <v>25</v>
      </c>
      <c r="BR277" s="529">
        <v>26</v>
      </c>
      <c r="BS277" s="529">
        <v>27</v>
      </c>
      <c r="BT277" s="529">
        <v>28</v>
      </c>
      <c r="BU277" s="529">
        <v>29</v>
      </c>
      <c r="BV277" s="529">
        <v>30</v>
      </c>
      <c r="BW277" s="529"/>
      <c r="BX277" s="529"/>
      <c r="BY277" s="529" t="str">
        <f>IFERROR(IF(COUNTIF(Pedidos!$J:$J,BQ$2)&gt;BA277-1,MATCH(BQ$2,Pedidos!$J:$J,0),""),"")</f>
        <v/>
      </c>
      <c r="BZ277" s="529">
        <f>IFERROR(IF(BY277="",0,COUNTIF(Pedidos!$J:$J,Procesos!BQ$2)),"")</f>
        <v>0</v>
      </c>
      <c r="CA277" s="529">
        <v>13</v>
      </c>
      <c r="CB277" s="529"/>
      <c r="CC277" s="529"/>
      <c r="CD277" s="529"/>
      <c r="CE277" s="529"/>
      <c r="CF277" s="529"/>
      <c r="CG277" s="529"/>
      <c r="CH277" s="529"/>
      <c r="CI277" s="529"/>
      <c r="CJ277" s="529">
        <v>18</v>
      </c>
      <c r="CK277" s="529">
        <v>19</v>
      </c>
      <c r="CL277" s="529">
        <v>20</v>
      </c>
      <c r="CM277" s="529">
        <v>21</v>
      </c>
      <c r="CN277" s="529">
        <v>22</v>
      </c>
      <c r="CO277" s="529">
        <v>23</v>
      </c>
      <c r="CP277" s="529">
        <v>24</v>
      </c>
      <c r="CQ277" s="529">
        <v>25</v>
      </c>
      <c r="CR277" s="529">
        <v>26</v>
      </c>
      <c r="CS277" s="529">
        <v>27</v>
      </c>
      <c r="CT277" s="529">
        <v>28</v>
      </c>
      <c r="CU277" s="529">
        <v>29</v>
      </c>
      <c r="CV277" s="529">
        <v>30</v>
      </c>
      <c r="CW277" s="529"/>
      <c r="CX277" s="529"/>
      <c r="CY277" s="529" t="str">
        <f>IFERROR(IF(COUNTIF(Pedidos!$J:$J,CQ$2)&gt;CA277-1,MATCH(CQ$2,Pedidos!$J:$J,0),""),"")</f>
        <v/>
      </c>
      <c r="CZ277" s="529">
        <f>IFERROR(IF(CY277="",0,COUNTIF(Pedidos!$J:$J,Procesos!CQ$2)),"")</f>
        <v>0</v>
      </c>
      <c r="DA277" s="529">
        <v>13</v>
      </c>
      <c r="DB277" s="529"/>
      <c r="DC277" s="529"/>
      <c r="DD277" s="529"/>
      <c r="DE277" s="529"/>
      <c r="DF277" s="529"/>
      <c r="DG277" s="529"/>
      <c r="DH277" s="529"/>
      <c r="DI277" s="529"/>
      <c r="DJ277" s="529">
        <v>18</v>
      </c>
      <c r="DK277" s="529">
        <v>19</v>
      </c>
      <c r="DL277" s="529">
        <v>20</v>
      </c>
      <c r="DM277" s="529">
        <v>21</v>
      </c>
      <c r="DN277" s="529">
        <v>22</v>
      </c>
      <c r="DO277" s="529">
        <v>23</v>
      </c>
      <c r="DP277" s="529">
        <v>24</v>
      </c>
      <c r="DQ277" s="529">
        <v>25</v>
      </c>
      <c r="DR277" s="529">
        <v>26</v>
      </c>
      <c r="DS277" s="529">
        <v>27</v>
      </c>
      <c r="DT277" s="529">
        <v>28</v>
      </c>
      <c r="DU277" s="529">
        <v>29</v>
      </c>
      <c r="DV277" s="529">
        <v>30</v>
      </c>
      <c r="DW277" s="529"/>
      <c r="DX277" s="529"/>
      <c r="DY277" s="529" t="str">
        <f>IFERROR(IF(COUNTIF(Pedidos!$J:$J,DQ$2)&gt;DA277-1,MATCH(DQ$2,Pedidos!$J:$J,0),""),"")</f>
        <v/>
      </c>
      <c r="DZ277" s="529">
        <f>IFERROR(IF(DY277="",0,COUNTIF(Pedidos!$J:$J,Procesos!DQ$2)),"")</f>
        <v>0</v>
      </c>
      <c r="EA277" s="529">
        <v>13</v>
      </c>
      <c r="EB277" s="529"/>
      <c r="EC277" s="529"/>
      <c r="ED277" s="529"/>
      <c r="EE277" s="529"/>
      <c r="EF277" s="529"/>
      <c r="EG277" s="529"/>
      <c r="EH277" s="529"/>
      <c r="EI277" s="529"/>
      <c r="EJ277" s="529">
        <v>18</v>
      </c>
      <c r="EK277" s="529">
        <v>19</v>
      </c>
      <c r="EL277" s="529">
        <v>20</v>
      </c>
      <c r="EM277" s="529">
        <v>21</v>
      </c>
      <c r="EN277" s="529">
        <v>22</v>
      </c>
      <c r="EO277" s="529">
        <v>23</v>
      </c>
      <c r="EP277" s="529">
        <v>24</v>
      </c>
      <c r="EQ277" s="529">
        <v>25</v>
      </c>
      <c r="ER277" s="529">
        <v>26</v>
      </c>
      <c r="ES277" s="529">
        <v>27</v>
      </c>
      <c r="ET277" s="529">
        <v>28</v>
      </c>
      <c r="EU277" s="529">
        <v>29</v>
      </c>
      <c r="EV277" s="529">
        <v>30</v>
      </c>
      <c r="EW277" s="529"/>
      <c r="EX277" s="529"/>
      <c r="EY277" s="529" t="str">
        <f>IFERROR(IF(COUNTIF(Pedidos!$J:$J,EQ$2)&gt;EA277-1,MATCH(EQ$2,Pedidos!$J:$J,0),""),"")</f>
        <v/>
      </c>
      <c r="EZ277" s="529">
        <f>IFERROR(IF(EY277="",0,COUNTIF(Pedidos!$J:$J,Procesos!EQ$2)),"")</f>
        <v>0</v>
      </c>
      <c r="FA277" s="529">
        <v>13</v>
      </c>
      <c r="FB277" s="529"/>
      <c r="FC277" s="529"/>
      <c r="FD277" s="529"/>
      <c r="FE277" s="529"/>
      <c r="FF277" s="529"/>
      <c r="FG277" s="529"/>
      <c r="FH277" s="529"/>
      <c r="FI277" s="529"/>
      <c r="FJ277" s="529">
        <v>18</v>
      </c>
      <c r="FK277" s="529">
        <v>19</v>
      </c>
      <c r="FL277" s="529">
        <v>20</v>
      </c>
      <c r="FM277" s="529">
        <v>21</v>
      </c>
      <c r="FN277" s="529">
        <v>22</v>
      </c>
      <c r="FO277" s="529">
        <v>23</v>
      </c>
      <c r="FP277" s="529">
        <v>24</v>
      </c>
      <c r="FQ277" s="529">
        <v>25</v>
      </c>
      <c r="FR277" s="529">
        <v>26</v>
      </c>
      <c r="FS277" s="529">
        <v>27</v>
      </c>
      <c r="FT277" s="529">
        <v>28</v>
      </c>
      <c r="FU277" s="529">
        <v>29</v>
      </c>
      <c r="FV277" s="529">
        <v>30</v>
      </c>
      <c r="FW277" s="529"/>
      <c r="FX277" s="529"/>
      <c r="FY277" s="529" t="str">
        <f>IFERROR(IF(COUNTIF(Pedidos!$J:$J,FQ$2)&gt;FA277-1,MATCH(FQ$2,Pedidos!$J:$J,0),""),"")</f>
        <v/>
      </c>
      <c r="FZ277" s="529">
        <f>IFERROR(IF(FY277="",0,COUNTIF(Pedidos!$J:$J,Procesos!FQ$2)),"")</f>
        <v>0</v>
      </c>
      <c r="GA277" s="529">
        <v>13</v>
      </c>
      <c r="GB277" s="529"/>
      <c r="GC277" s="529"/>
      <c r="GD277" s="529"/>
      <c r="GE277" s="529"/>
      <c r="GF277" s="529"/>
      <c r="GG277" s="529"/>
      <c r="GH277" s="529"/>
      <c r="GI277" s="529"/>
      <c r="GJ277" s="529">
        <v>18</v>
      </c>
      <c r="GK277" s="529">
        <v>19</v>
      </c>
      <c r="GL277" s="529">
        <v>20</v>
      </c>
      <c r="GM277" s="529">
        <v>21</v>
      </c>
      <c r="GN277" s="529">
        <v>22</v>
      </c>
      <c r="GO277" s="529">
        <v>23</v>
      </c>
      <c r="GP277" s="529">
        <v>24</v>
      </c>
      <c r="GQ277" s="529">
        <v>25</v>
      </c>
      <c r="GR277" s="529">
        <v>26</v>
      </c>
      <c r="GS277" s="529">
        <v>27</v>
      </c>
      <c r="GT277" s="529">
        <v>28</v>
      </c>
      <c r="GU277" s="529">
        <v>29</v>
      </c>
      <c r="GV277" s="529">
        <v>30</v>
      </c>
      <c r="GW277" s="529"/>
      <c r="GX277" s="529"/>
      <c r="GY277" s="529" t="str">
        <f>IFERROR(IF(COUNTIF(Pedidos!$J:$J,GQ$2)&gt;GA277-1,MATCH(GQ$2,Pedidos!$J:$J,0),""),"")</f>
        <v/>
      </c>
      <c r="GZ277" s="529">
        <f>IFERROR(IF(GY277="",0,COUNTIF(Pedidos!$J:$J,Procesos!GQ$2)),"")</f>
        <v>0</v>
      </c>
      <c r="HA277" s="529">
        <v>13</v>
      </c>
      <c r="HB277" s="529"/>
      <c r="HC277" s="529"/>
      <c r="HD277" s="529"/>
      <c r="HE277" s="529"/>
      <c r="HF277" s="529"/>
      <c r="HG277" s="529"/>
      <c r="HH277" s="529"/>
      <c r="HI277" s="529"/>
      <c r="HJ277" s="529">
        <v>18</v>
      </c>
      <c r="HK277" s="529">
        <v>19</v>
      </c>
      <c r="HL277" s="529">
        <v>20</v>
      </c>
      <c r="HM277" s="529">
        <v>21</v>
      </c>
      <c r="HN277" s="529">
        <v>22</v>
      </c>
      <c r="HO277" s="529">
        <v>23</v>
      </c>
      <c r="HP277" s="529">
        <v>24</v>
      </c>
      <c r="HQ277" s="529">
        <v>25</v>
      </c>
      <c r="HR277" s="529">
        <v>26</v>
      </c>
      <c r="HS277" s="529">
        <v>27</v>
      </c>
      <c r="HT277" s="529">
        <v>28</v>
      </c>
      <c r="HU277" s="529">
        <v>29</v>
      </c>
      <c r="HV277" s="529">
        <v>30</v>
      </c>
      <c r="HW277" s="529"/>
      <c r="HX277" s="529"/>
      <c r="HY277" s="529" t="str">
        <f>IFERROR(IF(COUNTIF(Pedidos!$J:$J,HQ$2)&gt;HA277-1,MATCH(HQ$2,Pedidos!$J:$J,0),""),"")</f>
        <v/>
      </c>
      <c r="HZ277" s="529">
        <f>IFERROR(IF(HY277="",0,COUNTIF(Pedidos!$J:$J,Procesos!HQ$2)),"")</f>
        <v>0</v>
      </c>
      <c r="IA277" s="529">
        <v>13</v>
      </c>
      <c r="IB277" s="529"/>
      <c r="IC277" s="529"/>
      <c r="ID277" s="529"/>
      <c r="IE277" s="529"/>
      <c r="IF277" s="529"/>
      <c r="IG277" s="529"/>
      <c r="IH277" s="529"/>
      <c r="II277" s="529"/>
      <c r="IJ277" s="529">
        <v>18</v>
      </c>
      <c r="IK277" s="529">
        <v>19</v>
      </c>
      <c r="IL277" s="529">
        <v>20</v>
      </c>
      <c r="IM277" s="529">
        <v>21</v>
      </c>
      <c r="IN277" s="529">
        <v>22</v>
      </c>
      <c r="IO277" s="529">
        <v>23</v>
      </c>
      <c r="IP277" s="529">
        <v>24</v>
      </c>
      <c r="IQ277" s="529">
        <v>25</v>
      </c>
      <c r="IR277" s="529">
        <v>26</v>
      </c>
      <c r="IS277" s="529">
        <v>27</v>
      </c>
      <c r="IT277" s="529">
        <v>28</v>
      </c>
      <c r="IU277" s="529">
        <v>29</v>
      </c>
      <c r="IV277" s="529">
        <v>30</v>
      </c>
      <c r="IW277" s="529"/>
      <c r="IX277" s="529"/>
      <c r="IY277" s="529" t="str">
        <f>IFERROR(IF(COUNTIF(Pedidos!$J:$J,IQ$2)&gt;IA277-1,MATCH(IQ$2,Pedidos!$J:$J,0),""),"")</f>
        <v/>
      </c>
      <c r="IZ277" s="529">
        <f>IFERROR(IF(IY277="",0,COUNTIF(Pedidos!$J:$J,Procesos!IQ$2)),"")</f>
        <v>0</v>
      </c>
    </row>
    <row r="278" spans="1:260" x14ac:dyDescent="0.25">
      <c r="A278" s="815" t="str">
        <f>IF(Z277&gt;=A277,Q$2 &amp;"     ITEM # "&amp;A277,"")</f>
        <v/>
      </c>
      <c r="B278" s="816"/>
      <c r="C278" s="816"/>
      <c r="D278" s="816"/>
      <c r="E278" s="816"/>
      <c r="F278" s="816"/>
      <c r="G278" s="816"/>
      <c r="H278" s="816"/>
      <c r="I278" s="817"/>
      <c r="J278" s="818" t="str">
        <f>IF(Z277&gt;=A277,$J$6,"")</f>
        <v/>
      </c>
      <c r="K278" s="816"/>
      <c r="L278" s="816"/>
      <c r="M278" s="816"/>
      <c r="N278" s="816"/>
      <c r="O278" s="816"/>
      <c r="P278" s="816"/>
      <c r="Q278" s="816"/>
      <c r="R278" s="816"/>
      <c r="S278" s="816"/>
      <c r="T278" s="816"/>
      <c r="U278" s="816"/>
      <c r="V278" s="816"/>
      <c r="W278" s="816"/>
      <c r="X278" s="816"/>
      <c r="Y278" s="816"/>
      <c r="Z278" s="819"/>
      <c r="AA278" s="815" t="str">
        <f>IF(AZ277&gt;=AA277,AQ$2 &amp;"     ITEM # "&amp;AA277,"")</f>
        <v/>
      </c>
      <c r="AB278" s="816"/>
      <c r="AC278" s="816"/>
      <c r="AD278" s="816"/>
      <c r="AE278" s="816"/>
      <c r="AF278" s="816"/>
      <c r="AG278" s="816"/>
      <c r="AH278" s="816"/>
      <c r="AI278" s="817"/>
      <c r="AJ278" s="818" t="str">
        <f>IF(AZ277&gt;=AA277,$J$6,"")</f>
        <v/>
      </c>
      <c r="AK278" s="816"/>
      <c r="AL278" s="816"/>
      <c r="AM278" s="816"/>
      <c r="AN278" s="816"/>
      <c r="AO278" s="816"/>
      <c r="AP278" s="816"/>
      <c r="AQ278" s="816"/>
      <c r="AR278" s="816"/>
      <c r="AS278" s="816"/>
      <c r="AT278" s="816"/>
      <c r="AU278" s="816"/>
      <c r="AV278" s="816"/>
      <c r="AW278" s="816"/>
      <c r="AX278" s="816"/>
      <c r="AY278" s="816"/>
      <c r="AZ278" s="819"/>
      <c r="BA278" s="815" t="str">
        <f>IF(BZ277&gt;=BA277,BQ$2 &amp;"     ITEM # "&amp;BA277,"")</f>
        <v/>
      </c>
      <c r="BB278" s="816"/>
      <c r="BC278" s="816"/>
      <c r="BD278" s="816"/>
      <c r="BE278" s="816"/>
      <c r="BF278" s="816"/>
      <c r="BG278" s="816"/>
      <c r="BH278" s="816"/>
      <c r="BI278" s="817"/>
      <c r="BJ278" s="818" t="str">
        <f>IF(BZ277&gt;=BA277,$J$6,"")</f>
        <v/>
      </c>
      <c r="BK278" s="816"/>
      <c r="BL278" s="816"/>
      <c r="BM278" s="816"/>
      <c r="BN278" s="816"/>
      <c r="BO278" s="816"/>
      <c r="BP278" s="816"/>
      <c r="BQ278" s="816"/>
      <c r="BR278" s="816"/>
      <c r="BS278" s="816"/>
      <c r="BT278" s="816"/>
      <c r="BU278" s="816"/>
      <c r="BV278" s="816"/>
      <c r="BW278" s="816"/>
      <c r="BX278" s="816"/>
      <c r="BY278" s="816"/>
      <c r="BZ278" s="819"/>
      <c r="CA278" s="815" t="str">
        <f>IF(CZ277&gt;=CA277,CQ$2 &amp;"     ITEM # "&amp;CA277,"")</f>
        <v/>
      </c>
      <c r="CB278" s="816"/>
      <c r="CC278" s="816"/>
      <c r="CD278" s="816"/>
      <c r="CE278" s="816"/>
      <c r="CF278" s="816"/>
      <c r="CG278" s="816"/>
      <c r="CH278" s="816"/>
      <c r="CI278" s="817"/>
      <c r="CJ278" s="818" t="str">
        <f>IF(CZ277&gt;=CA277,$J$6,"")</f>
        <v/>
      </c>
      <c r="CK278" s="816"/>
      <c r="CL278" s="816"/>
      <c r="CM278" s="816"/>
      <c r="CN278" s="816"/>
      <c r="CO278" s="816"/>
      <c r="CP278" s="816"/>
      <c r="CQ278" s="816"/>
      <c r="CR278" s="816"/>
      <c r="CS278" s="816"/>
      <c r="CT278" s="816"/>
      <c r="CU278" s="816"/>
      <c r="CV278" s="816"/>
      <c r="CW278" s="816"/>
      <c r="CX278" s="816"/>
      <c r="CY278" s="816"/>
      <c r="CZ278" s="819"/>
      <c r="DA278" s="815" t="str">
        <f>IF(DZ277&gt;=DA277,DQ$2 &amp;"     ITEM # "&amp;DA277,"")</f>
        <v/>
      </c>
      <c r="DB278" s="816"/>
      <c r="DC278" s="816"/>
      <c r="DD278" s="816"/>
      <c r="DE278" s="816"/>
      <c r="DF278" s="816"/>
      <c r="DG278" s="816"/>
      <c r="DH278" s="816"/>
      <c r="DI278" s="817"/>
      <c r="DJ278" s="818" t="str">
        <f>IF(DZ277&gt;=DA277,$J$6,"")</f>
        <v/>
      </c>
      <c r="DK278" s="816"/>
      <c r="DL278" s="816"/>
      <c r="DM278" s="816"/>
      <c r="DN278" s="816"/>
      <c r="DO278" s="816"/>
      <c r="DP278" s="816"/>
      <c r="DQ278" s="816"/>
      <c r="DR278" s="816"/>
      <c r="DS278" s="816"/>
      <c r="DT278" s="816"/>
      <c r="DU278" s="816"/>
      <c r="DV278" s="816"/>
      <c r="DW278" s="816"/>
      <c r="DX278" s="816"/>
      <c r="DY278" s="816"/>
      <c r="DZ278" s="819"/>
      <c r="EA278" s="815" t="str">
        <f>IF(EZ277&gt;=EA277,EQ$2 &amp;"     ITEM # "&amp;EA277,"")</f>
        <v/>
      </c>
      <c r="EB278" s="816"/>
      <c r="EC278" s="816"/>
      <c r="ED278" s="816"/>
      <c r="EE278" s="816"/>
      <c r="EF278" s="816"/>
      <c r="EG278" s="816"/>
      <c r="EH278" s="816"/>
      <c r="EI278" s="817"/>
      <c r="EJ278" s="818" t="str">
        <f>IF(EZ277&gt;=EA277,$J$6,"")</f>
        <v/>
      </c>
      <c r="EK278" s="816"/>
      <c r="EL278" s="816"/>
      <c r="EM278" s="816"/>
      <c r="EN278" s="816"/>
      <c r="EO278" s="816"/>
      <c r="EP278" s="816"/>
      <c r="EQ278" s="816"/>
      <c r="ER278" s="816"/>
      <c r="ES278" s="816"/>
      <c r="ET278" s="816"/>
      <c r="EU278" s="816"/>
      <c r="EV278" s="816"/>
      <c r="EW278" s="816"/>
      <c r="EX278" s="816"/>
      <c r="EY278" s="816"/>
      <c r="EZ278" s="819"/>
      <c r="FA278" s="815" t="str">
        <f>IF(FZ277&gt;=FA277,FQ$2 &amp;"     ITEM # "&amp;FA277,"")</f>
        <v/>
      </c>
      <c r="FB278" s="816"/>
      <c r="FC278" s="816"/>
      <c r="FD278" s="816"/>
      <c r="FE278" s="816"/>
      <c r="FF278" s="816"/>
      <c r="FG278" s="816"/>
      <c r="FH278" s="816"/>
      <c r="FI278" s="817"/>
      <c r="FJ278" s="818" t="str">
        <f>IF(FZ277&gt;=FA277,$J$6,"")</f>
        <v/>
      </c>
      <c r="FK278" s="816"/>
      <c r="FL278" s="816"/>
      <c r="FM278" s="816"/>
      <c r="FN278" s="816"/>
      <c r="FO278" s="816"/>
      <c r="FP278" s="816"/>
      <c r="FQ278" s="816"/>
      <c r="FR278" s="816"/>
      <c r="FS278" s="816"/>
      <c r="FT278" s="816"/>
      <c r="FU278" s="816"/>
      <c r="FV278" s="816"/>
      <c r="FW278" s="816"/>
      <c r="FX278" s="816"/>
      <c r="FY278" s="816"/>
      <c r="FZ278" s="819"/>
      <c r="GA278" s="815" t="str">
        <f>IF(GZ277&gt;=GA277,GQ$2 &amp;"     ITEM # "&amp;GA277,"")</f>
        <v/>
      </c>
      <c r="GB278" s="816"/>
      <c r="GC278" s="816"/>
      <c r="GD278" s="816"/>
      <c r="GE278" s="816"/>
      <c r="GF278" s="816"/>
      <c r="GG278" s="816"/>
      <c r="GH278" s="816"/>
      <c r="GI278" s="817"/>
      <c r="GJ278" s="818" t="str">
        <f>IF(GZ277&gt;=GA277,$J$6,"")</f>
        <v/>
      </c>
      <c r="GK278" s="816"/>
      <c r="GL278" s="816"/>
      <c r="GM278" s="816"/>
      <c r="GN278" s="816"/>
      <c r="GO278" s="816"/>
      <c r="GP278" s="816"/>
      <c r="GQ278" s="816"/>
      <c r="GR278" s="816"/>
      <c r="GS278" s="816"/>
      <c r="GT278" s="816"/>
      <c r="GU278" s="816"/>
      <c r="GV278" s="816"/>
      <c r="GW278" s="816"/>
      <c r="GX278" s="816"/>
      <c r="GY278" s="816"/>
      <c r="GZ278" s="819"/>
      <c r="HA278" s="815" t="str">
        <f>IF(HZ277&gt;=HA277,HQ$2 &amp;"     ITEM # "&amp;HA277,"")</f>
        <v/>
      </c>
      <c r="HB278" s="816"/>
      <c r="HC278" s="816"/>
      <c r="HD278" s="816"/>
      <c r="HE278" s="816"/>
      <c r="HF278" s="816"/>
      <c r="HG278" s="816"/>
      <c r="HH278" s="816"/>
      <c r="HI278" s="817"/>
      <c r="HJ278" s="818" t="str">
        <f>IF(HZ277&gt;=HA277,$J$6,"")</f>
        <v/>
      </c>
      <c r="HK278" s="816"/>
      <c r="HL278" s="816"/>
      <c r="HM278" s="816"/>
      <c r="HN278" s="816"/>
      <c r="HO278" s="816"/>
      <c r="HP278" s="816"/>
      <c r="HQ278" s="816"/>
      <c r="HR278" s="816"/>
      <c r="HS278" s="816"/>
      <c r="HT278" s="816"/>
      <c r="HU278" s="816"/>
      <c r="HV278" s="816"/>
      <c r="HW278" s="816"/>
      <c r="HX278" s="816"/>
      <c r="HY278" s="816"/>
      <c r="HZ278" s="819"/>
      <c r="IA278" s="815" t="str">
        <f>IF(IZ277&gt;=IA277,IQ$2 &amp;"     ITEM # "&amp;IA277,"")</f>
        <v/>
      </c>
      <c r="IB278" s="816"/>
      <c r="IC278" s="816"/>
      <c r="ID278" s="816"/>
      <c r="IE278" s="816"/>
      <c r="IF278" s="816"/>
      <c r="IG278" s="816"/>
      <c r="IH278" s="816"/>
      <c r="II278" s="817"/>
      <c r="IJ278" s="818" t="str">
        <f>IF(IZ277&gt;=IA277,$J$6,"")</f>
        <v/>
      </c>
      <c r="IK278" s="816"/>
      <c r="IL278" s="816"/>
      <c r="IM278" s="816"/>
      <c r="IN278" s="816"/>
      <c r="IO278" s="816"/>
      <c r="IP278" s="816"/>
      <c r="IQ278" s="816"/>
      <c r="IR278" s="816"/>
      <c r="IS278" s="816"/>
      <c r="IT278" s="816"/>
      <c r="IU278" s="816"/>
      <c r="IV278" s="816"/>
      <c r="IW278" s="816"/>
      <c r="IX278" s="816"/>
      <c r="IY278" s="816"/>
      <c r="IZ278" s="819"/>
    </row>
    <row r="279" spans="1:260" x14ac:dyDescent="0.25">
      <c r="A279" s="848" t="str">
        <f>IFERROR(INDEX(Lista_Pedidos,Procesos!Y277+A277-1,5),"")</f>
        <v/>
      </c>
      <c r="B279" s="843"/>
      <c r="C279" s="843"/>
      <c r="D279" s="843"/>
      <c r="E279" s="843"/>
      <c r="F279" s="843"/>
      <c r="G279" s="843"/>
      <c r="H279" s="843"/>
      <c r="I279" s="844"/>
      <c r="J279" s="842" t="str">
        <f>IF(Z277&gt;=A277,$J$7,"")</f>
        <v/>
      </c>
      <c r="K279" s="843"/>
      <c r="L279" s="844"/>
      <c r="M279" s="842" t="str">
        <f>IF(Z277&gt;=A277,$M$7,"")</f>
        <v/>
      </c>
      <c r="N279" s="843"/>
      <c r="O279" s="844"/>
      <c r="P279" s="842" t="str">
        <f>IF(Z277&gt;=A277,$P$7,"")</f>
        <v/>
      </c>
      <c r="Q279" s="843"/>
      <c r="R279" s="843"/>
      <c r="S279" s="843"/>
      <c r="T279" s="843"/>
      <c r="U279" s="844"/>
      <c r="V279" s="834" t="str">
        <f>IF(Z277&gt;=A277,$V$7,"")</f>
        <v/>
      </c>
      <c r="W279" s="842" t="str">
        <f>IF(Z277&gt;=A277,$W$7,"")</f>
        <v/>
      </c>
      <c r="X279" s="843"/>
      <c r="Y279" s="843"/>
      <c r="Z279" s="850"/>
      <c r="AA279" s="848" t="str">
        <f>IFERROR(INDEX(Lista_Pedidos,Procesos!AY277+AA277-1,5),"")</f>
        <v/>
      </c>
      <c r="AB279" s="843"/>
      <c r="AC279" s="843"/>
      <c r="AD279" s="843"/>
      <c r="AE279" s="843"/>
      <c r="AF279" s="843"/>
      <c r="AG279" s="843"/>
      <c r="AH279" s="843"/>
      <c r="AI279" s="844"/>
      <c r="AJ279" s="842" t="str">
        <f>IF(AZ277&gt;=AA277,$J$7,"")</f>
        <v/>
      </c>
      <c r="AK279" s="843"/>
      <c r="AL279" s="844"/>
      <c r="AM279" s="842" t="str">
        <f>IF(AZ277&gt;=AA277,$M$7,"")</f>
        <v/>
      </c>
      <c r="AN279" s="843"/>
      <c r="AO279" s="844"/>
      <c r="AP279" s="842" t="str">
        <f>IF(AZ277&gt;=AA277,$P$7,"")</f>
        <v/>
      </c>
      <c r="AQ279" s="843"/>
      <c r="AR279" s="843"/>
      <c r="AS279" s="843"/>
      <c r="AT279" s="843"/>
      <c r="AU279" s="844"/>
      <c r="AV279" s="834" t="str">
        <f>IF(AZ277&gt;=AA277,$V$7,"")</f>
        <v/>
      </c>
      <c r="AW279" s="842" t="str">
        <f>IF(AZ277&gt;=AA277,$W$7,"")</f>
        <v/>
      </c>
      <c r="AX279" s="843"/>
      <c r="AY279" s="843"/>
      <c r="AZ279" s="850"/>
      <c r="BA279" s="848" t="str">
        <f>IFERROR(INDEX(Lista_Pedidos,Procesos!BY277+BA277-1,5),"")</f>
        <v/>
      </c>
      <c r="BB279" s="843"/>
      <c r="BC279" s="843"/>
      <c r="BD279" s="843"/>
      <c r="BE279" s="843"/>
      <c r="BF279" s="843"/>
      <c r="BG279" s="843"/>
      <c r="BH279" s="843"/>
      <c r="BI279" s="844"/>
      <c r="BJ279" s="842" t="str">
        <f>IF(BZ277&gt;=BA277,$J$7,"")</f>
        <v/>
      </c>
      <c r="BK279" s="843"/>
      <c r="BL279" s="844"/>
      <c r="BM279" s="842" t="str">
        <f>IF(BZ277&gt;=BA277,$M$7,"")</f>
        <v/>
      </c>
      <c r="BN279" s="843"/>
      <c r="BO279" s="844"/>
      <c r="BP279" s="842" t="str">
        <f>IF(BZ277&gt;=BA277,$P$7,"")</f>
        <v/>
      </c>
      <c r="BQ279" s="843"/>
      <c r="BR279" s="843"/>
      <c r="BS279" s="843"/>
      <c r="BT279" s="843"/>
      <c r="BU279" s="844"/>
      <c r="BV279" s="834" t="str">
        <f>IF(BZ277&gt;=BA277,$V$7,"")</f>
        <v/>
      </c>
      <c r="BW279" s="842" t="str">
        <f>IF(BZ277&gt;=BA277,$W$7,"")</f>
        <v/>
      </c>
      <c r="BX279" s="843"/>
      <c r="BY279" s="843"/>
      <c r="BZ279" s="850"/>
      <c r="CA279" s="848" t="str">
        <f>IFERROR(INDEX(Lista_Pedidos,Procesos!CY277+CA277-1,5),"")</f>
        <v/>
      </c>
      <c r="CB279" s="843"/>
      <c r="CC279" s="843"/>
      <c r="CD279" s="843"/>
      <c r="CE279" s="843"/>
      <c r="CF279" s="843"/>
      <c r="CG279" s="843"/>
      <c r="CH279" s="843"/>
      <c r="CI279" s="844"/>
      <c r="CJ279" s="842" t="str">
        <f>IF(CZ277&gt;=CA277,$J$7,"")</f>
        <v/>
      </c>
      <c r="CK279" s="843"/>
      <c r="CL279" s="844"/>
      <c r="CM279" s="842" t="str">
        <f>IF(CZ277&gt;=CA277,$M$7,"")</f>
        <v/>
      </c>
      <c r="CN279" s="843"/>
      <c r="CO279" s="844"/>
      <c r="CP279" s="842" t="str">
        <f>IF(CZ277&gt;=CA277,$P$7,"")</f>
        <v/>
      </c>
      <c r="CQ279" s="843"/>
      <c r="CR279" s="843"/>
      <c r="CS279" s="843"/>
      <c r="CT279" s="843"/>
      <c r="CU279" s="844"/>
      <c r="CV279" s="834" t="str">
        <f>IF(CZ277&gt;=CA277,$V$7,"")</f>
        <v/>
      </c>
      <c r="CW279" s="842" t="str">
        <f>IF(CZ277&gt;=CA277,$W$7,"")</f>
        <v/>
      </c>
      <c r="CX279" s="843"/>
      <c r="CY279" s="843"/>
      <c r="CZ279" s="850"/>
      <c r="DA279" s="848" t="str">
        <f>IFERROR(INDEX(Lista_Pedidos,Procesos!DY277+DA277-1,5),"")</f>
        <v/>
      </c>
      <c r="DB279" s="843"/>
      <c r="DC279" s="843"/>
      <c r="DD279" s="843"/>
      <c r="DE279" s="843"/>
      <c r="DF279" s="843"/>
      <c r="DG279" s="843"/>
      <c r="DH279" s="843"/>
      <c r="DI279" s="844"/>
      <c r="DJ279" s="842" t="str">
        <f>IF(DZ277&gt;=DA277,$J$7,"")</f>
        <v/>
      </c>
      <c r="DK279" s="843"/>
      <c r="DL279" s="844"/>
      <c r="DM279" s="842" t="str">
        <f>IF(DZ277&gt;=DA277,$M$7,"")</f>
        <v/>
      </c>
      <c r="DN279" s="843"/>
      <c r="DO279" s="844"/>
      <c r="DP279" s="842" t="str">
        <f>IF(DZ277&gt;=DA277,$P$7,"")</f>
        <v/>
      </c>
      <c r="DQ279" s="843"/>
      <c r="DR279" s="843"/>
      <c r="DS279" s="843"/>
      <c r="DT279" s="843"/>
      <c r="DU279" s="844"/>
      <c r="DV279" s="834" t="str">
        <f>IF(DZ277&gt;=DA277,$V$7,"")</f>
        <v/>
      </c>
      <c r="DW279" s="842" t="str">
        <f>IF(DZ277&gt;=DA277,$W$7,"")</f>
        <v/>
      </c>
      <c r="DX279" s="843"/>
      <c r="DY279" s="843"/>
      <c r="DZ279" s="850"/>
      <c r="EA279" s="848" t="str">
        <f>IFERROR(INDEX(Lista_Pedidos,Procesos!EY277+EA277-1,5),"")</f>
        <v/>
      </c>
      <c r="EB279" s="843"/>
      <c r="EC279" s="843"/>
      <c r="ED279" s="843"/>
      <c r="EE279" s="843"/>
      <c r="EF279" s="843"/>
      <c r="EG279" s="843"/>
      <c r="EH279" s="843"/>
      <c r="EI279" s="844"/>
      <c r="EJ279" s="842" t="str">
        <f>IF(EZ277&gt;=EA277,$J$7,"")</f>
        <v/>
      </c>
      <c r="EK279" s="843"/>
      <c r="EL279" s="844"/>
      <c r="EM279" s="842" t="str">
        <f>IF(EZ277&gt;=EA277,$M$7,"")</f>
        <v/>
      </c>
      <c r="EN279" s="843"/>
      <c r="EO279" s="844"/>
      <c r="EP279" s="842" t="str">
        <f>IF(EZ277&gt;=EA277,$P$7,"")</f>
        <v/>
      </c>
      <c r="EQ279" s="843"/>
      <c r="ER279" s="843"/>
      <c r="ES279" s="843"/>
      <c r="ET279" s="843"/>
      <c r="EU279" s="844"/>
      <c r="EV279" s="834" t="str">
        <f>IF(EZ277&gt;=EA277,$V$7,"")</f>
        <v/>
      </c>
      <c r="EW279" s="842" t="str">
        <f>IF(EZ277&gt;=EA277,$W$7,"")</f>
        <v/>
      </c>
      <c r="EX279" s="843"/>
      <c r="EY279" s="843"/>
      <c r="EZ279" s="850"/>
      <c r="FA279" s="848" t="str">
        <f>IFERROR(INDEX(Lista_Pedidos,Procesos!FY277+FA277-1,5),"")</f>
        <v/>
      </c>
      <c r="FB279" s="843"/>
      <c r="FC279" s="843"/>
      <c r="FD279" s="843"/>
      <c r="FE279" s="843"/>
      <c r="FF279" s="843"/>
      <c r="FG279" s="843"/>
      <c r="FH279" s="843"/>
      <c r="FI279" s="844"/>
      <c r="FJ279" s="842" t="str">
        <f>IF(FZ277&gt;=FA277,$J$7,"")</f>
        <v/>
      </c>
      <c r="FK279" s="843"/>
      <c r="FL279" s="844"/>
      <c r="FM279" s="842" t="str">
        <f>IF(FZ277&gt;=FA277,$M$7,"")</f>
        <v/>
      </c>
      <c r="FN279" s="843"/>
      <c r="FO279" s="844"/>
      <c r="FP279" s="842" t="str">
        <f>IF(FZ277&gt;=FA277,$P$7,"")</f>
        <v/>
      </c>
      <c r="FQ279" s="843"/>
      <c r="FR279" s="843"/>
      <c r="FS279" s="843"/>
      <c r="FT279" s="843"/>
      <c r="FU279" s="844"/>
      <c r="FV279" s="834" t="str">
        <f>IF(FZ277&gt;=FA277,$V$7,"")</f>
        <v/>
      </c>
      <c r="FW279" s="842" t="str">
        <f>IF(FZ277&gt;=FA277,$W$7,"")</f>
        <v/>
      </c>
      <c r="FX279" s="843"/>
      <c r="FY279" s="843"/>
      <c r="FZ279" s="850"/>
      <c r="GA279" s="848" t="str">
        <f>IFERROR(INDEX(Lista_Pedidos,Procesos!GY277+GA277-1,5),"")</f>
        <v/>
      </c>
      <c r="GB279" s="843"/>
      <c r="GC279" s="843"/>
      <c r="GD279" s="843"/>
      <c r="GE279" s="843"/>
      <c r="GF279" s="843"/>
      <c r="GG279" s="843"/>
      <c r="GH279" s="843"/>
      <c r="GI279" s="844"/>
      <c r="GJ279" s="842" t="str">
        <f>IF(GZ277&gt;=GA277,$J$7,"")</f>
        <v/>
      </c>
      <c r="GK279" s="843"/>
      <c r="GL279" s="844"/>
      <c r="GM279" s="842" t="str">
        <f>IF(GZ277&gt;=GA277,$M$7,"")</f>
        <v/>
      </c>
      <c r="GN279" s="843"/>
      <c r="GO279" s="844"/>
      <c r="GP279" s="842" t="str">
        <f>IF(GZ277&gt;=GA277,$P$7,"")</f>
        <v/>
      </c>
      <c r="GQ279" s="843"/>
      <c r="GR279" s="843"/>
      <c r="GS279" s="843"/>
      <c r="GT279" s="843"/>
      <c r="GU279" s="844"/>
      <c r="GV279" s="834" t="str">
        <f>IF(GZ277&gt;=GA277,$V$7,"")</f>
        <v/>
      </c>
      <c r="GW279" s="842" t="str">
        <f>IF(GZ277&gt;=GA277,$W$7,"")</f>
        <v/>
      </c>
      <c r="GX279" s="843"/>
      <c r="GY279" s="843"/>
      <c r="GZ279" s="850"/>
      <c r="HA279" s="848" t="str">
        <f>IFERROR(INDEX(Lista_Pedidos,Procesos!HY277+HA277-1,5),"")</f>
        <v/>
      </c>
      <c r="HB279" s="843"/>
      <c r="HC279" s="843"/>
      <c r="HD279" s="843"/>
      <c r="HE279" s="843"/>
      <c r="HF279" s="843"/>
      <c r="HG279" s="843"/>
      <c r="HH279" s="843"/>
      <c r="HI279" s="844"/>
      <c r="HJ279" s="842" t="str">
        <f>IF(HZ277&gt;=HA277,$J$7,"")</f>
        <v/>
      </c>
      <c r="HK279" s="843"/>
      <c r="HL279" s="844"/>
      <c r="HM279" s="842" t="str">
        <f>IF(HZ277&gt;=HA277,$M$7,"")</f>
        <v/>
      </c>
      <c r="HN279" s="843"/>
      <c r="HO279" s="844"/>
      <c r="HP279" s="842" t="str">
        <f>IF(HZ277&gt;=HA277,$P$7,"")</f>
        <v/>
      </c>
      <c r="HQ279" s="843"/>
      <c r="HR279" s="843"/>
      <c r="HS279" s="843"/>
      <c r="HT279" s="843"/>
      <c r="HU279" s="844"/>
      <c r="HV279" s="834" t="str">
        <f>IF(HZ277&gt;=HA277,$V$7,"")</f>
        <v/>
      </c>
      <c r="HW279" s="842" t="str">
        <f>IF(HZ277&gt;=HA277,$W$7,"")</f>
        <v/>
      </c>
      <c r="HX279" s="843"/>
      <c r="HY279" s="843"/>
      <c r="HZ279" s="850"/>
      <c r="IA279" s="848" t="str">
        <f>IFERROR(INDEX(Lista_Pedidos,Procesos!IY277+IA277-1,5),"")</f>
        <v/>
      </c>
      <c r="IB279" s="843"/>
      <c r="IC279" s="843"/>
      <c r="ID279" s="843"/>
      <c r="IE279" s="843"/>
      <c r="IF279" s="843"/>
      <c r="IG279" s="843"/>
      <c r="IH279" s="843"/>
      <c r="II279" s="844"/>
      <c r="IJ279" s="842" t="str">
        <f>IF(IZ277&gt;=IA277,$J$7,"")</f>
        <v/>
      </c>
      <c r="IK279" s="843"/>
      <c r="IL279" s="844"/>
      <c r="IM279" s="842" t="str">
        <f>IF(IZ277&gt;=IA277,$M$7,"")</f>
        <v/>
      </c>
      <c r="IN279" s="843"/>
      <c r="IO279" s="844"/>
      <c r="IP279" s="842" t="str">
        <f>IF(IZ277&gt;=IA277,$P$7,"")</f>
        <v/>
      </c>
      <c r="IQ279" s="843"/>
      <c r="IR279" s="843"/>
      <c r="IS279" s="843"/>
      <c r="IT279" s="843"/>
      <c r="IU279" s="844"/>
      <c r="IV279" s="834" t="str">
        <f>IF(IZ277&gt;=IA277,$V$7,"")</f>
        <v/>
      </c>
      <c r="IW279" s="842" t="str">
        <f>IF(IZ277&gt;=IA277,$W$7,"")</f>
        <v/>
      </c>
      <c r="IX279" s="843"/>
      <c r="IY279" s="843"/>
      <c r="IZ279" s="850"/>
    </row>
    <row r="280" spans="1:260" x14ac:dyDescent="0.25">
      <c r="A280" s="849"/>
      <c r="B280" s="846"/>
      <c r="C280" s="846"/>
      <c r="D280" s="846"/>
      <c r="E280" s="846"/>
      <c r="F280" s="846"/>
      <c r="G280" s="846"/>
      <c r="H280" s="846"/>
      <c r="I280" s="847"/>
      <c r="J280" s="845"/>
      <c r="K280" s="846"/>
      <c r="L280" s="847"/>
      <c r="M280" s="845"/>
      <c r="N280" s="846"/>
      <c r="O280" s="847"/>
      <c r="P280" s="845"/>
      <c r="Q280" s="846"/>
      <c r="R280" s="846"/>
      <c r="S280" s="846"/>
      <c r="T280" s="846"/>
      <c r="U280" s="847"/>
      <c r="V280" s="835"/>
      <c r="W280" s="845"/>
      <c r="X280" s="846"/>
      <c r="Y280" s="846"/>
      <c r="Z280" s="851"/>
      <c r="AA280" s="849"/>
      <c r="AB280" s="846"/>
      <c r="AC280" s="846"/>
      <c r="AD280" s="846"/>
      <c r="AE280" s="846"/>
      <c r="AF280" s="846"/>
      <c r="AG280" s="846"/>
      <c r="AH280" s="846"/>
      <c r="AI280" s="847"/>
      <c r="AJ280" s="845"/>
      <c r="AK280" s="846"/>
      <c r="AL280" s="847"/>
      <c r="AM280" s="845"/>
      <c r="AN280" s="846"/>
      <c r="AO280" s="847"/>
      <c r="AP280" s="845"/>
      <c r="AQ280" s="846"/>
      <c r="AR280" s="846"/>
      <c r="AS280" s="846"/>
      <c r="AT280" s="846"/>
      <c r="AU280" s="847"/>
      <c r="AV280" s="835"/>
      <c r="AW280" s="845"/>
      <c r="AX280" s="846"/>
      <c r="AY280" s="846"/>
      <c r="AZ280" s="851"/>
      <c r="BA280" s="849"/>
      <c r="BB280" s="846"/>
      <c r="BC280" s="846"/>
      <c r="BD280" s="846"/>
      <c r="BE280" s="846"/>
      <c r="BF280" s="846"/>
      <c r="BG280" s="846"/>
      <c r="BH280" s="846"/>
      <c r="BI280" s="847"/>
      <c r="BJ280" s="845"/>
      <c r="BK280" s="846"/>
      <c r="BL280" s="847"/>
      <c r="BM280" s="845"/>
      <c r="BN280" s="846"/>
      <c r="BO280" s="847"/>
      <c r="BP280" s="845"/>
      <c r="BQ280" s="846"/>
      <c r="BR280" s="846"/>
      <c r="BS280" s="846"/>
      <c r="BT280" s="846"/>
      <c r="BU280" s="847"/>
      <c r="BV280" s="835"/>
      <c r="BW280" s="845"/>
      <c r="BX280" s="846"/>
      <c r="BY280" s="846"/>
      <c r="BZ280" s="851"/>
      <c r="CA280" s="849"/>
      <c r="CB280" s="846"/>
      <c r="CC280" s="846"/>
      <c r="CD280" s="846"/>
      <c r="CE280" s="846"/>
      <c r="CF280" s="846"/>
      <c r="CG280" s="846"/>
      <c r="CH280" s="846"/>
      <c r="CI280" s="847"/>
      <c r="CJ280" s="845"/>
      <c r="CK280" s="846"/>
      <c r="CL280" s="847"/>
      <c r="CM280" s="845"/>
      <c r="CN280" s="846"/>
      <c r="CO280" s="847"/>
      <c r="CP280" s="845"/>
      <c r="CQ280" s="846"/>
      <c r="CR280" s="846"/>
      <c r="CS280" s="846"/>
      <c r="CT280" s="846"/>
      <c r="CU280" s="847"/>
      <c r="CV280" s="835"/>
      <c r="CW280" s="845"/>
      <c r="CX280" s="846"/>
      <c r="CY280" s="846"/>
      <c r="CZ280" s="851"/>
      <c r="DA280" s="849"/>
      <c r="DB280" s="846"/>
      <c r="DC280" s="846"/>
      <c r="DD280" s="846"/>
      <c r="DE280" s="846"/>
      <c r="DF280" s="846"/>
      <c r="DG280" s="846"/>
      <c r="DH280" s="846"/>
      <c r="DI280" s="847"/>
      <c r="DJ280" s="845"/>
      <c r="DK280" s="846"/>
      <c r="DL280" s="847"/>
      <c r="DM280" s="845"/>
      <c r="DN280" s="846"/>
      <c r="DO280" s="847"/>
      <c r="DP280" s="845"/>
      <c r="DQ280" s="846"/>
      <c r="DR280" s="846"/>
      <c r="DS280" s="846"/>
      <c r="DT280" s="846"/>
      <c r="DU280" s="847"/>
      <c r="DV280" s="835"/>
      <c r="DW280" s="845"/>
      <c r="DX280" s="846"/>
      <c r="DY280" s="846"/>
      <c r="DZ280" s="851"/>
      <c r="EA280" s="849"/>
      <c r="EB280" s="846"/>
      <c r="EC280" s="846"/>
      <c r="ED280" s="846"/>
      <c r="EE280" s="846"/>
      <c r="EF280" s="846"/>
      <c r="EG280" s="846"/>
      <c r="EH280" s="846"/>
      <c r="EI280" s="847"/>
      <c r="EJ280" s="845"/>
      <c r="EK280" s="846"/>
      <c r="EL280" s="847"/>
      <c r="EM280" s="845"/>
      <c r="EN280" s="846"/>
      <c r="EO280" s="847"/>
      <c r="EP280" s="845"/>
      <c r="EQ280" s="846"/>
      <c r="ER280" s="846"/>
      <c r="ES280" s="846"/>
      <c r="ET280" s="846"/>
      <c r="EU280" s="847"/>
      <c r="EV280" s="835"/>
      <c r="EW280" s="845"/>
      <c r="EX280" s="846"/>
      <c r="EY280" s="846"/>
      <c r="EZ280" s="851"/>
      <c r="FA280" s="849"/>
      <c r="FB280" s="846"/>
      <c r="FC280" s="846"/>
      <c r="FD280" s="846"/>
      <c r="FE280" s="846"/>
      <c r="FF280" s="846"/>
      <c r="FG280" s="846"/>
      <c r="FH280" s="846"/>
      <c r="FI280" s="847"/>
      <c r="FJ280" s="845"/>
      <c r="FK280" s="846"/>
      <c r="FL280" s="847"/>
      <c r="FM280" s="845"/>
      <c r="FN280" s="846"/>
      <c r="FO280" s="847"/>
      <c r="FP280" s="845"/>
      <c r="FQ280" s="846"/>
      <c r="FR280" s="846"/>
      <c r="FS280" s="846"/>
      <c r="FT280" s="846"/>
      <c r="FU280" s="847"/>
      <c r="FV280" s="835"/>
      <c r="FW280" s="845"/>
      <c r="FX280" s="846"/>
      <c r="FY280" s="846"/>
      <c r="FZ280" s="851"/>
      <c r="GA280" s="849"/>
      <c r="GB280" s="846"/>
      <c r="GC280" s="846"/>
      <c r="GD280" s="846"/>
      <c r="GE280" s="846"/>
      <c r="GF280" s="846"/>
      <c r="GG280" s="846"/>
      <c r="GH280" s="846"/>
      <c r="GI280" s="847"/>
      <c r="GJ280" s="845"/>
      <c r="GK280" s="846"/>
      <c r="GL280" s="847"/>
      <c r="GM280" s="845"/>
      <c r="GN280" s="846"/>
      <c r="GO280" s="847"/>
      <c r="GP280" s="845"/>
      <c r="GQ280" s="846"/>
      <c r="GR280" s="846"/>
      <c r="GS280" s="846"/>
      <c r="GT280" s="846"/>
      <c r="GU280" s="847"/>
      <c r="GV280" s="835"/>
      <c r="GW280" s="845"/>
      <c r="GX280" s="846"/>
      <c r="GY280" s="846"/>
      <c r="GZ280" s="851"/>
      <c r="HA280" s="849"/>
      <c r="HB280" s="846"/>
      <c r="HC280" s="846"/>
      <c r="HD280" s="846"/>
      <c r="HE280" s="846"/>
      <c r="HF280" s="846"/>
      <c r="HG280" s="846"/>
      <c r="HH280" s="846"/>
      <c r="HI280" s="847"/>
      <c r="HJ280" s="845"/>
      <c r="HK280" s="846"/>
      <c r="HL280" s="847"/>
      <c r="HM280" s="845"/>
      <c r="HN280" s="846"/>
      <c r="HO280" s="847"/>
      <c r="HP280" s="845"/>
      <c r="HQ280" s="846"/>
      <c r="HR280" s="846"/>
      <c r="HS280" s="846"/>
      <c r="HT280" s="846"/>
      <c r="HU280" s="847"/>
      <c r="HV280" s="835"/>
      <c r="HW280" s="845"/>
      <c r="HX280" s="846"/>
      <c r="HY280" s="846"/>
      <c r="HZ280" s="851"/>
      <c r="IA280" s="849"/>
      <c r="IB280" s="846"/>
      <c r="IC280" s="846"/>
      <c r="ID280" s="846"/>
      <c r="IE280" s="846"/>
      <c r="IF280" s="846"/>
      <c r="IG280" s="846"/>
      <c r="IH280" s="846"/>
      <c r="II280" s="847"/>
      <c r="IJ280" s="845"/>
      <c r="IK280" s="846"/>
      <c r="IL280" s="847"/>
      <c r="IM280" s="845"/>
      <c r="IN280" s="846"/>
      <c r="IO280" s="847"/>
      <c r="IP280" s="845"/>
      <c r="IQ280" s="846"/>
      <c r="IR280" s="846"/>
      <c r="IS280" s="846"/>
      <c r="IT280" s="846"/>
      <c r="IU280" s="847"/>
      <c r="IV280" s="835"/>
      <c r="IW280" s="845"/>
      <c r="IX280" s="846"/>
      <c r="IY280" s="846"/>
      <c r="IZ280" s="851"/>
    </row>
    <row r="281" spans="1:260" ht="15" customHeight="1" x14ac:dyDescent="0.25">
      <c r="A281" s="858" t="str">
        <f>IF(Z277&gt;=A277,$A$9,"")</f>
        <v/>
      </c>
      <c r="B281" s="806"/>
      <c r="C281" s="806"/>
      <c r="D281" s="806"/>
      <c r="E281" s="852"/>
      <c r="F281" s="805" t="str">
        <f>IF(Z277&gt;=A277,$F$9,"")</f>
        <v/>
      </c>
      <c r="G281" s="806"/>
      <c r="H281" s="806"/>
      <c r="I281" s="852"/>
      <c r="J281" s="811" t="str">
        <f>IF(Z277&gt;=A277,$J$9,"")</f>
        <v/>
      </c>
      <c r="K281" s="803" t="str">
        <f>IF(Z277&gt;=A277,$K$9,"")</f>
        <v/>
      </c>
      <c r="L281" s="803" t="str">
        <f>IF(Z277&gt;=A277,$L$9,"")</f>
        <v/>
      </c>
      <c r="M281" s="803" t="str">
        <f>IF(Z277&gt;=A277,$M$9,"")</f>
        <v/>
      </c>
      <c r="N281" s="803" t="str">
        <f>IF(Z277&gt;=A277,$N$9,"")</f>
        <v/>
      </c>
      <c r="O281" s="803" t="str">
        <f>IF(Z277&gt;=A277,$O$9,"")</f>
        <v/>
      </c>
      <c r="P281" s="803" t="str">
        <f>IF(Z277&gt;=A277,$P$9,"")</f>
        <v/>
      </c>
      <c r="Q281" s="803" t="str">
        <f>IF(Z277&gt;=A277,$Q$9,"")</f>
        <v/>
      </c>
      <c r="R281" s="803" t="str">
        <f>IF(Z277&gt;=A277,$R$9,"")</f>
        <v/>
      </c>
      <c r="S281" s="803" t="str">
        <f>IF(Z277&gt;=A277,$S$9,"")</f>
        <v/>
      </c>
      <c r="T281" s="803" t="str">
        <f>IF(Z277&gt;=A277,$T$9,"")</f>
        <v/>
      </c>
      <c r="U281" s="803" t="str">
        <f>IF(Z277&gt;=A277,$U$9,"")</f>
        <v/>
      </c>
      <c r="V281" s="803" t="str">
        <f>IF(Z277&gt;=A277,$V$9,"")</f>
        <v/>
      </c>
      <c r="W281" s="805" t="str">
        <f>IF(Z277&gt;=A277,$W$9,"")</f>
        <v/>
      </c>
      <c r="X281" s="806"/>
      <c r="Y281" s="806"/>
      <c r="Z281" s="807"/>
      <c r="AA281" s="858" t="str">
        <f>IF(AZ277&gt;=AA277,$A$9,"")</f>
        <v/>
      </c>
      <c r="AB281" s="806"/>
      <c r="AC281" s="806"/>
      <c r="AD281" s="806"/>
      <c r="AE281" s="852"/>
      <c r="AF281" s="805" t="str">
        <f>IF(AZ277&gt;=AA277,$F$9,"")</f>
        <v/>
      </c>
      <c r="AG281" s="806"/>
      <c r="AH281" s="806"/>
      <c r="AI281" s="852"/>
      <c r="AJ281" s="811" t="str">
        <f>IF(AZ277&gt;=AA277,$J$9,"")</f>
        <v/>
      </c>
      <c r="AK281" s="803" t="str">
        <f>IF(AZ277&gt;=AA277,$K$9,"")</f>
        <v/>
      </c>
      <c r="AL281" s="803" t="str">
        <f>IF(AZ277&gt;=AA277,$L$9,"")</f>
        <v/>
      </c>
      <c r="AM281" s="803" t="str">
        <f>IF(AZ277&gt;=AA277,$M$9,"")</f>
        <v/>
      </c>
      <c r="AN281" s="803" t="str">
        <f>IF(AZ277&gt;=AA277,$N$9,"")</f>
        <v/>
      </c>
      <c r="AO281" s="803" t="str">
        <f>IF(AZ277&gt;=AA277,$O$9,"")</f>
        <v/>
      </c>
      <c r="AP281" s="803" t="str">
        <f>IF(AZ277&gt;=AA277,$P$9,"")</f>
        <v/>
      </c>
      <c r="AQ281" s="803" t="str">
        <f>IF(AZ277&gt;=AA277,$Q$9,"")</f>
        <v/>
      </c>
      <c r="AR281" s="803" t="str">
        <f>IF(AZ277&gt;=AA277,$R$9,"")</f>
        <v/>
      </c>
      <c r="AS281" s="803" t="str">
        <f>IF(AZ277&gt;=AA277,$S$9,"")</f>
        <v/>
      </c>
      <c r="AT281" s="803" t="str">
        <f>IF(AZ277&gt;=AA277,$T$9,"")</f>
        <v/>
      </c>
      <c r="AU281" s="803" t="str">
        <f>IF(AZ277&gt;=AA277,$U$9,"")</f>
        <v/>
      </c>
      <c r="AV281" s="803" t="str">
        <f>IF(AZ277&gt;=AA277,$V$9,"")</f>
        <v/>
      </c>
      <c r="AW281" s="805" t="str">
        <f>IF(AZ277&gt;=AA277,$W$9,"")</f>
        <v/>
      </c>
      <c r="AX281" s="806"/>
      <c r="AY281" s="806"/>
      <c r="AZ281" s="807"/>
      <c r="BA281" s="858" t="str">
        <f>IF(BZ277&gt;=BA277,$A$9,"")</f>
        <v/>
      </c>
      <c r="BB281" s="806"/>
      <c r="BC281" s="806"/>
      <c r="BD281" s="806"/>
      <c r="BE281" s="852"/>
      <c r="BF281" s="805" t="str">
        <f>IF(BZ277&gt;=BA277,$F$9,"")</f>
        <v/>
      </c>
      <c r="BG281" s="806"/>
      <c r="BH281" s="806"/>
      <c r="BI281" s="852"/>
      <c r="BJ281" s="811" t="str">
        <f>IF(BZ277&gt;=BA277,$J$9,"")</f>
        <v/>
      </c>
      <c r="BK281" s="803" t="str">
        <f>IF(BZ277&gt;=BA277,$K$9,"")</f>
        <v/>
      </c>
      <c r="BL281" s="803" t="str">
        <f>IF(BZ277&gt;=BA277,$L$9,"")</f>
        <v/>
      </c>
      <c r="BM281" s="803" t="str">
        <f>IF(BZ277&gt;=BA277,$M$9,"")</f>
        <v/>
      </c>
      <c r="BN281" s="803" t="str">
        <f>IF(BZ277&gt;=BA277,$N$9,"")</f>
        <v/>
      </c>
      <c r="BO281" s="803" t="str">
        <f>IF(BZ277&gt;=BA277,$O$9,"")</f>
        <v/>
      </c>
      <c r="BP281" s="803" t="str">
        <f>IF(BZ277&gt;=BA277,$P$9,"")</f>
        <v/>
      </c>
      <c r="BQ281" s="803" t="str">
        <f>IF(BZ277&gt;=BA277,$Q$9,"")</f>
        <v/>
      </c>
      <c r="BR281" s="803" t="str">
        <f>IF(BZ277&gt;=BA277,$R$9,"")</f>
        <v/>
      </c>
      <c r="BS281" s="803" t="str">
        <f>IF(BZ277&gt;=BA277,$S$9,"")</f>
        <v/>
      </c>
      <c r="BT281" s="803" t="str">
        <f>IF(BZ277&gt;=BA277,$T$9,"")</f>
        <v/>
      </c>
      <c r="BU281" s="803" t="str">
        <f>IF(BZ277&gt;=BA277,$U$9,"")</f>
        <v/>
      </c>
      <c r="BV281" s="803" t="str">
        <f>IF(BZ277&gt;=BA277,$V$9,"")</f>
        <v/>
      </c>
      <c r="BW281" s="805" t="str">
        <f>IF(BZ277&gt;=BA277,$W$9,"")</f>
        <v/>
      </c>
      <c r="BX281" s="806"/>
      <c r="BY281" s="806"/>
      <c r="BZ281" s="807"/>
      <c r="CA281" s="858" t="str">
        <f>IF(CZ277&gt;=CA277,$A$9,"")</f>
        <v/>
      </c>
      <c r="CB281" s="806"/>
      <c r="CC281" s="806"/>
      <c r="CD281" s="806"/>
      <c r="CE281" s="852"/>
      <c r="CF281" s="805" t="str">
        <f>IF(CZ277&gt;=CA277,$F$9,"")</f>
        <v/>
      </c>
      <c r="CG281" s="806"/>
      <c r="CH281" s="806"/>
      <c r="CI281" s="852"/>
      <c r="CJ281" s="811" t="str">
        <f>IF(CZ277&gt;=CA277,$J$9,"")</f>
        <v/>
      </c>
      <c r="CK281" s="803" t="str">
        <f>IF(CZ277&gt;=CA277,$K$9,"")</f>
        <v/>
      </c>
      <c r="CL281" s="803" t="str">
        <f>IF(CZ277&gt;=CA277,$L$9,"")</f>
        <v/>
      </c>
      <c r="CM281" s="803" t="str">
        <f>IF(CZ277&gt;=CA277,$M$9,"")</f>
        <v/>
      </c>
      <c r="CN281" s="803" t="str">
        <f>IF(CZ277&gt;=CA277,$N$9,"")</f>
        <v/>
      </c>
      <c r="CO281" s="803" t="str">
        <f>IF(CZ277&gt;=CA277,$O$9,"")</f>
        <v/>
      </c>
      <c r="CP281" s="803" t="str">
        <f>IF(CZ277&gt;=CA277,$P$9,"")</f>
        <v/>
      </c>
      <c r="CQ281" s="803" t="str">
        <f>IF(CZ277&gt;=CA277,$Q$9,"")</f>
        <v/>
      </c>
      <c r="CR281" s="803" t="str">
        <f>IF(CZ277&gt;=CA277,$R$9,"")</f>
        <v/>
      </c>
      <c r="CS281" s="803" t="str">
        <f>IF(CZ277&gt;=CA277,$S$9,"")</f>
        <v/>
      </c>
      <c r="CT281" s="803" t="str">
        <f>IF(CZ277&gt;=CA277,$T$9,"")</f>
        <v/>
      </c>
      <c r="CU281" s="803" t="str">
        <f>IF(CZ277&gt;=CA277,$U$9,"")</f>
        <v/>
      </c>
      <c r="CV281" s="803" t="str">
        <f>IF(CZ277&gt;=CA277,$V$9,"")</f>
        <v/>
      </c>
      <c r="CW281" s="805" t="str">
        <f>IF(CZ277&gt;=CA277,$W$9,"")</f>
        <v/>
      </c>
      <c r="CX281" s="806"/>
      <c r="CY281" s="806"/>
      <c r="CZ281" s="807"/>
      <c r="DA281" s="858" t="str">
        <f>IF(DZ277&gt;=DA277,$A$9,"")</f>
        <v/>
      </c>
      <c r="DB281" s="806"/>
      <c r="DC281" s="806"/>
      <c r="DD281" s="806"/>
      <c r="DE281" s="852"/>
      <c r="DF281" s="805" t="str">
        <f>IF(DZ277&gt;=DA277,$F$9,"")</f>
        <v/>
      </c>
      <c r="DG281" s="806"/>
      <c r="DH281" s="806"/>
      <c r="DI281" s="852"/>
      <c r="DJ281" s="811" t="str">
        <f>IF(DZ277&gt;=DA277,$J$9,"")</f>
        <v/>
      </c>
      <c r="DK281" s="803" t="str">
        <f>IF(DZ277&gt;=DA277,$K$9,"")</f>
        <v/>
      </c>
      <c r="DL281" s="803" t="str">
        <f>IF(DZ277&gt;=DA277,$L$9,"")</f>
        <v/>
      </c>
      <c r="DM281" s="803" t="str">
        <f>IF(DZ277&gt;=DA277,$M$9,"")</f>
        <v/>
      </c>
      <c r="DN281" s="803" t="str">
        <f>IF(DZ277&gt;=DA277,$N$9,"")</f>
        <v/>
      </c>
      <c r="DO281" s="803" t="str">
        <f>IF(DZ277&gt;=DA277,$O$9,"")</f>
        <v/>
      </c>
      <c r="DP281" s="803" t="str">
        <f>IF(DZ277&gt;=DA277,$P$9,"")</f>
        <v/>
      </c>
      <c r="DQ281" s="803" t="str">
        <f>IF(DZ277&gt;=DA277,$Q$9,"")</f>
        <v/>
      </c>
      <c r="DR281" s="803" t="str">
        <f>IF(DZ277&gt;=DA277,$R$9,"")</f>
        <v/>
      </c>
      <c r="DS281" s="803" t="str">
        <f>IF(DZ277&gt;=DA277,$S$9,"")</f>
        <v/>
      </c>
      <c r="DT281" s="803" t="str">
        <f>IF(DZ277&gt;=DA277,$T$9,"")</f>
        <v/>
      </c>
      <c r="DU281" s="803" t="str">
        <f>IF(DZ277&gt;=DA277,$U$9,"")</f>
        <v/>
      </c>
      <c r="DV281" s="803" t="str">
        <f>IF(DZ277&gt;=DA277,$V$9,"")</f>
        <v/>
      </c>
      <c r="DW281" s="805" t="str">
        <f>IF(DZ277&gt;=DA277,$W$9,"")</f>
        <v/>
      </c>
      <c r="DX281" s="806"/>
      <c r="DY281" s="806"/>
      <c r="DZ281" s="807"/>
      <c r="EA281" s="858" t="str">
        <f>IF(EZ277&gt;=EA277,$A$9,"")</f>
        <v/>
      </c>
      <c r="EB281" s="806"/>
      <c r="EC281" s="806"/>
      <c r="ED281" s="806"/>
      <c r="EE281" s="852"/>
      <c r="EF281" s="805" t="str">
        <f>IF(EZ277&gt;=EA277,$F$9,"")</f>
        <v/>
      </c>
      <c r="EG281" s="806"/>
      <c r="EH281" s="806"/>
      <c r="EI281" s="852"/>
      <c r="EJ281" s="811" t="str">
        <f>IF(EZ277&gt;=EA277,$J$9,"")</f>
        <v/>
      </c>
      <c r="EK281" s="803" t="str">
        <f>IF(EZ277&gt;=EA277,$K$9,"")</f>
        <v/>
      </c>
      <c r="EL281" s="803" t="str">
        <f>IF(EZ277&gt;=EA277,$L$9,"")</f>
        <v/>
      </c>
      <c r="EM281" s="803" t="str">
        <f>IF(EZ277&gt;=EA277,$M$9,"")</f>
        <v/>
      </c>
      <c r="EN281" s="803" t="str">
        <f>IF(EZ277&gt;=EA277,$N$9,"")</f>
        <v/>
      </c>
      <c r="EO281" s="803" t="str">
        <f>IF(EZ277&gt;=EA277,$O$9,"")</f>
        <v/>
      </c>
      <c r="EP281" s="803" t="str">
        <f>IF(EZ277&gt;=EA277,$P$9,"")</f>
        <v/>
      </c>
      <c r="EQ281" s="803" t="str">
        <f>IF(EZ277&gt;=EA277,$Q$9,"")</f>
        <v/>
      </c>
      <c r="ER281" s="803" t="str">
        <f>IF(EZ277&gt;=EA277,$R$9,"")</f>
        <v/>
      </c>
      <c r="ES281" s="803" t="str">
        <f>IF(EZ277&gt;=EA277,$S$9,"")</f>
        <v/>
      </c>
      <c r="ET281" s="803" t="str">
        <f>IF(EZ277&gt;=EA277,$T$9,"")</f>
        <v/>
      </c>
      <c r="EU281" s="803" t="str">
        <f>IF(EZ277&gt;=EA277,$U$9,"")</f>
        <v/>
      </c>
      <c r="EV281" s="803" t="str">
        <f>IF(EZ277&gt;=EA277,$V$9,"")</f>
        <v/>
      </c>
      <c r="EW281" s="805" t="str">
        <f>IF(EZ277&gt;=EA277,$W$9,"")</f>
        <v/>
      </c>
      <c r="EX281" s="806"/>
      <c r="EY281" s="806"/>
      <c r="EZ281" s="807"/>
      <c r="FA281" s="858" t="str">
        <f>IF(FZ277&gt;=FA277,$A$9,"")</f>
        <v/>
      </c>
      <c r="FB281" s="806"/>
      <c r="FC281" s="806"/>
      <c r="FD281" s="806"/>
      <c r="FE281" s="852"/>
      <c r="FF281" s="805" t="str">
        <f>IF(FZ277&gt;=FA277,$F$9,"")</f>
        <v/>
      </c>
      <c r="FG281" s="806"/>
      <c r="FH281" s="806"/>
      <c r="FI281" s="852"/>
      <c r="FJ281" s="811" t="str">
        <f>IF(FZ277&gt;=FA277,$J$9,"")</f>
        <v/>
      </c>
      <c r="FK281" s="803" t="str">
        <f>IF(FZ277&gt;=FA277,$K$9,"")</f>
        <v/>
      </c>
      <c r="FL281" s="803" t="str">
        <f>IF(FZ277&gt;=FA277,$L$9,"")</f>
        <v/>
      </c>
      <c r="FM281" s="803" t="str">
        <f>IF(FZ277&gt;=FA277,$M$9,"")</f>
        <v/>
      </c>
      <c r="FN281" s="803" t="str">
        <f>IF(FZ277&gt;=FA277,$N$9,"")</f>
        <v/>
      </c>
      <c r="FO281" s="803" t="str">
        <f>IF(FZ277&gt;=FA277,$O$9,"")</f>
        <v/>
      </c>
      <c r="FP281" s="803" t="str">
        <f>IF(FZ277&gt;=FA277,$P$9,"")</f>
        <v/>
      </c>
      <c r="FQ281" s="803" t="str">
        <f>IF(FZ277&gt;=FA277,$Q$9,"")</f>
        <v/>
      </c>
      <c r="FR281" s="803" t="str">
        <f>IF(FZ277&gt;=FA277,$R$9,"")</f>
        <v/>
      </c>
      <c r="FS281" s="803" t="str">
        <f>IF(FZ277&gt;=FA277,$S$9,"")</f>
        <v/>
      </c>
      <c r="FT281" s="803" t="str">
        <f>IF(FZ277&gt;=FA277,$T$9,"")</f>
        <v/>
      </c>
      <c r="FU281" s="803" t="str">
        <f>IF(FZ277&gt;=FA277,$U$9,"")</f>
        <v/>
      </c>
      <c r="FV281" s="803" t="str">
        <f>IF(FZ277&gt;=FA277,$V$9,"")</f>
        <v/>
      </c>
      <c r="FW281" s="805" t="str">
        <f>IF(FZ277&gt;=FA277,$W$9,"")</f>
        <v/>
      </c>
      <c r="FX281" s="806"/>
      <c r="FY281" s="806"/>
      <c r="FZ281" s="807"/>
      <c r="GA281" s="858" t="str">
        <f>IF(GZ277&gt;=GA277,$A$9,"")</f>
        <v/>
      </c>
      <c r="GB281" s="806"/>
      <c r="GC281" s="806"/>
      <c r="GD281" s="806"/>
      <c r="GE281" s="852"/>
      <c r="GF281" s="805" t="str">
        <f>IF(GZ277&gt;=GA277,$F$9,"")</f>
        <v/>
      </c>
      <c r="GG281" s="806"/>
      <c r="GH281" s="806"/>
      <c r="GI281" s="852"/>
      <c r="GJ281" s="811" t="str">
        <f>IF(GZ277&gt;=GA277,$J$9,"")</f>
        <v/>
      </c>
      <c r="GK281" s="803" t="str">
        <f>IF(GZ277&gt;=GA277,$K$9,"")</f>
        <v/>
      </c>
      <c r="GL281" s="803" t="str">
        <f>IF(GZ277&gt;=GA277,$L$9,"")</f>
        <v/>
      </c>
      <c r="GM281" s="803" t="str">
        <f>IF(GZ277&gt;=GA277,$M$9,"")</f>
        <v/>
      </c>
      <c r="GN281" s="803" t="str">
        <f>IF(GZ277&gt;=GA277,$N$9,"")</f>
        <v/>
      </c>
      <c r="GO281" s="803" t="str">
        <f>IF(GZ277&gt;=GA277,$O$9,"")</f>
        <v/>
      </c>
      <c r="GP281" s="803" t="str">
        <f>IF(GZ277&gt;=GA277,$P$9,"")</f>
        <v/>
      </c>
      <c r="GQ281" s="803" t="str">
        <f>IF(GZ277&gt;=GA277,$Q$9,"")</f>
        <v/>
      </c>
      <c r="GR281" s="803" t="str">
        <f>IF(GZ277&gt;=GA277,$R$9,"")</f>
        <v/>
      </c>
      <c r="GS281" s="803" t="str">
        <f>IF(GZ277&gt;=GA277,$S$9,"")</f>
        <v/>
      </c>
      <c r="GT281" s="803" t="str">
        <f>IF(GZ277&gt;=GA277,$T$9,"")</f>
        <v/>
      </c>
      <c r="GU281" s="803" t="str">
        <f>IF(GZ277&gt;=GA277,$U$9,"")</f>
        <v/>
      </c>
      <c r="GV281" s="803" t="str">
        <f>IF(GZ277&gt;=GA277,$V$9,"")</f>
        <v/>
      </c>
      <c r="GW281" s="805" t="str">
        <f>IF(GZ277&gt;=GA277,$W$9,"")</f>
        <v/>
      </c>
      <c r="GX281" s="806"/>
      <c r="GY281" s="806"/>
      <c r="GZ281" s="807"/>
      <c r="HA281" s="858" t="str">
        <f>IF(HZ277&gt;=HA277,$A$9,"")</f>
        <v/>
      </c>
      <c r="HB281" s="806"/>
      <c r="HC281" s="806"/>
      <c r="HD281" s="806"/>
      <c r="HE281" s="852"/>
      <c r="HF281" s="805" t="str">
        <f>IF(HZ277&gt;=HA277,$F$9,"")</f>
        <v/>
      </c>
      <c r="HG281" s="806"/>
      <c r="HH281" s="806"/>
      <c r="HI281" s="852"/>
      <c r="HJ281" s="811" t="str">
        <f>IF(HZ277&gt;=HA277,$J$9,"")</f>
        <v/>
      </c>
      <c r="HK281" s="803" t="str">
        <f>IF(HZ277&gt;=HA277,$K$9,"")</f>
        <v/>
      </c>
      <c r="HL281" s="803" t="str">
        <f>IF(HZ277&gt;=HA277,$L$9,"")</f>
        <v/>
      </c>
      <c r="HM281" s="803" t="str">
        <f>IF(HZ277&gt;=HA277,$M$9,"")</f>
        <v/>
      </c>
      <c r="HN281" s="803" t="str">
        <f>IF(HZ277&gt;=HA277,$N$9,"")</f>
        <v/>
      </c>
      <c r="HO281" s="803" t="str">
        <f>IF(HZ277&gt;=HA277,$O$9,"")</f>
        <v/>
      </c>
      <c r="HP281" s="803" t="str">
        <f>IF(HZ277&gt;=HA277,$P$9,"")</f>
        <v/>
      </c>
      <c r="HQ281" s="803" t="str">
        <f>IF(HZ277&gt;=HA277,$Q$9,"")</f>
        <v/>
      </c>
      <c r="HR281" s="803" t="str">
        <f>IF(HZ277&gt;=HA277,$R$9,"")</f>
        <v/>
      </c>
      <c r="HS281" s="803" t="str">
        <f>IF(HZ277&gt;=HA277,$S$9,"")</f>
        <v/>
      </c>
      <c r="HT281" s="803" t="str">
        <f>IF(HZ277&gt;=HA277,$T$9,"")</f>
        <v/>
      </c>
      <c r="HU281" s="803" t="str">
        <f>IF(HZ277&gt;=HA277,$U$9,"")</f>
        <v/>
      </c>
      <c r="HV281" s="803" t="str">
        <f>IF(HZ277&gt;=HA277,$V$9,"")</f>
        <v/>
      </c>
      <c r="HW281" s="805" t="str">
        <f>IF(HZ277&gt;=HA277,$W$9,"")</f>
        <v/>
      </c>
      <c r="HX281" s="806"/>
      <c r="HY281" s="806"/>
      <c r="HZ281" s="807"/>
      <c r="IA281" s="858" t="str">
        <f>IF(IZ277&gt;=IA277,$A$9,"")</f>
        <v/>
      </c>
      <c r="IB281" s="806"/>
      <c r="IC281" s="806"/>
      <c r="ID281" s="806"/>
      <c r="IE281" s="852"/>
      <c r="IF281" s="805" t="str">
        <f>IF(IZ277&gt;=IA277,$F$9,"")</f>
        <v/>
      </c>
      <c r="IG281" s="806"/>
      <c r="IH281" s="806"/>
      <c r="II281" s="852"/>
      <c r="IJ281" s="811" t="str">
        <f>IF(IZ277&gt;=IA277,$J$9,"")</f>
        <v/>
      </c>
      <c r="IK281" s="803" t="str">
        <f>IF(IZ277&gt;=IA277,$K$9,"")</f>
        <v/>
      </c>
      <c r="IL281" s="803" t="str">
        <f>IF(IZ277&gt;=IA277,$L$9,"")</f>
        <v/>
      </c>
      <c r="IM281" s="803" t="str">
        <f>IF(IZ277&gt;=IA277,$M$9,"")</f>
        <v/>
      </c>
      <c r="IN281" s="803" t="str">
        <f>IF(IZ277&gt;=IA277,$N$9,"")</f>
        <v/>
      </c>
      <c r="IO281" s="803" t="str">
        <f>IF(IZ277&gt;=IA277,$O$9,"")</f>
        <v/>
      </c>
      <c r="IP281" s="803" t="str">
        <f>IF(IZ277&gt;=IA277,$P$9,"")</f>
        <v/>
      </c>
      <c r="IQ281" s="803" t="str">
        <f>IF(IZ277&gt;=IA277,$Q$9,"")</f>
        <v/>
      </c>
      <c r="IR281" s="803" t="str">
        <f>IF(IZ277&gt;=IA277,$R$9,"")</f>
        <v/>
      </c>
      <c r="IS281" s="803" t="str">
        <f>IF(IZ277&gt;=IA277,$S$9,"")</f>
        <v/>
      </c>
      <c r="IT281" s="803" t="str">
        <f>IF(IZ277&gt;=IA277,$T$9,"")</f>
        <v/>
      </c>
      <c r="IU281" s="803" t="str">
        <f>IF(IZ277&gt;=IA277,$U$9,"")</f>
        <v/>
      </c>
      <c r="IV281" s="803" t="str">
        <f>IF(IZ277&gt;=IA277,$V$9,"")</f>
        <v/>
      </c>
      <c r="IW281" s="805" t="str">
        <f>IF(IZ277&gt;=IA277,$W$9,"")</f>
        <v/>
      </c>
      <c r="IX281" s="806"/>
      <c r="IY281" s="806"/>
      <c r="IZ281" s="807"/>
    </row>
    <row r="282" spans="1:260" x14ac:dyDescent="0.25">
      <c r="A282" s="859"/>
      <c r="B282" s="809"/>
      <c r="C282" s="809"/>
      <c r="D282" s="809"/>
      <c r="E282" s="853"/>
      <c r="F282" s="808"/>
      <c r="G282" s="809"/>
      <c r="H282" s="809"/>
      <c r="I282" s="853"/>
      <c r="J282" s="812"/>
      <c r="K282" s="804"/>
      <c r="L282" s="804"/>
      <c r="M282" s="804"/>
      <c r="N282" s="804"/>
      <c r="O282" s="804"/>
      <c r="P282" s="804"/>
      <c r="Q282" s="804"/>
      <c r="R282" s="804"/>
      <c r="S282" s="804"/>
      <c r="T282" s="804"/>
      <c r="U282" s="804"/>
      <c r="V282" s="804"/>
      <c r="W282" s="808"/>
      <c r="X282" s="809"/>
      <c r="Y282" s="809"/>
      <c r="Z282" s="810"/>
      <c r="AA282" s="859"/>
      <c r="AB282" s="809"/>
      <c r="AC282" s="809"/>
      <c r="AD282" s="809"/>
      <c r="AE282" s="853"/>
      <c r="AF282" s="808"/>
      <c r="AG282" s="809"/>
      <c r="AH282" s="809"/>
      <c r="AI282" s="853"/>
      <c r="AJ282" s="812"/>
      <c r="AK282" s="804"/>
      <c r="AL282" s="804"/>
      <c r="AM282" s="804"/>
      <c r="AN282" s="804"/>
      <c r="AO282" s="804"/>
      <c r="AP282" s="804"/>
      <c r="AQ282" s="804"/>
      <c r="AR282" s="804"/>
      <c r="AS282" s="804"/>
      <c r="AT282" s="804"/>
      <c r="AU282" s="804"/>
      <c r="AV282" s="804"/>
      <c r="AW282" s="808"/>
      <c r="AX282" s="809"/>
      <c r="AY282" s="809"/>
      <c r="AZ282" s="810"/>
      <c r="BA282" s="859"/>
      <c r="BB282" s="809"/>
      <c r="BC282" s="809"/>
      <c r="BD282" s="809"/>
      <c r="BE282" s="853"/>
      <c r="BF282" s="808"/>
      <c r="BG282" s="809"/>
      <c r="BH282" s="809"/>
      <c r="BI282" s="853"/>
      <c r="BJ282" s="812"/>
      <c r="BK282" s="804"/>
      <c r="BL282" s="804"/>
      <c r="BM282" s="804"/>
      <c r="BN282" s="804"/>
      <c r="BO282" s="804"/>
      <c r="BP282" s="804"/>
      <c r="BQ282" s="804"/>
      <c r="BR282" s="804"/>
      <c r="BS282" s="804"/>
      <c r="BT282" s="804"/>
      <c r="BU282" s="804"/>
      <c r="BV282" s="804"/>
      <c r="BW282" s="808"/>
      <c r="BX282" s="809"/>
      <c r="BY282" s="809"/>
      <c r="BZ282" s="810"/>
      <c r="CA282" s="859"/>
      <c r="CB282" s="809"/>
      <c r="CC282" s="809"/>
      <c r="CD282" s="809"/>
      <c r="CE282" s="853"/>
      <c r="CF282" s="808"/>
      <c r="CG282" s="809"/>
      <c r="CH282" s="809"/>
      <c r="CI282" s="853"/>
      <c r="CJ282" s="812"/>
      <c r="CK282" s="804"/>
      <c r="CL282" s="804"/>
      <c r="CM282" s="804"/>
      <c r="CN282" s="804"/>
      <c r="CO282" s="804"/>
      <c r="CP282" s="804"/>
      <c r="CQ282" s="804"/>
      <c r="CR282" s="804"/>
      <c r="CS282" s="804"/>
      <c r="CT282" s="804"/>
      <c r="CU282" s="804"/>
      <c r="CV282" s="804"/>
      <c r="CW282" s="808"/>
      <c r="CX282" s="809"/>
      <c r="CY282" s="809"/>
      <c r="CZ282" s="810"/>
      <c r="DA282" s="859"/>
      <c r="DB282" s="809"/>
      <c r="DC282" s="809"/>
      <c r="DD282" s="809"/>
      <c r="DE282" s="853"/>
      <c r="DF282" s="808"/>
      <c r="DG282" s="809"/>
      <c r="DH282" s="809"/>
      <c r="DI282" s="853"/>
      <c r="DJ282" s="812"/>
      <c r="DK282" s="804"/>
      <c r="DL282" s="804"/>
      <c r="DM282" s="804"/>
      <c r="DN282" s="804"/>
      <c r="DO282" s="804"/>
      <c r="DP282" s="804"/>
      <c r="DQ282" s="804"/>
      <c r="DR282" s="804"/>
      <c r="DS282" s="804"/>
      <c r="DT282" s="804"/>
      <c r="DU282" s="804"/>
      <c r="DV282" s="804"/>
      <c r="DW282" s="808"/>
      <c r="DX282" s="809"/>
      <c r="DY282" s="809"/>
      <c r="DZ282" s="810"/>
      <c r="EA282" s="859"/>
      <c r="EB282" s="809"/>
      <c r="EC282" s="809"/>
      <c r="ED282" s="809"/>
      <c r="EE282" s="853"/>
      <c r="EF282" s="808"/>
      <c r="EG282" s="809"/>
      <c r="EH282" s="809"/>
      <c r="EI282" s="853"/>
      <c r="EJ282" s="812"/>
      <c r="EK282" s="804"/>
      <c r="EL282" s="804"/>
      <c r="EM282" s="804"/>
      <c r="EN282" s="804"/>
      <c r="EO282" s="804"/>
      <c r="EP282" s="804"/>
      <c r="EQ282" s="804"/>
      <c r="ER282" s="804"/>
      <c r="ES282" s="804"/>
      <c r="ET282" s="804"/>
      <c r="EU282" s="804"/>
      <c r="EV282" s="804"/>
      <c r="EW282" s="808"/>
      <c r="EX282" s="809"/>
      <c r="EY282" s="809"/>
      <c r="EZ282" s="810"/>
      <c r="FA282" s="859"/>
      <c r="FB282" s="809"/>
      <c r="FC282" s="809"/>
      <c r="FD282" s="809"/>
      <c r="FE282" s="853"/>
      <c r="FF282" s="808"/>
      <c r="FG282" s="809"/>
      <c r="FH282" s="809"/>
      <c r="FI282" s="853"/>
      <c r="FJ282" s="812"/>
      <c r="FK282" s="804"/>
      <c r="FL282" s="804"/>
      <c r="FM282" s="804"/>
      <c r="FN282" s="804"/>
      <c r="FO282" s="804"/>
      <c r="FP282" s="804"/>
      <c r="FQ282" s="804"/>
      <c r="FR282" s="804"/>
      <c r="FS282" s="804"/>
      <c r="FT282" s="804"/>
      <c r="FU282" s="804"/>
      <c r="FV282" s="804"/>
      <c r="FW282" s="808"/>
      <c r="FX282" s="809"/>
      <c r="FY282" s="809"/>
      <c r="FZ282" s="810"/>
      <c r="GA282" s="859"/>
      <c r="GB282" s="809"/>
      <c r="GC282" s="809"/>
      <c r="GD282" s="809"/>
      <c r="GE282" s="853"/>
      <c r="GF282" s="808"/>
      <c r="GG282" s="809"/>
      <c r="GH282" s="809"/>
      <c r="GI282" s="853"/>
      <c r="GJ282" s="812"/>
      <c r="GK282" s="804"/>
      <c r="GL282" s="804"/>
      <c r="GM282" s="804"/>
      <c r="GN282" s="804"/>
      <c r="GO282" s="804"/>
      <c r="GP282" s="804"/>
      <c r="GQ282" s="804"/>
      <c r="GR282" s="804"/>
      <c r="GS282" s="804"/>
      <c r="GT282" s="804"/>
      <c r="GU282" s="804"/>
      <c r="GV282" s="804"/>
      <c r="GW282" s="808"/>
      <c r="GX282" s="809"/>
      <c r="GY282" s="809"/>
      <c r="GZ282" s="810"/>
      <c r="HA282" s="859"/>
      <c r="HB282" s="809"/>
      <c r="HC282" s="809"/>
      <c r="HD282" s="809"/>
      <c r="HE282" s="853"/>
      <c r="HF282" s="808"/>
      <c r="HG282" s="809"/>
      <c r="HH282" s="809"/>
      <c r="HI282" s="853"/>
      <c r="HJ282" s="812"/>
      <c r="HK282" s="804"/>
      <c r="HL282" s="804"/>
      <c r="HM282" s="804"/>
      <c r="HN282" s="804"/>
      <c r="HO282" s="804"/>
      <c r="HP282" s="804"/>
      <c r="HQ282" s="804"/>
      <c r="HR282" s="804"/>
      <c r="HS282" s="804"/>
      <c r="HT282" s="804"/>
      <c r="HU282" s="804"/>
      <c r="HV282" s="804"/>
      <c r="HW282" s="808"/>
      <c r="HX282" s="809"/>
      <c r="HY282" s="809"/>
      <c r="HZ282" s="810"/>
      <c r="IA282" s="859"/>
      <c r="IB282" s="809"/>
      <c r="IC282" s="809"/>
      <c r="ID282" s="809"/>
      <c r="IE282" s="853"/>
      <c r="IF282" s="808"/>
      <c r="IG282" s="809"/>
      <c r="IH282" s="809"/>
      <c r="II282" s="853"/>
      <c r="IJ282" s="812"/>
      <c r="IK282" s="804"/>
      <c r="IL282" s="804"/>
      <c r="IM282" s="804"/>
      <c r="IN282" s="804"/>
      <c r="IO282" s="804"/>
      <c r="IP282" s="804"/>
      <c r="IQ282" s="804"/>
      <c r="IR282" s="804"/>
      <c r="IS282" s="804"/>
      <c r="IT282" s="804"/>
      <c r="IU282" s="804"/>
      <c r="IV282" s="804"/>
      <c r="IW282" s="808"/>
      <c r="IX282" s="809"/>
      <c r="IY282" s="809"/>
      <c r="IZ282" s="810"/>
    </row>
    <row r="283" spans="1:260" x14ac:dyDescent="0.25">
      <c r="A283" s="854" t="str">
        <f>IFERROR(INDEX(Lista_Pedidos,Procesos!Y277+A277-1,3),"")</f>
        <v/>
      </c>
      <c r="B283" s="855"/>
      <c r="C283" s="855"/>
      <c r="D283" s="855"/>
      <c r="E283" s="856"/>
      <c r="F283" s="857" t="str">
        <f>IF(Z277&gt;A277-1,E$11,"")</f>
        <v/>
      </c>
      <c r="G283" s="855"/>
      <c r="H283" s="855"/>
      <c r="I283" s="856"/>
      <c r="J283" s="526" t="str">
        <f>IFERROR(IF(IF(Z277&gt;A277-1,INDEX(Lista_Pedidos,Y277+A277-1,J277),"")=0,"",IF(Z277&gt;A277-1,INDEX(Lista_Pedidos,Y277+A277-1,J277),"")),"")</f>
        <v/>
      </c>
      <c r="K283" s="526" t="str">
        <f>IFERROR(IF(IF(Z277&gt;A277-1,INDEX(Lista_Pedidos,Y277+A277-1,K277),"")=0,"",IF(Z277&gt;A277-1,INDEX(Lista_Pedidos,Y277+A277-1,K277),"")),"")</f>
        <v/>
      </c>
      <c r="L283" s="526" t="str">
        <f>IFERROR(IF(IF(Z277&gt;A277-1,INDEX(Lista_Pedidos,Y277+A277-1,L277),"")=0,"",IF(Z277&gt;A277-1,INDEX(Lista_Pedidos,Y277+A277-1,L277),"")),"")</f>
        <v/>
      </c>
      <c r="M283" s="526" t="str">
        <f>IFERROR(IF(IF(Z277&gt;A277-1,INDEX(Lista_Pedidos,Y277+A277-1,M277),"")=0,"",IF(Z277&gt;A277-1,INDEX(Lista_Pedidos,Y277+A277-1,M277),"")),"")</f>
        <v/>
      </c>
      <c r="N283" s="526" t="str">
        <f>IFERROR(IF(IF(Z277&gt;A277-1,INDEX(Lista_Pedidos,Y277+A277-1,N277),"")=0,"",IF(Z277&gt;A277-1,INDEX(Lista_Pedidos,Y277+A277-1,N277),"")),"")</f>
        <v/>
      </c>
      <c r="O283" s="526" t="str">
        <f>IFERROR(IF(IF(Z277&gt;A277-1,INDEX(Lista_Pedidos,Y277+A277-1,O277),"")=0,"",IF(Z277&gt;A277-1,INDEX(Lista_Pedidos,Y277+A277-1,O277),"")),"")</f>
        <v/>
      </c>
      <c r="P283" s="526" t="str">
        <f>IFERROR(IF(IF(Z277&gt;A277-1,INDEX(Lista_Pedidos,Y277+A277-1,P277),"")=0,"",IF(Z277&gt;A277-1,INDEX(Lista_Pedidos,Y277+A277-1,P277),"")),"")</f>
        <v/>
      </c>
      <c r="Q283" s="526" t="str">
        <f>IFERROR(IF(IF(Z277&gt;A277-1,INDEX(Lista_Pedidos,Y277+A277-1,Q277),"")=0,"",IF(Z277&gt;A277-1,INDEX(Lista_Pedidos,Y277+A277-1,Q277),"")),"")</f>
        <v/>
      </c>
      <c r="R283" s="526" t="str">
        <f>IFERROR(IF(IF(Z277&gt;A277-1,INDEX(Lista_Pedidos,Y277+A277-1,R277),"")=0,"",IF(Z277&gt;A277-1,INDEX(Lista_Pedidos,Y277+A277-1,R277),"")),"")</f>
        <v/>
      </c>
      <c r="S283" s="526" t="str">
        <f>IFERROR(IF(IF(Z277&gt;A277-1,INDEX(Lista_Pedidos,Y277+A277-1,S277),"")=0,"",IF(Z277&gt;A277-1,INDEX(Lista_Pedidos,Y277+A277-1,S277),"")),"")</f>
        <v/>
      </c>
      <c r="T283" s="526" t="str">
        <f>IFERROR(IF(IF(Z277&gt;A277-1,INDEX(Lista_Pedidos,Y277+A277-1,T277),"")=0,"",IF(Z277&gt;A277-1,INDEX(Lista_Pedidos,Y277+A277-1,T277),"")),"")</f>
        <v/>
      </c>
      <c r="U283" s="526" t="str">
        <f>IFERROR(IF(IF(Z277&gt;A277-1,INDEX(Lista_Pedidos,Y277+A277-1,U277),"")=0,"",IF(Z277&gt;A277-1,INDEX(Lista_Pedidos,Y277+A277-1,U277),"")),"")</f>
        <v/>
      </c>
      <c r="V283" s="526" t="str">
        <f>IFERROR(IF(IF(Z277&gt;A277-1,INDEX(Lista_Pedidos,Y277+A277-1,V277),"")=0,"",IF(Z277&gt;A277-1,INDEX(Lista_Pedidos,Y277+A277-1,V277),"")),"")</f>
        <v/>
      </c>
      <c r="W283" s="857" t="str">
        <f>IF(SUM(J283:V283)&gt;1,SUM(J283:V283),"")</f>
        <v/>
      </c>
      <c r="X283" s="855"/>
      <c r="Y283" s="855"/>
      <c r="Z283" s="860"/>
      <c r="AA283" s="854" t="str">
        <f>IFERROR(INDEX(Lista_Pedidos,Procesos!AY277+AA277-1,3),"")</f>
        <v/>
      </c>
      <c r="AB283" s="855"/>
      <c r="AC283" s="855"/>
      <c r="AD283" s="855"/>
      <c r="AE283" s="856"/>
      <c r="AF283" s="857" t="str">
        <f>IF(AZ277&gt;AA277-1,AE$11,"")</f>
        <v/>
      </c>
      <c r="AG283" s="855"/>
      <c r="AH283" s="855"/>
      <c r="AI283" s="856"/>
      <c r="AJ283" s="526" t="str">
        <f>IFERROR(IF(IF(AZ277&gt;AA277-1,INDEX(Lista_Pedidos,AY277+AA277-1,AJ277),"")=0,"",IF(AZ277&gt;AA277-1,INDEX(Lista_Pedidos,AY277+AA277-1,AJ277),"")),"")</f>
        <v/>
      </c>
      <c r="AK283" s="526" t="str">
        <f>IFERROR(IF(IF(AZ277&gt;AA277-1,INDEX(Lista_Pedidos,AY277+AA277-1,AK277),"")=0,"",IF(AZ277&gt;AA277-1,INDEX(Lista_Pedidos,AY277+AA277-1,AK277),"")),"")</f>
        <v/>
      </c>
      <c r="AL283" s="526" t="str">
        <f>IFERROR(IF(IF(AZ277&gt;AA277-1,INDEX(Lista_Pedidos,AY277+AA277-1,AL277),"")=0,"",IF(AZ277&gt;AA277-1,INDEX(Lista_Pedidos,AY277+AA277-1,AL277),"")),"")</f>
        <v/>
      </c>
      <c r="AM283" s="526" t="str">
        <f>IFERROR(IF(IF(AZ277&gt;AA277-1,INDEX(Lista_Pedidos,AY277+AA277-1,AM277),"")=0,"",IF(AZ277&gt;AA277-1,INDEX(Lista_Pedidos,AY277+AA277-1,AM277),"")),"")</f>
        <v/>
      </c>
      <c r="AN283" s="526" t="str">
        <f>IFERROR(IF(IF(AZ277&gt;AA277-1,INDEX(Lista_Pedidos,AY277+AA277-1,AN277),"")=0,"",IF(AZ277&gt;AA277-1,INDEX(Lista_Pedidos,AY277+AA277-1,AN277),"")),"")</f>
        <v/>
      </c>
      <c r="AO283" s="526" t="str">
        <f>IFERROR(IF(IF(AZ277&gt;AA277-1,INDEX(Lista_Pedidos,AY277+AA277-1,AO277),"")=0,"",IF(AZ277&gt;AA277-1,INDEX(Lista_Pedidos,AY277+AA277-1,AO277),"")),"")</f>
        <v/>
      </c>
      <c r="AP283" s="526" t="str">
        <f>IFERROR(IF(IF(AZ277&gt;AA277-1,INDEX(Lista_Pedidos,AY277+AA277-1,AP277),"")=0,"",IF(AZ277&gt;AA277-1,INDEX(Lista_Pedidos,AY277+AA277-1,AP277),"")),"")</f>
        <v/>
      </c>
      <c r="AQ283" s="526" t="str">
        <f>IFERROR(IF(IF(AZ277&gt;AA277-1,INDEX(Lista_Pedidos,AY277+AA277-1,AQ277),"")=0,"",IF(AZ277&gt;AA277-1,INDEX(Lista_Pedidos,AY277+AA277-1,AQ277),"")),"")</f>
        <v/>
      </c>
      <c r="AR283" s="526" t="str">
        <f>IFERROR(IF(IF(AZ277&gt;AA277-1,INDEX(Lista_Pedidos,AY277+AA277-1,AR277),"")=0,"",IF(AZ277&gt;AA277-1,INDEX(Lista_Pedidos,AY277+AA277-1,AR277),"")),"")</f>
        <v/>
      </c>
      <c r="AS283" s="526" t="str">
        <f>IFERROR(IF(IF(AZ277&gt;AA277-1,INDEX(Lista_Pedidos,AY277+AA277-1,AS277),"")=0,"",IF(AZ277&gt;AA277-1,INDEX(Lista_Pedidos,AY277+AA277-1,AS277),"")),"")</f>
        <v/>
      </c>
      <c r="AT283" s="526" t="str">
        <f>IFERROR(IF(IF(AZ277&gt;AA277-1,INDEX(Lista_Pedidos,AY277+AA277-1,AT277),"")=0,"",IF(AZ277&gt;AA277-1,INDEX(Lista_Pedidos,AY277+AA277-1,AT277),"")),"")</f>
        <v/>
      </c>
      <c r="AU283" s="526" t="str">
        <f>IFERROR(IF(IF(AZ277&gt;AA277-1,INDEX(Lista_Pedidos,AY277+AA277-1,AU277),"")=0,"",IF(AZ277&gt;AA277-1,INDEX(Lista_Pedidos,AY277+AA277-1,AU277),"")),"")</f>
        <v/>
      </c>
      <c r="AV283" s="526" t="str">
        <f>IFERROR(IF(IF(AZ277&gt;AA277-1,INDEX(Lista_Pedidos,AY277+AA277-1,AV277),"")=0,"",IF(AZ277&gt;AA277-1,INDEX(Lista_Pedidos,AY277+AA277-1,AV277),"")),"")</f>
        <v/>
      </c>
      <c r="AW283" s="857" t="str">
        <f>IF(SUM(AJ283:AV283)&gt;1,SUM(AJ283:AV283),"")</f>
        <v/>
      </c>
      <c r="AX283" s="855"/>
      <c r="AY283" s="855"/>
      <c r="AZ283" s="860"/>
      <c r="BA283" s="854" t="str">
        <f>IFERROR(INDEX(Lista_Pedidos,Procesos!BY277+BA277-1,3),"")</f>
        <v/>
      </c>
      <c r="BB283" s="855"/>
      <c r="BC283" s="855"/>
      <c r="BD283" s="855"/>
      <c r="BE283" s="856"/>
      <c r="BF283" s="857" t="str">
        <f>IF(BZ277&gt;BA277-1,BE$11,"")</f>
        <v/>
      </c>
      <c r="BG283" s="855"/>
      <c r="BH283" s="855"/>
      <c r="BI283" s="856"/>
      <c r="BJ283" s="526" t="str">
        <f>IFERROR(IF(IF(BZ277&gt;BA277-1,INDEX(Lista_Pedidos,BY277+BA277-1,BJ277),"")=0,"",IF(BZ277&gt;BA277-1,INDEX(Lista_Pedidos,BY277+BA277-1,BJ277),"")),"")</f>
        <v/>
      </c>
      <c r="BK283" s="526" t="str">
        <f>IFERROR(IF(IF(BZ277&gt;BA277-1,INDEX(Lista_Pedidos,BY277+BA277-1,BK277),"")=0,"",IF(BZ277&gt;BA277-1,INDEX(Lista_Pedidos,BY277+BA277-1,BK277),"")),"")</f>
        <v/>
      </c>
      <c r="BL283" s="526" t="str">
        <f>IFERROR(IF(IF(BZ277&gt;BA277-1,INDEX(Lista_Pedidos,BY277+BA277-1,BL277),"")=0,"",IF(BZ277&gt;BA277-1,INDEX(Lista_Pedidos,BY277+BA277-1,BL277),"")),"")</f>
        <v/>
      </c>
      <c r="BM283" s="526" t="str">
        <f>IFERROR(IF(IF(BZ277&gt;BA277-1,INDEX(Lista_Pedidos,BY277+BA277-1,BM277),"")=0,"",IF(BZ277&gt;BA277-1,INDEX(Lista_Pedidos,BY277+BA277-1,BM277),"")),"")</f>
        <v/>
      </c>
      <c r="BN283" s="526" t="str">
        <f>IFERROR(IF(IF(BZ277&gt;BA277-1,INDEX(Lista_Pedidos,BY277+BA277-1,BN277),"")=0,"",IF(BZ277&gt;BA277-1,INDEX(Lista_Pedidos,BY277+BA277-1,BN277),"")),"")</f>
        <v/>
      </c>
      <c r="BO283" s="526" t="str">
        <f>IFERROR(IF(IF(BZ277&gt;BA277-1,INDEX(Lista_Pedidos,BY277+BA277-1,BO277),"")=0,"",IF(BZ277&gt;BA277-1,INDEX(Lista_Pedidos,BY277+BA277-1,BO277),"")),"")</f>
        <v/>
      </c>
      <c r="BP283" s="526" t="str">
        <f>IFERROR(IF(IF(BZ277&gt;BA277-1,INDEX(Lista_Pedidos,BY277+BA277-1,BP277),"")=0,"",IF(BZ277&gt;BA277-1,INDEX(Lista_Pedidos,BY277+BA277-1,BP277),"")),"")</f>
        <v/>
      </c>
      <c r="BQ283" s="526" t="str">
        <f>IFERROR(IF(IF(BZ277&gt;BA277-1,INDEX(Lista_Pedidos,BY277+BA277-1,BQ277),"")=0,"",IF(BZ277&gt;BA277-1,INDEX(Lista_Pedidos,BY277+BA277-1,BQ277),"")),"")</f>
        <v/>
      </c>
      <c r="BR283" s="526" t="str">
        <f>IFERROR(IF(IF(BZ277&gt;BA277-1,INDEX(Lista_Pedidos,BY277+BA277-1,BR277),"")=0,"",IF(BZ277&gt;BA277-1,INDEX(Lista_Pedidos,BY277+BA277-1,BR277),"")),"")</f>
        <v/>
      </c>
      <c r="BS283" s="526" t="str">
        <f>IFERROR(IF(IF(BZ277&gt;BA277-1,INDEX(Lista_Pedidos,BY277+BA277-1,BS277),"")=0,"",IF(BZ277&gt;BA277-1,INDEX(Lista_Pedidos,BY277+BA277-1,BS277),"")),"")</f>
        <v/>
      </c>
      <c r="BT283" s="526" t="str">
        <f>IFERROR(IF(IF(BZ277&gt;BA277-1,INDEX(Lista_Pedidos,BY277+BA277-1,BT277),"")=0,"",IF(BZ277&gt;BA277-1,INDEX(Lista_Pedidos,BY277+BA277-1,BT277),"")),"")</f>
        <v/>
      </c>
      <c r="BU283" s="526" t="str">
        <f>IFERROR(IF(IF(BZ277&gt;BA277-1,INDEX(Lista_Pedidos,BY277+BA277-1,BU277),"")=0,"",IF(BZ277&gt;BA277-1,INDEX(Lista_Pedidos,BY277+BA277-1,BU277),"")),"")</f>
        <v/>
      </c>
      <c r="BV283" s="526" t="str">
        <f>IFERROR(IF(IF(BZ277&gt;BA277-1,INDEX(Lista_Pedidos,BY277+BA277-1,BV277),"")=0,"",IF(BZ277&gt;BA277-1,INDEX(Lista_Pedidos,BY277+BA277-1,BV277),"")),"")</f>
        <v/>
      </c>
      <c r="BW283" s="857" t="str">
        <f>IF(SUM(BJ283:BV283)&gt;1,SUM(BJ283:BV283),"")</f>
        <v/>
      </c>
      <c r="BX283" s="855"/>
      <c r="BY283" s="855"/>
      <c r="BZ283" s="860"/>
      <c r="CA283" s="854" t="str">
        <f>IFERROR(INDEX(Lista_Pedidos,Procesos!CY277+CA277-1,3),"")</f>
        <v/>
      </c>
      <c r="CB283" s="855"/>
      <c r="CC283" s="855"/>
      <c r="CD283" s="855"/>
      <c r="CE283" s="856"/>
      <c r="CF283" s="857" t="str">
        <f>IF(CZ277&gt;CA277-1,CE$11,"")</f>
        <v/>
      </c>
      <c r="CG283" s="855"/>
      <c r="CH283" s="855"/>
      <c r="CI283" s="856"/>
      <c r="CJ283" s="526" t="str">
        <f>IFERROR(IF(IF(CZ277&gt;CA277-1,INDEX(Lista_Pedidos,CY277+CA277-1,CJ277),"")=0,"",IF(CZ277&gt;CA277-1,INDEX(Lista_Pedidos,CY277+CA277-1,CJ277),"")),"")</f>
        <v/>
      </c>
      <c r="CK283" s="526" t="str">
        <f>IFERROR(IF(IF(CZ277&gt;CA277-1,INDEX(Lista_Pedidos,CY277+CA277-1,CK277),"")=0,"",IF(CZ277&gt;CA277-1,INDEX(Lista_Pedidos,CY277+CA277-1,CK277),"")),"")</f>
        <v/>
      </c>
      <c r="CL283" s="526" t="str">
        <f>IFERROR(IF(IF(CZ277&gt;CA277-1,INDEX(Lista_Pedidos,CY277+CA277-1,CL277),"")=0,"",IF(CZ277&gt;CA277-1,INDEX(Lista_Pedidos,CY277+CA277-1,CL277),"")),"")</f>
        <v/>
      </c>
      <c r="CM283" s="526" t="str">
        <f>IFERROR(IF(IF(CZ277&gt;CA277-1,INDEX(Lista_Pedidos,CY277+CA277-1,CM277),"")=0,"",IF(CZ277&gt;CA277-1,INDEX(Lista_Pedidos,CY277+CA277-1,CM277),"")),"")</f>
        <v/>
      </c>
      <c r="CN283" s="526" t="str">
        <f>IFERROR(IF(IF(CZ277&gt;CA277-1,INDEX(Lista_Pedidos,CY277+CA277-1,CN277),"")=0,"",IF(CZ277&gt;CA277-1,INDEX(Lista_Pedidos,CY277+CA277-1,CN277),"")),"")</f>
        <v/>
      </c>
      <c r="CO283" s="526" t="str">
        <f>IFERROR(IF(IF(CZ277&gt;CA277-1,INDEX(Lista_Pedidos,CY277+CA277-1,CO277),"")=0,"",IF(CZ277&gt;CA277-1,INDEX(Lista_Pedidos,CY277+CA277-1,CO277),"")),"")</f>
        <v/>
      </c>
      <c r="CP283" s="526" t="str">
        <f>IFERROR(IF(IF(CZ277&gt;CA277-1,INDEX(Lista_Pedidos,CY277+CA277-1,CP277),"")=0,"",IF(CZ277&gt;CA277-1,INDEX(Lista_Pedidos,CY277+CA277-1,CP277),"")),"")</f>
        <v/>
      </c>
      <c r="CQ283" s="526" t="str">
        <f>IFERROR(IF(IF(CZ277&gt;CA277-1,INDEX(Lista_Pedidos,CY277+CA277-1,CQ277),"")=0,"",IF(CZ277&gt;CA277-1,INDEX(Lista_Pedidos,CY277+CA277-1,CQ277),"")),"")</f>
        <v/>
      </c>
      <c r="CR283" s="526" t="str">
        <f>IFERROR(IF(IF(CZ277&gt;CA277-1,INDEX(Lista_Pedidos,CY277+CA277-1,CR277),"")=0,"",IF(CZ277&gt;CA277-1,INDEX(Lista_Pedidos,CY277+CA277-1,CR277),"")),"")</f>
        <v/>
      </c>
      <c r="CS283" s="526" t="str">
        <f>IFERROR(IF(IF(CZ277&gt;CA277-1,INDEX(Lista_Pedidos,CY277+CA277-1,CS277),"")=0,"",IF(CZ277&gt;CA277-1,INDEX(Lista_Pedidos,CY277+CA277-1,CS277),"")),"")</f>
        <v/>
      </c>
      <c r="CT283" s="526" t="str">
        <f>IFERROR(IF(IF(CZ277&gt;CA277-1,INDEX(Lista_Pedidos,CY277+CA277-1,CT277),"")=0,"",IF(CZ277&gt;CA277-1,INDEX(Lista_Pedidos,CY277+CA277-1,CT277),"")),"")</f>
        <v/>
      </c>
      <c r="CU283" s="526" t="str">
        <f>IFERROR(IF(IF(CZ277&gt;CA277-1,INDEX(Lista_Pedidos,CY277+CA277-1,CU277),"")=0,"",IF(CZ277&gt;CA277-1,INDEX(Lista_Pedidos,CY277+CA277-1,CU277),"")),"")</f>
        <v/>
      </c>
      <c r="CV283" s="526" t="str">
        <f>IFERROR(IF(IF(CZ277&gt;CA277-1,INDEX(Lista_Pedidos,CY277+CA277-1,CV277),"")=0,"",IF(CZ277&gt;CA277-1,INDEX(Lista_Pedidos,CY277+CA277-1,CV277),"")),"")</f>
        <v/>
      </c>
      <c r="CW283" s="857" t="str">
        <f>IF(SUM(CJ283:CV283)&gt;1,SUM(CJ283:CV283),"")</f>
        <v/>
      </c>
      <c r="CX283" s="855"/>
      <c r="CY283" s="855"/>
      <c r="CZ283" s="860"/>
      <c r="DA283" s="854" t="str">
        <f>IFERROR(INDEX(Lista_Pedidos,Procesos!DY277+DA277-1,3),"")</f>
        <v/>
      </c>
      <c r="DB283" s="855"/>
      <c r="DC283" s="855"/>
      <c r="DD283" s="855"/>
      <c r="DE283" s="856"/>
      <c r="DF283" s="857" t="str">
        <f>IF(DZ277&gt;DA277-1,DE$11,"")</f>
        <v/>
      </c>
      <c r="DG283" s="855"/>
      <c r="DH283" s="855"/>
      <c r="DI283" s="856"/>
      <c r="DJ283" s="526" t="str">
        <f>IFERROR(IF(IF(DZ277&gt;DA277-1,INDEX(Lista_Pedidos,DY277+DA277-1,DJ277),"")=0,"",IF(DZ277&gt;DA277-1,INDEX(Lista_Pedidos,DY277+DA277-1,DJ277),"")),"")</f>
        <v/>
      </c>
      <c r="DK283" s="526" t="str">
        <f>IFERROR(IF(IF(DZ277&gt;DA277-1,INDEX(Lista_Pedidos,DY277+DA277-1,DK277),"")=0,"",IF(DZ277&gt;DA277-1,INDEX(Lista_Pedidos,DY277+DA277-1,DK277),"")),"")</f>
        <v/>
      </c>
      <c r="DL283" s="526" t="str">
        <f>IFERROR(IF(IF(DZ277&gt;DA277-1,INDEX(Lista_Pedidos,DY277+DA277-1,DL277),"")=0,"",IF(DZ277&gt;DA277-1,INDEX(Lista_Pedidos,DY277+DA277-1,DL277),"")),"")</f>
        <v/>
      </c>
      <c r="DM283" s="526" t="str">
        <f>IFERROR(IF(IF(DZ277&gt;DA277-1,INDEX(Lista_Pedidos,DY277+DA277-1,DM277),"")=0,"",IF(DZ277&gt;DA277-1,INDEX(Lista_Pedidos,DY277+DA277-1,DM277),"")),"")</f>
        <v/>
      </c>
      <c r="DN283" s="526" t="str">
        <f>IFERROR(IF(IF(DZ277&gt;DA277-1,INDEX(Lista_Pedidos,DY277+DA277-1,DN277),"")=0,"",IF(DZ277&gt;DA277-1,INDEX(Lista_Pedidos,DY277+DA277-1,DN277),"")),"")</f>
        <v/>
      </c>
      <c r="DO283" s="526" t="str">
        <f>IFERROR(IF(IF(DZ277&gt;DA277-1,INDEX(Lista_Pedidos,DY277+DA277-1,DO277),"")=0,"",IF(DZ277&gt;DA277-1,INDEX(Lista_Pedidos,DY277+DA277-1,DO277),"")),"")</f>
        <v/>
      </c>
      <c r="DP283" s="526" t="str">
        <f>IFERROR(IF(IF(DZ277&gt;DA277-1,INDEX(Lista_Pedidos,DY277+DA277-1,DP277),"")=0,"",IF(DZ277&gt;DA277-1,INDEX(Lista_Pedidos,DY277+DA277-1,DP277),"")),"")</f>
        <v/>
      </c>
      <c r="DQ283" s="526" t="str">
        <f>IFERROR(IF(IF(DZ277&gt;DA277-1,INDEX(Lista_Pedidos,DY277+DA277-1,DQ277),"")=0,"",IF(DZ277&gt;DA277-1,INDEX(Lista_Pedidos,DY277+DA277-1,DQ277),"")),"")</f>
        <v/>
      </c>
      <c r="DR283" s="526" t="str">
        <f>IFERROR(IF(IF(DZ277&gt;DA277-1,INDEX(Lista_Pedidos,DY277+DA277-1,DR277),"")=0,"",IF(DZ277&gt;DA277-1,INDEX(Lista_Pedidos,DY277+DA277-1,DR277),"")),"")</f>
        <v/>
      </c>
      <c r="DS283" s="526" t="str">
        <f>IFERROR(IF(IF(DZ277&gt;DA277-1,INDEX(Lista_Pedidos,DY277+DA277-1,DS277),"")=0,"",IF(DZ277&gt;DA277-1,INDEX(Lista_Pedidos,DY277+DA277-1,DS277),"")),"")</f>
        <v/>
      </c>
      <c r="DT283" s="526" t="str">
        <f>IFERROR(IF(IF(DZ277&gt;DA277-1,INDEX(Lista_Pedidos,DY277+DA277-1,DT277),"")=0,"",IF(DZ277&gt;DA277-1,INDEX(Lista_Pedidos,DY277+DA277-1,DT277),"")),"")</f>
        <v/>
      </c>
      <c r="DU283" s="526" t="str">
        <f>IFERROR(IF(IF(DZ277&gt;DA277-1,INDEX(Lista_Pedidos,DY277+DA277-1,DU277),"")=0,"",IF(DZ277&gt;DA277-1,INDEX(Lista_Pedidos,DY277+DA277-1,DU277),"")),"")</f>
        <v/>
      </c>
      <c r="DV283" s="526" t="str">
        <f>IFERROR(IF(IF(DZ277&gt;DA277-1,INDEX(Lista_Pedidos,DY277+DA277-1,DV277),"")=0,"",IF(DZ277&gt;DA277-1,INDEX(Lista_Pedidos,DY277+DA277-1,DV277),"")),"")</f>
        <v/>
      </c>
      <c r="DW283" s="857" t="str">
        <f>IF(SUM(DJ283:DV283)&gt;1,SUM(DJ283:DV283),"")</f>
        <v/>
      </c>
      <c r="DX283" s="855"/>
      <c r="DY283" s="855"/>
      <c r="DZ283" s="860"/>
      <c r="EA283" s="854" t="str">
        <f>IFERROR(INDEX(Lista_Pedidos,Procesos!EY277+EA277-1,3),"")</f>
        <v/>
      </c>
      <c r="EB283" s="855"/>
      <c r="EC283" s="855"/>
      <c r="ED283" s="855"/>
      <c r="EE283" s="856"/>
      <c r="EF283" s="857" t="str">
        <f>IF(EZ277&gt;EA277-1,EE$11,"")</f>
        <v/>
      </c>
      <c r="EG283" s="855"/>
      <c r="EH283" s="855"/>
      <c r="EI283" s="856"/>
      <c r="EJ283" s="526" t="str">
        <f>IFERROR(IF(IF(EZ277&gt;EA277-1,INDEX(Lista_Pedidos,EY277+EA277-1,EJ277),"")=0,"",IF(EZ277&gt;EA277-1,INDEX(Lista_Pedidos,EY277+EA277-1,EJ277),"")),"")</f>
        <v/>
      </c>
      <c r="EK283" s="526" t="str">
        <f>IFERROR(IF(IF(EZ277&gt;EA277-1,INDEX(Lista_Pedidos,EY277+EA277-1,EK277),"")=0,"",IF(EZ277&gt;EA277-1,INDEX(Lista_Pedidos,EY277+EA277-1,EK277),"")),"")</f>
        <v/>
      </c>
      <c r="EL283" s="526" t="str">
        <f>IFERROR(IF(IF(EZ277&gt;EA277-1,INDEX(Lista_Pedidos,EY277+EA277-1,EL277),"")=0,"",IF(EZ277&gt;EA277-1,INDEX(Lista_Pedidos,EY277+EA277-1,EL277),"")),"")</f>
        <v/>
      </c>
      <c r="EM283" s="526" t="str">
        <f>IFERROR(IF(IF(EZ277&gt;EA277-1,INDEX(Lista_Pedidos,EY277+EA277-1,EM277),"")=0,"",IF(EZ277&gt;EA277-1,INDEX(Lista_Pedidos,EY277+EA277-1,EM277),"")),"")</f>
        <v/>
      </c>
      <c r="EN283" s="526" t="str">
        <f>IFERROR(IF(IF(EZ277&gt;EA277-1,INDEX(Lista_Pedidos,EY277+EA277-1,EN277),"")=0,"",IF(EZ277&gt;EA277-1,INDEX(Lista_Pedidos,EY277+EA277-1,EN277),"")),"")</f>
        <v/>
      </c>
      <c r="EO283" s="526" t="str">
        <f>IFERROR(IF(IF(EZ277&gt;EA277-1,INDEX(Lista_Pedidos,EY277+EA277-1,EO277),"")=0,"",IF(EZ277&gt;EA277-1,INDEX(Lista_Pedidos,EY277+EA277-1,EO277),"")),"")</f>
        <v/>
      </c>
      <c r="EP283" s="526" t="str">
        <f>IFERROR(IF(IF(EZ277&gt;EA277-1,INDEX(Lista_Pedidos,EY277+EA277-1,EP277),"")=0,"",IF(EZ277&gt;EA277-1,INDEX(Lista_Pedidos,EY277+EA277-1,EP277),"")),"")</f>
        <v/>
      </c>
      <c r="EQ283" s="526" t="str">
        <f>IFERROR(IF(IF(EZ277&gt;EA277-1,INDEX(Lista_Pedidos,EY277+EA277-1,EQ277),"")=0,"",IF(EZ277&gt;EA277-1,INDEX(Lista_Pedidos,EY277+EA277-1,EQ277),"")),"")</f>
        <v/>
      </c>
      <c r="ER283" s="526" t="str">
        <f>IFERROR(IF(IF(EZ277&gt;EA277-1,INDEX(Lista_Pedidos,EY277+EA277-1,ER277),"")=0,"",IF(EZ277&gt;EA277-1,INDEX(Lista_Pedidos,EY277+EA277-1,ER277),"")),"")</f>
        <v/>
      </c>
      <c r="ES283" s="526" t="str">
        <f>IFERROR(IF(IF(EZ277&gt;EA277-1,INDEX(Lista_Pedidos,EY277+EA277-1,ES277),"")=0,"",IF(EZ277&gt;EA277-1,INDEX(Lista_Pedidos,EY277+EA277-1,ES277),"")),"")</f>
        <v/>
      </c>
      <c r="ET283" s="526" t="str">
        <f>IFERROR(IF(IF(EZ277&gt;EA277-1,INDEX(Lista_Pedidos,EY277+EA277-1,ET277),"")=0,"",IF(EZ277&gt;EA277-1,INDEX(Lista_Pedidos,EY277+EA277-1,ET277),"")),"")</f>
        <v/>
      </c>
      <c r="EU283" s="526" t="str">
        <f>IFERROR(IF(IF(EZ277&gt;EA277-1,INDEX(Lista_Pedidos,EY277+EA277-1,EU277),"")=0,"",IF(EZ277&gt;EA277-1,INDEX(Lista_Pedidos,EY277+EA277-1,EU277),"")),"")</f>
        <v/>
      </c>
      <c r="EV283" s="526" t="str">
        <f>IFERROR(IF(IF(EZ277&gt;EA277-1,INDEX(Lista_Pedidos,EY277+EA277-1,EV277),"")=0,"",IF(EZ277&gt;EA277-1,INDEX(Lista_Pedidos,EY277+EA277-1,EV277),"")),"")</f>
        <v/>
      </c>
      <c r="EW283" s="857" t="str">
        <f>IF(SUM(EJ283:EV283)&gt;1,SUM(EJ283:EV283),"")</f>
        <v/>
      </c>
      <c r="EX283" s="855"/>
      <c r="EY283" s="855"/>
      <c r="EZ283" s="860"/>
      <c r="FA283" s="854" t="str">
        <f>IFERROR(INDEX(Lista_Pedidos,Procesos!FY277+FA277-1,3),"")</f>
        <v/>
      </c>
      <c r="FB283" s="855"/>
      <c r="FC283" s="855"/>
      <c r="FD283" s="855"/>
      <c r="FE283" s="856"/>
      <c r="FF283" s="857" t="str">
        <f>IF(FZ277&gt;FA277-1,FE$11,"")</f>
        <v/>
      </c>
      <c r="FG283" s="855"/>
      <c r="FH283" s="855"/>
      <c r="FI283" s="856"/>
      <c r="FJ283" s="526" t="str">
        <f>IFERROR(IF(IF(FZ277&gt;FA277-1,INDEX(Lista_Pedidos,FY277+FA277-1,FJ277),"")=0,"",IF(FZ277&gt;FA277-1,INDEX(Lista_Pedidos,FY277+FA277-1,FJ277),"")),"")</f>
        <v/>
      </c>
      <c r="FK283" s="526" t="str">
        <f>IFERROR(IF(IF(FZ277&gt;FA277-1,INDEX(Lista_Pedidos,FY277+FA277-1,FK277),"")=0,"",IF(FZ277&gt;FA277-1,INDEX(Lista_Pedidos,FY277+FA277-1,FK277),"")),"")</f>
        <v/>
      </c>
      <c r="FL283" s="526" t="str">
        <f>IFERROR(IF(IF(FZ277&gt;FA277-1,INDEX(Lista_Pedidos,FY277+FA277-1,FL277),"")=0,"",IF(FZ277&gt;FA277-1,INDEX(Lista_Pedidos,FY277+FA277-1,FL277),"")),"")</f>
        <v/>
      </c>
      <c r="FM283" s="526" t="str">
        <f>IFERROR(IF(IF(FZ277&gt;FA277-1,INDEX(Lista_Pedidos,FY277+FA277-1,FM277),"")=0,"",IF(FZ277&gt;FA277-1,INDEX(Lista_Pedidos,FY277+FA277-1,FM277),"")),"")</f>
        <v/>
      </c>
      <c r="FN283" s="526" t="str">
        <f>IFERROR(IF(IF(FZ277&gt;FA277-1,INDEX(Lista_Pedidos,FY277+FA277-1,FN277),"")=0,"",IF(FZ277&gt;FA277-1,INDEX(Lista_Pedidos,FY277+FA277-1,FN277),"")),"")</f>
        <v/>
      </c>
      <c r="FO283" s="526" t="str">
        <f>IFERROR(IF(IF(FZ277&gt;FA277-1,INDEX(Lista_Pedidos,FY277+FA277-1,FO277),"")=0,"",IF(FZ277&gt;FA277-1,INDEX(Lista_Pedidos,FY277+FA277-1,FO277),"")),"")</f>
        <v/>
      </c>
      <c r="FP283" s="526" t="str">
        <f>IFERROR(IF(IF(FZ277&gt;FA277-1,INDEX(Lista_Pedidos,FY277+FA277-1,FP277),"")=0,"",IF(FZ277&gt;FA277-1,INDEX(Lista_Pedidos,FY277+FA277-1,FP277),"")),"")</f>
        <v/>
      </c>
      <c r="FQ283" s="526" t="str">
        <f>IFERROR(IF(IF(FZ277&gt;FA277-1,INDEX(Lista_Pedidos,FY277+FA277-1,FQ277),"")=0,"",IF(FZ277&gt;FA277-1,INDEX(Lista_Pedidos,FY277+FA277-1,FQ277),"")),"")</f>
        <v/>
      </c>
      <c r="FR283" s="526" t="str">
        <f>IFERROR(IF(IF(FZ277&gt;FA277-1,INDEX(Lista_Pedidos,FY277+FA277-1,FR277),"")=0,"",IF(FZ277&gt;FA277-1,INDEX(Lista_Pedidos,FY277+FA277-1,FR277),"")),"")</f>
        <v/>
      </c>
      <c r="FS283" s="526" t="str">
        <f>IFERROR(IF(IF(FZ277&gt;FA277-1,INDEX(Lista_Pedidos,FY277+FA277-1,FS277),"")=0,"",IF(FZ277&gt;FA277-1,INDEX(Lista_Pedidos,FY277+FA277-1,FS277),"")),"")</f>
        <v/>
      </c>
      <c r="FT283" s="526" t="str">
        <f>IFERROR(IF(IF(FZ277&gt;FA277-1,INDEX(Lista_Pedidos,FY277+FA277-1,FT277),"")=0,"",IF(FZ277&gt;FA277-1,INDEX(Lista_Pedidos,FY277+FA277-1,FT277),"")),"")</f>
        <v/>
      </c>
      <c r="FU283" s="526" t="str">
        <f>IFERROR(IF(IF(FZ277&gt;FA277-1,INDEX(Lista_Pedidos,FY277+FA277-1,FU277),"")=0,"",IF(FZ277&gt;FA277-1,INDEX(Lista_Pedidos,FY277+FA277-1,FU277),"")),"")</f>
        <v/>
      </c>
      <c r="FV283" s="526" t="str">
        <f>IFERROR(IF(IF(FZ277&gt;FA277-1,INDEX(Lista_Pedidos,FY277+FA277-1,FV277),"")=0,"",IF(FZ277&gt;FA277-1,INDEX(Lista_Pedidos,FY277+FA277-1,FV277),"")),"")</f>
        <v/>
      </c>
      <c r="FW283" s="857" t="str">
        <f>IF(SUM(FJ283:FV283)&gt;1,SUM(FJ283:FV283),"")</f>
        <v/>
      </c>
      <c r="FX283" s="855"/>
      <c r="FY283" s="855"/>
      <c r="FZ283" s="860"/>
      <c r="GA283" s="854" t="str">
        <f>IFERROR(INDEX(Lista_Pedidos,Procesos!GY277+GA277-1,3),"")</f>
        <v/>
      </c>
      <c r="GB283" s="855"/>
      <c r="GC283" s="855"/>
      <c r="GD283" s="855"/>
      <c r="GE283" s="856"/>
      <c r="GF283" s="857" t="str">
        <f>IF(GZ277&gt;GA277-1,GE$11,"")</f>
        <v/>
      </c>
      <c r="GG283" s="855"/>
      <c r="GH283" s="855"/>
      <c r="GI283" s="856"/>
      <c r="GJ283" s="526" t="str">
        <f>IFERROR(IF(IF(GZ277&gt;GA277-1,INDEX(Lista_Pedidos,GY277+GA277-1,GJ277),"")=0,"",IF(GZ277&gt;GA277-1,INDEX(Lista_Pedidos,GY277+GA277-1,GJ277),"")),"")</f>
        <v/>
      </c>
      <c r="GK283" s="526" t="str">
        <f>IFERROR(IF(IF(GZ277&gt;GA277-1,INDEX(Lista_Pedidos,GY277+GA277-1,GK277),"")=0,"",IF(GZ277&gt;GA277-1,INDEX(Lista_Pedidos,GY277+GA277-1,GK277),"")),"")</f>
        <v/>
      </c>
      <c r="GL283" s="526" t="str">
        <f>IFERROR(IF(IF(GZ277&gt;GA277-1,INDEX(Lista_Pedidos,GY277+GA277-1,GL277),"")=0,"",IF(GZ277&gt;GA277-1,INDEX(Lista_Pedidos,GY277+GA277-1,GL277),"")),"")</f>
        <v/>
      </c>
      <c r="GM283" s="526" t="str">
        <f>IFERROR(IF(IF(GZ277&gt;GA277-1,INDEX(Lista_Pedidos,GY277+GA277-1,GM277),"")=0,"",IF(GZ277&gt;GA277-1,INDEX(Lista_Pedidos,GY277+GA277-1,GM277),"")),"")</f>
        <v/>
      </c>
      <c r="GN283" s="526" t="str">
        <f>IFERROR(IF(IF(GZ277&gt;GA277-1,INDEX(Lista_Pedidos,GY277+GA277-1,GN277),"")=0,"",IF(GZ277&gt;GA277-1,INDEX(Lista_Pedidos,GY277+GA277-1,GN277),"")),"")</f>
        <v/>
      </c>
      <c r="GO283" s="526" t="str">
        <f>IFERROR(IF(IF(GZ277&gt;GA277-1,INDEX(Lista_Pedidos,GY277+GA277-1,GO277),"")=0,"",IF(GZ277&gt;GA277-1,INDEX(Lista_Pedidos,GY277+GA277-1,GO277),"")),"")</f>
        <v/>
      </c>
      <c r="GP283" s="526" t="str">
        <f>IFERROR(IF(IF(GZ277&gt;GA277-1,INDEX(Lista_Pedidos,GY277+GA277-1,GP277),"")=0,"",IF(GZ277&gt;GA277-1,INDEX(Lista_Pedidos,GY277+GA277-1,GP277),"")),"")</f>
        <v/>
      </c>
      <c r="GQ283" s="526" t="str">
        <f>IFERROR(IF(IF(GZ277&gt;GA277-1,INDEX(Lista_Pedidos,GY277+GA277-1,GQ277),"")=0,"",IF(GZ277&gt;GA277-1,INDEX(Lista_Pedidos,GY277+GA277-1,GQ277),"")),"")</f>
        <v/>
      </c>
      <c r="GR283" s="526" t="str">
        <f>IFERROR(IF(IF(GZ277&gt;GA277-1,INDEX(Lista_Pedidos,GY277+GA277-1,GR277),"")=0,"",IF(GZ277&gt;GA277-1,INDEX(Lista_Pedidos,GY277+GA277-1,GR277),"")),"")</f>
        <v/>
      </c>
      <c r="GS283" s="526" t="str">
        <f>IFERROR(IF(IF(GZ277&gt;GA277-1,INDEX(Lista_Pedidos,GY277+GA277-1,GS277),"")=0,"",IF(GZ277&gt;GA277-1,INDEX(Lista_Pedidos,GY277+GA277-1,GS277),"")),"")</f>
        <v/>
      </c>
      <c r="GT283" s="526" t="str">
        <f>IFERROR(IF(IF(GZ277&gt;GA277-1,INDEX(Lista_Pedidos,GY277+GA277-1,GT277),"")=0,"",IF(GZ277&gt;GA277-1,INDEX(Lista_Pedidos,GY277+GA277-1,GT277),"")),"")</f>
        <v/>
      </c>
      <c r="GU283" s="526" t="str">
        <f>IFERROR(IF(IF(GZ277&gt;GA277-1,INDEX(Lista_Pedidos,GY277+GA277-1,GU277),"")=0,"",IF(GZ277&gt;GA277-1,INDEX(Lista_Pedidos,GY277+GA277-1,GU277),"")),"")</f>
        <v/>
      </c>
      <c r="GV283" s="526" t="str">
        <f>IFERROR(IF(IF(GZ277&gt;GA277-1,INDEX(Lista_Pedidos,GY277+GA277-1,GV277),"")=0,"",IF(GZ277&gt;GA277-1,INDEX(Lista_Pedidos,GY277+GA277-1,GV277),"")),"")</f>
        <v/>
      </c>
      <c r="GW283" s="857" t="str">
        <f>IF(SUM(GJ283:GV283)&gt;1,SUM(GJ283:GV283),"")</f>
        <v/>
      </c>
      <c r="GX283" s="855"/>
      <c r="GY283" s="855"/>
      <c r="GZ283" s="860"/>
      <c r="HA283" s="854" t="str">
        <f>IFERROR(INDEX(Lista_Pedidos,Procesos!HY277+HA277-1,3),"")</f>
        <v/>
      </c>
      <c r="HB283" s="855"/>
      <c r="HC283" s="855"/>
      <c r="HD283" s="855"/>
      <c r="HE283" s="856"/>
      <c r="HF283" s="857" t="str">
        <f>IF(HZ277&gt;HA277-1,HE$11,"")</f>
        <v/>
      </c>
      <c r="HG283" s="855"/>
      <c r="HH283" s="855"/>
      <c r="HI283" s="856"/>
      <c r="HJ283" s="526" t="str">
        <f>IFERROR(IF(IF(HZ277&gt;HA277-1,INDEX(Lista_Pedidos,HY277+HA277-1,HJ277),"")=0,"",IF(HZ277&gt;HA277-1,INDEX(Lista_Pedidos,HY277+HA277-1,HJ277),"")),"")</f>
        <v/>
      </c>
      <c r="HK283" s="526" t="str">
        <f>IFERROR(IF(IF(HZ277&gt;HA277-1,INDEX(Lista_Pedidos,HY277+HA277-1,HK277),"")=0,"",IF(HZ277&gt;HA277-1,INDEX(Lista_Pedidos,HY277+HA277-1,HK277),"")),"")</f>
        <v/>
      </c>
      <c r="HL283" s="526" t="str">
        <f>IFERROR(IF(IF(HZ277&gt;HA277-1,INDEX(Lista_Pedidos,HY277+HA277-1,HL277),"")=0,"",IF(HZ277&gt;HA277-1,INDEX(Lista_Pedidos,HY277+HA277-1,HL277),"")),"")</f>
        <v/>
      </c>
      <c r="HM283" s="526" t="str">
        <f>IFERROR(IF(IF(HZ277&gt;HA277-1,INDEX(Lista_Pedidos,HY277+HA277-1,HM277),"")=0,"",IF(HZ277&gt;HA277-1,INDEX(Lista_Pedidos,HY277+HA277-1,HM277),"")),"")</f>
        <v/>
      </c>
      <c r="HN283" s="526" t="str">
        <f>IFERROR(IF(IF(HZ277&gt;HA277-1,INDEX(Lista_Pedidos,HY277+HA277-1,HN277),"")=0,"",IF(HZ277&gt;HA277-1,INDEX(Lista_Pedidos,HY277+HA277-1,HN277),"")),"")</f>
        <v/>
      </c>
      <c r="HO283" s="526" t="str">
        <f>IFERROR(IF(IF(HZ277&gt;HA277-1,INDEX(Lista_Pedidos,HY277+HA277-1,HO277),"")=0,"",IF(HZ277&gt;HA277-1,INDEX(Lista_Pedidos,HY277+HA277-1,HO277),"")),"")</f>
        <v/>
      </c>
      <c r="HP283" s="526" t="str">
        <f>IFERROR(IF(IF(HZ277&gt;HA277-1,INDEX(Lista_Pedidos,HY277+HA277-1,HP277),"")=0,"",IF(HZ277&gt;HA277-1,INDEX(Lista_Pedidos,HY277+HA277-1,HP277),"")),"")</f>
        <v/>
      </c>
      <c r="HQ283" s="526" t="str">
        <f>IFERROR(IF(IF(HZ277&gt;HA277-1,INDEX(Lista_Pedidos,HY277+HA277-1,HQ277),"")=0,"",IF(HZ277&gt;HA277-1,INDEX(Lista_Pedidos,HY277+HA277-1,HQ277),"")),"")</f>
        <v/>
      </c>
      <c r="HR283" s="526" t="str">
        <f>IFERROR(IF(IF(HZ277&gt;HA277-1,INDEX(Lista_Pedidos,HY277+HA277-1,HR277),"")=0,"",IF(HZ277&gt;HA277-1,INDEX(Lista_Pedidos,HY277+HA277-1,HR277),"")),"")</f>
        <v/>
      </c>
      <c r="HS283" s="526" t="str">
        <f>IFERROR(IF(IF(HZ277&gt;HA277-1,INDEX(Lista_Pedidos,HY277+HA277-1,HS277),"")=0,"",IF(HZ277&gt;HA277-1,INDEX(Lista_Pedidos,HY277+HA277-1,HS277),"")),"")</f>
        <v/>
      </c>
      <c r="HT283" s="526" t="str">
        <f>IFERROR(IF(IF(HZ277&gt;HA277-1,INDEX(Lista_Pedidos,HY277+HA277-1,HT277),"")=0,"",IF(HZ277&gt;HA277-1,INDEX(Lista_Pedidos,HY277+HA277-1,HT277),"")),"")</f>
        <v/>
      </c>
      <c r="HU283" s="526" t="str">
        <f>IFERROR(IF(IF(HZ277&gt;HA277-1,INDEX(Lista_Pedidos,HY277+HA277-1,HU277),"")=0,"",IF(HZ277&gt;HA277-1,INDEX(Lista_Pedidos,HY277+HA277-1,HU277),"")),"")</f>
        <v/>
      </c>
      <c r="HV283" s="526" t="str">
        <f>IFERROR(IF(IF(HZ277&gt;HA277-1,INDEX(Lista_Pedidos,HY277+HA277-1,HV277),"")=0,"",IF(HZ277&gt;HA277-1,INDEX(Lista_Pedidos,HY277+HA277-1,HV277),"")),"")</f>
        <v/>
      </c>
      <c r="HW283" s="857" t="str">
        <f>IF(SUM(HJ283:HV283)&gt;1,SUM(HJ283:HV283),"")</f>
        <v/>
      </c>
      <c r="HX283" s="855"/>
      <c r="HY283" s="855"/>
      <c r="HZ283" s="860"/>
      <c r="IA283" s="854" t="str">
        <f>IFERROR(INDEX(Lista_Pedidos,Procesos!IY277+IA277-1,3),"")</f>
        <v/>
      </c>
      <c r="IB283" s="855"/>
      <c r="IC283" s="855"/>
      <c r="ID283" s="855"/>
      <c r="IE283" s="856"/>
      <c r="IF283" s="857" t="str">
        <f>IF(IZ277&gt;IA277-1,IE$11,"")</f>
        <v/>
      </c>
      <c r="IG283" s="855"/>
      <c r="IH283" s="855"/>
      <c r="II283" s="856"/>
      <c r="IJ283" s="526" t="str">
        <f>IFERROR(IF(IF(IZ277&gt;IA277-1,INDEX(Lista_Pedidos,IY277+IA277-1,IJ277),"")=0,"",IF(IZ277&gt;IA277-1,INDEX(Lista_Pedidos,IY277+IA277-1,IJ277),"")),"")</f>
        <v/>
      </c>
      <c r="IK283" s="526" t="str">
        <f>IFERROR(IF(IF(IZ277&gt;IA277-1,INDEX(Lista_Pedidos,IY277+IA277-1,IK277),"")=0,"",IF(IZ277&gt;IA277-1,INDEX(Lista_Pedidos,IY277+IA277-1,IK277),"")),"")</f>
        <v/>
      </c>
      <c r="IL283" s="526" t="str">
        <f>IFERROR(IF(IF(IZ277&gt;IA277-1,INDEX(Lista_Pedidos,IY277+IA277-1,IL277),"")=0,"",IF(IZ277&gt;IA277-1,INDEX(Lista_Pedidos,IY277+IA277-1,IL277),"")),"")</f>
        <v/>
      </c>
      <c r="IM283" s="526" t="str">
        <f>IFERROR(IF(IF(IZ277&gt;IA277-1,INDEX(Lista_Pedidos,IY277+IA277-1,IM277),"")=0,"",IF(IZ277&gt;IA277-1,INDEX(Lista_Pedidos,IY277+IA277-1,IM277),"")),"")</f>
        <v/>
      </c>
      <c r="IN283" s="526" t="str">
        <f>IFERROR(IF(IF(IZ277&gt;IA277-1,INDEX(Lista_Pedidos,IY277+IA277-1,IN277),"")=0,"",IF(IZ277&gt;IA277-1,INDEX(Lista_Pedidos,IY277+IA277-1,IN277),"")),"")</f>
        <v/>
      </c>
      <c r="IO283" s="526" t="str">
        <f>IFERROR(IF(IF(IZ277&gt;IA277-1,INDEX(Lista_Pedidos,IY277+IA277-1,IO277),"")=0,"",IF(IZ277&gt;IA277-1,INDEX(Lista_Pedidos,IY277+IA277-1,IO277),"")),"")</f>
        <v/>
      </c>
      <c r="IP283" s="526" t="str">
        <f>IFERROR(IF(IF(IZ277&gt;IA277-1,INDEX(Lista_Pedidos,IY277+IA277-1,IP277),"")=0,"",IF(IZ277&gt;IA277-1,INDEX(Lista_Pedidos,IY277+IA277-1,IP277),"")),"")</f>
        <v/>
      </c>
      <c r="IQ283" s="526" t="str">
        <f>IFERROR(IF(IF(IZ277&gt;IA277-1,INDEX(Lista_Pedidos,IY277+IA277-1,IQ277),"")=0,"",IF(IZ277&gt;IA277-1,INDEX(Lista_Pedidos,IY277+IA277-1,IQ277),"")),"")</f>
        <v/>
      </c>
      <c r="IR283" s="526" t="str">
        <f>IFERROR(IF(IF(IZ277&gt;IA277-1,INDEX(Lista_Pedidos,IY277+IA277-1,IR277),"")=0,"",IF(IZ277&gt;IA277-1,INDEX(Lista_Pedidos,IY277+IA277-1,IR277),"")),"")</f>
        <v/>
      </c>
      <c r="IS283" s="526" t="str">
        <f>IFERROR(IF(IF(IZ277&gt;IA277-1,INDEX(Lista_Pedidos,IY277+IA277-1,IS277),"")=0,"",IF(IZ277&gt;IA277-1,INDEX(Lista_Pedidos,IY277+IA277-1,IS277),"")),"")</f>
        <v/>
      </c>
      <c r="IT283" s="526" t="str">
        <f>IFERROR(IF(IF(IZ277&gt;IA277-1,INDEX(Lista_Pedidos,IY277+IA277-1,IT277),"")=0,"",IF(IZ277&gt;IA277-1,INDEX(Lista_Pedidos,IY277+IA277-1,IT277),"")),"")</f>
        <v/>
      </c>
      <c r="IU283" s="526" t="str">
        <f>IFERROR(IF(IF(IZ277&gt;IA277-1,INDEX(Lista_Pedidos,IY277+IA277-1,IU277),"")=0,"",IF(IZ277&gt;IA277-1,INDEX(Lista_Pedidos,IY277+IA277-1,IU277),"")),"")</f>
        <v/>
      </c>
      <c r="IV283" s="526" t="str">
        <f>IFERROR(IF(IF(IZ277&gt;IA277-1,INDEX(Lista_Pedidos,IY277+IA277-1,IV277),"")=0,"",IF(IZ277&gt;IA277-1,INDEX(Lista_Pedidos,IY277+IA277-1,IV277),"")),"")</f>
        <v/>
      </c>
      <c r="IW283" s="857" t="str">
        <f>IF(SUM(IJ283:IV283)&gt;1,SUM(IJ283:IV283),"")</f>
        <v/>
      </c>
      <c r="IX283" s="855"/>
      <c r="IY283" s="855"/>
      <c r="IZ283" s="860"/>
    </row>
    <row r="284" spans="1:260" x14ac:dyDescent="0.25">
      <c r="A284" s="823"/>
      <c r="B284" s="824"/>
      <c r="C284" s="824"/>
      <c r="D284" s="824"/>
      <c r="E284" s="824"/>
      <c r="F284" s="824"/>
      <c r="G284" s="824"/>
      <c r="H284" s="824"/>
      <c r="I284" s="824"/>
      <c r="J284" s="824"/>
      <c r="K284" s="824"/>
      <c r="L284" s="824"/>
      <c r="M284" s="824"/>
      <c r="N284" s="824"/>
      <c r="O284" s="824"/>
      <c r="P284" s="824"/>
      <c r="Q284" s="824"/>
      <c r="R284" s="824"/>
      <c r="S284" s="824"/>
      <c r="T284" s="824"/>
      <c r="U284" s="824"/>
      <c r="V284" s="824"/>
      <c r="W284" s="824" t="str">
        <f>IFERROR(IF(Z277&gt;A277-1,IF(INDEX(Lista_Pedidos,Y277+A277-1,2)&lt;&gt;"",INDEX(Lista_Pedidos,Y277+A277-1,2),""),""),"")</f>
        <v/>
      </c>
      <c r="X284" s="824"/>
      <c r="Y284" s="824"/>
      <c r="Z284" s="825"/>
      <c r="AA284" s="823"/>
      <c r="AB284" s="824"/>
      <c r="AC284" s="824"/>
      <c r="AD284" s="824"/>
      <c r="AE284" s="824"/>
      <c r="AF284" s="824"/>
      <c r="AG284" s="824"/>
      <c r="AH284" s="824"/>
      <c r="AI284" s="824"/>
      <c r="AJ284" s="824"/>
      <c r="AK284" s="824"/>
      <c r="AL284" s="824"/>
      <c r="AM284" s="824"/>
      <c r="AN284" s="824"/>
      <c r="AO284" s="824"/>
      <c r="AP284" s="824"/>
      <c r="AQ284" s="824"/>
      <c r="AR284" s="824"/>
      <c r="AS284" s="824"/>
      <c r="AT284" s="824"/>
      <c r="AU284" s="824"/>
      <c r="AV284" s="824"/>
      <c r="AW284" s="824" t="str">
        <f>IFERROR(IF(AZ277&gt;AA277-1,IF(INDEX(Lista_Pedidos,AY277+AA277-1,2)&lt;&gt;"",INDEX(Lista_Pedidos,AY277+AA277-1,2),""),""),"")</f>
        <v/>
      </c>
      <c r="AX284" s="824"/>
      <c r="AY284" s="824"/>
      <c r="AZ284" s="825"/>
      <c r="BA284" s="823"/>
      <c r="BB284" s="824"/>
      <c r="BC284" s="824"/>
      <c r="BD284" s="824"/>
      <c r="BE284" s="824"/>
      <c r="BF284" s="824"/>
      <c r="BG284" s="824"/>
      <c r="BH284" s="824"/>
      <c r="BI284" s="824"/>
      <c r="BJ284" s="824"/>
      <c r="BK284" s="824"/>
      <c r="BL284" s="824"/>
      <c r="BM284" s="824"/>
      <c r="BN284" s="824"/>
      <c r="BO284" s="824"/>
      <c r="BP284" s="824"/>
      <c r="BQ284" s="824"/>
      <c r="BR284" s="824"/>
      <c r="BS284" s="824"/>
      <c r="BT284" s="824"/>
      <c r="BU284" s="824"/>
      <c r="BV284" s="824"/>
      <c r="BW284" s="824" t="str">
        <f>IFERROR(IF(BZ277&gt;BA277-1,IF(INDEX(Lista_Pedidos,BY277+BA277-1,2)&lt;&gt;"",INDEX(Lista_Pedidos,BY277+BA277-1,2),""),""),"")</f>
        <v/>
      </c>
      <c r="BX284" s="824"/>
      <c r="BY284" s="824"/>
      <c r="BZ284" s="825"/>
      <c r="CA284" s="823"/>
      <c r="CB284" s="824"/>
      <c r="CC284" s="824"/>
      <c r="CD284" s="824"/>
      <c r="CE284" s="824"/>
      <c r="CF284" s="824"/>
      <c r="CG284" s="824"/>
      <c r="CH284" s="824"/>
      <c r="CI284" s="824"/>
      <c r="CJ284" s="824"/>
      <c r="CK284" s="824"/>
      <c r="CL284" s="824"/>
      <c r="CM284" s="824"/>
      <c r="CN284" s="824"/>
      <c r="CO284" s="824"/>
      <c r="CP284" s="824"/>
      <c r="CQ284" s="824"/>
      <c r="CR284" s="824"/>
      <c r="CS284" s="824"/>
      <c r="CT284" s="824"/>
      <c r="CU284" s="824"/>
      <c r="CV284" s="824"/>
      <c r="CW284" s="824" t="str">
        <f>IFERROR(IF(CZ277&gt;CA277-1,IF(INDEX(Lista_Pedidos,CY277+CA277-1,2)&lt;&gt;"",INDEX(Lista_Pedidos,CY277+CA277-1,2),""),""),"")</f>
        <v/>
      </c>
      <c r="CX284" s="824"/>
      <c r="CY284" s="824"/>
      <c r="CZ284" s="825"/>
      <c r="DA284" s="823"/>
      <c r="DB284" s="824"/>
      <c r="DC284" s="824"/>
      <c r="DD284" s="824"/>
      <c r="DE284" s="824"/>
      <c r="DF284" s="824"/>
      <c r="DG284" s="824"/>
      <c r="DH284" s="824"/>
      <c r="DI284" s="824"/>
      <c r="DJ284" s="824"/>
      <c r="DK284" s="824"/>
      <c r="DL284" s="824"/>
      <c r="DM284" s="824"/>
      <c r="DN284" s="824"/>
      <c r="DO284" s="824"/>
      <c r="DP284" s="824"/>
      <c r="DQ284" s="824"/>
      <c r="DR284" s="824"/>
      <c r="DS284" s="824"/>
      <c r="DT284" s="824"/>
      <c r="DU284" s="824"/>
      <c r="DV284" s="824"/>
      <c r="DW284" s="824" t="str">
        <f>IFERROR(IF(DZ277&gt;DA277-1,IF(INDEX(Lista_Pedidos,DY277+DA277-1,2)&lt;&gt;"",INDEX(Lista_Pedidos,DY277+DA277-1,2),""),""),"")</f>
        <v/>
      </c>
      <c r="DX284" s="824"/>
      <c r="DY284" s="824"/>
      <c r="DZ284" s="825"/>
      <c r="EA284" s="823"/>
      <c r="EB284" s="824"/>
      <c r="EC284" s="824"/>
      <c r="ED284" s="824"/>
      <c r="EE284" s="824"/>
      <c r="EF284" s="824"/>
      <c r="EG284" s="824"/>
      <c r="EH284" s="824"/>
      <c r="EI284" s="824"/>
      <c r="EJ284" s="824"/>
      <c r="EK284" s="824"/>
      <c r="EL284" s="824"/>
      <c r="EM284" s="824"/>
      <c r="EN284" s="824"/>
      <c r="EO284" s="824"/>
      <c r="EP284" s="824"/>
      <c r="EQ284" s="824"/>
      <c r="ER284" s="824"/>
      <c r="ES284" s="824"/>
      <c r="ET284" s="824"/>
      <c r="EU284" s="824"/>
      <c r="EV284" s="824"/>
      <c r="EW284" s="824" t="str">
        <f>IFERROR(IF(EZ277&gt;EA277-1,IF(INDEX(Lista_Pedidos,EY277+EA277-1,2)&lt;&gt;"",INDEX(Lista_Pedidos,EY277+EA277-1,2),""),""),"")</f>
        <v/>
      </c>
      <c r="EX284" s="824"/>
      <c r="EY284" s="824"/>
      <c r="EZ284" s="825"/>
      <c r="FA284" s="823"/>
      <c r="FB284" s="824"/>
      <c r="FC284" s="824"/>
      <c r="FD284" s="824"/>
      <c r="FE284" s="824"/>
      <c r="FF284" s="824"/>
      <c r="FG284" s="824"/>
      <c r="FH284" s="824"/>
      <c r="FI284" s="824"/>
      <c r="FJ284" s="824"/>
      <c r="FK284" s="824"/>
      <c r="FL284" s="824"/>
      <c r="FM284" s="824"/>
      <c r="FN284" s="824"/>
      <c r="FO284" s="824"/>
      <c r="FP284" s="824"/>
      <c r="FQ284" s="824"/>
      <c r="FR284" s="824"/>
      <c r="FS284" s="824"/>
      <c r="FT284" s="824"/>
      <c r="FU284" s="824"/>
      <c r="FV284" s="824"/>
      <c r="FW284" s="824" t="str">
        <f>IFERROR(IF(FZ277&gt;FA277-1,IF(INDEX(Lista_Pedidos,FY277+FA277-1,2)&lt;&gt;"",INDEX(Lista_Pedidos,FY277+FA277-1,2),""),""),"")</f>
        <v/>
      </c>
      <c r="FX284" s="824"/>
      <c r="FY284" s="824"/>
      <c r="FZ284" s="825"/>
      <c r="GA284" s="823"/>
      <c r="GB284" s="824"/>
      <c r="GC284" s="824"/>
      <c r="GD284" s="824"/>
      <c r="GE284" s="824"/>
      <c r="GF284" s="824"/>
      <c r="GG284" s="824"/>
      <c r="GH284" s="824"/>
      <c r="GI284" s="824"/>
      <c r="GJ284" s="824"/>
      <c r="GK284" s="824"/>
      <c r="GL284" s="824"/>
      <c r="GM284" s="824"/>
      <c r="GN284" s="824"/>
      <c r="GO284" s="824"/>
      <c r="GP284" s="824"/>
      <c r="GQ284" s="824"/>
      <c r="GR284" s="824"/>
      <c r="GS284" s="824"/>
      <c r="GT284" s="824"/>
      <c r="GU284" s="824"/>
      <c r="GV284" s="824"/>
      <c r="GW284" s="824" t="str">
        <f>IFERROR(IF(GZ277&gt;GA277-1,IF(INDEX(Lista_Pedidos,GY277+GA277-1,2)&lt;&gt;"",INDEX(Lista_Pedidos,GY277+GA277-1,2),""),""),"")</f>
        <v/>
      </c>
      <c r="GX284" s="824"/>
      <c r="GY284" s="824"/>
      <c r="GZ284" s="825"/>
      <c r="HA284" s="823"/>
      <c r="HB284" s="824"/>
      <c r="HC284" s="824"/>
      <c r="HD284" s="824"/>
      <c r="HE284" s="824"/>
      <c r="HF284" s="824"/>
      <c r="HG284" s="824"/>
      <c r="HH284" s="824"/>
      <c r="HI284" s="824"/>
      <c r="HJ284" s="824"/>
      <c r="HK284" s="824"/>
      <c r="HL284" s="824"/>
      <c r="HM284" s="824"/>
      <c r="HN284" s="824"/>
      <c r="HO284" s="824"/>
      <c r="HP284" s="824"/>
      <c r="HQ284" s="824"/>
      <c r="HR284" s="824"/>
      <c r="HS284" s="824"/>
      <c r="HT284" s="824"/>
      <c r="HU284" s="824"/>
      <c r="HV284" s="824"/>
      <c r="HW284" s="824" t="str">
        <f>IFERROR(IF(HZ277&gt;HA277-1,IF(INDEX(Lista_Pedidos,HY277+HA277-1,2)&lt;&gt;"",INDEX(Lista_Pedidos,HY277+HA277-1,2),""),""),"")</f>
        <v/>
      </c>
      <c r="HX284" s="824"/>
      <c r="HY284" s="824"/>
      <c r="HZ284" s="825"/>
      <c r="IA284" s="823"/>
      <c r="IB284" s="824"/>
      <c r="IC284" s="824"/>
      <c r="ID284" s="824"/>
      <c r="IE284" s="824"/>
      <c r="IF284" s="824"/>
      <c r="IG284" s="824"/>
      <c r="IH284" s="824"/>
      <c r="II284" s="824"/>
      <c r="IJ284" s="824"/>
      <c r="IK284" s="824"/>
      <c r="IL284" s="824"/>
      <c r="IM284" s="824"/>
      <c r="IN284" s="824"/>
      <c r="IO284" s="824"/>
      <c r="IP284" s="824"/>
      <c r="IQ284" s="824"/>
      <c r="IR284" s="824"/>
      <c r="IS284" s="824"/>
      <c r="IT284" s="824"/>
      <c r="IU284" s="824"/>
      <c r="IV284" s="824"/>
      <c r="IW284" s="824" t="str">
        <f>IFERROR(IF(IZ277&gt;IA277-1,IF(INDEX(Lista_Pedidos,IY277+IA277-1,2)&lt;&gt;"",INDEX(Lista_Pedidos,IY277+IA277-1,2),""),""),"")</f>
        <v/>
      </c>
      <c r="IX284" s="824"/>
      <c r="IY284" s="824"/>
      <c r="IZ284" s="825"/>
    </row>
    <row r="285" spans="1:260" x14ac:dyDescent="0.25">
      <c r="A285" s="800" t="str">
        <f>IFERROR(IF(Z277&gt;A277-1,IF(INDEX(Lista_Pedidos,Y277+A277-1,6)&lt;&gt;"","Nombre de la Tela :     "&amp; INDEX(Lista_Pedidos,Y277+A277-1,6),""),""),"")</f>
        <v/>
      </c>
      <c r="B285" s="801"/>
      <c r="C285" s="801"/>
      <c r="D285" s="801"/>
      <c r="E285" s="801"/>
      <c r="F285" s="801"/>
      <c r="G285" s="801"/>
      <c r="H285" s="801"/>
      <c r="I285" s="801"/>
      <c r="J285" s="801"/>
      <c r="K285" s="801"/>
      <c r="L285" s="801"/>
      <c r="M285" s="801"/>
      <c r="N285" s="801"/>
      <c r="O285" s="801"/>
      <c r="P285" s="801"/>
      <c r="Q285" s="801"/>
      <c r="R285" s="801"/>
      <c r="S285" s="801"/>
      <c r="T285" s="801"/>
      <c r="U285" s="801"/>
      <c r="V285" s="801"/>
      <c r="W285" s="826"/>
      <c r="X285" s="826"/>
      <c r="Y285" s="826"/>
      <c r="Z285" s="827"/>
      <c r="AA285" s="800" t="str">
        <f>IFERROR(IF(AZ277&gt;AA277-1,IF(INDEX(Lista_Pedidos,AY277+AA277-1,6)&lt;&gt;"","Nombre de la Tela :     "&amp; INDEX(Lista_Pedidos,AY277+AA277-1,6),""),""),"")</f>
        <v/>
      </c>
      <c r="AB285" s="801"/>
      <c r="AC285" s="801"/>
      <c r="AD285" s="801"/>
      <c r="AE285" s="801"/>
      <c r="AF285" s="801"/>
      <c r="AG285" s="801"/>
      <c r="AH285" s="801"/>
      <c r="AI285" s="801"/>
      <c r="AJ285" s="801"/>
      <c r="AK285" s="801"/>
      <c r="AL285" s="801"/>
      <c r="AM285" s="801"/>
      <c r="AN285" s="801"/>
      <c r="AO285" s="801"/>
      <c r="AP285" s="801"/>
      <c r="AQ285" s="801"/>
      <c r="AR285" s="801"/>
      <c r="AS285" s="801"/>
      <c r="AT285" s="801"/>
      <c r="AU285" s="801"/>
      <c r="AV285" s="801"/>
      <c r="AW285" s="826"/>
      <c r="AX285" s="826"/>
      <c r="AY285" s="826"/>
      <c r="AZ285" s="827"/>
      <c r="BA285" s="800" t="str">
        <f>IFERROR(IF(BZ277&gt;BA277-1,IF(INDEX(Lista_Pedidos,BY277+BA277-1,6)&lt;&gt;"","Nombre de la Tela :     "&amp; INDEX(Lista_Pedidos,BY277+BA277-1,6),""),""),"")</f>
        <v/>
      </c>
      <c r="BB285" s="801"/>
      <c r="BC285" s="801"/>
      <c r="BD285" s="801"/>
      <c r="BE285" s="801"/>
      <c r="BF285" s="801"/>
      <c r="BG285" s="801"/>
      <c r="BH285" s="801"/>
      <c r="BI285" s="801"/>
      <c r="BJ285" s="801"/>
      <c r="BK285" s="801"/>
      <c r="BL285" s="801"/>
      <c r="BM285" s="801"/>
      <c r="BN285" s="801"/>
      <c r="BO285" s="801"/>
      <c r="BP285" s="801"/>
      <c r="BQ285" s="801"/>
      <c r="BR285" s="801"/>
      <c r="BS285" s="801"/>
      <c r="BT285" s="801"/>
      <c r="BU285" s="801"/>
      <c r="BV285" s="801"/>
      <c r="BW285" s="826"/>
      <c r="BX285" s="826"/>
      <c r="BY285" s="826"/>
      <c r="BZ285" s="827"/>
      <c r="CA285" s="800" t="str">
        <f>IFERROR(IF(CZ277&gt;CA277-1,IF(INDEX(Lista_Pedidos,CY277+CA277-1,6)&lt;&gt;"","Nombre de la Tela :     "&amp; INDEX(Lista_Pedidos,CY277+CA277-1,6),""),""),"")</f>
        <v/>
      </c>
      <c r="CB285" s="801"/>
      <c r="CC285" s="801"/>
      <c r="CD285" s="801"/>
      <c r="CE285" s="801"/>
      <c r="CF285" s="801"/>
      <c r="CG285" s="801"/>
      <c r="CH285" s="801"/>
      <c r="CI285" s="801"/>
      <c r="CJ285" s="801"/>
      <c r="CK285" s="801"/>
      <c r="CL285" s="801"/>
      <c r="CM285" s="801"/>
      <c r="CN285" s="801"/>
      <c r="CO285" s="801"/>
      <c r="CP285" s="801"/>
      <c r="CQ285" s="801"/>
      <c r="CR285" s="801"/>
      <c r="CS285" s="801"/>
      <c r="CT285" s="801"/>
      <c r="CU285" s="801"/>
      <c r="CV285" s="801"/>
      <c r="CW285" s="826"/>
      <c r="CX285" s="826"/>
      <c r="CY285" s="826"/>
      <c r="CZ285" s="827"/>
      <c r="DA285" s="800" t="str">
        <f>IFERROR(IF(DZ277&gt;DA277-1,IF(INDEX(Lista_Pedidos,DY277+DA277-1,6)&lt;&gt;"","Nombre de la Tela :     "&amp; INDEX(Lista_Pedidos,DY277+DA277-1,6),""),""),"")</f>
        <v/>
      </c>
      <c r="DB285" s="801"/>
      <c r="DC285" s="801"/>
      <c r="DD285" s="801"/>
      <c r="DE285" s="801"/>
      <c r="DF285" s="801"/>
      <c r="DG285" s="801"/>
      <c r="DH285" s="801"/>
      <c r="DI285" s="801"/>
      <c r="DJ285" s="801"/>
      <c r="DK285" s="801"/>
      <c r="DL285" s="801"/>
      <c r="DM285" s="801"/>
      <c r="DN285" s="801"/>
      <c r="DO285" s="801"/>
      <c r="DP285" s="801"/>
      <c r="DQ285" s="801"/>
      <c r="DR285" s="801"/>
      <c r="DS285" s="801"/>
      <c r="DT285" s="801"/>
      <c r="DU285" s="801"/>
      <c r="DV285" s="801"/>
      <c r="DW285" s="826"/>
      <c r="DX285" s="826"/>
      <c r="DY285" s="826"/>
      <c r="DZ285" s="827"/>
      <c r="EA285" s="800" t="str">
        <f>IFERROR(IF(EZ277&gt;EA277-1,IF(INDEX(Lista_Pedidos,EY277+EA277-1,6)&lt;&gt;"","Nombre de la Tela :     "&amp; INDEX(Lista_Pedidos,EY277+EA277-1,6),""),""),"")</f>
        <v/>
      </c>
      <c r="EB285" s="801"/>
      <c r="EC285" s="801"/>
      <c r="ED285" s="801"/>
      <c r="EE285" s="801"/>
      <c r="EF285" s="801"/>
      <c r="EG285" s="801"/>
      <c r="EH285" s="801"/>
      <c r="EI285" s="801"/>
      <c r="EJ285" s="801"/>
      <c r="EK285" s="801"/>
      <c r="EL285" s="801"/>
      <c r="EM285" s="801"/>
      <c r="EN285" s="801"/>
      <c r="EO285" s="801"/>
      <c r="EP285" s="801"/>
      <c r="EQ285" s="801"/>
      <c r="ER285" s="801"/>
      <c r="ES285" s="801"/>
      <c r="ET285" s="801"/>
      <c r="EU285" s="801"/>
      <c r="EV285" s="801"/>
      <c r="EW285" s="826"/>
      <c r="EX285" s="826"/>
      <c r="EY285" s="826"/>
      <c r="EZ285" s="827"/>
      <c r="FA285" s="800" t="str">
        <f>IFERROR(IF(FZ277&gt;FA277-1,IF(INDEX(Lista_Pedidos,FY277+FA277-1,6)&lt;&gt;"","Nombre de la Tela :     "&amp; INDEX(Lista_Pedidos,FY277+FA277-1,6),""),""),"")</f>
        <v/>
      </c>
      <c r="FB285" s="801"/>
      <c r="FC285" s="801"/>
      <c r="FD285" s="801"/>
      <c r="FE285" s="801"/>
      <c r="FF285" s="801"/>
      <c r="FG285" s="801"/>
      <c r="FH285" s="801"/>
      <c r="FI285" s="801"/>
      <c r="FJ285" s="801"/>
      <c r="FK285" s="801"/>
      <c r="FL285" s="801"/>
      <c r="FM285" s="801"/>
      <c r="FN285" s="801"/>
      <c r="FO285" s="801"/>
      <c r="FP285" s="801"/>
      <c r="FQ285" s="801"/>
      <c r="FR285" s="801"/>
      <c r="FS285" s="801"/>
      <c r="FT285" s="801"/>
      <c r="FU285" s="801"/>
      <c r="FV285" s="801"/>
      <c r="FW285" s="826"/>
      <c r="FX285" s="826"/>
      <c r="FY285" s="826"/>
      <c r="FZ285" s="827"/>
      <c r="GA285" s="800" t="str">
        <f>IFERROR(IF(GZ277&gt;GA277-1,IF(INDEX(Lista_Pedidos,GY277+GA277-1,6)&lt;&gt;"","Nombre de la Tela :     "&amp; INDEX(Lista_Pedidos,GY277+GA277-1,6),""),""),"")</f>
        <v/>
      </c>
      <c r="GB285" s="801"/>
      <c r="GC285" s="801"/>
      <c r="GD285" s="801"/>
      <c r="GE285" s="801"/>
      <c r="GF285" s="801"/>
      <c r="GG285" s="801"/>
      <c r="GH285" s="801"/>
      <c r="GI285" s="801"/>
      <c r="GJ285" s="801"/>
      <c r="GK285" s="801"/>
      <c r="GL285" s="801"/>
      <c r="GM285" s="801"/>
      <c r="GN285" s="801"/>
      <c r="GO285" s="801"/>
      <c r="GP285" s="801"/>
      <c r="GQ285" s="801"/>
      <c r="GR285" s="801"/>
      <c r="GS285" s="801"/>
      <c r="GT285" s="801"/>
      <c r="GU285" s="801"/>
      <c r="GV285" s="801"/>
      <c r="GW285" s="826"/>
      <c r="GX285" s="826"/>
      <c r="GY285" s="826"/>
      <c r="GZ285" s="827"/>
      <c r="HA285" s="800" t="str">
        <f>IFERROR(IF(HZ277&gt;HA277-1,IF(INDEX(Lista_Pedidos,HY277+HA277-1,6)&lt;&gt;"","Nombre de la Tela :     "&amp; INDEX(Lista_Pedidos,HY277+HA277-1,6),""),""),"")</f>
        <v/>
      </c>
      <c r="HB285" s="801"/>
      <c r="HC285" s="801"/>
      <c r="HD285" s="801"/>
      <c r="HE285" s="801"/>
      <c r="HF285" s="801"/>
      <c r="HG285" s="801"/>
      <c r="HH285" s="801"/>
      <c r="HI285" s="801"/>
      <c r="HJ285" s="801"/>
      <c r="HK285" s="801"/>
      <c r="HL285" s="801"/>
      <c r="HM285" s="801"/>
      <c r="HN285" s="801"/>
      <c r="HO285" s="801"/>
      <c r="HP285" s="801"/>
      <c r="HQ285" s="801"/>
      <c r="HR285" s="801"/>
      <c r="HS285" s="801"/>
      <c r="HT285" s="801"/>
      <c r="HU285" s="801"/>
      <c r="HV285" s="801"/>
      <c r="HW285" s="826"/>
      <c r="HX285" s="826"/>
      <c r="HY285" s="826"/>
      <c r="HZ285" s="827"/>
      <c r="IA285" s="800" t="str">
        <f>IFERROR(IF(IZ277&gt;IA277-1,IF(INDEX(Lista_Pedidos,IY277+IA277-1,6)&lt;&gt;"","Nombre de la Tela :     "&amp; INDEX(Lista_Pedidos,IY277+IA277-1,6),""),""),"")</f>
        <v/>
      </c>
      <c r="IB285" s="801"/>
      <c r="IC285" s="801"/>
      <c r="ID285" s="801"/>
      <c r="IE285" s="801"/>
      <c r="IF285" s="801"/>
      <c r="IG285" s="801"/>
      <c r="IH285" s="801"/>
      <c r="II285" s="801"/>
      <c r="IJ285" s="801"/>
      <c r="IK285" s="801"/>
      <c r="IL285" s="801"/>
      <c r="IM285" s="801"/>
      <c r="IN285" s="801"/>
      <c r="IO285" s="801"/>
      <c r="IP285" s="801"/>
      <c r="IQ285" s="801"/>
      <c r="IR285" s="801"/>
      <c r="IS285" s="801"/>
      <c r="IT285" s="801"/>
      <c r="IU285" s="801"/>
      <c r="IV285" s="801"/>
      <c r="IW285" s="826"/>
      <c r="IX285" s="826"/>
      <c r="IY285" s="826"/>
      <c r="IZ285" s="827"/>
    </row>
    <row r="286" spans="1:260" x14ac:dyDescent="0.25">
      <c r="A286" s="800" t="str">
        <f>IFERROR(IF(Z277&gt;A277-1,IF(INDEX(Lista_Pedidos,Y277+A277-1,7)&lt;&gt;"","Hilo :     "&amp; INDEX(Lista_Pedidos,Y277+A277-1,7),""),""),"")</f>
        <v/>
      </c>
      <c r="B286" s="801"/>
      <c r="C286" s="801"/>
      <c r="D286" s="801"/>
      <c r="E286" s="801"/>
      <c r="F286" s="801"/>
      <c r="G286" s="801"/>
      <c r="H286" s="801"/>
      <c r="I286" s="801"/>
      <c r="J286" s="801"/>
      <c r="K286" s="801"/>
      <c r="L286" s="801"/>
      <c r="M286" s="801"/>
      <c r="N286" s="801"/>
      <c r="O286" s="801"/>
      <c r="P286" s="801"/>
      <c r="Q286" s="801"/>
      <c r="R286" s="801"/>
      <c r="S286" s="801"/>
      <c r="T286" s="801"/>
      <c r="U286" s="801"/>
      <c r="V286" s="801"/>
      <c r="W286" s="801"/>
      <c r="X286" s="801"/>
      <c r="Y286" s="801"/>
      <c r="Z286" s="802"/>
      <c r="AA286" s="800" t="str">
        <f>IFERROR(IF(AZ277&gt;AA277-1,IF(INDEX(Lista_Pedidos,AY277+AA277-1,7)&lt;&gt;"","Hilo :     "&amp; INDEX(Lista_Pedidos,AY277+AA277-1,7),""),""),"")</f>
        <v/>
      </c>
      <c r="AB286" s="801"/>
      <c r="AC286" s="801"/>
      <c r="AD286" s="801"/>
      <c r="AE286" s="801"/>
      <c r="AF286" s="801"/>
      <c r="AG286" s="801"/>
      <c r="AH286" s="801"/>
      <c r="AI286" s="801"/>
      <c r="AJ286" s="801"/>
      <c r="AK286" s="801"/>
      <c r="AL286" s="801"/>
      <c r="AM286" s="801"/>
      <c r="AN286" s="801"/>
      <c r="AO286" s="801"/>
      <c r="AP286" s="801"/>
      <c r="AQ286" s="801"/>
      <c r="AR286" s="801"/>
      <c r="AS286" s="801"/>
      <c r="AT286" s="801"/>
      <c r="AU286" s="801"/>
      <c r="AV286" s="801"/>
      <c r="AW286" s="801"/>
      <c r="AX286" s="801"/>
      <c r="AY286" s="801"/>
      <c r="AZ286" s="802"/>
      <c r="BA286" s="800" t="str">
        <f>IFERROR(IF(BZ277&gt;BA277-1,IF(INDEX(Lista_Pedidos,BY277+BA277-1,7)&lt;&gt;"","Hilo :     "&amp; INDEX(Lista_Pedidos,BY277+BA277-1,7),""),""),"")</f>
        <v/>
      </c>
      <c r="BB286" s="801"/>
      <c r="BC286" s="801"/>
      <c r="BD286" s="801"/>
      <c r="BE286" s="801"/>
      <c r="BF286" s="801"/>
      <c r="BG286" s="801"/>
      <c r="BH286" s="801"/>
      <c r="BI286" s="801"/>
      <c r="BJ286" s="801"/>
      <c r="BK286" s="801"/>
      <c r="BL286" s="801"/>
      <c r="BM286" s="801"/>
      <c r="BN286" s="801"/>
      <c r="BO286" s="801"/>
      <c r="BP286" s="801"/>
      <c r="BQ286" s="801"/>
      <c r="BR286" s="801"/>
      <c r="BS286" s="801"/>
      <c r="BT286" s="801"/>
      <c r="BU286" s="801"/>
      <c r="BV286" s="801"/>
      <c r="BW286" s="801"/>
      <c r="BX286" s="801"/>
      <c r="BY286" s="801"/>
      <c r="BZ286" s="802"/>
      <c r="CA286" s="800" t="str">
        <f>IFERROR(IF(CZ277&gt;CA277-1,IF(INDEX(Lista_Pedidos,CY277+CA277-1,7)&lt;&gt;"","Hilo :     "&amp; INDEX(Lista_Pedidos,CY277+CA277-1,7),""),""),"")</f>
        <v/>
      </c>
      <c r="CB286" s="801"/>
      <c r="CC286" s="801"/>
      <c r="CD286" s="801"/>
      <c r="CE286" s="801"/>
      <c r="CF286" s="801"/>
      <c r="CG286" s="801"/>
      <c r="CH286" s="801"/>
      <c r="CI286" s="801"/>
      <c r="CJ286" s="801"/>
      <c r="CK286" s="801"/>
      <c r="CL286" s="801"/>
      <c r="CM286" s="801"/>
      <c r="CN286" s="801"/>
      <c r="CO286" s="801"/>
      <c r="CP286" s="801"/>
      <c r="CQ286" s="801"/>
      <c r="CR286" s="801"/>
      <c r="CS286" s="801"/>
      <c r="CT286" s="801"/>
      <c r="CU286" s="801"/>
      <c r="CV286" s="801"/>
      <c r="CW286" s="801"/>
      <c r="CX286" s="801"/>
      <c r="CY286" s="801"/>
      <c r="CZ286" s="802"/>
      <c r="DA286" s="800" t="str">
        <f>IFERROR(IF(DZ277&gt;DA277-1,IF(INDEX(Lista_Pedidos,DY277+DA277-1,7)&lt;&gt;"","Hilo :     "&amp; INDEX(Lista_Pedidos,DY277+DA277-1,7),""),""),"")</f>
        <v/>
      </c>
      <c r="DB286" s="801"/>
      <c r="DC286" s="801"/>
      <c r="DD286" s="801"/>
      <c r="DE286" s="801"/>
      <c r="DF286" s="801"/>
      <c r="DG286" s="801"/>
      <c r="DH286" s="801"/>
      <c r="DI286" s="801"/>
      <c r="DJ286" s="801"/>
      <c r="DK286" s="801"/>
      <c r="DL286" s="801"/>
      <c r="DM286" s="801"/>
      <c r="DN286" s="801"/>
      <c r="DO286" s="801"/>
      <c r="DP286" s="801"/>
      <c r="DQ286" s="801"/>
      <c r="DR286" s="801"/>
      <c r="DS286" s="801"/>
      <c r="DT286" s="801"/>
      <c r="DU286" s="801"/>
      <c r="DV286" s="801"/>
      <c r="DW286" s="801"/>
      <c r="DX286" s="801"/>
      <c r="DY286" s="801"/>
      <c r="DZ286" s="802"/>
      <c r="EA286" s="800" t="str">
        <f>IFERROR(IF(EZ277&gt;EA277-1,IF(INDEX(Lista_Pedidos,EY277+EA277-1,7)&lt;&gt;"","Hilo :     "&amp; INDEX(Lista_Pedidos,EY277+EA277-1,7),""),""),"")</f>
        <v/>
      </c>
      <c r="EB286" s="801"/>
      <c r="EC286" s="801"/>
      <c r="ED286" s="801"/>
      <c r="EE286" s="801"/>
      <c r="EF286" s="801"/>
      <c r="EG286" s="801"/>
      <c r="EH286" s="801"/>
      <c r="EI286" s="801"/>
      <c r="EJ286" s="801"/>
      <c r="EK286" s="801"/>
      <c r="EL286" s="801"/>
      <c r="EM286" s="801"/>
      <c r="EN286" s="801"/>
      <c r="EO286" s="801"/>
      <c r="EP286" s="801"/>
      <c r="EQ286" s="801"/>
      <c r="ER286" s="801"/>
      <c r="ES286" s="801"/>
      <c r="ET286" s="801"/>
      <c r="EU286" s="801"/>
      <c r="EV286" s="801"/>
      <c r="EW286" s="801"/>
      <c r="EX286" s="801"/>
      <c r="EY286" s="801"/>
      <c r="EZ286" s="802"/>
      <c r="FA286" s="800" t="str">
        <f>IFERROR(IF(FZ277&gt;FA277-1,IF(INDEX(Lista_Pedidos,FY277+FA277-1,7)&lt;&gt;"","Hilo :     "&amp; INDEX(Lista_Pedidos,FY277+FA277-1,7),""),""),"")</f>
        <v/>
      </c>
      <c r="FB286" s="801"/>
      <c r="FC286" s="801"/>
      <c r="FD286" s="801"/>
      <c r="FE286" s="801"/>
      <c r="FF286" s="801"/>
      <c r="FG286" s="801"/>
      <c r="FH286" s="801"/>
      <c r="FI286" s="801"/>
      <c r="FJ286" s="801"/>
      <c r="FK286" s="801"/>
      <c r="FL286" s="801"/>
      <c r="FM286" s="801"/>
      <c r="FN286" s="801"/>
      <c r="FO286" s="801"/>
      <c r="FP286" s="801"/>
      <c r="FQ286" s="801"/>
      <c r="FR286" s="801"/>
      <c r="FS286" s="801"/>
      <c r="FT286" s="801"/>
      <c r="FU286" s="801"/>
      <c r="FV286" s="801"/>
      <c r="FW286" s="801"/>
      <c r="FX286" s="801"/>
      <c r="FY286" s="801"/>
      <c r="FZ286" s="802"/>
      <c r="GA286" s="800" t="str">
        <f>IFERROR(IF(GZ277&gt;GA277-1,IF(INDEX(Lista_Pedidos,GY277+GA277-1,7)&lt;&gt;"","Hilo :     "&amp; INDEX(Lista_Pedidos,GY277+GA277-1,7),""),""),"")</f>
        <v/>
      </c>
      <c r="GB286" s="801"/>
      <c r="GC286" s="801"/>
      <c r="GD286" s="801"/>
      <c r="GE286" s="801"/>
      <c r="GF286" s="801"/>
      <c r="GG286" s="801"/>
      <c r="GH286" s="801"/>
      <c r="GI286" s="801"/>
      <c r="GJ286" s="801"/>
      <c r="GK286" s="801"/>
      <c r="GL286" s="801"/>
      <c r="GM286" s="801"/>
      <c r="GN286" s="801"/>
      <c r="GO286" s="801"/>
      <c r="GP286" s="801"/>
      <c r="GQ286" s="801"/>
      <c r="GR286" s="801"/>
      <c r="GS286" s="801"/>
      <c r="GT286" s="801"/>
      <c r="GU286" s="801"/>
      <c r="GV286" s="801"/>
      <c r="GW286" s="801"/>
      <c r="GX286" s="801"/>
      <c r="GY286" s="801"/>
      <c r="GZ286" s="802"/>
      <c r="HA286" s="800" t="str">
        <f>IFERROR(IF(HZ277&gt;HA277-1,IF(INDEX(Lista_Pedidos,HY277+HA277-1,7)&lt;&gt;"","Hilo :     "&amp; INDEX(Lista_Pedidos,HY277+HA277-1,7),""),""),"")</f>
        <v/>
      </c>
      <c r="HB286" s="801"/>
      <c r="HC286" s="801"/>
      <c r="HD286" s="801"/>
      <c r="HE286" s="801"/>
      <c r="HF286" s="801"/>
      <c r="HG286" s="801"/>
      <c r="HH286" s="801"/>
      <c r="HI286" s="801"/>
      <c r="HJ286" s="801"/>
      <c r="HK286" s="801"/>
      <c r="HL286" s="801"/>
      <c r="HM286" s="801"/>
      <c r="HN286" s="801"/>
      <c r="HO286" s="801"/>
      <c r="HP286" s="801"/>
      <c r="HQ286" s="801"/>
      <c r="HR286" s="801"/>
      <c r="HS286" s="801"/>
      <c r="HT286" s="801"/>
      <c r="HU286" s="801"/>
      <c r="HV286" s="801"/>
      <c r="HW286" s="801"/>
      <c r="HX286" s="801"/>
      <c r="HY286" s="801"/>
      <c r="HZ286" s="802"/>
      <c r="IA286" s="800" t="str">
        <f>IFERROR(IF(IZ277&gt;IA277-1,IF(INDEX(Lista_Pedidos,IY277+IA277-1,7)&lt;&gt;"","Hilo :     "&amp; INDEX(Lista_Pedidos,IY277+IA277-1,7),""),""),"")</f>
        <v/>
      </c>
      <c r="IB286" s="801"/>
      <c r="IC286" s="801"/>
      <c r="ID286" s="801"/>
      <c r="IE286" s="801"/>
      <c r="IF286" s="801"/>
      <c r="IG286" s="801"/>
      <c r="IH286" s="801"/>
      <c r="II286" s="801"/>
      <c r="IJ286" s="801"/>
      <c r="IK286" s="801"/>
      <c r="IL286" s="801"/>
      <c r="IM286" s="801"/>
      <c r="IN286" s="801"/>
      <c r="IO286" s="801"/>
      <c r="IP286" s="801"/>
      <c r="IQ286" s="801"/>
      <c r="IR286" s="801"/>
      <c r="IS286" s="801"/>
      <c r="IT286" s="801"/>
      <c r="IU286" s="801"/>
      <c r="IV286" s="801"/>
      <c r="IW286" s="801"/>
      <c r="IX286" s="801"/>
      <c r="IY286" s="801"/>
      <c r="IZ286" s="802"/>
    </row>
    <row r="287" spans="1:260" x14ac:dyDescent="0.25">
      <c r="A287" s="800" t="str">
        <f>IFERROR(IF(Z277&gt;A277-1,IF(INDEX(Lista_Pedidos,Y277+A277-1,8)&lt;&gt;"","Forro :     "&amp; INDEX(Lista_Pedidos,Y277+A277-1,8),""),""),"")</f>
        <v/>
      </c>
      <c r="B287" s="801"/>
      <c r="C287" s="801"/>
      <c r="D287" s="801"/>
      <c r="E287" s="801"/>
      <c r="F287" s="801"/>
      <c r="G287" s="801"/>
      <c r="H287" s="801"/>
      <c r="I287" s="801"/>
      <c r="J287" s="801"/>
      <c r="K287" s="801"/>
      <c r="L287" s="801"/>
      <c r="M287" s="801"/>
      <c r="N287" s="801"/>
      <c r="O287" s="801"/>
      <c r="P287" s="801"/>
      <c r="Q287" s="801"/>
      <c r="R287" s="801"/>
      <c r="S287" s="801"/>
      <c r="T287" s="801"/>
      <c r="U287" s="801"/>
      <c r="V287" s="801"/>
      <c r="W287" s="801"/>
      <c r="X287" s="801"/>
      <c r="Y287" s="801"/>
      <c r="Z287" s="802"/>
      <c r="AA287" s="800" t="str">
        <f>IFERROR(IF(AZ277&gt;AA277-1,IF(INDEX(Lista_Pedidos,AY277+AA277-1,8)&lt;&gt;"","Forro :     "&amp; INDEX(Lista_Pedidos,AY277+AA277-1,8),""),""),"")</f>
        <v/>
      </c>
      <c r="AB287" s="801"/>
      <c r="AC287" s="801"/>
      <c r="AD287" s="801"/>
      <c r="AE287" s="801"/>
      <c r="AF287" s="801"/>
      <c r="AG287" s="801"/>
      <c r="AH287" s="801"/>
      <c r="AI287" s="801"/>
      <c r="AJ287" s="801"/>
      <c r="AK287" s="801"/>
      <c r="AL287" s="801"/>
      <c r="AM287" s="801"/>
      <c r="AN287" s="801"/>
      <c r="AO287" s="801"/>
      <c r="AP287" s="801"/>
      <c r="AQ287" s="801"/>
      <c r="AR287" s="801"/>
      <c r="AS287" s="801"/>
      <c r="AT287" s="801"/>
      <c r="AU287" s="801"/>
      <c r="AV287" s="801"/>
      <c r="AW287" s="801"/>
      <c r="AX287" s="801"/>
      <c r="AY287" s="801"/>
      <c r="AZ287" s="802"/>
      <c r="BA287" s="800" t="str">
        <f>IFERROR(IF(BZ277&gt;BA277-1,IF(INDEX(Lista_Pedidos,BY277+BA277-1,8)&lt;&gt;"","Forro :     "&amp; INDEX(Lista_Pedidos,BY277+BA277-1,8),""),""),"")</f>
        <v/>
      </c>
      <c r="BB287" s="801"/>
      <c r="BC287" s="801"/>
      <c r="BD287" s="801"/>
      <c r="BE287" s="801"/>
      <c r="BF287" s="801"/>
      <c r="BG287" s="801"/>
      <c r="BH287" s="801"/>
      <c r="BI287" s="801"/>
      <c r="BJ287" s="801"/>
      <c r="BK287" s="801"/>
      <c r="BL287" s="801"/>
      <c r="BM287" s="801"/>
      <c r="BN287" s="801"/>
      <c r="BO287" s="801"/>
      <c r="BP287" s="801"/>
      <c r="BQ287" s="801"/>
      <c r="BR287" s="801"/>
      <c r="BS287" s="801"/>
      <c r="BT287" s="801"/>
      <c r="BU287" s="801"/>
      <c r="BV287" s="801"/>
      <c r="BW287" s="801"/>
      <c r="BX287" s="801"/>
      <c r="BY287" s="801"/>
      <c r="BZ287" s="802"/>
      <c r="CA287" s="800" t="str">
        <f>IFERROR(IF(CZ277&gt;CA277-1,IF(INDEX(Lista_Pedidos,CY277+CA277-1,8)&lt;&gt;"","Forro :     "&amp; INDEX(Lista_Pedidos,CY277+CA277-1,8),""),""),"")</f>
        <v/>
      </c>
      <c r="CB287" s="801"/>
      <c r="CC287" s="801"/>
      <c r="CD287" s="801"/>
      <c r="CE287" s="801"/>
      <c r="CF287" s="801"/>
      <c r="CG287" s="801"/>
      <c r="CH287" s="801"/>
      <c r="CI287" s="801"/>
      <c r="CJ287" s="801"/>
      <c r="CK287" s="801"/>
      <c r="CL287" s="801"/>
      <c r="CM287" s="801"/>
      <c r="CN287" s="801"/>
      <c r="CO287" s="801"/>
      <c r="CP287" s="801"/>
      <c r="CQ287" s="801"/>
      <c r="CR287" s="801"/>
      <c r="CS287" s="801"/>
      <c r="CT287" s="801"/>
      <c r="CU287" s="801"/>
      <c r="CV287" s="801"/>
      <c r="CW287" s="801"/>
      <c r="CX287" s="801"/>
      <c r="CY287" s="801"/>
      <c r="CZ287" s="802"/>
      <c r="DA287" s="800" t="str">
        <f>IFERROR(IF(DZ277&gt;DA277-1,IF(INDEX(Lista_Pedidos,DY277+DA277-1,8)&lt;&gt;"","Forro :     "&amp; INDEX(Lista_Pedidos,DY277+DA277-1,8),""),""),"")</f>
        <v/>
      </c>
      <c r="DB287" s="801"/>
      <c r="DC287" s="801"/>
      <c r="DD287" s="801"/>
      <c r="DE287" s="801"/>
      <c r="DF287" s="801"/>
      <c r="DG287" s="801"/>
      <c r="DH287" s="801"/>
      <c r="DI287" s="801"/>
      <c r="DJ287" s="801"/>
      <c r="DK287" s="801"/>
      <c r="DL287" s="801"/>
      <c r="DM287" s="801"/>
      <c r="DN287" s="801"/>
      <c r="DO287" s="801"/>
      <c r="DP287" s="801"/>
      <c r="DQ287" s="801"/>
      <c r="DR287" s="801"/>
      <c r="DS287" s="801"/>
      <c r="DT287" s="801"/>
      <c r="DU287" s="801"/>
      <c r="DV287" s="801"/>
      <c r="DW287" s="801"/>
      <c r="DX287" s="801"/>
      <c r="DY287" s="801"/>
      <c r="DZ287" s="802"/>
      <c r="EA287" s="800" t="str">
        <f>IFERROR(IF(EZ277&gt;EA277-1,IF(INDEX(Lista_Pedidos,EY277+EA277-1,8)&lt;&gt;"","Forro :     "&amp; INDEX(Lista_Pedidos,EY277+EA277-1,8),""),""),"")</f>
        <v/>
      </c>
      <c r="EB287" s="801"/>
      <c r="EC287" s="801"/>
      <c r="ED287" s="801"/>
      <c r="EE287" s="801"/>
      <c r="EF287" s="801"/>
      <c r="EG287" s="801"/>
      <c r="EH287" s="801"/>
      <c r="EI287" s="801"/>
      <c r="EJ287" s="801"/>
      <c r="EK287" s="801"/>
      <c r="EL287" s="801"/>
      <c r="EM287" s="801"/>
      <c r="EN287" s="801"/>
      <c r="EO287" s="801"/>
      <c r="EP287" s="801"/>
      <c r="EQ287" s="801"/>
      <c r="ER287" s="801"/>
      <c r="ES287" s="801"/>
      <c r="ET287" s="801"/>
      <c r="EU287" s="801"/>
      <c r="EV287" s="801"/>
      <c r="EW287" s="801"/>
      <c r="EX287" s="801"/>
      <c r="EY287" s="801"/>
      <c r="EZ287" s="802"/>
      <c r="FA287" s="800" t="str">
        <f>IFERROR(IF(FZ277&gt;FA277-1,IF(INDEX(Lista_Pedidos,FY277+FA277-1,8)&lt;&gt;"","Forro :     "&amp; INDEX(Lista_Pedidos,FY277+FA277-1,8),""),""),"")</f>
        <v/>
      </c>
      <c r="FB287" s="801"/>
      <c r="FC287" s="801"/>
      <c r="FD287" s="801"/>
      <c r="FE287" s="801"/>
      <c r="FF287" s="801"/>
      <c r="FG287" s="801"/>
      <c r="FH287" s="801"/>
      <c r="FI287" s="801"/>
      <c r="FJ287" s="801"/>
      <c r="FK287" s="801"/>
      <c r="FL287" s="801"/>
      <c r="FM287" s="801"/>
      <c r="FN287" s="801"/>
      <c r="FO287" s="801"/>
      <c r="FP287" s="801"/>
      <c r="FQ287" s="801"/>
      <c r="FR287" s="801"/>
      <c r="FS287" s="801"/>
      <c r="FT287" s="801"/>
      <c r="FU287" s="801"/>
      <c r="FV287" s="801"/>
      <c r="FW287" s="801"/>
      <c r="FX287" s="801"/>
      <c r="FY287" s="801"/>
      <c r="FZ287" s="802"/>
      <c r="GA287" s="800" t="str">
        <f>IFERROR(IF(GZ277&gt;GA277-1,IF(INDEX(Lista_Pedidos,GY277+GA277-1,8)&lt;&gt;"","Forro :     "&amp; INDEX(Lista_Pedidos,GY277+GA277-1,8),""),""),"")</f>
        <v/>
      </c>
      <c r="GB287" s="801"/>
      <c r="GC287" s="801"/>
      <c r="GD287" s="801"/>
      <c r="GE287" s="801"/>
      <c r="GF287" s="801"/>
      <c r="GG287" s="801"/>
      <c r="GH287" s="801"/>
      <c r="GI287" s="801"/>
      <c r="GJ287" s="801"/>
      <c r="GK287" s="801"/>
      <c r="GL287" s="801"/>
      <c r="GM287" s="801"/>
      <c r="GN287" s="801"/>
      <c r="GO287" s="801"/>
      <c r="GP287" s="801"/>
      <c r="GQ287" s="801"/>
      <c r="GR287" s="801"/>
      <c r="GS287" s="801"/>
      <c r="GT287" s="801"/>
      <c r="GU287" s="801"/>
      <c r="GV287" s="801"/>
      <c r="GW287" s="801"/>
      <c r="GX287" s="801"/>
      <c r="GY287" s="801"/>
      <c r="GZ287" s="802"/>
      <c r="HA287" s="800" t="str">
        <f>IFERROR(IF(HZ277&gt;HA277-1,IF(INDEX(Lista_Pedidos,HY277+HA277-1,8)&lt;&gt;"","Forro :     "&amp; INDEX(Lista_Pedidos,HY277+HA277-1,8),""),""),"")</f>
        <v/>
      </c>
      <c r="HB287" s="801"/>
      <c r="HC287" s="801"/>
      <c r="HD287" s="801"/>
      <c r="HE287" s="801"/>
      <c r="HF287" s="801"/>
      <c r="HG287" s="801"/>
      <c r="HH287" s="801"/>
      <c r="HI287" s="801"/>
      <c r="HJ287" s="801"/>
      <c r="HK287" s="801"/>
      <c r="HL287" s="801"/>
      <c r="HM287" s="801"/>
      <c r="HN287" s="801"/>
      <c r="HO287" s="801"/>
      <c r="HP287" s="801"/>
      <c r="HQ287" s="801"/>
      <c r="HR287" s="801"/>
      <c r="HS287" s="801"/>
      <c r="HT287" s="801"/>
      <c r="HU287" s="801"/>
      <c r="HV287" s="801"/>
      <c r="HW287" s="801"/>
      <c r="HX287" s="801"/>
      <c r="HY287" s="801"/>
      <c r="HZ287" s="802"/>
      <c r="IA287" s="800" t="str">
        <f>IFERROR(IF(IZ277&gt;IA277-1,IF(INDEX(Lista_Pedidos,IY277+IA277-1,8)&lt;&gt;"","Forro :     "&amp; INDEX(Lista_Pedidos,IY277+IA277-1,8),""),""),"")</f>
        <v/>
      </c>
      <c r="IB287" s="801"/>
      <c r="IC287" s="801"/>
      <c r="ID287" s="801"/>
      <c r="IE287" s="801"/>
      <c r="IF287" s="801"/>
      <c r="IG287" s="801"/>
      <c r="IH287" s="801"/>
      <c r="II287" s="801"/>
      <c r="IJ287" s="801"/>
      <c r="IK287" s="801"/>
      <c r="IL287" s="801"/>
      <c r="IM287" s="801"/>
      <c r="IN287" s="801"/>
      <c r="IO287" s="801"/>
      <c r="IP287" s="801"/>
      <c r="IQ287" s="801"/>
      <c r="IR287" s="801"/>
      <c r="IS287" s="801"/>
      <c r="IT287" s="801"/>
      <c r="IU287" s="801"/>
      <c r="IV287" s="801"/>
      <c r="IW287" s="801"/>
      <c r="IX287" s="801"/>
      <c r="IY287" s="801"/>
      <c r="IZ287" s="802"/>
    </row>
    <row r="288" spans="1:260" x14ac:dyDescent="0.25">
      <c r="A288" s="800" t="str">
        <f>IF(A$5="Cliente Especial : NEON",IF(Z277&gt;A277-1,"Neon :      Si",""),"")</f>
        <v/>
      </c>
      <c r="B288" s="801"/>
      <c r="C288" s="801"/>
      <c r="D288" s="801"/>
      <c r="E288" s="801"/>
      <c r="F288" s="801"/>
      <c r="G288" s="801"/>
      <c r="H288" s="801"/>
      <c r="I288" s="801"/>
      <c r="J288" s="801"/>
      <c r="K288" s="801"/>
      <c r="L288" s="801"/>
      <c r="M288" s="801"/>
      <c r="N288" s="801"/>
      <c r="O288" s="801"/>
      <c r="P288" s="801"/>
      <c r="Q288" s="801"/>
      <c r="R288" s="801"/>
      <c r="S288" s="801"/>
      <c r="T288" s="801"/>
      <c r="U288" s="801"/>
      <c r="V288" s="801"/>
      <c r="W288" s="801"/>
      <c r="X288" s="801"/>
      <c r="Y288" s="801"/>
      <c r="Z288" s="802"/>
      <c r="AA288" s="800" t="str">
        <f>IF(AA$5="Cliente Especial : NEON",IF(AZ277&gt;AA277-1,"Neon :      Si",""),"")</f>
        <v/>
      </c>
      <c r="AB288" s="801"/>
      <c r="AC288" s="801"/>
      <c r="AD288" s="801"/>
      <c r="AE288" s="801"/>
      <c r="AF288" s="801"/>
      <c r="AG288" s="801"/>
      <c r="AH288" s="801"/>
      <c r="AI288" s="801"/>
      <c r="AJ288" s="801"/>
      <c r="AK288" s="801"/>
      <c r="AL288" s="801"/>
      <c r="AM288" s="801"/>
      <c r="AN288" s="801"/>
      <c r="AO288" s="801"/>
      <c r="AP288" s="801"/>
      <c r="AQ288" s="801"/>
      <c r="AR288" s="801"/>
      <c r="AS288" s="801"/>
      <c r="AT288" s="801"/>
      <c r="AU288" s="801"/>
      <c r="AV288" s="801"/>
      <c r="AW288" s="801"/>
      <c r="AX288" s="801"/>
      <c r="AY288" s="801"/>
      <c r="AZ288" s="802"/>
      <c r="BA288" s="800" t="str">
        <f>IF(BA$5="Cliente Especial : NEON",IF(BZ277&gt;BA277-1,"Neon :      Si",""),"")</f>
        <v/>
      </c>
      <c r="BB288" s="801"/>
      <c r="BC288" s="801"/>
      <c r="BD288" s="801"/>
      <c r="BE288" s="801"/>
      <c r="BF288" s="801"/>
      <c r="BG288" s="801"/>
      <c r="BH288" s="801"/>
      <c r="BI288" s="801"/>
      <c r="BJ288" s="801"/>
      <c r="BK288" s="801"/>
      <c r="BL288" s="801"/>
      <c r="BM288" s="801"/>
      <c r="BN288" s="801"/>
      <c r="BO288" s="801"/>
      <c r="BP288" s="801"/>
      <c r="BQ288" s="801"/>
      <c r="BR288" s="801"/>
      <c r="BS288" s="801"/>
      <c r="BT288" s="801"/>
      <c r="BU288" s="801"/>
      <c r="BV288" s="801"/>
      <c r="BW288" s="801"/>
      <c r="BX288" s="801"/>
      <c r="BY288" s="801"/>
      <c r="BZ288" s="802"/>
      <c r="CA288" s="800" t="str">
        <f>IF(CA$5="Cliente Especial : NEON",IF(CZ277&gt;CA277-1,"Neon :      Si",""),"")</f>
        <v/>
      </c>
      <c r="CB288" s="801"/>
      <c r="CC288" s="801"/>
      <c r="CD288" s="801"/>
      <c r="CE288" s="801"/>
      <c r="CF288" s="801"/>
      <c r="CG288" s="801"/>
      <c r="CH288" s="801"/>
      <c r="CI288" s="801"/>
      <c r="CJ288" s="801"/>
      <c r="CK288" s="801"/>
      <c r="CL288" s="801"/>
      <c r="CM288" s="801"/>
      <c r="CN288" s="801"/>
      <c r="CO288" s="801"/>
      <c r="CP288" s="801"/>
      <c r="CQ288" s="801"/>
      <c r="CR288" s="801"/>
      <c r="CS288" s="801"/>
      <c r="CT288" s="801"/>
      <c r="CU288" s="801"/>
      <c r="CV288" s="801"/>
      <c r="CW288" s="801"/>
      <c r="CX288" s="801"/>
      <c r="CY288" s="801"/>
      <c r="CZ288" s="802"/>
      <c r="DA288" s="800" t="str">
        <f>IF(DA$5="Cliente Especial : NEON",IF(DZ277&gt;DA277-1,"Neon :      Si",""),"")</f>
        <v/>
      </c>
      <c r="DB288" s="801"/>
      <c r="DC288" s="801"/>
      <c r="DD288" s="801"/>
      <c r="DE288" s="801"/>
      <c r="DF288" s="801"/>
      <c r="DG288" s="801"/>
      <c r="DH288" s="801"/>
      <c r="DI288" s="801"/>
      <c r="DJ288" s="801"/>
      <c r="DK288" s="801"/>
      <c r="DL288" s="801"/>
      <c r="DM288" s="801"/>
      <c r="DN288" s="801"/>
      <c r="DO288" s="801"/>
      <c r="DP288" s="801"/>
      <c r="DQ288" s="801"/>
      <c r="DR288" s="801"/>
      <c r="DS288" s="801"/>
      <c r="DT288" s="801"/>
      <c r="DU288" s="801"/>
      <c r="DV288" s="801"/>
      <c r="DW288" s="801"/>
      <c r="DX288" s="801"/>
      <c r="DY288" s="801"/>
      <c r="DZ288" s="802"/>
      <c r="EA288" s="800" t="str">
        <f>IF(EA$5="Cliente Especial : NEON",IF(EZ277&gt;EA277-1,"Neon :      Si",""),"")</f>
        <v/>
      </c>
      <c r="EB288" s="801"/>
      <c r="EC288" s="801"/>
      <c r="ED288" s="801"/>
      <c r="EE288" s="801"/>
      <c r="EF288" s="801"/>
      <c r="EG288" s="801"/>
      <c r="EH288" s="801"/>
      <c r="EI288" s="801"/>
      <c r="EJ288" s="801"/>
      <c r="EK288" s="801"/>
      <c r="EL288" s="801"/>
      <c r="EM288" s="801"/>
      <c r="EN288" s="801"/>
      <c r="EO288" s="801"/>
      <c r="EP288" s="801"/>
      <c r="EQ288" s="801"/>
      <c r="ER288" s="801"/>
      <c r="ES288" s="801"/>
      <c r="ET288" s="801"/>
      <c r="EU288" s="801"/>
      <c r="EV288" s="801"/>
      <c r="EW288" s="801"/>
      <c r="EX288" s="801"/>
      <c r="EY288" s="801"/>
      <c r="EZ288" s="802"/>
      <c r="FA288" s="800" t="str">
        <f>IF(FA$5="Cliente Especial : NEON",IF(FZ277&gt;FA277-1,"Neon :      Si",""),"")</f>
        <v/>
      </c>
      <c r="FB288" s="801"/>
      <c r="FC288" s="801"/>
      <c r="FD288" s="801"/>
      <c r="FE288" s="801"/>
      <c r="FF288" s="801"/>
      <c r="FG288" s="801"/>
      <c r="FH288" s="801"/>
      <c r="FI288" s="801"/>
      <c r="FJ288" s="801"/>
      <c r="FK288" s="801"/>
      <c r="FL288" s="801"/>
      <c r="FM288" s="801"/>
      <c r="FN288" s="801"/>
      <c r="FO288" s="801"/>
      <c r="FP288" s="801"/>
      <c r="FQ288" s="801"/>
      <c r="FR288" s="801"/>
      <c r="FS288" s="801"/>
      <c r="FT288" s="801"/>
      <c r="FU288" s="801"/>
      <c r="FV288" s="801"/>
      <c r="FW288" s="801"/>
      <c r="FX288" s="801"/>
      <c r="FY288" s="801"/>
      <c r="FZ288" s="802"/>
      <c r="GA288" s="800" t="str">
        <f>IF(GA$5="Cliente Especial : NEON",IF(GZ277&gt;GA277-1,"Neon :      Si",""),"")</f>
        <v/>
      </c>
      <c r="GB288" s="801"/>
      <c r="GC288" s="801"/>
      <c r="GD288" s="801"/>
      <c r="GE288" s="801"/>
      <c r="GF288" s="801"/>
      <c r="GG288" s="801"/>
      <c r="GH288" s="801"/>
      <c r="GI288" s="801"/>
      <c r="GJ288" s="801"/>
      <c r="GK288" s="801"/>
      <c r="GL288" s="801"/>
      <c r="GM288" s="801"/>
      <c r="GN288" s="801"/>
      <c r="GO288" s="801"/>
      <c r="GP288" s="801"/>
      <c r="GQ288" s="801"/>
      <c r="GR288" s="801"/>
      <c r="GS288" s="801"/>
      <c r="GT288" s="801"/>
      <c r="GU288" s="801"/>
      <c r="GV288" s="801"/>
      <c r="GW288" s="801"/>
      <c r="GX288" s="801"/>
      <c r="GY288" s="801"/>
      <c r="GZ288" s="802"/>
      <c r="HA288" s="800" t="str">
        <f>IF(HA$5="Cliente Especial : NEON",IF(HZ277&gt;HA277-1,"Neon :      Si",""),"")</f>
        <v/>
      </c>
      <c r="HB288" s="801"/>
      <c r="HC288" s="801"/>
      <c r="HD288" s="801"/>
      <c r="HE288" s="801"/>
      <c r="HF288" s="801"/>
      <c r="HG288" s="801"/>
      <c r="HH288" s="801"/>
      <c r="HI288" s="801"/>
      <c r="HJ288" s="801"/>
      <c r="HK288" s="801"/>
      <c r="HL288" s="801"/>
      <c r="HM288" s="801"/>
      <c r="HN288" s="801"/>
      <c r="HO288" s="801"/>
      <c r="HP288" s="801"/>
      <c r="HQ288" s="801"/>
      <c r="HR288" s="801"/>
      <c r="HS288" s="801"/>
      <c r="HT288" s="801"/>
      <c r="HU288" s="801"/>
      <c r="HV288" s="801"/>
      <c r="HW288" s="801"/>
      <c r="HX288" s="801"/>
      <c r="HY288" s="801"/>
      <c r="HZ288" s="802"/>
      <c r="IA288" s="800" t="str">
        <f>IF(IA$5="Cliente Especial : NEON",IF(IZ277&gt;IA277-1,"Neon :      Si",""),"")</f>
        <v/>
      </c>
      <c r="IB288" s="801"/>
      <c r="IC288" s="801"/>
      <c r="ID288" s="801"/>
      <c r="IE288" s="801"/>
      <c r="IF288" s="801"/>
      <c r="IG288" s="801"/>
      <c r="IH288" s="801"/>
      <c r="II288" s="801"/>
      <c r="IJ288" s="801"/>
      <c r="IK288" s="801"/>
      <c r="IL288" s="801"/>
      <c r="IM288" s="801"/>
      <c r="IN288" s="801"/>
      <c r="IO288" s="801"/>
      <c r="IP288" s="801"/>
      <c r="IQ288" s="801"/>
      <c r="IR288" s="801"/>
      <c r="IS288" s="801"/>
      <c r="IT288" s="801"/>
      <c r="IU288" s="801"/>
      <c r="IV288" s="801"/>
      <c r="IW288" s="801"/>
      <c r="IX288" s="801"/>
      <c r="IY288" s="801"/>
      <c r="IZ288" s="802"/>
    </row>
    <row r="289" spans="1:260" x14ac:dyDescent="0.25">
      <c r="A289" s="800" t="str">
        <f>IFERROR(IF(Z277&gt;A277-1,IF(INDEX(Pedidos!J:AZ,Y277+A277-1,9)&lt;&gt;"","Cierre :     "&amp; INDEX(Pedidos!J:AZ,Y277+A277-1,9),""),""),"")</f>
        <v/>
      </c>
      <c r="B289" s="801"/>
      <c r="C289" s="801"/>
      <c r="D289" s="801"/>
      <c r="E289" s="801"/>
      <c r="F289" s="801"/>
      <c r="G289" s="801"/>
      <c r="H289" s="801"/>
      <c r="I289" s="801"/>
      <c r="J289" s="801"/>
      <c r="K289" s="801"/>
      <c r="L289" s="801"/>
      <c r="M289" s="801"/>
      <c r="N289" s="801"/>
      <c r="O289" s="801"/>
      <c r="P289" s="801"/>
      <c r="Q289" s="801"/>
      <c r="R289" s="801"/>
      <c r="S289" s="801"/>
      <c r="T289" s="801"/>
      <c r="U289" s="801"/>
      <c r="V289" s="801"/>
      <c r="W289" s="801"/>
      <c r="X289" s="801"/>
      <c r="Y289" s="801"/>
      <c r="Z289" s="802"/>
      <c r="AA289" s="800" t="str">
        <f>IFERROR(IF(AZ277&gt;AA277-1,IF(INDEX(Pedidos!AJ:BZ,AY277+AA277-1,9)&lt;&gt;"","Cierre :     "&amp; INDEX(Pedidos!AJ:BZ,AY277+AA277-1,9),""),""),"")</f>
        <v/>
      </c>
      <c r="AB289" s="801"/>
      <c r="AC289" s="801"/>
      <c r="AD289" s="801"/>
      <c r="AE289" s="801"/>
      <c r="AF289" s="801"/>
      <c r="AG289" s="801"/>
      <c r="AH289" s="801"/>
      <c r="AI289" s="801"/>
      <c r="AJ289" s="801"/>
      <c r="AK289" s="801"/>
      <c r="AL289" s="801"/>
      <c r="AM289" s="801"/>
      <c r="AN289" s="801"/>
      <c r="AO289" s="801"/>
      <c r="AP289" s="801"/>
      <c r="AQ289" s="801"/>
      <c r="AR289" s="801"/>
      <c r="AS289" s="801"/>
      <c r="AT289" s="801"/>
      <c r="AU289" s="801"/>
      <c r="AV289" s="801"/>
      <c r="AW289" s="801"/>
      <c r="AX289" s="801"/>
      <c r="AY289" s="801"/>
      <c r="AZ289" s="802"/>
      <c r="BA289" s="800" t="str">
        <f>IFERROR(IF(BZ277&gt;BA277-1,IF(INDEX(Pedidos!BJ:CZ,BY277+BA277-1,9)&lt;&gt;"","Cierre :     "&amp; INDEX(Pedidos!BJ:CZ,BY277+BA277-1,9),""),""),"")</f>
        <v/>
      </c>
      <c r="BB289" s="801"/>
      <c r="BC289" s="801"/>
      <c r="BD289" s="801"/>
      <c r="BE289" s="801"/>
      <c r="BF289" s="801"/>
      <c r="BG289" s="801"/>
      <c r="BH289" s="801"/>
      <c r="BI289" s="801"/>
      <c r="BJ289" s="801"/>
      <c r="BK289" s="801"/>
      <c r="BL289" s="801"/>
      <c r="BM289" s="801"/>
      <c r="BN289" s="801"/>
      <c r="BO289" s="801"/>
      <c r="BP289" s="801"/>
      <c r="BQ289" s="801"/>
      <c r="BR289" s="801"/>
      <c r="BS289" s="801"/>
      <c r="BT289" s="801"/>
      <c r="BU289" s="801"/>
      <c r="BV289" s="801"/>
      <c r="BW289" s="801"/>
      <c r="BX289" s="801"/>
      <c r="BY289" s="801"/>
      <c r="BZ289" s="802"/>
      <c r="CA289" s="800" t="str">
        <f>IFERROR(IF(CZ277&gt;CA277-1,IF(INDEX(Pedidos!CJ:DZ,CY277+CA277-1,9)&lt;&gt;"","Cierre :     "&amp; INDEX(Pedidos!CJ:DZ,CY277+CA277-1,9),""),""),"")</f>
        <v/>
      </c>
      <c r="CB289" s="801"/>
      <c r="CC289" s="801"/>
      <c r="CD289" s="801"/>
      <c r="CE289" s="801"/>
      <c r="CF289" s="801"/>
      <c r="CG289" s="801"/>
      <c r="CH289" s="801"/>
      <c r="CI289" s="801"/>
      <c r="CJ289" s="801"/>
      <c r="CK289" s="801"/>
      <c r="CL289" s="801"/>
      <c r="CM289" s="801"/>
      <c r="CN289" s="801"/>
      <c r="CO289" s="801"/>
      <c r="CP289" s="801"/>
      <c r="CQ289" s="801"/>
      <c r="CR289" s="801"/>
      <c r="CS289" s="801"/>
      <c r="CT289" s="801"/>
      <c r="CU289" s="801"/>
      <c r="CV289" s="801"/>
      <c r="CW289" s="801"/>
      <c r="CX289" s="801"/>
      <c r="CY289" s="801"/>
      <c r="CZ289" s="802"/>
      <c r="DA289" s="800" t="str">
        <f>IFERROR(IF(DZ277&gt;DA277-1,IF(INDEX(Pedidos!DJ:EZ,DY277+DA277-1,9)&lt;&gt;"","Cierre :     "&amp; INDEX(Pedidos!DJ:EZ,DY277+DA277-1,9),""),""),"")</f>
        <v/>
      </c>
      <c r="DB289" s="801"/>
      <c r="DC289" s="801"/>
      <c r="DD289" s="801"/>
      <c r="DE289" s="801"/>
      <c r="DF289" s="801"/>
      <c r="DG289" s="801"/>
      <c r="DH289" s="801"/>
      <c r="DI289" s="801"/>
      <c r="DJ289" s="801"/>
      <c r="DK289" s="801"/>
      <c r="DL289" s="801"/>
      <c r="DM289" s="801"/>
      <c r="DN289" s="801"/>
      <c r="DO289" s="801"/>
      <c r="DP289" s="801"/>
      <c r="DQ289" s="801"/>
      <c r="DR289" s="801"/>
      <c r="DS289" s="801"/>
      <c r="DT289" s="801"/>
      <c r="DU289" s="801"/>
      <c r="DV289" s="801"/>
      <c r="DW289" s="801"/>
      <c r="DX289" s="801"/>
      <c r="DY289" s="801"/>
      <c r="DZ289" s="802"/>
      <c r="EA289" s="800" t="str">
        <f>IFERROR(IF(EZ277&gt;EA277-1,IF(INDEX(Pedidos!EJ:FZ,EY277+EA277-1,9)&lt;&gt;"","Cierre :     "&amp; INDEX(Pedidos!EJ:FZ,EY277+EA277-1,9),""),""),"")</f>
        <v/>
      </c>
      <c r="EB289" s="801"/>
      <c r="EC289" s="801"/>
      <c r="ED289" s="801"/>
      <c r="EE289" s="801"/>
      <c r="EF289" s="801"/>
      <c r="EG289" s="801"/>
      <c r="EH289" s="801"/>
      <c r="EI289" s="801"/>
      <c r="EJ289" s="801"/>
      <c r="EK289" s="801"/>
      <c r="EL289" s="801"/>
      <c r="EM289" s="801"/>
      <c r="EN289" s="801"/>
      <c r="EO289" s="801"/>
      <c r="EP289" s="801"/>
      <c r="EQ289" s="801"/>
      <c r="ER289" s="801"/>
      <c r="ES289" s="801"/>
      <c r="ET289" s="801"/>
      <c r="EU289" s="801"/>
      <c r="EV289" s="801"/>
      <c r="EW289" s="801"/>
      <c r="EX289" s="801"/>
      <c r="EY289" s="801"/>
      <c r="EZ289" s="802"/>
      <c r="FA289" s="800" t="str">
        <f>IFERROR(IF(FZ277&gt;FA277-1,IF(INDEX(Pedidos!FJ:GZ,FY277+FA277-1,9)&lt;&gt;"","Cierre :     "&amp; INDEX(Pedidos!FJ:GZ,FY277+FA277-1,9),""),""),"")</f>
        <v/>
      </c>
      <c r="FB289" s="801"/>
      <c r="FC289" s="801"/>
      <c r="FD289" s="801"/>
      <c r="FE289" s="801"/>
      <c r="FF289" s="801"/>
      <c r="FG289" s="801"/>
      <c r="FH289" s="801"/>
      <c r="FI289" s="801"/>
      <c r="FJ289" s="801"/>
      <c r="FK289" s="801"/>
      <c r="FL289" s="801"/>
      <c r="FM289" s="801"/>
      <c r="FN289" s="801"/>
      <c r="FO289" s="801"/>
      <c r="FP289" s="801"/>
      <c r="FQ289" s="801"/>
      <c r="FR289" s="801"/>
      <c r="FS289" s="801"/>
      <c r="FT289" s="801"/>
      <c r="FU289" s="801"/>
      <c r="FV289" s="801"/>
      <c r="FW289" s="801"/>
      <c r="FX289" s="801"/>
      <c r="FY289" s="801"/>
      <c r="FZ289" s="802"/>
      <c r="GA289" s="800" t="str">
        <f>IFERROR(IF(GZ277&gt;GA277-1,IF(INDEX(Pedidos!GJ:HZ,GY277+GA277-1,9)&lt;&gt;"","Cierre :     "&amp; INDEX(Pedidos!GJ:HZ,GY277+GA277-1,9),""),""),"")</f>
        <v/>
      </c>
      <c r="GB289" s="801"/>
      <c r="GC289" s="801"/>
      <c r="GD289" s="801"/>
      <c r="GE289" s="801"/>
      <c r="GF289" s="801"/>
      <c r="GG289" s="801"/>
      <c r="GH289" s="801"/>
      <c r="GI289" s="801"/>
      <c r="GJ289" s="801"/>
      <c r="GK289" s="801"/>
      <c r="GL289" s="801"/>
      <c r="GM289" s="801"/>
      <c r="GN289" s="801"/>
      <c r="GO289" s="801"/>
      <c r="GP289" s="801"/>
      <c r="GQ289" s="801"/>
      <c r="GR289" s="801"/>
      <c r="GS289" s="801"/>
      <c r="GT289" s="801"/>
      <c r="GU289" s="801"/>
      <c r="GV289" s="801"/>
      <c r="GW289" s="801"/>
      <c r="GX289" s="801"/>
      <c r="GY289" s="801"/>
      <c r="GZ289" s="802"/>
      <c r="HA289" s="800" t="str">
        <f>IFERROR(IF(HZ277&gt;HA277-1,IF(INDEX(Pedidos!HJ:IZ,HY277+HA277-1,9)&lt;&gt;"","Cierre :     "&amp; INDEX(Pedidos!HJ:IZ,HY277+HA277-1,9),""),""),"")</f>
        <v/>
      </c>
      <c r="HB289" s="801"/>
      <c r="HC289" s="801"/>
      <c r="HD289" s="801"/>
      <c r="HE289" s="801"/>
      <c r="HF289" s="801"/>
      <c r="HG289" s="801"/>
      <c r="HH289" s="801"/>
      <c r="HI289" s="801"/>
      <c r="HJ289" s="801"/>
      <c r="HK289" s="801"/>
      <c r="HL289" s="801"/>
      <c r="HM289" s="801"/>
      <c r="HN289" s="801"/>
      <c r="HO289" s="801"/>
      <c r="HP289" s="801"/>
      <c r="HQ289" s="801"/>
      <c r="HR289" s="801"/>
      <c r="HS289" s="801"/>
      <c r="HT289" s="801"/>
      <c r="HU289" s="801"/>
      <c r="HV289" s="801"/>
      <c r="HW289" s="801"/>
      <c r="HX289" s="801"/>
      <c r="HY289" s="801"/>
      <c r="HZ289" s="802"/>
      <c r="IA289" s="800" t="str">
        <f>IFERROR(IF(IZ277&gt;IA277-1,IF(INDEX(Pedidos!IJ:JZ,IY277+IA277-1,9)&lt;&gt;"","Cierre :     "&amp; INDEX(Pedidos!IJ:JZ,IY277+IA277-1,9),""),""),"")</f>
        <v/>
      </c>
      <c r="IB289" s="801"/>
      <c r="IC289" s="801"/>
      <c r="ID289" s="801"/>
      <c r="IE289" s="801"/>
      <c r="IF289" s="801"/>
      <c r="IG289" s="801"/>
      <c r="IH289" s="801"/>
      <c r="II289" s="801"/>
      <c r="IJ289" s="801"/>
      <c r="IK289" s="801"/>
      <c r="IL289" s="801"/>
      <c r="IM289" s="801"/>
      <c r="IN289" s="801"/>
      <c r="IO289" s="801"/>
      <c r="IP289" s="801"/>
      <c r="IQ289" s="801"/>
      <c r="IR289" s="801"/>
      <c r="IS289" s="801"/>
      <c r="IT289" s="801"/>
      <c r="IU289" s="801"/>
      <c r="IV289" s="801"/>
      <c r="IW289" s="801"/>
      <c r="IX289" s="801"/>
      <c r="IY289" s="801"/>
      <c r="IZ289" s="802"/>
    </row>
    <row r="290" spans="1:260" x14ac:dyDescent="0.25">
      <c r="A290" s="800" t="str">
        <f>IFERROR(IF(Z277&gt;A277-1,IF(INDEX(Pedidos!J:AZ,Y277+A277-1,11)&lt;&gt;"","Cordon :     "&amp; INDEX(Pedidos!J:AZ,Y277+A277-1,11),""),""),"")</f>
        <v/>
      </c>
      <c r="B290" s="801"/>
      <c r="C290" s="801"/>
      <c r="D290" s="801"/>
      <c r="E290" s="801"/>
      <c r="F290" s="801"/>
      <c r="G290" s="801"/>
      <c r="H290" s="801"/>
      <c r="I290" s="801"/>
      <c r="J290" s="801"/>
      <c r="K290" s="801"/>
      <c r="L290" s="801"/>
      <c r="M290" s="801"/>
      <c r="N290" s="801"/>
      <c r="O290" s="801"/>
      <c r="P290" s="801"/>
      <c r="Q290" s="801"/>
      <c r="R290" s="801"/>
      <c r="S290" s="801"/>
      <c r="T290" s="801"/>
      <c r="U290" s="801"/>
      <c r="V290" s="801"/>
      <c r="W290" s="801"/>
      <c r="X290" s="801"/>
      <c r="Y290" s="801"/>
      <c r="Z290" s="802"/>
      <c r="AA290" s="800" t="str">
        <f>IFERROR(IF(AZ277&gt;AA277-1,IF(INDEX(Pedidos!AJ:BZ,AY277+AA277-1,11)&lt;&gt;"","Cordon :     "&amp; INDEX(Pedidos!AJ:BZ,AY277+AA277-1,11),""),""),"")</f>
        <v/>
      </c>
      <c r="AB290" s="801"/>
      <c r="AC290" s="801"/>
      <c r="AD290" s="801"/>
      <c r="AE290" s="801"/>
      <c r="AF290" s="801"/>
      <c r="AG290" s="801"/>
      <c r="AH290" s="801"/>
      <c r="AI290" s="801"/>
      <c r="AJ290" s="801"/>
      <c r="AK290" s="801"/>
      <c r="AL290" s="801"/>
      <c r="AM290" s="801"/>
      <c r="AN290" s="801"/>
      <c r="AO290" s="801"/>
      <c r="AP290" s="801"/>
      <c r="AQ290" s="801"/>
      <c r="AR290" s="801"/>
      <c r="AS290" s="801"/>
      <c r="AT290" s="801"/>
      <c r="AU290" s="801"/>
      <c r="AV290" s="801"/>
      <c r="AW290" s="801"/>
      <c r="AX290" s="801"/>
      <c r="AY290" s="801"/>
      <c r="AZ290" s="802"/>
      <c r="BA290" s="800" t="str">
        <f>IFERROR(IF(BZ277&gt;BA277-1,IF(INDEX(Pedidos!BJ:CZ,BY277+BA277-1,11)&lt;&gt;"","Cordon :     "&amp; INDEX(Pedidos!BJ:CZ,BY277+BA277-1,11),""),""),"")</f>
        <v/>
      </c>
      <c r="BB290" s="801"/>
      <c r="BC290" s="801"/>
      <c r="BD290" s="801"/>
      <c r="BE290" s="801"/>
      <c r="BF290" s="801"/>
      <c r="BG290" s="801"/>
      <c r="BH290" s="801"/>
      <c r="BI290" s="801"/>
      <c r="BJ290" s="801"/>
      <c r="BK290" s="801"/>
      <c r="BL290" s="801"/>
      <c r="BM290" s="801"/>
      <c r="BN290" s="801"/>
      <c r="BO290" s="801"/>
      <c r="BP290" s="801"/>
      <c r="BQ290" s="801"/>
      <c r="BR290" s="801"/>
      <c r="BS290" s="801"/>
      <c r="BT290" s="801"/>
      <c r="BU290" s="801"/>
      <c r="BV290" s="801"/>
      <c r="BW290" s="801"/>
      <c r="BX290" s="801"/>
      <c r="BY290" s="801"/>
      <c r="BZ290" s="802"/>
      <c r="CA290" s="800" t="str">
        <f>IFERROR(IF(CZ277&gt;CA277-1,IF(INDEX(Pedidos!CJ:DZ,CY277+CA277-1,11)&lt;&gt;"","Cordon :     "&amp; INDEX(Pedidos!CJ:DZ,CY277+CA277-1,11),""),""),"")</f>
        <v/>
      </c>
      <c r="CB290" s="801"/>
      <c r="CC290" s="801"/>
      <c r="CD290" s="801"/>
      <c r="CE290" s="801"/>
      <c r="CF290" s="801"/>
      <c r="CG290" s="801"/>
      <c r="CH290" s="801"/>
      <c r="CI290" s="801"/>
      <c r="CJ290" s="801"/>
      <c r="CK290" s="801"/>
      <c r="CL290" s="801"/>
      <c r="CM290" s="801"/>
      <c r="CN290" s="801"/>
      <c r="CO290" s="801"/>
      <c r="CP290" s="801"/>
      <c r="CQ290" s="801"/>
      <c r="CR290" s="801"/>
      <c r="CS290" s="801"/>
      <c r="CT290" s="801"/>
      <c r="CU290" s="801"/>
      <c r="CV290" s="801"/>
      <c r="CW290" s="801"/>
      <c r="CX290" s="801"/>
      <c r="CY290" s="801"/>
      <c r="CZ290" s="802"/>
      <c r="DA290" s="800" t="str">
        <f>IFERROR(IF(DZ277&gt;DA277-1,IF(INDEX(Pedidos!DJ:EZ,DY277+DA277-1,11)&lt;&gt;"","Cordon :     "&amp; INDEX(Pedidos!DJ:EZ,DY277+DA277-1,11),""),""),"")</f>
        <v/>
      </c>
      <c r="DB290" s="801"/>
      <c r="DC290" s="801"/>
      <c r="DD290" s="801"/>
      <c r="DE290" s="801"/>
      <c r="DF290" s="801"/>
      <c r="DG290" s="801"/>
      <c r="DH290" s="801"/>
      <c r="DI290" s="801"/>
      <c r="DJ290" s="801"/>
      <c r="DK290" s="801"/>
      <c r="DL290" s="801"/>
      <c r="DM290" s="801"/>
      <c r="DN290" s="801"/>
      <c r="DO290" s="801"/>
      <c r="DP290" s="801"/>
      <c r="DQ290" s="801"/>
      <c r="DR290" s="801"/>
      <c r="DS290" s="801"/>
      <c r="DT290" s="801"/>
      <c r="DU290" s="801"/>
      <c r="DV290" s="801"/>
      <c r="DW290" s="801"/>
      <c r="DX290" s="801"/>
      <c r="DY290" s="801"/>
      <c r="DZ290" s="802"/>
      <c r="EA290" s="800" t="str">
        <f>IFERROR(IF(EZ277&gt;EA277-1,IF(INDEX(Pedidos!EJ:FZ,EY277+EA277-1,11)&lt;&gt;"","Cordon :     "&amp; INDEX(Pedidos!EJ:FZ,EY277+EA277-1,11),""),""),"")</f>
        <v/>
      </c>
      <c r="EB290" s="801"/>
      <c r="EC290" s="801"/>
      <c r="ED290" s="801"/>
      <c r="EE290" s="801"/>
      <c r="EF290" s="801"/>
      <c r="EG290" s="801"/>
      <c r="EH290" s="801"/>
      <c r="EI290" s="801"/>
      <c r="EJ290" s="801"/>
      <c r="EK290" s="801"/>
      <c r="EL290" s="801"/>
      <c r="EM290" s="801"/>
      <c r="EN290" s="801"/>
      <c r="EO290" s="801"/>
      <c r="EP290" s="801"/>
      <c r="EQ290" s="801"/>
      <c r="ER290" s="801"/>
      <c r="ES290" s="801"/>
      <c r="ET290" s="801"/>
      <c r="EU290" s="801"/>
      <c r="EV290" s="801"/>
      <c r="EW290" s="801"/>
      <c r="EX290" s="801"/>
      <c r="EY290" s="801"/>
      <c r="EZ290" s="802"/>
      <c r="FA290" s="800" t="str">
        <f>IFERROR(IF(FZ277&gt;FA277-1,IF(INDEX(Pedidos!FJ:GZ,FY277+FA277-1,11)&lt;&gt;"","Cordon :     "&amp; INDEX(Pedidos!FJ:GZ,FY277+FA277-1,11),""),""),"")</f>
        <v/>
      </c>
      <c r="FB290" s="801"/>
      <c r="FC290" s="801"/>
      <c r="FD290" s="801"/>
      <c r="FE290" s="801"/>
      <c r="FF290" s="801"/>
      <c r="FG290" s="801"/>
      <c r="FH290" s="801"/>
      <c r="FI290" s="801"/>
      <c r="FJ290" s="801"/>
      <c r="FK290" s="801"/>
      <c r="FL290" s="801"/>
      <c r="FM290" s="801"/>
      <c r="FN290" s="801"/>
      <c r="FO290" s="801"/>
      <c r="FP290" s="801"/>
      <c r="FQ290" s="801"/>
      <c r="FR290" s="801"/>
      <c r="FS290" s="801"/>
      <c r="FT290" s="801"/>
      <c r="FU290" s="801"/>
      <c r="FV290" s="801"/>
      <c r="FW290" s="801"/>
      <c r="FX290" s="801"/>
      <c r="FY290" s="801"/>
      <c r="FZ290" s="802"/>
      <c r="GA290" s="800" t="str">
        <f>IFERROR(IF(GZ277&gt;GA277-1,IF(INDEX(Pedidos!GJ:HZ,GY277+GA277-1,11)&lt;&gt;"","Cordon :     "&amp; INDEX(Pedidos!GJ:HZ,GY277+GA277-1,11),""),""),"")</f>
        <v/>
      </c>
      <c r="GB290" s="801"/>
      <c r="GC290" s="801"/>
      <c r="GD290" s="801"/>
      <c r="GE290" s="801"/>
      <c r="GF290" s="801"/>
      <c r="GG290" s="801"/>
      <c r="GH290" s="801"/>
      <c r="GI290" s="801"/>
      <c r="GJ290" s="801"/>
      <c r="GK290" s="801"/>
      <c r="GL290" s="801"/>
      <c r="GM290" s="801"/>
      <c r="GN290" s="801"/>
      <c r="GO290" s="801"/>
      <c r="GP290" s="801"/>
      <c r="GQ290" s="801"/>
      <c r="GR290" s="801"/>
      <c r="GS290" s="801"/>
      <c r="GT290" s="801"/>
      <c r="GU290" s="801"/>
      <c r="GV290" s="801"/>
      <c r="GW290" s="801"/>
      <c r="GX290" s="801"/>
      <c r="GY290" s="801"/>
      <c r="GZ290" s="802"/>
      <c r="HA290" s="800" t="str">
        <f>IFERROR(IF(HZ277&gt;HA277-1,IF(INDEX(Pedidos!HJ:IZ,HY277+HA277-1,11)&lt;&gt;"","Cordon :     "&amp; INDEX(Pedidos!HJ:IZ,HY277+HA277-1,11),""),""),"")</f>
        <v/>
      </c>
      <c r="HB290" s="801"/>
      <c r="HC290" s="801"/>
      <c r="HD290" s="801"/>
      <c r="HE290" s="801"/>
      <c r="HF290" s="801"/>
      <c r="HG290" s="801"/>
      <c r="HH290" s="801"/>
      <c r="HI290" s="801"/>
      <c r="HJ290" s="801"/>
      <c r="HK290" s="801"/>
      <c r="HL290" s="801"/>
      <c r="HM290" s="801"/>
      <c r="HN290" s="801"/>
      <c r="HO290" s="801"/>
      <c r="HP290" s="801"/>
      <c r="HQ290" s="801"/>
      <c r="HR290" s="801"/>
      <c r="HS290" s="801"/>
      <c r="HT290" s="801"/>
      <c r="HU290" s="801"/>
      <c r="HV290" s="801"/>
      <c r="HW290" s="801"/>
      <c r="HX290" s="801"/>
      <c r="HY290" s="801"/>
      <c r="HZ290" s="802"/>
      <c r="IA290" s="800" t="str">
        <f>IFERROR(IF(IZ277&gt;IA277-1,IF(INDEX(Pedidos!IJ:JZ,IY277+IA277-1,11)&lt;&gt;"","Cordon :     "&amp; INDEX(Pedidos!IJ:JZ,IY277+IA277-1,11),""),""),"")</f>
        <v/>
      </c>
      <c r="IB290" s="801"/>
      <c r="IC290" s="801"/>
      <c r="ID290" s="801"/>
      <c r="IE290" s="801"/>
      <c r="IF290" s="801"/>
      <c r="IG290" s="801"/>
      <c r="IH290" s="801"/>
      <c r="II290" s="801"/>
      <c r="IJ290" s="801"/>
      <c r="IK290" s="801"/>
      <c r="IL290" s="801"/>
      <c r="IM290" s="801"/>
      <c r="IN290" s="801"/>
      <c r="IO290" s="801"/>
      <c r="IP290" s="801"/>
      <c r="IQ290" s="801"/>
      <c r="IR290" s="801"/>
      <c r="IS290" s="801"/>
      <c r="IT290" s="801"/>
      <c r="IU290" s="801"/>
      <c r="IV290" s="801"/>
      <c r="IW290" s="801"/>
      <c r="IX290" s="801"/>
      <c r="IY290" s="801"/>
      <c r="IZ290" s="802"/>
    </row>
    <row r="291" spans="1:260" x14ac:dyDescent="0.25">
      <c r="A291" s="800" t="str">
        <f>IFERROR(IF(Z277&gt;A277-1,IF(INDEX(Pedidos!J:AZ,Y277+A277-1,12)&lt;&gt;"","Color Cordon :     "&amp; INDEX(Pedidos!J:AZ,Y277+A277-1,12),""),""),"")</f>
        <v/>
      </c>
      <c r="B291" s="801"/>
      <c r="C291" s="801"/>
      <c r="D291" s="801"/>
      <c r="E291" s="801"/>
      <c r="F291" s="801"/>
      <c r="G291" s="801"/>
      <c r="H291" s="801"/>
      <c r="I291" s="801"/>
      <c r="J291" s="801"/>
      <c r="K291" s="801"/>
      <c r="L291" s="801"/>
      <c r="M291" s="801"/>
      <c r="N291" s="801"/>
      <c r="O291" s="801"/>
      <c r="P291" s="801"/>
      <c r="Q291" s="801"/>
      <c r="R291" s="801"/>
      <c r="S291" s="801"/>
      <c r="T291" s="801"/>
      <c r="U291" s="801"/>
      <c r="V291" s="801"/>
      <c r="W291" s="801"/>
      <c r="X291" s="801"/>
      <c r="Y291" s="801"/>
      <c r="Z291" s="802"/>
      <c r="AA291" s="800" t="str">
        <f>IFERROR(IF(AZ277&gt;AA277-1,IF(INDEX(Pedidos!AJ:BZ,AY277+AA277-1,12)&lt;&gt;"","Color Cordon :     "&amp; INDEX(Pedidos!AJ:BZ,AY277+AA277-1,12),""),""),"")</f>
        <v/>
      </c>
      <c r="AB291" s="801"/>
      <c r="AC291" s="801"/>
      <c r="AD291" s="801"/>
      <c r="AE291" s="801"/>
      <c r="AF291" s="801"/>
      <c r="AG291" s="801"/>
      <c r="AH291" s="801"/>
      <c r="AI291" s="801"/>
      <c r="AJ291" s="801"/>
      <c r="AK291" s="801"/>
      <c r="AL291" s="801"/>
      <c r="AM291" s="801"/>
      <c r="AN291" s="801"/>
      <c r="AO291" s="801"/>
      <c r="AP291" s="801"/>
      <c r="AQ291" s="801"/>
      <c r="AR291" s="801"/>
      <c r="AS291" s="801"/>
      <c r="AT291" s="801"/>
      <c r="AU291" s="801"/>
      <c r="AV291" s="801"/>
      <c r="AW291" s="801"/>
      <c r="AX291" s="801"/>
      <c r="AY291" s="801"/>
      <c r="AZ291" s="802"/>
      <c r="BA291" s="800" t="str">
        <f>IFERROR(IF(BZ277&gt;BA277-1,IF(INDEX(Pedidos!BJ:CZ,BY277+BA277-1,12)&lt;&gt;"","Color Cordon :     "&amp; INDEX(Pedidos!BJ:CZ,BY277+BA277-1,12),""),""),"")</f>
        <v/>
      </c>
      <c r="BB291" s="801"/>
      <c r="BC291" s="801"/>
      <c r="BD291" s="801"/>
      <c r="BE291" s="801"/>
      <c r="BF291" s="801"/>
      <c r="BG291" s="801"/>
      <c r="BH291" s="801"/>
      <c r="BI291" s="801"/>
      <c r="BJ291" s="801"/>
      <c r="BK291" s="801"/>
      <c r="BL291" s="801"/>
      <c r="BM291" s="801"/>
      <c r="BN291" s="801"/>
      <c r="BO291" s="801"/>
      <c r="BP291" s="801"/>
      <c r="BQ291" s="801"/>
      <c r="BR291" s="801"/>
      <c r="BS291" s="801"/>
      <c r="BT291" s="801"/>
      <c r="BU291" s="801"/>
      <c r="BV291" s="801"/>
      <c r="BW291" s="801"/>
      <c r="BX291" s="801"/>
      <c r="BY291" s="801"/>
      <c r="BZ291" s="802"/>
      <c r="CA291" s="800" t="str">
        <f>IFERROR(IF(CZ277&gt;CA277-1,IF(INDEX(Pedidos!CJ:DZ,CY277+CA277-1,12)&lt;&gt;"","Color Cordon :     "&amp; INDEX(Pedidos!CJ:DZ,CY277+CA277-1,12),""),""),"")</f>
        <v/>
      </c>
      <c r="CB291" s="801"/>
      <c r="CC291" s="801"/>
      <c r="CD291" s="801"/>
      <c r="CE291" s="801"/>
      <c r="CF291" s="801"/>
      <c r="CG291" s="801"/>
      <c r="CH291" s="801"/>
      <c r="CI291" s="801"/>
      <c r="CJ291" s="801"/>
      <c r="CK291" s="801"/>
      <c r="CL291" s="801"/>
      <c r="CM291" s="801"/>
      <c r="CN291" s="801"/>
      <c r="CO291" s="801"/>
      <c r="CP291" s="801"/>
      <c r="CQ291" s="801"/>
      <c r="CR291" s="801"/>
      <c r="CS291" s="801"/>
      <c r="CT291" s="801"/>
      <c r="CU291" s="801"/>
      <c r="CV291" s="801"/>
      <c r="CW291" s="801"/>
      <c r="CX291" s="801"/>
      <c r="CY291" s="801"/>
      <c r="CZ291" s="802"/>
      <c r="DA291" s="800" t="str">
        <f>IFERROR(IF(DZ277&gt;DA277-1,IF(INDEX(Pedidos!DJ:EZ,DY277+DA277-1,12)&lt;&gt;"","Color Cordon :     "&amp; INDEX(Pedidos!DJ:EZ,DY277+DA277-1,12),""),""),"")</f>
        <v/>
      </c>
      <c r="DB291" s="801"/>
      <c r="DC291" s="801"/>
      <c r="DD291" s="801"/>
      <c r="DE291" s="801"/>
      <c r="DF291" s="801"/>
      <c r="DG291" s="801"/>
      <c r="DH291" s="801"/>
      <c r="DI291" s="801"/>
      <c r="DJ291" s="801"/>
      <c r="DK291" s="801"/>
      <c r="DL291" s="801"/>
      <c r="DM291" s="801"/>
      <c r="DN291" s="801"/>
      <c r="DO291" s="801"/>
      <c r="DP291" s="801"/>
      <c r="DQ291" s="801"/>
      <c r="DR291" s="801"/>
      <c r="DS291" s="801"/>
      <c r="DT291" s="801"/>
      <c r="DU291" s="801"/>
      <c r="DV291" s="801"/>
      <c r="DW291" s="801"/>
      <c r="DX291" s="801"/>
      <c r="DY291" s="801"/>
      <c r="DZ291" s="802"/>
      <c r="EA291" s="800" t="str">
        <f>IFERROR(IF(EZ277&gt;EA277-1,IF(INDEX(Pedidos!EJ:FZ,EY277+EA277-1,12)&lt;&gt;"","Color Cordon :     "&amp; INDEX(Pedidos!EJ:FZ,EY277+EA277-1,12),""),""),"")</f>
        <v/>
      </c>
      <c r="EB291" s="801"/>
      <c r="EC291" s="801"/>
      <c r="ED291" s="801"/>
      <c r="EE291" s="801"/>
      <c r="EF291" s="801"/>
      <c r="EG291" s="801"/>
      <c r="EH291" s="801"/>
      <c r="EI291" s="801"/>
      <c r="EJ291" s="801"/>
      <c r="EK291" s="801"/>
      <c r="EL291" s="801"/>
      <c r="EM291" s="801"/>
      <c r="EN291" s="801"/>
      <c r="EO291" s="801"/>
      <c r="EP291" s="801"/>
      <c r="EQ291" s="801"/>
      <c r="ER291" s="801"/>
      <c r="ES291" s="801"/>
      <c r="ET291" s="801"/>
      <c r="EU291" s="801"/>
      <c r="EV291" s="801"/>
      <c r="EW291" s="801"/>
      <c r="EX291" s="801"/>
      <c r="EY291" s="801"/>
      <c r="EZ291" s="802"/>
      <c r="FA291" s="800" t="str">
        <f>IFERROR(IF(FZ277&gt;FA277-1,IF(INDEX(Pedidos!FJ:GZ,FY277+FA277-1,12)&lt;&gt;"","Color Cordon :     "&amp; INDEX(Pedidos!FJ:GZ,FY277+FA277-1,12),""),""),"")</f>
        <v/>
      </c>
      <c r="FB291" s="801"/>
      <c r="FC291" s="801"/>
      <c r="FD291" s="801"/>
      <c r="FE291" s="801"/>
      <c r="FF291" s="801"/>
      <c r="FG291" s="801"/>
      <c r="FH291" s="801"/>
      <c r="FI291" s="801"/>
      <c r="FJ291" s="801"/>
      <c r="FK291" s="801"/>
      <c r="FL291" s="801"/>
      <c r="FM291" s="801"/>
      <c r="FN291" s="801"/>
      <c r="FO291" s="801"/>
      <c r="FP291" s="801"/>
      <c r="FQ291" s="801"/>
      <c r="FR291" s="801"/>
      <c r="FS291" s="801"/>
      <c r="FT291" s="801"/>
      <c r="FU291" s="801"/>
      <c r="FV291" s="801"/>
      <c r="FW291" s="801"/>
      <c r="FX291" s="801"/>
      <c r="FY291" s="801"/>
      <c r="FZ291" s="802"/>
      <c r="GA291" s="800" t="str">
        <f>IFERROR(IF(GZ277&gt;GA277-1,IF(INDEX(Pedidos!GJ:HZ,GY277+GA277-1,12)&lt;&gt;"","Color Cordon :     "&amp; INDEX(Pedidos!GJ:HZ,GY277+GA277-1,12),""),""),"")</f>
        <v/>
      </c>
      <c r="GB291" s="801"/>
      <c r="GC291" s="801"/>
      <c r="GD291" s="801"/>
      <c r="GE291" s="801"/>
      <c r="GF291" s="801"/>
      <c r="GG291" s="801"/>
      <c r="GH291" s="801"/>
      <c r="GI291" s="801"/>
      <c r="GJ291" s="801"/>
      <c r="GK291" s="801"/>
      <c r="GL291" s="801"/>
      <c r="GM291" s="801"/>
      <c r="GN291" s="801"/>
      <c r="GO291" s="801"/>
      <c r="GP291" s="801"/>
      <c r="GQ291" s="801"/>
      <c r="GR291" s="801"/>
      <c r="GS291" s="801"/>
      <c r="GT291" s="801"/>
      <c r="GU291" s="801"/>
      <c r="GV291" s="801"/>
      <c r="GW291" s="801"/>
      <c r="GX291" s="801"/>
      <c r="GY291" s="801"/>
      <c r="GZ291" s="802"/>
      <c r="HA291" s="800" t="str">
        <f>IFERROR(IF(HZ277&gt;HA277-1,IF(INDEX(Pedidos!HJ:IZ,HY277+HA277-1,12)&lt;&gt;"","Color Cordon :     "&amp; INDEX(Pedidos!HJ:IZ,HY277+HA277-1,12),""),""),"")</f>
        <v/>
      </c>
      <c r="HB291" s="801"/>
      <c r="HC291" s="801"/>
      <c r="HD291" s="801"/>
      <c r="HE291" s="801"/>
      <c r="HF291" s="801"/>
      <c r="HG291" s="801"/>
      <c r="HH291" s="801"/>
      <c r="HI291" s="801"/>
      <c r="HJ291" s="801"/>
      <c r="HK291" s="801"/>
      <c r="HL291" s="801"/>
      <c r="HM291" s="801"/>
      <c r="HN291" s="801"/>
      <c r="HO291" s="801"/>
      <c r="HP291" s="801"/>
      <c r="HQ291" s="801"/>
      <c r="HR291" s="801"/>
      <c r="HS291" s="801"/>
      <c r="HT291" s="801"/>
      <c r="HU291" s="801"/>
      <c r="HV291" s="801"/>
      <c r="HW291" s="801"/>
      <c r="HX291" s="801"/>
      <c r="HY291" s="801"/>
      <c r="HZ291" s="802"/>
      <c r="IA291" s="800" t="str">
        <f>IFERROR(IF(IZ277&gt;IA277-1,IF(INDEX(Pedidos!IJ:JZ,IY277+IA277-1,12)&lt;&gt;"","Color Cordon :     "&amp; INDEX(Pedidos!IJ:JZ,IY277+IA277-1,12),""),""),"")</f>
        <v/>
      </c>
      <c r="IB291" s="801"/>
      <c r="IC291" s="801"/>
      <c r="ID291" s="801"/>
      <c r="IE291" s="801"/>
      <c r="IF291" s="801"/>
      <c r="IG291" s="801"/>
      <c r="IH291" s="801"/>
      <c r="II291" s="801"/>
      <c r="IJ291" s="801"/>
      <c r="IK291" s="801"/>
      <c r="IL291" s="801"/>
      <c r="IM291" s="801"/>
      <c r="IN291" s="801"/>
      <c r="IO291" s="801"/>
      <c r="IP291" s="801"/>
      <c r="IQ291" s="801"/>
      <c r="IR291" s="801"/>
      <c r="IS291" s="801"/>
      <c r="IT291" s="801"/>
      <c r="IU291" s="801"/>
      <c r="IV291" s="801"/>
      <c r="IW291" s="801"/>
      <c r="IX291" s="801"/>
      <c r="IY291" s="801"/>
      <c r="IZ291" s="802"/>
    </row>
    <row r="292" spans="1:260" x14ac:dyDescent="0.25">
      <c r="A292" s="800"/>
      <c r="B292" s="801"/>
      <c r="C292" s="801"/>
      <c r="D292" s="801"/>
      <c r="E292" s="801"/>
      <c r="F292" s="801"/>
      <c r="G292" s="801"/>
      <c r="H292" s="801"/>
      <c r="I292" s="801"/>
      <c r="J292" s="801"/>
      <c r="K292" s="801"/>
      <c r="L292" s="801"/>
      <c r="M292" s="801"/>
      <c r="N292" s="801"/>
      <c r="O292" s="801"/>
      <c r="P292" s="801"/>
      <c r="Q292" s="801"/>
      <c r="R292" s="801"/>
      <c r="S292" s="801"/>
      <c r="T292" s="801"/>
      <c r="U292" s="801"/>
      <c r="V292" s="801"/>
      <c r="W292" s="801"/>
      <c r="X292" s="801"/>
      <c r="Y292" s="801"/>
      <c r="Z292" s="802"/>
      <c r="AA292" s="800"/>
      <c r="AB292" s="801"/>
      <c r="AC292" s="801"/>
      <c r="AD292" s="801"/>
      <c r="AE292" s="801"/>
      <c r="AF292" s="801"/>
      <c r="AG292" s="801"/>
      <c r="AH292" s="801"/>
      <c r="AI292" s="801"/>
      <c r="AJ292" s="801"/>
      <c r="AK292" s="801"/>
      <c r="AL292" s="801"/>
      <c r="AM292" s="801"/>
      <c r="AN292" s="801"/>
      <c r="AO292" s="801"/>
      <c r="AP292" s="801"/>
      <c r="AQ292" s="801"/>
      <c r="AR292" s="801"/>
      <c r="AS292" s="801"/>
      <c r="AT292" s="801"/>
      <c r="AU292" s="801"/>
      <c r="AV292" s="801"/>
      <c r="AW292" s="801"/>
      <c r="AX292" s="801"/>
      <c r="AY292" s="801"/>
      <c r="AZ292" s="802"/>
      <c r="BA292" s="800"/>
      <c r="BB292" s="801"/>
      <c r="BC292" s="801"/>
      <c r="BD292" s="801"/>
      <c r="BE292" s="801"/>
      <c r="BF292" s="801"/>
      <c r="BG292" s="801"/>
      <c r="BH292" s="801"/>
      <c r="BI292" s="801"/>
      <c r="BJ292" s="801"/>
      <c r="BK292" s="801"/>
      <c r="BL292" s="801"/>
      <c r="BM292" s="801"/>
      <c r="BN292" s="801"/>
      <c r="BO292" s="801"/>
      <c r="BP292" s="801"/>
      <c r="BQ292" s="801"/>
      <c r="BR292" s="801"/>
      <c r="BS292" s="801"/>
      <c r="BT292" s="801"/>
      <c r="BU292" s="801"/>
      <c r="BV292" s="801"/>
      <c r="BW292" s="801"/>
      <c r="BX292" s="801"/>
      <c r="BY292" s="801"/>
      <c r="BZ292" s="802"/>
      <c r="CA292" s="800"/>
      <c r="CB292" s="801"/>
      <c r="CC292" s="801"/>
      <c r="CD292" s="801"/>
      <c r="CE292" s="801"/>
      <c r="CF292" s="801"/>
      <c r="CG292" s="801"/>
      <c r="CH292" s="801"/>
      <c r="CI292" s="801"/>
      <c r="CJ292" s="801"/>
      <c r="CK292" s="801"/>
      <c r="CL292" s="801"/>
      <c r="CM292" s="801"/>
      <c r="CN292" s="801"/>
      <c r="CO292" s="801"/>
      <c r="CP292" s="801"/>
      <c r="CQ292" s="801"/>
      <c r="CR292" s="801"/>
      <c r="CS292" s="801"/>
      <c r="CT292" s="801"/>
      <c r="CU292" s="801"/>
      <c r="CV292" s="801"/>
      <c r="CW292" s="801"/>
      <c r="CX292" s="801"/>
      <c r="CY292" s="801"/>
      <c r="CZ292" s="802"/>
      <c r="DA292" s="800"/>
      <c r="DB292" s="801"/>
      <c r="DC292" s="801"/>
      <c r="DD292" s="801"/>
      <c r="DE292" s="801"/>
      <c r="DF292" s="801"/>
      <c r="DG292" s="801"/>
      <c r="DH292" s="801"/>
      <c r="DI292" s="801"/>
      <c r="DJ292" s="801"/>
      <c r="DK292" s="801"/>
      <c r="DL292" s="801"/>
      <c r="DM292" s="801"/>
      <c r="DN292" s="801"/>
      <c r="DO292" s="801"/>
      <c r="DP292" s="801"/>
      <c r="DQ292" s="801"/>
      <c r="DR292" s="801"/>
      <c r="DS292" s="801"/>
      <c r="DT292" s="801"/>
      <c r="DU292" s="801"/>
      <c r="DV292" s="801"/>
      <c r="DW292" s="801"/>
      <c r="DX292" s="801"/>
      <c r="DY292" s="801"/>
      <c r="DZ292" s="802"/>
      <c r="EA292" s="800"/>
      <c r="EB292" s="801"/>
      <c r="EC292" s="801"/>
      <c r="ED292" s="801"/>
      <c r="EE292" s="801"/>
      <c r="EF292" s="801"/>
      <c r="EG292" s="801"/>
      <c r="EH292" s="801"/>
      <c r="EI292" s="801"/>
      <c r="EJ292" s="801"/>
      <c r="EK292" s="801"/>
      <c r="EL292" s="801"/>
      <c r="EM292" s="801"/>
      <c r="EN292" s="801"/>
      <c r="EO292" s="801"/>
      <c r="EP292" s="801"/>
      <c r="EQ292" s="801"/>
      <c r="ER292" s="801"/>
      <c r="ES292" s="801"/>
      <c r="ET292" s="801"/>
      <c r="EU292" s="801"/>
      <c r="EV292" s="801"/>
      <c r="EW292" s="801"/>
      <c r="EX292" s="801"/>
      <c r="EY292" s="801"/>
      <c r="EZ292" s="802"/>
      <c r="FA292" s="800"/>
      <c r="FB292" s="801"/>
      <c r="FC292" s="801"/>
      <c r="FD292" s="801"/>
      <c r="FE292" s="801"/>
      <c r="FF292" s="801"/>
      <c r="FG292" s="801"/>
      <c r="FH292" s="801"/>
      <c r="FI292" s="801"/>
      <c r="FJ292" s="801"/>
      <c r="FK292" s="801"/>
      <c r="FL292" s="801"/>
      <c r="FM292" s="801"/>
      <c r="FN292" s="801"/>
      <c r="FO292" s="801"/>
      <c r="FP292" s="801"/>
      <c r="FQ292" s="801"/>
      <c r="FR292" s="801"/>
      <c r="FS292" s="801"/>
      <c r="FT292" s="801"/>
      <c r="FU292" s="801"/>
      <c r="FV292" s="801"/>
      <c r="FW292" s="801"/>
      <c r="FX292" s="801"/>
      <c r="FY292" s="801"/>
      <c r="FZ292" s="802"/>
      <c r="GA292" s="800"/>
      <c r="GB292" s="801"/>
      <c r="GC292" s="801"/>
      <c r="GD292" s="801"/>
      <c r="GE292" s="801"/>
      <c r="GF292" s="801"/>
      <c r="GG292" s="801"/>
      <c r="GH292" s="801"/>
      <c r="GI292" s="801"/>
      <c r="GJ292" s="801"/>
      <c r="GK292" s="801"/>
      <c r="GL292" s="801"/>
      <c r="GM292" s="801"/>
      <c r="GN292" s="801"/>
      <c r="GO292" s="801"/>
      <c r="GP292" s="801"/>
      <c r="GQ292" s="801"/>
      <c r="GR292" s="801"/>
      <c r="GS292" s="801"/>
      <c r="GT292" s="801"/>
      <c r="GU292" s="801"/>
      <c r="GV292" s="801"/>
      <c r="GW292" s="801"/>
      <c r="GX292" s="801"/>
      <c r="GY292" s="801"/>
      <c r="GZ292" s="802"/>
      <c r="HA292" s="800"/>
      <c r="HB292" s="801"/>
      <c r="HC292" s="801"/>
      <c r="HD292" s="801"/>
      <c r="HE292" s="801"/>
      <c r="HF292" s="801"/>
      <c r="HG292" s="801"/>
      <c r="HH292" s="801"/>
      <c r="HI292" s="801"/>
      <c r="HJ292" s="801"/>
      <c r="HK292" s="801"/>
      <c r="HL292" s="801"/>
      <c r="HM292" s="801"/>
      <c r="HN292" s="801"/>
      <c r="HO292" s="801"/>
      <c r="HP292" s="801"/>
      <c r="HQ292" s="801"/>
      <c r="HR292" s="801"/>
      <c r="HS292" s="801"/>
      <c r="HT292" s="801"/>
      <c r="HU292" s="801"/>
      <c r="HV292" s="801"/>
      <c r="HW292" s="801"/>
      <c r="HX292" s="801"/>
      <c r="HY292" s="801"/>
      <c r="HZ292" s="802"/>
      <c r="IA292" s="800"/>
      <c r="IB292" s="801"/>
      <c r="IC292" s="801"/>
      <c r="ID292" s="801"/>
      <c r="IE292" s="801"/>
      <c r="IF292" s="801"/>
      <c r="IG292" s="801"/>
      <c r="IH292" s="801"/>
      <c r="II292" s="801"/>
      <c r="IJ292" s="801"/>
      <c r="IK292" s="801"/>
      <c r="IL292" s="801"/>
      <c r="IM292" s="801"/>
      <c r="IN292" s="801"/>
      <c r="IO292" s="801"/>
      <c r="IP292" s="801"/>
      <c r="IQ292" s="801"/>
      <c r="IR292" s="801"/>
      <c r="IS292" s="801"/>
      <c r="IT292" s="801"/>
      <c r="IU292" s="801"/>
      <c r="IV292" s="801"/>
      <c r="IW292" s="801"/>
      <c r="IX292" s="801"/>
      <c r="IY292" s="801"/>
      <c r="IZ292" s="802"/>
    </row>
    <row r="293" spans="1:260" x14ac:dyDescent="0.25">
      <c r="A293" s="800"/>
      <c r="B293" s="801"/>
      <c r="C293" s="801"/>
      <c r="D293" s="801"/>
      <c r="E293" s="801"/>
      <c r="F293" s="801"/>
      <c r="G293" s="801"/>
      <c r="H293" s="801"/>
      <c r="I293" s="801"/>
      <c r="J293" s="801"/>
      <c r="K293" s="801"/>
      <c r="L293" s="801"/>
      <c r="M293" s="801"/>
      <c r="N293" s="801"/>
      <c r="O293" s="801"/>
      <c r="P293" s="801"/>
      <c r="Q293" s="801"/>
      <c r="R293" s="801"/>
      <c r="S293" s="801"/>
      <c r="T293" s="801"/>
      <c r="U293" s="801"/>
      <c r="V293" s="801"/>
      <c r="W293" s="801"/>
      <c r="X293" s="801"/>
      <c r="Y293" s="801"/>
      <c r="Z293" s="802"/>
      <c r="AA293" s="800"/>
      <c r="AB293" s="801"/>
      <c r="AC293" s="801"/>
      <c r="AD293" s="801"/>
      <c r="AE293" s="801"/>
      <c r="AF293" s="801"/>
      <c r="AG293" s="801"/>
      <c r="AH293" s="801"/>
      <c r="AI293" s="801"/>
      <c r="AJ293" s="801"/>
      <c r="AK293" s="801"/>
      <c r="AL293" s="801"/>
      <c r="AM293" s="801"/>
      <c r="AN293" s="801"/>
      <c r="AO293" s="801"/>
      <c r="AP293" s="801"/>
      <c r="AQ293" s="801"/>
      <c r="AR293" s="801"/>
      <c r="AS293" s="801"/>
      <c r="AT293" s="801"/>
      <c r="AU293" s="801"/>
      <c r="AV293" s="801"/>
      <c r="AW293" s="801"/>
      <c r="AX293" s="801"/>
      <c r="AY293" s="801"/>
      <c r="AZ293" s="802"/>
      <c r="BA293" s="800"/>
      <c r="BB293" s="801"/>
      <c r="BC293" s="801"/>
      <c r="BD293" s="801"/>
      <c r="BE293" s="801"/>
      <c r="BF293" s="801"/>
      <c r="BG293" s="801"/>
      <c r="BH293" s="801"/>
      <c r="BI293" s="801"/>
      <c r="BJ293" s="801"/>
      <c r="BK293" s="801"/>
      <c r="BL293" s="801"/>
      <c r="BM293" s="801"/>
      <c r="BN293" s="801"/>
      <c r="BO293" s="801"/>
      <c r="BP293" s="801"/>
      <c r="BQ293" s="801"/>
      <c r="BR293" s="801"/>
      <c r="BS293" s="801"/>
      <c r="BT293" s="801"/>
      <c r="BU293" s="801"/>
      <c r="BV293" s="801"/>
      <c r="BW293" s="801"/>
      <c r="BX293" s="801"/>
      <c r="BY293" s="801"/>
      <c r="BZ293" s="802"/>
      <c r="CA293" s="800"/>
      <c r="CB293" s="801"/>
      <c r="CC293" s="801"/>
      <c r="CD293" s="801"/>
      <c r="CE293" s="801"/>
      <c r="CF293" s="801"/>
      <c r="CG293" s="801"/>
      <c r="CH293" s="801"/>
      <c r="CI293" s="801"/>
      <c r="CJ293" s="801"/>
      <c r="CK293" s="801"/>
      <c r="CL293" s="801"/>
      <c r="CM293" s="801"/>
      <c r="CN293" s="801"/>
      <c r="CO293" s="801"/>
      <c r="CP293" s="801"/>
      <c r="CQ293" s="801"/>
      <c r="CR293" s="801"/>
      <c r="CS293" s="801"/>
      <c r="CT293" s="801"/>
      <c r="CU293" s="801"/>
      <c r="CV293" s="801"/>
      <c r="CW293" s="801"/>
      <c r="CX293" s="801"/>
      <c r="CY293" s="801"/>
      <c r="CZ293" s="802"/>
      <c r="DA293" s="800"/>
      <c r="DB293" s="801"/>
      <c r="DC293" s="801"/>
      <c r="DD293" s="801"/>
      <c r="DE293" s="801"/>
      <c r="DF293" s="801"/>
      <c r="DG293" s="801"/>
      <c r="DH293" s="801"/>
      <c r="DI293" s="801"/>
      <c r="DJ293" s="801"/>
      <c r="DK293" s="801"/>
      <c r="DL293" s="801"/>
      <c r="DM293" s="801"/>
      <c r="DN293" s="801"/>
      <c r="DO293" s="801"/>
      <c r="DP293" s="801"/>
      <c r="DQ293" s="801"/>
      <c r="DR293" s="801"/>
      <c r="DS293" s="801"/>
      <c r="DT293" s="801"/>
      <c r="DU293" s="801"/>
      <c r="DV293" s="801"/>
      <c r="DW293" s="801"/>
      <c r="DX293" s="801"/>
      <c r="DY293" s="801"/>
      <c r="DZ293" s="802"/>
      <c r="EA293" s="800"/>
      <c r="EB293" s="801"/>
      <c r="EC293" s="801"/>
      <c r="ED293" s="801"/>
      <c r="EE293" s="801"/>
      <c r="EF293" s="801"/>
      <c r="EG293" s="801"/>
      <c r="EH293" s="801"/>
      <c r="EI293" s="801"/>
      <c r="EJ293" s="801"/>
      <c r="EK293" s="801"/>
      <c r="EL293" s="801"/>
      <c r="EM293" s="801"/>
      <c r="EN293" s="801"/>
      <c r="EO293" s="801"/>
      <c r="EP293" s="801"/>
      <c r="EQ293" s="801"/>
      <c r="ER293" s="801"/>
      <c r="ES293" s="801"/>
      <c r="ET293" s="801"/>
      <c r="EU293" s="801"/>
      <c r="EV293" s="801"/>
      <c r="EW293" s="801"/>
      <c r="EX293" s="801"/>
      <c r="EY293" s="801"/>
      <c r="EZ293" s="802"/>
      <c r="FA293" s="800"/>
      <c r="FB293" s="801"/>
      <c r="FC293" s="801"/>
      <c r="FD293" s="801"/>
      <c r="FE293" s="801"/>
      <c r="FF293" s="801"/>
      <c r="FG293" s="801"/>
      <c r="FH293" s="801"/>
      <c r="FI293" s="801"/>
      <c r="FJ293" s="801"/>
      <c r="FK293" s="801"/>
      <c r="FL293" s="801"/>
      <c r="FM293" s="801"/>
      <c r="FN293" s="801"/>
      <c r="FO293" s="801"/>
      <c r="FP293" s="801"/>
      <c r="FQ293" s="801"/>
      <c r="FR293" s="801"/>
      <c r="FS293" s="801"/>
      <c r="FT293" s="801"/>
      <c r="FU293" s="801"/>
      <c r="FV293" s="801"/>
      <c r="FW293" s="801"/>
      <c r="FX293" s="801"/>
      <c r="FY293" s="801"/>
      <c r="FZ293" s="802"/>
      <c r="GA293" s="800"/>
      <c r="GB293" s="801"/>
      <c r="GC293" s="801"/>
      <c r="GD293" s="801"/>
      <c r="GE293" s="801"/>
      <c r="GF293" s="801"/>
      <c r="GG293" s="801"/>
      <c r="GH293" s="801"/>
      <c r="GI293" s="801"/>
      <c r="GJ293" s="801"/>
      <c r="GK293" s="801"/>
      <c r="GL293" s="801"/>
      <c r="GM293" s="801"/>
      <c r="GN293" s="801"/>
      <c r="GO293" s="801"/>
      <c r="GP293" s="801"/>
      <c r="GQ293" s="801"/>
      <c r="GR293" s="801"/>
      <c r="GS293" s="801"/>
      <c r="GT293" s="801"/>
      <c r="GU293" s="801"/>
      <c r="GV293" s="801"/>
      <c r="GW293" s="801"/>
      <c r="GX293" s="801"/>
      <c r="GY293" s="801"/>
      <c r="GZ293" s="802"/>
      <c r="HA293" s="800"/>
      <c r="HB293" s="801"/>
      <c r="HC293" s="801"/>
      <c r="HD293" s="801"/>
      <c r="HE293" s="801"/>
      <c r="HF293" s="801"/>
      <c r="HG293" s="801"/>
      <c r="HH293" s="801"/>
      <c r="HI293" s="801"/>
      <c r="HJ293" s="801"/>
      <c r="HK293" s="801"/>
      <c r="HL293" s="801"/>
      <c r="HM293" s="801"/>
      <c r="HN293" s="801"/>
      <c r="HO293" s="801"/>
      <c r="HP293" s="801"/>
      <c r="HQ293" s="801"/>
      <c r="HR293" s="801"/>
      <c r="HS293" s="801"/>
      <c r="HT293" s="801"/>
      <c r="HU293" s="801"/>
      <c r="HV293" s="801"/>
      <c r="HW293" s="801"/>
      <c r="HX293" s="801"/>
      <c r="HY293" s="801"/>
      <c r="HZ293" s="802"/>
      <c r="IA293" s="800"/>
      <c r="IB293" s="801"/>
      <c r="IC293" s="801"/>
      <c r="ID293" s="801"/>
      <c r="IE293" s="801"/>
      <c r="IF293" s="801"/>
      <c r="IG293" s="801"/>
      <c r="IH293" s="801"/>
      <c r="II293" s="801"/>
      <c r="IJ293" s="801"/>
      <c r="IK293" s="801"/>
      <c r="IL293" s="801"/>
      <c r="IM293" s="801"/>
      <c r="IN293" s="801"/>
      <c r="IO293" s="801"/>
      <c r="IP293" s="801"/>
      <c r="IQ293" s="801"/>
      <c r="IR293" s="801"/>
      <c r="IS293" s="801"/>
      <c r="IT293" s="801"/>
      <c r="IU293" s="801"/>
      <c r="IV293" s="801"/>
      <c r="IW293" s="801"/>
      <c r="IX293" s="801"/>
      <c r="IY293" s="801"/>
      <c r="IZ293" s="802"/>
    </row>
    <row r="294" spans="1:260" x14ac:dyDescent="0.25">
      <c r="A294" s="800" t="str">
        <f>IFERROR(IF(Z277&gt;A277-1,IF(INDEX(Pedidos!J:AZ,Y277+A277-1,31)&lt;&gt;"","Nombres :     "&amp; INDEX(Pedidos!J:AZ,Y277+A277-1,31),""),""),"")</f>
        <v/>
      </c>
      <c r="B294" s="801"/>
      <c r="C294" s="801"/>
      <c r="D294" s="801"/>
      <c r="E294" s="801"/>
      <c r="F294" s="801"/>
      <c r="G294" s="801"/>
      <c r="H294" s="801"/>
      <c r="I294" s="801"/>
      <c r="J294" s="801"/>
      <c r="K294" s="801"/>
      <c r="L294" s="801"/>
      <c r="M294" s="801"/>
      <c r="N294" s="801"/>
      <c r="O294" s="801"/>
      <c r="P294" s="801"/>
      <c r="Q294" s="801"/>
      <c r="R294" s="801"/>
      <c r="S294" s="801"/>
      <c r="T294" s="801"/>
      <c r="U294" s="801"/>
      <c r="V294" s="801"/>
      <c r="W294" s="801"/>
      <c r="X294" s="801"/>
      <c r="Y294" s="801"/>
      <c r="Z294" s="802"/>
      <c r="AA294" s="800" t="str">
        <f>IFERROR(IF(AZ277&gt;AA277-1,IF(INDEX(Pedidos!AJ:BZ,AY277+AA277-1,31)&lt;&gt;"","Nombres :     "&amp; INDEX(Pedidos!AJ:BZ,AY277+AA277-1,31),""),""),"")</f>
        <v/>
      </c>
      <c r="AB294" s="801"/>
      <c r="AC294" s="801"/>
      <c r="AD294" s="801"/>
      <c r="AE294" s="801"/>
      <c r="AF294" s="801"/>
      <c r="AG294" s="801"/>
      <c r="AH294" s="801"/>
      <c r="AI294" s="801"/>
      <c r="AJ294" s="801"/>
      <c r="AK294" s="801"/>
      <c r="AL294" s="801"/>
      <c r="AM294" s="801"/>
      <c r="AN294" s="801"/>
      <c r="AO294" s="801"/>
      <c r="AP294" s="801"/>
      <c r="AQ294" s="801"/>
      <c r="AR294" s="801"/>
      <c r="AS294" s="801"/>
      <c r="AT294" s="801"/>
      <c r="AU294" s="801"/>
      <c r="AV294" s="801"/>
      <c r="AW294" s="801"/>
      <c r="AX294" s="801"/>
      <c r="AY294" s="801"/>
      <c r="AZ294" s="802"/>
      <c r="BA294" s="800" t="str">
        <f>IFERROR(IF(BZ277&gt;BA277-1,IF(INDEX(Pedidos!BJ:CZ,BY277+BA277-1,31)&lt;&gt;"","Nombres :     "&amp; INDEX(Pedidos!BJ:CZ,BY277+BA277-1,31),""),""),"")</f>
        <v/>
      </c>
      <c r="BB294" s="801"/>
      <c r="BC294" s="801"/>
      <c r="BD294" s="801"/>
      <c r="BE294" s="801"/>
      <c r="BF294" s="801"/>
      <c r="BG294" s="801"/>
      <c r="BH294" s="801"/>
      <c r="BI294" s="801"/>
      <c r="BJ294" s="801"/>
      <c r="BK294" s="801"/>
      <c r="BL294" s="801"/>
      <c r="BM294" s="801"/>
      <c r="BN294" s="801"/>
      <c r="BO294" s="801"/>
      <c r="BP294" s="801"/>
      <c r="BQ294" s="801"/>
      <c r="BR294" s="801"/>
      <c r="BS294" s="801"/>
      <c r="BT294" s="801"/>
      <c r="BU294" s="801"/>
      <c r="BV294" s="801"/>
      <c r="BW294" s="801"/>
      <c r="BX294" s="801"/>
      <c r="BY294" s="801"/>
      <c r="BZ294" s="802"/>
      <c r="CA294" s="800" t="str">
        <f>IFERROR(IF(CZ277&gt;CA277-1,IF(INDEX(Pedidos!CJ:DZ,CY277+CA277-1,31)&lt;&gt;"","Nombres :     "&amp; INDEX(Pedidos!CJ:DZ,CY277+CA277-1,31),""),""),"")</f>
        <v/>
      </c>
      <c r="CB294" s="801"/>
      <c r="CC294" s="801"/>
      <c r="CD294" s="801"/>
      <c r="CE294" s="801"/>
      <c r="CF294" s="801"/>
      <c r="CG294" s="801"/>
      <c r="CH294" s="801"/>
      <c r="CI294" s="801"/>
      <c r="CJ294" s="801"/>
      <c r="CK294" s="801"/>
      <c r="CL294" s="801"/>
      <c r="CM294" s="801"/>
      <c r="CN294" s="801"/>
      <c r="CO294" s="801"/>
      <c r="CP294" s="801"/>
      <c r="CQ294" s="801"/>
      <c r="CR294" s="801"/>
      <c r="CS294" s="801"/>
      <c r="CT294" s="801"/>
      <c r="CU294" s="801"/>
      <c r="CV294" s="801"/>
      <c r="CW294" s="801"/>
      <c r="CX294" s="801"/>
      <c r="CY294" s="801"/>
      <c r="CZ294" s="802"/>
      <c r="DA294" s="800" t="str">
        <f>IFERROR(IF(DZ277&gt;DA277-1,IF(INDEX(Pedidos!DJ:EZ,DY277+DA277-1,31)&lt;&gt;"","Nombres :     "&amp; INDEX(Pedidos!DJ:EZ,DY277+DA277-1,31),""),""),"")</f>
        <v/>
      </c>
      <c r="DB294" s="801"/>
      <c r="DC294" s="801"/>
      <c r="DD294" s="801"/>
      <c r="DE294" s="801"/>
      <c r="DF294" s="801"/>
      <c r="DG294" s="801"/>
      <c r="DH294" s="801"/>
      <c r="DI294" s="801"/>
      <c r="DJ294" s="801"/>
      <c r="DK294" s="801"/>
      <c r="DL294" s="801"/>
      <c r="DM294" s="801"/>
      <c r="DN294" s="801"/>
      <c r="DO294" s="801"/>
      <c r="DP294" s="801"/>
      <c r="DQ294" s="801"/>
      <c r="DR294" s="801"/>
      <c r="DS294" s="801"/>
      <c r="DT294" s="801"/>
      <c r="DU294" s="801"/>
      <c r="DV294" s="801"/>
      <c r="DW294" s="801"/>
      <c r="DX294" s="801"/>
      <c r="DY294" s="801"/>
      <c r="DZ294" s="802"/>
      <c r="EA294" s="800" t="str">
        <f>IFERROR(IF(EZ277&gt;EA277-1,IF(INDEX(Pedidos!EJ:FZ,EY277+EA277-1,31)&lt;&gt;"","Nombres :     "&amp; INDEX(Pedidos!EJ:FZ,EY277+EA277-1,31),""),""),"")</f>
        <v/>
      </c>
      <c r="EB294" s="801"/>
      <c r="EC294" s="801"/>
      <c r="ED294" s="801"/>
      <c r="EE294" s="801"/>
      <c r="EF294" s="801"/>
      <c r="EG294" s="801"/>
      <c r="EH294" s="801"/>
      <c r="EI294" s="801"/>
      <c r="EJ294" s="801"/>
      <c r="EK294" s="801"/>
      <c r="EL294" s="801"/>
      <c r="EM294" s="801"/>
      <c r="EN294" s="801"/>
      <c r="EO294" s="801"/>
      <c r="EP294" s="801"/>
      <c r="EQ294" s="801"/>
      <c r="ER294" s="801"/>
      <c r="ES294" s="801"/>
      <c r="ET294" s="801"/>
      <c r="EU294" s="801"/>
      <c r="EV294" s="801"/>
      <c r="EW294" s="801"/>
      <c r="EX294" s="801"/>
      <c r="EY294" s="801"/>
      <c r="EZ294" s="802"/>
      <c r="FA294" s="800" t="str">
        <f>IFERROR(IF(FZ277&gt;FA277-1,IF(INDEX(Pedidos!FJ:GZ,FY277+FA277-1,31)&lt;&gt;"","Nombres :     "&amp; INDEX(Pedidos!FJ:GZ,FY277+FA277-1,31),""),""),"")</f>
        <v/>
      </c>
      <c r="FB294" s="801"/>
      <c r="FC294" s="801"/>
      <c r="FD294" s="801"/>
      <c r="FE294" s="801"/>
      <c r="FF294" s="801"/>
      <c r="FG294" s="801"/>
      <c r="FH294" s="801"/>
      <c r="FI294" s="801"/>
      <c r="FJ294" s="801"/>
      <c r="FK294" s="801"/>
      <c r="FL294" s="801"/>
      <c r="FM294" s="801"/>
      <c r="FN294" s="801"/>
      <c r="FO294" s="801"/>
      <c r="FP294" s="801"/>
      <c r="FQ294" s="801"/>
      <c r="FR294" s="801"/>
      <c r="FS294" s="801"/>
      <c r="FT294" s="801"/>
      <c r="FU294" s="801"/>
      <c r="FV294" s="801"/>
      <c r="FW294" s="801"/>
      <c r="FX294" s="801"/>
      <c r="FY294" s="801"/>
      <c r="FZ294" s="802"/>
      <c r="GA294" s="800" t="str">
        <f>IFERROR(IF(GZ277&gt;GA277-1,IF(INDEX(Pedidos!GJ:HZ,GY277+GA277-1,31)&lt;&gt;"","Nombres :     "&amp; INDEX(Pedidos!GJ:HZ,GY277+GA277-1,31),""),""),"")</f>
        <v/>
      </c>
      <c r="GB294" s="801"/>
      <c r="GC294" s="801"/>
      <c r="GD294" s="801"/>
      <c r="GE294" s="801"/>
      <c r="GF294" s="801"/>
      <c r="GG294" s="801"/>
      <c r="GH294" s="801"/>
      <c r="GI294" s="801"/>
      <c r="GJ294" s="801"/>
      <c r="GK294" s="801"/>
      <c r="GL294" s="801"/>
      <c r="GM294" s="801"/>
      <c r="GN294" s="801"/>
      <c r="GO294" s="801"/>
      <c r="GP294" s="801"/>
      <c r="GQ294" s="801"/>
      <c r="GR294" s="801"/>
      <c r="GS294" s="801"/>
      <c r="GT294" s="801"/>
      <c r="GU294" s="801"/>
      <c r="GV294" s="801"/>
      <c r="GW294" s="801"/>
      <c r="GX294" s="801"/>
      <c r="GY294" s="801"/>
      <c r="GZ294" s="802"/>
      <c r="HA294" s="800" t="str">
        <f>IFERROR(IF(HZ277&gt;HA277-1,IF(INDEX(Pedidos!HJ:IZ,HY277+HA277-1,31)&lt;&gt;"","Nombres :     "&amp; INDEX(Pedidos!HJ:IZ,HY277+HA277-1,31),""),""),"")</f>
        <v/>
      </c>
      <c r="HB294" s="801"/>
      <c r="HC294" s="801"/>
      <c r="HD294" s="801"/>
      <c r="HE294" s="801"/>
      <c r="HF294" s="801"/>
      <c r="HG294" s="801"/>
      <c r="HH294" s="801"/>
      <c r="HI294" s="801"/>
      <c r="HJ294" s="801"/>
      <c r="HK294" s="801"/>
      <c r="HL294" s="801"/>
      <c r="HM294" s="801"/>
      <c r="HN294" s="801"/>
      <c r="HO294" s="801"/>
      <c r="HP294" s="801"/>
      <c r="HQ294" s="801"/>
      <c r="HR294" s="801"/>
      <c r="HS294" s="801"/>
      <c r="HT294" s="801"/>
      <c r="HU294" s="801"/>
      <c r="HV294" s="801"/>
      <c r="HW294" s="801"/>
      <c r="HX294" s="801"/>
      <c r="HY294" s="801"/>
      <c r="HZ294" s="802"/>
      <c r="IA294" s="800" t="str">
        <f>IFERROR(IF(IZ277&gt;IA277-1,IF(INDEX(Pedidos!IJ:JZ,IY277+IA277-1,31)&lt;&gt;"","Nombres :     "&amp; INDEX(Pedidos!IJ:JZ,IY277+IA277-1,31),""),""),"")</f>
        <v/>
      </c>
      <c r="IB294" s="801"/>
      <c r="IC294" s="801"/>
      <c r="ID294" s="801"/>
      <c r="IE294" s="801"/>
      <c r="IF294" s="801"/>
      <c r="IG294" s="801"/>
      <c r="IH294" s="801"/>
      <c r="II294" s="801"/>
      <c r="IJ294" s="801"/>
      <c r="IK294" s="801"/>
      <c r="IL294" s="801"/>
      <c r="IM294" s="801"/>
      <c r="IN294" s="801"/>
      <c r="IO294" s="801"/>
      <c r="IP294" s="801"/>
      <c r="IQ294" s="801"/>
      <c r="IR294" s="801"/>
      <c r="IS294" s="801"/>
      <c r="IT294" s="801"/>
      <c r="IU294" s="801"/>
      <c r="IV294" s="801"/>
      <c r="IW294" s="801"/>
      <c r="IX294" s="801"/>
      <c r="IY294" s="801"/>
      <c r="IZ294" s="802"/>
    </row>
    <row r="295" spans="1:260" x14ac:dyDescent="0.25">
      <c r="A295" s="820" t="str">
        <f>IFERROR(IF(Z277&gt;A277-1,IF(INDEX(Pedidos!J:AZ,Y277+A277-1,32)&lt;&gt;"","Localización de los Nombres :     "&amp; INDEX(Pedidos!J:AZ,Y277+A277-1,32),""),""),"")</f>
        <v/>
      </c>
      <c r="B295" s="821"/>
      <c r="C295" s="821"/>
      <c r="D295" s="821"/>
      <c r="E295" s="821"/>
      <c r="F295" s="821"/>
      <c r="G295" s="821"/>
      <c r="H295" s="821"/>
      <c r="I295" s="821"/>
      <c r="J295" s="821"/>
      <c r="K295" s="821"/>
      <c r="L295" s="821"/>
      <c r="M295" s="821"/>
      <c r="N295" s="821"/>
      <c r="O295" s="821"/>
      <c r="P295" s="821"/>
      <c r="Q295" s="821"/>
      <c r="R295" s="821"/>
      <c r="S295" s="821"/>
      <c r="T295" s="821"/>
      <c r="U295" s="821"/>
      <c r="V295" s="821"/>
      <c r="W295" s="821"/>
      <c r="X295" s="821"/>
      <c r="Y295" s="821"/>
      <c r="Z295" s="822"/>
      <c r="AA295" s="820" t="str">
        <f>IFERROR(IF(AZ277&gt;AA277-1,IF(INDEX(Pedidos!AJ:BZ,AY277+AA277-1,32)&lt;&gt;"","Localización de los Nombres :     "&amp; INDEX(Pedidos!AJ:BZ,AY277+AA277-1,32),""),""),"")</f>
        <v/>
      </c>
      <c r="AB295" s="821"/>
      <c r="AC295" s="821"/>
      <c r="AD295" s="821"/>
      <c r="AE295" s="821"/>
      <c r="AF295" s="821"/>
      <c r="AG295" s="821"/>
      <c r="AH295" s="821"/>
      <c r="AI295" s="821"/>
      <c r="AJ295" s="821"/>
      <c r="AK295" s="821"/>
      <c r="AL295" s="821"/>
      <c r="AM295" s="821"/>
      <c r="AN295" s="821"/>
      <c r="AO295" s="821"/>
      <c r="AP295" s="821"/>
      <c r="AQ295" s="821"/>
      <c r="AR295" s="821"/>
      <c r="AS295" s="821"/>
      <c r="AT295" s="821"/>
      <c r="AU295" s="821"/>
      <c r="AV295" s="821"/>
      <c r="AW295" s="821"/>
      <c r="AX295" s="821"/>
      <c r="AY295" s="821"/>
      <c r="AZ295" s="822"/>
      <c r="BA295" s="820" t="str">
        <f>IFERROR(IF(BZ277&gt;BA277-1,IF(INDEX(Pedidos!BJ:CZ,BY277+BA277-1,32)&lt;&gt;"","Localización de los Nombres :     "&amp; INDEX(Pedidos!BJ:CZ,BY277+BA277-1,32),""),""),"")</f>
        <v/>
      </c>
      <c r="BB295" s="821"/>
      <c r="BC295" s="821"/>
      <c r="BD295" s="821"/>
      <c r="BE295" s="821"/>
      <c r="BF295" s="821"/>
      <c r="BG295" s="821"/>
      <c r="BH295" s="821"/>
      <c r="BI295" s="821"/>
      <c r="BJ295" s="821"/>
      <c r="BK295" s="821"/>
      <c r="BL295" s="821"/>
      <c r="BM295" s="821"/>
      <c r="BN295" s="821"/>
      <c r="BO295" s="821"/>
      <c r="BP295" s="821"/>
      <c r="BQ295" s="821"/>
      <c r="BR295" s="821"/>
      <c r="BS295" s="821"/>
      <c r="BT295" s="821"/>
      <c r="BU295" s="821"/>
      <c r="BV295" s="821"/>
      <c r="BW295" s="821"/>
      <c r="BX295" s="821"/>
      <c r="BY295" s="821"/>
      <c r="BZ295" s="822"/>
      <c r="CA295" s="820" t="str">
        <f>IFERROR(IF(CZ277&gt;CA277-1,IF(INDEX(Pedidos!CJ:DZ,CY277+CA277-1,32)&lt;&gt;"","Localización de los Nombres :     "&amp; INDEX(Pedidos!CJ:DZ,CY277+CA277-1,32),""),""),"")</f>
        <v/>
      </c>
      <c r="CB295" s="821"/>
      <c r="CC295" s="821"/>
      <c r="CD295" s="821"/>
      <c r="CE295" s="821"/>
      <c r="CF295" s="821"/>
      <c r="CG295" s="821"/>
      <c r="CH295" s="821"/>
      <c r="CI295" s="821"/>
      <c r="CJ295" s="821"/>
      <c r="CK295" s="821"/>
      <c r="CL295" s="821"/>
      <c r="CM295" s="821"/>
      <c r="CN295" s="821"/>
      <c r="CO295" s="821"/>
      <c r="CP295" s="821"/>
      <c r="CQ295" s="821"/>
      <c r="CR295" s="821"/>
      <c r="CS295" s="821"/>
      <c r="CT295" s="821"/>
      <c r="CU295" s="821"/>
      <c r="CV295" s="821"/>
      <c r="CW295" s="821"/>
      <c r="CX295" s="821"/>
      <c r="CY295" s="821"/>
      <c r="CZ295" s="822"/>
      <c r="DA295" s="820" t="str">
        <f>IFERROR(IF(DZ277&gt;DA277-1,IF(INDEX(Pedidos!DJ:EZ,DY277+DA277-1,32)&lt;&gt;"","Localización de los Nombres :     "&amp; INDEX(Pedidos!DJ:EZ,DY277+DA277-1,32),""),""),"")</f>
        <v/>
      </c>
      <c r="DB295" s="821"/>
      <c r="DC295" s="821"/>
      <c r="DD295" s="821"/>
      <c r="DE295" s="821"/>
      <c r="DF295" s="821"/>
      <c r="DG295" s="821"/>
      <c r="DH295" s="821"/>
      <c r="DI295" s="821"/>
      <c r="DJ295" s="821"/>
      <c r="DK295" s="821"/>
      <c r="DL295" s="821"/>
      <c r="DM295" s="821"/>
      <c r="DN295" s="821"/>
      <c r="DO295" s="821"/>
      <c r="DP295" s="821"/>
      <c r="DQ295" s="821"/>
      <c r="DR295" s="821"/>
      <c r="DS295" s="821"/>
      <c r="DT295" s="821"/>
      <c r="DU295" s="821"/>
      <c r="DV295" s="821"/>
      <c r="DW295" s="821"/>
      <c r="DX295" s="821"/>
      <c r="DY295" s="821"/>
      <c r="DZ295" s="822"/>
      <c r="EA295" s="820" t="str">
        <f>IFERROR(IF(EZ277&gt;EA277-1,IF(INDEX(Pedidos!EJ:FZ,EY277+EA277-1,32)&lt;&gt;"","Localización de los Nombres :     "&amp; INDEX(Pedidos!EJ:FZ,EY277+EA277-1,32),""),""),"")</f>
        <v/>
      </c>
      <c r="EB295" s="821"/>
      <c r="EC295" s="821"/>
      <c r="ED295" s="821"/>
      <c r="EE295" s="821"/>
      <c r="EF295" s="821"/>
      <c r="EG295" s="821"/>
      <c r="EH295" s="821"/>
      <c r="EI295" s="821"/>
      <c r="EJ295" s="821"/>
      <c r="EK295" s="821"/>
      <c r="EL295" s="821"/>
      <c r="EM295" s="821"/>
      <c r="EN295" s="821"/>
      <c r="EO295" s="821"/>
      <c r="EP295" s="821"/>
      <c r="EQ295" s="821"/>
      <c r="ER295" s="821"/>
      <c r="ES295" s="821"/>
      <c r="ET295" s="821"/>
      <c r="EU295" s="821"/>
      <c r="EV295" s="821"/>
      <c r="EW295" s="821"/>
      <c r="EX295" s="821"/>
      <c r="EY295" s="821"/>
      <c r="EZ295" s="822"/>
      <c r="FA295" s="820" t="str">
        <f>IFERROR(IF(FZ277&gt;FA277-1,IF(INDEX(Pedidos!FJ:GZ,FY277+FA277-1,32)&lt;&gt;"","Localización de los Nombres :     "&amp; INDEX(Pedidos!FJ:GZ,FY277+FA277-1,32),""),""),"")</f>
        <v/>
      </c>
      <c r="FB295" s="821"/>
      <c r="FC295" s="821"/>
      <c r="FD295" s="821"/>
      <c r="FE295" s="821"/>
      <c r="FF295" s="821"/>
      <c r="FG295" s="821"/>
      <c r="FH295" s="821"/>
      <c r="FI295" s="821"/>
      <c r="FJ295" s="821"/>
      <c r="FK295" s="821"/>
      <c r="FL295" s="821"/>
      <c r="FM295" s="821"/>
      <c r="FN295" s="821"/>
      <c r="FO295" s="821"/>
      <c r="FP295" s="821"/>
      <c r="FQ295" s="821"/>
      <c r="FR295" s="821"/>
      <c r="FS295" s="821"/>
      <c r="FT295" s="821"/>
      <c r="FU295" s="821"/>
      <c r="FV295" s="821"/>
      <c r="FW295" s="821"/>
      <c r="FX295" s="821"/>
      <c r="FY295" s="821"/>
      <c r="FZ295" s="822"/>
      <c r="GA295" s="820" t="str">
        <f>IFERROR(IF(GZ277&gt;GA277-1,IF(INDEX(Pedidos!GJ:HZ,GY277+GA277-1,32)&lt;&gt;"","Localización de los Nombres :     "&amp; INDEX(Pedidos!GJ:HZ,GY277+GA277-1,32),""),""),"")</f>
        <v/>
      </c>
      <c r="GB295" s="821"/>
      <c r="GC295" s="821"/>
      <c r="GD295" s="821"/>
      <c r="GE295" s="821"/>
      <c r="GF295" s="821"/>
      <c r="GG295" s="821"/>
      <c r="GH295" s="821"/>
      <c r="GI295" s="821"/>
      <c r="GJ295" s="821"/>
      <c r="GK295" s="821"/>
      <c r="GL295" s="821"/>
      <c r="GM295" s="821"/>
      <c r="GN295" s="821"/>
      <c r="GO295" s="821"/>
      <c r="GP295" s="821"/>
      <c r="GQ295" s="821"/>
      <c r="GR295" s="821"/>
      <c r="GS295" s="821"/>
      <c r="GT295" s="821"/>
      <c r="GU295" s="821"/>
      <c r="GV295" s="821"/>
      <c r="GW295" s="821"/>
      <c r="GX295" s="821"/>
      <c r="GY295" s="821"/>
      <c r="GZ295" s="822"/>
      <c r="HA295" s="820" t="str">
        <f>IFERROR(IF(HZ277&gt;HA277-1,IF(INDEX(Pedidos!HJ:IZ,HY277+HA277-1,32)&lt;&gt;"","Localización de los Nombres :     "&amp; INDEX(Pedidos!HJ:IZ,HY277+HA277-1,32),""),""),"")</f>
        <v/>
      </c>
      <c r="HB295" s="821"/>
      <c r="HC295" s="821"/>
      <c r="HD295" s="821"/>
      <c r="HE295" s="821"/>
      <c r="HF295" s="821"/>
      <c r="HG295" s="821"/>
      <c r="HH295" s="821"/>
      <c r="HI295" s="821"/>
      <c r="HJ295" s="821"/>
      <c r="HK295" s="821"/>
      <c r="HL295" s="821"/>
      <c r="HM295" s="821"/>
      <c r="HN295" s="821"/>
      <c r="HO295" s="821"/>
      <c r="HP295" s="821"/>
      <c r="HQ295" s="821"/>
      <c r="HR295" s="821"/>
      <c r="HS295" s="821"/>
      <c r="HT295" s="821"/>
      <c r="HU295" s="821"/>
      <c r="HV295" s="821"/>
      <c r="HW295" s="821"/>
      <c r="HX295" s="821"/>
      <c r="HY295" s="821"/>
      <c r="HZ295" s="822"/>
      <c r="IA295" s="820" t="str">
        <f>IFERROR(IF(IZ277&gt;IA277-1,IF(INDEX(Pedidos!IJ:JZ,IY277+IA277-1,32)&lt;&gt;"","Localización de los Nombres :     "&amp; INDEX(Pedidos!IJ:JZ,IY277+IA277-1,32),""),""),"")</f>
        <v/>
      </c>
      <c r="IB295" s="821"/>
      <c r="IC295" s="821"/>
      <c r="ID295" s="821"/>
      <c r="IE295" s="821"/>
      <c r="IF295" s="821"/>
      <c r="IG295" s="821"/>
      <c r="IH295" s="821"/>
      <c r="II295" s="821"/>
      <c r="IJ295" s="821"/>
      <c r="IK295" s="821"/>
      <c r="IL295" s="821"/>
      <c r="IM295" s="821"/>
      <c r="IN295" s="821"/>
      <c r="IO295" s="821"/>
      <c r="IP295" s="821"/>
      <c r="IQ295" s="821"/>
      <c r="IR295" s="821"/>
      <c r="IS295" s="821"/>
      <c r="IT295" s="821"/>
      <c r="IU295" s="821"/>
      <c r="IV295" s="821"/>
      <c r="IW295" s="821"/>
      <c r="IX295" s="821"/>
      <c r="IY295" s="821"/>
      <c r="IZ295" s="822"/>
    </row>
    <row r="296" spans="1:260" ht="15" customHeight="1" x14ac:dyDescent="0.25">
      <c r="A296" s="836" t="str">
        <f>IFERROR(IF(Z277&gt;A277-1,IF(INDEX(Pedidos!J:AZ,Y277+A277-1,37)&lt;&gt;"","Otras Instrucciones Especiales :     "&amp; INDEX(Pedidos!J:AZ,Y277+A277-1,37),""),""),"")</f>
        <v/>
      </c>
      <c r="B296" s="837"/>
      <c r="C296" s="837"/>
      <c r="D296" s="837"/>
      <c r="E296" s="837"/>
      <c r="F296" s="837"/>
      <c r="G296" s="837"/>
      <c r="H296" s="837"/>
      <c r="I296" s="837"/>
      <c r="J296" s="837"/>
      <c r="K296" s="837"/>
      <c r="L296" s="837"/>
      <c r="M296" s="837"/>
      <c r="N296" s="837"/>
      <c r="O296" s="837"/>
      <c r="P296" s="837"/>
      <c r="Q296" s="837"/>
      <c r="R296" s="837"/>
      <c r="S296" s="837"/>
      <c r="T296" s="837"/>
      <c r="U296" s="837"/>
      <c r="V296" s="837"/>
      <c r="W296" s="837"/>
      <c r="X296" s="837"/>
      <c r="Y296" s="837"/>
      <c r="Z296" s="838"/>
      <c r="AA296" s="836" t="str">
        <f>IFERROR(IF(AZ277&gt;AA277-1,IF(INDEX(Pedidos!AJ:BZ,AY277+AA277-1,37)&lt;&gt;"","Otras Instrucciones Especiales :     "&amp; INDEX(Pedidos!AJ:BZ,AY277+AA277-1,37),""),""),"")</f>
        <v/>
      </c>
      <c r="AB296" s="837"/>
      <c r="AC296" s="837"/>
      <c r="AD296" s="837"/>
      <c r="AE296" s="837"/>
      <c r="AF296" s="837"/>
      <c r="AG296" s="837"/>
      <c r="AH296" s="837"/>
      <c r="AI296" s="837"/>
      <c r="AJ296" s="837"/>
      <c r="AK296" s="837"/>
      <c r="AL296" s="837"/>
      <c r="AM296" s="837"/>
      <c r="AN296" s="837"/>
      <c r="AO296" s="837"/>
      <c r="AP296" s="837"/>
      <c r="AQ296" s="837"/>
      <c r="AR296" s="837"/>
      <c r="AS296" s="837"/>
      <c r="AT296" s="837"/>
      <c r="AU296" s="837"/>
      <c r="AV296" s="837"/>
      <c r="AW296" s="837"/>
      <c r="AX296" s="837"/>
      <c r="AY296" s="837"/>
      <c r="AZ296" s="838"/>
      <c r="BA296" s="836" t="str">
        <f>IFERROR(IF(BZ277&gt;BA277-1,IF(INDEX(Pedidos!BJ:CZ,BY277+BA277-1,37)&lt;&gt;"","Otras Instrucciones Especiales :     "&amp; INDEX(Pedidos!BJ:CZ,BY277+BA277-1,37),""),""),"")</f>
        <v/>
      </c>
      <c r="BB296" s="837"/>
      <c r="BC296" s="837"/>
      <c r="BD296" s="837"/>
      <c r="BE296" s="837"/>
      <c r="BF296" s="837"/>
      <c r="BG296" s="837"/>
      <c r="BH296" s="837"/>
      <c r="BI296" s="837"/>
      <c r="BJ296" s="837"/>
      <c r="BK296" s="837"/>
      <c r="BL296" s="837"/>
      <c r="BM296" s="837"/>
      <c r="BN296" s="837"/>
      <c r="BO296" s="837"/>
      <c r="BP296" s="837"/>
      <c r="BQ296" s="837"/>
      <c r="BR296" s="837"/>
      <c r="BS296" s="837"/>
      <c r="BT296" s="837"/>
      <c r="BU296" s="837"/>
      <c r="BV296" s="837"/>
      <c r="BW296" s="837"/>
      <c r="BX296" s="837"/>
      <c r="BY296" s="837"/>
      <c r="BZ296" s="838"/>
      <c r="CA296" s="836" t="str">
        <f>IFERROR(IF(CZ277&gt;CA277-1,IF(INDEX(Pedidos!CJ:DZ,CY277+CA277-1,37)&lt;&gt;"","Otras Instrucciones Especiales :     "&amp; INDEX(Pedidos!CJ:DZ,CY277+CA277-1,37),""),""),"")</f>
        <v/>
      </c>
      <c r="CB296" s="837"/>
      <c r="CC296" s="837"/>
      <c r="CD296" s="837"/>
      <c r="CE296" s="837"/>
      <c r="CF296" s="837"/>
      <c r="CG296" s="837"/>
      <c r="CH296" s="837"/>
      <c r="CI296" s="837"/>
      <c r="CJ296" s="837"/>
      <c r="CK296" s="837"/>
      <c r="CL296" s="837"/>
      <c r="CM296" s="837"/>
      <c r="CN296" s="837"/>
      <c r="CO296" s="837"/>
      <c r="CP296" s="837"/>
      <c r="CQ296" s="837"/>
      <c r="CR296" s="837"/>
      <c r="CS296" s="837"/>
      <c r="CT296" s="837"/>
      <c r="CU296" s="837"/>
      <c r="CV296" s="837"/>
      <c r="CW296" s="837"/>
      <c r="CX296" s="837"/>
      <c r="CY296" s="837"/>
      <c r="CZ296" s="838"/>
      <c r="DA296" s="836" t="str">
        <f>IFERROR(IF(DZ277&gt;DA277-1,IF(INDEX(Pedidos!DJ:EZ,DY277+DA277-1,37)&lt;&gt;"","Otras Instrucciones Especiales :     "&amp; INDEX(Pedidos!DJ:EZ,DY277+DA277-1,37),""),""),"")</f>
        <v/>
      </c>
      <c r="DB296" s="837"/>
      <c r="DC296" s="837"/>
      <c r="DD296" s="837"/>
      <c r="DE296" s="837"/>
      <c r="DF296" s="837"/>
      <c r="DG296" s="837"/>
      <c r="DH296" s="837"/>
      <c r="DI296" s="837"/>
      <c r="DJ296" s="837"/>
      <c r="DK296" s="837"/>
      <c r="DL296" s="837"/>
      <c r="DM296" s="837"/>
      <c r="DN296" s="837"/>
      <c r="DO296" s="837"/>
      <c r="DP296" s="837"/>
      <c r="DQ296" s="837"/>
      <c r="DR296" s="837"/>
      <c r="DS296" s="837"/>
      <c r="DT296" s="837"/>
      <c r="DU296" s="837"/>
      <c r="DV296" s="837"/>
      <c r="DW296" s="837"/>
      <c r="DX296" s="837"/>
      <c r="DY296" s="837"/>
      <c r="DZ296" s="838"/>
      <c r="EA296" s="836" t="str">
        <f>IFERROR(IF(EZ277&gt;EA277-1,IF(INDEX(Pedidos!EJ:FZ,EY277+EA277-1,37)&lt;&gt;"","Otras Instrucciones Especiales :     "&amp; INDEX(Pedidos!EJ:FZ,EY277+EA277-1,37),""),""),"")</f>
        <v/>
      </c>
      <c r="EB296" s="837"/>
      <c r="EC296" s="837"/>
      <c r="ED296" s="837"/>
      <c r="EE296" s="837"/>
      <c r="EF296" s="837"/>
      <c r="EG296" s="837"/>
      <c r="EH296" s="837"/>
      <c r="EI296" s="837"/>
      <c r="EJ296" s="837"/>
      <c r="EK296" s="837"/>
      <c r="EL296" s="837"/>
      <c r="EM296" s="837"/>
      <c r="EN296" s="837"/>
      <c r="EO296" s="837"/>
      <c r="EP296" s="837"/>
      <c r="EQ296" s="837"/>
      <c r="ER296" s="837"/>
      <c r="ES296" s="837"/>
      <c r="ET296" s="837"/>
      <c r="EU296" s="837"/>
      <c r="EV296" s="837"/>
      <c r="EW296" s="837"/>
      <c r="EX296" s="837"/>
      <c r="EY296" s="837"/>
      <c r="EZ296" s="838"/>
      <c r="FA296" s="836" t="str">
        <f>IFERROR(IF(FZ277&gt;FA277-1,IF(INDEX(Pedidos!FJ:GZ,FY277+FA277-1,37)&lt;&gt;"","Otras Instrucciones Especiales :     "&amp; INDEX(Pedidos!FJ:GZ,FY277+FA277-1,37),""),""),"")</f>
        <v/>
      </c>
      <c r="FB296" s="837"/>
      <c r="FC296" s="837"/>
      <c r="FD296" s="837"/>
      <c r="FE296" s="837"/>
      <c r="FF296" s="837"/>
      <c r="FG296" s="837"/>
      <c r="FH296" s="837"/>
      <c r="FI296" s="837"/>
      <c r="FJ296" s="837"/>
      <c r="FK296" s="837"/>
      <c r="FL296" s="837"/>
      <c r="FM296" s="837"/>
      <c r="FN296" s="837"/>
      <c r="FO296" s="837"/>
      <c r="FP296" s="837"/>
      <c r="FQ296" s="837"/>
      <c r="FR296" s="837"/>
      <c r="FS296" s="837"/>
      <c r="FT296" s="837"/>
      <c r="FU296" s="837"/>
      <c r="FV296" s="837"/>
      <c r="FW296" s="837"/>
      <c r="FX296" s="837"/>
      <c r="FY296" s="837"/>
      <c r="FZ296" s="838"/>
      <c r="GA296" s="836" t="str">
        <f>IFERROR(IF(GZ277&gt;GA277-1,IF(INDEX(Pedidos!GJ:HZ,GY277+GA277-1,37)&lt;&gt;"","Otras Instrucciones Especiales :     "&amp; INDEX(Pedidos!GJ:HZ,GY277+GA277-1,37),""),""),"")</f>
        <v/>
      </c>
      <c r="GB296" s="837"/>
      <c r="GC296" s="837"/>
      <c r="GD296" s="837"/>
      <c r="GE296" s="837"/>
      <c r="GF296" s="837"/>
      <c r="GG296" s="837"/>
      <c r="GH296" s="837"/>
      <c r="GI296" s="837"/>
      <c r="GJ296" s="837"/>
      <c r="GK296" s="837"/>
      <c r="GL296" s="837"/>
      <c r="GM296" s="837"/>
      <c r="GN296" s="837"/>
      <c r="GO296" s="837"/>
      <c r="GP296" s="837"/>
      <c r="GQ296" s="837"/>
      <c r="GR296" s="837"/>
      <c r="GS296" s="837"/>
      <c r="GT296" s="837"/>
      <c r="GU296" s="837"/>
      <c r="GV296" s="837"/>
      <c r="GW296" s="837"/>
      <c r="GX296" s="837"/>
      <c r="GY296" s="837"/>
      <c r="GZ296" s="838"/>
      <c r="HA296" s="836" t="str">
        <f>IFERROR(IF(HZ277&gt;HA277-1,IF(INDEX(Pedidos!HJ:IZ,HY277+HA277-1,37)&lt;&gt;"","Otras Instrucciones Especiales :     "&amp; INDEX(Pedidos!HJ:IZ,HY277+HA277-1,37),""),""),"")</f>
        <v/>
      </c>
      <c r="HB296" s="837"/>
      <c r="HC296" s="837"/>
      <c r="HD296" s="837"/>
      <c r="HE296" s="837"/>
      <c r="HF296" s="837"/>
      <c r="HG296" s="837"/>
      <c r="HH296" s="837"/>
      <c r="HI296" s="837"/>
      <c r="HJ296" s="837"/>
      <c r="HK296" s="837"/>
      <c r="HL296" s="837"/>
      <c r="HM296" s="837"/>
      <c r="HN296" s="837"/>
      <c r="HO296" s="837"/>
      <c r="HP296" s="837"/>
      <c r="HQ296" s="837"/>
      <c r="HR296" s="837"/>
      <c r="HS296" s="837"/>
      <c r="HT296" s="837"/>
      <c r="HU296" s="837"/>
      <c r="HV296" s="837"/>
      <c r="HW296" s="837"/>
      <c r="HX296" s="837"/>
      <c r="HY296" s="837"/>
      <c r="HZ296" s="838"/>
      <c r="IA296" s="836" t="str">
        <f>IFERROR(IF(IZ277&gt;IA277-1,IF(INDEX(Pedidos!IJ:JZ,IY277+IA277-1,37)&lt;&gt;"","Otras Instrucciones Especiales :     "&amp; INDEX(Pedidos!IJ:JZ,IY277+IA277-1,37),""),""),"")</f>
        <v/>
      </c>
      <c r="IB296" s="837"/>
      <c r="IC296" s="837"/>
      <c r="ID296" s="837"/>
      <c r="IE296" s="837"/>
      <c r="IF296" s="837"/>
      <c r="IG296" s="837"/>
      <c r="IH296" s="837"/>
      <c r="II296" s="837"/>
      <c r="IJ296" s="837"/>
      <c r="IK296" s="837"/>
      <c r="IL296" s="837"/>
      <c r="IM296" s="837"/>
      <c r="IN296" s="837"/>
      <c r="IO296" s="837"/>
      <c r="IP296" s="837"/>
      <c r="IQ296" s="837"/>
      <c r="IR296" s="837"/>
      <c r="IS296" s="837"/>
      <c r="IT296" s="837"/>
      <c r="IU296" s="837"/>
      <c r="IV296" s="837"/>
      <c r="IW296" s="837"/>
      <c r="IX296" s="837"/>
      <c r="IY296" s="837"/>
      <c r="IZ296" s="838"/>
    </row>
    <row r="297" spans="1:260" ht="15.75" thickBot="1" x14ac:dyDescent="0.3">
      <c r="A297" s="839"/>
      <c r="B297" s="840"/>
      <c r="C297" s="840"/>
      <c r="D297" s="840"/>
      <c r="E297" s="840"/>
      <c r="F297" s="840"/>
      <c r="G297" s="840"/>
      <c r="H297" s="840"/>
      <c r="I297" s="840"/>
      <c r="J297" s="840"/>
      <c r="K297" s="840"/>
      <c r="L297" s="840"/>
      <c r="M297" s="840"/>
      <c r="N297" s="840"/>
      <c r="O297" s="840"/>
      <c r="P297" s="840"/>
      <c r="Q297" s="840"/>
      <c r="R297" s="840"/>
      <c r="S297" s="840"/>
      <c r="T297" s="840"/>
      <c r="U297" s="840"/>
      <c r="V297" s="840"/>
      <c r="W297" s="840"/>
      <c r="X297" s="840"/>
      <c r="Y297" s="840"/>
      <c r="Z297" s="841"/>
      <c r="AA297" s="839"/>
      <c r="AB297" s="840"/>
      <c r="AC297" s="840"/>
      <c r="AD297" s="840"/>
      <c r="AE297" s="840"/>
      <c r="AF297" s="840"/>
      <c r="AG297" s="840"/>
      <c r="AH297" s="840"/>
      <c r="AI297" s="840"/>
      <c r="AJ297" s="840"/>
      <c r="AK297" s="840"/>
      <c r="AL297" s="840"/>
      <c r="AM297" s="840"/>
      <c r="AN297" s="840"/>
      <c r="AO297" s="840"/>
      <c r="AP297" s="840"/>
      <c r="AQ297" s="840"/>
      <c r="AR297" s="840"/>
      <c r="AS297" s="840"/>
      <c r="AT297" s="840"/>
      <c r="AU297" s="840"/>
      <c r="AV297" s="840"/>
      <c r="AW297" s="840"/>
      <c r="AX297" s="840"/>
      <c r="AY297" s="840"/>
      <c r="AZ297" s="841"/>
      <c r="BA297" s="839"/>
      <c r="BB297" s="840"/>
      <c r="BC297" s="840"/>
      <c r="BD297" s="840"/>
      <c r="BE297" s="840"/>
      <c r="BF297" s="840"/>
      <c r="BG297" s="840"/>
      <c r="BH297" s="840"/>
      <c r="BI297" s="840"/>
      <c r="BJ297" s="840"/>
      <c r="BK297" s="840"/>
      <c r="BL297" s="840"/>
      <c r="BM297" s="840"/>
      <c r="BN297" s="840"/>
      <c r="BO297" s="840"/>
      <c r="BP297" s="840"/>
      <c r="BQ297" s="840"/>
      <c r="BR297" s="840"/>
      <c r="BS297" s="840"/>
      <c r="BT297" s="840"/>
      <c r="BU297" s="840"/>
      <c r="BV297" s="840"/>
      <c r="BW297" s="840"/>
      <c r="BX297" s="840"/>
      <c r="BY297" s="840"/>
      <c r="BZ297" s="841"/>
      <c r="CA297" s="839"/>
      <c r="CB297" s="840"/>
      <c r="CC297" s="840"/>
      <c r="CD297" s="840"/>
      <c r="CE297" s="840"/>
      <c r="CF297" s="840"/>
      <c r="CG297" s="840"/>
      <c r="CH297" s="840"/>
      <c r="CI297" s="840"/>
      <c r="CJ297" s="840"/>
      <c r="CK297" s="840"/>
      <c r="CL297" s="840"/>
      <c r="CM297" s="840"/>
      <c r="CN297" s="840"/>
      <c r="CO297" s="840"/>
      <c r="CP297" s="840"/>
      <c r="CQ297" s="840"/>
      <c r="CR297" s="840"/>
      <c r="CS297" s="840"/>
      <c r="CT297" s="840"/>
      <c r="CU297" s="840"/>
      <c r="CV297" s="840"/>
      <c r="CW297" s="840"/>
      <c r="CX297" s="840"/>
      <c r="CY297" s="840"/>
      <c r="CZ297" s="841"/>
      <c r="DA297" s="839"/>
      <c r="DB297" s="840"/>
      <c r="DC297" s="840"/>
      <c r="DD297" s="840"/>
      <c r="DE297" s="840"/>
      <c r="DF297" s="840"/>
      <c r="DG297" s="840"/>
      <c r="DH297" s="840"/>
      <c r="DI297" s="840"/>
      <c r="DJ297" s="840"/>
      <c r="DK297" s="840"/>
      <c r="DL297" s="840"/>
      <c r="DM297" s="840"/>
      <c r="DN297" s="840"/>
      <c r="DO297" s="840"/>
      <c r="DP297" s="840"/>
      <c r="DQ297" s="840"/>
      <c r="DR297" s="840"/>
      <c r="DS297" s="840"/>
      <c r="DT297" s="840"/>
      <c r="DU297" s="840"/>
      <c r="DV297" s="840"/>
      <c r="DW297" s="840"/>
      <c r="DX297" s="840"/>
      <c r="DY297" s="840"/>
      <c r="DZ297" s="841"/>
      <c r="EA297" s="839"/>
      <c r="EB297" s="840"/>
      <c r="EC297" s="840"/>
      <c r="ED297" s="840"/>
      <c r="EE297" s="840"/>
      <c r="EF297" s="840"/>
      <c r="EG297" s="840"/>
      <c r="EH297" s="840"/>
      <c r="EI297" s="840"/>
      <c r="EJ297" s="840"/>
      <c r="EK297" s="840"/>
      <c r="EL297" s="840"/>
      <c r="EM297" s="840"/>
      <c r="EN297" s="840"/>
      <c r="EO297" s="840"/>
      <c r="EP297" s="840"/>
      <c r="EQ297" s="840"/>
      <c r="ER297" s="840"/>
      <c r="ES297" s="840"/>
      <c r="ET297" s="840"/>
      <c r="EU297" s="840"/>
      <c r="EV297" s="840"/>
      <c r="EW297" s="840"/>
      <c r="EX297" s="840"/>
      <c r="EY297" s="840"/>
      <c r="EZ297" s="841"/>
      <c r="FA297" s="839"/>
      <c r="FB297" s="840"/>
      <c r="FC297" s="840"/>
      <c r="FD297" s="840"/>
      <c r="FE297" s="840"/>
      <c r="FF297" s="840"/>
      <c r="FG297" s="840"/>
      <c r="FH297" s="840"/>
      <c r="FI297" s="840"/>
      <c r="FJ297" s="840"/>
      <c r="FK297" s="840"/>
      <c r="FL297" s="840"/>
      <c r="FM297" s="840"/>
      <c r="FN297" s="840"/>
      <c r="FO297" s="840"/>
      <c r="FP297" s="840"/>
      <c r="FQ297" s="840"/>
      <c r="FR297" s="840"/>
      <c r="FS297" s="840"/>
      <c r="FT297" s="840"/>
      <c r="FU297" s="840"/>
      <c r="FV297" s="840"/>
      <c r="FW297" s="840"/>
      <c r="FX297" s="840"/>
      <c r="FY297" s="840"/>
      <c r="FZ297" s="841"/>
      <c r="GA297" s="839"/>
      <c r="GB297" s="840"/>
      <c r="GC297" s="840"/>
      <c r="GD297" s="840"/>
      <c r="GE297" s="840"/>
      <c r="GF297" s="840"/>
      <c r="GG297" s="840"/>
      <c r="GH297" s="840"/>
      <c r="GI297" s="840"/>
      <c r="GJ297" s="840"/>
      <c r="GK297" s="840"/>
      <c r="GL297" s="840"/>
      <c r="GM297" s="840"/>
      <c r="GN297" s="840"/>
      <c r="GO297" s="840"/>
      <c r="GP297" s="840"/>
      <c r="GQ297" s="840"/>
      <c r="GR297" s="840"/>
      <c r="GS297" s="840"/>
      <c r="GT297" s="840"/>
      <c r="GU297" s="840"/>
      <c r="GV297" s="840"/>
      <c r="GW297" s="840"/>
      <c r="GX297" s="840"/>
      <c r="GY297" s="840"/>
      <c r="GZ297" s="841"/>
      <c r="HA297" s="839"/>
      <c r="HB297" s="840"/>
      <c r="HC297" s="840"/>
      <c r="HD297" s="840"/>
      <c r="HE297" s="840"/>
      <c r="HF297" s="840"/>
      <c r="HG297" s="840"/>
      <c r="HH297" s="840"/>
      <c r="HI297" s="840"/>
      <c r="HJ297" s="840"/>
      <c r="HK297" s="840"/>
      <c r="HL297" s="840"/>
      <c r="HM297" s="840"/>
      <c r="HN297" s="840"/>
      <c r="HO297" s="840"/>
      <c r="HP297" s="840"/>
      <c r="HQ297" s="840"/>
      <c r="HR297" s="840"/>
      <c r="HS297" s="840"/>
      <c r="HT297" s="840"/>
      <c r="HU297" s="840"/>
      <c r="HV297" s="840"/>
      <c r="HW297" s="840"/>
      <c r="HX297" s="840"/>
      <c r="HY297" s="840"/>
      <c r="HZ297" s="841"/>
      <c r="IA297" s="839"/>
      <c r="IB297" s="840"/>
      <c r="IC297" s="840"/>
      <c r="ID297" s="840"/>
      <c r="IE297" s="840"/>
      <c r="IF297" s="840"/>
      <c r="IG297" s="840"/>
      <c r="IH297" s="840"/>
      <c r="II297" s="840"/>
      <c r="IJ297" s="840"/>
      <c r="IK297" s="840"/>
      <c r="IL297" s="840"/>
      <c r="IM297" s="840"/>
      <c r="IN297" s="840"/>
      <c r="IO297" s="840"/>
      <c r="IP297" s="840"/>
      <c r="IQ297" s="840"/>
      <c r="IR297" s="840"/>
      <c r="IS297" s="840"/>
      <c r="IT297" s="840"/>
      <c r="IU297" s="840"/>
      <c r="IV297" s="840"/>
      <c r="IW297" s="840"/>
      <c r="IX297" s="840"/>
      <c r="IY297" s="840"/>
      <c r="IZ297" s="841"/>
    </row>
    <row r="298" spans="1:260" x14ac:dyDescent="0.25">
      <c r="AA298" s="518"/>
      <c r="AB298" s="518"/>
      <c r="AC298" s="518"/>
      <c r="AD298" s="518"/>
      <c r="AE298" s="518"/>
      <c r="AF298" s="518"/>
      <c r="AG298" s="518"/>
      <c r="AH298" s="518"/>
      <c r="AI298" s="518"/>
      <c r="AJ298" s="518"/>
      <c r="AK298" s="518"/>
      <c r="AL298" s="518"/>
      <c r="AM298" s="518"/>
      <c r="AN298" s="518"/>
      <c r="AO298" s="518"/>
      <c r="AP298" s="518"/>
      <c r="AQ298" s="518"/>
      <c r="AR298" s="518"/>
      <c r="AS298" s="518"/>
      <c r="AT298" s="518"/>
      <c r="AU298" s="518"/>
      <c r="AV298" s="518"/>
      <c r="AW298" s="518"/>
    </row>
    <row r="299" spans="1:260" ht="15.75" thickBot="1" x14ac:dyDescent="0.3">
      <c r="A299" s="529">
        <v>14</v>
      </c>
      <c r="B299" s="529"/>
      <c r="C299" s="529"/>
      <c r="D299" s="529"/>
      <c r="E299" s="529"/>
      <c r="F299" s="529"/>
      <c r="G299" s="529"/>
      <c r="H299" s="529"/>
      <c r="I299" s="529"/>
      <c r="J299" s="529">
        <v>18</v>
      </c>
      <c r="K299" s="529">
        <v>19</v>
      </c>
      <c r="L299" s="529">
        <v>20</v>
      </c>
      <c r="M299" s="529">
        <v>21</v>
      </c>
      <c r="N299" s="529">
        <v>22</v>
      </c>
      <c r="O299" s="529">
        <v>23</v>
      </c>
      <c r="P299" s="529">
        <v>24</v>
      </c>
      <c r="Q299" s="529">
        <v>25</v>
      </c>
      <c r="R299" s="529">
        <v>26</v>
      </c>
      <c r="S299" s="529">
        <v>27</v>
      </c>
      <c r="T299" s="529">
        <v>28</v>
      </c>
      <c r="U299" s="529">
        <v>29</v>
      </c>
      <c r="V299" s="529">
        <v>30</v>
      </c>
      <c r="W299" s="529"/>
      <c r="X299" s="529"/>
      <c r="Y299" s="529" t="str">
        <f>IFERROR(IF(COUNTIF(Pedidos!$J:$J,Q$2)&gt;A299-1,MATCH(Q$2,Pedidos!$J:$J,0),""),"")</f>
        <v/>
      </c>
      <c r="Z299" s="529">
        <f>IFERROR(IF(Y299="",0,COUNTIF(Pedidos!$J:$J,Procesos!Q$2)),"")</f>
        <v>0</v>
      </c>
      <c r="AA299" s="529">
        <v>14</v>
      </c>
      <c r="AB299" s="529"/>
      <c r="AC299" s="529"/>
      <c r="AD299" s="529"/>
      <c r="AE299" s="529"/>
      <c r="AF299" s="529"/>
      <c r="AG299" s="529"/>
      <c r="AH299" s="529"/>
      <c r="AI299" s="529"/>
      <c r="AJ299" s="529">
        <v>18</v>
      </c>
      <c r="AK299" s="529">
        <v>19</v>
      </c>
      <c r="AL299" s="529">
        <v>20</v>
      </c>
      <c r="AM299" s="529">
        <v>21</v>
      </c>
      <c r="AN299" s="529">
        <v>22</v>
      </c>
      <c r="AO299" s="529">
        <v>23</v>
      </c>
      <c r="AP299" s="529">
        <v>24</v>
      </c>
      <c r="AQ299" s="529">
        <v>25</v>
      </c>
      <c r="AR299" s="529">
        <v>26</v>
      </c>
      <c r="AS299" s="529">
        <v>27</v>
      </c>
      <c r="AT299" s="529">
        <v>28</v>
      </c>
      <c r="AU299" s="529">
        <v>29</v>
      </c>
      <c r="AV299" s="529">
        <v>30</v>
      </c>
      <c r="AW299" s="529"/>
      <c r="AX299" s="529"/>
      <c r="AY299" s="529" t="str">
        <f>IFERROR(IF(COUNTIF(Pedidos!$J:$J,AQ$2)&gt;AA299-1,MATCH(AQ$2,Pedidos!$J:$J,0),""),"")</f>
        <v/>
      </c>
      <c r="AZ299" s="529">
        <f>IFERROR(IF(AY299="",0,COUNTIF(Pedidos!$J:$J,Procesos!AQ$2)),"")</f>
        <v>0</v>
      </c>
      <c r="BA299" s="529">
        <v>14</v>
      </c>
      <c r="BB299" s="529"/>
      <c r="BC299" s="529"/>
      <c r="BD299" s="529"/>
      <c r="BE299" s="529"/>
      <c r="BF299" s="529"/>
      <c r="BG299" s="529"/>
      <c r="BH299" s="529"/>
      <c r="BI299" s="529"/>
      <c r="BJ299" s="529">
        <v>18</v>
      </c>
      <c r="BK299" s="529">
        <v>19</v>
      </c>
      <c r="BL299" s="529">
        <v>20</v>
      </c>
      <c r="BM299" s="529">
        <v>21</v>
      </c>
      <c r="BN299" s="529">
        <v>22</v>
      </c>
      <c r="BO299" s="529">
        <v>23</v>
      </c>
      <c r="BP299" s="529">
        <v>24</v>
      </c>
      <c r="BQ299" s="529">
        <v>25</v>
      </c>
      <c r="BR299" s="529">
        <v>26</v>
      </c>
      <c r="BS299" s="529">
        <v>27</v>
      </c>
      <c r="BT299" s="529">
        <v>28</v>
      </c>
      <c r="BU299" s="529">
        <v>29</v>
      </c>
      <c r="BV299" s="529">
        <v>30</v>
      </c>
      <c r="BW299" s="529"/>
      <c r="BX299" s="529"/>
      <c r="BY299" s="529" t="str">
        <f>IFERROR(IF(COUNTIF(Pedidos!$J:$J,BQ$2)&gt;BA299-1,MATCH(BQ$2,Pedidos!$J:$J,0),""),"")</f>
        <v/>
      </c>
      <c r="BZ299" s="529">
        <f>IFERROR(IF(BY299="",0,COUNTIF(Pedidos!$J:$J,Procesos!BQ$2)),"")</f>
        <v>0</v>
      </c>
      <c r="CA299" s="529">
        <v>14</v>
      </c>
      <c r="CB299" s="529"/>
      <c r="CC299" s="529"/>
      <c r="CD299" s="529"/>
      <c r="CE299" s="529"/>
      <c r="CF299" s="529"/>
      <c r="CG299" s="529"/>
      <c r="CH299" s="529"/>
      <c r="CI299" s="529"/>
      <c r="CJ299" s="529">
        <v>18</v>
      </c>
      <c r="CK299" s="529">
        <v>19</v>
      </c>
      <c r="CL299" s="529">
        <v>20</v>
      </c>
      <c r="CM299" s="529">
        <v>21</v>
      </c>
      <c r="CN299" s="529">
        <v>22</v>
      </c>
      <c r="CO299" s="529">
        <v>23</v>
      </c>
      <c r="CP299" s="529">
        <v>24</v>
      </c>
      <c r="CQ299" s="529">
        <v>25</v>
      </c>
      <c r="CR299" s="529">
        <v>26</v>
      </c>
      <c r="CS299" s="529">
        <v>27</v>
      </c>
      <c r="CT299" s="529">
        <v>28</v>
      </c>
      <c r="CU299" s="529">
        <v>29</v>
      </c>
      <c r="CV299" s="529">
        <v>30</v>
      </c>
      <c r="CW299" s="529"/>
      <c r="CX299" s="529"/>
      <c r="CY299" s="529" t="str">
        <f>IFERROR(IF(COUNTIF(Pedidos!$J:$J,CQ$2)&gt;CA299-1,MATCH(CQ$2,Pedidos!$J:$J,0),""),"")</f>
        <v/>
      </c>
      <c r="CZ299" s="529">
        <f>IFERROR(IF(CY299="",0,COUNTIF(Pedidos!$J:$J,Procesos!CQ$2)),"")</f>
        <v>0</v>
      </c>
      <c r="DA299" s="529">
        <v>14</v>
      </c>
      <c r="DB299" s="529"/>
      <c r="DC299" s="529"/>
      <c r="DD299" s="529"/>
      <c r="DE299" s="529"/>
      <c r="DF299" s="529"/>
      <c r="DG299" s="529"/>
      <c r="DH299" s="529"/>
      <c r="DI299" s="529"/>
      <c r="DJ299" s="529">
        <v>18</v>
      </c>
      <c r="DK299" s="529">
        <v>19</v>
      </c>
      <c r="DL299" s="529">
        <v>20</v>
      </c>
      <c r="DM299" s="529">
        <v>21</v>
      </c>
      <c r="DN299" s="529">
        <v>22</v>
      </c>
      <c r="DO299" s="529">
        <v>23</v>
      </c>
      <c r="DP299" s="529">
        <v>24</v>
      </c>
      <c r="DQ299" s="529">
        <v>25</v>
      </c>
      <c r="DR299" s="529">
        <v>26</v>
      </c>
      <c r="DS299" s="529">
        <v>27</v>
      </c>
      <c r="DT299" s="529">
        <v>28</v>
      </c>
      <c r="DU299" s="529">
        <v>29</v>
      </c>
      <c r="DV299" s="529">
        <v>30</v>
      </c>
      <c r="DW299" s="529"/>
      <c r="DX299" s="529"/>
      <c r="DY299" s="529" t="str">
        <f>IFERROR(IF(COUNTIF(Pedidos!$J:$J,DQ$2)&gt;DA299-1,MATCH(DQ$2,Pedidos!$J:$J,0),""),"")</f>
        <v/>
      </c>
      <c r="DZ299" s="529">
        <f>IFERROR(IF(DY299="",0,COUNTIF(Pedidos!$J:$J,Procesos!DQ$2)),"")</f>
        <v>0</v>
      </c>
      <c r="EA299" s="529">
        <v>14</v>
      </c>
      <c r="EB299" s="529"/>
      <c r="EC299" s="529"/>
      <c r="ED299" s="529"/>
      <c r="EE299" s="529"/>
      <c r="EF299" s="529"/>
      <c r="EG299" s="529"/>
      <c r="EH299" s="529"/>
      <c r="EI299" s="529"/>
      <c r="EJ299" s="529">
        <v>18</v>
      </c>
      <c r="EK299" s="529">
        <v>19</v>
      </c>
      <c r="EL299" s="529">
        <v>20</v>
      </c>
      <c r="EM299" s="529">
        <v>21</v>
      </c>
      <c r="EN299" s="529">
        <v>22</v>
      </c>
      <c r="EO299" s="529">
        <v>23</v>
      </c>
      <c r="EP299" s="529">
        <v>24</v>
      </c>
      <c r="EQ299" s="529">
        <v>25</v>
      </c>
      <c r="ER299" s="529">
        <v>26</v>
      </c>
      <c r="ES299" s="529">
        <v>27</v>
      </c>
      <c r="ET299" s="529">
        <v>28</v>
      </c>
      <c r="EU299" s="529">
        <v>29</v>
      </c>
      <c r="EV299" s="529">
        <v>30</v>
      </c>
      <c r="EW299" s="529"/>
      <c r="EX299" s="529"/>
      <c r="EY299" s="529" t="str">
        <f>IFERROR(IF(COUNTIF(Pedidos!$J:$J,EQ$2)&gt;EA299-1,MATCH(EQ$2,Pedidos!$J:$J,0),""),"")</f>
        <v/>
      </c>
      <c r="EZ299" s="529">
        <f>IFERROR(IF(EY299="",0,COUNTIF(Pedidos!$J:$J,Procesos!EQ$2)),"")</f>
        <v>0</v>
      </c>
      <c r="FA299" s="529">
        <v>14</v>
      </c>
      <c r="FB299" s="529"/>
      <c r="FC299" s="529"/>
      <c r="FD299" s="529"/>
      <c r="FE299" s="529"/>
      <c r="FF299" s="529"/>
      <c r="FG299" s="529"/>
      <c r="FH299" s="529"/>
      <c r="FI299" s="529"/>
      <c r="FJ299" s="529">
        <v>18</v>
      </c>
      <c r="FK299" s="529">
        <v>19</v>
      </c>
      <c r="FL299" s="529">
        <v>20</v>
      </c>
      <c r="FM299" s="529">
        <v>21</v>
      </c>
      <c r="FN299" s="529">
        <v>22</v>
      </c>
      <c r="FO299" s="529">
        <v>23</v>
      </c>
      <c r="FP299" s="529">
        <v>24</v>
      </c>
      <c r="FQ299" s="529">
        <v>25</v>
      </c>
      <c r="FR299" s="529">
        <v>26</v>
      </c>
      <c r="FS299" s="529">
        <v>27</v>
      </c>
      <c r="FT299" s="529">
        <v>28</v>
      </c>
      <c r="FU299" s="529">
        <v>29</v>
      </c>
      <c r="FV299" s="529">
        <v>30</v>
      </c>
      <c r="FW299" s="529"/>
      <c r="FX299" s="529"/>
      <c r="FY299" s="529" t="str">
        <f>IFERROR(IF(COUNTIF(Pedidos!$J:$J,FQ$2)&gt;FA299-1,MATCH(FQ$2,Pedidos!$J:$J,0),""),"")</f>
        <v/>
      </c>
      <c r="FZ299" s="529">
        <f>IFERROR(IF(FY299="",0,COUNTIF(Pedidos!$J:$J,Procesos!FQ$2)),"")</f>
        <v>0</v>
      </c>
      <c r="GA299" s="529">
        <v>14</v>
      </c>
      <c r="GB299" s="529"/>
      <c r="GC299" s="529"/>
      <c r="GD299" s="529"/>
      <c r="GE299" s="529"/>
      <c r="GF299" s="529"/>
      <c r="GG299" s="529"/>
      <c r="GH299" s="529"/>
      <c r="GI299" s="529"/>
      <c r="GJ299" s="529">
        <v>18</v>
      </c>
      <c r="GK299" s="529">
        <v>19</v>
      </c>
      <c r="GL299" s="529">
        <v>20</v>
      </c>
      <c r="GM299" s="529">
        <v>21</v>
      </c>
      <c r="GN299" s="529">
        <v>22</v>
      </c>
      <c r="GO299" s="529">
        <v>23</v>
      </c>
      <c r="GP299" s="529">
        <v>24</v>
      </c>
      <c r="GQ299" s="529">
        <v>25</v>
      </c>
      <c r="GR299" s="529">
        <v>26</v>
      </c>
      <c r="GS299" s="529">
        <v>27</v>
      </c>
      <c r="GT299" s="529">
        <v>28</v>
      </c>
      <c r="GU299" s="529">
        <v>29</v>
      </c>
      <c r="GV299" s="529">
        <v>30</v>
      </c>
      <c r="GW299" s="529"/>
      <c r="GX299" s="529"/>
      <c r="GY299" s="529" t="str">
        <f>IFERROR(IF(COUNTIF(Pedidos!$J:$J,GQ$2)&gt;GA299-1,MATCH(GQ$2,Pedidos!$J:$J,0),""),"")</f>
        <v/>
      </c>
      <c r="GZ299" s="529">
        <f>IFERROR(IF(GY299="",0,COUNTIF(Pedidos!$J:$J,Procesos!GQ$2)),"")</f>
        <v>0</v>
      </c>
      <c r="HA299" s="529">
        <v>14</v>
      </c>
      <c r="HB299" s="529"/>
      <c r="HC299" s="529"/>
      <c r="HD299" s="529"/>
      <c r="HE299" s="529"/>
      <c r="HF299" s="529"/>
      <c r="HG299" s="529"/>
      <c r="HH299" s="529"/>
      <c r="HI299" s="529"/>
      <c r="HJ299" s="529">
        <v>18</v>
      </c>
      <c r="HK299" s="529">
        <v>19</v>
      </c>
      <c r="HL299" s="529">
        <v>20</v>
      </c>
      <c r="HM299" s="529">
        <v>21</v>
      </c>
      <c r="HN299" s="529">
        <v>22</v>
      </c>
      <c r="HO299" s="529">
        <v>23</v>
      </c>
      <c r="HP299" s="529">
        <v>24</v>
      </c>
      <c r="HQ299" s="529">
        <v>25</v>
      </c>
      <c r="HR299" s="529">
        <v>26</v>
      </c>
      <c r="HS299" s="529">
        <v>27</v>
      </c>
      <c r="HT299" s="529">
        <v>28</v>
      </c>
      <c r="HU299" s="529">
        <v>29</v>
      </c>
      <c r="HV299" s="529">
        <v>30</v>
      </c>
      <c r="HW299" s="529"/>
      <c r="HX299" s="529"/>
      <c r="HY299" s="529" t="str">
        <f>IFERROR(IF(COUNTIF(Pedidos!$J:$J,HQ$2)&gt;HA299-1,MATCH(HQ$2,Pedidos!$J:$J,0),""),"")</f>
        <v/>
      </c>
      <c r="HZ299" s="529">
        <f>IFERROR(IF(HY299="",0,COUNTIF(Pedidos!$J:$J,Procesos!HQ$2)),"")</f>
        <v>0</v>
      </c>
      <c r="IA299" s="529">
        <v>14</v>
      </c>
      <c r="IB299" s="529"/>
      <c r="IC299" s="529"/>
      <c r="ID299" s="529"/>
      <c r="IE299" s="529"/>
      <c r="IF299" s="529"/>
      <c r="IG299" s="529"/>
      <c r="IH299" s="529"/>
      <c r="II299" s="529"/>
      <c r="IJ299" s="529">
        <v>18</v>
      </c>
      <c r="IK299" s="529">
        <v>19</v>
      </c>
      <c r="IL299" s="529">
        <v>20</v>
      </c>
      <c r="IM299" s="529">
        <v>21</v>
      </c>
      <c r="IN299" s="529">
        <v>22</v>
      </c>
      <c r="IO299" s="529">
        <v>23</v>
      </c>
      <c r="IP299" s="529">
        <v>24</v>
      </c>
      <c r="IQ299" s="529">
        <v>25</v>
      </c>
      <c r="IR299" s="529">
        <v>26</v>
      </c>
      <c r="IS299" s="529">
        <v>27</v>
      </c>
      <c r="IT299" s="529">
        <v>28</v>
      </c>
      <c r="IU299" s="529">
        <v>29</v>
      </c>
      <c r="IV299" s="529">
        <v>30</v>
      </c>
      <c r="IW299" s="529"/>
      <c r="IX299" s="529"/>
      <c r="IY299" s="529" t="str">
        <f>IFERROR(IF(COUNTIF(Pedidos!$J:$J,IQ$2)&gt;IA299-1,MATCH(IQ$2,Pedidos!$J:$J,0),""),"")</f>
        <v/>
      </c>
      <c r="IZ299" s="529">
        <f>IFERROR(IF(IY299="",0,COUNTIF(Pedidos!$J:$J,Procesos!IQ$2)),"")</f>
        <v>0</v>
      </c>
    </row>
    <row r="300" spans="1:260" x14ac:dyDescent="0.25">
      <c r="A300" s="815" t="str">
        <f>IF(Z299&gt;=A299,Q$2 &amp;"     ITEM # "&amp;A299,"")</f>
        <v/>
      </c>
      <c r="B300" s="816"/>
      <c r="C300" s="816"/>
      <c r="D300" s="816"/>
      <c r="E300" s="816"/>
      <c r="F300" s="816"/>
      <c r="G300" s="816"/>
      <c r="H300" s="816"/>
      <c r="I300" s="817"/>
      <c r="J300" s="818" t="str">
        <f>IF(Z299&gt;=A299,$J$6,"")</f>
        <v/>
      </c>
      <c r="K300" s="816"/>
      <c r="L300" s="816"/>
      <c r="M300" s="816"/>
      <c r="N300" s="816"/>
      <c r="O300" s="816"/>
      <c r="P300" s="816"/>
      <c r="Q300" s="816"/>
      <c r="R300" s="816"/>
      <c r="S300" s="816"/>
      <c r="T300" s="816"/>
      <c r="U300" s="816"/>
      <c r="V300" s="816"/>
      <c r="W300" s="816"/>
      <c r="X300" s="816"/>
      <c r="Y300" s="816"/>
      <c r="Z300" s="819"/>
      <c r="AA300" s="815" t="str">
        <f>IF(AZ299&gt;=AA299,AQ$2 &amp;"     ITEM # "&amp;AA299,"")</f>
        <v/>
      </c>
      <c r="AB300" s="816"/>
      <c r="AC300" s="816"/>
      <c r="AD300" s="816"/>
      <c r="AE300" s="816"/>
      <c r="AF300" s="816"/>
      <c r="AG300" s="816"/>
      <c r="AH300" s="816"/>
      <c r="AI300" s="817"/>
      <c r="AJ300" s="818" t="str">
        <f>IF(AZ299&gt;=AA299,$J$6,"")</f>
        <v/>
      </c>
      <c r="AK300" s="816"/>
      <c r="AL300" s="816"/>
      <c r="AM300" s="816"/>
      <c r="AN300" s="816"/>
      <c r="AO300" s="816"/>
      <c r="AP300" s="816"/>
      <c r="AQ300" s="816"/>
      <c r="AR300" s="816"/>
      <c r="AS300" s="816"/>
      <c r="AT300" s="816"/>
      <c r="AU300" s="816"/>
      <c r="AV300" s="816"/>
      <c r="AW300" s="816"/>
      <c r="AX300" s="816"/>
      <c r="AY300" s="816"/>
      <c r="AZ300" s="819"/>
      <c r="BA300" s="815" t="str">
        <f>IF(BZ299&gt;=BA299,BQ$2 &amp;"     ITEM # "&amp;BA299,"")</f>
        <v/>
      </c>
      <c r="BB300" s="816"/>
      <c r="BC300" s="816"/>
      <c r="BD300" s="816"/>
      <c r="BE300" s="816"/>
      <c r="BF300" s="816"/>
      <c r="BG300" s="816"/>
      <c r="BH300" s="816"/>
      <c r="BI300" s="817"/>
      <c r="BJ300" s="818" t="str">
        <f>IF(BZ299&gt;=BA299,$J$6,"")</f>
        <v/>
      </c>
      <c r="BK300" s="816"/>
      <c r="BL300" s="816"/>
      <c r="BM300" s="816"/>
      <c r="BN300" s="816"/>
      <c r="BO300" s="816"/>
      <c r="BP300" s="816"/>
      <c r="BQ300" s="816"/>
      <c r="BR300" s="816"/>
      <c r="BS300" s="816"/>
      <c r="BT300" s="816"/>
      <c r="BU300" s="816"/>
      <c r="BV300" s="816"/>
      <c r="BW300" s="816"/>
      <c r="BX300" s="816"/>
      <c r="BY300" s="816"/>
      <c r="BZ300" s="819"/>
      <c r="CA300" s="815" t="str">
        <f>IF(CZ299&gt;=CA299,CQ$2 &amp;"     ITEM # "&amp;CA299,"")</f>
        <v/>
      </c>
      <c r="CB300" s="816"/>
      <c r="CC300" s="816"/>
      <c r="CD300" s="816"/>
      <c r="CE300" s="816"/>
      <c r="CF300" s="816"/>
      <c r="CG300" s="816"/>
      <c r="CH300" s="816"/>
      <c r="CI300" s="817"/>
      <c r="CJ300" s="818" t="str">
        <f>IF(CZ299&gt;=CA299,$J$6,"")</f>
        <v/>
      </c>
      <c r="CK300" s="816"/>
      <c r="CL300" s="816"/>
      <c r="CM300" s="816"/>
      <c r="CN300" s="816"/>
      <c r="CO300" s="816"/>
      <c r="CP300" s="816"/>
      <c r="CQ300" s="816"/>
      <c r="CR300" s="816"/>
      <c r="CS300" s="816"/>
      <c r="CT300" s="816"/>
      <c r="CU300" s="816"/>
      <c r="CV300" s="816"/>
      <c r="CW300" s="816"/>
      <c r="CX300" s="816"/>
      <c r="CY300" s="816"/>
      <c r="CZ300" s="819"/>
      <c r="DA300" s="815" t="str">
        <f>IF(DZ299&gt;=DA299,DQ$2 &amp;"     ITEM # "&amp;DA299,"")</f>
        <v/>
      </c>
      <c r="DB300" s="816"/>
      <c r="DC300" s="816"/>
      <c r="DD300" s="816"/>
      <c r="DE300" s="816"/>
      <c r="DF300" s="816"/>
      <c r="DG300" s="816"/>
      <c r="DH300" s="816"/>
      <c r="DI300" s="817"/>
      <c r="DJ300" s="818" t="str">
        <f>IF(DZ299&gt;=DA299,$J$6,"")</f>
        <v/>
      </c>
      <c r="DK300" s="816"/>
      <c r="DL300" s="816"/>
      <c r="DM300" s="816"/>
      <c r="DN300" s="816"/>
      <c r="DO300" s="816"/>
      <c r="DP300" s="816"/>
      <c r="DQ300" s="816"/>
      <c r="DR300" s="816"/>
      <c r="DS300" s="816"/>
      <c r="DT300" s="816"/>
      <c r="DU300" s="816"/>
      <c r="DV300" s="816"/>
      <c r="DW300" s="816"/>
      <c r="DX300" s="816"/>
      <c r="DY300" s="816"/>
      <c r="DZ300" s="819"/>
      <c r="EA300" s="815" t="str">
        <f>IF(EZ299&gt;=EA299,EQ$2 &amp;"     ITEM # "&amp;EA299,"")</f>
        <v/>
      </c>
      <c r="EB300" s="816"/>
      <c r="EC300" s="816"/>
      <c r="ED300" s="816"/>
      <c r="EE300" s="816"/>
      <c r="EF300" s="816"/>
      <c r="EG300" s="816"/>
      <c r="EH300" s="816"/>
      <c r="EI300" s="817"/>
      <c r="EJ300" s="818" t="str">
        <f>IF(EZ299&gt;=EA299,$J$6,"")</f>
        <v/>
      </c>
      <c r="EK300" s="816"/>
      <c r="EL300" s="816"/>
      <c r="EM300" s="816"/>
      <c r="EN300" s="816"/>
      <c r="EO300" s="816"/>
      <c r="EP300" s="816"/>
      <c r="EQ300" s="816"/>
      <c r="ER300" s="816"/>
      <c r="ES300" s="816"/>
      <c r="ET300" s="816"/>
      <c r="EU300" s="816"/>
      <c r="EV300" s="816"/>
      <c r="EW300" s="816"/>
      <c r="EX300" s="816"/>
      <c r="EY300" s="816"/>
      <c r="EZ300" s="819"/>
      <c r="FA300" s="815" t="str">
        <f>IF(FZ299&gt;=FA299,FQ$2 &amp;"     ITEM # "&amp;FA299,"")</f>
        <v/>
      </c>
      <c r="FB300" s="816"/>
      <c r="FC300" s="816"/>
      <c r="FD300" s="816"/>
      <c r="FE300" s="816"/>
      <c r="FF300" s="816"/>
      <c r="FG300" s="816"/>
      <c r="FH300" s="816"/>
      <c r="FI300" s="817"/>
      <c r="FJ300" s="818" t="str">
        <f>IF(FZ299&gt;=FA299,$J$6,"")</f>
        <v/>
      </c>
      <c r="FK300" s="816"/>
      <c r="FL300" s="816"/>
      <c r="FM300" s="816"/>
      <c r="FN300" s="816"/>
      <c r="FO300" s="816"/>
      <c r="FP300" s="816"/>
      <c r="FQ300" s="816"/>
      <c r="FR300" s="816"/>
      <c r="FS300" s="816"/>
      <c r="FT300" s="816"/>
      <c r="FU300" s="816"/>
      <c r="FV300" s="816"/>
      <c r="FW300" s="816"/>
      <c r="FX300" s="816"/>
      <c r="FY300" s="816"/>
      <c r="FZ300" s="819"/>
      <c r="GA300" s="815" t="str">
        <f>IF(GZ299&gt;=GA299,GQ$2 &amp;"     ITEM # "&amp;GA299,"")</f>
        <v/>
      </c>
      <c r="GB300" s="816"/>
      <c r="GC300" s="816"/>
      <c r="GD300" s="816"/>
      <c r="GE300" s="816"/>
      <c r="GF300" s="816"/>
      <c r="GG300" s="816"/>
      <c r="GH300" s="816"/>
      <c r="GI300" s="817"/>
      <c r="GJ300" s="818" t="str">
        <f>IF(GZ299&gt;=GA299,$J$6,"")</f>
        <v/>
      </c>
      <c r="GK300" s="816"/>
      <c r="GL300" s="816"/>
      <c r="GM300" s="816"/>
      <c r="GN300" s="816"/>
      <c r="GO300" s="816"/>
      <c r="GP300" s="816"/>
      <c r="GQ300" s="816"/>
      <c r="GR300" s="816"/>
      <c r="GS300" s="816"/>
      <c r="GT300" s="816"/>
      <c r="GU300" s="816"/>
      <c r="GV300" s="816"/>
      <c r="GW300" s="816"/>
      <c r="GX300" s="816"/>
      <c r="GY300" s="816"/>
      <c r="GZ300" s="819"/>
      <c r="HA300" s="815" t="str">
        <f>IF(HZ299&gt;=HA299,HQ$2 &amp;"     ITEM # "&amp;HA299,"")</f>
        <v/>
      </c>
      <c r="HB300" s="816"/>
      <c r="HC300" s="816"/>
      <c r="HD300" s="816"/>
      <c r="HE300" s="816"/>
      <c r="HF300" s="816"/>
      <c r="HG300" s="816"/>
      <c r="HH300" s="816"/>
      <c r="HI300" s="817"/>
      <c r="HJ300" s="818" t="str">
        <f>IF(HZ299&gt;=HA299,$J$6,"")</f>
        <v/>
      </c>
      <c r="HK300" s="816"/>
      <c r="HL300" s="816"/>
      <c r="HM300" s="816"/>
      <c r="HN300" s="816"/>
      <c r="HO300" s="816"/>
      <c r="HP300" s="816"/>
      <c r="HQ300" s="816"/>
      <c r="HR300" s="816"/>
      <c r="HS300" s="816"/>
      <c r="HT300" s="816"/>
      <c r="HU300" s="816"/>
      <c r="HV300" s="816"/>
      <c r="HW300" s="816"/>
      <c r="HX300" s="816"/>
      <c r="HY300" s="816"/>
      <c r="HZ300" s="819"/>
      <c r="IA300" s="815" t="str">
        <f>IF(IZ299&gt;=IA299,IQ$2 &amp;"     ITEM # "&amp;IA299,"")</f>
        <v/>
      </c>
      <c r="IB300" s="816"/>
      <c r="IC300" s="816"/>
      <c r="ID300" s="816"/>
      <c r="IE300" s="816"/>
      <c r="IF300" s="816"/>
      <c r="IG300" s="816"/>
      <c r="IH300" s="816"/>
      <c r="II300" s="817"/>
      <c r="IJ300" s="818" t="str">
        <f>IF(IZ299&gt;=IA299,$J$6,"")</f>
        <v/>
      </c>
      <c r="IK300" s="816"/>
      <c r="IL300" s="816"/>
      <c r="IM300" s="816"/>
      <c r="IN300" s="816"/>
      <c r="IO300" s="816"/>
      <c r="IP300" s="816"/>
      <c r="IQ300" s="816"/>
      <c r="IR300" s="816"/>
      <c r="IS300" s="816"/>
      <c r="IT300" s="816"/>
      <c r="IU300" s="816"/>
      <c r="IV300" s="816"/>
      <c r="IW300" s="816"/>
      <c r="IX300" s="816"/>
      <c r="IY300" s="816"/>
      <c r="IZ300" s="819"/>
    </row>
    <row r="301" spans="1:260" x14ac:dyDescent="0.25">
      <c r="A301" s="848" t="str">
        <f>IFERROR(INDEX(Lista_Pedidos,Procesos!Y299+A299-1,5),"")</f>
        <v/>
      </c>
      <c r="B301" s="843"/>
      <c r="C301" s="843"/>
      <c r="D301" s="843"/>
      <c r="E301" s="843"/>
      <c r="F301" s="843"/>
      <c r="G301" s="843"/>
      <c r="H301" s="843"/>
      <c r="I301" s="844"/>
      <c r="J301" s="842" t="str">
        <f>IF(Z299&gt;=A299,$J$7,"")</f>
        <v/>
      </c>
      <c r="K301" s="843"/>
      <c r="L301" s="844"/>
      <c r="M301" s="842" t="str">
        <f>IF(Z299&gt;=A299,$M$7,"")</f>
        <v/>
      </c>
      <c r="N301" s="843"/>
      <c r="O301" s="844"/>
      <c r="P301" s="842" t="str">
        <f>IF(Z299&gt;=A299,$P$7,"")</f>
        <v/>
      </c>
      <c r="Q301" s="843"/>
      <c r="R301" s="843"/>
      <c r="S301" s="843"/>
      <c r="T301" s="843"/>
      <c r="U301" s="844"/>
      <c r="V301" s="834" t="str">
        <f>IF(Z299&gt;=A299,$V$7,"")</f>
        <v/>
      </c>
      <c r="W301" s="842" t="str">
        <f>IF(Z299&gt;=A299,$W$7,"")</f>
        <v/>
      </c>
      <c r="X301" s="843"/>
      <c r="Y301" s="843"/>
      <c r="Z301" s="850"/>
      <c r="AA301" s="848" t="str">
        <f>IFERROR(INDEX(Lista_Pedidos,Procesos!AY299+AA299-1,5),"")</f>
        <v/>
      </c>
      <c r="AB301" s="843"/>
      <c r="AC301" s="843"/>
      <c r="AD301" s="843"/>
      <c r="AE301" s="843"/>
      <c r="AF301" s="843"/>
      <c r="AG301" s="843"/>
      <c r="AH301" s="843"/>
      <c r="AI301" s="844"/>
      <c r="AJ301" s="842" t="str">
        <f>IF(AZ299&gt;=AA299,$J$7,"")</f>
        <v/>
      </c>
      <c r="AK301" s="843"/>
      <c r="AL301" s="844"/>
      <c r="AM301" s="842" t="str">
        <f>IF(AZ299&gt;=AA299,$M$7,"")</f>
        <v/>
      </c>
      <c r="AN301" s="843"/>
      <c r="AO301" s="844"/>
      <c r="AP301" s="842" t="str">
        <f>IF(AZ299&gt;=AA299,$P$7,"")</f>
        <v/>
      </c>
      <c r="AQ301" s="843"/>
      <c r="AR301" s="843"/>
      <c r="AS301" s="843"/>
      <c r="AT301" s="843"/>
      <c r="AU301" s="844"/>
      <c r="AV301" s="834" t="str">
        <f>IF(AZ299&gt;=AA299,$V$7,"")</f>
        <v/>
      </c>
      <c r="AW301" s="842" t="str">
        <f>IF(AZ299&gt;=AA299,$W$7,"")</f>
        <v/>
      </c>
      <c r="AX301" s="843"/>
      <c r="AY301" s="843"/>
      <c r="AZ301" s="850"/>
      <c r="BA301" s="848" t="str">
        <f>IFERROR(INDEX(Lista_Pedidos,Procesos!BY299+BA299-1,5),"")</f>
        <v/>
      </c>
      <c r="BB301" s="843"/>
      <c r="BC301" s="843"/>
      <c r="BD301" s="843"/>
      <c r="BE301" s="843"/>
      <c r="BF301" s="843"/>
      <c r="BG301" s="843"/>
      <c r="BH301" s="843"/>
      <c r="BI301" s="844"/>
      <c r="BJ301" s="842" t="str">
        <f>IF(BZ299&gt;=BA299,$J$7,"")</f>
        <v/>
      </c>
      <c r="BK301" s="843"/>
      <c r="BL301" s="844"/>
      <c r="BM301" s="842" t="str">
        <f>IF(BZ299&gt;=BA299,$M$7,"")</f>
        <v/>
      </c>
      <c r="BN301" s="843"/>
      <c r="BO301" s="844"/>
      <c r="BP301" s="842" t="str">
        <f>IF(BZ299&gt;=BA299,$P$7,"")</f>
        <v/>
      </c>
      <c r="BQ301" s="843"/>
      <c r="BR301" s="843"/>
      <c r="BS301" s="843"/>
      <c r="BT301" s="843"/>
      <c r="BU301" s="844"/>
      <c r="BV301" s="834" t="str">
        <f>IF(BZ299&gt;=BA299,$V$7,"")</f>
        <v/>
      </c>
      <c r="BW301" s="842" t="str">
        <f>IF(BZ299&gt;=BA299,$W$7,"")</f>
        <v/>
      </c>
      <c r="BX301" s="843"/>
      <c r="BY301" s="843"/>
      <c r="BZ301" s="850"/>
      <c r="CA301" s="848" t="str">
        <f>IFERROR(INDEX(Lista_Pedidos,Procesos!CY299+CA299-1,5),"")</f>
        <v/>
      </c>
      <c r="CB301" s="843"/>
      <c r="CC301" s="843"/>
      <c r="CD301" s="843"/>
      <c r="CE301" s="843"/>
      <c r="CF301" s="843"/>
      <c r="CG301" s="843"/>
      <c r="CH301" s="843"/>
      <c r="CI301" s="844"/>
      <c r="CJ301" s="842" t="str">
        <f>IF(CZ299&gt;=CA299,$J$7,"")</f>
        <v/>
      </c>
      <c r="CK301" s="843"/>
      <c r="CL301" s="844"/>
      <c r="CM301" s="842" t="str">
        <f>IF(CZ299&gt;=CA299,$M$7,"")</f>
        <v/>
      </c>
      <c r="CN301" s="843"/>
      <c r="CO301" s="844"/>
      <c r="CP301" s="842" t="str">
        <f>IF(CZ299&gt;=CA299,$P$7,"")</f>
        <v/>
      </c>
      <c r="CQ301" s="843"/>
      <c r="CR301" s="843"/>
      <c r="CS301" s="843"/>
      <c r="CT301" s="843"/>
      <c r="CU301" s="844"/>
      <c r="CV301" s="834" t="str">
        <f>IF(CZ299&gt;=CA299,$V$7,"")</f>
        <v/>
      </c>
      <c r="CW301" s="842" t="str">
        <f>IF(CZ299&gt;=CA299,$W$7,"")</f>
        <v/>
      </c>
      <c r="CX301" s="843"/>
      <c r="CY301" s="843"/>
      <c r="CZ301" s="850"/>
      <c r="DA301" s="848" t="str">
        <f>IFERROR(INDEX(Lista_Pedidos,Procesos!DY299+DA299-1,5),"")</f>
        <v/>
      </c>
      <c r="DB301" s="843"/>
      <c r="DC301" s="843"/>
      <c r="DD301" s="843"/>
      <c r="DE301" s="843"/>
      <c r="DF301" s="843"/>
      <c r="DG301" s="843"/>
      <c r="DH301" s="843"/>
      <c r="DI301" s="844"/>
      <c r="DJ301" s="842" t="str">
        <f>IF(DZ299&gt;=DA299,$J$7,"")</f>
        <v/>
      </c>
      <c r="DK301" s="843"/>
      <c r="DL301" s="844"/>
      <c r="DM301" s="842" t="str">
        <f>IF(DZ299&gt;=DA299,$M$7,"")</f>
        <v/>
      </c>
      <c r="DN301" s="843"/>
      <c r="DO301" s="844"/>
      <c r="DP301" s="842" t="str">
        <f>IF(DZ299&gt;=DA299,$P$7,"")</f>
        <v/>
      </c>
      <c r="DQ301" s="843"/>
      <c r="DR301" s="843"/>
      <c r="DS301" s="843"/>
      <c r="DT301" s="843"/>
      <c r="DU301" s="844"/>
      <c r="DV301" s="834" t="str">
        <f>IF(DZ299&gt;=DA299,$V$7,"")</f>
        <v/>
      </c>
      <c r="DW301" s="842" t="str">
        <f>IF(DZ299&gt;=DA299,$W$7,"")</f>
        <v/>
      </c>
      <c r="DX301" s="843"/>
      <c r="DY301" s="843"/>
      <c r="DZ301" s="850"/>
      <c r="EA301" s="848" t="str">
        <f>IFERROR(INDEX(Lista_Pedidos,Procesos!EY299+EA299-1,5),"")</f>
        <v/>
      </c>
      <c r="EB301" s="843"/>
      <c r="EC301" s="843"/>
      <c r="ED301" s="843"/>
      <c r="EE301" s="843"/>
      <c r="EF301" s="843"/>
      <c r="EG301" s="843"/>
      <c r="EH301" s="843"/>
      <c r="EI301" s="844"/>
      <c r="EJ301" s="842" t="str">
        <f>IF(EZ299&gt;=EA299,$J$7,"")</f>
        <v/>
      </c>
      <c r="EK301" s="843"/>
      <c r="EL301" s="844"/>
      <c r="EM301" s="842" t="str">
        <f>IF(EZ299&gt;=EA299,$M$7,"")</f>
        <v/>
      </c>
      <c r="EN301" s="843"/>
      <c r="EO301" s="844"/>
      <c r="EP301" s="842" t="str">
        <f>IF(EZ299&gt;=EA299,$P$7,"")</f>
        <v/>
      </c>
      <c r="EQ301" s="843"/>
      <c r="ER301" s="843"/>
      <c r="ES301" s="843"/>
      <c r="ET301" s="843"/>
      <c r="EU301" s="844"/>
      <c r="EV301" s="834" t="str">
        <f>IF(EZ299&gt;=EA299,$V$7,"")</f>
        <v/>
      </c>
      <c r="EW301" s="842" t="str">
        <f>IF(EZ299&gt;=EA299,$W$7,"")</f>
        <v/>
      </c>
      <c r="EX301" s="843"/>
      <c r="EY301" s="843"/>
      <c r="EZ301" s="850"/>
      <c r="FA301" s="848" t="str">
        <f>IFERROR(INDEX(Lista_Pedidos,Procesos!FY299+FA299-1,5),"")</f>
        <v/>
      </c>
      <c r="FB301" s="843"/>
      <c r="FC301" s="843"/>
      <c r="FD301" s="843"/>
      <c r="FE301" s="843"/>
      <c r="FF301" s="843"/>
      <c r="FG301" s="843"/>
      <c r="FH301" s="843"/>
      <c r="FI301" s="844"/>
      <c r="FJ301" s="842" t="str">
        <f>IF(FZ299&gt;=FA299,$J$7,"")</f>
        <v/>
      </c>
      <c r="FK301" s="843"/>
      <c r="FL301" s="844"/>
      <c r="FM301" s="842" t="str">
        <f>IF(FZ299&gt;=FA299,$M$7,"")</f>
        <v/>
      </c>
      <c r="FN301" s="843"/>
      <c r="FO301" s="844"/>
      <c r="FP301" s="842" t="str">
        <f>IF(FZ299&gt;=FA299,$P$7,"")</f>
        <v/>
      </c>
      <c r="FQ301" s="843"/>
      <c r="FR301" s="843"/>
      <c r="FS301" s="843"/>
      <c r="FT301" s="843"/>
      <c r="FU301" s="844"/>
      <c r="FV301" s="834" t="str">
        <f>IF(FZ299&gt;=FA299,$V$7,"")</f>
        <v/>
      </c>
      <c r="FW301" s="842" t="str">
        <f>IF(FZ299&gt;=FA299,$W$7,"")</f>
        <v/>
      </c>
      <c r="FX301" s="843"/>
      <c r="FY301" s="843"/>
      <c r="FZ301" s="850"/>
      <c r="GA301" s="848" t="str">
        <f>IFERROR(INDEX(Lista_Pedidos,Procesos!GY299+GA299-1,5),"")</f>
        <v/>
      </c>
      <c r="GB301" s="843"/>
      <c r="GC301" s="843"/>
      <c r="GD301" s="843"/>
      <c r="GE301" s="843"/>
      <c r="GF301" s="843"/>
      <c r="GG301" s="843"/>
      <c r="GH301" s="843"/>
      <c r="GI301" s="844"/>
      <c r="GJ301" s="842" t="str">
        <f>IF(GZ299&gt;=GA299,$J$7,"")</f>
        <v/>
      </c>
      <c r="GK301" s="843"/>
      <c r="GL301" s="844"/>
      <c r="GM301" s="842" t="str">
        <f>IF(GZ299&gt;=GA299,$M$7,"")</f>
        <v/>
      </c>
      <c r="GN301" s="843"/>
      <c r="GO301" s="844"/>
      <c r="GP301" s="842" t="str">
        <f>IF(GZ299&gt;=GA299,$P$7,"")</f>
        <v/>
      </c>
      <c r="GQ301" s="843"/>
      <c r="GR301" s="843"/>
      <c r="GS301" s="843"/>
      <c r="GT301" s="843"/>
      <c r="GU301" s="844"/>
      <c r="GV301" s="834" t="str">
        <f>IF(GZ299&gt;=GA299,$V$7,"")</f>
        <v/>
      </c>
      <c r="GW301" s="842" t="str">
        <f>IF(GZ299&gt;=GA299,$W$7,"")</f>
        <v/>
      </c>
      <c r="GX301" s="843"/>
      <c r="GY301" s="843"/>
      <c r="GZ301" s="850"/>
      <c r="HA301" s="848" t="str">
        <f>IFERROR(INDEX(Lista_Pedidos,Procesos!HY299+HA299-1,5),"")</f>
        <v/>
      </c>
      <c r="HB301" s="843"/>
      <c r="HC301" s="843"/>
      <c r="HD301" s="843"/>
      <c r="HE301" s="843"/>
      <c r="HF301" s="843"/>
      <c r="HG301" s="843"/>
      <c r="HH301" s="843"/>
      <c r="HI301" s="844"/>
      <c r="HJ301" s="842" t="str">
        <f>IF(HZ299&gt;=HA299,$J$7,"")</f>
        <v/>
      </c>
      <c r="HK301" s="843"/>
      <c r="HL301" s="844"/>
      <c r="HM301" s="842" t="str">
        <f>IF(HZ299&gt;=HA299,$M$7,"")</f>
        <v/>
      </c>
      <c r="HN301" s="843"/>
      <c r="HO301" s="844"/>
      <c r="HP301" s="842" t="str">
        <f>IF(HZ299&gt;=HA299,$P$7,"")</f>
        <v/>
      </c>
      <c r="HQ301" s="843"/>
      <c r="HR301" s="843"/>
      <c r="HS301" s="843"/>
      <c r="HT301" s="843"/>
      <c r="HU301" s="844"/>
      <c r="HV301" s="834" t="str">
        <f>IF(HZ299&gt;=HA299,$V$7,"")</f>
        <v/>
      </c>
      <c r="HW301" s="842" t="str">
        <f>IF(HZ299&gt;=HA299,$W$7,"")</f>
        <v/>
      </c>
      <c r="HX301" s="843"/>
      <c r="HY301" s="843"/>
      <c r="HZ301" s="850"/>
      <c r="IA301" s="848" t="str">
        <f>IFERROR(INDEX(Lista_Pedidos,Procesos!IY299+IA299-1,5),"")</f>
        <v/>
      </c>
      <c r="IB301" s="843"/>
      <c r="IC301" s="843"/>
      <c r="ID301" s="843"/>
      <c r="IE301" s="843"/>
      <c r="IF301" s="843"/>
      <c r="IG301" s="843"/>
      <c r="IH301" s="843"/>
      <c r="II301" s="844"/>
      <c r="IJ301" s="842" t="str">
        <f>IF(IZ299&gt;=IA299,$J$7,"")</f>
        <v/>
      </c>
      <c r="IK301" s="843"/>
      <c r="IL301" s="844"/>
      <c r="IM301" s="842" t="str">
        <f>IF(IZ299&gt;=IA299,$M$7,"")</f>
        <v/>
      </c>
      <c r="IN301" s="843"/>
      <c r="IO301" s="844"/>
      <c r="IP301" s="842" t="str">
        <f>IF(IZ299&gt;=IA299,$P$7,"")</f>
        <v/>
      </c>
      <c r="IQ301" s="843"/>
      <c r="IR301" s="843"/>
      <c r="IS301" s="843"/>
      <c r="IT301" s="843"/>
      <c r="IU301" s="844"/>
      <c r="IV301" s="834" t="str">
        <f>IF(IZ299&gt;=IA299,$V$7,"")</f>
        <v/>
      </c>
      <c r="IW301" s="842" t="str">
        <f>IF(IZ299&gt;=IA299,$W$7,"")</f>
        <v/>
      </c>
      <c r="IX301" s="843"/>
      <c r="IY301" s="843"/>
      <c r="IZ301" s="850"/>
    </row>
    <row r="302" spans="1:260" x14ac:dyDescent="0.25">
      <c r="A302" s="849"/>
      <c r="B302" s="846"/>
      <c r="C302" s="846"/>
      <c r="D302" s="846"/>
      <c r="E302" s="846"/>
      <c r="F302" s="846"/>
      <c r="G302" s="846"/>
      <c r="H302" s="846"/>
      <c r="I302" s="847"/>
      <c r="J302" s="845"/>
      <c r="K302" s="846"/>
      <c r="L302" s="847"/>
      <c r="M302" s="845"/>
      <c r="N302" s="846"/>
      <c r="O302" s="847"/>
      <c r="P302" s="845"/>
      <c r="Q302" s="846"/>
      <c r="R302" s="846"/>
      <c r="S302" s="846"/>
      <c r="T302" s="846"/>
      <c r="U302" s="847"/>
      <c r="V302" s="835"/>
      <c r="W302" s="845"/>
      <c r="X302" s="846"/>
      <c r="Y302" s="846"/>
      <c r="Z302" s="851"/>
      <c r="AA302" s="849"/>
      <c r="AB302" s="846"/>
      <c r="AC302" s="846"/>
      <c r="AD302" s="846"/>
      <c r="AE302" s="846"/>
      <c r="AF302" s="846"/>
      <c r="AG302" s="846"/>
      <c r="AH302" s="846"/>
      <c r="AI302" s="847"/>
      <c r="AJ302" s="845"/>
      <c r="AK302" s="846"/>
      <c r="AL302" s="847"/>
      <c r="AM302" s="845"/>
      <c r="AN302" s="846"/>
      <c r="AO302" s="847"/>
      <c r="AP302" s="845"/>
      <c r="AQ302" s="846"/>
      <c r="AR302" s="846"/>
      <c r="AS302" s="846"/>
      <c r="AT302" s="846"/>
      <c r="AU302" s="847"/>
      <c r="AV302" s="835"/>
      <c r="AW302" s="845"/>
      <c r="AX302" s="846"/>
      <c r="AY302" s="846"/>
      <c r="AZ302" s="851"/>
      <c r="BA302" s="849"/>
      <c r="BB302" s="846"/>
      <c r="BC302" s="846"/>
      <c r="BD302" s="846"/>
      <c r="BE302" s="846"/>
      <c r="BF302" s="846"/>
      <c r="BG302" s="846"/>
      <c r="BH302" s="846"/>
      <c r="BI302" s="847"/>
      <c r="BJ302" s="845"/>
      <c r="BK302" s="846"/>
      <c r="BL302" s="847"/>
      <c r="BM302" s="845"/>
      <c r="BN302" s="846"/>
      <c r="BO302" s="847"/>
      <c r="BP302" s="845"/>
      <c r="BQ302" s="846"/>
      <c r="BR302" s="846"/>
      <c r="BS302" s="846"/>
      <c r="BT302" s="846"/>
      <c r="BU302" s="847"/>
      <c r="BV302" s="835"/>
      <c r="BW302" s="845"/>
      <c r="BX302" s="846"/>
      <c r="BY302" s="846"/>
      <c r="BZ302" s="851"/>
      <c r="CA302" s="849"/>
      <c r="CB302" s="846"/>
      <c r="CC302" s="846"/>
      <c r="CD302" s="846"/>
      <c r="CE302" s="846"/>
      <c r="CF302" s="846"/>
      <c r="CG302" s="846"/>
      <c r="CH302" s="846"/>
      <c r="CI302" s="847"/>
      <c r="CJ302" s="845"/>
      <c r="CK302" s="846"/>
      <c r="CL302" s="847"/>
      <c r="CM302" s="845"/>
      <c r="CN302" s="846"/>
      <c r="CO302" s="847"/>
      <c r="CP302" s="845"/>
      <c r="CQ302" s="846"/>
      <c r="CR302" s="846"/>
      <c r="CS302" s="846"/>
      <c r="CT302" s="846"/>
      <c r="CU302" s="847"/>
      <c r="CV302" s="835"/>
      <c r="CW302" s="845"/>
      <c r="CX302" s="846"/>
      <c r="CY302" s="846"/>
      <c r="CZ302" s="851"/>
      <c r="DA302" s="849"/>
      <c r="DB302" s="846"/>
      <c r="DC302" s="846"/>
      <c r="DD302" s="846"/>
      <c r="DE302" s="846"/>
      <c r="DF302" s="846"/>
      <c r="DG302" s="846"/>
      <c r="DH302" s="846"/>
      <c r="DI302" s="847"/>
      <c r="DJ302" s="845"/>
      <c r="DK302" s="846"/>
      <c r="DL302" s="847"/>
      <c r="DM302" s="845"/>
      <c r="DN302" s="846"/>
      <c r="DO302" s="847"/>
      <c r="DP302" s="845"/>
      <c r="DQ302" s="846"/>
      <c r="DR302" s="846"/>
      <c r="DS302" s="846"/>
      <c r="DT302" s="846"/>
      <c r="DU302" s="847"/>
      <c r="DV302" s="835"/>
      <c r="DW302" s="845"/>
      <c r="DX302" s="846"/>
      <c r="DY302" s="846"/>
      <c r="DZ302" s="851"/>
      <c r="EA302" s="849"/>
      <c r="EB302" s="846"/>
      <c r="EC302" s="846"/>
      <c r="ED302" s="846"/>
      <c r="EE302" s="846"/>
      <c r="EF302" s="846"/>
      <c r="EG302" s="846"/>
      <c r="EH302" s="846"/>
      <c r="EI302" s="847"/>
      <c r="EJ302" s="845"/>
      <c r="EK302" s="846"/>
      <c r="EL302" s="847"/>
      <c r="EM302" s="845"/>
      <c r="EN302" s="846"/>
      <c r="EO302" s="847"/>
      <c r="EP302" s="845"/>
      <c r="EQ302" s="846"/>
      <c r="ER302" s="846"/>
      <c r="ES302" s="846"/>
      <c r="ET302" s="846"/>
      <c r="EU302" s="847"/>
      <c r="EV302" s="835"/>
      <c r="EW302" s="845"/>
      <c r="EX302" s="846"/>
      <c r="EY302" s="846"/>
      <c r="EZ302" s="851"/>
      <c r="FA302" s="849"/>
      <c r="FB302" s="846"/>
      <c r="FC302" s="846"/>
      <c r="FD302" s="846"/>
      <c r="FE302" s="846"/>
      <c r="FF302" s="846"/>
      <c r="FG302" s="846"/>
      <c r="FH302" s="846"/>
      <c r="FI302" s="847"/>
      <c r="FJ302" s="845"/>
      <c r="FK302" s="846"/>
      <c r="FL302" s="847"/>
      <c r="FM302" s="845"/>
      <c r="FN302" s="846"/>
      <c r="FO302" s="847"/>
      <c r="FP302" s="845"/>
      <c r="FQ302" s="846"/>
      <c r="FR302" s="846"/>
      <c r="FS302" s="846"/>
      <c r="FT302" s="846"/>
      <c r="FU302" s="847"/>
      <c r="FV302" s="835"/>
      <c r="FW302" s="845"/>
      <c r="FX302" s="846"/>
      <c r="FY302" s="846"/>
      <c r="FZ302" s="851"/>
      <c r="GA302" s="849"/>
      <c r="GB302" s="846"/>
      <c r="GC302" s="846"/>
      <c r="GD302" s="846"/>
      <c r="GE302" s="846"/>
      <c r="GF302" s="846"/>
      <c r="GG302" s="846"/>
      <c r="GH302" s="846"/>
      <c r="GI302" s="847"/>
      <c r="GJ302" s="845"/>
      <c r="GK302" s="846"/>
      <c r="GL302" s="847"/>
      <c r="GM302" s="845"/>
      <c r="GN302" s="846"/>
      <c r="GO302" s="847"/>
      <c r="GP302" s="845"/>
      <c r="GQ302" s="846"/>
      <c r="GR302" s="846"/>
      <c r="GS302" s="846"/>
      <c r="GT302" s="846"/>
      <c r="GU302" s="847"/>
      <c r="GV302" s="835"/>
      <c r="GW302" s="845"/>
      <c r="GX302" s="846"/>
      <c r="GY302" s="846"/>
      <c r="GZ302" s="851"/>
      <c r="HA302" s="849"/>
      <c r="HB302" s="846"/>
      <c r="HC302" s="846"/>
      <c r="HD302" s="846"/>
      <c r="HE302" s="846"/>
      <c r="HF302" s="846"/>
      <c r="HG302" s="846"/>
      <c r="HH302" s="846"/>
      <c r="HI302" s="847"/>
      <c r="HJ302" s="845"/>
      <c r="HK302" s="846"/>
      <c r="HL302" s="847"/>
      <c r="HM302" s="845"/>
      <c r="HN302" s="846"/>
      <c r="HO302" s="847"/>
      <c r="HP302" s="845"/>
      <c r="HQ302" s="846"/>
      <c r="HR302" s="846"/>
      <c r="HS302" s="846"/>
      <c r="HT302" s="846"/>
      <c r="HU302" s="847"/>
      <c r="HV302" s="835"/>
      <c r="HW302" s="845"/>
      <c r="HX302" s="846"/>
      <c r="HY302" s="846"/>
      <c r="HZ302" s="851"/>
      <c r="IA302" s="849"/>
      <c r="IB302" s="846"/>
      <c r="IC302" s="846"/>
      <c r="ID302" s="846"/>
      <c r="IE302" s="846"/>
      <c r="IF302" s="846"/>
      <c r="IG302" s="846"/>
      <c r="IH302" s="846"/>
      <c r="II302" s="847"/>
      <c r="IJ302" s="845"/>
      <c r="IK302" s="846"/>
      <c r="IL302" s="847"/>
      <c r="IM302" s="845"/>
      <c r="IN302" s="846"/>
      <c r="IO302" s="847"/>
      <c r="IP302" s="845"/>
      <c r="IQ302" s="846"/>
      <c r="IR302" s="846"/>
      <c r="IS302" s="846"/>
      <c r="IT302" s="846"/>
      <c r="IU302" s="847"/>
      <c r="IV302" s="835"/>
      <c r="IW302" s="845"/>
      <c r="IX302" s="846"/>
      <c r="IY302" s="846"/>
      <c r="IZ302" s="851"/>
    </row>
    <row r="303" spans="1:260" ht="15" customHeight="1" x14ac:dyDescent="0.25">
      <c r="A303" s="858" t="str">
        <f>IF(Z299&gt;=A299,$A$9,"")</f>
        <v/>
      </c>
      <c r="B303" s="806"/>
      <c r="C303" s="806"/>
      <c r="D303" s="806"/>
      <c r="E303" s="852"/>
      <c r="F303" s="805" t="str">
        <f>IF(Z299&gt;=A299,$F$9,"")</f>
        <v/>
      </c>
      <c r="G303" s="806"/>
      <c r="H303" s="806"/>
      <c r="I303" s="852"/>
      <c r="J303" s="811" t="str">
        <f>IF(Z299&gt;=A299,$J$9,"")</f>
        <v/>
      </c>
      <c r="K303" s="803" t="str">
        <f>IF(Z299&gt;=A299,$K$9,"")</f>
        <v/>
      </c>
      <c r="L303" s="803" t="str">
        <f>IF(Z299&gt;=A299,$L$9,"")</f>
        <v/>
      </c>
      <c r="M303" s="803" t="str">
        <f>IF(Z299&gt;=A299,$M$9,"")</f>
        <v/>
      </c>
      <c r="N303" s="803" t="str">
        <f>IF(Z299&gt;=A299,$N$9,"")</f>
        <v/>
      </c>
      <c r="O303" s="803" t="str">
        <f>IF(Z299&gt;=A299,$O$9,"")</f>
        <v/>
      </c>
      <c r="P303" s="803" t="str">
        <f>IF(Z299&gt;=A299,$P$9,"")</f>
        <v/>
      </c>
      <c r="Q303" s="803" t="str">
        <f>IF(Z299&gt;=A299,$Q$9,"")</f>
        <v/>
      </c>
      <c r="R303" s="803" t="str">
        <f>IF(Z299&gt;=A299,$R$9,"")</f>
        <v/>
      </c>
      <c r="S303" s="803" t="str">
        <f>IF(Z299&gt;=A299,$S$9,"")</f>
        <v/>
      </c>
      <c r="T303" s="803" t="str">
        <f>IF(Z299&gt;=A299,$T$9,"")</f>
        <v/>
      </c>
      <c r="U303" s="803" t="str">
        <f>IF(Z299&gt;=A299,$U$9,"")</f>
        <v/>
      </c>
      <c r="V303" s="803" t="str">
        <f>IF(Z299&gt;=A299,$V$9,"")</f>
        <v/>
      </c>
      <c r="W303" s="805" t="str">
        <f>IF(Z299&gt;=A299,$W$9,"")</f>
        <v/>
      </c>
      <c r="X303" s="806"/>
      <c r="Y303" s="806"/>
      <c r="Z303" s="807"/>
      <c r="AA303" s="858" t="str">
        <f>IF(AZ299&gt;=AA299,$A$9,"")</f>
        <v/>
      </c>
      <c r="AB303" s="806"/>
      <c r="AC303" s="806"/>
      <c r="AD303" s="806"/>
      <c r="AE303" s="852"/>
      <c r="AF303" s="805" t="str">
        <f>IF(AZ299&gt;=AA299,$F$9,"")</f>
        <v/>
      </c>
      <c r="AG303" s="806"/>
      <c r="AH303" s="806"/>
      <c r="AI303" s="852"/>
      <c r="AJ303" s="811" t="str">
        <f>IF(AZ299&gt;=AA299,$J$9,"")</f>
        <v/>
      </c>
      <c r="AK303" s="803" t="str">
        <f>IF(AZ299&gt;=AA299,$K$9,"")</f>
        <v/>
      </c>
      <c r="AL303" s="803" t="str">
        <f>IF(AZ299&gt;=AA299,$L$9,"")</f>
        <v/>
      </c>
      <c r="AM303" s="803" t="str">
        <f>IF(AZ299&gt;=AA299,$M$9,"")</f>
        <v/>
      </c>
      <c r="AN303" s="803" t="str">
        <f>IF(AZ299&gt;=AA299,$N$9,"")</f>
        <v/>
      </c>
      <c r="AO303" s="803" t="str">
        <f>IF(AZ299&gt;=AA299,$O$9,"")</f>
        <v/>
      </c>
      <c r="AP303" s="803" t="str">
        <f>IF(AZ299&gt;=AA299,$P$9,"")</f>
        <v/>
      </c>
      <c r="AQ303" s="803" t="str">
        <f>IF(AZ299&gt;=AA299,$Q$9,"")</f>
        <v/>
      </c>
      <c r="AR303" s="803" t="str">
        <f>IF(AZ299&gt;=AA299,$R$9,"")</f>
        <v/>
      </c>
      <c r="AS303" s="803" t="str">
        <f>IF(AZ299&gt;=AA299,$S$9,"")</f>
        <v/>
      </c>
      <c r="AT303" s="803" t="str">
        <f>IF(AZ299&gt;=AA299,$T$9,"")</f>
        <v/>
      </c>
      <c r="AU303" s="803" t="str">
        <f>IF(AZ299&gt;=AA299,$U$9,"")</f>
        <v/>
      </c>
      <c r="AV303" s="803" t="str">
        <f>IF(AZ299&gt;=AA299,$V$9,"")</f>
        <v/>
      </c>
      <c r="AW303" s="805" t="str">
        <f>IF(AZ299&gt;=AA299,$W$9,"")</f>
        <v/>
      </c>
      <c r="AX303" s="806"/>
      <c r="AY303" s="806"/>
      <c r="AZ303" s="807"/>
      <c r="BA303" s="858" t="str">
        <f>IF(BZ299&gt;=BA299,$A$9,"")</f>
        <v/>
      </c>
      <c r="BB303" s="806"/>
      <c r="BC303" s="806"/>
      <c r="BD303" s="806"/>
      <c r="BE303" s="852"/>
      <c r="BF303" s="805" t="str">
        <f>IF(BZ299&gt;=BA299,$F$9,"")</f>
        <v/>
      </c>
      <c r="BG303" s="806"/>
      <c r="BH303" s="806"/>
      <c r="BI303" s="852"/>
      <c r="BJ303" s="811" t="str">
        <f>IF(BZ299&gt;=BA299,$J$9,"")</f>
        <v/>
      </c>
      <c r="BK303" s="803" t="str">
        <f>IF(BZ299&gt;=BA299,$K$9,"")</f>
        <v/>
      </c>
      <c r="BL303" s="803" t="str">
        <f>IF(BZ299&gt;=BA299,$L$9,"")</f>
        <v/>
      </c>
      <c r="BM303" s="803" t="str">
        <f>IF(BZ299&gt;=BA299,$M$9,"")</f>
        <v/>
      </c>
      <c r="BN303" s="803" t="str">
        <f>IF(BZ299&gt;=BA299,$N$9,"")</f>
        <v/>
      </c>
      <c r="BO303" s="803" t="str">
        <f>IF(BZ299&gt;=BA299,$O$9,"")</f>
        <v/>
      </c>
      <c r="BP303" s="803" t="str">
        <f>IF(BZ299&gt;=BA299,$P$9,"")</f>
        <v/>
      </c>
      <c r="BQ303" s="803" t="str">
        <f>IF(BZ299&gt;=BA299,$Q$9,"")</f>
        <v/>
      </c>
      <c r="BR303" s="803" t="str">
        <f>IF(BZ299&gt;=BA299,$R$9,"")</f>
        <v/>
      </c>
      <c r="BS303" s="803" t="str">
        <f>IF(BZ299&gt;=BA299,$S$9,"")</f>
        <v/>
      </c>
      <c r="BT303" s="803" t="str">
        <f>IF(BZ299&gt;=BA299,$T$9,"")</f>
        <v/>
      </c>
      <c r="BU303" s="803" t="str">
        <f>IF(BZ299&gt;=BA299,$U$9,"")</f>
        <v/>
      </c>
      <c r="BV303" s="803" t="str">
        <f>IF(BZ299&gt;=BA299,$V$9,"")</f>
        <v/>
      </c>
      <c r="BW303" s="805" t="str">
        <f>IF(BZ299&gt;=BA299,$W$9,"")</f>
        <v/>
      </c>
      <c r="BX303" s="806"/>
      <c r="BY303" s="806"/>
      <c r="BZ303" s="807"/>
      <c r="CA303" s="858" t="str">
        <f>IF(CZ299&gt;=CA299,$A$9,"")</f>
        <v/>
      </c>
      <c r="CB303" s="806"/>
      <c r="CC303" s="806"/>
      <c r="CD303" s="806"/>
      <c r="CE303" s="852"/>
      <c r="CF303" s="805" t="str">
        <f>IF(CZ299&gt;=CA299,$F$9,"")</f>
        <v/>
      </c>
      <c r="CG303" s="806"/>
      <c r="CH303" s="806"/>
      <c r="CI303" s="852"/>
      <c r="CJ303" s="811" t="str">
        <f>IF(CZ299&gt;=CA299,$J$9,"")</f>
        <v/>
      </c>
      <c r="CK303" s="803" t="str">
        <f>IF(CZ299&gt;=CA299,$K$9,"")</f>
        <v/>
      </c>
      <c r="CL303" s="803" t="str">
        <f>IF(CZ299&gt;=CA299,$L$9,"")</f>
        <v/>
      </c>
      <c r="CM303" s="803" t="str">
        <f>IF(CZ299&gt;=CA299,$M$9,"")</f>
        <v/>
      </c>
      <c r="CN303" s="803" t="str">
        <f>IF(CZ299&gt;=CA299,$N$9,"")</f>
        <v/>
      </c>
      <c r="CO303" s="803" t="str">
        <f>IF(CZ299&gt;=CA299,$O$9,"")</f>
        <v/>
      </c>
      <c r="CP303" s="803" t="str">
        <f>IF(CZ299&gt;=CA299,$P$9,"")</f>
        <v/>
      </c>
      <c r="CQ303" s="803" t="str">
        <f>IF(CZ299&gt;=CA299,$Q$9,"")</f>
        <v/>
      </c>
      <c r="CR303" s="803" t="str">
        <f>IF(CZ299&gt;=CA299,$R$9,"")</f>
        <v/>
      </c>
      <c r="CS303" s="803" t="str">
        <f>IF(CZ299&gt;=CA299,$S$9,"")</f>
        <v/>
      </c>
      <c r="CT303" s="803" t="str">
        <f>IF(CZ299&gt;=CA299,$T$9,"")</f>
        <v/>
      </c>
      <c r="CU303" s="803" t="str">
        <f>IF(CZ299&gt;=CA299,$U$9,"")</f>
        <v/>
      </c>
      <c r="CV303" s="803" t="str">
        <f>IF(CZ299&gt;=CA299,$V$9,"")</f>
        <v/>
      </c>
      <c r="CW303" s="805" t="str">
        <f>IF(CZ299&gt;=CA299,$W$9,"")</f>
        <v/>
      </c>
      <c r="CX303" s="806"/>
      <c r="CY303" s="806"/>
      <c r="CZ303" s="807"/>
      <c r="DA303" s="858" t="str">
        <f>IF(DZ299&gt;=DA299,$A$9,"")</f>
        <v/>
      </c>
      <c r="DB303" s="806"/>
      <c r="DC303" s="806"/>
      <c r="DD303" s="806"/>
      <c r="DE303" s="852"/>
      <c r="DF303" s="805" t="str">
        <f>IF(DZ299&gt;=DA299,$F$9,"")</f>
        <v/>
      </c>
      <c r="DG303" s="806"/>
      <c r="DH303" s="806"/>
      <c r="DI303" s="852"/>
      <c r="DJ303" s="811" t="str">
        <f>IF(DZ299&gt;=DA299,$J$9,"")</f>
        <v/>
      </c>
      <c r="DK303" s="803" t="str">
        <f>IF(DZ299&gt;=DA299,$K$9,"")</f>
        <v/>
      </c>
      <c r="DL303" s="803" t="str">
        <f>IF(DZ299&gt;=DA299,$L$9,"")</f>
        <v/>
      </c>
      <c r="DM303" s="803" t="str">
        <f>IF(DZ299&gt;=DA299,$M$9,"")</f>
        <v/>
      </c>
      <c r="DN303" s="803" t="str">
        <f>IF(DZ299&gt;=DA299,$N$9,"")</f>
        <v/>
      </c>
      <c r="DO303" s="803" t="str">
        <f>IF(DZ299&gt;=DA299,$O$9,"")</f>
        <v/>
      </c>
      <c r="DP303" s="803" t="str">
        <f>IF(DZ299&gt;=DA299,$P$9,"")</f>
        <v/>
      </c>
      <c r="DQ303" s="803" t="str">
        <f>IF(DZ299&gt;=DA299,$Q$9,"")</f>
        <v/>
      </c>
      <c r="DR303" s="803" t="str">
        <f>IF(DZ299&gt;=DA299,$R$9,"")</f>
        <v/>
      </c>
      <c r="DS303" s="803" t="str">
        <f>IF(DZ299&gt;=DA299,$S$9,"")</f>
        <v/>
      </c>
      <c r="DT303" s="803" t="str">
        <f>IF(DZ299&gt;=DA299,$T$9,"")</f>
        <v/>
      </c>
      <c r="DU303" s="803" t="str">
        <f>IF(DZ299&gt;=DA299,$U$9,"")</f>
        <v/>
      </c>
      <c r="DV303" s="803" t="str">
        <f>IF(DZ299&gt;=DA299,$V$9,"")</f>
        <v/>
      </c>
      <c r="DW303" s="805" t="str">
        <f>IF(DZ299&gt;=DA299,$W$9,"")</f>
        <v/>
      </c>
      <c r="DX303" s="806"/>
      <c r="DY303" s="806"/>
      <c r="DZ303" s="807"/>
      <c r="EA303" s="858" t="str">
        <f>IF(EZ299&gt;=EA299,$A$9,"")</f>
        <v/>
      </c>
      <c r="EB303" s="806"/>
      <c r="EC303" s="806"/>
      <c r="ED303" s="806"/>
      <c r="EE303" s="852"/>
      <c r="EF303" s="805" t="str">
        <f>IF(EZ299&gt;=EA299,$F$9,"")</f>
        <v/>
      </c>
      <c r="EG303" s="806"/>
      <c r="EH303" s="806"/>
      <c r="EI303" s="852"/>
      <c r="EJ303" s="811" t="str">
        <f>IF(EZ299&gt;=EA299,$J$9,"")</f>
        <v/>
      </c>
      <c r="EK303" s="803" t="str">
        <f>IF(EZ299&gt;=EA299,$K$9,"")</f>
        <v/>
      </c>
      <c r="EL303" s="803" t="str">
        <f>IF(EZ299&gt;=EA299,$L$9,"")</f>
        <v/>
      </c>
      <c r="EM303" s="803" t="str">
        <f>IF(EZ299&gt;=EA299,$M$9,"")</f>
        <v/>
      </c>
      <c r="EN303" s="803" t="str">
        <f>IF(EZ299&gt;=EA299,$N$9,"")</f>
        <v/>
      </c>
      <c r="EO303" s="803" t="str">
        <f>IF(EZ299&gt;=EA299,$O$9,"")</f>
        <v/>
      </c>
      <c r="EP303" s="803" t="str">
        <f>IF(EZ299&gt;=EA299,$P$9,"")</f>
        <v/>
      </c>
      <c r="EQ303" s="803" t="str">
        <f>IF(EZ299&gt;=EA299,$Q$9,"")</f>
        <v/>
      </c>
      <c r="ER303" s="803" t="str">
        <f>IF(EZ299&gt;=EA299,$R$9,"")</f>
        <v/>
      </c>
      <c r="ES303" s="803" t="str">
        <f>IF(EZ299&gt;=EA299,$S$9,"")</f>
        <v/>
      </c>
      <c r="ET303" s="803" t="str">
        <f>IF(EZ299&gt;=EA299,$T$9,"")</f>
        <v/>
      </c>
      <c r="EU303" s="803" t="str">
        <f>IF(EZ299&gt;=EA299,$U$9,"")</f>
        <v/>
      </c>
      <c r="EV303" s="803" t="str">
        <f>IF(EZ299&gt;=EA299,$V$9,"")</f>
        <v/>
      </c>
      <c r="EW303" s="805" t="str">
        <f>IF(EZ299&gt;=EA299,$W$9,"")</f>
        <v/>
      </c>
      <c r="EX303" s="806"/>
      <c r="EY303" s="806"/>
      <c r="EZ303" s="807"/>
      <c r="FA303" s="858" t="str">
        <f>IF(FZ299&gt;=FA299,$A$9,"")</f>
        <v/>
      </c>
      <c r="FB303" s="806"/>
      <c r="FC303" s="806"/>
      <c r="FD303" s="806"/>
      <c r="FE303" s="852"/>
      <c r="FF303" s="805" t="str">
        <f>IF(FZ299&gt;=FA299,$F$9,"")</f>
        <v/>
      </c>
      <c r="FG303" s="806"/>
      <c r="FH303" s="806"/>
      <c r="FI303" s="852"/>
      <c r="FJ303" s="811" t="str">
        <f>IF(FZ299&gt;=FA299,$J$9,"")</f>
        <v/>
      </c>
      <c r="FK303" s="803" t="str">
        <f>IF(FZ299&gt;=FA299,$K$9,"")</f>
        <v/>
      </c>
      <c r="FL303" s="803" t="str">
        <f>IF(FZ299&gt;=FA299,$L$9,"")</f>
        <v/>
      </c>
      <c r="FM303" s="803" t="str">
        <f>IF(FZ299&gt;=FA299,$M$9,"")</f>
        <v/>
      </c>
      <c r="FN303" s="803" t="str">
        <f>IF(FZ299&gt;=FA299,$N$9,"")</f>
        <v/>
      </c>
      <c r="FO303" s="803" t="str">
        <f>IF(FZ299&gt;=FA299,$O$9,"")</f>
        <v/>
      </c>
      <c r="FP303" s="803" t="str">
        <f>IF(FZ299&gt;=FA299,$P$9,"")</f>
        <v/>
      </c>
      <c r="FQ303" s="803" t="str">
        <f>IF(FZ299&gt;=FA299,$Q$9,"")</f>
        <v/>
      </c>
      <c r="FR303" s="803" t="str">
        <f>IF(FZ299&gt;=FA299,$R$9,"")</f>
        <v/>
      </c>
      <c r="FS303" s="803" t="str">
        <f>IF(FZ299&gt;=FA299,$S$9,"")</f>
        <v/>
      </c>
      <c r="FT303" s="803" t="str">
        <f>IF(FZ299&gt;=FA299,$T$9,"")</f>
        <v/>
      </c>
      <c r="FU303" s="803" t="str">
        <f>IF(FZ299&gt;=FA299,$U$9,"")</f>
        <v/>
      </c>
      <c r="FV303" s="803" t="str">
        <f>IF(FZ299&gt;=FA299,$V$9,"")</f>
        <v/>
      </c>
      <c r="FW303" s="805" t="str">
        <f>IF(FZ299&gt;=FA299,$W$9,"")</f>
        <v/>
      </c>
      <c r="FX303" s="806"/>
      <c r="FY303" s="806"/>
      <c r="FZ303" s="807"/>
      <c r="GA303" s="858" t="str">
        <f>IF(GZ299&gt;=GA299,$A$9,"")</f>
        <v/>
      </c>
      <c r="GB303" s="806"/>
      <c r="GC303" s="806"/>
      <c r="GD303" s="806"/>
      <c r="GE303" s="852"/>
      <c r="GF303" s="805" t="str">
        <f>IF(GZ299&gt;=GA299,$F$9,"")</f>
        <v/>
      </c>
      <c r="GG303" s="806"/>
      <c r="GH303" s="806"/>
      <c r="GI303" s="852"/>
      <c r="GJ303" s="811" t="str">
        <f>IF(GZ299&gt;=GA299,$J$9,"")</f>
        <v/>
      </c>
      <c r="GK303" s="803" t="str">
        <f>IF(GZ299&gt;=GA299,$K$9,"")</f>
        <v/>
      </c>
      <c r="GL303" s="803" t="str">
        <f>IF(GZ299&gt;=GA299,$L$9,"")</f>
        <v/>
      </c>
      <c r="GM303" s="803" t="str">
        <f>IF(GZ299&gt;=GA299,$M$9,"")</f>
        <v/>
      </c>
      <c r="GN303" s="803" t="str">
        <f>IF(GZ299&gt;=GA299,$N$9,"")</f>
        <v/>
      </c>
      <c r="GO303" s="803" t="str">
        <f>IF(GZ299&gt;=GA299,$O$9,"")</f>
        <v/>
      </c>
      <c r="GP303" s="803" t="str">
        <f>IF(GZ299&gt;=GA299,$P$9,"")</f>
        <v/>
      </c>
      <c r="GQ303" s="803" t="str">
        <f>IF(GZ299&gt;=GA299,$Q$9,"")</f>
        <v/>
      </c>
      <c r="GR303" s="803" t="str">
        <f>IF(GZ299&gt;=GA299,$R$9,"")</f>
        <v/>
      </c>
      <c r="GS303" s="803" t="str">
        <f>IF(GZ299&gt;=GA299,$S$9,"")</f>
        <v/>
      </c>
      <c r="GT303" s="803" t="str">
        <f>IF(GZ299&gt;=GA299,$T$9,"")</f>
        <v/>
      </c>
      <c r="GU303" s="803" t="str">
        <f>IF(GZ299&gt;=GA299,$U$9,"")</f>
        <v/>
      </c>
      <c r="GV303" s="803" t="str">
        <f>IF(GZ299&gt;=GA299,$V$9,"")</f>
        <v/>
      </c>
      <c r="GW303" s="805" t="str">
        <f>IF(GZ299&gt;=GA299,$W$9,"")</f>
        <v/>
      </c>
      <c r="GX303" s="806"/>
      <c r="GY303" s="806"/>
      <c r="GZ303" s="807"/>
      <c r="HA303" s="858" t="str">
        <f>IF(HZ299&gt;=HA299,$A$9,"")</f>
        <v/>
      </c>
      <c r="HB303" s="806"/>
      <c r="HC303" s="806"/>
      <c r="HD303" s="806"/>
      <c r="HE303" s="852"/>
      <c r="HF303" s="805" t="str">
        <f>IF(HZ299&gt;=HA299,$F$9,"")</f>
        <v/>
      </c>
      <c r="HG303" s="806"/>
      <c r="HH303" s="806"/>
      <c r="HI303" s="852"/>
      <c r="HJ303" s="811" t="str">
        <f>IF(HZ299&gt;=HA299,$J$9,"")</f>
        <v/>
      </c>
      <c r="HK303" s="803" t="str">
        <f>IF(HZ299&gt;=HA299,$K$9,"")</f>
        <v/>
      </c>
      <c r="HL303" s="803" t="str">
        <f>IF(HZ299&gt;=HA299,$L$9,"")</f>
        <v/>
      </c>
      <c r="HM303" s="803" t="str">
        <f>IF(HZ299&gt;=HA299,$M$9,"")</f>
        <v/>
      </c>
      <c r="HN303" s="803" t="str">
        <f>IF(HZ299&gt;=HA299,$N$9,"")</f>
        <v/>
      </c>
      <c r="HO303" s="803" t="str">
        <f>IF(HZ299&gt;=HA299,$O$9,"")</f>
        <v/>
      </c>
      <c r="HP303" s="803" t="str">
        <f>IF(HZ299&gt;=HA299,$P$9,"")</f>
        <v/>
      </c>
      <c r="HQ303" s="803" t="str">
        <f>IF(HZ299&gt;=HA299,$Q$9,"")</f>
        <v/>
      </c>
      <c r="HR303" s="803" t="str">
        <f>IF(HZ299&gt;=HA299,$R$9,"")</f>
        <v/>
      </c>
      <c r="HS303" s="803" t="str">
        <f>IF(HZ299&gt;=HA299,$S$9,"")</f>
        <v/>
      </c>
      <c r="HT303" s="803" t="str">
        <f>IF(HZ299&gt;=HA299,$T$9,"")</f>
        <v/>
      </c>
      <c r="HU303" s="803" t="str">
        <f>IF(HZ299&gt;=HA299,$U$9,"")</f>
        <v/>
      </c>
      <c r="HV303" s="803" t="str">
        <f>IF(HZ299&gt;=HA299,$V$9,"")</f>
        <v/>
      </c>
      <c r="HW303" s="805" t="str">
        <f>IF(HZ299&gt;=HA299,$W$9,"")</f>
        <v/>
      </c>
      <c r="HX303" s="806"/>
      <c r="HY303" s="806"/>
      <c r="HZ303" s="807"/>
      <c r="IA303" s="858" t="str">
        <f>IF(IZ299&gt;=IA299,$A$9,"")</f>
        <v/>
      </c>
      <c r="IB303" s="806"/>
      <c r="IC303" s="806"/>
      <c r="ID303" s="806"/>
      <c r="IE303" s="852"/>
      <c r="IF303" s="805" t="str">
        <f>IF(IZ299&gt;=IA299,$F$9,"")</f>
        <v/>
      </c>
      <c r="IG303" s="806"/>
      <c r="IH303" s="806"/>
      <c r="II303" s="852"/>
      <c r="IJ303" s="811" t="str">
        <f>IF(IZ299&gt;=IA299,$J$9,"")</f>
        <v/>
      </c>
      <c r="IK303" s="803" t="str">
        <f>IF(IZ299&gt;=IA299,$K$9,"")</f>
        <v/>
      </c>
      <c r="IL303" s="803" t="str">
        <f>IF(IZ299&gt;=IA299,$L$9,"")</f>
        <v/>
      </c>
      <c r="IM303" s="803" t="str">
        <f>IF(IZ299&gt;=IA299,$M$9,"")</f>
        <v/>
      </c>
      <c r="IN303" s="803" t="str">
        <f>IF(IZ299&gt;=IA299,$N$9,"")</f>
        <v/>
      </c>
      <c r="IO303" s="803" t="str">
        <f>IF(IZ299&gt;=IA299,$O$9,"")</f>
        <v/>
      </c>
      <c r="IP303" s="803" t="str">
        <f>IF(IZ299&gt;=IA299,$P$9,"")</f>
        <v/>
      </c>
      <c r="IQ303" s="803" t="str">
        <f>IF(IZ299&gt;=IA299,$Q$9,"")</f>
        <v/>
      </c>
      <c r="IR303" s="803" t="str">
        <f>IF(IZ299&gt;=IA299,$R$9,"")</f>
        <v/>
      </c>
      <c r="IS303" s="803" t="str">
        <f>IF(IZ299&gt;=IA299,$S$9,"")</f>
        <v/>
      </c>
      <c r="IT303" s="803" t="str">
        <f>IF(IZ299&gt;=IA299,$T$9,"")</f>
        <v/>
      </c>
      <c r="IU303" s="803" t="str">
        <f>IF(IZ299&gt;=IA299,$U$9,"")</f>
        <v/>
      </c>
      <c r="IV303" s="803" t="str">
        <f>IF(IZ299&gt;=IA299,$V$9,"")</f>
        <v/>
      </c>
      <c r="IW303" s="805" t="str">
        <f>IF(IZ299&gt;=IA299,$W$9,"")</f>
        <v/>
      </c>
      <c r="IX303" s="806"/>
      <c r="IY303" s="806"/>
      <c r="IZ303" s="807"/>
    </row>
    <row r="304" spans="1:260" x14ac:dyDescent="0.25">
      <c r="A304" s="859"/>
      <c r="B304" s="809"/>
      <c r="C304" s="809"/>
      <c r="D304" s="809"/>
      <c r="E304" s="853"/>
      <c r="F304" s="808"/>
      <c r="G304" s="809"/>
      <c r="H304" s="809"/>
      <c r="I304" s="853"/>
      <c r="J304" s="812"/>
      <c r="K304" s="804"/>
      <c r="L304" s="804"/>
      <c r="M304" s="804"/>
      <c r="N304" s="804"/>
      <c r="O304" s="804"/>
      <c r="P304" s="804"/>
      <c r="Q304" s="804"/>
      <c r="R304" s="804"/>
      <c r="S304" s="804"/>
      <c r="T304" s="804"/>
      <c r="U304" s="804"/>
      <c r="V304" s="804"/>
      <c r="W304" s="808"/>
      <c r="X304" s="809"/>
      <c r="Y304" s="809"/>
      <c r="Z304" s="810"/>
      <c r="AA304" s="859"/>
      <c r="AB304" s="809"/>
      <c r="AC304" s="809"/>
      <c r="AD304" s="809"/>
      <c r="AE304" s="853"/>
      <c r="AF304" s="808"/>
      <c r="AG304" s="809"/>
      <c r="AH304" s="809"/>
      <c r="AI304" s="853"/>
      <c r="AJ304" s="812"/>
      <c r="AK304" s="804"/>
      <c r="AL304" s="804"/>
      <c r="AM304" s="804"/>
      <c r="AN304" s="804"/>
      <c r="AO304" s="804"/>
      <c r="AP304" s="804"/>
      <c r="AQ304" s="804"/>
      <c r="AR304" s="804"/>
      <c r="AS304" s="804"/>
      <c r="AT304" s="804"/>
      <c r="AU304" s="804"/>
      <c r="AV304" s="804"/>
      <c r="AW304" s="808"/>
      <c r="AX304" s="809"/>
      <c r="AY304" s="809"/>
      <c r="AZ304" s="810"/>
      <c r="BA304" s="859"/>
      <c r="BB304" s="809"/>
      <c r="BC304" s="809"/>
      <c r="BD304" s="809"/>
      <c r="BE304" s="853"/>
      <c r="BF304" s="808"/>
      <c r="BG304" s="809"/>
      <c r="BH304" s="809"/>
      <c r="BI304" s="853"/>
      <c r="BJ304" s="812"/>
      <c r="BK304" s="804"/>
      <c r="BL304" s="804"/>
      <c r="BM304" s="804"/>
      <c r="BN304" s="804"/>
      <c r="BO304" s="804"/>
      <c r="BP304" s="804"/>
      <c r="BQ304" s="804"/>
      <c r="BR304" s="804"/>
      <c r="BS304" s="804"/>
      <c r="BT304" s="804"/>
      <c r="BU304" s="804"/>
      <c r="BV304" s="804"/>
      <c r="BW304" s="808"/>
      <c r="BX304" s="809"/>
      <c r="BY304" s="809"/>
      <c r="BZ304" s="810"/>
      <c r="CA304" s="859"/>
      <c r="CB304" s="809"/>
      <c r="CC304" s="809"/>
      <c r="CD304" s="809"/>
      <c r="CE304" s="853"/>
      <c r="CF304" s="808"/>
      <c r="CG304" s="809"/>
      <c r="CH304" s="809"/>
      <c r="CI304" s="853"/>
      <c r="CJ304" s="812"/>
      <c r="CK304" s="804"/>
      <c r="CL304" s="804"/>
      <c r="CM304" s="804"/>
      <c r="CN304" s="804"/>
      <c r="CO304" s="804"/>
      <c r="CP304" s="804"/>
      <c r="CQ304" s="804"/>
      <c r="CR304" s="804"/>
      <c r="CS304" s="804"/>
      <c r="CT304" s="804"/>
      <c r="CU304" s="804"/>
      <c r="CV304" s="804"/>
      <c r="CW304" s="808"/>
      <c r="CX304" s="809"/>
      <c r="CY304" s="809"/>
      <c r="CZ304" s="810"/>
      <c r="DA304" s="859"/>
      <c r="DB304" s="809"/>
      <c r="DC304" s="809"/>
      <c r="DD304" s="809"/>
      <c r="DE304" s="853"/>
      <c r="DF304" s="808"/>
      <c r="DG304" s="809"/>
      <c r="DH304" s="809"/>
      <c r="DI304" s="853"/>
      <c r="DJ304" s="812"/>
      <c r="DK304" s="804"/>
      <c r="DL304" s="804"/>
      <c r="DM304" s="804"/>
      <c r="DN304" s="804"/>
      <c r="DO304" s="804"/>
      <c r="DP304" s="804"/>
      <c r="DQ304" s="804"/>
      <c r="DR304" s="804"/>
      <c r="DS304" s="804"/>
      <c r="DT304" s="804"/>
      <c r="DU304" s="804"/>
      <c r="DV304" s="804"/>
      <c r="DW304" s="808"/>
      <c r="DX304" s="809"/>
      <c r="DY304" s="809"/>
      <c r="DZ304" s="810"/>
      <c r="EA304" s="859"/>
      <c r="EB304" s="809"/>
      <c r="EC304" s="809"/>
      <c r="ED304" s="809"/>
      <c r="EE304" s="853"/>
      <c r="EF304" s="808"/>
      <c r="EG304" s="809"/>
      <c r="EH304" s="809"/>
      <c r="EI304" s="853"/>
      <c r="EJ304" s="812"/>
      <c r="EK304" s="804"/>
      <c r="EL304" s="804"/>
      <c r="EM304" s="804"/>
      <c r="EN304" s="804"/>
      <c r="EO304" s="804"/>
      <c r="EP304" s="804"/>
      <c r="EQ304" s="804"/>
      <c r="ER304" s="804"/>
      <c r="ES304" s="804"/>
      <c r="ET304" s="804"/>
      <c r="EU304" s="804"/>
      <c r="EV304" s="804"/>
      <c r="EW304" s="808"/>
      <c r="EX304" s="809"/>
      <c r="EY304" s="809"/>
      <c r="EZ304" s="810"/>
      <c r="FA304" s="859"/>
      <c r="FB304" s="809"/>
      <c r="FC304" s="809"/>
      <c r="FD304" s="809"/>
      <c r="FE304" s="853"/>
      <c r="FF304" s="808"/>
      <c r="FG304" s="809"/>
      <c r="FH304" s="809"/>
      <c r="FI304" s="853"/>
      <c r="FJ304" s="812"/>
      <c r="FK304" s="804"/>
      <c r="FL304" s="804"/>
      <c r="FM304" s="804"/>
      <c r="FN304" s="804"/>
      <c r="FO304" s="804"/>
      <c r="FP304" s="804"/>
      <c r="FQ304" s="804"/>
      <c r="FR304" s="804"/>
      <c r="FS304" s="804"/>
      <c r="FT304" s="804"/>
      <c r="FU304" s="804"/>
      <c r="FV304" s="804"/>
      <c r="FW304" s="808"/>
      <c r="FX304" s="809"/>
      <c r="FY304" s="809"/>
      <c r="FZ304" s="810"/>
      <c r="GA304" s="859"/>
      <c r="GB304" s="809"/>
      <c r="GC304" s="809"/>
      <c r="GD304" s="809"/>
      <c r="GE304" s="853"/>
      <c r="GF304" s="808"/>
      <c r="GG304" s="809"/>
      <c r="GH304" s="809"/>
      <c r="GI304" s="853"/>
      <c r="GJ304" s="812"/>
      <c r="GK304" s="804"/>
      <c r="GL304" s="804"/>
      <c r="GM304" s="804"/>
      <c r="GN304" s="804"/>
      <c r="GO304" s="804"/>
      <c r="GP304" s="804"/>
      <c r="GQ304" s="804"/>
      <c r="GR304" s="804"/>
      <c r="GS304" s="804"/>
      <c r="GT304" s="804"/>
      <c r="GU304" s="804"/>
      <c r="GV304" s="804"/>
      <c r="GW304" s="808"/>
      <c r="GX304" s="809"/>
      <c r="GY304" s="809"/>
      <c r="GZ304" s="810"/>
      <c r="HA304" s="859"/>
      <c r="HB304" s="809"/>
      <c r="HC304" s="809"/>
      <c r="HD304" s="809"/>
      <c r="HE304" s="853"/>
      <c r="HF304" s="808"/>
      <c r="HG304" s="809"/>
      <c r="HH304" s="809"/>
      <c r="HI304" s="853"/>
      <c r="HJ304" s="812"/>
      <c r="HK304" s="804"/>
      <c r="HL304" s="804"/>
      <c r="HM304" s="804"/>
      <c r="HN304" s="804"/>
      <c r="HO304" s="804"/>
      <c r="HP304" s="804"/>
      <c r="HQ304" s="804"/>
      <c r="HR304" s="804"/>
      <c r="HS304" s="804"/>
      <c r="HT304" s="804"/>
      <c r="HU304" s="804"/>
      <c r="HV304" s="804"/>
      <c r="HW304" s="808"/>
      <c r="HX304" s="809"/>
      <c r="HY304" s="809"/>
      <c r="HZ304" s="810"/>
      <c r="IA304" s="859"/>
      <c r="IB304" s="809"/>
      <c r="IC304" s="809"/>
      <c r="ID304" s="809"/>
      <c r="IE304" s="853"/>
      <c r="IF304" s="808"/>
      <c r="IG304" s="809"/>
      <c r="IH304" s="809"/>
      <c r="II304" s="853"/>
      <c r="IJ304" s="812"/>
      <c r="IK304" s="804"/>
      <c r="IL304" s="804"/>
      <c r="IM304" s="804"/>
      <c r="IN304" s="804"/>
      <c r="IO304" s="804"/>
      <c r="IP304" s="804"/>
      <c r="IQ304" s="804"/>
      <c r="IR304" s="804"/>
      <c r="IS304" s="804"/>
      <c r="IT304" s="804"/>
      <c r="IU304" s="804"/>
      <c r="IV304" s="804"/>
      <c r="IW304" s="808"/>
      <c r="IX304" s="809"/>
      <c r="IY304" s="809"/>
      <c r="IZ304" s="810"/>
    </row>
    <row r="305" spans="1:260" ht="15" customHeight="1" x14ac:dyDescent="0.25">
      <c r="A305" s="854" t="str">
        <f>IFERROR(INDEX(Lista_Pedidos,Procesos!Y299+A299-1,3),"")</f>
        <v/>
      </c>
      <c r="B305" s="855"/>
      <c r="C305" s="855"/>
      <c r="D305" s="855"/>
      <c r="E305" s="856"/>
      <c r="F305" s="857" t="str">
        <f>IF(Z299&gt;A299-1,E$11,"")</f>
        <v/>
      </c>
      <c r="G305" s="855"/>
      <c r="H305" s="855"/>
      <c r="I305" s="856"/>
      <c r="J305" s="526" t="str">
        <f>IFERROR(IF(IF(Z299&gt;A299-1,INDEX(Lista_Pedidos,Y299+A299-1,J299),"")=0,"",IF(Z299&gt;A299-1,INDEX(Lista_Pedidos,Y299+A299-1,J299),"")),"")</f>
        <v/>
      </c>
      <c r="K305" s="526" t="str">
        <f>IFERROR(IF(IF(Z299&gt;A299-1,INDEX(Lista_Pedidos,Y299+A299-1,K299),"")=0,"",IF(Z299&gt;A299-1,INDEX(Lista_Pedidos,Y299+A299-1,K299),"")),"")</f>
        <v/>
      </c>
      <c r="L305" s="526" t="str">
        <f>IFERROR(IF(IF(Z299&gt;A299-1,INDEX(Lista_Pedidos,Y299+A299-1,L299),"")=0,"",IF(Z299&gt;A299-1,INDEX(Lista_Pedidos,Y299+A299-1,L299),"")),"")</f>
        <v/>
      </c>
      <c r="M305" s="526" t="str">
        <f>IFERROR(IF(IF(Z299&gt;A299-1,INDEX(Lista_Pedidos,Y299+A299-1,M299),"")=0,"",IF(Z299&gt;A299-1,INDEX(Lista_Pedidos,Y299+A299-1,M299),"")),"")</f>
        <v/>
      </c>
      <c r="N305" s="526" t="str">
        <f>IFERROR(IF(IF(Z299&gt;A299-1,INDEX(Lista_Pedidos,Y299+A299-1,N299),"")=0,"",IF(Z299&gt;A299-1,INDEX(Lista_Pedidos,Y299+A299-1,N299),"")),"")</f>
        <v/>
      </c>
      <c r="O305" s="526" t="str">
        <f>IFERROR(IF(IF(Z299&gt;A299-1,INDEX(Lista_Pedidos,Y299+A299-1,O299),"")=0,"",IF(Z299&gt;A299-1,INDEX(Lista_Pedidos,Y299+A299-1,O299),"")),"")</f>
        <v/>
      </c>
      <c r="P305" s="526" t="str">
        <f>IFERROR(IF(IF(Z299&gt;A299-1,INDEX(Lista_Pedidos,Y299+A299-1,P299),"")=0,"",IF(Z299&gt;A299-1,INDEX(Lista_Pedidos,Y299+A299-1,P299),"")),"")</f>
        <v/>
      </c>
      <c r="Q305" s="526" t="str">
        <f>IFERROR(IF(IF(Z299&gt;A299-1,INDEX(Lista_Pedidos,Y299+A299-1,Q299),"")=0,"",IF(Z299&gt;A299-1,INDEX(Lista_Pedidos,Y299+A299-1,Q299),"")),"")</f>
        <v/>
      </c>
      <c r="R305" s="526" t="str">
        <f>IFERROR(IF(IF(Z299&gt;A299-1,INDEX(Lista_Pedidos,Y299+A299-1,R299),"")=0,"",IF(Z299&gt;A299-1,INDEX(Lista_Pedidos,Y299+A299-1,R299),"")),"")</f>
        <v/>
      </c>
      <c r="S305" s="526" t="str">
        <f>IFERROR(IF(IF(Z299&gt;A299-1,INDEX(Lista_Pedidos,Y299+A299-1,S299),"")=0,"",IF(Z299&gt;A299-1,INDEX(Lista_Pedidos,Y299+A299-1,S299),"")),"")</f>
        <v/>
      </c>
      <c r="T305" s="526" t="str">
        <f>IFERROR(IF(IF(Z299&gt;A299-1,INDEX(Lista_Pedidos,Y299+A299-1,T299),"")=0,"",IF(Z299&gt;A299-1,INDEX(Lista_Pedidos,Y299+A299-1,T299),"")),"")</f>
        <v/>
      </c>
      <c r="U305" s="526" t="str">
        <f>IFERROR(IF(IF(Z299&gt;A299-1,INDEX(Lista_Pedidos,Y299+A299-1,U299),"")=0,"",IF(Z299&gt;A299-1,INDEX(Lista_Pedidos,Y299+A299-1,U299),"")),"")</f>
        <v/>
      </c>
      <c r="V305" s="526" t="str">
        <f>IFERROR(IF(IF(Z299&gt;A299-1,INDEX(Lista_Pedidos,Y299+A299-1,V299),"")=0,"",IF(Z299&gt;A299-1,INDEX(Lista_Pedidos,Y299+A299-1,V299),"")),"")</f>
        <v/>
      </c>
      <c r="W305" s="857" t="str">
        <f>IF(SUM(J305:V305)&gt;1,SUM(J305:V305),"")</f>
        <v/>
      </c>
      <c r="X305" s="855"/>
      <c r="Y305" s="855"/>
      <c r="Z305" s="860"/>
      <c r="AA305" s="854" t="str">
        <f>IFERROR(INDEX(Lista_Pedidos,Procesos!AY299+AA299-1,3),"")</f>
        <v/>
      </c>
      <c r="AB305" s="855"/>
      <c r="AC305" s="855"/>
      <c r="AD305" s="855"/>
      <c r="AE305" s="856"/>
      <c r="AF305" s="857" t="str">
        <f>IF(AZ299&gt;AA299-1,AE$11,"")</f>
        <v/>
      </c>
      <c r="AG305" s="855"/>
      <c r="AH305" s="855"/>
      <c r="AI305" s="856"/>
      <c r="AJ305" s="526" t="str">
        <f>IFERROR(IF(IF(AZ299&gt;AA299-1,INDEX(Lista_Pedidos,AY299+AA299-1,AJ299),"")=0,"",IF(AZ299&gt;AA299-1,INDEX(Lista_Pedidos,AY299+AA299-1,AJ299),"")),"")</f>
        <v/>
      </c>
      <c r="AK305" s="526" t="str">
        <f>IFERROR(IF(IF(AZ299&gt;AA299-1,INDEX(Lista_Pedidos,AY299+AA299-1,AK299),"")=0,"",IF(AZ299&gt;AA299-1,INDEX(Lista_Pedidos,AY299+AA299-1,AK299),"")),"")</f>
        <v/>
      </c>
      <c r="AL305" s="526" t="str">
        <f>IFERROR(IF(IF(AZ299&gt;AA299-1,INDEX(Lista_Pedidos,AY299+AA299-1,AL299),"")=0,"",IF(AZ299&gt;AA299-1,INDEX(Lista_Pedidos,AY299+AA299-1,AL299),"")),"")</f>
        <v/>
      </c>
      <c r="AM305" s="526" t="str">
        <f>IFERROR(IF(IF(AZ299&gt;AA299-1,INDEX(Lista_Pedidos,AY299+AA299-1,AM299),"")=0,"",IF(AZ299&gt;AA299-1,INDEX(Lista_Pedidos,AY299+AA299-1,AM299),"")),"")</f>
        <v/>
      </c>
      <c r="AN305" s="526" t="str">
        <f>IFERROR(IF(IF(AZ299&gt;AA299-1,INDEX(Lista_Pedidos,AY299+AA299-1,AN299),"")=0,"",IF(AZ299&gt;AA299-1,INDEX(Lista_Pedidos,AY299+AA299-1,AN299),"")),"")</f>
        <v/>
      </c>
      <c r="AO305" s="526" t="str">
        <f>IFERROR(IF(IF(AZ299&gt;AA299-1,INDEX(Lista_Pedidos,AY299+AA299-1,AO299),"")=0,"",IF(AZ299&gt;AA299-1,INDEX(Lista_Pedidos,AY299+AA299-1,AO299),"")),"")</f>
        <v/>
      </c>
      <c r="AP305" s="526" t="str">
        <f>IFERROR(IF(IF(AZ299&gt;AA299-1,INDEX(Lista_Pedidos,AY299+AA299-1,AP299),"")=0,"",IF(AZ299&gt;AA299-1,INDEX(Lista_Pedidos,AY299+AA299-1,AP299),"")),"")</f>
        <v/>
      </c>
      <c r="AQ305" s="526" t="str">
        <f>IFERROR(IF(IF(AZ299&gt;AA299-1,INDEX(Lista_Pedidos,AY299+AA299-1,AQ299),"")=0,"",IF(AZ299&gt;AA299-1,INDEX(Lista_Pedidos,AY299+AA299-1,AQ299),"")),"")</f>
        <v/>
      </c>
      <c r="AR305" s="526" t="str">
        <f>IFERROR(IF(IF(AZ299&gt;AA299-1,INDEX(Lista_Pedidos,AY299+AA299-1,AR299),"")=0,"",IF(AZ299&gt;AA299-1,INDEX(Lista_Pedidos,AY299+AA299-1,AR299),"")),"")</f>
        <v/>
      </c>
      <c r="AS305" s="526" t="str">
        <f>IFERROR(IF(IF(AZ299&gt;AA299-1,INDEX(Lista_Pedidos,AY299+AA299-1,AS299),"")=0,"",IF(AZ299&gt;AA299-1,INDEX(Lista_Pedidos,AY299+AA299-1,AS299),"")),"")</f>
        <v/>
      </c>
      <c r="AT305" s="526" t="str">
        <f>IFERROR(IF(IF(AZ299&gt;AA299-1,INDEX(Lista_Pedidos,AY299+AA299-1,AT299),"")=0,"",IF(AZ299&gt;AA299-1,INDEX(Lista_Pedidos,AY299+AA299-1,AT299),"")),"")</f>
        <v/>
      </c>
      <c r="AU305" s="526" t="str">
        <f>IFERROR(IF(IF(AZ299&gt;AA299-1,INDEX(Lista_Pedidos,AY299+AA299-1,AU299),"")=0,"",IF(AZ299&gt;AA299-1,INDEX(Lista_Pedidos,AY299+AA299-1,AU299),"")),"")</f>
        <v/>
      </c>
      <c r="AV305" s="526" t="str">
        <f>IFERROR(IF(IF(AZ299&gt;AA299-1,INDEX(Lista_Pedidos,AY299+AA299-1,AV299),"")=0,"",IF(AZ299&gt;AA299-1,INDEX(Lista_Pedidos,AY299+AA299-1,AV299),"")),"")</f>
        <v/>
      </c>
      <c r="AW305" s="857" t="str">
        <f>IF(SUM(AJ305:AV305)&gt;1,SUM(AJ305:AV305),"")</f>
        <v/>
      </c>
      <c r="AX305" s="855"/>
      <c r="AY305" s="855"/>
      <c r="AZ305" s="860"/>
      <c r="BA305" s="854" t="str">
        <f>IFERROR(INDEX(Lista_Pedidos,Procesos!BY299+BA299-1,3),"")</f>
        <v/>
      </c>
      <c r="BB305" s="855"/>
      <c r="BC305" s="855"/>
      <c r="BD305" s="855"/>
      <c r="BE305" s="856"/>
      <c r="BF305" s="857" t="str">
        <f>IF(BZ299&gt;BA299-1,BE$11,"")</f>
        <v/>
      </c>
      <c r="BG305" s="855"/>
      <c r="BH305" s="855"/>
      <c r="BI305" s="856"/>
      <c r="BJ305" s="526" t="str">
        <f>IFERROR(IF(IF(BZ299&gt;BA299-1,INDEX(Lista_Pedidos,BY299+BA299-1,BJ299),"")=0,"",IF(BZ299&gt;BA299-1,INDEX(Lista_Pedidos,BY299+BA299-1,BJ299),"")),"")</f>
        <v/>
      </c>
      <c r="BK305" s="526" t="str">
        <f>IFERROR(IF(IF(BZ299&gt;BA299-1,INDEX(Lista_Pedidos,BY299+BA299-1,BK299),"")=0,"",IF(BZ299&gt;BA299-1,INDEX(Lista_Pedidos,BY299+BA299-1,BK299),"")),"")</f>
        <v/>
      </c>
      <c r="BL305" s="526" t="str">
        <f>IFERROR(IF(IF(BZ299&gt;BA299-1,INDEX(Lista_Pedidos,BY299+BA299-1,BL299),"")=0,"",IF(BZ299&gt;BA299-1,INDEX(Lista_Pedidos,BY299+BA299-1,BL299),"")),"")</f>
        <v/>
      </c>
      <c r="BM305" s="526" t="str">
        <f>IFERROR(IF(IF(BZ299&gt;BA299-1,INDEX(Lista_Pedidos,BY299+BA299-1,BM299),"")=0,"",IF(BZ299&gt;BA299-1,INDEX(Lista_Pedidos,BY299+BA299-1,BM299),"")),"")</f>
        <v/>
      </c>
      <c r="BN305" s="526" t="str">
        <f>IFERROR(IF(IF(BZ299&gt;BA299-1,INDEX(Lista_Pedidos,BY299+BA299-1,BN299),"")=0,"",IF(BZ299&gt;BA299-1,INDEX(Lista_Pedidos,BY299+BA299-1,BN299),"")),"")</f>
        <v/>
      </c>
      <c r="BO305" s="526" t="str">
        <f>IFERROR(IF(IF(BZ299&gt;BA299-1,INDEX(Lista_Pedidos,BY299+BA299-1,BO299),"")=0,"",IF(BZ299&gt;BA299-1,INDEX(Lista_Pedidos,BY299+BA299-1,BO299),"")),"")</f>
        <v/>
      </c>
      <c r="BP305" s="526" t="str">
        <f>IFERROR(IF(IF(BZ299&gt;BA299-1,INDEX(Lista_Pedidos,BY299+BA299-1,BP299),"")=0,"",IF(BZ299&gt;BA299-1,INDEX(Lista_Pedidos,BY299+BA299-1,BP299),"")),"")</f>
        <v/>
      </c>
      <c r="BQ305" s="526" t="str">
        <f>IFERROR(IF(IF(BZ299&gt;BA299-1,INDEX(Lista_Pedidos,BY299+BA299-1,BQ299),"")=0,"",IF(BZ299&gt;BA299-1,INDEX(Lista_Pedidos,BY299+BA299-1,BQ299),"")),"")</f>
        <v/>
      </c>
      <c r="BR305" s="526" t="str">
        <f>IFERROR(IF(IF(BZ299&gt;BA299-1,INDEX(Lista_Pedidos,BY299+BA299-1,BR299),"")=0,"",IF(BZ299&gt;BA299-1,INDEX(Lista_Pedidos,BY299+BA299-1,BR299),"")),"")</f>
        <v/>
      </c>
      <c r="BS305" s="526" t="str">
        <f>IFERROR(IF(IF(BZ299&gt;BA299-1,INDEX(Lista_Pedidos,BY299+BA299-1,BS299),"")=0,"",IF(BZ299&gt;BA299-1,INDEX(Lista_Pedidos,BY299+BA299-1,BS299),"")),"")</f>
        <v/>
      </c>
      <c r="BT305" s="526" t="str">
        <f>IFERROR(IF(IF(BZ299&gt;BA299-1,INDEX(Lista_Pedidos,BY299+BA299-1,BT299),"")=0,"",IF(BZ299&gt;BA299-1,INDEX(Lista_Pedidos,BY299+BA299-1,BT299),"")),"")</f>
        <v/>
      </c>
      <c r="BU305" s="526" t="str">
        <f>IFERROR(IF(IF(BZ299&gt;BA299-1,INDEX(Lista_Pedidos,BY299+BA299-1,BU299),"")=0,"",IF(BZ299&gt;BA299-1,INDEX(Lista_Pedidos,BY299+BA299-1,BU299),"")),"")</f>
        <v/>
      </c>
      <c r="BV305" s="526" t="str">
        <f>IFERROR(IF(IF(BZ299&gt;BA299-1,INDEX(Lista_Pedidos,BY299+BA299-1,BV299),"")=0,"",IF(BZ299&gt;BA299-1,INDEX(Lista_Pedidos,BY299+BA299-1,BV299),"")),"")</f>
        <v/>
      </c>
      <c r="BW305" s="857" t="str">
        <f>IF(SUM(BJ305:BV305)&gt;1,SUM(BJ305:BV305),"")</f>
        <v/>
      </c>
      <c r="BX305" s="855"/>
      <c r="BY305" s="855"/>
      <c r="BZ305" s="860"/>
      <c r="CA305" s="854" t="str">
        <f>IFERROR(INDEX(Lista_Pedidos,Procesos!CY299+CA299-1,3),"")</f>
        <v/>
      </c>
      <c r="CB305" s="855"/>
      <c r="CC305" s="855"/>
      <c r="CD305" s="855"/>
      <c r="CE305" s="856"/>
      <c r="CF305" s="857" t="str">
        <f>IF(CZ299&gt;CA299-1,CE$11,"")</f>
        <v/>
      </c>
      <c r="CG305" s="855"/>
      <c r="CH305" s="855"/>
      <c r="CI305" s="856"/>
      <c r="CJ305" s="526" t="str">
        <f>IFERROR(IF(IF(CZ299&gt;CA299-1,INDEX(Lista_Pedidos,CY299+CA299-1,CJ299),"")=0,"",IF(CZ299&gt;CA299-1,INDEX(Lista_Pedidos,CY299+CA299-1,CJ299),"")),"")</f>
        <v/>
      </c>
      <c r="CK305" s="526" t="str">
        <f>IFERROR(IF(IF(CZ299&gt;CA299-1,INDEX(Lista_Pedidos,CY299+CA299-1,CK299),"")=0,"",IF(CZ299&gt;CA299-1,INDEX(Lista_Pedidos,CY299+CA299-1,CK299),"")),"")</f>
        <v/>
      </c>
      <c r="CL305" s="526" t="str">
        <f>IFERROR(IF(IF(CZ299&gt;CA299-1,INDEX(Lista_Pedidos,CY299+CA299-1,CL299),"")=0,"",IF(CZ299&gt;CA299-1,INDEX(Lista_Pedidos,CY299+CA299-1,CL299),"")),"")</f>
        <v/>
      </c>
      <c r="CM305" s="526" t="str">
        <f>IFERROR(IF(IF(CZ299&gt;CA299-1,INDEX(Lista_Pedidos,CY299+CA299-1,CM299),"")=0,"",IF(CZ299&gt;CA299-1,INDEX(Lista_Pedidos,CY299+CA299-1,CM299),"")),"")</f>
        <v/>
      </c>
      <c r="CN305" s="526" t="str">
        <f>IFERROR(IF(IF(CZ299&gt;CA299-1,INDEX(Lista_Pedidos,CY299+CA299-1,CN299),"")=0,"",IF(CZ299&gt;CA299-1,INDEX(Lista_Pedidos,CY299+CA299-1,CN299),"")),"")</f>
        <v/>
      </c>
      <c r="CO305" s="526" t="str">
        <f>IFERROR(IF(IF(CZ299&gt;CA299-1,INDEX(Lista_Pedidos,CY299+CA299-1,CO299),"")=0,"",IF(CZ299&gt;CA299-1,INDEX(Lista_Pedidos,CY299+CA299-1,CO299),"")),"")</f>
        <v/>
      </c>
      <c r="CP305" s="526" t="str">
        <f>IFERROR(IF(IF(CZ299&gt;CA299-1,INDEX(Lista_Pedidos,CY299+CA299-1,CP299),"")=0,"",IF(CZ299&gt;CA299-1,INDEX(Lista_Pedidos,CY299+CA299-1,CP299),"")),"")</f>
        <v/>
      </c>
      <c r="CQ305" s="526" t="str">
        <f>IFERROR(IF(IF(CZ299&gt;CA299-1,INDEX(Lista_Pedidos,CY299+CA299-1,CQ299),"")=0,"",IF(CZ299&gt;CA299-1,INDEX(Lista_Pedidos,CY299+CA299-1,CQ299),"")),"")</f>
        <v/>
      </c>
      <c r="CR305" s="526" t="str">
        <f>IFERROR(IF(IF(CZ299&gt;CA299-1,INDEX(Lista_Pedidos,CY299+CA299-1,CR299),"")=0,"",IF(CZ299&gt;CA299-1,INDEX(Lista_Pedidos,CY299+CA299-1,CR299),"")),"")</f>
        <v/>
      </c>
      <c r="CS305" s="526" t="str">
        <f>IFERROR(IF(IF(CZ299&gt;CA299-1,INDEX(Lista_Pedidos,CY299+CA299-1,CS299),"")=0,"",IF(CZ299&gt;CA299-1,INDEX(Lista_Pedidos,CY299+CA299-1,CS299),"")),"")</f>
        <v/>
      </c>
      <c r="CT305" s="526" t="str">
        <f>IFERROR(IF(IF(CZ299&gt;CA299-1,INDEX(Lista_Pedidos,CY299+CA299-1,CT299),"")=0,"",IF(CZ299&gt;CA299-1,INDEX(Lista_Pedidos,CY299+CA299-1,CT299),"")),"")</f>
        <v/>
      </c>
      <c r="CU305" s="526" t="str">
        <f>IFERROR(IF(IF(CZ299&gt;CA299-1,INDEX(Lista_Pedidos,CY299+CA299-1,CU299),"")=0,"",IF(CZ299&gt;CA299-1,INDEX(Lista_Pedidos,CY299+CA299-1,CU299),"")),"")</f>
        <v/>
      </c>
      <c r="CV305" s="526" t="str">
        <f>IFERROR(IF(IF(CZ299&gt;CA299-1,INDEX(Lista_Pedidos,CY299+CA299-1,CV299),"")=0,"",IF(CZ299&gt;CA299-1,INDEX(Lista_Pedidos,CY299+CA299-1,CV299),"")),"")</f>
        <v/>
      </c>
      <c r="CW305" s="857" t="str">
        <f>IF(SUM(CJ305:CV305)&gt;1,SUM(CJ305:CV305),"")</f>
        <v/>
      </c>
      <c r="CX305" s="855"/>
      <c r="CY305" s="855"/>
      <c r="CZ305" s="860"/>
      <c r="DA305" s="854" t="str">
        <f>IFERROR(INDEX(Lista_Pedidos,Procesos!DY299+DA299-1,3),"")</f>
        <v/>
      </c>
      <c r="DB305" s="855"/>
      <c r="DC305" s="855"/>
      <c r="DD305" s="855"/>
      <c r="DE305" s="856"/>
      <c r="DF305" s="857" t="str">
        <f>IF(DZ299&gt;DA299-1,DE$11,"")</f>
        <v/>
      </c>
      <c r="DG305" s="855"/>
      <c r="DH305" s="855"/>
      <c r="DI305" s="856"/>
      <c r="DJ305" s="526" t="str">
        <f>IFERROR(IF(IF(DZ299&gt;DA299-1,INDEX(Lista_Pedidos,DY299+DA299-1,DJ299),"")=0,"",IF(DZ299&gt;DA299-1,INDEX(Lista_Pedidos,DY299+DA299-1,DJ299),"")),"")</f>
        <v/>
      </c>
      <c r="DK305" s="526" t="str">
        <f>IFERROR(IF(IF(DZ299&gt;DA299-1,INDEX(Lista_Pedidos,DY299+DA299-1,DK299),"")=0,"",IF(DZ299&gt;DA299-1,INDEX(Lista_Pedidos,DY299+DA299-1,DK299),"")),"")</f>
        <v/>
      </c>
      <c r="DL305" s="526" t="str">
        <f>IFERROR(IF(IF(DZ299&gt;DA299-1,INDEX(Lista_Pedidos,DY299+DA299-1,DL299),"")=0,"",IF(DZ299&gt;DA299-1,INDEX(Lista_Pedidos,DY299+DA299-1,DL299),"")),"")</f>
        <v/>
      </c>
      <c r="DM305" s="526" t="str">
        <f>IFERROR(IF(IF(DZ299&gt;DA299-1,INDEX(Lista_Pedidos,DY299+DA299-1,DM299),"")=0,"",IF(DZ299&gt;DA299-1,INDEX(Lista_Pedidos,DY299+DA299-1,DM299),"")),"")</f>
        <v/>
      </c>
      <c r="DN305" s="526" t="str">
        <f>IFERROR(IF(IF(DZ299&gt;DA299-1,INDEX(Lista_Pedidos,DY299+DA299-1,DN299),"")=0,"",IF(DZ299&gt;DA299-1,INDEX(Lista_Pedidos,DY299+DA299-1,DN299),"")),"")</f>
        <v/>
      </c>
      <c r="DO305" s="526" t="str">
        <f>IFERROR(IF(IF(DZ299&gt;DA299-1,INDEX(Lista_Pedidos,DY299+DA299-1,DO299),"")=0,"",IF(DZ299&gt;DA299-1,INDEX(Lista_Pedidos,DY299+DA299-1,DO299),"")),"")</f>
        <v/>
      </c>
      <c r="DP305" s="526" t="str">
        <f>IFERROR(IF(IF(DZ299&gt;DA299-1,INDEX(Lista_Pedidos,DY299+DA299-1,DP299),"")=0,"",IF(DZ299&gt;DA299-1,INDEX(Lista_Pedidos,DY299+DA299-1,DP299),"")),"")</f>
        <v/>
      </c>
      <c r="DQ305" s="526" t="str">
        <f>IFERROR(IF(IF(DZ299&gt;DA299-1,INDEX(Lista_Pedidos,DY299+DA299-1,DQ299),"")=0,"",IF(DZ299&gt;DA299-1,INDEX(Lista_Pedidos,DY299+DA299-1,DQ299),"")),"")</f>
        <v/>
      </c>
      <c r="DR305" s="526" t="str">
        <f>IFERROR(IF(IF(DZ299&gt;DA299-1,INDEX(Lista_Pedidos,DY299+DA299-1,DR299),"")=0,"",IF(DZ299&gt;DA299-1,INDEX(Lista_Pedidos,DY299+DA299-1,DR299),"")),"")</f>
        <v/>
      </c>
      <c r="DS305" s="526" t="str">
        <f>IFERROR(IF(IF(DZ299&gt;DA299-1,INDEX(Lista_Pedidos,DY299+DA299-1,DS299),"")=0,"",IF(DZ299&gt;DA299-1,INDEX(Lista_Pedidos,DY299+DA299-1,DS299),"")),"")</f>
        <v/>
      </c>
      <c r="DT305" s="526" t="str">
        <f>IFERROR(IF(IF(DZ299&gt;DA299-1,INDEX(Lista_Pedidos,DY299+DA299-1,DT299),"")=0,"",IF(DZ299&gt;DA299-1,INDEX(Lista_Pedidos,DY299+DA299-1,DT299),"")),"")</f>
        <v/>
      </c>
      <c r="DU305" s="526" t="str">
        <f>IFERROR(IF(IF(DZ299&gt;DA299-1,INDEX(Lista_Pedidos,DY299+DA299-1,DU299),"")=0,"",IF(DZ299&gt;DA299-1,INDEX(Lista_Pedidos,DY299+DA299-1,DU299),"")),"")</f>
        <v/>
      </c>
      <c r="DV305" s="526" t="str">
        <f>IFERROR(IF(IF(DZ299&gt;DA299-1,INDEX(Lista_Pedidos,DY299+DA299-1,DV299),"")=0,"",IF(DZ299&gt;DA299-1,INDEX(Lista_Pedidos,DY299+DA299-1,DV299),"")),"")</f>
        <v/>
      </c>
      <c r="DW305" s="857" t="str">
        <f>IF(SUM(DJ305:DV305)&gt;1,SUM(DJ305:DV305),"")</f>
        <v/>
      </c>
      <c r="DX305" s="855"/>
      <c r="DY305" s="855"/>
      <c r="DZ305" s="860"/>
      <c r="EA305" s="854" t="str">
        <f>IFERROR(INDEX(Lista_Pedidos,Procesos!EY299+EA299-1,3),"")</f>
        <v/>
      </c>
      <c r="EB305" s="855"/>
      <c r="EC305" s="855"/>
      <c r="ED305" s="855"/>
      <c r="EE305" s="856"/>
      <c r="EF305" s="857" t="str">
        <f>IF(EZ299&gt;EA299-1,EE$11,"")</f>
        <v/>
      </c>
      <c r="EG305" s="855"/>
      <c r="EH305" s="855"/>
      <c r="EI305" s="856"/>
      <c r="EJ305" s="526" t="str">
        <f>IFERROR(IF(IF(EZ299&gt;EA299-1,INDEX(Lista_Pedidos,EY299+EA299-1,EJ299),"")=0,"",IF(EZ299&gt;EA299-1,INDEX(Lista_Pedidos,EY299+EA299-1,EJ299),"")),"")</f>
        <v/>
      </c>
      <c r="EK305" s="526" t="str">
        <f>IFERROR(IF(IF(EZ299&gt;EA299-1,INDEX(Lista_Pedidos,EY299+EA299-1,EK299),"")=0,"",IF(EZ299&gt;EA299-1,INDEX(Lista_Pedidos,EY299+EA299-1,EK299),"")),"")</f>
        <v/>
      </c>
      <c r="EL305" s="526" t="str">
        <f>IFERROR(IF(IF(EZ299&gt;EA299-1,INDEX(Lista_Pedidos,EY299+EA299-1,EL299),"")=0,"",IF(EZ299&gt;EA299-1,INDEX(Lista_Pedidos,EY299+EA299-1,EL299),"")),"")</f>
        <v/>
      </c>
      <c r="EM305" s="526" t="str">
        <f>IFERROR(IF(IF(EZ299&gt;EA299-1,INDEX(Lista_Pedidos,EY299+EA299-1,EM299),"")=0,"",IF(EZ299&gt;EA299-1,INDEX(Lista_Pedidos,EY299+EA299-1,EM299),"")),"")</f>
        <v/>
      </c>
      <c r="EN305" s="526" t="str">
        <f>IFERROR(IF(IF(EZ299&gt;EA299-1,INDEX(Lista_Pedidos,EY299+EA299-1,EN299),"")=0,"",IF(EZ299&gt;EA299-1,INDEX(Lista_Pedidos,EY299+EA299-1,EN299),"")),"")</f>
        <v/>
      </c>
      <c r="EO305" s="526" t="str">
        <f>IFERROR(IF(IF(EZ299&gt;EA299-1,INDEX(Lista_Pedidos,EY299+EA299-1,EO299),"")=0,"",IF(EZ299&gt;EA299-1,INDEX(Lista_Pedidos,EY299+EA299-1,EO299),"")),"")</f>
        <v/>
      </c>
      <c r="EP305" s="526" t="str">
        <f>IFERROR(IF(IF(EZ299&gt;EA299-1,INDEX(Lista_Pedidos,EY299+EA299-1,EP299),"")=0,"",IF(EZ299&gt;EA299-1,INDEX(Lista_Pedidos,EY299+EA299-1,EP299),"")),"")</f>
        <v/>
      </c>
      <c r="EQ305" s="526" t="str">
        <f>IFERROR(IF(IF(EZ299&gt;EA299-1,INDEX(Lista_Pedidos,EY299+EA299-1,EQ299),"")=0,"",IF(EZ299&gt;EA299-1,INDEX(Lista_Pedidos,EY299+EA299-1,EQ299),"")),"")</f>
        <v/>
      </c>
      <c r="ER305" s="526" t="str">
        <f>IFERROR(IF(IF(EZ299&gt;EA299-1,INDEX(Lista_Pedidos,EY299+EA299-1,ER299),"")=0,"",IF(EZ299&gt;EA299-1,INDEX(Lista_Pedidos,EY299+EA299-1,ER299),"")),"")</f>
        <v/>
      </c>
      <c r="ES305" s="526" t="str">
        <f>IFERROR(IF(IF(EZ299&gt;EA299-1,INDEX(Lista_Pedidos,EY299+EA299-1,ES299),"")=0,"",IF(EZ299&gt;EA299-1,INDEX(Lista_Pedidos,EY299+EA299-1,ES299),"")),"")</f>
        <v/>
      </c>
      <c r="ET305" s="526" t="str">
        <f>IFERROR(IF(IF(EZ299&gt;EA299-1,INDEX(Lista_Pedidos,EY299+EA299-1,ET299),"")=0,"",IF(EZ299&gt;EA299-1,INDEX(Lista_Pedidos,EY299+EA299-1,ET299),"")),"")</f>
        <v/>
      </c>
      <c r="EU305" s="526" t="str">
        <f>IFERROR(IF(IF(EZ299&gt;EA299-1,INDEX(Lista_Pedidos,EY299+EA299-1,EU299),"")=0,"",IF(EZ299&gt;EA299-1,INDEX(Lista_Pedidos,EY299+EA299-1,EU299),"")),"")</f>
        <v/>
      </c>
      <c r="EV305" s="526" t="str">
        <f>IFERROR(IF(IF(EZ299&gt;EA299-1,INDEX(Lista_Pedidos,EY299+EA299-1,EV299),"")=0,"",IF(EZ299&gt;EA299-1,INDEX(Lista_Pedidos,EY299+EA299-1,EV299),"")),"")</f>
        <v/>
      </c>
      <c r="EW305" s="857" t="str">
        <f>IF(SUM(EJ305:EV305)&gt;1,SUM(EJ305:EV305),"")</f>
        <v/>
      </c>
      <c r="EX305" s="855"/>
      <c r="EY305" s="855"/>
      <c r="EZ305" s="860"/>
      <c r="FA305" s="854" t="str">
        <f>IFERROR(INDEX(Lista_Pedidos,Procesos!FY299+FA299-1,3),"")</f>
        <v/>
      </c>
      <c r="FB305" s="855"/>
      <c r="FC305" s="855"/>
      <c r="FD305" s="855"/>
      <c r="FE305" s="856"/>
      <c r="FF305" s="857" t="str">
        <f>IF(FZ299&gt;FA299-1,FE$11,"")</f>
        <v/>
      </c>
      <c r="FG305" s="855"/>
      <c r="FH305" s="855"/>
      <c r="FI305" s="856"/>
      <c r="FJ305" s="526" t="str">
        <f>IFERROR(IF(IF(FZ299&gt;FA299-1,INDEX(Lista_Pedidos,FY299+FA299-1,FJ299),"")=0,"",IF(FZ299&gt;FA299-1,INDEX(Lista_Pedidos,FY299+FA299-1,FJ299),"")),"")</f>
        <v/>
      </c>
      <c r="FK305" s="526" t="str">
        <f>IFERROR(IF(IF(FZ299&gt;FA299-1,INDEX(Lista_Pedidos,FY299+FA299-1,FK299),"")=0,"",IF(FZ299&gt;FA299-1,INDEX(Lista_Pedidos,FY299+FA299-1,FK299),"")),"")</f>
        <v/>
      </c>
      <c r="FL305" s="526" t="str">
        <f>IFERROR(IF(IF(FZ299&gt;FA299-1,INDEX(Lista_Pedidos,FY299+FA299-1,FL299),"")=0,"",IF(FZ299&gt;FA299-1,INDEX(Lista_Pedidos,FY299+FA299-1,FL299),"")),"")</f>
        <v/>
      </c>
      <c r="FM305" s="526" t="str">
        <f>IFERROR(IF(IF(FZ299&gt;FA299-1,INDEX(Lista_Pedidos,FY299+FA299-1,FM299),"")=0,"",IF(FZ299&gt;FA299-1,INDEX(Lista_Pedidos,FY299+FA299-1,FM299),"")),"")</f>
        <v/>
      </c>
      <c r="FN305" s="526" t="str">
        <f>IFERROR(IF(IF(FZ299&gt;FA299-1,INDEX(Lista_Pedidos,FY299+FA299-1,FN299),"")=0,"",IF(FZ299&gt;FA299-1,INDEX(Lista_Pedidos,FY299+FA299-1,FN299),"")),"")</f>
        <v/>
      </c>
      <c r="FO305" s="526" t="str">
        <f>IFERROR(IF(IF(FZ299&gt;FA299-1,INDEX(Lista_Pedidos,FY299+FA299-1,FO299),"")=0,"",IF(FZ299&gt;FA299-1,INDEX(Lista_Pedidos,FY299+FA299-1,FO299),"")),"")</f>
        <v/>
      </c>
      <c r="FP305" s="526" t="str">
        <f>IFERROR(IF(IF(FZ299&gt;FA299-1,INDEX(Lista_Pedidos,FY299+FA299-1,FP299),"")=0,"",IF(FZ299&gt;FA299-1,INDEX(Lista_Pedidos,FY299+FA299-1,FP299),"")),"")</f>
        <v/>
      </c>
      <c r="FQ305" s="526" t="str">
        <f>IFERROR(IF(IF(FZ299&gt;FA299-1,INDEX(Lista_Pedidos,FY299+FA299-1,FQ299),"")=0,"",IF(FZ299&gt;FA299-1,INDEX(Lista_Pedidos,FY299+FA299-1,FQ299),"")),"")</f>
        <v/>
      </c>
      <c r="FR305" s="526" t="str">
        <f>IFERROR(IF(IF(FZ299&gt;FA299-1,INDEX(Lista_Pedidos,FY299+FA299-1,FR299),"")=0,"",IF(FZ299&gt;FA299-1,INDEX(Lista_Pedidos,FY299+FA299-1,FR299),"")),"")</f>
        <v/>
      </c>
      <c r="FS305" s="526" t="str">
        <f>IFERROR(IF(IF(FZ299&gt;FA299-1,INDEX(Lista_Pedidos,FY299+FA299-1,FS299),"")=0,"",IF(FZ299&gt;FA299-1,INDEX(Lista_Pedidos,FY299+FA299-1,FS299),"")),"")</f>
        <v/>
      </c>
      <c r="FT305" s="526" t="str">
        <f>IFERROR(IF(IF(FZ299&gt;FA299-1,INDEX(Lista_Pedidos,FY299+FA299-1,FT299),"")=0,"",IF(FZ299&gt;FA299-1,INDEX(Lista_Pedidos,FY299+FA299-1,FT299),"")),"")</f>
        <v/>
      </c>
      <c r="FU305" s="526" t="str">
        <f>IFERROR(IF(IF(FZ299&gt;FA299-1,INDEX(Lista_Pedidos,FY299+FA299-1,FU299),"")=0,"",IF(FZ299&gt;FA299-1,INDEX(Lista_Pedidos,FY299+FA299-1,FU299),"")),"")</f>
        <v/>
      </c>
      <c r="FV305" s="526" t="str">
        <f>IFERROR(IF(IF(FZ299&gt;FA299-1,INDEX(Lista_Pedidos,FY299+FA299-1,FV299),"")=0,"",IF(FZ299&gt;FA299-1,INDEX(Lista_Pedidos,FY299+FA299-1,FV299),"")),"")</f>
        <v/>
      </c>
      <c r="FW305" s="857" t="str">
        <f>IF(SUM(FJ305:FV305)&gt;1,SUM(FJ305:FV305),"")</f>
        <v/>
      </c>
      <c r="FX305" s="855"/>
      <c r="FY305" s="855"/>
      <c r="FZ305" s="860"/>
      <c r="GA305" s="854" t="str">
        <f>IFERROR(INDEX(Lista_Pedidos,Procesos!GY299+GA299-1,3),"")</f>
        <v/>
      </c>
      <c r="GB305" s="855"/>
      <c r="GC305" s="855"/>
      <c r="GD305" s="855"/>
      <c r="GE305" s="856"/>
      <c r="GF305" s="857" t="str">
        <f>IF(GZ299&gt;GA299-1,GE$11,"")</f>
        <v/>
      </c>
      <c r="GG305" s="855"/>
      <c r="GH305" s="855"/>
      <c r="GI305" s="856"/>
      <c r="GJ305" s="526" t="str">
        <f>IFERROR(IF(IF(GZ299&gt;GA299-1,INDEX(Lista_Pedidos,GY299+GA299-1,GJ299),"")=0,"",IF(GZ299&gt;GA299-1,INDEX(Lista_Pedidos,GY299+GA299-1,GJ299),"")),"")</f>
        <v/>
      </c>
      <c r="GK305" s="526" t="str">
        <f>IFERROR(IF(IF(GZ299&gt;GA299-1,INDEX(Lista_Pedidos,GY299+GA299-1,GK299),"")=0,"",IF(GZ299&gt;GA299-1,INDEX(Lista_Pedidos,GY299+GA299-1,GK299),"")),"")</f>
        <v/>
      </c>
      <c r="GL305" s="526" t="str">
        <f>IFERROR(IF(IF(GZ299&gt;GA299-1,INDEX(Lista_Pedidos,GY299+GA299-1,GL299),"")=0,"",IF(GZ299&gt;GA299-1,INDEX(Lista_Pedidos,GY299+GA299-1,GL299),"")),"")</f>
        <v/>
      </c>
      <c r="GM305" s="526" t="str">
        <f>IFERROR(IF(IF(GZ299&gt;GA299-1,INDEX(Lista_Pedidos,GY299+GA299-1,GM299),"")=0,"",IF(GZ299&gt;GA299-1,INDEX(Lista_Pedidos,GY299+GA299-1,GM299),"")),"")</f>
        <v/>
      </c>
      <c r="GN305" s="526" t="str">
        <f>IFERROR(IF(IF(GZ299&gt;GA299-1,INDEX(Lista_Pedidos,GY299+GA299-1,GN299),"")=0,"",IF(GZ299&gt;GA299-1,INDEX(Lista_Pedidos,GY299+GA299-1,GN299),"")),"")</f>
        <v/>
      </c>
      <c r="GO305" s="526" t="str">
        <f>IFERROR(IF(IF(GZ299&gt;GA299-1,INDEX(Lista_Pedidos,GY299+GA299-1,GO299),"")=0,"",IF(GZ299&gt;GA299-1,INDEX(Lista_Pedidos,GY299+GA299-1,GO299),"")),"")</f>
        <v/>
      </c>
      <c r="GP305" s="526" t="str">
        <f>IFERROR(IF(IF(GZ299&gt;GA299-1,INDEX(Lista_Pedidos,GY299+GA299-1,GP299),"")=0,"",IF(GZ299&gt;GA299-1,INDEX(Lista_Pedidos,GY299+GA299-1,GP299),"")),"")</f>
        <v/>
      </c>
      <c r="GQ305" s="526" t="str">
        <f>IFERROR(IF(IF(GZ299&gt;GA299-1,INDEX(Lista_Pedidos,GY299+GA299-1,GQ299),"")=0,"",IF(GZ299&gt;GA299-1,INDEX(Lista_Pedidos,GY299+GA299-1,GQ299),"")),"")</f>
        <v/>
      </c>
      <c r="GR305" s="526" t="str">
        <f>IFERROR(IF(IF(GZ299&gt;GA299-1,INDEX(Lista_Pedidos,GY299+GA299-1,GR299),"")=0,"",IF(GZ299&gt;GA299-1,INDEX(Lista_Pedidos,GY299+GA299-1,GR299),"")),"")</f>
        <v/>
      </c>
      <c r="GS305" s="526" t="str">
        <f>IFERROR(IF(IF(GZ299&gt;GA299-1,INDEX(Lista_Pedidos,GY299+GA299-1,GS299),"")=0,"",IF(GZ299&gt;GA299-1,INDEX(Lista_Pedidos,GY299+GA299-1,GS299),"")),"")</f>
        <v/>
      </c>
      <c r="GT305" s="526" t="str">
        <f>IFERROR(IF(IF(GZ299&gt;GA299-1,INDEX(Lista_Pedidos,GY299+GA299-1,GT299),"")=0,"",IF(GZ299&gt;GA299-1,INDEX(Lista_Pedidos,GY299+GA299-1,GT299),"")),"")</f>
        <v/>
      </c>
      <c r="GU305" s="526" t="str">
        <f>IFERROR(IF(IF(GZ299&gt;GA299-1,INDEX(Lista_Pedidos,GY299+GA299-1,GU299),"")=0,"",IF(GZ299&gt;GA299-1,INDEX(Lista_Pedidos,GY299+GA299-1,GU299),"")),"")</f>
        <v/>
      </c>
      <c r="GV305" s="526" t="str">
        <f>IFERROR(IF(IF(GZ299&gt;GA299-1,INDEX(Lista_Pedidos,GY299+GA299-1,GV299),"")=0,"",IF(GZ299&gt;GA299-1,INDEX(Lista_Pedidos,GY299+GA299-1,GV299),"")),"")</f>
        <v/>
      </c>
      <c r="GW305" s="857" t="str">
        <f>IF(SUM(GJ305:GV305)&gt;1,SUM(GJ305:GV305),"")</f>
        <v/>
      </c>
      <c r="GX305" s="855"/>
      <c r="GY305" s="855"/>
      <c r="GZ305" s="860"/>
      <c r="HA305" s="854" t="str">
        <f>IFERROR(INDEX(Lista_Pedidos,Procesos!HY299+HA299-1,3),"")</f>
        <v/>
      </c>
      <c r="HB305" s="855"/>
      <c r="HC305" s="855"/>
      <c r="HD305" s="855"/>
      <c r="HE305" s="856"/>
      <c r="HF305" s="857" t="str">
        <f>IF(HZ299&gt;HA299-1,HE$11,"")</f>
        <v/>
      </c>
      <c r="HG305" s="855"/>
      <c r="HH305" s="855"/>
      <c r="HI305" s="856"/>
      <c r="HJ305" s="526" t="str">
        <f>IFERROR(IF(IF(HZ299&gt;HA299-1,INDEX(Lista_Pedidos,HY299+HA299-1,HJ299),"")=0,"",IF(HZ299&gt;HA299-1,INDEX(Lista_Pedidos,HY299+HA299-1,HJ299),"")),"")</f>
        <v/>
      </c>
      <c r="HK305" s="526" t="str">
        <f>IFERROR(IF(IF(HZ299&gt;HA299-1,INDEX(Lista_Pedidos,HY299+HA299-1,HK299),"")=0,"",IF(HZ299&gt;HA299-1,INDEX(Lista_Pedidos,HY299+HA299-1,HK299),"")),"")</f>
        <v/>
      </c>
      <c r="HL305" s="526" t="str">
        <f>IFERROR(IF(IF(HZ299&gt;HA299-1,INDEX(Lista_Pedidos,HY299+HA299-1,HL299),"")=0,"",IF(HZ299&gt;HA299-1,INDEX(Lista_Pedidos,HY299+HA299-1,HL299),"")),"")</f>
        <v/>
      </c>
      <c r="HM305" s="526" t="str">
        <f>IFERROR(IF(IF(HZ299&gt;HA299-1,INDEX(Lista_Pedidos,HY299+HA299-1,HM299),"")=0,"",IF(HZ299&gt;HA299-1,INDEX(Lista_Pedidos,HY299+HA299-1,HM299),"")),"")</f>
        <v/>
      </c>
      <c r="HN305" s="526" t="str">
        <f>IFERROR(IF(IF(HZ299&gt;HA299-1,INDEX(Lista_Pedidos,HY299+HA299-1,HN299),"")=0,"",IF(HZ299&gt;HA299-1,INDEX(Lista_Pedidos,HY299+HA299-1,HN299),"")),"")</f>
        <v/>
      </c>
      <c r="HO305" s="526" t="str">
        <f>IFERROR(IF(IF(HZ299&gt;HA299-1,INDEX(Lista_Pedidos,HY299+HA299-1,HO299),"")=0,"",IF(HZ299&gt;HA299-1,INDEX(Lista_Pedidos,HY299+HA299-1,HO299),"")),"")</f>
        <v/>
      </c>
      <c r="HP305" s="526" t="str">
        <f>IFERROR(IF(IF(HZ299&gt;HA299-1,INDEX(Lista_Pedidos,HY299+HA299-1,HP299),"")=0,"",IF(HZ299&gt;HA299-1,INDEX(Lista_Pedidos,HY299+HA299-1,HP299),"")),"")</f>
        <v/>
      </c>
      <c r="HQ305" s="526" t="str">
        <f>IFERROR(IF(IF(HZ299&gt;HA299-1,INDEX(Lista_Pedidos,HY299+HA299-1,HQ299),"")=0,"",IF(HZ299&gt;HA299-1,INDEX(Lista_Pedidos,HY299+HA299-1,HQ299),"")),"")</f>
        <v/>
      </c>
      <c r="HR305" s="526" t="str">
        <f>IFERROR(IF(IF(HZ299&gt;HA299-1,INDEX(Lista_Pedidos,HY299+HA299-1,HR299),"")=0,"",IF(HZ299&gt;HA299-1,INDEX(Lista_Pedidos,HY299+HA299-1,HR299),"")),"")</f>
        <v/>
      </c>
      <c r="HS305" s="526" t="str">
        <f>IFERROR(IF(IF(HZ299&gt;HA299-1,INDEX(Lista_Pedidos,HY299+HA299-1,HS299),"")=0,"",IF(HZ299&gt;HA299-1,INDEX(Lista_Pedidos,HY299+HA299-1,HS299),"")),"")</f>
        <v/>
      </c>
      <c r="HT305" s="526" t="str">
        <f>IFERROR(IF(IF(HZ299&gt;HA299-1,INDEX(Lista_Pedidos,HY299+HA299-1,HT299),"")=0,"",IF(HZ299&gt;HA299-1,INDEX(Lista_Pedidos,HY299+HA299-1,HT299),"")),"")</f>
        <v/>
      </c>
      <c r="HU305" s="526" t="str">
        <f>IFERROR(IF(IF(HZ299&gt;HA299-1,INDEX(Lista_Pedidos,HY299+HA299-1,HU299),"")=0,"",IF(HZ299&gt;HA299-1,INDEX(Lista_Pedidos,HY299+HA299-1,HU299),"")),"")</f>
        <v/>
      </c>
      <c r="HV305" s="526" t="str">
        <f>IFERROR(IF(IF(HZ299&gt;HA299-1,INDEX(Lista_Pedidos,HY299+HA299-1,HV299),"")=0,"",IF(HZ299&gt;HA299-1,INDEX(Lista_Pedidos,HY299+HA299-1,HV299),"")),"")</f>
        <v/>
      </c>
      <c r="HW305" s="857" t="str">
        <f>IF(SUM(HJ305:HV305)&gt;1,SUM(HJ305:HV305),"")</f>
        <v/>
      </c>
      <c r="HX305" s="855"/>
      <c r="HY305" s="855"/>
      <c r="HZ305" s="860"/>
      <c r="IA305" s="854" t="str">
        <f>IFERROR(INDEX(Lista_Pedidos,Procesos!IY299+IA299-1,3),"")</f>
        <v/>
      </c>
      <c r="IB305" s="855"/>
      <c r="IC305" s="855"/>
      <c r="ID305" s="855"/>
      <c r="IE305" s="856"/>
      <c r="IF305" s="857" t="str">
        <f>IF(IZ299&gt;IA299-1,IE$11,"")</f>
        <v/>
      </c>
      <c r="IG305" s="855"/>
      <c r="IH305" s="855"/>
      <c r="II305" s="856"/>
      <c r="IJ305" s="526" t="str">
        <f>IFERROR(IF(IF(IZ299&gt;IA299-1,INDEX(Lista_Pedidos,IY299+IA299-1,IJ299),"")=0,"",IF(IZ299&gt;IA299-1,INDEX(Lista_Pedidos,IY299+IA299-1,IJ299),"")),"")</f>
        <v/>
      </c>
      <c r="IK305" s="526" t="str">
        <f>IFERROR(IF(IF(IZ299&gt;IA299-1,INDEX(Lista_Pedidos,IY299+IA299-1,IK299),"")=0,"",IF(IZ299&gt;IA299-1,INDEX(Lista_Pedidos,IY299+IA299-1,IK299),"")),"")</f>
        <v/>
      </c>
      <c r="IL305" s="526" t="str">
        <f>IFERROR(IF(IF(IZ299&gt;IA299-1,INDEX(Lista_Pedidos,IY299+IA299-1,IL299),"")=0,"",IF(IZ299&gt;IA299-1,INDEX(Lista_Pedidos,IY299+IA299-1,IL299),"")),"")</f>
        <v/>
      </c>
      <c r="IM305" s="526" t="str">
        <f>IFERROR(IF(IF(IZ299&gt;IA299-1,INDEX(Lista_Pedidos,IY299+IA299-1,IM299),"")=0,"",IF(IZ299&gt;IA299-1,INDEX(Lista_Pedidos,IY299+IA299-1,IM299),"")),"")</f>
        <v/>
      </c>
      <c r="IN305" s="526" t="str">
        <f>IFERROR(IF(IF(IZ299&gt;IA299-1,INDEX(Lista_Pedidos,IY299+IA299-1,IN299),"")=0,"",IF(IZ299&gt;IA299-1,INDEX(Lista_Pedidos,IY299+IA299-1,IN299),"")),"")</f>
        <v/>
      </c>
      <c r="IO305" s="526" t="str">
        <f>IFERROR(IF(IF(IZ299&gt;IA299-1,INDEX(Lista_Pedidos,IY299+IA299-1,IO299),"")=0,"",IF(IZ299&gt;IA299-1,INDEX(Lista_Pedidos,IY299+IA299-1,IO299),"")),"")</f>
        <v/>
      </c>
      <c r="IP305" s="526" t="str">
        <f>IFERROR(IF(IF(IZ299&gt;IA299-1,INDEX(Lista_Pedidos,IY299+IA299-1,IP299),"")=0,"",IF(IZ299&gt;IA299-1,INDEX(Lista_Pedidos,IY299+IA299-1,IP299),"")),"")</f>
        <v/>
      </c>
      <c r="IQ305" s="526" t="str">
        <f>IFERROR(IF(IF(IZ299&gt;IA299-1,INDEX(Lista_Pedidos,IY299+IA299-1,IQ299),"")=0,"",IF(IZ299&gt;IA299-1,INDEX(Lista_Pedidos,IY299+IA299-1,IQ299),"")),"")</f>
        <v/>
      </c>
      <c r="IR305" s="526" t="str">
        <f>IFERROR(IF(IF(IZ299&gt;IA299-1,INDEX(Lista_Pedidos,IY299+IA299-1,IR299),"")=0,"",IF(IZ299&gt;IA299-1,INDEX(Lista_Pedidos,IY299+IA299-1,IR299),"")),"")</f>
        <v/>
      </c>
      <c r="IS305" s="526" t="str">
        <f>IFERROR(IF(IF(IZ299&gt;IA299-1,INDEX(Lista_Pedidos,IY299+IA299-1,IS299),"")=0,"",IF(IZ299&gt;IA299-1,INDEX(Lista_Pedidos,IY299+IA299-1,IS299),"")),"")</f>
        <v/>
      </c>
      <c r="IT305" s="526" t="str">
        <f>IFERROR(IF(IF(IZ299&gt;IA299-1,INDEX(Lista_Pedidos,IY299+IA299-1,IT299),"")=0,"",IF(IZ299&gt;IA299-1,INDEX(Lista_Pedidos,IY299+IA299-1,IT299),"")),"")</f>
        <v/>
      </c>
      <c r="IU305" s="526" t="str">
        <f>IFERROR(IF(IF(IZ299&gt;IA299-1,INDEX(Lista_Pedidos,IY299+IA299-1,IU299),"")=0,"",IF(IZ299&gt;IA299-1,INDEX(Lista_Pedidos,IY299+IA299-1,IU299),"")),"")</f>
        <v/>
      </c>
      <c r="IV305" s="526" t="str">
        <f>IFERROR(IF(IF(IZ299&gt;IA299-1,INDEX(Lista_Pedidos,IY299+IA299-1,IV299),"")=0,"",IF(IZ299&gt;IA299-1,INDEX(Lista_Pedidos,IY299+IA299-1,IV299),"")),"")</f>
        <v/>
      </c>
      <c r="IW305" s="857" t="str">
        <f>IF(SUM(IJ305:IV305)&gt;1,SUM(IJ305:IV305),"")</f>
        <v/>
      </c>
      <c r="IX305" s="855"/>
      <c r="IY305" s="855"/>
      <c r="IZ305" s="860"/>
    </row>
    <row r="306" spans="1:260" x14ac:dyDescent="0.25">
      <c r="A306" s="823"/>
      <c r="B306" s="824"/>
      <c r="C306" s="824"/>
      <c r="D306" s="824"/>
      <c r="E306" s="824"/>
      <c r="F306" s="824"/>
      <c r="G306" s="824"/>
      <c r="H306" s="824"/>
      <c r="I306" s="824"/>
      <c r="J306" s="824"/>
      <c r="K306" s="824"/>
      <c r="L306" s="824"/>
      <c r="M306" s="824"/>
      <c r="N306" s="824"/>
      <c r="O306" s="824"/>
      <c r="P306" s="824"/>
      <c r="Q306" s="824"/>
      <c r="R306" s="824"/>
      <c r="S306" s="824"/>
      <c r="T306" s="824"/>
      <c r="U306" s="824"/>
      <c r="V306" s="824"/>
      <c r="W306" s="824" t="str">
        <f>IFERROR(IF(Z299&gt;A299-1,IF(INDEX(Lista_Pedidos,Y299+A299-1,2)&lt;&gt;"",INDEX(Lista_Pedidos,Y299+A299-1,2),""),""),"")</f>
        <v/>
      </c>
      <c r="X306" s="824"/>
      <c r="Y306" s="824"/>
      <c r="Z306" s="825"/>
      <c r="AA306" s="823"/>
      <c r="AB306" s="824"/>
      <c r="AC306" s="824"/>
      <c r="AD306" s="824"/>
      <c r="AE306" s="824"/>
      <c r="AF306" s="824"/>
      <c r="AG306" s="824"/>
      <c r="AH306" s="824"/>
      <c r="AI306" s="824"/>
      <c r="AJ306" s="824"/>
      <c r="AK306" s="824"/>
      <c r="AL306" s="824"/>
      <c r="AM306" s="824"/>
      <c r="AN306" s="824"/>
      <c r="AO306" s="824"/>
      <c r="AP306" s="824"/>
      <c r="AQ306" s="824"/>
      <c r="AR306" s="824"/>
      <c r="AS306" s="824"/>
      <c r="AT306" s="824"/>
      <c r="AU306" s="824"/>
      <c r="AV306" s="824"/>
      <c r="AW306" s="824" t="str">
        <f>IFERROR(IF(AZ299&gt;AA299-1,IF(INDEX(Lista_Pedidos,AY299+AA299-1,2)&lt;&gt;"",INDEX(Lista_Pedidos,AY299+AA299-1,2),""),""),"")</f>
        <v/>
      </c>
      <c r="AX306" s="824"/>
      <c r="AY306" s="824"/>
      <c r="AZ306" s="825"/>
      <c r="BA306" s="823"/>
      <c r="BB306" s="824"/>
      <c r="BC306" s="824"/>
      <c r="BD306" s="824"/>
      <c r="BE306" s="824"/>
      <c r="BF306" s="824"/>
      <c r="BG306" s="824"/>
      <c r="BH306" s="824"/>
      <c r="BI306" s="824"/>
      <c r="BJ306" s="824"/>
      <c r="BK306" s="824"/>
      <c r="BL306" s="824"/>
      <c r="BM306" s="824"/>
      <c r="BN306" s="824"/>
      <c r="BO306" s="824"/>
      <c r="BP306" s="824"/>
      <c r="BQ306" s="824"/>
      <c r="BR306" s="824"/>
      <c r="BS306" s="824"/>
      <c r="BT306" s="824"/>
      <c r="BU306" s="824"/>
      <c r="BV306" s="824"/>
      <c r="BW306" s="824" t="str">
        <f>IFERROR(IF(BZ299&gt;BA299-1,IF(INDEX(Lista_Pedidos,BY299+BA299-1,2)&lt;&gt;"",INDEX(Lista_Pedidos,BY299+BA299-1,2),""),""),"")</f>
        <v/>
      </c>
      <c r="BX306" s="824"/>
      <c r="BY306" s="824"/>
      <c r="BZ306" s="825"/>
      <c r="CA306" s="823"/>
      <c r="CB306" s="824"/>
      <c r="CC306" s="824"/>
      <c r="CD306" s="824"/>
      <c r="CE306" s="824"/>
      <c r="CF306" s="824"/>
      <c r="CG306" s="824"/>
      <c r="CH306" s="824"/>
      <c r="CI306" s="824"/>
      <c r="CJ306" s="824"/>
      <c r="CK306" s="824"/>
      <c r="CL306" s="824"/>
      <c r="CM306" s="824"/>
      <c r="CN306" s="824"/>
      <c r="CO306" s="824"/>
      <c r="CP306" s="824"/>
      <c r="CQ306" s="824"/>
      <c r="CR306" s="824"/>
      <c r="CS306" s="824"/>
      <c r="CT306" s="824"/>
      <c r="CU306" s="824"/>
      <c r="CV306" s="824"/>
      <c r="CW306" s="824" t="str">
        <f>IFERROR(IF(CZ299&gt;CA299-1,IF(INDEX(Lista_Pedidos,CY299+CA299-1,2)&lt;&gt;"",INDEX(Lista_Pedidos,CY299+CA299-1,2),""),""),"")</f>
        <v/>
      </c>
      <c r="CX306" s="824"/>
      <c r="CY306" s="824"/>
      <c r="CZ306" s="825"/>
      <c r="DA306" s="823"/>
      <c r="DB306" s="824"/>
      <c r="DC306" s="824"/>
      <c r="DD306" s="824"/>
      <c r="DE306" s="824"/>
      <c r="DF306" s="824"/>
      <c r="DG306" s="824"/>
      <c r="DH306" s="824"/>
      <c r="DI306" s="824"/>
      <c r="DJ306" s="824"/>
      <c r="DK306" s="824"/>
      <c r="DL306" s="824"/>
      <c r="DM306" s="824"/>
      <c r="DN306" s="824"/>
      <c r="DO306" s="824"/>
      <c r="DP306" s="824"/>
      <c r="DQ306" s="824"/>
      <c r="DR306" s="824"/>
      <c r="DS306" s="824"/>
      <c r="DT306" s="824"/>
      <c r="DU306" s="824"/>
      <c r="DV306" s="824"/>
      <c r="DW306" s="824" t="str">
        <f>IFERROR(IF(DZ299&gt;DA299-1,IF(INDEX(Lista_Pedidos,DY299+DA299-1,2)&lt;&gt;"",INDEX(Lista_Pedidos,DY299+DA299-1,2),""),""),"")</f>
        <v/>
      </c>
      <c r="DX306" s="824"/>
      <c r="DY306" s="824"/>
      <c r="DZ306" s="825"/>
      <c r="EA306" s="823"/>
      <c r="EB306" s="824"/>
      <c r="EC306" s="824"/>
      <c r="ED306" s="824"/>
      <c r="EE306" s="824"/>
      <c r="EF306" s="824"/>
      <c r="EG306" s="824"/>
      <c r="EH306" s="824"/>
      <c r="EI306" s="824"/>
      <c r="EJ306" s="824"/>
      <c r="EK306" s="824"/>
      <c r="EL306" s="824"/>
      <c r="EM306" s="824"/>
      <c r="EN306" s="824"/>
      <c r="EO306" s="824"/>
      <c r="EP306" s="824"/>
      <c r="EQ306" s="824"/>
      <c r="ER306" s="824"/>
      <c r="ES306" s="824"/>
      <c r="ET306" s="824"/>
      <c r="EU306" s="824"/>
      <c r="EV306" s="824"/>
      <c r="EW306" s="824" t="str">
        <f>IFERROR(IF(EZ299&gt;EA299-1,IF(INDEX(Lista_Pedidos,EY299+EA299-1,2)&lt;&gt;"",INDEX(Lista_Pedidos,EY299+EA299-1,2),""),""),"")</f>
        <v/>
      </c>
      <c r="EX306" s="824"/>
      <c r="EY306" s="824"/>
      <c r="EZ306" s="825"/>
      <c r="FA306" s="823"/>
      <c r="FB306" s="824"/>
      <c r="FC306" s="824"/>
      <c r="FD306" s="824"/>
      <c r="FE306" s="824"/>
      <c r="FF306" s="824"/>
      <c r="FG306" s="824"/>
      <c r="FH306" s="824"/>
      <c r="FI306" s="824"/>
      <c r="FJ306" s="824"/>
      <c r="FK306" s="824"/>
      <c r="FL306" s="824"/>
      <c r="FM306" s="824"/>
      <c r="FN306" s="824"/>
      <c r="FO306" s="824"/>
      <c r="FP306" s="824"/>
      <c r="FQ306" s="824"/>
      <c r="FR306" s="824"/>
      <c r="FS306" s="824"/>
      <c r="FT306" s="824"/>
      <c r="FU306" s="824"/>
      <c r="FV306" s="824"/>
      <c r="FW306" s="824" t="str">
        <f>IFERROR(IF(FZ299&gt;FA299-1,IF(INDEX(Lista_Pedidos,FY299+FA299-1,2)&lt;&gt;"",INDEX(Lista_Pedidos,FY299+FA299-1,2),""),""),"")</f>
        <v/>
      </c>
      <c r="FX306" s="824"/>
      <c r="FY306" s="824"/>
      <c r="FZ306" s="825"/>
      <c r="GA306" s="823"/>
      <c r="GB306" s="824"/>
      <c r="GC306" s="824"/>
      <c r="GD306" s="824"/>
      <c r="GE306" s="824"/>
      <c r="GF306" s="824"/>
      <c r="GG306" s="824"/>
      <c r="GH306" s="824"/>
      <c r="GI306" s="824"/>
      <c r="GJ306" s="824"/>
      <c r="GK306" s="824"/>
      <c r="GL306" s="824"/>
      <c r="GM306" s="824"/>
      <c r="GN306" s="824"/>
      <c r="GO306" s="824"/>
      <c r="GP306" s="824"/>
      <c r="GQ306" s="824"/>
      <c r="GR306" s="824"/>
      <c r="GS306" s="824"/>
      <c r="GT306" s="824"/>
      <c r="GU306" s="824"/>
      <c r="GV306" s="824"/>
      <c r="GW306" s="824" t="str">
        <f>IFERROR(IF(GZ299&gt;GA299-1,IF(INDEX(Lista_Pedidos,GY299+GA299-1,2)&lt;&gt;"",INDEX(Lista_Pedidos,GY299+GA299-1,2),""),""),"")</f>
        <v/>
      </c>
      <c r="GX306" s="824"/>
      <c r="GY306" s="824"/>
      <c r="GZ306" s="825"/>
      <c r="HA306" s="823"/>
      <c r="HB306" s="824"/>
      <c r="HC306" s="824"/>
      <c r="HD306" s="824"/>
      <c r="HE306" s="824"/>
      <c r="HF306" s="824"/>
      <c r="HG306" s="824"/>
      <c r="HH306" s="824"/>
      <c r="HI306" s="824"/>
      <c r="HJ306" s="824"/>
      <c r="HK306" s="824"/>
      <c r="HL306" s="824"/>
      <c r="HM306" s="824"/>
      <c r="HN306" s="824"/>
      <c r="HO306" s="824"/>
      <c r="HP306" s="824"/>
      <c r="HQ306" s="824"/>
      <c r="HR306" s="824"/>
      <c r="HS306" s="824"/>
      <c r="HT306" s="824"/>
      <c r="HU306" s="824"/>
      <c r="HV306" s="824"/>
      <c r="HW306" s="824" t="str">
        <f>IFERROR(IF(HZ299&gt;HA299-1,IF(INDEX(Lista_Pedidos,HY299+HA299-1,2)&lt;&gt;"",INDEX(Lista_Pedidos,HY299+HA299-1,2),""),""),"")</f>
        <v/>
      </c>
      <c r="HX306" s="824"/>
      <c r="HY306" s="824"/>
      <c r="HZ306" s="825"/>
      <c r="IA306" s="823"/>
      <c r="IB306" s="824"/>
      <c r="IC306" s="824"/>
      <c r="ID306" s="824"/>
      <c r="IE306" s="824"/>
      <c r="IF306" s="824"/>
      <c r="IG306" s="824"/>
      <c r="IH306" s="824"/>
      <c r="II306" s="824"/>
      <c r="IJ306" s="824"/>
      <c r="IK306" s="824"/>
      <c r="IL306" s="824"/>
      <c r="IM306" s="824"/>
      <c r="IN306" s="824"/>
      <c r="IO306" s="824"/>
      <c r="IP306" s="824"/>
      <c r="IQ306" s="824"/>
      <c r="IR306" s="824"/>
      <c r="IS306" s="824"/>
      <c r="IT306" s="824"/>
      <c r="IU306" s="824"/>
      <c r="IV306" s="824"/>
      <c r="IW306" s="824" t="str">
        <f>IFERROR(IF(IZ299&gt;IA299-1,IF(INDEX(Lista_Pedidos,IY299+IA299-1,2)&lt;&gt;"",INDEX(Lista_Pedidos,IY299+IA299-1,2),""),""),"")</f>
        <v/>
      </c>
      <c r="IX306" s="824"/>
      <c r="IY306" s="824"/>
      <c r="IZ306" s="825"/>
    </row>
    <row r="307" spans="1:260" x14ac:dyDescent="0.25">
      <c r="A307" s="800" t="str">
        <f>IFERROR(IF(Z299&gt;A299-1,IF(INDEX(Lista_Pedidos,Y299+A299-1,6)&lt;&gt;"","Nombre de la Tela :     "&amp; INDEX(Lista_Pedidos,Y299+A299-1,6),""),""),"")</f>
        <v/>
      </c>
      <c r="B307" s="801"/>
      <c r="C307" s="801"/>
      <c r="D307" s="801"/>
      <c r="E307" s="801"/>
      <c r="F307" s="801"/>
      <c r="G307" s="801"/>
      <c r="H307" s="801"/>
      <c r="I307" s="801"/>
      <c r="J307" s="801"/>
      <c r="K307" s="801"/>
      <c r="L307" s="801"/>
      <c r="M307" s="801"/>
      <c r="N307" s="801"/>
      <c r="O307" s="801"/>
      <c r="P307" s="801"/>
      <c r="Q307" s="801"/>
      <c r="R307" s="801"/>
      <c r="S307" s="801"/>
      <c r="T307" s="801"/>
      <c r="U307" s="801"/>
      <c r="V307" s="801"/>
      <c r="W307" s="826"/>
      <c r="X307" s="826"/>
      <c r="Y307" s="826"/>
      <c r="Z307" s="827"/>
      <c r="AA307" s="800" t="str">
        <f>IFERROR(IF(AZ299&gt;AA299-1,IF(INDEX(Lista_Pedidos,AY299+AA299-1,6)&lt;&gt;"","Nombre de la Tela :     "&amp; INDEX(Lista_Pedidos,AY299+AA299-1,6),""),""),"")</f>
        <v/>
      </c>
      <c r="AB307" s="801"/>
      <c r="AC307" s="801"/>
      <c r="AD307" s="801"/>
      <c r="AE307" s="801"/>
      <c r="AF307" s="801"/>
      <c r="AG307" s="801"/>
      <c r="AH307" s="801"/>
      <c r="AI307" s="801"/>
      <c r="AJ307" s="801"/>
      <c r="AK307" s="801"/>
      <c r="AL307" s="801"/>
      <c r="AM307" s="801"/>
      <c r="AN307" s="801"/>
      <c r="AO307" s="801"/>
      <c r="AP307" s="801"/>
      <c r="AQ307" s="801"/>
      <c r="AR307" s="801"/>
      <c r="AS307" s="801"/>
      <c r="AT307" s="801"/>
      <c r="AU307" s="801"/>
      <c r="AV307" s="801"/>
      <c r="AW307" s="826"/>
      <c r="AX307" s="826"/>
      <c r="AY307" s="826"/>
      <c r="AZ307" s="827"/>
      <c r="BA307" s="800" t="str">
        <f>IFERROR(IF(BZ299&gt;BA299-1,IF(INDEX(Lista_Pedidos,BY299+BA299-1,6)&lt;&gt;"","Nombre de la Tela :     "&amp; INDEX(Lista_Pedidos,BY299+BA299-1,6),""),""),"")</f>
        <v/>
      </c>
      <c r="BB307" s="801"/>
      <c r="BC307" s="801"/>
      <c r="BD307" s="801"/>
      <c r="BE307" s="801"/>
      <c r="BF307" s="801"/>
      <c r="BG307" s="801"/>
      <c r="BH307" s="801"/>
      <c r="BI307" s="801"/>
      <c r="BJ307" s="801"/>
      <c r="BK307" s="801"/>
      <c r="BL307" s="801"/>
      <c r="BM307" s="801"/>
      <c r="BN307" s="801"/>
      <c r="BO307" s="801"/>
      <c r="BP307" s="801"/>
      <c r="BQ307" s="801"/>
      <c r="BR307" s="801"/>
      <c r="BS307" s="801"/>
      <c r="BT307" s="801"/>
      <c r="BU307" s="801"/>
      <c r="BV307" s="801"/>
      <c r="BW307" s="826"/>
      <c r="BX307" s="826"/>
      <c r="BY307" s="826"/>
      <c r="BZ307" s="827"/>
      <c r="CA307" s="800" t="str">
        <f>IFERROR(IF(CZ299&gt;CA299-1,IF(INDEX(Lista_Pedidos,CY299+CA299-1,6)&lt;&gt;"","Nombre de la Tela :     "&amp; INDEX(Lista_Pedidos,CY299+CA299-1,6),""),""),"")</f>
        <v/>
      </c>
      <c r="CB307" s="801"/>
      <c r="CC307" s="801"/>
      <c r="CD307" s="801"/>
      <c r="CE307" s="801"/>
      <c r="CF307" s="801"/>
      <c r="CG307" s="801"/>
      <c r="CH307" s="801"/>
      <c r="CI307" s="801"/>
      <c r="CJ307" s="801"/>
      <c r="CK307" s="801"/>
      <c r="CL307" s="801"/>
      <c r="CM307" s="801"/>
      <c r="CN307" s="801"/>
      <c r="CO307" s="801"/>
      <c r="CP307" s="801"/>
      <c r="CQ307" s="801"/>
      <c r="CR307" s="801"/>
      <c r="CS307" s="801"/>
      <c r="CT307" s="801"/>
      <c r="CU307" s="801"/>
      <c r="CV307" s="801"/>
      <c r="CW307" s="826"/>
      <c r="CX307" s="826"/>
      <c r="CY307" s="826"/>
      <c r="CZ307" s="827"/>
      <c r="DA307" s="800" t="str">
        <f>IFERROR(IF(DZ299&gt;DA299-1,IF(INDEX(Lista_Pedidos,DY299+DA299-1,6)&lt;&gt;"","Nombre de la Tela :     "&amp; INDEX(Lista_Pedidos,DY299+DA299-1,6),""),""),"")</f>
        <v/>
      </c>
      <c r="DB307" s="801"/>
      <c r="DC307" s="801"/>
      <c r="DD307" s="801"/>
      <c r="DE307" s="801"/>
      <c r="DF307" s="801"/>
      <c r="DG307" s="801"/>
      <c r="DH307" s="801"/>
      <c r="DI307" s="801"/>
      <c r="DJ307" s="801"/>
      <c r="DK307" s="801"/>
      <c r="DL307" s="801"/>
      <c r="DM307" s="801"/>
      <c r="DN307" s="801"/>
      <c r="DO307" s="801"/>
      <c r="DP307" s="801"/>
      <c r="DQ307" s="801"/>
      <c r="DR307" s="801"/>
      <c r="DS307" s="801"/>
      <c r="DT307" s="801"/>
      <c r="DU307" s="801"/>
      <c r="DV307" s="801"/>
      <c r="DW307" s="826"/>
      <c r="DX307" s="826"/>
      <c r="DY307" s="826"/>
      <c r="DZ307" s="827"/>
      <c r="EA307" s="800" t="str">
        <f>IFERROR(IF(EZ299&gt;EA299-1,IF(INDEX(Lista_Pedidos,EY299+EA299-1,6)&lt;&gt;"","Nombre de la Tela :     "&amp; INDEX(Lista_Pedidos,EY299+EA299-1,6),""),""),"")</f>
        <v/>
      </c>
      <c r="EB307" s="801"/>
      <c r="EC307" s="801"/>
      <c r="ED307" s="801"/>
      <c r="EE307" s="801"/>
      <c r="EF307" s="801"/>
      <c r="EG307" s="801"/>
      <c r="EH307" s="801"/>
      <c r="EI307" s="801"/>
      <c r="EJ307" s="801"/>
      <c r="EK307" s="801"/>
      <c r="EL307" s="801"/>
      <c r="EM307" s="801"/>
      <c r="EN307" s="801"/>
      <c r="EO307" s="801"/>
      <c r="EP307" s="801"/>
      <c r="EQ307" s="801"/>
      <c r="ER307" s="801"/>
      <c r="ES307" s="801"/>
      <c r="ET307" s="801"/>
      <c r="EU307" s="801"/>
      <c r="EV307" s="801"/>
      <c r="EW307" s="826"/>
      <c r="EX307" s="826"/>
      <c r="EY307" s="826"/>
      <c r="EZ307" s="827"/>
      <c r="FA307" s="800" t="str">
        <f>IFERROR(IF(FZ299&gt;FA299-1,IF(INDEX(Lista_Pedidos,FY299+FA299-1,6)&lt;&gt;"","Nombre de la Tela :     "&amp; INDEX(Lista_Pedidos,FY299+FA299-1,6),""),""),"")</f>
        <v/>
      </c>
      <c r="FB307" s="801"/>
      <c r="FC307" s="801"/>
      <c r="FD307" s="801"/>
      <c r="FE307" s="801"/>
      <c r="FF307" s="801"/>
      <c r="FG307" s="801"/>
      <c r="FH307" s="801"/>
      <c r="FI307" s="801"/>
      <c r="FJ307" s="801"/>
      <c r="FK307" s="801"/>
      <c r="FL307" s="801"/>
      <c r="FM307" s="801"/>
      <c r="FN307" s="801"/>
      <c r="FO307" s="801"/>
      <c r="FP307" s="801"/>
      <c r="FQ307" s="801"/>
      <c r="FR307" s="801"/>
      <c r="FS307" s="801"/>
      <c r="FT307" s="801"/>
      <c r="FU307" s="801"/>
      <c r="FV307" s="801"/>
      <c r="FW307" s="826"/>
      <c r="FX307" s="826"/>
      <c r="FY307" s="826"/>
      <c r="FZ307" s="827"/>
      <c r="GA307" s="800" t="str">
        <f>IFERROR(IF(GZ299&gt;GA299-1,IF(INDEX(Lista_Pedidos,GY299+GA299-1,6)&lt;&gt;"","Nombre de la Tela :     "&amp; INDEX(Lista_Pedidos,GY299+GA299-1,6),""),""),"")</f>
        <v/>
      </c>
      <c r="GB307" s="801"/>
      <c r="GC307" s="801"/>
      <c r="GD307" s="801"/>
      <c r="GE307" s="801"/>
      <c r="GF307" s="801"/>
      <c r="GG307" s="801"/>
      <c r="GH307" s="801"/>
      <c r="GI307" s="801"/>
      <c r="GJ307" s="801"/>
      <c r="GK307" s="801"/>
      <c r="GL307" s="801"/>
      <c r="GM307" s="801"/>
      <c r="GN307" s="801"/>
      <c r="GO307" s="801"/>
      <c r="GP307" s="801"/>
      <c r="GQ307" s="801"/>
      <c r="GR307" s="801"/>
      <c r="GS307" s="801"/>
      <c r="GT307" s="801"/>
      <c r="GU307" s="801"/>
      <c r="GV307" s="801"/>
      <c r="GW307" s="826"/>
      <c r="GX307" s="826"/>
      <c r="GY307" s="826"/>
      <c r="GZ307" s="827"/>
      <c r="HA307" s="800" t="str">
        <f>IFERROR(IF(HZ299&gt;HA299-1,IF(INDEX(Lista_Pedidos,HY299+HA299-1,6)&lt;&gt;"","Nombre de la Tela :     "&amp; INDEX(Lista_Pedidos,HY299+HA299-1,6),""),""),"")</f>
        <v/>
      </c>
      <c r="HB307" s="801"/>
      <c r="HC307" s="801"/>
      <c r="HD307" s="801"/>
      <c r="HE307" s="801"/>
      <c r="HF307" s="801"/>
      <c r="HG307" s="801"/>
      <c r="HH307" s="801"/>
      <c r="HI307" s="801"/>
      <c r="HJ307" s="801"/>
      <c r="HK307" s="801"/>
      <c r="HL307" s="801"/>
      <c r="HM307" s="801"/>
      <c r="HN307" s="801"/>
      <c r="HO307" s="801"/>
      <c r="HP307" s="801"/>
      <c r="HQ307" s="801"/>
      <c r="HR307" s="801"/>
      <c r="HS307" s="801"/>
      <c r="HT307" s="801"/>
      <c r="HU307" s="801"/>
      <c r="HV307" s="801"/>
      <c r="HW307" s="826"/>
      <c r="HX307" s="826"/>
      <c r="HY307" s="826"/>
      <c r="HZ307" s="827"/>
      <c r="IA307" s="800" t="str">
        <f>IFERROR(IF(IZ299&gt;IA299-1,IF(INDEX(Lista_Pedidos,IY299+IA299-1,6)&lt;&gt;"","Nombre de la Tela :     "&amp; INDEX(Lista_Pedidos,IY299+IA299-1,6),""),""),"")</f>
        <v/>
      </c>
      <c r="IB307" s="801"/>
      <c r="IC307" s="801"/>
      <c r="ID307" s="801"/>
      <c r="IE307" s="801"/>
      <c r="IF307" s="801"/>
      <c r="IG307" s="801"/>
      <c r="IH307" s="801"/>
      <c r="II307" s="801"/>
      <c r="IJ307" s="801"/>
      <c r="IK307" s="801"/>
      <c r="IL307" s="801"/>
      <c r="IM307" s="801"/>
      <c r="IN307" s="801"/>
      <c r="IO307" s="801"/>
      <c r="IP307" s="801"/>
      <c r="IQ307" s="801"/>
      <c r="IR307" s="801"/>
      <c r="IS307" s="801"/>
      <c r="IT307" s="801"/>
      <c r="IU307" s="801"/>
      <c r="IV307" s="801"/>
      <c r="IW307" s="826"/>
      <c r="IX307" s="826"/>
      <c r="IY307" s="826"/>
      <c r="IZ307" s="827"/>
    </row>
    <row r="308" spans="1:260" x14ac:dyDescent="0.25">
      <c r="A308" s="800" t="str">
        <f>IFERROR(IF(Z299&gt;A299-1,IF(INDEX(Lista_Pedidos,Y299+A299-1,7)&lt;&gt;"","Hilo :     "&amp; INDEX(Lista_Pedidos,Y299+A299-1,7),""),""),"")</f>
        <v/>
      </c>
      <c r="B308" s="801"/>
      <c r="C308" s="801"/>
      <c r="D308" s="801"/>
      <c r="E308" s="801"/>
      <c r="F308" s="801"/>
      <c r="G308" s="801"/>
      <c r="H308" s="801"/>
      <c r="I308" s="801"/>
      <c r="J308" s="801"/>
      <c r="K308" s="801"/>
      <c r="L308" s="801"/>
      <c r="M308" s="801"/>
      <c r="N308" s="801"/>
      <c r="O308" s="801"/>
      <c r="P308" s="801"/>
      <c r="Q308" s="801"/>
      <c r="R308" s="801"/>
      <c r="S308" s="801"/>
      <c r="T308" s="801"/>
      <c r="U308" s="801"/>
      <c r="V308" s="801"/>
      <c r="W308" s="801"/>
      <c r="X308" s="801"/>
      <c r="Y308" s="801"/>
      <c r="Z308" s="802"/>
      <c r="AA308" s="800" t="str">
        <f>IFERROR(IF(AZ299&gt;AA299-1,IF(INDEX(Lista_Pedidos,AY299+AA299-1,7)&lt;&gt;"","Hilo :     "&amp; INDEX(Lista_Pedidos,AY299+AA299-1,7),""),""),"")</f>
        <v/>
      </c>
      <c r="AB308" s="801"/>
      <c r="AC308" s="801"/>
      <c r="AD308" s="801"/>
      <c r="AE308" s="801"/>
      <c r="AF308" s="801"/>
      <c r="AG308" s="801"/>
      <c r="AH308" s="801"/>
      <c r="AI308" s="801"/>
      <c r="AJ308" s="801"/>
      <c r="AK308" s="801"/>
      <c r="AL308" s="801"/>
      <c r="AM308" s="801"/>
      <c r="AN308" s="801"/>
      <c r="AO308" s="801"/>
      <c r="AP308" s="801"/>
      <c r="AQ308" s="801"/>
      <c r="AR308" s="801"/>
      <c r="AS308" s="801"/>
      <c r="AT308" s="801"/>
      <c r="AU308" s="801"/>
      <c r="AV308" s="801"/>
      <c r="AW308" s="801"/>
      <c r="AX308" s="801"/>
      <c r="AY308" s="801"/>
      <c r="AZ308" s="802"/>
      <c r="BA308" s="800" t="str">
        <f>IFERROR(IF(BZ299&gt;BA299-1,IF(INDEX(Lista_Pedidos,BY299+BA299-1,7)&lt;&gt;"","Hilo :     "&amp; INDEX(Lista_Pedidos,BY299+BA299-1,7),""),""),"")</f>
        <v/>
      </c>
      <c r="BB308" s="801"/>
      <c r="BC308" s="801"/>
      <c r="BD308" s="801"/>
      <c r="BE308" s="801"/>
      <c r="BF308" s="801"/>
      <c r="BG308" s="801"/>
      <c r="BH308" s="801"/>
      <c r="BI308" s="801"/>
      <c r="BJ308" s="801"/>
      <c r="BK308" s="801"/>
      <c r="BL308" s="801"/>
      <c r="BM308" s="801"/>
      <c r="BN308" s="801"/>
      <c r="BO308" s="801"/>
      <c r="BP308" s="801"/>
      <c r="BQ308" s="801"/>
      <c r="BR308" s="801"/>
      <c r="BS308" s="801"/>
      <c r="BT308" s="801"/>
      <c r="BU308" s="801"/>
      <c r="BV308" s="801"/>
      <c r="BW308" s="801"/>
      <c r="BX308" s="801"/>
      <c r="BY308" s="801"/>
      <c r="BZ308" s="802"/>
      <c r="CA308" s="800" t="str">
        <f>IFERROR(IF(CZ299&gt;CA299-1,IF(INDEX(Lista_Pedidos,CY299+CA299-1,7)&lt;&gt;"","Hilo :     "&amp; INDEX(Lista_Pedidos,CY299+CA299-1,7),""),""),"")</f>
        <v/>
      </c>
      <c r="CB308" s="801"/>
      <c r="CC308" s="801"/>
      <c r="CD308" s="801"/>
      <c r="CE308" s="801"/>
      <c r="CF308" s="801"/>
      <c r="CG308" s="801"/>
      <c r="CH308" s="801"/>
      <c r="CI308" s="801"/>
      <c r="CJ308" s="801"/>
      <c r="CK308" s="801"/>
      <c r="CL308" s="801"/>
      <c r="CM308" s="801"/>
      <c r="CN308" s="801"/>
      <c r="CO308" s="801"/>
      <c r="CP308" s="801"/>
      <c r="CQ308" s="801"/>
      <c r="CR308" s="801"/>
      <c r="CS308" s="801"/>
      <c r="CT308" s="801"/>
      <c r="CU308" s="801"/>
      <c r="CV308" s="801"/>
      <c r="CW308" s="801"/>
      <c r="CX308" s="801"/>
      <c r="CY308" s="801"/>
      <c r="CZ308" s="802"/>
      <c r="DA308" s="800" t="str">
        <f>IFERROR(IF(DZ299&gt;DA299-1,IF(INDEX(Lista_Pedidos,DY299+DA299-1,7)&lt;&gt;"","Hilo :     "&amp; INDEX(Lista_Pedidos,DY299+DA299-1,7),""),""),"")</f>
        <v/>
      </c>
      <c r="DB308" s="801"/>
      <c r="DC308" s="801"/>
      <c r="DD308" s="801"/>
      <c r="DE308" s="801"/>
      <c r="DF308" s="801"/>
      <c r="DG308" s="801"/>
      <c r="DH308" s="801"/>
      <c r="DI308" s="801"/>
      <c r="DJ308" s="801"/>
      <c r="DK308" s="801"/>
      <c r="DL308" s="801"/>
      <c r="DM308" s="801"/>
      <c r="DN308" s="801"/>
      <c r="DO308" s="801"/>
      <c r="DP308" s="801"/>
      <c r="DQ308" s="801"/>
      <c r="DR308" s="801"/>
      <c r="DS308" s="801"/>
      <c r="DT308" s="801"/>
      <c r="DU308" s="801"/>
      <c r="DV308" s="801"/>
      <c r="DW308" s="801"/>
      <c r="DX308" s="801"/>
      <c r="DY308" s="801"/>
      <c r="DZ308" s="802"/>
      <c r="EA308" s="800" t="str">
        <f>IFERROR(IF(EZ299&gt;EA299-1,IF(INDEX(Lista_Pedidos,EY299+EA299-1,7)&lt;&gt;"","Hilo :     "&amp; INDEX(Lista_Pedidos,EY299+EA299-1,7),""),""),"")</f>
        <v/>
      </c>
      <c r="EB308" s="801"/>
      <c r="EC308" s="801"/>
      <c r="ED308" s="801"/>
      <c r="EE308" s="801"/>
      <c r="EF308" s="801"/>
      <c r="EG308" s="801"/>
      <c r="EH308" s="801"/>
      <c r="EI308" s="801"/>
      <c r="EJ308" s="801"/>
      <c r="EK308" s="801"/>
      <c r="EL308" s="801"/>
      <c r="EM308" s="801"/>
      <c r="EN308" s="801"/>
      <c r="EO308" s="801"/>
      <c r="EP308" s="801"/>
      <c r="EQ308" s="801"/>
      <c r="ER308" s="801"/>
      <c r="ES308" s="801"/>
      <c r="ET308" s="801"/>
      <c r="EU308" s="801"/>
      <c r="EV308" s="801"/>
      <c r="EW308" s="801"/>
      <c r="EX308" s="801"/>
      <c r="EY308" s="801"/>
      <c r="EZ308" s="802"/>
      <c r="FA308" s="800" t="str">
        <f>IFERROR(IF(FZ299&gt;FA299-1,IF(INDEX(Lista_Pedidos,FY299+FA299-1,7)&lt;&gt;"","Hilo :     "&amp; INDEX(Lista_Pedidos,FY299+FA299-1,7),""),""),"")</f>
        <v/>
      </c>
      <c r="FB308" s="801"/>
      <c r="FC308" s="801"/>
      <c r="FD308" s="801"/>
      <c r="FE308" s="801"/>
      <c r="FF308" s="801"/>
      <c r="FG308" s="801"/>
      <c r="FH308" s="801"/>
      <c r="FI308" s="801"/>
      <c r="FJ308" s="801"/>
      <c r="FK308" s="801"/>
      <c r="FL308" s="801"/>
      <c r="FM308" s="801"/>
      <c r="FN308" s="801"/>
      <c r="FO308" s="801"/>
      <c r="FP308" s="801"/>
      <c r="FQ308" s="801"/>
      <c r="FR308" s="801"/>
      <c r="FS308" s="801"/>
      <c r="FT308" s="801"/>
      <c r="FU308" s="801"/>
      <c r="FV308" s="801"/>
      <c r="FW308" s="801"/>
      <c r="FX308" s="801"/>
      <c r="FY308" s="801"/>
      <c r="FZ308" s="802"/>
      <c r="GA308" s="800" t="str">
        <f>IFERROR(IF(GZ299&gt;GA299-1,IF(INDEX(Lista_Pedidos,GY299+GA299-1,7)&lt;&gt;"","Hilo :     "&amp; INDEX(Lista_Pedidos,GY299+GA299-1,7),""),""),"")</f>
        <v/>
      </c>
      <c r="GB308" s="801"/>
      <c r="GC308" s="801"/>
      <c r="GD308" s="801"/>
      <c r="GE308" s="801"/>
      <c r="GF308" s="801"/>
      <c r="GG308" s="801"/>
      <c r="GH308" s="801"/>
      <c r="GI308" s="801"/>
      <c r="GJ308" s="801"/>
      <c r="GK308" s="801"/>
      <c r="GL308" s="801"/>
      <c r="GM308" s="801"/>
      <c r="GN308" s="801"/>
      <c r="GO308" s="801"/>
      <c r="GP308" s="801"/>
      <c r="GQ308" s="801"/>
      <c r="GR308" s="801"/>
      <c r="GS308" s="801"/>
      <c r="GT308" s="801"/>
      <c r="GU308" s="801"/>
      <c r="GV308" s="801"/>
      <c r="GW308" s="801"/>
      <c r="GX308" s="801"/>
      <c r="GY308" s="801"/>
      <c r="GZ308" s="802"/>
      <c r="HA308" s="800" t="str">
        <f>IFERROR(IF(HZ299&gt;HA299-1,IF(INDEX(Lista_Pedidos,HY299+HA299-1,7)&lt;&gt;"","Hilo :     "&amp; INDEX(Lista_Pedidos,HY299+HA299-1,7),""),""),"")</f>
        <v/>
      </c>
      <c r="HB308" s="801"/>
      <c r="HC308" s="801"/>
      <c r="HD308" s="801"/>
      <c r="HE308" s="801"/>
      <c r="HF308" s="801"/>
      <c r="HG308" s="801"/>
      <c r="HH308" s="801"/>
      <c r="HI308" s="801"/>
      <c r="HJ308" s="801"/>
      <c r="HK308" s="801"/>
      <c r="HL308" s="801"/>
      <c r="HM308" s="801"/>
      <c r="HN308" s="801"/>
      <c r="HO308" s="801"/>
      <c r="HP308" s="801"/>
      <c r="HQ308" s="801"/>
      <c r="HR308" s="801"/>
      <c r="HS308" s="801"/>
      <c r="HT308" s="801"/>
      <c r="HU308" s="801"/>
      <c r="HV308" s="801"/>
      <c r="HW308" s="801"/>
      <c r="HX308" s="801"/>
      <c r="HY308" s="801"/>
      <c r="HZ308" s="802"/>
      <c r="IA308" s="800" t="str">
        <f>IFERROR(IF(IZ299&gt;IA299-1,IF(INDEX(Lista_Pedidos,IY299+IA299-1,7)&lt;&gt;"","Hilo :     "&amp; INDEX(Lista_Pedidos,IY299+IA299-1,7),""),""),"")</f>
        <v/>
      </c>
      <c r="IB308" s="801"/>
      <c r="IC308" s="801"/>
      <c r="ID308" s="801"/>
      <c r="IE308" s="801"/>
      <c r="IF308" s="801"/>
      <c r="IG308" s="801"/>
      <c r="IH308" s="801"/>
      <c r="II308" s="801"/>
      <c r="IJ308" s="801"/>
      <c r="IK308" s="801"/>
      <c r="IL308" s="801"/>
      <c r="IM308" s="801"/>
      <c r="IN308" s="801"/>
      <c r="IO308" s="801"/>
      <c r="IP308" s="801"/>
      <c r="IQ308" s="801"/>
      <c r="IR308" s="801"/>
      <c r="IS308" s="801"/>
      <c r="IT308" s="801"/>
      <c r="IU308" s="801"/>
      <c r="IV308" s="801"/>
      <c r="IW308" s="801"/>
      <c r="IX308" s="801"/>
      <c r="IY308" s="801"/>
      <c r="IZ308" s="802"/>
    </row>
    <row r="309" spans="1:260" x14ac:dyDescent="0.25">
      <c r="A309" s="800" t="str">
        <f>IFERROR(IF(Z299&gt;A299-1,IF(INDEX(Lista_Pedidos,Y299+A299-1,8)&lt;&gt;"","Forro :     "&amp; INDEX(Lista_Pedidos,Y299+A299-1,8),""),""),"")</f>
        <v/>
      </c>
      <c r="B309" s="801"/>
      <c r="C309" s="801"/>
      <c r="D309" s="801"/>
      <c r="E309" s="801"/>
      <c r="F309" s="801"/>
      <c r="G309" s="801"/>
      <c r="H309" s="801"/>
      <c r="I309" s="801"/>
      <c r="J309" s="801"/>
      <c r="K309" s="801"/>
      <c r="L309" s="801"/>
      <c r="M309" s="801"/>
      <c r="N309" s="801"/>
      <c r="O309" s="801"/>
      <c r="P309" s="801"/>
      <c r="Q309" s="801"/>
      <c r="R309" s="801"/>
      <c r="S309" s="801"/>
      <c r="T309" s="801"/>
      <c r="U309" s="801"/>
      <c r="V309" s="801"/>
      <c r="W309" s="801"/>
      <c r="X309" s="801"/>
      <c r="Y309" s="801"/>
      <c r="Z309" s="802"/>
      <c r="AA309" s="800" t="str">
        <f>IFERROR(IF(AZ299&gt;AA299-1,IF(INDEX(Lista_Pedidos,AY299+AA299-1,8)&lt;&gt;"","Forro :     "&amp; INDEX(Lista_Pedidos,AY299+AA299-1,8),""),""),"")</f>
        <v/>
      </c>
      <c r="AB309" s="801"/>
      <c r="AC309" s="801"/>
      <c r="AD309" s="801"/>
      <c r="AE309" s="801"/>
      <c r="AF309" s="801"/>
      <c r="AG309" s="801"/>
      <c r="AH309" s="801"/>
      <c r="AI309" s="801"/>
      <c r="AJ309" s="801"/>
      <c r="AK309" s="801"/>
      <c r="AL309" s="801"/>
      <c r="AM309" s="801"/>
      <c r="AN309" s="801"/>
      <c r="AO309" s="801"/>
      <c r="AP309" s="801"/>
      <c r="AQ309" s="801"/>
      <c r="AR309" s="801"/>
      <c r="AS309" s="801"/>
      <c r="AT309" s="801"/>
      <c r="AU309" s="801"/>
      <c r="AV309" s="801"/>
      <c r="AW309" s="801"/>
      <c r="AX309" s="801"/>
      <c r="AY309" s="801"/>
      <c r="AZ309" s="802"/>
      <c r="BA309" s="800" t="str">
        <f>IFERROR(IF(BZ299&gt;BA299-1,IF(INDEX(Lista_Pedidos,BY299+BA299-1,8)&lt;&gt;"","Forro :     "&amp; INDEX(Lista_Pedidos,BY299+BA299-1,8),""),""),"")</f>
        <v/>
      </c>
      <c r="BB309" s="801"/>
      <c r="BC309" s="801"/>
      <c r="BD309" s="801"/>
      <c r="BE309" s="801"/>
      <c r="BF309" s="801"/>
      <c r="BG309" s="801"/>
      <c r="BH309" s="801"/>
      <c r="BI309" s="801"/>
      <c r="BJ309" s="801"/>
      <c r="BK309" s="801"/>
      <c r="BL309" s="801"/>
      <c r="BM309" s="801"/>
      <c r="BN309" s="801"/>
      <c r="BO309" s="801"/>
      <c r="BP309" s="801"/>
      <c r="BQ309" s="801"/>
      <c r="BR309" s="801"/>
      <c r="BS309" s="801"/>
      <c r="BT309" s="801"/>
      <c r="BU309" s="801"/>
      <c r="BV309" s="801"/>
      <c r="BW309" s="801"/>
      <c r="BX309" s="801"/>
      <c r="BY309" s="801"/>
      <c r="BZ309" s="802"/>
      <c r="CA309" s="800" t="str">
        <f>IFERROR(IF(CZ299&gt;CA299-1,IF(INDEX(Lista_Pedidos,CY299+CA299-1,8)&lt;&gt;"","Forro :     "&amp; INDEX(Lista_Pedidos,CY299+CA299-1,8),""),""),"")</f>
        <v/>
      </c>
      <c r="CB309" s="801"/>
      <c r="CC309" s="801"/>
      <c r="CD309" s="801"/>
      <c r="CE309" s="801"/>
      <c r="CF309" s="801"/>
      <c r="CG309" s="801"/>
      <c r="CH309" s="801"/>
      <c r="CI309" s="801"/>
      <c r="CJ309" s="801"/>
      <c r="CK309" s="801"/>
      <c r="CL309" s="801"/>
      <c r="CM309" s="801"/>
      <c r="CN309" s="801"/>
      <c r="CO309" s="801"/>
      <c r="CP309" s="801"/>
      <c r="CQ309" s="801"/>
      <c r="CR309" s="801"/>
      <c r="CS309" s="801"/>
      <c r="CT309" s="801"/>
      <c r="CU309" s="801"/>
      <c r="CV309" s="801"/>
      <c r="CW309" s="801"/>
      <c r="CX309" s="801"/>
      <c r="CY309" s="801"/>
      <c r="CZ309" s="802"/>
      <c r="DA309" s="800" t="str">
        <f>IFERROR(IF(DZ299&gt;DA299-1,IF(INDEX(Lista_Pedidos,DY299+DA299-1,8)&lt;&gt;"","Forro :     "&amp; INDEX(Lista_Pedidos,DY299+DA299-1,8),""),""),"")</f>
        <v/>
      </c>
      <c r="DB309" s="801"/>
      <c r="DC309" s="801"/>
      <c r="DD309" s="801"/>
      <c r="DE309" s="801"/>
      <c r="DF309" s="801"/>
      <c r="DG309" s="801"/>
      <c r="DH309" s="801"/>
      <c r="DI309" s="801"/>
      <c r="DJ309" s="801"/>
      <c r="DK309" s="801"/>
      <c r="DL309" s="801"/>
      <c r="DM309" s="801"/>
      <c r="DN309" s="801"/>
      <c r="DO309" s="801"/>
      <c r="DP309" s="801"/>
      <c r="DQ309" s="801"/>
      <c r="DR309" s="801"/>
      <c r="DS309" s="801"/>
      <c r="DT309" s="801"/>
      <c r="DU309" s="801"/>
      <c r="DV309" s="801"/>
      <c r="DW309" s="801"/>
      <c r="DX309" s="801"/>
      <c r="DY309" s="801"/>
      <c r="DZ309" s="802"/>
      <c r="EA309" s="800" t="str">
        <f>IFERROR(IF(EZ299&gt;EA299-1,IF(INDEX(Lista_Pedidos,EY299+EA299-1,8)&lt;&gt;"","Forro :     "&amp; INDEX(Lista_Pedidos,EY299+EA299-1,8),""),""),"")</f>
        <v/>
      </c>
      <c r="EB309" s="801"/>
      <c r="EC309" s="801"/>
      <c r="ED309" s="801"/>
      <c r="EE309" s="801"/>
      <c r="EF309" s="801"/>
      <c r="EG309" s="801"/>
      <c r="EH309" s="801"/>
      <c r="EI309" s="801"/>
      <c r="EJ309" s="801"/>
      <c r="EK309" s="801"/>
      <c r="EL309" s="801"/>
      <c r="EM309" s="801"/>
      <c r="EN309" s="801"/>
      <c r="EO309" s="801"/>
      <c r="EP309" s="801"/>
      <c r="EQ309" s="801"/>
      <c r="ER309" s="801"/>
      <c r="ES309" s="801"/>
      <c r="ET309" s="801"/>
      <c r="EU309" s="801"/>
      <c r="EV309" s="801"/>
      <c r="EW309" s="801"/>
      <c r="EX309" s="801"/>
      <c r="EY309" s="801"/>
      <c r="EZ309" s="802"/>
      <c r="FA309" s="800" t="str">
        <f>IFERROR(IF(FZ299&gt;FA299-1,IF(INDEX(Lista_Pedidos,FY299+FA299-1,8)&lt;&gt;"","Forro :     "&amp; INDEX(Lista_Pedidos,FY299+FA299-1,8),""),""),"")</f>
        <v/>
      </c>
      <c r="FB309" s="801"/>
      <c r="FC309" s="801"/>
      <c r="FD309" s="801"/>
      <c r="FE309" s="801"/>
      <c r="FF309" s="801"/>
      <c r="FG309" s="801"/>
      <c r="FH309" s="801"/>
      <c r="FI309" s="801"/>
      <c r="FJ309" s="801"/>
      <c r="FK309" s="801"/>
      <c r="FL309" s="801"/>
      <c r="FM309" s="801"/>
      <c r="FN309" s="801"/>
      <c r="FO309" s="801"/>
      <c r="FP309" s="801"/>
      <c r="FQ309" s="801"/>
      <c r="FR309" s="801"/>
      <c r="FS309" s="801"/>
      <c r="FT309" s="801"/>
      <c r="FU309" s="801"/>
      <c r="FV309" s="801"/>
      <c r="FW309" s="801"/>
      <c r="FX309" s="801"/>
      <c r="FY309" s="801"/>
      <c r="FZ309" s="802"/>
      <c r="GA309" s="800" t="str">
        <f>IFERROR(IF(GZ299&gt;GA299-1,IF(INDEX(Lista_Pedidos,GY299+GA299-1,8)&lt;&gt;"","Forro :     "&amp; INDEX(Lista_Pedidos,GY299+GA299-1,8),""),""),"")</f>
        <v/>
      </c>
      <c r="GB309" s="801"/>
      <c r="GC309" s="801"/>
      <c r="GD309" s="801"/>
      <c r="GE309" s="801"/>
      <c r="GF309" s="801"/>
      <c r="GG309" s="801"/>
      <c r="GH309" s="801"/>
      <c r="GI309" s="801"/>
      <c r="GJ309" s="801"/>
      <c r="GK309" s="801"/>
      <c r="GL309" s="801"/>
      <c r="GM309" s="801"/>
      <c r="GN309" s="801"/>
      <c r="GO309" s="801"/>
      <c r="GP309" s="801"/>
      <c r="GQ309" s="801"/>
      <c r="GR309" s="801"/>
      <c r="GS309" s="801"/>
      <c r="GT309" s="801"/>
      <c r="GU309" s="801"/>
      <c r="GV309" s="801"/>
      <c r="GW309" s="801"/>
      <c r="GX309" s="801"/>
      <c r="GY309" s="801"/>
      <c r="GZ309" s="802"/>
      <c r="HA309" s="800" t="str">
        <f>IFERROR(IF(HZ299&gt;HA299-1,IF(INDEX(Lista_Pedidos,HY299+HA299-1,8)&lt;&gt;"","Forro :     "&amp; INDEX(Lista_Pedidos,HY299+HA299-1,8),""),""),"")</f>
        <v/>
      </c>
      <c r="HB309" s="801"/>
      <c r="HC309" s="801"/>
      <c r="HD309" s="801"/>
      <c r="HE309" s="801"/>
      <c r="HF309" s="801"/>
      <c r="HG309" s="801"/>
      <c r="HH309" s="801"/>
      <c r="HI309" s="801"/>
      <c r="HJ309" s="801"/>
      <c r="HK309" s="801"/>
      <c r="HL309" s="801"/>
      <c r="HM309" s="801"/>
      <c r="HN309" s="801"/>
      <c r="HO309" s="801"/>
      <c r="HP309" s="801"/>
      <c r="HQ309" s="801"/>
      <c r="HR309" s="801"/>
      <c r="HS309" s="801"/>
      <c r="HT309" s="801"/>
      <c r="HU309" s="801"/>
      <c r="HV309" s="801"/>
      <c r="HW309" s="801"/>
      <c r="HX309" s="801"/>
      <c r="HY309" s="801"/>
      <c r="HZ309" s="802"/>
      <c r="IA309" s="800" t="str">
        <f>IFERROR(IF(IZ299&gt;IA299-1,IF(INDEX(Lista_Pedidos,IY299+IA299-1,8)&lt;&gt;"","Forro :     "&amp; INDEX(Lista_Pedidos,IY299+IA299-1,8),""),""),"")</f>
        <v/>
      </c>
      <c r="IB309" s="801"/>
      <c r="IC309" s="801"/>
      <c r="ID309" s="801"/>
      <c r="IE309" s="801"/>
      <c r="IF309" s="801"/>
      <c r="IG309" s="801"/>
      <c r="IH309" s="801"/>
      <c r="II309" s="801"/>
      <c r="IJ309" s="801"/>
      <c r="IK309" s="801"/>
      <c r="IL309" s="801"/>
      <c r="IM309" s="801"/>
      <c r="IN309" s="801"/>
      <c r="IO309" s="801"/>
      <c r="IP309" s="801"/>
      <c r="IQ309" s="801"/>
      <c r="IR309" s="801"/>
      <c r="IS309" s="801"/>
      <c r="IT309" s="801"/>
      <c r="IU309" s="801"/>
      <c r="IV309" s="801"/>
      <c r="IW309" s="801"/>
      <c r="IX309" s="801"/>
      <c r="IY309" s="801"/>
      <c r="IZ309" s="802"/>
    </row>
    <row r="310" spans="1:260" x14ac:dyDescent="0.25">
      <c r="A310" s="800" t="str">
        <f>IF(A$5="Cliente Especial : NEON",IF(Z299&gt;A299-1,"Neon :      Si",""),"")</f>
        <v/>
      </c>
      <c r="B310" s="801"/>
      <c r="C310" s="801"/>
      <c r="D310" s="801"/>
      <c r="E310" s="801"/>
      <c r="F310" s="801"/>
      <c r="G310" s="801"/>
      <c r="H310" s="801"/>
      <c r="I310" s="801"/>
      <c r="J310" s="801"/>
      <c r="K310" s="801"/>
      <c r="L310" s="801"/>
      <c r="M310" s="801"/>
      <c r="N310" s="801"/>
      <c r="O310" s="801"/>
      <c r="P310" s="801"/>
      <c r="Q310" s="801"/>
      <c r="R310" s="801"/>
      <c r="S310" s="801"/>
      <c r="T310" s="801"/>
      <c r="U310" s="801"/>
      <c r="V310" s="801"/>
      <c r="W310" s="801"/>
      <c r="X310" s="801"/>
      <c r="Y310" s="801"/>
      <c r="Z310" s="802"/>
      <c r="AA310" s="800" t="str">
        <f>IF(AA$5="Cliente Especial : NEON",IF(AZ299&gt;AA299-1,"Neon :      Si",""),"")</f>
        <v/>
      </c>
      <c r="AB310" s="801"/>
      <c r="AC310" s="801"/>
      <c r="AD310" s="801"/>
      <c r="AE310" s="801"/>
      <c r="AF310" s="801"/>
      <c r="AG310" s="801"/>
      <c r="AH310" s="801"/>
      <c r="AI310" s="801"/>
      <c r="AJ310" s="801"/>
      <c r="AK310" s="801"/>
      <c r="AL310" s="801"/>
      <c r="AM310" s="801"/>
      <c r="AN310" s="801"/>
      <c r="AO310" s="801"/>
      <c r="AP310" s="801"/>
      <c r="AQ310" s="801"/>
      <c r="AR310" s="801"/>
      <c r="AS310" s="801"/>
      <c r="AT310" s="801"/>
      <c r="AU310" s="801"/>
      <c r="AV310" s="801"/>
      <c r="AW310" s="801"/>
      <c r="AX310" s="801"/>
      <c r="AY310" s="801"/>
      <c r="AZ310" s="802"/>
      <c r="BA310" s="800" t="str">
        <f>IF(BA$5="Cliente Especial : NEON",IF(BZ299&gt;BA299-1,"Neon :      Si",""),"")</f>
        <v/>
      </c>
      <c r="BB310" s="801"/>
      <c r="BC310" s="801"/>
      <c r="BD310" s="801"/>
      <c r="BE310" s="801"/>
      <c r="BF310" s="801"/>
      <c r="BG310" s="801"/>
      <c r="BH310" s="801"/>
      <c r="BI310" s="801"/>
      <c r="BJ310" s="801"/>
      <c r="BK310" s="801"/>
      <c r="BL310" s="801"/>
      <c r="BM310" s="801"/>
      <c r="BN310" s="801"/>
      <c r="BO310" s="801"/>
      <c r="BP310" s="801"/>
      <c r="BQ310" s="801"/>
      <c r="BR310" s="801"/>
      <c r="BS310" s="801"/>
      <c r="BT310" s="801"/>
      <c r="BU310" s="801"/>
      <c r="BV310" s="801"/>
      <c r="BW310" s="801"/>
      <c r="BX310" s="801"/>
      <c r="BY310" s="801"/>
      <c r="BZ310" s="802"/>
      <c r="CA310" s="800" t="str">
        <f>IF(CA$5="Cliente Especial : NEON",IF(CZ299&gt;CA299-1,"Neon :      Si",""),"")</f>
        <v/>
      </c>
      <c r="CB310" s="801"/>
      <c r="CC310" s="801"/>
      <c r="CD310" s="801"/>
      <c r="CE310" s="801"/>
      <c r="CF310" s="801"/>
      <c r="CG310" s="801"/>
      <c r="CH310" s="801"/>
      <c r="CI310" s="801"/>
      <c r="CJ310" s="801"/>
      <c r="CK310" s="801"/>
      <c r="CL310" s="801"/>
      <c r="CM310" s="801"/>
      <c r="CN310" s="801"/>
      <c r="CO310" s="801"/>
      <c r="CP310" s="801"/>
      <c r="CQ310" s="801"/>
      <c r="CR310" s="801"/>
      <c r="CS310" s="801"/>
      <c r="CT310" s="801"/>
      <c r="CU310" s="801"/>
      <c r="CV310" s="801"/>
      <c r="CW310" s="801"/>
      <c r="CX310" s="801"/>
      <c r="CY310" s="801"/>
      <c r="CZ310" s="802"/>
      <c r="DA310" s="800" t="str">
        <f>IF(DA$5="Cliente Especial : NEON",IF(DZ299&gt;DA299-1,"Neon :      Si",""),"")</f>
        <v/>
      </c>
      <c r="DB310" s="801"/>
      <c r="DC310" s="801"/>
      <c r="DD310" s="801"/>
      <c r="DE310" s="801"/>
      <c r="DF310" s="801"/>
      <c r="DG310" s="801"/>
      <c r="DH310" s="801"/>
      <c r="DI310" s="801"/>
      <c r="DJ310" s="801"/>
      <c r="DK310" s="801"/>
      <c r="DL310" s="801"/>
      <c r="DM310" s="801"/>
      <c r="DN310" s="801"/>
      <c r="DO310" s="801"/>
      <c r="DP310" s="801"/>
      <c r="DQ310" s="801"/>
      <c r="DR310" s="801"/>
      <c r="DS310" s="801"/>
      <c r="DT310" s="801"/>
      <c r="DU310" s="801"/>
      <c r="DV310" s="801"/>
      <c r="DW310" s="801"/>
      <c r="DX310" s="801"/>
      <c r="DY310" s="801"/>
      <c r="DZ310" s="802"/>
      <c r="EA310" s="800" t="str">
        <f>IF(EA$5="Cliente Especial : NEON",IF(EZ299&gt;EA299-1,"Neon :      Si",""),"")</f>
        <v/>
      </c>
      <c r="EB310" s="801"/>
      <c r="EC310" s="801"/>
      <c r="ED310" s="801"/>
      <c r="EE310" s="801"/>
      <c r="EF310" s="801"/>
      <c r="EG310" s="801"/>
      <c r="EH310" s="801"/>
      <c r="EI310" s="801"/>
      <c r="EJ310" s="801"/>
      <c r="EK310" s="801"/>
      <c r="EL310" s="801"/>
      <c r="EM310" s="801"/>
      <c r="EN310" s="801"/>
      <c r="EO310" s="801"/>
      <c r="EP310" s="801"/>
      <c r="EQ310" s="801"/>
      <c r="ER310" s="801"/>
      <c r="ES310" s="801"/>
      <c r="ET310" s="801"/>
      <c r="EU310" s="801"/>
      <c r="EV310" s="801"/>
      <c r="EW310" s="801"/>
      <c r="EX310" s="801"/>
      <c r="EY310" s="801"/>
      <c r="EZ310" s="802"/>
      <c r="FA310" s="800" t="str">
        <f>IF(FA$5="Cliente Especial : NEON",IF(FZ299&gt;FA299-1,"Neon :      Si",""),"")</f>
        <v/>
      </c>
      <c r="FB310" s="801"/>
      <c r="FC310" s="801"/>
      <c r="FD310" s="801"/>
      <c r="FE310" s="801"/>
      <c r="FF310" s="801"/>
      <c r="FG310" s="801"/>
      <c r="FH310" s="801"/>
      <c r="FI310" s="801"/>
      <c r="FJ310" s="801"/>
      <c r="FK310" s="801"/>
      <c r="FL310" s="801"/>
      <c r="FM310" s="801"/>
      <c r="FN310" s="801"/>
      <c r="FO310" s="801"/>
      <c r="FP310" s="801"/>
      <c r="FQ310" s="801"/>
      <c r="FR310" s="801"/>
      <c r="FS310" s="801"/>
      <c r="FT310" s="801"/>
      <c r="FU310" s="801"/>
      <c r="FV310" s="801"/>
      <c r="FW310" s="801"/>
      <c r="FX310" s="801"/>
      <c r="FY310" s="801"/>
      <c r="FZ310" s="802"/>
      <c r="GA310" s="800" t="str">
        <f>IF(GA$5="Cliente Especial : NEON",IF(GZ299&gt;GA299-1,"Neon :      Si",""),"")</f>
        <v/>
      </c>
      <c r="GB310" s="801"/>
      <c r="GC310" s="801"/>
      <c r="GD310" s="801"/>
      <c r="GE310" s="801"/>
      <c r="GF310" s="801"/>
      <c r="GG310" s="801"/>
      <c r="GH310" s="801"/>
      <c r="GI310" s="801"/>
      <c r="GJ310" s="801"/>
      <c r="GK310" s="801"/>
      <c r="GL310" s="801"/>
      <c r="GM310" s="801"/>
      <c r="GN310" s="801"/>
      <c r="GO310" s="801"/>
      <c r="GP310" s="801"/>
      <c r="GQ310" s="801"/>
      <c r="GR310" s="801"/>
      <c r="GS310" s="801"/>
      <c r="GT310" s="801"/>
      <c r="GU310" s="801"/>
      <c r="GV310" s="801"/>
      <c r="GW310" s="801"/>
      <c r="GX310" s="801"/>
      <c r="GY310" s="801"/>
      <c r="GZ310" s="802"/>
      <c r="HA310" s="800" t="str">
        <f>IF(HA$5="Cliente Especial : NEON",IF(HZ299&gt;HA299-1,"Neon :      Si",""),"")</f>
        <v/>
      </c>
      <c r="HB310" s="801"/>
      <c r="HC310" s="801"/>
      <c r="HD310" s="801"/>
      <c r="HE310" s="801"/>
      <c r="HF310" s="801"/>
      <c r="HG310" s="801"/>
      <c r="HH310" s="801"/>
      <c r="HI310" s="801"/>
      <c r="HJ310" s="801"/>
      <c r="HK310" s="801"/>
      <c r="HL310" s="801"/>
      <c r="HM310" s="801"/>
      <c r="HN310" s="801"/>
      <c r="HO310" s="801"/>
      <c r="HP310" s="801"/>
      <c r="HQ310" s="801"/>
      <c r="HR310" s="801"/>
      <c r="HS310" s="801"/>
      <c r="HT310" s="801"/>
      <c r="HU310" s="801"/>
      <c r="HV310" s="801"/>
      <c r="HW310" s="801"/>
      <c r="HX310" s="801"/>
      <c r="HY310" s="801"/>
      <c r="HZ310" s="802"/>
      <c r="IA310" s="800" t="str">
        <f>IF(IA$5="Cliente Especial : NEON",IF(IZ299&gt;IA299-1,"Neon :      Si",""),"")</f>
        <v/>
      </c>
      <c r="IB310" s="801"/>
      <c r="IC310" s="801"/>
      <c r="ID310" s="801"/>
      <c r="IE310" s="801"/>
      <c r="IF310" s="801"/>
      <c r="IG310" s="801"/>
      <c r="IH310" s="801"/>
      <c r="II310" s="801"/>
      <c r="IJ310" s="801"/>
      <c r="IK310" s="801"/>
      <c r="IL310" s="801"/>
      <c r="IM310" s="801"/>
      <c r="IN310" s="801"/>
      <c r="IO310" s="801"/>
      <c r="IP310" s="801"/>
      <c r="IQ310" s="801"/>
      <c r="IR310" s="801"/>
      <c r="IS310" s="801"/>
      <c r="IT310" s="801"/>
      <c r="IU310" s="801"/>
      <c r="IV310" s="801"/>
      <c r="IW310" s="801"/>
      <c r="IX310" s="801"/>
      <c r="IY310" s="801"/>
      <c r="IZ310" s="802"/>
    </row>
    <row r="311" spans="1:260" x14ac:dyDescent="0.25">
      <c r="A311" s="800" t="str">
        <f>IFERROR(IF(Z299&gt;A299-1,IF(INDEX(Pedidos!J:AZ,Y299+A299-1,9)&lt;&gt;"","Cierre :     "&amp; INDEX(Pedidos!J:AZ,Y299+A299-1,9),""),""),"")</f>
        <v/>
      </c>
      <c r="B311" s="801"/>
      <c r="C311" s="801"/>
      <c r="D311" s="801"/>
      <c r="E311" s="801"/>
      <c r="F311" s="801"/>
      <c r="G311" s="801"/>
      <c r="H311" s="801"/>
      <c r="I311" s="801"/>
      <c r="J311" s="801"/>
      <c r="K311" s="801"/>
      <c r="L311" s="801"/>
      <c r="M311" s="801"/>
      <c r="N311" s="801"/>
      <c r="O311" s="801"/>
      <c r="P311" s="801"/>
      <c r="Q311" s="801"/>
      <c r="R311" s="801"/>
      <c r="S311" s="801"/>
      <c r="T311" s="801"/>
      <c r="U311" s="801"/>
      <c r="V311" s="801"/>
      <c r="W311" s="801"/>
      <c r="X311" s="801"/>
      <c r="Y311" s="801"/>
      <c r="Z311" s="802"/>
      <c r="AA311" s="800" t="str">
        <f>IFERROR(IF(AZ299&gt;AA299-1,IF(INDEX(Pedidos!AJ:BZ,AY299+AA299-1,9)&lt;&gt;"","Cierre :     "&amp; INDEX(Pedidos!AJ:BZ,AY299+AA299-1,9),""),""),"")</f>
        <v/>
      </c>
      <c r="AB311" s="801"/>
      <c r="AC311" s="801"/>
      <c r="AD311" s="801"/>
      <c r="AE311" s="801"/>
      <c r="AF311" s="801"/>
      <c r="AG311" s="801"/>
      <c r="AH311" s="801"/>
      <c r="AI311" s="801"/>
      <c r="AJ311" s="801"/>
      <c r="AK311" s="801"/>
      <c r="AL311" s="801"/>
      <c r="AM311" s="801"/>
      <c r="AN311" s="801"/>
      <c r="AO311" s="801"/>
      <c r="AP311" s="801"/>
      <c r="AQ311" s="801"/>
      <c r="AR311" s="801"/>
      <c r="AS311" s="801"/>
      <c r="AT311" s="801"/>
      <c r="AU311" s="801"/>
      <c r="AV311" s="801"/>
      <c r="AW311" s="801"/>
      <c r="AX311" s="801"/>
      <c r="AY311" s="801"/>
      <c r="AZ311" s="802"/>
      <c r="BA311" s="800" t="str">
        <f>IFERROR(IF(BZ299&gt;BA299-1,IF(INDEX(Pedidos!BJ:CZ,BY299+BA299-1,9)&lt;&gt;"","Cierre :     "&amp; INDEX(Pedidos!BJ:CZ,BY299+BA299-1,9),""),""),"")</f>
        <v/>
      </c>
      <c r="BB311" s="801"/>
      <c r="BC311" s="801"/>
      <c r="BD311" s="801"/>
      <c r="BE311" s="801"/>
      <c r="BF311" s="801"/>
      <c r="BG311" s="801"/>
      <c r="BH311" s="801"/>
      <c r="BI311" s="801"/>
      <c r="BJ311" s="801"/>
      <c r="BK311" s="801"/>
      <c r="BL311" s="801"/>
      <c r="BM311" s="801"/>
      <c r="BN311" s="801"/>
      <c r="BO311" s="801"/>
      <c r="BP311" s="801"/>
      <c r="BQ311" s="801"/>
      <c r="BR311" s="801"/>
      <c r="BS311" s="801"/>
      <c r="BT311" s="801"/>
      <c r="BU311" s="801"/>
      <c r="BV311" s="801"/>
      <c r="BW311" s="801"/>
      <c r="BX311" s="801"/>
      <c r="BY311" s="801"/>
      <c r="BZ311" s="802"/>
      <c r="CA311" s="800" t="str">
        <f>IFERROR(IF(CZ299&gt;CA299-1,IF(INDEX(Pedidos!CJ:DZ,CY299+CA299-1,9)&lt;&gt;"","Cierre :     "&amp; INDEX(Pedidos!CJ:DZ,CY299+CA299-1,9),""),""),"")</f>
        <v/>
      </c>
      <c r="CB311" s="801"/>
      <c r="CC311" s="801"/>
      <c r="CD311" s="801"/>
      <c r="CE311" s="801"/>
      <c r="CF311" s="801"/>
      <c r="CG311" s="801"/>
      <c r="CH311" s="801"/>
      <c r="CI311" s="801"/>
      <c r="CJ311" s="801"/>
      <c r="CK311" s="801"/>
      <c r="CL311" s="801"/>
      <c r="CM311" s="801"/>
      <c r="CN311" s="801"/>
      <c r="CO311" s="801"/>
      <c r="CP311" s="801"/>
      <c r="CQ311" s="801"/>
      <c r="CR311" s="801"/>
      <c r="CS311" s="801"/>
      <c r="CT311" s="801"/>
      <c r="CU311" s="801"/>
      <c r="CV311" s="801"/>
      <c r="CW311" s="801"/>
      <c r="CX311" s="801"/>
      <c r="CY311" s="801"/>
      <c r="CZ311" s="802"/>
      <c r="DA311" s="800" t="str">
        <f>IFERROR(IF(DZ299&gt;DA299-1,IF(INDEX(Pedidos!DJ:EZ,DY299+DA299-1,9)&lt;&gt;"","Cierre :     "&amp; INDEX(Pedidos!DJ:EZ,DY299+DA299-1,9),""),""),"")</f>
        <v/>
      </c>
      <c r="DB311" s="801"/>
      <c r="DC311" s="801"/>
      <c r="DD311" s="801"/>
      <c r="DE311" s="801"/>
      <c r="DF311" s="801"/>
      <c r="DG311" s="801"/>
      <c r="DH311" s="801"/>
      <c r="DI311" s="801"/>
      <c r="DJ311" s="801"/>
      <c r="DK311" s="801"/>
      <c r="DL311" s="801"/>
      <c r="DM311" s="801"/>
      <c r="DN311" s="801"/>
      <c r="DO311" s="801"/>
      <c r="DP311" s="801"/>
      <c r="DQ311" s="801"/>
      <c r="DR311" s="801"/>
      <c r="DS311" s="801"/>
      <c r="DT311" s="801"/>
      <c r="DU311" s="801"/>
      <c r="DV311" s="801"/>
      <c r="DW311" s="801"/>
      <c r="DX311" s="801"/>
      <c r="DY311" s="801"/>
      <c r="DZ311" s="802"/>
      <c r="EA311" s="800" t="str">
        <f>IFERROR(IF(EZ299&gt;EA299-1,IF(INDEX(Pedidos!EJ:FZ,EY299+EA299-1,9)&lt;&gt;"","Cierre :     "&amp; INDEX(Pedidos!EJ:FZ,EY299+EA299-1,9),""),""),"")</f>
        <v/>
      </c>
      <c r="EB311" s="801"/>
      <c r="EC311" s="801"/>
      <c r="ED311" s="801"/>
      <c r="EE311" s="801"/>
      <c r="EF311" s="801"/>
      <c r="EG311" s="801"/>
      <c r="EH311" s="801"/>
      <c r="EI311" s="801"/>
      <c r="EJ311" s="801"/>
      <c r="EK311" s="801"/>
      <c r="EL311" s="801"/>
      <c r="EM311" s="801"/>
      <c r="EN311" s="801"/>
      <c r="EO311" s="801"/>
      <c r="EP311" s="801"/>
      <c r="EQ311" s="801"/>
      <c r="ER311" s="801"/>
      <c r="ES311" s="801"/>
      <c r="ET311" s="801"/>
      <c r="EU311" s="801"/>
      <c r="EV311" s="801"/>
      <c r="EW311" s="801"/>
      <c r="EX311" s="801"/>
      <c r="EY311" s="801"/>
      <c r="EZ311" s="802"/>
      <c r="FA311" s="800" t="str">
        <f>IFERROR(IF(FZ299&gt;FA299-1,IF(INDEX(Pedidos!FJ:GZ,FY299+FA299-1,9)&lt;&gt;"","Cierre :     "&amp; INDEX(Pedidos!FJ:GZ,FY299+FA299-1,9),""),""),"")</f>
        <v/>
      </c>
      <c r="FB311" s="801"/>
      <c r="FC311" s="801"/>
      <c r="FD311" s="801"/>
      <c r="FE311" s="801"/>
      <c r="FF311" s="801"/>
      <c r="FG311" s="801"/>
      <c r="FH311" s="801"/>
      <c r="FI311" s="801"/>
      <c r="FJ311" s="801"/>
      <c r="FK311" s="801"/>
      <c r="FL311" s="801"/>
      <c r="FM311" s="801"/>
      <c r="FN311" s="801"/>
      <c r="FO311" s="801"/>
      <c r="FP311" s="801"/>
      <c r="FQ311" s="801"/>
      <c r="FR311" s="801"/>
      <c r="FS311" s="801"/>
      <c r="FT311" s="801"/>
      <c r="FU311" s="801"/>
      <c r="FV311" s="801"/>
      <c r="FW311" s="801"/>
      <c r="FX311" s="801"/>
      <c r="FY311" s="801"/>
      <c r="FZ311" s="802"/>
      <c r="GA311" s="800" t="str">
        <f>IFERROR(IF(GZ299&gt;GA299-1,IF(INDEX(Pedidos!GJ:HZ,GY299+GA299-1,9)&lt;&gt;"","Cierre :     "&amp; INDEX(Pedidos!GJ:HZ,GY299+GA299-1,9),""),""),"")</f>
        <v/>
      </c>
      <c r="GB311" s="801"/>
      <c r="GC311" s="801"/>
      <c r="GD311" s="801"/>
      <c r="GE311" s="801"/>
      <c r="GF311" s="801"/>
      <c r="GG311" s="801"/>
      <c r="GH311" s="801"/>
      <c r="GI311" s="801"/>
      <c r="GJ311" s="801"/>
      <c r="GK311" s="801"/>
      <c r="GL311" s="801"/>
      <c r="GM311" s="801"/>
      <c r="GN311" s="801"/>
      <c r="GO311" s="801"/>
      <c r="GP311" s="801"/>
      <c r="GQ311" s="801"/>
      <c r="GR311" s="801"/>
      <c r="GS311" s="801"/>
      <c r="GT311" s="801"/>
      <c r="GU311" s="801"/>
      <c r="GV311" s="801"/>
      <c r="GW311" s="801"/>
      <c r="GX311" s="801"/>
      <c r="GY311" s="801"/>
      <c r="GZ311" s="802"/>
      <c r="HA311" s="800" t="str">
        <f>IFERROR(IF(HZ299&gt;HA299-1,IF(INDEX(Pedidos!HJ:IZ,HY299+HA299-1,9)&lt;&gt;"","Cierre :     "&amp; INDEX(Pedidos!HJ:IZ,HY299+HA299-1,9),""),""),"")</f>
        <v/>
      </c>
      <c r="HB311" s="801"/>
      <c r="HC311" s="801"/>
      <c r="HD311" s="801"/>
      <c r="HE311" s="801"/>
      <c r="HF311" s="801"/>
      <c r="HG311" s="801"/>
      <c r="HH311" s="801"/>
      <c r="HI311" s="801"/>
      <c r="HJ311" s="801"/>
      <c r="HK311" s="801"/>
      <c r="HL311" s="801"/>
      <c r="HM311" s="801"/>
      <c r="HN311" s="801"/>
      <c r="HO311" s="801"/>
      <c r="HP311" s="801"/>
      <c r="HQ311" s="801"/>
      <c r="HR311" s="801"/>
      <c r="HS311" s="801"/>
      <c r="HT311" s="801"/>
      <c r="HU311" s="801"/>
      <c r="HV311" s="801"/>
      <c r="HW311" s="801"/>
      <c r="HX311" s="801"/>
      <c r="HY311" s="801"/>
      <c r="HZ311" s="802"/>
      <c r="IA311" s="800" t="str">
        <f>IFERROR(IF(IZ299&gt;IA299-1,IF(INDEX(Pedidos!IJ:JZ,IY299+IA299-1,9)&lt;&gt;"","Cierre :     "&amp; INDEX(Pedidos!IJ:JZ,IY299+IA299-1,9),""),""),"")</f>
        <v/>
      </c>
      <c r="IB311" s="801"/>
      <c r="IC311" s="801"/>
      <c r="ID311" s="801"/>
      <c r="IE311" s="801"/>
      <c r="IF311" s="801"/>
      <c r="IG311" s="801"/>
      <c r="IH311" s="801"/>
      <c r="II311" s="801"/>
      <c r="IJ311" s="801"/>
      <c r="IK311" s="801"/>
      <c r="IL311" s="801"/>
      <c r="IM311" s="801"/>
      <c r="IN311" s="801"/>
      <c r="IO311" s="801"/>
      <c r="IP311" s="801"/>
      <c r="IQ311" s="801"/>
      <c r="IR311" s="801"/>
      <c r="IS311" s="801"/>
      <c r="IT311" s="801"/>
      <c r="IU311" s="801"/>
      <c r="IV311" s="801"/>
      <c r="IW311" s="801"/>
      <c r="IX311" s="801"/>
      <c r="IY311" s="801"/>
      <c r="IZ311" s="802"/>
    </row>
    <row r="312" spans="1:260" x14ac:dyDescent="0.25">
      <c r="A312" s="800" t="str">
        <f>IFERROR(IF(Z299&gt;A299-1,IF(INDEX(Pedidos!J:AZ,Y299+A299-1,11)&lt;&gt;"","Cordon :     "&amp; INDEX(Pedidos!J:AZ,Y299+A299-1,11),""),""),"")</f>
        <v/>
      </c>
      <c r="B312" s="801"/>
      <c r="C312" s="801"/>
      <c r="D312" s="801"/>
      <c r="E312" s="801"/>
      <c r="F312" s="801"/>
      <c r="G312" s="801"/>
      <c r="H312" s="801"/>
      <c r="I312" s="801"/>
      <c r="J312" s="801"/>
      <c r="K312" s="801"/>
      <c r="L312" s="801"/>
      <c r="M312" s="801"/>
      <c r="N312" s="801"/>
      <c r="O312" s="801"/>
      <c r="P312" s="801"/>
      <c r="Q312" s="801"/>
      <c r="R312" s="801"/>
      <c r="S312" s="801"/>
      <c r="T312" s="801"/>
      <c r="U312" s="801"/>
      <c r="V312" s="801"/>
      <c r="W312" s="801"/>
      <c r="X312" s="801"/>
      <c r="Y312" s="801"/>
      <c r="Z312" s="802"/>
      <c r="AA312" s="800" t="str">
        <f>IFERROR(IF(AZ299&gt;AA299-1,IF(INDEX(Pedidos!AJ:BZ,AY299+AA299-1,11)&lt;&gt;"","Cordon :     "&amp; INDEX(Pedidos!AJ:BZ,AY299+AA299-1,11),""),""),"")</f>
        <v/>
      </c>
      <c r="AB312" s="801"/>
      <c r="AC312" s="801"/>
      <c r="AD312" s="801"/>
      <c r="AE312" s="801"/>
      <c r="AF312" s="801"/>
      <c r="AG312" s="801"/>
      <c r="AH312" s="801"/>
      <c r="AI312" s="801"/>
      <c r="AJ312" s="801"/>
      <c r="AK312" s="801"/>
      <c r="AL312" s="801"/>
      <c r="AM312" s="801"/>
      <c r="AN312" s="801"/>
      <c r="AO312" s="801"/>
      <c r="AP312" s="801"/>
      <c r="AQ312" s="801"/>
      <c r="AR312" s="801"/>
      <c r="AS312" s="801"/>
      <c r="AT312" s="801"/>
      <c r="AU312" s="801"/>
      <c r="AV312" s="801"/>
      <c r="AW312" s="801"/>
      <c r="AX312" s="801"/>
      <c r="AY312" s="801"/>
      <c r="AZ312" s="802"/>
      <c r="BA312" s="800" t="str">
        <f>IFERROR(IF(BZ299&gt;BA299-1,IF(INDEX(Pedidos!BJ:CZ,BY299+BA299-1,11)&lt;&gt;"","Cordon :     "&amp; INDEX(Pedidos!BJ:CZ,BY299+BA299-1,11),""),""),"")</f>
        <v/>
      </c>
      <c r="BB312" s="801"/>
      <c r="BC312" s="801"/>
      <c r="BD312" s="801"/>
      <c r="BE312" s="801"/>
      <c r="BF312" s="801"/>
      <c r="BG312" s="801"/>
      <c r="BH312" s="801"/>
      <c r="BI312" s="801"/>
      <c r="BJ312" s="801"/>
      <c r="BK312" s="801"/>
      <c r="BL312" s="801"/>
      <c r="BM312" s="801"/>
      <c r="BN312" s="801"/>
      <c r="BO312" s="801"/>
      <c r="BP312" s="801"/>
      <c r="BQ312" s="801"/>
      <c r="BR312" s="801"/>
      <c r="BS312" s="801"/>
      <c r="BT312" s="801"/>
      <c r="BU312" s="801"/>
      <c r="BV312" s="801"/>
      <c r="BW312" s="801"/>
      <c r="BX312" s="801"/>
      <c r="BY312" s="801"/>
      <c r="BZ312" s="802"/>
      <c r="CA312" s="800" t="str">
        <f>IFERROR(IF(CZ299&gt;CA299-1,IF(INDEX(Pedidos!CJ:DZ,CY299+CA299-1,11)&lt;&gt;"","Cordon :     "&amp; INDEX(Pedidos!CJ:DZ,CY299+CA299-1,11),""),""),"")</f>
        <v/>
      </c>
      <c r="CB312" s="801"/>
      <c r="CC312" s="801"/>
      <c r="CD312" s="801"/>
      <c r="CE312" s="801"/>
      <c r="CF312" s="801"/>
      <c r="CG312" s="801"/>
      <c r="CH312" s="801"/>
      <c r="CI312" s="801"/>
      <c r="CJ312" s="801"/>
      <c r="CK312" s="801"/>
      <c r="CL312" s="801"/>
      <c r="CM312" s="801"/>
      <c r="CN312" s="801"/>
      <c r="CO312" s="801"/>
      <c r="CP312" s="801"/>
      <c r="CQ312" s="801"/>
      <c r="CR312" s="801"/>
      <c r="CS312" s="801"/>
      <c r="CT312" s="801"/>
      <c r="CU312" s="801"/>
      <c r="CV312" s="801"/>
      <c r="CW312" s="801"/>
      <c r="CX312" s="801"/>
      <c r="CY312" s="801"/>
      <c r="CZ312" s="802"/>
      <c r="DA312" s="800" t="str">
        <f>IFERROR(IF(DZ299&gt;DA299-1,IF(INDEX(Pedidos!DJ:EZ,DY299+DA299-1,11)&lt;&gt;"","Cordon :     "&amp; INDEX(Pedidos!DJ:EZ,DY299+DA299-1,11),""),""),"")</f>
        <v/>
      </c>
      <c r="DB312" s="801"/>
      <c r="DC312" s="801"/>
      <c r="DD312" s="801"/>
      <c r="DE312" s="801"/>
      <c r="DF312" s="801"/>
      <c r="DG312" s="801"/>
      <c r="DH312" s="801"/>
      <c r="DI312" s="801"/>
      <c r="DJ312" s="801"/>
      <c r="DK312" s="801"/>
      <c r="DL312" s="801"/>
      <c r="DM312" s="801"/>
      <c r="DN312" s="801"/>
      <c r="DO312" s="801"/>
      <c r="DP312" s="801"/>
      <c r="DQ312" s="801"/>
      <c r="DR312" s="801"/>
      <c r="DS312" s="801"/>
      <c r="DT312" s="801"/>
      <c r="DU312" s="801"/>
      <c r="DV312" s="801"/>
      <c r="DW312" s="801"/>
      <c r="DX312" s="801"/>
      <c r="DY312" s="801"/>
      <c r="DZ312" s="802"/>
      <c r="EA312" s="800" t="str">
        <f>IFERROR(IF(EZ299&gt;EA299-1,IF(INDEX(Pedidos!EJ:FZ,EY299+EA299-1,11)&lt;&gt;"","Cordon :     "&amp; INDEX(Pedidos!EJ:FZ,EY299+EA299-1,11),""),""),"")</f>
        <v/>
      </c>
      <c r="EB312" s="801"/>
      <c r="EC312" s="801"/>
      <c r="ED312" s="801"/>
      <c r="EE312" s="801"/>
      <c r="EF312" s="801"/>
      <c r="EG312" s="801"/>
      <c r="EH312" s="801"/>
      <c r="EI312" s="801"/>
      <c r="EJ312" s="801"/>
      <c r="EK312" s="801"/>
      <c r="EL312" s="801"/>
      <c r="EM312" s="801"/>
      <c r="EN312" s="801"/>
      <c r="EO312" s="801"/>
      <c r="EP312" s="801"/>
      <c r="EQ312" s="801"/>
      <c r="ER312" s="801"/>
      <c r="ES312" s="801"/>
      <c r="ET312" s="801"/>
      <c r="EU312" s="801"/>
      <c r="EV312" s="801"/>
      <c r="EW312" s="801"/>
      <c r="EX312" s="801"/>
      <c r="EY312" s="801"/>
      <c r="EZ312" s="802"/>
      <c r="FA312" s="800" t="str">
        <f>IFERROR(IF(FZ299&gt;FA299-1,IF(INDEX(Pedidos!FJ:GZ,FY299+FA299-1,11)&lt;&gt;"","Cordon :     "&amp; INDEX(Pedidos!FJ:GZ,FY299+FA299-1,11),""),""),"")</f>
        <v/>
      </c>
      <c r="FB312" s="801"/>
      <c r="FC312" s="801"/>
      <c r="FD312" s="801"/>
      <c r="FE312" s="801"/>
      <c r="FF312" s="801"/>
      <c r="FG312" s="801"/>
      <c r="FH312" s="801"/>
      <c r="FI312" s="801"/>
      <c r="FJ312" s="801"/>
      <c r="FK312" s="801"/>
      <c r="FL312" s="801"/>
      <c r="FM312" s="801"/>
      <c r="FN312" s="801"/>
      <c r="FO312" s="801"/>
      <c r="FP312" s="801"/>
      <c r="FQ312" s="801"/>
      <c r="FR312" s="801"/>
      <c r="FS312" s="801"/>
      <c r="FT312" s="801"/>
      <c r="FU312" s="801"/>
      <c r="FV312" s="801"/>
      <c r="FW312" s="801"/>
      <c r="FX312" s="801"/>
      <c r="FY312" s="801"/>
      <c r="FZ312" s="802"/>
      <c r="GA312" s="800" t="str">
        <f>IFERROR(IF(GZ299&gt;GA299-1,IF(INDEX(Pedidos!GJ:HZ,GY299+GA299-1,11)&lt;&gt;"","Cordon :     "&amp; INDEX(Pedidos!GJ:HZ,GY299+GA299-1,11),""),""),"")</f>
        <v/>
      </c>
      <c r="GB312" s="801"/>
      <c r="GC312" s="801"/>
      <c r="GD312" s="801"/>
      <c r="GE312" s="801"/>
      <c r="GF312" s="801"/>
      <c r="GG312" s="801"/>
      <c r="GH312" s="801"/>
      <c r="GI312" s="801"/>
      <c r="GJ312" s="801"/>
      <c r="GK312" s="801"/>
      <c r="GL312" s="801"/>
      <c r="GM312" s="801"/>
      <c r="GN312" s="801"/>
      <c r="GO312" s="801"/>
      <c r="GP312" s="801"/>
      <c r="GQ312" s="801"/>
      <c r="GR312" s="801"/>
      <c r="GS312" s="801"/>
      <c r="GT312" s="801"/>
      <c r="GU312" s="801"/>
      <c r="GV312" s="801"/>
      <c r="GW312" s="801"/>
      <c r="GX312" s="801"/>
      <c r="GY312" s="801"/>
      <c r="GZ312" s="802"/>
      <c r="HA312" s="800" t="str">
        <f>IFERROR(IF(HZ299&gt;HA299-1,IF(INDEX(Pedidos!HJ:IZ,HY299+HA299-1,11)&lt;&gt;"","Cordon :     "&amp; INDEX(Pedidos!HJ:IZ,HY299+HA299-1,11),""),""),"")</f>
        <v/>
      </c>
      <c r="HB312" s="801"/>
      <c r="HC312" s="801"/>
      <c r="HD312" s="801"/>
      <c r="HE312" s="801"/>
      <c r="HF312" s="801"/>
      <c r="HG312" s="801"/>
      <c r="HH312" s="801"/>
      <c r="HI312" s="801"/>
      <c r="HJ312" s="801"/>
      <c r="HK312" s="801"/>
      <c r="HL312" s="801"/>
      <c r="HM312" s="801"/>
      <c r="HN312" s="801"/>
      <c r="HO312" s="801"/>
      <c r="HP312" s="801"/>
      <c r="HQ312" s="801"/>
      <c r="HR312" s="801"/>
      <c r="HS312" s="801"/>
      <c r="HT312" s="801"/>
      <c r="HU312" s="801"/>
      <c r="HV312" s="801"/>
      <c r="HW312" s="801"/>
      <c r="HX312" s="801"/>
      <c r="HY312" s="801"/>
      <c r="HZ312" s="802"/>
      <c r="IA312" s="800" t="str">
        <f>IFERROR(IF(IZ299&gt;IA299-1,IF(INDEX(Pedidos!IJ:JZ,IY299+IA299-1,11)&lt;&gt;"","Cordon :     "&amp; INDEX(Pedidos!IJ:JZ,IY299+IA299-1,11),""),""),"")</f>
        <v/>
      </c>
      <c r="IB312" s="801"/>
      <c r="IC312" s="801"/>
      <c r="ID312" s="801"/>
      <c r="IE312" s="801"/>
      <c r="IF312" s="801"/>
      <c r="IG312" s="801"/>
      <c r="IH312" s="801"/>
      <c r="II312" s="801"/>
      <c r="IJ312" s="801"/>
      <c r="IK312" s="801"/>
      <c r="IL312" s="801"/>
      <c r="IM312" s="801"/>
      <c r="IN312" s="801"/>
      <c r="IO312" s="801"/>
      <c r="IP312" s="801"/>
      <c r="IQ312" s="801"/>
      <c r="IR312" s="801"/>
      <c r="IS312" s="801"/>
      <c r="IT312" s="801"/>
      <c r="IU312" s="801"/>
      <c r="IV312" s="801"/>
      <c r="IW312" s="801"/>
      <c r="IX312" s="801"/>
      <c r="IY312" s="801"/>
      <c r="IZ312" s="802"/>
    </row>
    <row r="313" spans="1:260" x14ac:dyDescent="0.25">
      <c r="A313" s="800" t="str">
        <f>IFERROR(IF(Z299&gt;A299-1,IF(INDEX(Pedidos!J:AZ,Y299+A299-1,12)&lt;&gt;"","Color Cordon :     "&amp; INDEX(Pedidos!J:AZ,Y299+A299-1,12),""),""),"")</f>
        <v/>
      </c>
      <c r="B313" s="801"/>
      <c r="C313" s="801"/>
      <c r="D313" s="801"/>
      <c r="E313" s="801"/>
      <c r="F313" s="801"/>
      <c r="G313" s="801"/>
      <c r="H313" s="801"/>
      <c r="I313" s="801"/>
      <c r="J313" s="801"/>
      <c r="K313" s="801"/>
      <c r="L313" s="801"/>
      <c r="M313" s="801"/>
      <c r="N313" s="801"/>
      <c r="O313" s="801"/>
      <c r="P313" s="801"/>
      <c r="Q313" s="801"/>
      <c r="R313" s="801"/>
      <c r="S313" s="801"/>
      <c r="T313" s="801"/>
      <c r="U313" s="801"/>
      <c r="V313" s="801"/>
      <c r="W313" s="801"/>
      <c r="X313" s="801"/>
      <c r="Y313" s="801"/>
      <c r="Z313" s="802"/>
      <c r="AA313" s="800" t="str">
        <f>IFERROR(IF(AZ299&gt;AA299-1,IF(INDEX(Pedidos!AJ:BZ,AY299+AA299-1,12)&lt;&gt;"","Color Cordon :     "&amp; INDEX(Pedidos!AJ:BZ,AY299+AA299-1,12),""),""),"")</f>
        <v/>
      </c>
      <c r="AB313" s="801"/>
      <c r="AC313" s="801"/>
      <c r="AD313" s="801"/>
      <c r="AE313" s="801"/>
      <c r="AF313" s="801"/>
      <c r="AG313" s="801"/>
      <c r="AH313" s="801"/>
      <c r="AI313" s="801"/>
      <c r="AJ313" s="801"/>
      <c r="AK313" s="801"/>
      <c r="AL313" s="801"/>
      <c r="AM313" s="801"/>
      <c r="AN313" s="801"/>
      <c r="AO313" s="801"/>
      <c r="AP313" s="801"/>
      <c r="AQ313" s="801"/>
      <c r="AR313" s="801"/>
      <c r="AS313" s="801"/>
      <c r="AT313" s="801"/>
      <c r="AU313" s="801"/>
      <c r="AV313" s="801"/>
      <c r="AW313" s="801"/>
      <c r="AX313" s="801"/>
      <c r="AY313" s="801"/>
      <c r="AZ313" s="802"/>
      <c r="BA313" s="800" t="str">
        <f>IFERROR(IF(BZ299&gt;BA299-1,IF(INDEX(Pedidos!BJ:CZ,BY299+BA299-1,12)&lt;&gt;"","Color Cordon :     "&amp; INDEX(Pedidos!BJ:CZ,BY299+BA299-1,12),""),""),"")</f>
        <v/>
      </c>
      <c r="BB313" s="801"/>
      <c r="BC313" s="801"/>
      <c r="BD313" s="801"/>
      <c r="BE313" s="801"/>
      <c r="BF313" s="801"/>
      <c r="BG313" s="801"/>
      <c r="BH313" s="801"/>
      <c r="BI313" s="801"/>
      <c r="BJ313" s="801"/>
      <c r="BK313" s="801"/>
      <c r="BL313" s="801"/>
      <c r="BM313" s="801"/>
      <c r="BN313" s="801"/>
      <c r="BO313" s="801"/>
      <c r="BP313" s="801"/>
      <c r="BQ313" s="801"/>
      <c r="BR313" s="801"/>
      <c r="BS313" s="801"/>
      <c r="BT313" s="801"/>
      <c r="BU313" s="801"/>
      <c r="BV313" s="801"/>
      <c r="BW313" s="801"/>
      <c r="BX313" s="801"/>
      <c r="BY313" s="801"/>
      <c r="BZ313" s="802"/>
      <c r="CA313" s="800" t="str">
        <f>IFERROR(IF(CZ299&gt;CA299-1,IF(INDEX(Pedidos!CJ:DZ,CY299+CA299-1,12)&lt;&gt;"","Color Cordon :     "&amp; INDEX(Pedidos!CJ:DZ,CY299+CA299-1,12),""),""),"")</f>
        <v/>
      </c>
      <c r="CB313" s="801"/>
      <c r="CC313" s="801"/>
      <c r="CD313" s="801"/>
      <c r="CE313" s="801"/>
      <c r="CF313" s="801"/>
      <c r="CG313" s="801"/>
      <c r="CH313" s="801"/>
      <c r="CI313" s="801"/>
      <c r="CJ313" s="801"/>
      <c r="CK313" s="801"/>
      <c r="CL313" s="801"/>
      <c r="CM313" s="801"/>
      <c r="CN313" s="801"/>
      <c r="CO313" s="801"/>
      <c r="CP313" s="801"/>
      <c r="CQ313" s="801"/>
      <c r="CR313" s="801"/>
      <c r="CS313" s="801"/>
      <c r="CT313" s="801"/>
      <c r="CU313" s="801"/>
      <c r="CV313" s="801"/>
      <c r="CW313" s="801"/>
      <c r="CX313" s="801"/>
      <c r="CY313" s="801"/>
      <c r="CZ313" s="802"/>
      <c r="DA313" s="800" t="str">
        <f>IFERROR(IF(DZ299&gt;DA299-1,IF(INDEX(Pedidos!DJ:EZ,DY299+DA299-1,12)&lt;&gt;"","Color Cordon :     "&amp; INDEX(Pedidos!DJ:EZ,DY299+DA299-1,12),""),""),"")</f>
        <v/>
      </c>
      <c r="DB313" s="801"/>
      <c r="DC313" s="801"/>
      <c r="DD313" s="801"/>
      <c r="DE313" s="801"/>
      <c r="DF313" s="801"/>
      <c r="DG313" s="801"/>
      <c r="DH313" s="801"/>
      <c r="DI313" s="801"/>
      <c r="DJ313" s="801"/>
      <c r="DK313" s="801"/>
      <c r="DL313" s="801"/>
      <c r="DM313" s="801"/>
      <c r="DN313" s="801"/>
      <c r="DO313" s="801"/>
      <c r="DP313" s="801"/>
      <c r="DQ313" s="801"/>
      <c r="DR313" s="801"/>
      <c r="DS313" s="801"/>
      <c r="DT313" s="801"/>
      <c r="DU313" s="801"/>
      <c r="DV313" s="801"/>
      <c r="DW313" s="801"/>
      <c r="DX313" s="801"/>
      <c r="DY313" s="801"/>
      <c r="DZ313" s="802"/>
      <c r="EA313" s="800" t="str">
        <f>IFERROR(IF(EZ299&gt;EA299-1,IF(INDEX(Pedidos!EJ:FZ,EY299+EA299-1,12)&lt;&gt;"","Color Cordon :     "&amp; INDEX(Pedidos!EJ:FZ,EY299+EA299-1,12),""),""),"")</f>
        <v/>
      </c>
      <c r="EB313" s="801"/>
      <c r="EC313" s="801"/>
      <c r="ED313" s="801"/>
      <c r="EE313" s="801"/>
      <c r="EF313" s="801"/>
      <c r="EG313" s="801"/>
      <c r="EH313" s="801"/>
      <c r="EI313" s="801"/>
      <c r="EJ313" s="801"/>
      <c r="EK313" s="801"/>
      <c r="EL313" s="801"/>
      <c r="EM313" s="801"/>
      <c r="EN313" s="801"/>
      <c r="EO313" s="801"/>
      <c r="EP313" s="801"/>
      <c r="EQ313" s="801"/>
      <c r="ER313" s="801"/>
      <c r="ES313" s="801"/>
      <c r="ET313" s="801"/>
      <c r="EU313" s="801"/>
      <c r="EV313" s="801"/>
      <c r="EW313" s="801"/>
      <c r="EX313" s="801"/>
      <c r="EY313" s="801"/>
      <c r="EZ313" s="802"/>
      <c r="FA313" s="800" t="str">
        <f>IFERROR(IF(FZ299&gt;FA299-1,IF(INDEX(Pedidos!FJ:GZ,FY299+FA299-1,12)&lt;&gt;"","Color Cordon :     "&amp; INDEX(Pedidos!FJ:GZ,FY299+FA299-1,12),""),""),"")</f>
        <v/>
      </c>
      <c r="FB313" s="801"/>
      <c r="FC313" s="801"/>
      <c r="FD313" s="801"/>
      <c r="FE313" s="801"/>
      <c r="FF313" s="801"/>
      <c r="FG313" s="801"/>
      <c r="FH313" s="801"/>
      <c r="FI313" s="801"/>
      <c r="FJ313" s="801"/>
      <c r="FK313" s="801"/>
      <c r="FL313" s="801"/>
      <c r="FM313" s="801"/>
      <c r="FN313" s="801"/>
      <c r="FO313" s="801"/>
      <c r="FP313" s="801"/>
      <c r="FQ313" s="801"/>
      <c r="FR313" s="801"/>
      <c r="FS313" s="801"/>
      <c r="FT313" s="801"/>
      <c r="FU313" s="801"/>
      <c r="FV313" s="801"/>
      <c r="FW313" s="801"/>
      <c r="FX313" s="801"/>
      <c r="FY313" s="801"/>
      <c r="FZ313" s="802"/>
      <c r="GA313" s="800" t="str">
        <f>IFERROR(IF(GZ299&gt;GA299-1,IF(INDEX(Pedidos!GJ:HZ,GY299+GA299-1,12)&lt;&gt;"","Color Cordon :     "&amp; INDEX(Pedidos!GJ:HZ,GY299+GA299-1,12),""),""),"")</f>
        <v/>
      </c>
      <c r="GB313" s="801"/>
      <c r="GC313" s="801"/>
      <c r="GD313" s="801"/>
      <c r="GE313" s="801"/>
      <c r="GF313" s="801"/>
      <c r="GG313" s="801"/>
      <c r="GH313" s="801"/>
      <c r="GI313" s="801"/>
      <c r="GJ313" s="801"/>
      <c r="GK313" s="801"/>
      <c r="GL313" s="801"/>
      <c r="GM313" s="801"/>
      <c r="GN313" s="801"/>
      <c r="GO313" s="801"/>
      <c r="GP313" s="801"/>
      <c r="GQ313" s="801"/>
      <c r="GR313" s="801"/>
      <c r="GS313" s="801"/>
      <c r="GT313" s="801"/>
      <c r="GU313" s="801"/>
      <c r="GV313" s="801"/>
      <c r="GW313" s="801"/>
      <c r="GX313" s="801"/>
      <c r="GY313" s="801"/>
      <c r="GZ313" s="802"/>
      <c r="HA313" s="800" t="str">
        <f>IFERROR(IF(HZ299&gt;HA299-1,IF(INDEX(Pedidos!HJ:IZ,HY299+HA299-1,12)&lt;&gt;"","Color Cordon :     "&amp; INDEX(Pedidos!HJ:IZ,HY299+HA299-1,12),""),""),"")</f>
        <v/>
      </c>
      <c r="HB313" s="801"/>
      <c r="HC313" s="801"/>
      <c r="HD313" s="801"/>
      <c r="HE313" s="801"/>
      <c r="HF313" s="801"/>
      <c r="HG313" s="801"/>
      <c r="HH313" s="801"/>
      <c r="HI313" s="801"/>
      <c r="HJ313" s="801"/>
      <c r="HK313" s="801"/>
      <c r="HL313" s="801"/>
      <c r="HM313" s="801"/>
      <c r="HN313" s="801"/>
      <c r="HO313" s="801"/>
      <c r="HP313" s="801"/>
      <c r="HQ313" s="801"/>
      <c r="HR313" s="801"/>
      <c r="HS313" s="801"/>
      <c r="HT313" s="801"/>
      <c r="HU313" s="801"/>
      <c r="HV313" s="801"/>
      <c r="HW313" s="801"/>
      <c r="HX313" s="801"/>
      <c r="HY313" s="801"/>
      <c r="HZ313" s="802"/>
      <c r="IA313" s="800" t="str">
        <f>IFERROR(IF(IZ299&gt;IA299-1,IF(INDEX(Pedidos!IJ:JZ,IY299+IA299-1,12)&lt;&gt;"","Color Cordon :     "&amp; INDEX(Pedidos!IJ:JZ,IY299+IA299-1,12),""),""),"")</f>
        <v/>
      </c>
      <c r="IB313" s="801"/>
      <c r="IC313" s="801"/>
      <c r="ID313" s="801"/>
      <c r="IE313" s="801"/>
      <c r="IF313" s="801"/>
      <c r="IG313" s="801"/>
      <c r="IH313" s="801"/>
      <c r="II313" s="801"/>
      <c r="IJ313" s="801"/>
      <c r="IK313" s="801"/>
      <c r="IL313" s="801"/>
      <c r="IM313" s="801"/>
      <c r="IN313" s="801"/>
      <c r="IO313" s="801"/>
      <c r="IP313" s="801"/>
      <c r="IQ313" s="801"/>
      <c r="IR313" s="801"/>
      <c r="IS313" s="801"/>
      <c r="IT313" s="801"/>
      <c r="IU313" s="801"/>
      <c r="IV313" s="801"/>
      <c r="IW313" s="801"/>
      <c r="IX313" s="801"/>
      <c r="IY313" s="801"/>
      <c r="IZ313" s="802"/>
    </row>
    <row r="314" spans="1:260" x14ac:dyDescent="0.25">
      <c r="A314" s="800"/>
      <c r="B314" s="801"/>
      <c r="C314" s="801"/>
      <c r="D314" s="801"/>
      <c r="E314" s="801"/>
      <c r="F314" s="801"/>
      <c r="G314" s="801"/>
      <c r="H314" s="801"/>
      <c r="I314" s="801"/>
      <c r="J314" s="801"/>
      <c r="K314" s="801"/>
      <c r="L314" s="801"/>
      <c r="M314" s="801"/>
      <c r="N314" s="801"/>
      <c r="O314" s="801"/>
      <c r="P314" s="801"/>
      <c r="Q314" s="801"/>
      <c r="R314" s="801"/>
      <c r="S314" s="801"/>
      <c r="T314" s="801"/>
      <c r="U314" s="801"/>
      <c r="V314" s="801"/>
      <c r="W314" s="801"/>
      <c r="X314" s="801"/>
      <c r="Y314" s="801"/>
      <c r="Z314" s="802"/>
      <c r="AA314" s="800"/>
      <c r="AB314" s="801"/>
      <c r="AC314" s="801"/>
      <c r="AD314" s="801"/>
      <c r="AE314" s="801"/>
      <c r="AF314" s="801"/>
      <c r="AG314" s="801"/>
      <c r="AH314" s="801"/>
      <c r="AI314" s="801"/>
      <c r="AJ314" s="801"/>
      <c r="AK314" s="801"/>
      <c r="AL314" s="801"/>
      <c r="AM314" s="801"/>
      <c r="AN314" s="801"/>
      <c r="AO314" s="801"/>
      <c r="AP314" s="801"/>
      <c r="AQ314" s="801"/>
      <c r="AR314" s="801"/>
      <c r="AS314" s="801"/>
      <c r="AT314" s="801"/>
      <c r="AU314" s="801"/>
      <c r="AV314" s="801"/>
      <c r="AW314" s="801"/>
      <c r="AX314" s="801"/>
      <c r="AY314" s="801"/>
      <c r="AZ314" s="802"/>
      <c r="BA314" s="800"/>
      <c r="BB314" s="801"/>
      <c r="BC314" s="801"/>
      <c r="BD314" s="801"/>
      <c r="BE314" s="801"/>
      <c r="BF314" s="801"/>
      <c r="BG314" s="801"/>
      <c r="BH314" s="801"/>
      <c r="BI314" s="801"/>
      <c r="BJ314" s="801"/>
      <c r="BK314" s="801"/>
      <c r="BL314" s="801"/>
      <c r="BM314" s="801"/>
      <c r="BN314" s="801"/>
      <c r="BO314" s="801"/>
      <c r="BP314" s="801"/>
      <c r="BQ314" s="801"/>
      <c r="BR314" s="801"/>
      <c r="BS314" s="801"/>
      <c r="BT314" s="801"/>
      <c r="BU314" s="801"/>
      <c r="BV314" s="801"/>
      <c r="BW314" s="801"/>
      <c r="BX314" s="801"/>
      <c r="BY314" s="801"/>
      <c r="BZ314" s="802"/>
      <c r="CA314" s="800"/>
      <c r="CB314" s="801"/>
      <c r="CC314" s="801"/>
      <c r="CD314" s="801"/>
      <c r="CE314" s="801"/>
      <c r="CF314" s="801"/>
      <c r="CG314" s="801"/>
      <c r="CH314" s="801"/>
      <c r="CI314" s="801"/>
      <c r="CJ314" s="801"/>
      <c r="CK314" s="801"/>
      <c r="CL314" s="801"/>
      <c r="CM314" s="801"/>
      <c r="CN314" s="801"/>
      <c r="CO314" s="801"/>
      <c r="CP314" s="801"/>
      <c r="CQ314" s="801"/>
      <c r="CR314" s="801"/>
      <c r="CS314" s="801"/>
      <c r="CT314" s="801"/>
      <c r="CU314" s="801"/>
      <c r="CV314" s="801"/>
      <c r="CW314" s="801"/>
      <c r="CX314" s="801"/>
      <c r="CY314" s="801"/>
      <c r="CZ314" s="802"/>
      <c r="DA314" s="800"/>
      <c r="DB314" s="801"/>
      <c r="DC314" s="801"/>
      <c r="DD314" s="801"/>
      <c r="DE314" s="801"/>
      <c r="DF314" s="801"/>
      <c r="DG314" s="801"/>
      <c r="DH314" s="801"/>
      <c r="DI314" s="801"/>
      <c r="DJ314" s="801"/>
      <c r="DK314" s="801"/>
      <c r="DL314" s="801"/>
      <c r="DM314" s="801"/>
      <c r="DN314" s="801"/>
      <c r="DO314" s="801"/>
      <c r="DP314" s="801"/>
      <c r="DQ314" s="801"/>
      <c r="DR314" s="801"/>
      <c r="DS314" s="801"/>
      <c r="DT314" s="801"/>
      <c r="DU314" s="801"/>
      <c r="DV314" s="801"/>
      <c r="DW314" s="801"/>
      <c r="DX314" s="801"/>
      <c r="DY314" s="801"/>
      <c r="DZ314" s="802"/>
      <c r="EA314" s="800"/>
      <c r="EB314" s="801"/>
      <c r="EC314" s="801"/>
      <c r="ED314" s="801"/>
      <c r="EE314" s="801"/>
      <c r="EF314" s="801"/>
      <c r="EG314" s="801"/>
      <c r="EH314" s="801"/>
      <c r="EI314" s="801"/>
      <c r="EJ314" s="801"/>
      <c r="EK314" s="801"/>
      <c r="EL314" s="801"/>
      <c r="EM314" s="801"/>
      <c r="EN314" s="801"/>
      <c r="EO314" s="801"/>
      <c r="EP314" s="801"/>
      <c r="EQ314" s="801"/>
      <c r="ER314" s="801"/>
      <c r="ES314" s="801"/>
      <c r="ET314" s="801"/>
      <c r="EU314" s="801"/>
      <c r="EV314" s="801"/>
      <c r="EW314" s="801"/>
      <c r="EX314" s="801"/>
      <c r="EY314" s="801"/>
      <c r="EZ314" s="802"/>
      <c r="FA314" s="800"/>
      <c r="FB314" s="801"/>
      <c r="FC314" s="801"/>
      <c r="FD314" s="801"/>
      <c r="FE314" s="801"/>
      <c r="FF314" s="801"/>
      <c r="FG314" s="801"/>
      <c r="FH314" s="801"/>
      <c r="FI314" s="801"/>
      <c r="FJ314" s="801"/>
      <c r="FK314" s="801"/>
      <c r="FL314" s="801"/>
      <c r="FM314" s="801"/>
      <c r="FN314" s="801"/>
      <c r="FO314" s="801"/>
      <c r="FP314" s="801"/>
      <c r="FQ314" s="801"/>
      <c r="FR314" s="801"/>
      <c r="FS314" s="801"/>
      <c r="FT314" s="801"/>
      <c r="FU314" s="801"/>
      <c r="FV314" s="801"/>
      <c r="FW314" s="801"/>
      <c r="FX314" s="801"/>
      <c r="FY314" s="801"/>
      <c r="FZ314" s="802"/>
      <c r="GA314" s="800"/>
      <c r="GB314" s="801"/>
      <c r="GC314" s="801"/>
      <c r="GD314" s="801"/>
      <c r="GE314" s="801"/>
      <c r="GF314" s="801"/>
      <c r="GG314" s="801"/>
      <c r="GH314" s="801"/>
      <c r="GI314" s="801"/>
      <c r="GJ314" s="801"/>
      <c r="GK314" s="801"/>
      <c r="GL314" s="801"/>
      <c r="GM314" s="801"/>
      <c r="GN314" s="801"/>
      <c r="GO314" s="801"/>
      <c r="GP314" s="801"/>
      <c r="GQ314" s="801"/>
      <c r="GR314" s="801"/>
      <c r="GS314" s="801"/>
      <c r="GT314" s="801"/>
      <c r="GU314" s="801"/>
      <c r="GV314" s="801"/>
      <c r="GW314" s="801"/>
      <c r="GX314" s="801"/>
      <c r="GY314" s="801"/>
      <c r="GZ314" s="802"/>
      <c r="HA314" s="800"/>
      <c r="HB314" s="801"/>
      <c r="HC314" s="801"/>
      <c r="HD314" s="801"/>
      <c r="HE314" s="801"/>
      <c r="HF314" s="801"/>
      <c r="HG314" s="801"/>
      <c r="HH314" s="801"/>
      <c r="HI314" s="801"/>
      <c r="HJ314" s="801"/>
      <c r="HK314" s="801"/>
      <c r="HL314" s="801"/>
      <c r="HM314" s="801"/>
      <c r="HN314" s="801"/>
      <c r="HO314" s="801"/>
      <c r="HP314" s="801"/>
      <c r="HQ314" s="801"/>
      <c r="HR314" s="801"/>
      <c r="HS314" s="801"/>
      <c r="HT314" s="801"/>
      <c r="HU314" s="801"/>
      <c r="HV314" s="801"/>
      <c r="HW314" s="801"/>
      <c r="HX314" s="801"/>
      <c r="HY314" s="801"/>
      <c r="HZ314" s="802"/>
      <c r="IA314" s="800"/>
      <c r="IB314" s="801"/>
      <c r="IC314" s="801"/>
      <c r="ID314" s="801"/>
      <c r="IE314" s="801"/>
      <c r="IF314" s="801"/>
      <c r="IG314" s="801"/>
      <c r="IH314" s="801"/>
      <c r="II314" s="801"/>
      <c r="IJ314" s="801"/>
      <c r="IK314" s="801"/>
      <c r="IL314" s="801"/>
      <c r="IM314" s="801"/>
      <c r="IN314" s="801"/>
      <c r="IO314" s="801"/>
      <c r="IP314" s="801"/>
      <c r="IQ314" s="801"/>
      <c r="IR314" s="801"/>
      <c r="IS314" s="801"/>
      <c r="IT314" s="801"/>
      <c r="IU314" s="801"/>
      <c r="IV314" s="801"/>
      <c r="IW314" s="801"/>
      <c r="IX314" s="801"/>
      <c r="IY314" s="801"/>
      <c r="IZ314" s="802"/>
    </row>
    <row r="315" spans="1:260" x14ac:dyDescent="0.25">
      <c r="A315" s="800"/>
      <c r="B315" s="801"/>
      <c r="C315" s="801"/>
      <c r="D315" s="801"/>
      <c r="E315" s="801"/>
      <c r="F315" s="801"/>
      <c r="G315" s="801"/>
      <c r="H315" s="801"/>
      <c r="I315" s="801"/>
      <c r="J315" s="801"/>
      <c r="K315" s="801"/>
      <c r="L315" s="801"/>
      <c r="M315" s="801"/>
      <c r="N315" s="801"/>
      <c r="O315" s="801"/>
      <c r="P315" s="801"/>
      <c r="Q315" s="801"/>
      <c r="R315" s="801"/>
      <c r="S315" s="801"/>
      <c r="T315" s="801"/>
      <c r="U315" s="801"/>
      <c r="V315" s="801"/>
      <c r="W315" s="801"/>
      <c r="X315" s="801"/>
      <c r="Y315" s="801"/>
      <c r="Z315" s="802"/>
      <c r="AA315" s="800"/>
      <c r="AB315" s="801"/>
      <c r="AC315" s="801"/>
      <c r="AD315" s="801"/>
      <c r="AE315" s="801"/>
      <c r="AF315" s="801"/>
      <c r="AG315" s="801"/>
      <c r="AH315" s="801"/>
      <c r="AI315" s="801"/>
      <c r="AJ315" s="801"/>
      <c r="AK315" s="801"/>
      <c r="AL315" s="801"/>
      <c r="AM315" s="801"/>
      <c r="AN315" s="801"/>
      <c r="AO315" s="801"/>
      <c r="AP315" s="801"/>
      <c r="AQ315" s="801"/>
      <c r="AR315" s="801"/>
      <c r="AS315" s="801"/>
      <c r="AT315" s="801"/>
      <c r="AU315" s="801"/>
      <c r="AV315" s="801"/>
      <c r="AW315" s="801"/>
      <c r="AX315" s="801"/>
      <c r="AY315" s="801"/>
      <c r="AZ315" s="802"/>
      <c r="BA315" s="800"/>
      <c r="BB315" s="801"/>
      <c r="BC315" s="801"/>
      <c r="BD315" s="801"/>
      <c r="BE315" s="801"/>
      <c r="BF315" s="801"/>
      <c r="BG315" s="801"/>
      <c r="BH315" s="801"/>
      <c r="BI315" s="801"/>
      <c r="BJ315" s="801"/>
      <c r="BK315" s="801"/>
      <c r="BL315" s="801"/>
      <c r="BM315" s="801"/>
      <c r="BN315" s="801"/>
      <c r="BO315" s="801"/>
      <c r="BP315" s="801"/>
      <c r="BQ315" s="801"/>
      <c r="BR315" s="801"/>
      <c r="BS315" s="801"/>
      <c r="BT315" s="801"/>
      <c r="BU315" s="801"/>
      <c r="BV315" s="801"/>
      <c r="BW315" s="801"/>
      <c r="BX315" s="801"/>
      <c r="BY315" s="801"/>
      <c r="BZ315" s="802"/>
      <c r="CA315" s="800"/>
      <c r="CB315" s="801"/>
      <c r="CC315" s="801"/>
      <c r="CD315" s="801"/>
      <c r="CE315" s="801"/>
      <c r="CF315" s="801"/>
      <c r="CG315" s="801"/>
      <c r="CH315" s="801"/>
      <c r="CI315" s="801"/>
      <c r="CJ315" s="801"/>
      <c r="CK315" s="801"/>
      <c r="CL315" s="801"/>
      <c r="CM315" s="801"/>
      <c r="CN315" s="801"/>
      <c r="CO315" s="801"/>
      <c r="CP315" s="801"/>
      <c r="CQ315" s="801"/>
      <c r="CR315" s="801"/>
      <c r="CS315" s="801"/>
      <c r="CT315" s="801"/>
      <c r="CU315" s="801"/>
      <c r="CV315" s="801"/>
      <c r="CW315" s="801"/>
      <c r="CX315" s="801"/>
      <c r="CY315" s="801"/>
      <c r="CZ315" s="802"/>
      <c r="DA315" s="800"/>
      <c r="DB315" s="801"/>
      <c r="DC315" s="801"/>
      <c r="DD315" s="801"/>
      <c r="DE315" s="801"/>
      <c r="DF315" s="801"/>
      <c r="DG315" s="801"/>
      <c r="DH315" s="801"/>
      <c r="DI315" s="801"/>
      <c r="DJ315" s="801"/>
      <c r="DK315" s="801"/>
      <c r="DL315" s="801"/>
      <c r="DM315" s="801"/>
      <c r="DN315" s="801"/>
      <c r="DO315" s="801"/>
      <c r="DP315" s="801"/>
      <c r="DQ315" s="801"/>
      <c r="DR315" s="801"/>
      <c r="DS315" s="801"/>
      <c r="DT315" s="801"/>
      <c r="DU315" s="801"/>
      <c r="DV315" s="801"/>
      <c r="DW315" s="801"/>
      <c r="DX315" s="801"/>
      <c r="DY315" s="801"/>
      <c r="DZ315" s="802"/>
      <c r="EA315" s="800"/>
      <c r="EB315" s="801"/>
      <c r="EC315" s="801"/>
      <c r="ED315" s="801"/>
      <c r="EE315" s="801"/>
      <c r="EF315" s="801"/>
      <c r="EG315" s="801"/>
      <c r="EH315" s="801"/>
      <c r="EI315" s="801"/>
      <c r="EJ315" s="801"/>
      <c r="EK315" s="801"/>
      <c r="EL315" s="801"/>
      <c r="EM315" s="801"/>
      <c r="EN315" s="801"/>
      <c r="EO315" s="801"/>
      <c r="EP315" s="801"/>
      <c r="EQ315" s="801"/>
      <c r="ER315" s="801"/>
      <c r="ES315" s="801"/>
      <c r="ET315" s="801"/>
      <c r="EU315" s="801"/>
      <c r="EV315" s="801"/>
      <c r="EW315" s="801"/>
      <c r="EX315" s="801"/>
      <c r="EY315" s="801"/>
      <c r="EZ315" s="802"/>
      <c r="FA315" s="800"/>
      <c r="FB315" s="801"/>
      <c r="FC315" s="801"/>
      <c r="FD315" s="801"/>
      <c r="FE315" s="801"/>
      <c r="FF315" s="801"/>
      <c r="FG315" s="801"/>
      <c r="FH315" s="801"/>
      <c r="FI315" s="801"/>
      <c r="FJ315" s="801"/>
      <c r="FK315" s="801"/>
      <c r="FL315" s="801"/>
      <c r="FM315" s="801"/>
      <c r="FN315" s="801"/>
      <c r="FO315" s="801"/>
      <c r="FP315" s="801"/>
      <c r="FQ315" s="801"/>
      <c r="FR315" s="801"/>
      <c r="FS315" s="801"/>
      <c r="FT315" s="801"/>
      <c r="FU315" s="801"/>
      <c r="FV315" s="801"/>
      <c r="FW315" s="801"/>
      <c r="FX315" s="801"/>
      <c r="FY315" s="801"/>
      <c r="FZ315" s="802"/>
      <c r="GA315" s="800"/>
      <c r="GB315" s="801"/>
      <c r="GC315" s="801"/>
      <c r="GD315" s="801"/>
      <c r="GE315" s="801"/>
      <c r="GF315" s="801"/>
      <c r="GG315" s="801"/>
      <c r="GH315" s="801"/>
      <c r="GI315" s="801"/>
      <c r="GJ315" s="801"/>
      <c r="GK315" s="801"/>
      <c r="GL315" s="801"/>
      <c r="GM315" s="801"/>
      <c r="GN315" s="801"/>
      <c r="GO315" s="801"/>
      <c r="GP315" s="801"/>
      <c r="GQ315" s="801"/>
      <c r="GR315" s="801"/>
      <c r="GS315" s="801"/>
      <c r="GT315" s="801"/>
      <c r="GU315" s="801"/>
      <c r="GV315" s="801"/>
      <c r="GW315" s="801"/>
      <c r="GX315" s="801"/>
      <c r="GY315" s="801"/>
      <c r="GZ315" s="802"/>
      <c r="HA315" s="800"/>
      <c r="HB315" s="801"/>
      <c r="HC315" s="801"/>
      <c r="HD315" s="801"/>
      <c r="HE315" s="801"/>
      <c r="HF315" s="801"/>
      <c r="HG315" s="801"/>
      <c r="HH315" s="801"/>
      <c r="HI315" s="801"/>
      <c r="HJ315" s="801"/>
      <c r="HK315" s="801"/>
      <c r="HL315" s="801"/>
      <c r="HM315" s="801"/>
      <c r="HN315" s="801"/>
      <c r="HO315" s="801"/>
      <c r="HP315" s="801"/>
      <c r="HQ315" s="801"/>
      <c r="HR315" s="801"/>
      <c r="HS315" s="801"/>
      <c r="HT315" s="801"/>
      <c r="HU315" s="801"/>
      <c r="HV315" s="801"/>
      <c r="HW315" s="801"/>
      <c r="HX315" s="801"/>
      <c r="HY315" s="801"/>
      <c r="HZ315" s="802"/>
      <c r="IA315" s="800"/>
      <c r="IB315" s="801"/>
      <c r="IC315" s="801"/>
      <c r="ID315" s="801"/>
      <c r="IE315" s="801"/>
      <c r="IF315" s="801"/>
      <c r="IG315" s="801"/>
      <c r="IH315" s="801"/>
      <c r="II315" s="801"/>
      <c r="IJ315" s="801"/>
      <c r="IK315" s="801"/>
      <c r="IL315" s="801"/>
      <c r="IM315" s="801"/>
      <c r="IN315" s="801"/>
      <c r="IO315" s="801"/>
      <c r="IP315" s="801"/>
      <c r="IQ315" s="801"/>
      <c r="IR315" s="801"/>
      <c r="IS315" s="801"/>
      <c r="IT315" s="801"/>
      <c r="IU315" s="801"/>
      <c r="IV315" s="801"/>
      <c r="IW315" s="801"/>
      <c r="IX315" s="801"/>
      <c r="IY315" s="801"/>
      <c r="IZ315" s="802"/>
    </row>
    <row r="316" spans="1:260" x14ac:dyDescent="0.25">
      <c r="A316" s="800" t="str">
        <f>IFERROR(IF(Z299&gt;A299-1,IF(INDEX(Pedidos!J:AZ,Y299+A299-1,31)&lt;&gt;"","Nombres :     "&amp; INDEX(Pedidos!J:AZ,Y299+A299-1,31),""),""),"")</f>
        <v/>
      </c>
      <c r="B316" s="801"/>
      <c r="C316" s="801"/>
      <c r="D316" s="801"/>
      <c r="E316" s="801"/>
      <c r="F316" s="801"/>
      <c r="G316" s="801"/>
      <c r="H316" s="801"/>
      <c r="I316" s="801"/>
      <c r="J316" s="801"/>
      <c r="K316" s="801"/>
      <c r="L316" s="801"/>
      <c r="M316" s="801"/>
      <c r="N316" s="801"/>
      <c r="O316" s="801"/>
      <c r="P316" s="801"/>
      <c r="Q316" s="801"/>
      <c r="R316" s="801"/>
      <c r="S316" s="801"/>
      <c r="T316" s="801"/>
      <c r="U316" s="801"/>
      <c r="V316" s="801"/>
      <c r="W316" s="801"/>
      <c r="X316" s="801"/>
      <c r="Y316" s="801"/>
      <c r="Z316" s="802"/>
      <c r="AA316" s="800" t="str">
        <f>IFERROR(IF(AZ299&gt;AA299-1,IF(INDEX(Pedidos!AJ:BZ,AY299+AA299-1,31)&lt;&gt;"","Nombres :     "&amp; INDEX(Pedidos!AJ:BZ,AY299+AA299-1,31),""),""),"")</f>
        <v/>
      </c>
      <c r="AB316" s="801"/>
      <c r="AC316" s="801"/>
      <c r="AD316" s="801"/>
      <c r="AE316" s="801"/>
      <c r="AF316" s="801"/>
      <c r="AG316" s="801"/>
      <c r="AH316" s="801"/>
      <c r="AI316" s="801"/>
      <c r="AJ316" s="801"/>
      <c r="AK316" s="801"/>
      <c r="AL316" s="801"/>
      <c r="AM316" s="801"/>
      <c r="AN316" s="801"/>
      <c r="AO316" s="801"/>
      <c r="AP316" s="801"/>
      <c r="AQ316" s="801"/>
      <c r="AR316" s="801"/>
      <c r="AS316" s="801"/>
      <c r="AT316" s="801"/>
      <c r="AU316" s="801"/>
      <c r="AV316" s="801"/>
      <c r="AW316" s="801"/>
      <c r="AX316" s="801"/>
      <c r="AY316" s="801"/>
      <c r="AZ316" s="802"/>
      <c r="BA316" s="800" t="str">
        <f>IFERROR(IF(BZ299&gt;BA299-1,IF(INDEX(Pedidos!BJ:CZ,BY299+BA299-1,31)&lt;&gt;"","Nombres :     "&amp; INDEX(Pedidos!BJ:CZ,BY299+BA299-1,31),""),""),"")</f>
        <v/>
      </c>
      <c r="BB316" s="801"/>
      <c r="BC316" s="801"/>
      <c r="BD316" s="801"/>
      <c r="BE316" s="801"/>
      <c r="BF316" s="801"/>
      <c r="BG316" s="801"/>
      <c r="BH316" s="801"/>
      <c r="BI316" s="801"/>
      <c r="BJ316" s="801"/>
      <c r="BK316" s="801"/>
      <c r="BL316" s="801"/>
      <c r="BM316" s="801"/>
      <c r="BN316" s="801"/>
      <c r="BO316" s="801"/>
      <c r="BP316" s="801"/>
      <c r="BQ316" s="801"/>
      <c r="BR316" s="801"/>
      <c r="BS316" s="801"/>
      <c r="BT316" s="801"/>
      <c r="BU316" s="801"/>
      <c r="BV316" s="801"/>
      <c r="BW316" s="801"/>
      <c r="BX316" s="801"/>
      <c r="BY316" s="801"/>
      <c r="BZ316" s="802"/>
      <c r="CA316" s="800" t="str">
        <f>IFERROR(IF(CZ299&gt;CA299-1,IF(INDEX(Pedidos!CJ:DZ,CY299+CA299-1,31)&lt;&gt;"","Nombres :     "&amp; INDEX(Pedidos!CJ:DZ,CY299+CA299-1,31),""),""),"")</f>
        <v/>
      </c>
      <c r="CB316" s="801"/>
      <c r="CC316" s="801"/>
      <c r="CD316" s="801"/>
      <c r="CE316" s="801"/>
      <c r="CF316" s="801"/>
      <c r="CG316" s="801"/>
      <c r="CH316" s="801"/>
      <c r="CI316" s="801"/>
      <c r="CJ316" s="801"/>
      <c r="CK316" s="801"/>
      <c r="CL316" s="801"/>
      <c r="CM316" s="801"/>
      <c r="CN316" s="801"/>
      <c r="CO316" s="801"/>
      <c r="CP316" s="801"/>
      <c r="CQ316" s="801"/>
      <c r="CR316" s="801"/>
      <c r="CS316" s="801"/>
      <c r="CT316" s="801"/>
      <c r="CU316" s="801"/>
      <c r="CV316" s="801"/>
      <c r="CW316" s="801"/>
      <c r="CX316" s="801"/>
      <c r="CY316" s="801"/>
      <c r="CZ316" s="802"/>
      <c r="DA316" s="800" t="str">
        <f>IFERROR(IF(DZ299&gt;DA299-1,IF(INDEX(Pedidos!DJ:EZ,DY299+DA299-1,31)&lt;&gt;"","Nombres :     "&amp; INDEX(Pedidos!DJ:EZ,DY299+DA299-1,31),""),""),"")</f>
        <v/>
      </c>
      <c r="DB316" s="801"/>
      <c r="DC316" s="801"/>
      <c r="DD316" s="801"/>
      <c r="DE316" s="801"/>
      <c r="DF316" s="801"/>
      <c r="DG316" s="801"/>
      <c r="DH316" s="801"/>
      <c r="DI316" s="801"/>
      <c r="DJ316" s="801"/>
      <c r="DK316" s="801"/>
      <c r="DL316" s="801"/>
      <c r="DM316" s="801"/>
      <c r="DN316" s="801"/>
      <c r="DO316" s="801"/>
      <c r="DP316" s="801"/>
      <c r="DQ316" s="801"/>
      <c r="DR316" s="801"/>
      <c r="DS316" s="801"/>
      <c r="DT316" s="801"/>
      <c r="DU316" s="801"/>
      <c r="DV316" s="801"/>
      <c r="DW316" s="801"/>
      <c r="DX316" s="801"/>
      <c r="DY316" s="801"/>
      <c r="DZ316" s="802"/>
      <c r="EA316" s="800" t="str">
        <f>IFERROR(IF(EZ299&gt;EA299-1,IF(INDEX(Pedidos!EJ:FZ,EY299+EA299-1,31)&lt;&gt;"","Nombres :     "&amp; INDEX(Pedidos!EJ:FZ,EY299+EA299-1,31),""),""),"")</f>
        <v/>
      </c>
      <c r="EB316" s="801"/>
      <c r="EC316" s="801"/>
      <c r="ED316" s="801"/>
      <c r="EE316" s="801"/>
      <c r="EF316" s="801"/>
      <c r="EG316" s="801"/>
      <c r="EH316" s="801"/>
      <c r="EI316" s="801"/>
      <c r="EJ316" s="801"/>
      <c r="EK316" s="801"/>
      <c r="EL316" s="801"/>
      <c r="EM316" s="801"/>
      <c r="EN316" s="801"/>
      <c r="EO316" s="801"/>
      <c r="EP316" s="801"/>
      <c r="EQ316" s="801"/>
      <c r="ER316" s="801"/>
      <c r="ES316" s="801"/>
      <c r="ET316" s="801"/>
      <c r="EU316" s="801"/>
      <c r="EV316" s="801"/>
      <c r="EW316" s="801"/>
      <c r="EX316" s="801"/>
      <c r="EY316" s="801"/>
      <c r="EZ316" s="802"/>
      <c r="FA316" s="800" t="str">
        <f>IFERROR(IF(FZ299&gt;FA299-1,IF(INDEX(Pedidos!FJ:GZ,FY299+FA299-1,31)&lt;&gt;"","Nombres :     "&amp; INDEX(Pedidos!FJ:GZ,FY299+FA299-1,31),""),""),"")</f>
        <v/>
      </c>
      <c r="FB316" s="801"/>
      <c r="FC316" s="801"/>
      <c r="FD316" s="801"/>
      <c r="FE316" s="801"/>
      <c r="FF316" s="801"/>
      <c r="FG316" s="801"/>
      <c r="FH316" s="801"/>
      <c r="FI316" s="801"/>
      <c r="FJ316" s="801"/>
      <c r="FK316" s="801"/>
      <c r="FL316" s="801"/>
      <c r="FM316" s="801"/>
      <c r="FN316" s="801"/>
      <c r="FO316" s="801"/>
      <c r="FP316" s="801"/>
      <c r="FQ316" s="801"/>
      <c r="FR316" s="801"/>
      <c r="FS316" s="801"/>
      <c r="FT316" s="801"/>
      <c r="FU316" s="801"/>
      <c r="FV316" s="801"/>
      <c r="FW316" s="801"/>
      <c r="FX316" s="801"/>
      <c r="FY316" s="801"/>
      <c r="FZ316" s="802"/>
      <c r="GA316" s="800" t="str">
        <f>IFERROR(IF(GZ299&gt;GA299-1,IF(INDEX(Pedidos!GJ:HZ,GY299+GA299-1,31)&lt;&gt;"","Nombres :     "&amp; INDEX(Pedidos!GJ:HZ,GY299+GA299-1,31),""),""),"")</f>
        <v/>
      </c>
      <c r="GB316" s="801"/>
      <c r="GC316" s="801"/>
      <c r="GD316" s="801"/>
      <c r="GE316" s="801"/>
      <c r="GF316" s="801"/>
      <c r="GG316" s="801"/>
      <c r="GH316" s="801"/>
      <c r="GI316" s="801"/>
      <c r="GJ316" s="801"/>
      <c r="GK316" s="801"/>
      <c r="GL316" s="801"/>
      <c r="GM316" s="801"/>
      <c r="GN316" s="801"/>
      <c r="GO316" s="801"/>
      <c r="GP316" s="801"/>
      <c r="GQ316" s="801"/>
      <c r="GR316" s="801"/>
      <c r="GS316" s="801"/>
      <c r="GT316" s="801"/>
      <c r="GU316" s="801"/>
      <c r="GV316" s="801"/>
      <c r="GW316" s="801"/>
      <c r="GX316" s="801"/>
      <c r="GY316" s="801"/>
      <c r="GZ316" s="802"/>
      <c r="HA316" s="800" t="str">
        <f>IFERROR(IF(HZ299&gt;HA299-1,IF(INDEX(Pedidos!HJ:IZ,HY299+HA299-1,31)&lt;&gt;"","Nombres :     "&amp; INDEX(Pedidos!HJ:IZ,HY299+HA299-1,31),""),""),"")</f>
        <v/>
      </c>
      <c r="HB316" s="801"/>
      <c r="HC316" s="801"/>
      <c r="HD316" s="801"/>
      <c r="HE316" s="801"/>
      <c r="HF316" s="801"/>
      <c r="HG316" s="801"/>
      <c r="HH316" s="801"/>
      <c r="HI316" s="801"/>
      <c r="HJ316" s="801"/>
      <c r="HK316" s="801"/>
      <c r="HL316" s="801"/>
      <c r="HM316" s="801"/>
      <c r="HN316" s="801"/>
      <c r="HO316" s="801"/>
      <c r="HP316" s="801"/>
      <c r="HQ316" s="801"/>
      <c r="HR316" s="801"/>
      <c r="HS316" s="801"/>
      <c r="HT316" s="801"/>
      <c r="HU316" s="801"/>
      <c r="HV316" s="801"/>
      <c r="HW316" s="801"/>
      <c r="HX316" s="801"/>
      <c r="HY316" s="801"/>
      <c r="HZ316" s="802"/>
      <c r="IA316" s="800" t="str">
        <f>IFERROR(IF(IZ299&gt;IA299-1,IF(INDEX(Pedidos!IJ:JZ,IY299+IA299-1,31)&lt;&gt;"","Nombres :     "&amp; INDEX(Pedidos!IJ:JZ,IY299+IA299-1,31),""),""),"")</f>
        <v/>
      </c>
      <c r="IB316" s="801"/>
      <c r="IC316" s="801"/>
      <c r="ID316" s="801"/>
      <c r="IE316" s="801"/>
      <c r="IF316" s="801"/>
      <c r="IG316" s="801"/>
      <c r="IH316" s="801"/>
      <c r="II316" s="801"/>
      <c r="IJ316" s="801"/>
      <c r="IK316" s="801"/>
      <c r="IL316" s="801"/>
      <c r="IM316" s="801"/>
      <c r="IN316" s="801"/>
      <c r="IO316" s="801"/>
      <c r="IP316" s="801"/>
      <c r="IQ316" s="801"/>
      <c r="IR316" s="801"/>
      <c r="IS316" s="801"/>
      <c r="IT316" s="801"/>
      <c r="IU316" s="801"/>
      <c r="IV316" s="801"/>
      <c r="IW316" s="801"/>
      <c r="IX316" s="801"/>
      <c r="IY316" s="801"/>
      <c r="IZ316" s="802"/>
    </row>
    <row r="317" spans="1:260" x14ac:dyDescent="0.25">
      <c r="A317" s="820" t="str">
        <f>IFERROR(IF(Z299&gt;A299-1,IF(INDEX(Pedidos!J:AZ,Y299+A299-1,32)&lt;&gt;"","Localización de los Nombres :     "&amp; INDEX(Pedidos!J:AZ,Y299+A299-1,32),""),""),"")</f>
        <v/>
      </c>
      <c r="B317" s="821"/>
      <c r="C317" s="821"/>
      <c r="D317" s="821"/>
      <c r="E317" s="821"/>
      <c r="F317" s="821"/>
      <c r="G317" s="821"/>
      <c r="H317" s="821"/>
      <c r="I317" s="821"/>
      <c r="J317" s="821"/>
      <c r="K317" s="821"/>
      <c r="L317" s="821"/>
      <c r="M317" s="821"/>
      <c r="N317" s="821"/>
      <c r="O317" s="821"/>
      <c r="P317" s="821"/>
      <c r="Q317" s="821"/>
      <c r="R317" s="821"/>
      <c r="S317" s="821"/>
      <c r="T317" s="821"/>
      <c r="U317" s="821"/>
      <c r="V317" s="821"/>
      <c r="W317" s="821"/>
      <c r="X317" s="821"/>
      <c r="Y317" s="821"/>
      <c r="Z317" s="822"/>
      <c r="AA317" s="820" t="str">
        <f>IFERROR(IF(AZ299&gt;AA299-1,IF(INDEX(Pedidos!AJ:BZ,AY299+AA299-1,32)&lt;&gt;"","Localización de los Nombres :     "&amp; INDEX(Pedidos!AJ:BZ,AY299+AA299-1,32),""),""),"")</f>
        <v/>
      </c>
      <c r="AB317" s="821"/>
      <c r="AC317" s="821"/>
      <c r="AD317" s="821"/>
      <c r="AE317" s="821"/>
      <c r="AF317" s="821"/>
      <c r="AG317" s="821"/>
      <c r="AH317" s="821"/>
      <c r="AI317" s="821"/>
      <c r="AJ317" s="821"/>
      <c r="AK317" s="821"/>
      <c r="AL317" s="821"/>
      <c r="AM317" s="821"/>
      <c r="AN317" s="821"/>
      <c r="AO317" s="821"/>
      <c r="AP317" s="821"/>
      <c r="AQ317" s="821"/>
      <c r="AR317" s="821"/>
      <c r="AS317" s="821"/>
      <c r="AT317" s="821"/>
      <c r="AU317" s="821"/>
      <c r="AV317" s="821"/>
      <c r="AW317" s="821"/>
      <c r="AX317" s="821"/>
      <c r="AY317" s="821"/>
      <c r="AZ317" s="822"/>
      <c r="BA317" s="820" t="str">
        <f>IFERROR(IF(BZ299&gt;BA299-1,IF(INDEX(Pedidos!BJ:CZ,BY299+BA299-1,32)&lt;&gt;"","Localización de los Nombres :     "&amp; INDEX(Pedidos!BJ:CZ,BY299+BA299-1,32),""),""),"")</f>
        <v/>
      </c>
      <c r="BB317" s="821"/>
      <c r="BC317" s="821"/>
      <c r="BD317" s="821"/>
      <c r="BE317" s="821"/>
      <c r="BF317" s="821"/>
      <c r="BG317" s="821"/>
      <c r="BH317" s="821"/>
      <c r="BI317" s="821"/>
      <c r="BJ317" s="821"/>
      <c r="BK317" s="821"/>
      <c r="BL317" s="821"/>
      <c r="BM317" s="821"/>
      <c r="BN317" s="821"/>
      <c r="BO317" s="821"/>
      <c r="BP317" s="821"/>
      <c r="BQ317" s="821"/>
      <c r="BR317" s="821"/>
      <c r="BS317" s="821"/>
      <c r="BT317" s="821"/>
      <c r="BU317" s="821"/>
      <c r="BV317" s="821"/>
      <c r="BW317" s="821"/>
      <c r="BX317" s="821"/>
      <c r="BY317" s="821"/>
      <c r="BZ317" s="822"/>
      <c r="CA317" s="820" t="str">
        <f>IFERROR(IF(CZ299&gt;CA299-1,IF(INDEX(Pedidos!CJ:DZ,CY299+CA299-1,32)&lt;&gt;"","Localización de los Nombres :     "&amp; INDEX(Pedidos!CJ:DZ,CY299+CA299-1,32),""),""),"")</f>
        <v/>
      </c>
      <c r="CB317" s="821"/>
      <c r="CC317" s="821"/>
      <c r="CD317" s="821"/>
      <c r="CE317" s="821"/>
      <c r="CF317" s="821"/>
      <c r="CG317" s="821"/>
      <c r="CH317" s="821"/>
      <c r="CI317" s="821"/>
      <c r="CJ317" s="821"/>
      <c r="CK317" s="821"/>
      <c r="CL317" s="821"/>
      <c r="CM317" s="821"/>
      <c r="CN317" s="821"/>
      <c r="CO317" s="821"/>
      <c r="CP317" s="821"/>
      <c r="CQ317" s="821"/>
      <c r="CR317" s="821"/>
      <c r="CS317" s="821"/>
      <c r="CT317" s="821"/>
      <c r="CU317" s="821"/>
      <c r="CV317" s="821"/>
      <c r="CW317" s="821"/>
      <c r="CX317" s="821"/>
      <c r="CY317" s="821"/>
      <c r="CZ317" s="822"/>
      <c r="DA317" s="820" t="str">
        <f>IFERROR(IF(DZ299&gt;DA299-1,IF(INDEX(Pedidos!DJ:EZ,DY299+DA299-1,32)&lt;&gt;"","Localización de los Nombres :     "&amp; INDEX(Pedidos!DJ:EZ,DY299+DA299-1,32),""),""),"")</f>
        <v/>
      </c>
      <c r="DB317" s="821"/>
      <c r="DC317" s="821"/>
      <c r="DD317" s="821"/>
      <c r="DE317" s="821"/>
      <c r="DF317" s="821"/>
      <c r="DG317" s="821"/>
      <c r="DH317" s="821"/>
      <c r="DI317" s="821"/>
      <c r="DJ317" s="821"/>
      <c r="DK317" s="821"/>
      <c r="DL317" s="821"/>
      <c r="DM317" s="821"/>
      <c r="DN317" s="821"/>
      <c r="DO317" s="821"/>
      <c r="DP317" s="821"/>
      <c r="DQ317" s="821"/>
      <c r="DR317" s="821"/>
      <c r="DS317" s="821"/>
      <c r="DT317" s="821"/>
      <c r="DU317" s="821"/>
      <c r="DV317" s="821"/>
      <c r="DW317" s="821"/>
      <c r="DX317" s="821"/>
      <c r="DY317" s="821"/>
      <c r="DZ317" s="822"/>
      <c r="EA317" s="820" t="str">
        <f>IFERROR(IF(EZ299&gt;EA299-1,IF(INDEX(Pedidos!EJ:FZ,EY299+EA299-1,32)&lt;&gt;"","Localización de los Nombres :     "&amp; INDEX(Pedidos!EJ:FZ,EY299+EA299-1,32),""),""),"")</f>
        <v/>
      </c>
      <c r="EB317" s="821"/>
      <c r="EC317" s="821"/>
      <c r="ED317" s="821"/>
      <c r="EE317" s="821"/>
      <c r="EF317" s="821"/>
      <c r="EG317" s="821"/>
      <c r="EH317" s="821"/>
      <c r="EI317" s="821"/>
      <c r="EJ317" s="821"/>
      <c r="EK317" s="821"/>
      <c r="EL317" s="821"/>
      <c r="EM317" s="821"/>
      <c r="EN317" s="821"/>
      <c r="EO317" s="821"/>
      <c r="EP317" s="821"/>
      <c r="EQ317" s="821"/>
      <c r="ER317" s="821"/>
      <c r="ES317" s="821"/>
      <c r="ET317" s="821"/>
      <c r="EU317" s="821"/>
      <c r="EV317" s="821"/>
      <c r="EW317" s="821"/>
      <c r="EX317" s="821"/>
      <c r="EY317" s="821"/>
      <c r="EZ317" s="822"/>
      <c r="FA317" s="820" t="str">
        <f>IFERROR(IF(FZ299&gt;FA299-1,IF(INDEX(Pedidos!FJ:GZ,FY299+FA299-1,32)&lt;&gt;"","Localización de los Nombres :     "&amp; INDEX(Pedidos!FJ:GZ,FY299+FA299-1,32),""),""),"")</f>
        <v/>
      </c>
      <c r="FB317" s="821"/>
      <c r="FC317" s="821"/>
      <c r="FD317" s="821"/>
      <c r="FE317" s="821"/>
      <c r="FF317" s="821"/>
      <c r="FG317" s="821"/>
      <c r="FH317" s="821"/>
      <c r="FI317" s="821"/>
      <c r="FJ317" s="821"/>
      <c r="FK317" s="821"/>
      <c r="FL317" s="821"/>
      <c r="FM317" s="821"/>
      <c r="FN317" s="821"/>
      <c r="FO317" s="821"/>
      <c r="FP317" s="821"/>
      <c r="FQ317" s="821"/>
      <c r="FR317" s="821"/>
      <c r="FS317" s="821"/>
      <c r="FT317" s="821"/>
      <c r="FU317" s="821"/>
      <c r="FV317" s="821"/>
      <c r="FW317" s="821"/>
      <c r="FX317" s="821"/>
      <c r="FY317" s="821"/>
      <c r="FZ317" s="822"/>
      <c r="GA317" s="820" t="str">
        <f>IFERROR(IF(GZ299&gt;GA299-1,IF(INDEX(Pedidos!GJ:HZ,GY299+GA299-1,32)&lt;&gt;"","Localización de los Nombres :     "&amp; INDEX(Pedidos!GJ:HZ,GY299+GA299-1,32),""),""),"")</f>
        <v/>
      </c>
      <c r="GB317" s="821"/>
      <c r="GC317" s="821"/>
      <c r="GD317" s="821"/>
      <c r="GE317" s="821"/>
      <c r="GF317" s="821"/>
      <c r="GG317" s="821"/>
      <c r="GH317" s="821"/>
      <c r="GI317" s="821"/>
      <c r="GJ317" s="821"/>
      <c r="GK317" s="821"/>
      <c r="GL317" s="821"/>
      <c r="GM317" s="821"/>
      <c r="GN317" s="821"/>
      <c r="GO317" s="821"/>
      <c r="GP317" s="821"/>
      <c r="GQ317" s="821"/>
      <c r="GR317" s="821"/>
      <c r="GS317" s="821"/>
      <c r="GT317" s="821"/>
      <c r="GU317" s="821"/>
      <c r="GV317" s="821"/>
      <c r="GW317" s="821"/>
      <c r="GX317" s="821"/>
      <c r="GY317" s="821"/>
      <c r="GZ317" s="822"/>
      <c r="HA317" s="820" t="str">
        <f>IFERROR(IF(HZ299&gt;HA299-1,IF(INDEX(Pedidos!HJ:IZ,HY299+HA299-1,32)&lt;&gt;"","Localización de los Nombres :     "&amp; INDEX(Pedidos!HJ:IZ,HY299+HA299-1,32),""),""),"")</f>
        <v/>
      </c>
      <c r="HB317" s="821"/>
      <c r="HC317" s="821"/>
      <c r="HD317" s="821"/>
      <c r="HE317" s="821"/>
      <c r="HF317" s="821"/>
      <c r="HG317" s="821"/>
      <c r="HH317" s="821"/>
      <c r="HI317" s="821"/>
      <c r="HJ317" s="821"/>
      <c r="HK317" s="821"/>
      <c r="HL317" s="821"/>
      <c r="HM317" s="821"/>
      <c r="HN317" s="821"/>
      <c r="HO317" s="821"/>
      <c r="HP317" s="821"/>
      <c r="HQ317" s="821"/>
      <c r="HR317" s="821"/>
      <c r="HS317" s="821"/>
      <c r="HT317" s="821"/>
      <c r="HU317" s="821"/>
      <c r="HV317" s="821"/>
      <c r="HW317" s="821"/>
      <c r="HX317" s="821"/>
      <c r="HY317" s="821"/>
      <c r="HZ317" s="822"/>
      <c r="IA317" s="820" t="str">
        <f>IFERROR(IF(IZ299&gt;IA299-1,IF(INDEX(Pedidos!IJ:JZ,IY299+IA299-1,32)&lt;&gt;"","Localización de los Nombres :     "&amp; INDEX(Pedidos!IJ:JZ,IY299+IA299-1,32),""),""),"")</f>
        <v/>
      </c>
      <c r="IB317" s="821"/>
      <c r="IC317" s="821"/>
      <c r="ID317" s="821"/>
      <c r="IE317" s="821"/>
      <c r="IF317" s="821"/>
      <c r="IG317" s="821"/>
      <c r="IH317" s="821"/>
      <c r="II317" s="821"/>
      <c r="IJ317" s="821"/>
      <c r="IK317" s="821"/>
      <c r="IL317" s="821"/>
      <c r="IM317" s="821"/>
      <c r="IN317" s="821"/>
      <c r="IO317" s="821"/>
      <c r="IP317" s="821"/>
      <c r="IQ317" s="821"/>
      <c r="IR317" s="821"/>
      <c r="IS317" s="821"/>
      <c r="IT317" s="821"/>
      <c r="IU317" s="821"/>
      <c r="IV317" s="821"/>
      <c r="IW317" s="821"/>
      <c r="IX317" s="821"/>
      <c r="IY317" s="821"/>
      <c r="IZ317" s="822"/>
    </row>
    <row r="318" spans="1:260" x14ac:dyDescent="0.25">
      <c r="A318" s="836" t="str">
        <f>IFERROR(IF(Z299&gt;A299-1,IF(INDEX(Pedidos!J:AZ,Y299+A299-1,37)&lt;&gt;"","Otras Instrucciones Especiales :     "&amp; INDEX(Pedidos!J:AZ,Y299+A299-1,37),""),""),"")</f>
        <v/>
      </c>
      <c r="B318" s="837"/>
      <c r="C318" s="837"/>
      <c r="D318" s="837"/>
      <c r="E318" s="837"/>
      <c r="F318" s="837"/>
      <c r="G318" s="837"/>
      <c r="H318" s="837"/>
      <c r="I318" s="837"/>
      <c r="J318" s="837"/>
      <c r="K318" s="837"/>
      <c r="L318" s="837"/>
      <c r="M318" s="837"/>
      <c r="N318" s="837"/>
      <c r="O318" s="837"/>
      <c r="P318" s="837"/>
      <c r="Q318" s="837"/>
      <c r="R318" s="837"/>
      <c r="S318" s="837"/>
      <c r="T318" s="837"/>
      <c r="U318" s="837"/>
      <c r="V318" s="837"/>
      <c r="W318" s="837"/>
      <c r="X318" s="837"/>
      <c r="Y318" s="837"/>
      <c r="Z318" s="838"/>
      <c r="AA318" s="836" t="str">
        <f>IFERROR(IF(AZ299&gt;AA299-1,IF(INDEX(Pedidos!AJ:BZ,AY299+AA299-1,37)&lt;&gt;"","Otras Instrucciones Especiales :     "&amp; INDEX(Pedidos!AJ:BZ,AY299+AA299-1,37),""),""),"")</f>
        <v/>
      </c>
      <c r="AB318" s="837"/>
      <c r="AC318" s="837"/>
      <c r="AD318" s="837"/>
      <c r="AE318" s="837"/>
      <c r="AF318" s="837"/>
      <c r="AG318" s="837"/>
      <c r="AH318" s="837"/>
      <c r="AI318" s="837"/>
      <c r="AJ318" s="837"/>
      <c r="AK318" s="837"/>
      <c r="AL318" s="837"/>
      <c r="AM318" s="837"/>
      <c r="AN318" s="837"/>
      <c r="AO318" s="837"/>
      <c r="AP318" s="837"/>
      <c r="AQ318" s="837"/>
      <c r="AR318" s="837"/>
      <c r="AS318" s="837"/>
      <c r="AT318" s="837"/>
      <c r="AU318" s="837"/>
      <c r="AV318" s="837"/>
      <c r="AW318" s="837"/>
      <c r="AX318" s="837"/>
      <c r="AY318" s="837"/>
      <c r="AZ318" s="838"/>
      <c r="BA318" s="836" t="str">
        <f>IFERROR(IF(BZ299&gt;BA299-1,IF(INDEX(Pedidos!BJ:CZ,BY299+BA299-1,37)&lt;&gt;"","Otras Instrucciones Especiales :     "&amp; INDEX(Pedidos!BJ:CZ,BY299+BA299-1,37),""),""),"")</f>
        <v/>
      </c>
      <c r="BB318" s="837"/>
      <c r="BC318" s="837"/>
      <c r="BD318" s="837"/>
      <c r="BE318" s="837"/>
      <c r="BF318" s="837"/>
      <c r="BG318" s="837"/>
      <c r="BH318" s="837"/>
      <c r="BI318" s="837"/>
      <c r="BJ318" s="837"/>
      <c r="BK318" s="837"/>
      <c r="BL318" s="837"/>
      <c r="BM318" s="837"/>
      <c r="BN318" s="837"/>
      <c r="BO318" s="837"/>
      <c r="BP318" s="837"/>
      <c r="BQ318" s="837"/>
      <c r="BR318" s="837"/>
      <c r="BS318" s="837"/>
      <c r="BT318" s="837"/>
      <c r="BU318" s="837"/>
      <c r="BV318" s="837"/>
      <c r="BW318" s="837"/>
      <c r="BX318" s="837"/>
      <c r="BY318" s="837"/>
      <c r="BZ318" s="838"/>
      <c r="CA318" s="836" t="str">
        <f>IFERROR(IF(CZ299&gt;CA299-1,IF(INDEX(Pedidos!CJ:DZ,CY299+CA299-1,37)&lt;&gt;"","Otras Instrucciones Especiales :     "&amp; INDEX(Pedidos!CJ:DZ,CY299+CA299-1,37),""),""),"")</f>
        <v/>
      </c>
      <c r="CB318" s="837"/>
      <c r="CC318" s="837"/>
      <c r="CD318" s="837"/>
      <c r="CE318" s="837"/>
      <c r="CF318" s="837"/>
      <c r="CG318" s="837"/>
      <c r="CH318" s="837"/>
      <c r="CI318" s="837"/>
      <c r="CJ318" s="837"/>
      <c r="CK318" s="837"/>
      <c r="CL318" s="837"/>
      <c r="CM318" s="837"/>
      <c r="CN318" s="837"/>
      <c r="CO318" s="837"/>
      <c r="CP318" s="837"/>
      <c r="CQ318" s="837"/>
      <c r="CR318" s="837"/>
      <c r="CS318" s="837"/>
      <c r="CT318" s="837"/>
      <c r="CU318" s="837"/>
      <c r="CV318" s="837"/>
      <c r="CW318" s="837"/>
      <c r="CX318" s="837"/>
      <c r="CY318" s="837"/>
      <c r="CZ318" s="838"/>
      <c r="DA318" s="836" t="str">
        <f>IFERROR(IF(DZ299&gt;DA299-1,IF(INDEX(Pedidos!DJ:EZ,DY299+DA299-1,37)&lt;&gt;"","Otras Instrucciones Especiales :     "&amp; INDEX(Pedidos!DJ:EZ,DY299+DA299-1,37),""),""),"")</f>
        <v/>
      </c>
      <c r="DB318" s="837"/>
      <c r="DC318" s="837"/>
      <c r="DD318" s="837"/>
      <c r="DE318" s="837"/>
      <c r="DF318" s="837"/>
      <c r="DG318" s="837"/>
      <c r="DH318" s="837"/>
      <c r="DI318" s="837"/>
      <c r="DJ318" s="837"/>
      <c r="DK318" s="837"/>
      <c r="DL318" s="837"/>
      <c r="DM318" s="837"/>
      <c r="DN318" s="837"/>
      <c r="DO318" s="837"/>
      <c r="DP318" s="837"/>
      <c r="DQ318" s="837"/>
      <c r="DR318" s="837"/>
      <c r="DS318" s="837"/>
      <c r="DT318" s="837"/>
      <c r="DU318" s="837"/>
      <c r="DV318" s="837"/>
      <c r="DW318" s="837"/>
      <c r="DX318" s="837"/>
      <c r="DY318" s="837"/>
      <c r="DZ318" s="838"/>
      <c r="EA318" s="836" t="str">
        <f>IFERROR(IF(EZ299&gt;EA299-1,IF(INDEX(Pedidos!EJ:FZ,EY299+EA299-1,37)&lt;&gt;"","Otras Instrucciones Especiales :     "&amp; INDEX(Pedidos!EJ:FZ,EY299+EA299-1,37),""),""),"")</f>
        <v/>
      </c>
      <c r="EB318" s="837"/>
      <c r="EC318" s="837"/>
      <c r="ED318" s="837"/>
      <c r="EE318" s="837"/>
      <c r="EF318" s="837"/>
      <c r="EG318" s="837"/>
      <c r="EH318" s="837"/>
      <c r="EI318" s="837"/>
      <c r="EJ318" s="837"/>
      <c r="EK318" s="837"/>
      <c r="EL318" s="837"/>
      <c r="EM318" s="837"/>
      <c r="EN318" s="837"/>
      <c r="EO318" s="837"/>
      <c r="EP318" s="837"/>
      <c r="EQ318" s="837"/>
      <c r="ER318" s="837"/>
      <c r="ES318" s="837"/>
      <c r="ET318" s="837"/>
      <c r="EU318" s="837"/>
      <c r="EV318" s="837"/>
      <c r="EW318" s="837"/>
      <c r="EX318" s="837"/>
      <c r="EY318" s="837"/>
      <c r="EZ318" s="838"/>
      <c r="FA318" s="836" t="str">
        <f>IFERROR(IF(FZ299&gt;FA299-1,IF(INDEX(Pedidos!FJ:GZ,FY299+FA299-1,37)&lt;&gt;"","Otras Instrucciones Especiales :     "&amp; INDEX(Pedidos!FJ:GZ,FY299+FA299-1,37),""),""),"")</f>
        <v/>
      </c>
      <c r="FB318" s="837"/>
      <c r="FC318" s="837"/>
      <c r="FD318" s="837"/>
      <c r="FE318" s="837"/>
      <c r="FF318" s="837"/>
      <c r="FG318" s="837"/>
      <c r="FH318" s="837"/>
      <c r="FI318" s="837"/>
      <c r="FJ318" s="837"/>
      <c r="FK318" s="837"/>
      <c r="FL318" s="837"/>
      <c r="FM318" s="837"/>
      <c r="FN318" s="837"/>
      <c r="FO318" s="837"/>
      <c r="FP318" s="837"/>
      <c r="FQ318" s="837"/>
      <c r="FR318" s="837"/>
      <c r="FS318" s="837"/>
      <c r="FT318" s="837"/>
      <c r="FU318" s="837"/>
      <c r="FV318" s="837"/>
      <c r="FW318" s="837"/>
      <c r="FX318" s="837"/>
      <c r="FY318" s="837"/>
      <c r="FZ318" s="838"/>
      <c r="GA318" s="836" t="str">
        <f>IFERROR(IF(GZ299&gt;GA299-1,IF(INDEX(Pedidos!GJ:HZ,GY299+GA299-1,37)&lt;&gt;"","Otras Instrucciones Especiales :     "&amp; INDEX(Pedidos!GJ:HZ,GY299+GA299-1,37),""),""),"")</f>
        <v/>
      </c>
      <c r="GB318" s="837"/>
      <c r="GC318" s="837"/>
      <c r="GD318" s="837"/>
      <c r="GE318" s="837"/>
      <c r="GF318" s="837"/>
      <c r="GG318" s="837"/>
      <c r="GH318" s="837"/>
      <c r="GI318" s="837"/>
      <c r="GJ318" s="837"/>
      <c r="GK318" s="837"/>
      <c r="GL318" s="837"/>
      <c r="GM318" s="837"/>
      <c r="GN318" s="837"/>
      <c r="GO318" s="837"/>
      <c r="GP318" s="837"/>
      <c r="GQ318" s="837"/>
      <c r="GR318" s="837"/>
      <c r="GS318" s="837"/>
      <c r="GT318" s="837"/>
      <c r="GU318" s="837"/>
      <c r="GV318" s="837"/>
      <c r="GW318" s="837"/>
      <c r="GX318" s="837"/>
      <c r="GY318" s="837"/>
      <c r="GZ318" s="838"/>
      <c r="HA318" s="836" t="str">
        <f>IFERROR(IF(HZ299&gt;HA299-1,IF(INDEX(Pedidos!HJ:IZ,HY299+HA299-1,37)&lt;&gt;"","Otras Instrucciones Especiales :     "&amp; INDEX(Pedidos!HJ:IZ,HY299+HA299-1,37),""),""),"")</f>
        <v/>
      </c>
      <c r="HB318" s="837"/>
      <c r="HC318" s="837"/>
      <c r="HD318" s="837"/>
      <c r="HE318" s="837"/>
      <c r="HF318" s="837"/>
      <c r="HG318" s="837"/>
      <c r="HH318" s="837"/>
      <c r="HI318" s="837"/>
      <c r="HJ318" s="837"/>
      <c r="HK318" s="837"/>
      <c r="HL318" s="837"/>
      <c r="HM318" s="837"/>
      <c r="HN318" s="837"/>
      <c r="HO318" s="837"/>
      <c r="HP318" s="837"/>
      <c r="HQ318" s="837"/>
      <c r="HR318" s="837"/>
      <c r="HS318" s="837"/>
      <c r="HT318" s="837"/>
      <c r="HU318" s="837"/>
      <c r="HV318" s="837"/>
      <c r="HW318" s="837"/>
      <c r="HX318" s="837"/>
      <c r="HY318" s="837"/>
      <c r="HZ318" s="838"/>
      <c r="IA318" s="836" t="str">
        <f>IFERROR(IF(IZ299&gt;IA299-1,IF(INDEX(Pedidos!IJ:JZ,IY299+IA299-1,37)&lt;&gt;"","Otras Instrucciones Especiales :     "&amp; INDEX(Pedidos!IJ:JZ,IY299+IA299-1,37),""),""),"")</f>
        <v/>
      </c>
      <c r="IB318" s="837"/>
      <c r="IC318" s="837"/>
      <c r="ID318" s="837"/>
      <c r="IE318" s="837"/>
      <c r="IF318" s="837"/>
      <c r="IG318" s="837"/>
      <c r="IH318" s="837"/>
      <c r="II318" s="837"/>
      <c r="IJ318" s="837"/>
      <c r="IK318" s="837"/>
      <c r="IL318" s="837"/>
      <c r="IM318" s="837"/>
      <c r="IN318" s="837"/>
      <c r="IO318" s="837"/>
      <c r="IP318" s="837"/>
      <c r="IQ318" s="837"/>
      <c r="IR318" s="837"/>
      <c r="IS318" s="837"/>
      <c r="IT318" s="837"/>
      <c r="IU318" s="837"/>
      <c r="IV318" s="837"/>
      <c r="IW318" s="837"/>
      <c r="IX318" s="837"/>
      <c r="IY318" s="837"/>
      <c r="IZ318" s="838"/>
    </row>
    <row r="319" spans="1:260" ht="15.75" thickBot="1" x14ac:dyDescent="0.3">
      <c r="A319" s="839"/>
      <c r="B319" s="840"/>
      <c r="C319" s="840"/>
      <c r="D319" s="840"/>
      <c r="E319" s="840"/>
      <c r="F319" s="840"/>
      <c r="G319" s="840"/>
      <c r="H319" s="840"/>
      <c r="I319" s="840"/>
      <c r="J319" s="840"/>
      <c r="K319" s="840"/>
      <c r="L319" s="840"/>
      <c r="M319" s="840"/>
      <c r="N319" s="840"/>
      <c r="O319" s="840"/>
      <c r="P319" s="840"/>
      <c r="Q319" s="840"/>
      <c r="R319" s="840"/>
      <c r="S319" s="840"/>
      <c r="T319" s="840"/>
      <c r="U319" s="840"/>
      <c r="V319" s="840"/>
      <c r="W319" s="840"/>
      <c r="X319" s="840"/>
      <c r="Y319" s="840"/>
      <c r="Z319" s="841"/>
      <c r="AA319" s="839"/>
      <c r="AB319" s="840"/>
      <c r="AC319" s="840"/>
      <c r="AD319" s="840"/>
      <c r="AE319" s="840"/>
      <c r="AF319" s="840"/>
      <c r="AG319" s="840"/>
      <c r="AH319" s="840"/>
      <c r="AI319" s="840"/>
      <c r="AJ319" s="840"/>
      <c r="AK319" s="840"/>
      <c r="AL319" s="840"/>
      <c r="AM319" s="840"/>
      <c r="AN319" s="840"/>
      <c r="AO319" s="840"/>
      <c r="AP319" s="840"/>
      <c r="AQ319" s="840"/>
      <c r="AR319" s="840"/>
      <c r="AS319" s="840"/>
      <c r="AT319" s="840"/>
      <c r="AU319" s="840"/>
      <c r="AV319" s="840"/>
      <c r="AW319" s="840"/>
      <c r="AX319" s="840"/>
      <c r="AY319" s="840"/>
      <c r="AZ319" s="841"/>
      <c r="BA319" s="839"/>
      <c r="BB319" s="840"/>
      <c r="BC319" s="840"/>
      <c r="BD319" s="840"/>
      <c r="BE319" s="840"/>
      <c r="BF319" s="840"/>
      <c r="BG319" s="840"/>
      <c r="BH319" s="840"/>
      <c r="BI319" s="840"/>
      <c r="BJ319" s="840"/>
      <c r="BK319" s="840"/>
      <c r="BL319" s="840"/>
      <c r="BM319" s="840"/>
      <c r="BN319" s="840"/>
      <c r="BO319" s="840"/>
      <c r="BP319" s="840"/>
      <c r="BQ319" s="840"/>
      <c r="BR319" s="840"/>
      <c r="BS319" s="840"/>
      <c r="BT319" s="840"/>
      <c r="BU319" s="840"/>
      <c r="BV319" s="840"/>
      <c r="BW319" s="840"/>
      <c r="BX319" s="840"/>
      <c r="BY319" s="840"/>
      <c r="BZ319" s="841"/>
      <c r="CA319" s="839"/>
      <c r="CB319" s="840"/>
      <c r="CC319" s="840"/>
      <c r="CD319" s="840"/>
      <c r="CE319" s="840"/>
      <c r="CF319" s="840"/>
      <c r="CG319" s="840"/>
      <c r="CH319" s="840"/>
      <c r="CI319" s="840"/>
      <c r="CJ319" s="840"/>
      <c r="CK319" s="840"/>
      <c r="CL319" s="840"/>
      <c r="CM319" s="840"/>
      <c r="CN319" s="840"/>
      <c r="CO319" s="840"/>
      <c r="CP319" s="840"/>
      <c r="CQ319" s="840"/>
      <c r="CR319" s="840"/>
      <c r="CS319" s="840"/>
      <c r="CT319" s="840"/>
      <c r="CU319" s="840"/>
      <c r="CV319" s="840"/>
      <c r="CW319" s="840"/>
      <c r="CX319" s="840"/>
      <c r="CY319" s="840"/>
      <c r="CZ319" s="841"/>
      <c r="DA319" s="839"/>
      <c r="DB319" s="840"/>
      <c r="DC319" s="840"/>
      <c r="DD319" s="840"/>
      <c r="DE319" s="840"/>
      <c r="DF319" s="840"/>
      <c r="DG319" s="840"/>
      <c r="DH319" s="840"/>
      <c r="DI319" s="840"/>
      <c r="DJ319" s="840"/>
      <c r="DK319" s="840"/>
      <c r="DL319" s="840"/>
      <c r="DM319" s="840"/>
      <c r="DN319" s="840"/>
      <c r="DO319" s="840"/>
      <c r="DP319" s="840"/>
      <c r="DQ319" s="840"/>
      <c r="DR319" s="840"/>
      <c r="DS319" s="840"/>
      <c r="DT319" s="840"/>
      <c r="DU319" s="840"/>
      <c r="DV319" s="840"/>
      <c r="DW319" s="840"/>
      <c r="DX319" s="840"/>
      <c r="DY319" s="840"/>
      <c r="DZ319" s="841"/>
      <c r="EA319" s="839"/>
      <c r="EB319" s="840"/>
      <c r="EC319" s="840"/>
      <c r="ED319" s="840"/>
      <c r="EE319" s="840"/>
      <c r="EF319" s="840"/>
      <c r="EG319" s="840"/>
      <c r="EH319" s="840"/>
      <c r="EI319" s="840"/>
      <c r="EJ319" s="840"/>
      <c r="EK319" s="840"/>
      <c r="EL319" s="840"/>
      <c r="EM319" s="840"/>
      <c r="EN319" s="840"/>
      <c r="EO319" s="840"/>
      <c r="EP319" s="840"/>
      <c r="EQ319" s="840"/>
      <c r="ER319" s="840"/>
      <c r="ES319" s="840"/>
      <c r="ET319" s="840"/>
      <c r="EU319" s="840"/>
      <c r="EV319" s="840"/>
      <c r="EW319" s="840"/>
      <c r="EX319" s="840"/>
      <c r="EY319" s="840"/>
      <c r="EZ319" s="841"/>
      <c r="FA319" s="839"/>
      <c r="FB319" s="840"/>
      <c r="FC319" s="840"/>
      <c r="FD319" s="840"/>
      <c r="FE319" s="840"/>
      <c r="FF319" s="840"/>
      <c r="FG319" s="840"/>
      <c r="FH319" s="840"/>
      <c r="FI319" s="840"/>
      <c r="FJ319" s="840"/>
      <c r="FK319" s="840"/>
      <c r="FL319" s="840"/>
      <c r="FM319" s="840"/>
      <c r="FN319" s="840"/>
      <c r="FO319" s="840"/>
      <c r="FP319" s="840"/>
      <c r="FQ319" s="840"/>
      <c r="FR319" s="840"/>
      <c r="FS319" s="840"/>
      <c r="FT319" s="840"/>
      <c r="FU319" s="840"/>
      <c r="FV319" s="840"/>
      <c r="FW319" s="840"/>
      <c r="FX319" s="840"/>
      <c r="FY319" s="840"/>
      <c r="FZ319" s="841"/>
      <c r="GA319" s="839"/>
      <c r="GB319" s="840"/>
      <c r="GC319" s="840"/>
      <c r="GD319" s="840"/>
      <c r="GE319" s="840"/>
      <c r="GF319" s="840"/>
      <c r="GG319" s="840"/>
      <c r="GH319" s="840"/>
      <c r="GI319" s="840"/>
      <c r="GJ319" s="840"/>
      <c r="GK319" s="840"/>
      <c r="GL319" s="840"/>
      <c r="GM319" s="840"/>
      <c r="GN319" s="840"/>
      <c r="GO319" s="840"/>
      <c r="GP319" s="840"/>
      <c r="GQ319" s="840"/>
      <c r="GR319" s="840"/>
      <c r="GS319" s="840"/>
      <c r="GT319" s="840"/>
      <c r="GU319" s="840"/>
      <c r="GV319" s="840"/>
      <c r="GW319" s="840"/>
      <c r="GX319" s="840"/>
      <c r="GY319" s="840"/>
      <c r="GZ319" s="841"/>
      <c r="HA319" s="839"/>
      <c r="HB319" s="840"/>
      <c r="HC319" s="840"/>
      <c r="HD319" s="840"/>
      <c r="HE319" s="840"/>
      <c r="HF319" s="840"/>
      <c r="HG319" s="840"/>
      <c r="HH319" s="840"/>
      <c r="HI319" s="840"/>
      <c r="HJ319" s="840"/>
      <c r="HK319" s="840"/>
      <c r="HL319" s="840"/>
      <c r="HM319" s="840"/>
      <c r="HN319" s="840"/>
      <c r="HO319" s="840"/>
      <c r="HP319" s="840"/>
      <c r="HQ319" s="840"/>
      <c r="HR319" s="840"/>
      <c r="HS319" s="840"/>
      <c r="HT319" s="840"/>
      <c r="HU319" s="840"/>
      <c r="HV319" s="840"/>
      <c r="HW319" s="840"/>
      <c r="HX319" s="840"/>
      <c r="HY319" s="840"/>
      <c r="HZ319" s="841"/>
      <c r="IA319" s="839"/>
      <c r="IB319" s="840"/>
      <c r="IC319" s="840"/>
      <c r="ID319" s="840"/>
      <c r="IE319" s="840"/>
      <c r="IF319" s="840"/>
      <c r="IG319" s="840"/>
      <c r="IH319" s="840"/>
      <c r="II319" s="840"/>
      <c r="IJ319" s="840"/>
      <c r="IK319" s="840"/>
      <c r="IL319" s="840"/>
      <c r="IM319" s="840"/>
      <c r="IN319" s="840"/>
      <c r="IO319" s="840"/>
      <c r="IP319" s="840"/>
      <c r="IQ319" s="840"/>
      <c r="IR319" s="840"/>
      <c r="IS319" s="840"/>
      <c r="IT319" s="840"/>
      <c r="IU319" s="840"/>
      <c r="IV319" s="840"/>
      <c r="IW319" s="840"/>
      <c r="IX319" s="840"/>
      <c r="IY319" s="840"/>
      <c r="IZ319" s="841"/>
    </row>
    <row r="320" spans="1:260" x14ac:dyDescent="0.25">
      <c r="A320" s="531"/>
      <c r="B320" s="531"/>
      <c r="C320" s="531"/>
      <c r="D320" s="531"/>
      <c r="E320" s="531"/>
      <c r="F320" s="531"/>
      <c r="G320" s="531"/>
      <c r="H320" s="531"/>
      <c r="I320" s="531"/>
      <c r="J320" s="531"/>
      <c r="K320" s="531"/>
      <c r="L320" s="531"/>
      <c r="M320" s="531"/>
      <c r="N320" s="531"/>
      <c r="O320" s="531"/>
      <c r="P320" s="531"/>
      <c r="Q320" s="531"/>
      <c r="R320" s="531"/>
      <c r="S320" s="531"/>
      <c r="T320" s="531"/>
      <c r="U320" s="531"/>
      <c r="V320" s="531"/>
      <c r="W320" s="531"/>
      <c r="X320" s="531"/>
      <c r="Y320" s="531"/>
      <c r="Z320" s="531"/>
      <c r="AA320" s="531"/>
      <c r="AB320" s="531"/>
      <c r="AC320" s="531"/>
      <c r="AD320" s="531"/>
      <c r="AE320" s="531"/>
      <c r="AF320" s="531"/>
      <c r="AG320" s="531"/>
      <c r="AH320" s="531"/>
      <c r="AI320" s="531"/>
      <c r="AJ320" s="531"/>
      <c r="AK320" s="531"/>
      <c r="AL320" s="531"/>
      <c r="AM320" s="531"/>
      <c r="AN320" s="531"/>
      <c r="AO320" s="531"/>
      <c r="AP320" s="531"/>
      <c r="AQ320" s="531"/>
      <c r="AR320" s="531"/>
      <c r="AS320" s="531"/>
      <c r="AT320" s="531"/>
      <c r="AU320" s="531"/>
      <c r="AV320" s="531"/>
      <c r="AW320" s="531"/>
      <c r="AX320" s="531"/>
      <c r="AY320" s="531"/>
      <c r="AZ320" s="531"/>
      <c r="BA320" s="531"/>
      <c r="BB320" s="531"/>
      <c r="BC320" s="531"/>
      <c r="BD320" s="531"/>
      <c r="BE320" s="531"/>
      <c r="BF320" s="531"/>
      <c r="BG320" s="531"/>
      <c r="BH320" s="531"/>
      <c r="BI320" s="531"/>
      <c r="BJ320" s="531"/>
      <c r="BK320" s="531"/>
      <c r="BL320" s="531"/>
      <c r="BM320" s="531"/>
      <c r="BN320" s="531"/>
      <c r="BO320" s="531"/>
      <c r="BP320" s="531"/>
      <c r="BQ320" s="531"/>
      <c r="BR320" s="531"/>
      <c r="BS320" s="531"/>
      <c r="BT320" s="531"/>
      <c r="BU320" s="531"/>
      <c r="BV320" s="531"/>
      <c r="BW320" s="531"/>
      <c r="BX320" s="531"/>
      <c r="BY320" s="531"/>
      <c r="BZ320" s="531"/>
      <c r="CA320" s="531"/>
      <c r="CB320" s="531"/>
      <c r="CC320" s="531"/>
      <c r="CD320" s="531"/>
      <c r="CE320" s="531"/>
      <c r="CF320" s="531"/>
      <c r="CG320" s="531"/>
      <c r="CH320" s="531"/>
      <c r="CI320" s="531"/>
      <c r="CJ320" s="531"/>
      <c r="CK320" s="531"/>
      <c r="CL320" s="531"/>
      <c r="CM320" s="531"/>
      <c r="CN320" s="531"/>
      <c r="CO320" s="531"/>
      <c r="CP320" s="531"/>
      <c r="CQ320" s="531"/>
      <c r="CR320" s="531"/>
      <c r="CS320" s="531"/>
      <c r="CT320" s="531"/>
      <c r="CU320" s="531"/>
      <c r="CV320" s="531"/>
      <c r="CW320" s="531"/>
      <c r="CX320" s="531"/>
      <c r="CY320" s="531"/>
      <c r="CZ320" s="531"/>
      <c r="DA320" s="531"/>
      <c r="DB320" s="531"/>
      <c r="DC320" s="531"/>
      <c r="DD320" s="531"/>
      <c r="DE320" s="531"/>
      <c r="DF320" s="531"/>
      <c r="DG320" s="531"/>
      <c r="DH320" s="531"/>
      <c r="DI320" s="531"/>
      <c r="DJ320" s="531"/>
      <c r="DK320" s="531"/>
      <c r="DL320" s="531"/>
      <c r="DM320" s="531"/>
      <c r="DN320" s="531"/>
      <c r="DO320" s="531"/>
      <c r="DP320" s="531"/>
      <c r="DQ320" s="531"/>
      <c r="DR320" s="531"/>
      <c r="DS320" s="531"/>
      <c r="DT320" s="531"/>
      <c r="DU320" s="531"/>
      <c r="DV320" s="531"/>
      <c r="DW320" s="531"/>
      <c r="DX320" s="531"/>
      <c r="DY320" s="531"/>
      <c r="DZ320" s="531"/>
      <c r="EA320" s="531"/>
      <c r="EB320" s="531"/>
      <c r="EC320" s="531"/>
      <c r="ED320" s="531"/>
      <c r="EE320" s="531"/>
      <c r="EF320" s="531"/>
      <c r="EG320" s="531"/>
      <c r="EH320" s="531"/>
      <c r="EI320" s="531"/>
      <c r="EJ320" s="531"/>
      <c r="EK320" s="531"/>
      <c r="EL320" s="531"/>
      <c r="EM320" s="531"/>
      <c r="EN320" s="531"/>
      <c r="EO320" s="531"/>
      <c r="EP320" s="531"/>
      <c r="EQ320" s="531"/>
      <c r="ER320" s="531"/>
      <c r="ES320" s="531"/>
      <c r="ET320" s="531"/>
      <c r="EU320" s="531"/>
      <c r="EV320" s="531"/>
      <c r="EW320" s="531"/>
      <c r="EX320" s="531"/>
      <c r="EY320" s="531"/>
      <c r="EZ320" s="531"/>
      <c r="FA320" s="531"/>
      <c r="FB320" s="531"/>
      <c r="FC320" s="531"/>
      <c r="FD320" s="531"/>
      <c r="FE320" s="531"/>
      <c r="FF320" s="531"/>
      <c r="FG320" s="531"/>
      <c r="FH320" s="531"/>
      <c r="FI320" s="531"/>
      <c r="FJ320" s="531"/>
      <c r="FK320" s="531"/>
      <c r="FL320" s="531"/>
      <c r="FM320" s="531"/>
      <c r="FN320" s="531"/>
      <c r="FO320" s="531"/>
      <c r="FP320" s="531"/>
      <c r="FQ320" s="531"/>
      <c r="FR320" s="531"/>
      <c r="FS320" s="531"/>
      <c r="FT320" s="531"/>
      <c r="FU320" s="531"/>
      <c r="FV320" s="531"/>
      <c r="FW320" s="531"/>
      <c r="FX320" s="531"/>
      <c r="FY320" s="531"/>
      <c r="FZ320" s="531"/>
      <c r="GA320" s="531"/>
      <c r="GB320" s="531"/>
      <c r="GC320" s="531"/>
      <c r="GD320" s="531"/>
      <c r="GE320" s="531"/>
      <c r="GF320" s="531"/>
      <c r="GG320" s="531"/>
      <c r="GH320" s="531"/>
      <c r="GI320" s="531"/>
      <c r="GJ320" s="531"/>
      <c r="GK320" s="531"/>
      <c r="GL320" s="531"/>
      <c r="GM320" s="531"/>
      <c r="GN320" s="531"/>
      <c r="GO320" s="531"/>
      <c r="GP320" s="531"/>
      <c r="GQ320" s="531"/>
      <c r="GR320" s="531"/>
      <c r="GS320" s="531"/>
      <c r="GT320" s="531"/>
      <c r="GU320" s="531"/>
      <c r="GV320" s="531"/>
      <c r="GW320" s="531"/>
      <c r="GX320" s="531"/>
      <c r="GY320" s="531"/>
      <c r="GZ320" s="531"/>
      <c r="HA320" s="531"/>
      <c r="HB320" s="531"/>
      <c r="HC320" s="531"/>
      <c r="HD320" s="531"/>
      <c r="HE320" s="531"/>
      <c r="HF320" s="531"/>
      <c r="HG320" s="531"/>
      <c r="HH320" s="531"/>
      <c r="HI320" s="531"/>
      <c r="HJ320" s="531"/>
      <c r="HK320" s="531"/>
      <c r="HL320" s="531"/>
      <c r="HM320" s="531"/>
      <c r="HN320" s="531"/>
      <c r="HO320" s="531"/>
      <c r="HP320" s="531"/>
      <c r="HQ320" s="531"/>
      <c r="HR320" s="531"/>
      <c r="HS320" s="531"/>
      <c r="HT320" s="531"/>
      <c r="HU320" s="531"/>
      <c r="HV320" s="531"/>
      <c r="HW320" s="531"/>
      <c r="HX320" s="531"/>
      <c r="HY320" s="531"/>
      <c r="HZ320" s="531"/>
      <c r="IA320" s="531"/>
      <c r="IB320" s="531"/>
      <c r="IC320" s="531"/>
      <c r="ID320" s="531"/>
      <c r="IE320" s="531"/>
      <c r="IF320" s="531"/>
      <c r="IG320" s="531"/>
      <c r="IH320" s="531"/>
      <c r="II320" s="531"/>
      <c r="IJ320" s="531"/>
      <c r="IK320" s="531"/>
      <c r="IL320" s="531"/>
      <c r="IM320" s="531"/>
      <c r="IN320" s="531"/>
      <c r="IO320" s="531"/>
      <c r="IP320" s="531"/>
      <c r="IQ320" s="531"/>
      <c r="IR320" s="531"/>
      <c r="IS320" s="531"/>
      <c r="IT320" s="531"/>
      <c r="IU320" s="531"/>
      <c r="IV320" s="531"/>
      <c r="IW320" s="531"/>
      <c r="IX320" s="531"/>
      <c r="IY320" s="531"/>
      <c r="IZ320" s="531"/>
    </row>
    <row r="321" spans="1:260" x14ac:dyDescent="0.25">
      <c r="AA321" s="518"/>
      <c r="AB321" s="518"/>
      <c r="AC321" s="518"/>
      <c r="AD321" s="518"/>
      <c r="AE321" s="518"/>
      <c r="AF321" s="518"/>
      <c r="AG321" s="518"/>
      <c r="AH321" s="518"/>
      <c r="AI321" s="518"/>
      <c r="AJ321" s="518"/>
      <c r="AK321" s="518"/>
      <c r="AL321" s="518"/>
      <c r="AM321" s="518"/>
      <c r="AN321" s="518"/>
      <c r="AO321" s="518"/>
      <c r="AP321" s="518"/>
      <c r="AQ321" s="518"/>
      <c r="AR321" s="518"/>
      <c r="AS321" s="518"/>
      <c r="AT321" s="518"/>
      <c r="AU321" s="518"/>
      <c r="AV321" s="518"/>
      <c r="AW321" s="518"/>
    </row>
    <row r="322" spans="1:260" x14ac:dyDescent="0.25">
      <c r="AA322" s="518"/>
      <c r="AB322" s="518"/>
      <c r="AC322" s="518"/>
      <c r="AD322" s="518"/>
      <c r="AE322" s="518"/>
      <c r="AF322" s="518"/>
      <c r="AG322" s="518"/>
      <c r="AH322" s="518"/>
      <c r="AI322" s="518"/>
      <c r="AJ322" s="518"/>
      <c r="AK322" s="518"/>
      <c r="AL322" s="518"/>
      <c r="AM322" s="518"/>
      <c r="AN322" s="518"/>
      <c r="AO322" s="518"/>
      <c r="AP322" s="518"/>
      <c r="AQ322" s="518"/>
      <c r="AR322" s="518"/>
      <c r="AS322" s="518"/>
      <c r="AT322" s="518"/>
      <c r="AU322" s="518"/>
      <c r="AV322" s="518"/>
      <c r="AW322" s="518"/>
    </row>
    <row r="323" spans="1:260" ht="15.75" thickBot="1" x14ac:dyDescent="0.3">
      <c r="A323" s="529">
        <v>15</v>
      </c>
      <c r="B323" s="529"/>
      <c r="C323" s="529"/>
      <c r="D323" s="529"/>
      <c r="E323" s="529"/>
      <c r="F323" s="529"/>
      <c r="G323" s="529"/>
      <c r="H323" s="529"/>
      <c r="I323" s="529"/>
      <c r="J323" s="529">
        <v>18</v>
      </c>
      <c r="K323" s="529">
        <v>19</v>
      </c>
      <c r="L323" s="529">
        <v>20</v>
      </c>
      <c r="M323" s="529">
        <v>21</v>
      </c>
      <c r="N323" s="529">
        <v>22</v>
      </c>
      <c r="O323" s="529">
        <v>23</v>
      </c>
      <c r="P323" s="529">
        <v>24</v>
      </c>
      <c r="Q323" s="529">
        <v>25</v>
      </c>
      <c r="R323" s="529">
        <v>26</v>
      </c>
      <c r="S323" s="529">
        <v>27</v>
      </c>
      <c r="T323" s="529">
        <v>28</v>
      </c>
      <c r="U323" s="529">
        <v>29</v>
      </c>
      <c r="V323" s="529">
        <v>30</v>
      </c>
      <c r="W323" s="529"/>
      <c r="X323" s="529"/>
      <c r="Y323" s="529" t="str">
        <f>IFERROR(IF(COUNTIF(Pedidos!$J:$J,Q$2)&gt;A323-1,MATCH(Q$2,Pedidos!$J:$J,0),""),"")</f>
        <v/>
      </c>
      <c r="Z323" s="529">
        <f>IFERROR(IF(Y323="",0,COUNTIF(Pedidos!$J:$J,Procesos!Q$2)),"")</f>
        <v>0</v>
      </c>
      <c r="AA323" s="529">
        <v>15</v>
      </c>
      <c r="AB323" s="529"/>
      <c r="AC323" s="529"/>
      <c r="AD323" s="529"/>
      <c r="AE323" s="529"/>
      <c r="AF323" s="529"/>
      <c r="AG323" s="529"/>
      <c r="AH323" s="529"/>
      <c r="AI323" s="529"/>
      <c r="AJ323" s="529">
        <v>18</v>
      </c>
      <c r="AK323" s="529">
        <v>19</v>
      </c>
      <c r="AL323" s="529">
        <v>20</v>
      </c>
      <c r="AM323" s="529">
        <v>21</v>
      </c>
      <c r="AN323" s="529">
        <v>22</v>
      </c>
      <c r="AO323" s="529">
        <v>23</v>
      </c>
      <c r="AP323" s="529">
        <v>24</v>
      </c>
      <c r="AQ323" s="529">
        <v>25</v>
      </c>
      <c r="AR323" s="529">
        <v>26</v>
      </c>
      <c r="AS323" s="529">
        <v>27</v>
      </c>
      <c r="AT323" s="529">
        <v>28</v>
      </c>
      <c r="AU323" s="529">
        <v>29</v>
      </c>
      <c r="AV323" s="529">
        <v>30</v>
      </c>
      <c r="AW323" s="529"/>
      <c r="AX323" s="529"/>
      <c r="AY323" s="529" t="str">
        <f>IFERROR(IF(COUNTIF(Pedidos!$J:$J,AQ$2)&gt;AA323-1,MATCH(AQ$2,Pedidos!$J:$J,0),""),"")</f>
        <v/>
      </c>
      <c r="AZ323" s="529">
        <f>IFERROR(IF(AY323="",0,COUNTIF(Pedidos!$J:$J,Procesos!AQ$2)),"")</f>
        <v>0</v>
      </c>
      <c r="BA323" s="529">
        <v>15</v>
      </c>
      <c r="BB323" s="529"/>
      <c r="BC323" s="529"/>
      <c r="BD323" s="529"/>
      <c r="BE323" s="529"/>
      <c r="BF323" s="529"/>
      <c r="BG323" s="529"/>
      <c r="BH323" s="529"/>
      <c r="BI323" s="529"/>
      <c r="BJ323" s="529">
        <v>18</v>
      </c>
      <c r="BK323" s="529">
        <v>19</v>
      </c>
      <c r="BL323" s="529">
        <v>20</v>
      </c>
      <c r="BM323" s="529">
        <v>21</v>
      </c>
      <c r="BN323" s="529">
        <v>22</v>
      </c>
      <c r="BO323" s="529">
        <v>23</v>
      </c>
      <c r="BP323" s="529">
        <v>24</v>
      </c>
      <c r="BQ323" s="529">
        <v>25</v>
      </c>
      <c r="BR323" s="529">
        <v>26</v>
      </c>
      <c r="BS323" s="529">
        <v>27</v>
      </c>
      <c r="BT323" s="529">
        <v>28</v>
      </c>
      <c r="BU323" s="529">
        <v>29</v>
      </c>
      <c r="BV323" s="529">
        <v>30</v>
      </c>
      <c r="BW323" s="529"/>
      <c r="BX323" s="529"/>
      <c r="BY323" s="529" t="str">
        <f>IFERROR(IF(COUNTIF(Pedidos!$J:$J,BQ$2)&gt;BA323-1,MATCH(BQ$2,Pedidos!$J:$J,0),""),"")</f>
        <v/>
      </c>
      <c r="BZ323" s="529">
        <f>IFERROR(IF(BY323="",0,COUNTIF(Pedidos!$J:$J,Procesos!BQ$2)),"")</f>
        <v>0</v>
      </c>
      <c r="CA323" s="529">
        <v>15</v>
      </c>
      <c r="CB323" s="529"/>
      <c r="CC323" s="529"/>
      <c r="CD323" s="529"/>
      <c r="CE323" s="529"/>
      <c r="CF323" s="529"/>
      <c r="CG323" s="529"/>
      <c r="CH323" s="529"/>
      <c r="CI323" s="529"/>
      <c r="CJ323" s="529">
        <v>18</v>
      </c>
      <c r="CK323" s="529">
        <v>19</v>
      </c>
      <c r="CL323" s="529">
        <v>20</v>
      </c>
      <c r="CM323" s="529">
        <v>21</v>
      </c>
      <c r="CN323" s="529">
        <v>22</v>
      </c>
      <c r="CO323" s="529">
        <v>23</v>
      </c>
      <c r="CP323" s="529">
        <v>24</v>
      </c>
      <c r="CQ323" s="529">
        <v>25</v>
      </c>
      <c r="CR323" s="529">
        <v>26</v>
      </c>
      <c r="CS323" s="529">
        <v>27</v>
      </c>
      <c r="CT323" s="529">
        <v>28</v>
      </c>
      <c r="CU323" s="529">
        <v>29</v>
      </c>
      <c r="CV323" s="529">
        <v>30</v>
      </c>
      <c r="CW323" s="529"/>
      <c r="CX323" s="529"/>
      <c r="CY323" s="529" t="str">
        <f>IFERROR(IF(COUNTIF(Pedidos!$J:$J,CQ$2)&gt;CA323-1,MATCH(CQ$2,Pedidos!$J:$J,0),""),"")</f>
        <v/>
      </c>
      <c r="CZ323" s="529">
        <f>IFERROR(IF(CY323="",0,COUNTIF(Pedidos!$J:$J,Procesos!CQ$2)),"")</f>
        <v>0</v>
      </c>
      <c r="DA323" s="529">
        <v>15</v>
      </c>
      <c r="DB323" s="529"/>
      <c r="DC323" s="529"/>
      <c r="DD323" s="529"/>
      <c r="DE323" s="529"/>
      <c r="DF323" s="529"/>
      <c r="DG323" s="529"/>
      <c r="DH323" s="529"/>
      <c r="DI323" s="529"/>
      <c r="DJ323" s="529">
        <v>18</v>
      </c>
      <c r="DK323" s="529">
        <v>19</v>
      </c>
      <c r="DL323" s="529">
        <v>20</v>
      </c>
      <c r="DM323" s="529">
        <v>21</v>
      </c>
      <c r="DN323" s="529">
        <v>22</v>
      </c>
      <c r="DO323" s="529">
        <v>23</v>
      </c>
      <c r="DP323" s="529">
        <v>24</v>
      </c>
      <c r="DQ323" s="529">
        <v>25</v>
      </c>
      <c r="DR323" s="529">
        <v>26</v>
      </c>
      <c r="DS323" s="529">
        <v>27</v>
      </c>
      <c r="DT323" s="529">
        <v>28</v>
      </c>
      <c r="DU323" s="529">
        <v>29</v>
      </c>
      <c r="DV323" s="529">
        <v>30</v>
      </c>
      <c r="DW323" s="529"/>
      <c r="DX323" s="529"/>
      <c r="DY323" s="529" t="str">
        <f>IFERROR(IF(COUNTIF(Pedidos!$J:$J,DQ$2)&gt;DA323-1,MATCH(DQ$2,Pedidos!$J:$J,0),""),"")</f>
        <v/>
      </c>
      <c r="DZ323" s="529">
        <f>IFERROR(IF(DY323="",0,COUNTIF(Pedidos!$J:$J,Procesos!DQ$2)),"")</f>
        <v>0</v>
      </c>
      <c r="EA323" s="529">
        <v>15</v>
      </c>
      <c r="EB323" s="529"/>
      <c r="EC323" s="529"/>
      <c r="ED323" s="529"/>
      <c r="EE323" s="529"/>
      <c r="EF323" s="529"/>
      <c r="EG323" s="529"/>
      <c r="EH323" s="529"/>
      <c r="EI323" s="529"/>
      <c r="EJ323" s="529">
        <v>18</v>
      </c>
      <c r="EK323" s="529">
        <v>19</v>
      </c>
      <c r="EL323" s="529">
        <v>20</v>
      </c>
      <c r="EM323" s="529">
        <v>21</v>
      </c>
      <c r="EN323" s="529">
        <v>22</v>
      </c>
      <c r="EO323" s="529">
        <v>23</v>
      </c>
      <c r="EP323" s="529">
        <v>24</v>
      </c>
      <c r="EQ323" s="529">
        <v>25</v>
      </c>
      <c r="ER323" s="529">
        <v>26</v>
      </c>
      <c r="ES323" s="529">
        <v>27</v>
      </c>
      <c r="ET323" s="529">
        <v>28</v>
      </c>
      <c r="EU323" s="529">
        <v>29</v>
      </c>
      <c r="EV323" s="529">
        <v>30</v>
      </c>
      <c r="EW323" s="529"/>
      <c r="EX323" s="529"/>
      <c r="EY323" s="529" t="str">
        <f>IFERROR(IF(COUNTIF(Pedidos!$J:$J,EQ$2)&gt;EA323-1,MATCH(EQ$2,Pedidos!$J:$J,0),""),"")</f>
        <v/>
      </c>
      <c r="EZ323" s="529">
        <f>IFERROR(IF(EY323="",0,COUNTIF(Pedidos!$J:$J,Procesos!EQ$2)),"")</f>
        <v>0</v>
      </c>
      <c r="FA323" s="529">
        <v>15</v>
      </c>
      <c r="FB323" s="529"/>
      <c r="FC323" s="529"/>
      <c r="FD323" s="529"/>
      <c r="FE323" s="529"/>
      <c r="FF323" s="529"/>
      <c r="FG323" s="529"/>
      <c r="FH323" s="529"/>
      <c r="FI323" s="529"/>
      <c r="FJ323" s="529">
        <v>18</v>
      </c>
      <c r="FK323" s="529">
        <v>19</v>
      </c>
      <c r="FL323" s="529">
        <v>20</v>
      </c>
      <c r="FM323" s="529">
        <v>21</v>
      </c>
      <c r="FN323" s="529">
        <v>22</v>
      </c>
      <c r="FO323" s="529">
        <v>23</v>
      </c>
      <c r="FP323" s="529">
        <v>24</v>
      </c>
      <c r="FQ323" s="529">
        <v>25</v>
      </c>
      <c r="FR323" s="529">
        <v>26</v>
      </c>
      <c r="FS323" s="529">
        <v>27</v>
      </c>
      <c r="FT323" s="529">
        <v>28</v>
      </c>
      <c r="FU323" s="529">
        <v>29</v>
      </c>
      <c r="FV323" s="529">
        <v>30</v>
      </c>
      <c r="FW323" s="529"/>
      <c r="FX323" s="529"/>
      <c r="FY323" s="529" t="str">
        <f>IFERROR(IF(COUNTIF(Pedidos!$J:$J,FQ$2)&gt;FA323-1,MATCH(FQ$2,Pedidos!$J:$J,0),""),"")</f>
        <v/>
      </c>
      <c r="FZ323" s="529">
        <f>IFERROR(IF(FY323="",0,COUNTIF(Pedidos!$J:$J,Procesos!FQ$2)),"")</f>
        <v>0</v>
      </c>
      <c r="GA323" s="529">
        <v>15</v>
      </c>
      <c r="GB323" s="529"/>
      <c r="GC323" s="529"/>
      <c r="GD323" s="529"/>
      <c r="GE323" s="529"/>
      <c r="GF323" s="529"/>
      <c r="GG323" s="529"/>
      <c r="GH323" s="529"/>
      <c r="GI323" s="529"/>
      <c r="GJ323" s="529">
        <v>18</v>
      </c>
      <c r="GK323" s="529">
        <v>19</v>
      </c>
      <c r="GL323" s="529">
        <v>20</v>
      </c>
      <c r="GM323" s="529">
        <v>21</v>
      </c>
      <c r="GN323" s="529">
        <v>22</v>
      </c>
      <c r="GO323" s="529">
        <v>23</v>
      </c>
      <c r="GP323" s="529">
        <v>24</v>
      </c>
      <c r="GQ323" s="529">
        <v>25</v>
      </c>
      <c r="GR323" s="529">
        <v>26</v>
      </c>
      <c r="GS323" s="529">
        <v>27</v>
      </c>
      <c r="GT323" s="529">
        <v>28</v>
      </c>
      <c r="GU323" s="529">
        <v>29</v>
      </c>
      <c r="GV323" s="529">
        <v>30</v>
      </c>
      <c r="GW323" s="529"/>
      <c r="GX323" s="529"/>
      <c r="GY323" s="529" t="str">
        <f>IFERROR(IF(COUNTIF(Pedidos!$J:$J,GQ$2)&gt;GA323-1,MATCH(GQ$2,Pedidos!$J:$J,0),""),"")</f>
        <v/>
      </c>
      <c r="GZ323" s="529">
        <f>IFERROR(IF(GY323="",0,COUNTIF(Pedidos!$J:$J,Procesos!GQ$2)),"")</f>
        <v>0</v>
      </c>
      <c r="HA323" s="529">
        <v>15</v>
      </c>
      <c r="HB323" s="529"/>
      <c r="HC323" s="529"/>
      <c r="HD323" s="529"/>
      <c r="HE323" s="529"/>
      <c r="HF323" s="529"/>
      <c r="HG323" s="529"/>
      <c r="HH323" s="529"/>
      <c r="HI323" s="529"/>
      <c r="HJ323" s="529">
        <v>18</v>
      </c>
      <c r="HK323" s="529">
        <v>19</v>
      </c>
      <c r="HL323" s="529">
        <v>20</v>
      </c>
      <c r="HM323" s="529">
        <v>21</v>
      </c>
      <c r="HN323" s="529">
        <v>22</v>
      </c>
      <c r="HO323" s="529">
        <v>23</v>
      </c>
      <c r="HP323" s="529">
        <v>24</v>
      </c>
      <c r="HQ323" s="529">
        <v>25</v>
      </c>
      <c r="HR323" s="529">
        <v>26</v>
      </c>
      <c r="HS323" s="529">
        <v>27</v>
      </c>
      <c r="HT323" s="529">
        <v>28</v>
      </c>
      <c r="HU323" s="529">
        <v>29</v>
      </c>
      <c r="HV323" s="529">
        <v>30</v>
      </c>
      <c r="HW323" s="529"/>
      <c r="HX323" s="529"/>
      <c r="HY323" s="529" t="str">
        <f>IFERROR(IF(COUNTIF(Pedidos!$J:$J,HQ$2)&gt;HA323-1,MATCH(HQ$2,Pedidos!$J:$J,0),""),"")</f>
        <v/>
      </c>
      <c r="HZ323" s="529">
        <f>IFERROR(IF(HY323="",0,COUNTIF(Pedidos!$J:$J,Procesos!HQ$2)),"")</f>
        <v>0</v>
      </c>
      <c r="IA323" s="529">
        <v>15</v>
      </c>
      <c r="IB323" s="529"/>
      <c r="IC323" s="529"/>
      <c r="ID323" s="529"/>
      <c r="IE323" s="529"/>
      <c r="IF323" s="529"/>
      <c r="IG323" s="529"/>
      <c r="IH323" s="529"/>
      <c r="II323" s="529"/>
      <c r="IJ323" s="529">
        <v>18</v>
      </c>
      <c r="IK323" s="529">
        <v>19</v>
      </c>
      <c r="IL323" s="529">
        <v>20</v>
      </c>
      <c r="IM323" s="529">
        <v>21</v>
      </c>
      <c r="IN323" s="529">
        <v>22</v>
      </c>
      <c r="IO323" s="529">
        <v>23</v>
      </c>
      <c r="IP323" s="529">
        <v>24</v>
      </c>
      <c r="IQ323" s="529">
        <v>25</v>
      </c>
      <c r="IR323" s="529">
        <v>26</v>
      </c>
      <c r="IS323" s="529">
        <v>27</v>
      </c>
      <c r="IT323" s="529">
        <v>28</v>
      </c>
      <c r="IU323" s="529">
        <v>29</v>
      </c>
      <c r="IV323" s="529">
        <v>30</v>
      </c>
      <c r="IW323" s="529"/>
      <c r="IX323" s="529"/>
      <c r="IY323" s="529" t="str">
        <f>IFERROR(IF(COUNTIF(Pedidos!$J:$J,IQ$2)&gt;IA323-1,MATCH(IQ$2,Pedidos!$J:$J,0),""),"")</f>
        <v/>
      </c>
      <c r="IZ323" s="529">
        <f>IFERROR(IF(IY323="",0,COUNTIF(Pedidos!$J:$J,Procesos!IQ$2)),"")</f>
        <v>0</v>
      </c>
    </row>
    <row r="324" spans="1:260" x14ac:dyDescent="0.25">
      <c r="A324" s="815" t="str">
        <f>IF(Z323&gt;=A323,Q$2 &amp;"     ITEM # "&amp;A323,"")</f>
        <v/>
      </c>
      <c r="B324" s="816"/>
      <c r="C324" s="816"/>
      <c r="D324" s="816"/>
      <c r="E324" s="816"/>
      <c r="F324" s="816"/>
      <c r="G324" s="816"/>
      <c r="H324" s="816"/>
      <c r="I324" s="817"/>
      <c r="J324" s="818" t="str">
        <f>IF(Z323&gt;=A323,$J$6,"")</f>
        <v/>
      </c>
      <c r="K324" s="816"/>
      <c r="L324" s="816"/>
      <c r="M324" s="816"/>
      <c r="N324" s="816"/>
      <c r="O324" s="816"/>
      <c r="P324" s="816"/>
      <c r="Q324" s="816"/>
      <c r="R324" s="816"/>
      <c r="S324" s="816"/>
      <c r="T324" s="816"/>
      <c r="U324" s="816"/>
      <c r="V324" s="816"/>
      <c r="W324" s="816"/>
      <c r="X324" s="816"/>
      <c r="Y324" s="816"/>
      <c r="Z324" s="819"/>
      <c r="AA324" s="815" t="str">
        <f>IF(AZ323&gt;=AA323,AQ$2 &amp;"     ITEM # "&amp;AA323,"")</f>
        <v/>
      </c>
      <c r="AB324" s="816"/>
      <c r="AC324" s="816"/>
      <c r="AD324" s="816"/>
      <c r="AE324" s="816"/>
      <c r="AF324" s="816"/>
      <c r="AG324" s="816"/>
      <c r="AH324" s="816"/>
      <c r="AI324" s="817"/>
      <c r="AJ324" s="818" t="str">
        <f>IF(AZ323&gt;=AA323,$J$6,"")</f>
        <v/>
      </c>
      <c r="AK324" s="816"/>
      <c r="AL324" s="816"/>
      <c r="AM324" s="816"/>
      <c r="AN324" s="816"/>
      <c r="AO324" s="816"/>
      <c r="AP324" s="816"/>
      <c r="AQ324" s="816"/>
      <c r="AR324" s="816"/>
      <c r="AS324" s="816"/>
      <c r="AT324" s="816"/>
      <c r="AU324" s="816"/>
      <c r="AV324" s="816"/>
      <c r="AW324" s="816"/>
      <c r="AX324" s="816"/>
      <c r="AY324" s="816"/>
      <c r="AZ324" s="819"/>
      <c r="BA324" s="815" t="str">
        <f>IF(BZ323&gt;=BA323,BQ$2 &amp;"     ITEM # "&amp;BA323,"")</f>
        <v/>
      </c>
      <c r="BB324" s="816"/>
      <c r="BC324" s="816"/>
      <c r="BD324" s="816"/>
      <c r="BE324" s="816"/>
      <c r="BF324" s="816"/>
      <c r="BG324" s="816"/>
      <c r="BH324" s="816"/>
      <c r="BI324" s="817"/>
      <c r="BJ324" s="818" t="str">
        <f>IF(BZ323&gt;=BA323,$J$6,"")</f>
        <v/>
      </c>
      <c r="BK324" s="816"/>
      <c r="BL324" s="816"/>
      <c r="BM324" s="816"/>
      <c r="BN324" s="816"/>
      <c r="BO324" s="816"/>
      <c r="BP324" s="816"/>
      <c r="BQ324" s="816"/>
      <c r="BR324" s="816"/>
      <c r="BS324" s="816"/>
      <c r="BT324" s="816"/>
      <c r="BU324" s="816"/>
      <c r="BV324" s="816"/>
      <c r="BW324" s="816"/>
      <c r="BX324" s="816"/>
      <c r="BY324" s="816"/>
      <c r="BZ324" s="819"/>
      <c r="CA324" s="815" t="str">
        <f>IF(CZ323&gt;=CA323,CQ$2 &amp;"     ITEM # "&amp;CA323,"")</f>
        <v/>
      </c>
      <c r="CB324" s="816"/>
      <c r="CC324" s="816"/>
      <c r="CD324" s="816"/>
      <c r="CE324" s="816"/>
      <c r="CF324" s="816"/>
      <c r="CG324" s="816"/>
      <c r="CH324" s="816"/>
      <c r="CI324" s="817"/>
      <c r="CJ324" s="818" t="str">
        <f>IF(CZ323&gt;=CA323,$J$6,"")</f>
        <v/>
      </c>
      <c r="CK324" s="816"/>
      <c r="CL324" s="816"/>
      <c r="CM324" s="816"/>
      <c r="CN324" s="816"/>
      <c r="CO324" s="816"/>
      <c r="CP324" s="816"/>
      <c r="CQ324" s="816"/>
      <c r="CR324" s="816"/>
      <c r="CS324" s="816"/>
      <c r="CT324" s="816"/>
      <c r="CU324" s="816"/>
      <c r="CV324" s="816"/>
      <c r="CW324" s="816"/>
      <c r="CX324" s="816"/>
      <c r="CY324" s="816"/>
      <c r="CZ324" s="819"/>
      <c r="DA324" s="815" t="str">
        <f>IF(DZ323&gt;=DA323,DQ$2 &amp;"     ITEM # "&amp;DA323,"")</f>
        <v/>
      </c>
      <c r="DB324" s="816"/>
      <c r="DC324" s="816"/>
      <c r="DD324" s="816"/>
      <c r="DE324" s="816"/>
      <c r="DF324" s="816"/>
      <c r="DG324" s="816"/>
      <c r="DH324" s="816"/>
      <c r="DI324" s="817"/>
      <c r="DJ324" s="818" t="str">
        <f>IF(DZ323&gt;=DA323,$J$6,"")</f>
        <v/>
      </c>
      <c r="DK324" s="816"/>
      <c r="DL324" s="816"/>
      <c r="DM324" s="816"/>
      <c r="DN324" s="816"/>
      <c r="DO324" s="816"/>
      <c r="DP324" s="816"/>
      <c r="DQ324" s="816"/>
      <c r="DR324" s="816"/>
      <c r="DS324" s="816"/>
      <c r="DT324" s="816"/>
      <c r="DU324" s="816"/>
      <c r="DV324" s="816"/>
      <c r="DW324" s="816"/>
      <c r="DX324" s="816"/>
      <c r="DY324" s="816"/>
      <c r="DZ324" s="819"/>
      <c r="EA324" s="815" t="str">
        <f>IF(EZ323&gt;=EA323,EQ$2 &amp;"     ITEM # "&amp;EA323,"")</f>
        <v/>
      </c>
      <c r="EB324" s="816"/>
      <c r="EC324" s="816"/>
      <c r="ED324" s="816"/>
      <c r="EE324" s="816"/>
      <c r="EF324" s="816"/>
      <c r="EG324" s="816"/>
      <c r="EH324" s="816"/>
      <c r="EI324" s="817"/>
      <c r="EJ324" s="818" t="str">
        <f>IF(EZ323&gt;=EA323,$J$6,"")</f>
        <v/>
      </c>
      <c r="EK324" s="816"/>
      <c r="EL324" s="816"/>
      <c r="EM324" s="816"/>
      <c r="EN324" s="816"/>
      <c r="EO324" s="816"/>
      <c r="EP324" s="816"/>
      <c r="EQ324" s="816"/>
      <c r="ER324" s="816"/>
      <c r="ES324" s="816"/>
      <c r="ET324" s="816"/>
      <c r="EU324" s="816"/>
      <c r="EV324" s="816"/>
      <c r="EW324" s="816"/>
      <c r="EX324" s="816"/>
      <c r="EY324" s="816"/>
      <c r="EZ324" s="819"/>
      <c r="FA324" s="815" t="str">
        <f>IF(FZ323&gt;=FA323,FQ$2 &amp;"     ITEM # "&amp;FA323,"")</f>
        <v/>
      </c>
      <c r="FB324" s="816"/>
      <c r="FC324" s="816"/>
      <c r="FD324" s="816"/>
      <c r="FE324" s="816"/>
      <c r="FF324" s="816"/>
      <c r="FG324" s="816"/>
      <c r="FH324" s="816"/>
      <c r="FI324" s="817"/>
      <c r="FJ324" s="818" t="str">
        <f>IF(FZ323&gt;=FA323,$J$6,"")</f>
        <v/>
      </c>
      <c r="FK324" s="816"/>
      <c r="FL324" s="816"/>
      <c r="FM324" s="816"/>
      <c r="FN324" s="816"/>
      <c r="FO324" s="816"/>
      <c r="FP324" s="816"/>
      <c r="FQ324" s="816"/>
      <c r="FR324" s="816"/>
      <c r="FS324" s="816"/>
      <c r="FT324" s="816"/>
      <c r="FU324" s="816"/>
      <c r="FV324" s="816"/>
      <c r="FW324" s="816"/>
      <c r="FX324" s="816"/>
      <c r="FY324" s="816"/>
      <c r="FZ324" s="819"/>
      <c r="GA324" s="815" t="str">
        <f>IF(GZ323&gt;=GA323,GQ$2 &amp;"     ITEM # "&amp;GA323,"")</f>
        <v/>
      </c>
      <c r="GB324" s="816"/>
      <c r="GC324" s="816"/>
      <c r="GD324" s="816"/>
      <c r="GE324" s="816"/>
      <c r="GF324" s="816"/>
      <c r="GG324" s="816"/>
      <c r="GH324" s="816"/>
      <c r="GI324" s="817"/>
      <c r="GJ324" s="818" t="str">
        <f>IF(GZ323&gt;=GA323,$J$6,"")</f>
        <v/>
      </c>
      <c r="GK324" s="816"/>
      <c r="GL324" s="816"/>
      <c r="GM324" s="816"/>
      <c r="GN324" s="816"/>
      <c r="GO324" s="816"/>
      <c r="GP324" s="816"/>
      <c r="GQ324" s="816"/>
      <c r="GR324" s="816"/>
      <c r="GS324" s="816"/>
      <c r="GT324" s="816"/>
      <c r="GU324" s="816"/>
      <c r="GV324" s="816"/>
      <c r="GW324" s="816"/>
      <c r="GX324" s="816"/>
      <c r="GY324" s="816"/>
      <c r="GZ324" s="819"/>
      <c r="HA324" s="815" t="str">
        <f>IF(HZ323&gt;=HA323,HQ$2 &amp;"     ITEM # "&amp;HA323,"")</f>
        <v/>
      </c>
      <c r="HB324" s="816"/>
      <c r="HC324" s="816"/>
      <c r="HD324" s="816"/>
      <c r="HE324" s="816"/>
      <c r="HF324" s="816"/>
      <c r="HG324" s="816"/>
      <c r="HH324" s="816"/>
      <c r="HI324" s="817"/>
      <c r="HJ324" s="818" t="str">
        <f>IF(HZ323&gt;=HA323,$J$6,"")</f>
        <v/>
      </c>
      <c r="HK324" s="816"/>
      <c r="HL324" s="816"/>
      <c r="HM324" s="816"/>
      <c r="HN324" s="816"/>
      <c r="HO324" s="816"/>
      <c r="HP324" s="816"/>
      <c r="HQ324" s="816"/>
      <c r="HR324" s="816"/>
      <c r="HS324" s="816"/>
      <c r="HT324" s="816"/>
      <c r="HU324" s="816"/>
      <c r="HV324" s="816"/>
      <c r="HW324" s="816"/>
      <c r="HX324" s="816"/>
      <c r="HY324" s="816"/>
      <c r="HZ324" s="819"/>
      <c r="IA324" s="815" t="str">
        <f>IF(IZ323&gt;=IA323,IQ$2 &amp;"     ITEM # "&amp;IA323,"")</f>
        <v/>
      </c>
      <c r="IB324" s="816"/>
      <c r="IC324" s="816"/>
      <c r="ID324" s="816"/>
      <c r="IE324" s="816"/>
      <c r="IF324" s="816"/>
      <c r="IG324" s="816"/>
      <c r="IH324" s="816"/>
      <c r="II324" s="817"/>
      <c r="IJ324" s="818" t="str">
        <f>IF(IZ323&gt;=IA323,$J$6,"")</f>
        <v/>
      </c>
      <c r="IK324" s="816"/>
      <c r="IL324" s="816"/>
      <c r="IM324" s="816"/>
      <c r="IN324" s="816"/>
      <c r="IO324" s="816"/>
      <c r="IP324" s="816"/>
      <c r="IQ324" s="816"/>
      <c r="IR324" s="816"/>
      <c r="IS324" s="816"/>
      <c r="IT324" s="816"/>
      <c r="IU324" s="816"/>
      <c r="IV324" s="816"/>
      <c r="IW324" s="816"/>
      <c r="IX324" s="816"/>
      <c r="IY324" s="816"/>
      <c r="IZ324" s="819"/>
    </row>
    <row r="325" spans="1:260" x14ac:dyDescent="0.25">
      <c r="A325" s="848" t="str">
        <f>IFERROR(INDEX(Lista_Pedidos,Procesos!Y323+A323-1,5),"")</f>
        <v/>
      </c>
      <c r="B325" s="843"/>
      <c r="C325" s="843"/>
      <c r="D325" s="843"/>
      <c r="E325" s="843"/>
      <c r="F325" s="843"/>
      <c r="G325" s="843"/>
      <c r="H325" s="843"/>
      <c r="I325" s="844"/>
      <c r="J325" s="842" t="str">
        <f>IF(Z323&gt;=A323,$J$7,"")</f>
        <v/>
      </c>
      <c r="K325" s="843"/>
      <c r="L325" s="844"/>
      <c r="M325" s="842" t="str">
        <f>IF(Z323&gt;=A323,$M$7,"")</f>
        <v/>
      </c>
      <c r="N325" s="843"/>
      <c r="O325" s="844"/>
      <c r="P325" s="842" t="str">
        <f>IF(Z323&gt;=A323,$P$7,"")</f>
        <v/>
      </c>
      <c r="Q325" s="843"/>
      <c r="R325" s="843"/>
      <c r="S325" s="843"/>
      <c r="T325" s="843"/>
      <c r="U325" s="844"/>
      <c r="V325" s="834" t="str">
        <f>IF(Z323&gt;=A323,$V$7,"")</f>
        <v/>
      </c>
      <c r="W325" s="842" t="str">
        <f>IF(Z323&gt;=A323,$W$7,"")</f>
        <v/>
      </c>
      <c r="X325" s="843"/>
      <c r="Y325" s="843"/>
      <c r="Z325" s="850"/>
      <c r="AA325" s="848" t="str">
        <f>IFERROR(INDEX(Lista_Pedidos,Procesos!AY323+AA323-1,5),"")</f>
        <v/>
      </c>
      <c r="AB325" s="843"/>
      <c r="AC325" s="843"/>
      <c r="AD325" s="843"/>
      <c r="AE325" s="843"/>
      <c r="AF325" s="843"/>
      <c r="AG325" s="843"/>
      <c r="AH325" s="843"/>
      <c r="AI325" s="844"/>
      <c r="AJ325" s="842" t="str">
        <f>IF(AZ323&gt;=AA323,$J$7,"")</f>
        <v/>
      </c>
      <c r="AK325" s="843"/>
      <c r="AL325" s="844"/>
      <c r="AM325" s="842" t="str">
        <f>IF(AZ323&gt;=AA323,$M$7,"")</f>
        <v/>
      </c>
      <c r="AN325" s="843"/>
      <c r="AO325" s="844"/>
      <c r="AP325" s="842" t="str">
        <f>IF(AZ323&gt;=AA323,$P$7,"")</f>
        <v/>
      </c>
      <c r="AQ325" s="843"/>
      <c r="AR325" s="843"/>
      <c r="AS325" s="843"/>
      <c r="AT325" s="843"/>
      <c r="AU325" s="844"/>
      <c r="AV325" s="834" t="str">
        <f>IF(AZ323&gt;=AA323,$V$7,"")</f>
        <v/>
      </c>
      <c r="AW325" s="842" t="str">
        <f>IF(AZ323&gt;=AA323,$W$7,"")</f>
        <v/>
      </c>
      <c r="AX325" s="843"/>
      <c r="AY325" s="843"/>
      <c r="AZ325" s="850"/>
      <c r="BA325" s="848" t="str">
        <f>IFERROR(INDEX(Lista_Pedidos,Procesos!BY323+BA323-1,5),"")</f>
        <v/>
      </c>
      <c r="BB325" s="843"/>
      <c r="BC325" s="843"/>
      <c r="BD325" s="843"/>
      <c r="BE325" s="843"/>
      <c r="BF325" s="843"/>
      <c r="BG325" s="843"/>
      <c r="BH325" s="843"/>
      <c r="BI325" s="844"/>
      <c r="BJ325" s="842" t="str">
        <f>IF(BZ323&gt;=BA323,$J$7,"")</f>
        <v/>
      </c>
      <c r="BK325" s="843"/>
      <c r="BL325" s="844"/>
      <c r="BM325" s="842" t="str">
        <f>IF(BZ323&gt;=BA323,$M$7,"")</f>
        <v/>
      </c>
      <c r="BN325" s="843"/>
      <c r="BO325" s="844"/>
      <c r="BP325" s="842" t="str">
        <f>IF(BZ323&gt;=BA323,$P$7,"")</f>
        <v/>
      </c>
      <c r="BQ325" s="843"/>
      <c r="BR325" s="843"/>
      <c r="BS325" s="843"/>
      <c r="BT325" s="843"/>
      <c r="BU325" s="844"/>
      <c r="BV325" s="834" t="str">
        <f>IF(BZ323&gt;=BA323,$V$7,"")</f>
        <v/>
      </c>
      <c r="BW325" s="842" t="str">
        <f>IF(BZ323&gt;=BA323,$W$7,"")</f>
        <v/>
      </c>
      <c r="BX325" s="843"/>
      <c r="BY325" s="843"/>
      <c r="BZ325" s="850"/>
      <c r="CA325" s="848" t="str">
        <f>IFERROR(INDEX(Lista_Pedidos,Procesos!CY323+CA323-1,5),"")</f>
        <v/>
      </c>
      <c r="CB325" s="843"/>
      <c r="CC325" s="843"/>
      <c r="CD325" s="843"/>
      <c r="CE325" s="843"/>
      <c r="CF325" s="843"/>
      <c r="CG325" s="843"/>
      <c r="CH325" s="843"/>
      <c r="CI325" s="844"/>
      <c r="CJ325" s="842" t="str">
        <f>IF(CZ323&gt;=CA323,$J$7,"")</f>
        <v/>
      </c>
      <c r="CK325" s="843"/>
      <c r="CL325" s="844"/>
      <c r="CM325" s="842" t="str">
        <f>IF(CZ323&gt;=CA323,$M$7,"")</f>
        <v/>
      </c>
      <c r="CN325" s="843"/>
      <c r="CO325" s="844"/>
      <c r="CP325" s="842" t="str">
        <f>IF(CZ323&gt;=CA323,$P$7,"")</f>
        <v/>
      </c>
      <c r="CQ325" s="843"/>
      <c r="CR325" s="843"/>
      <c r="CS325" s="843"/>
      <c r="CT325" s="843"/>
      <c r="CU325" s="844"/>
      <c r="CV325" s="834" t="str">
        <f>IF(CZ323&gt;=CA323,$V$7,"")</f>
        <v/>
      </c>
      <c r="CW325" s="842" t="str">
        <f>IF(CZ323&gt;=CA323,$W$7,"")</f>
        <v/>
      </c>
      <c r="CX325" s="843"/>
      <c r="CY325" s="843"/>
      <c r="CZ325" s="850"/>
      <c r="DA325" s="848" t="str">
        <f>IFERROR(INDEX(Lista_Pedidos,Procesos!DY323+DA323-1,5),"")</f>
        <v/>
      </c>
      <c r="DB325" s="843"/>
      <c r="DC325" s="843"/>
      <c r="DD325" s="843"/>
      <c r="DE325" s="843"/>
      <c r="DF325" s="843"/>
      <c r="DG325" s="843"/>
      <c r="DH325" s="843"/>
      <c r="DI325" s="844"/>
      <c r="DJ325" s="842" t="str">
        <f>IF(DZ323&gt;=DA323,$J$7,"")</f>
        <v/>
      </c>
      <c r="DK325" s="843"/>
      <c r="DL325" s="844"/>
      <c r="DM325" s="842" t="str">
        <f>IF(DZ323&gt;=DA323,$M$7,"")</f>
        <v/>
      </c>
      <c r="DN325" s="843"/>
      <c r="DO325" s="844"/>
      <c r="DP325" s="842" t="str">
        <f>IF(DZ323&gt;=DA323,$P$7,"")</f>
        <v/>
      </c>
      <c r="DQ325" s="843"/>
      <c r="DR325" s="843"/>
      <c r="DS325" s="843"/>
      <c r="DT325" s="843"/>
      <c r="DU325" s="844"/>
      <c r="DV325" s="834" t="str">
        <f>IF(DZ323&gt;=DA323,$V$7,"")</f>
        <v/>
      </c>
      <c r="DW325" s="842" t="str">
        <f>IF(DZ323&gt;=DA323,$W$7,"")</f>
        <v/>
      </c>
      <c r="DX325" s="843"/>
      <c r="DY325" s="843"/>
      <c r="DZ325" s="850"/>
      <c r="EA325" s="848" t="str">
        <f>IFERROR(INDEX(Lista_Pedidos,Procesos!EY323+EA323-1,5),"")</f>
        <v/>
      </c>
      <c r="EB325" s="843"/>
      <c r="EC325" s="843"/>
      <c r="ED325" s="843"/>
      <c r="EE325" s="843"/>
      <c r="EF325" s="843"/>
      <c r="EG325" s="843"/>
      <c r="EH325" s="843"/>
      <c r="EI325" s="844"/>
      <c r="EJ325" s="842" t="str">
        <f>IF(EZ323&gt;=EA323,$J$7,"")</f>
        <v/>
      </c>
      <c r="EK325" s="843"/>
      <c r="EL325" s="844"/>
      <c r="EM325" s="842" t="str">
        <f>IF(EZ323&gt;=EA323,$M$7,"")</f>
        <v/>
      </c>
      <c r="EN325" s="843"/>
      <c r="EO325" s="844"/>
      <c r="EP325" s="842" t="str">
        <f>IF(EZ323&gt;=EA323,$P$7,"")</f>
        <v/>
      </c>
      <c r="EQ325" s="843"/>
      <c r="ER325" s="843"/>
      <c r="ES325" s="843"/>
      <c r="ET325" s="843"/>
      <c r="EU325" s="844"/>
      <c r="EV325" s="834" t="str">
        <f>IF(EZ323&gt;=EA323,$V$7,"")</f>
        <v/>
      </c>
      <c r="EW325" s="842" t="str">
        <f>IF(EZ323&gt;=EA323,$W$7,"")</f>
        <v/>
      </c>
      <c r="EX325" s="843"/>
      <c r="EY325" s="843"/>
      <c r="EZ325" s="850"/>
      <c r="FA325" s="848" t="str">
        <f>IFERROR(INDEX(Lista_Pedidos,Procesos!FY323+FA323-1,5),"")</f>
        <v/>
      </c>
      <c r="FB325" s="843"/>
      <c r="FC325" s="843"/>
      <c r="FD325" s="843"/>
      <c r="FE325" s="843"/>
      <c r="FF325" s="843"/>
      <c r="FG325" s="843"/>
      <c r="FH325" s="843"/>
      <c r="FI325" s="844"/>
      <c r="FJ325" s="842" t="str">
        <f>IF(FZ323&gt;=FA323,$J$7,"")</f>
        <v/>
      </c>
      <c r="FK325" s="843"/>
      <c r="FL325" s="844"/>
      <c r="FM325" s="842" t="str">
        <f>IF(FZ323&gt;=FA323,$M$7,"")</f>
        <v/>
      </c>
      <c r="FN325" s="843"/>
      <c r="FO325" s="844"/>
      <c r="FP325" s="842" t="str">
        <f>IF(FZ323&gt;=FA323,$P$7,"")</f>
        <v/>
      </c>
      <c r="FQ325" s="843"/>
      <c r="FR325" s="843"/>
      <c r="FS325" s="843"/>
      <c r="FT325" s="843"/>
      <c r="FU325" s="844"/>
      <c r="FV325" s="834" t="str">
        <f>IF(FZ323&gt;=FA323,$V$7,"")</f>
        <v/>
      </c>
      <c r="FW325" s="842" t="str">
        <f>IF(FZ323&gt;=FA323,$W$7,"")</f>
        <v/>
      </c>
      <c r="FX325" s="843"/>
      <c r="FY325" s="843"/>
      <c r="FZ325" s="850"/>
      <c r="GA325" s="848" t="str">
        <f>IFERROR(INDEX(Lista_Pedidos,Procesos!GY323+GA323-1,5),"")</f>
        <v/>
      </c>
      <c r="GB325" s="843"/>
      <c r="GC325" s="843"/>
      <c r="GD325" s="843"/>
      <c r="GE325" s="843"/>
      <c r="GF325" s="843"/>
      <c r="GG325" s="843"/>
      <c r="GH325" s="843"/>
      <c r="GI325" s="844"/>
      <c r="GJ325" s="842" t="str">
        <f>IF(GZ323&gt;=GA323,$J$7,"")</f>
        <v/>
      </c>
      <c r="GK325" s="843"/>
      <c r="GL325" s="844"/>
      <c r="GM325" s="842" t="str">
        <f>IF(GZ323&gt;=GA323,$M$7,"")</f>
        <v/>
      </c>
      <c r="GN325" s="843"/>
      <c r="GO325" s="844"/>
      <c r="GP325" s="842" t="str">
        <f>IF(GZ323&gt;=GA323,$P$7,"")</f>
        <v/>
      </c>
      <c r="GQ325" s="843"/>
      <c r="GR325" s="843"/>
      <c r="GS325" s="843"/>
      <c r="GT325" s="843"/>
      <c r="GU325" s="844"/>
      <c r="GV325" s="834" t="str">
        <f>IF(GZ323&gt;=GA323,$V$7,"")</f>
        <v/>
      </c>
      <c r="GW325" s="842" t="str">
        <f>IF(GZ323&gt;=GA323,$W$7,"")</f>
        <v/>
      </c>
      <c r="GX325" s="843"/>
      <c r="GY325" s="843"/>
      <c r="GZ325" s="850"/>
      <c r="HA325" s="848" t="str">
        <f>IFERROR(INDEX(Lista_Pedidos,Procesos!HY323+HA323-1,5),"")</f>
        <v/>
      </c>
      <c r="HB325" s="843"/>
      <c r="HC325" s="843"/>
      <c r="HD325" s="843"/>
      <c r="HE325" s="843"/>
      <c r="HF325" s="843"/>
      <c r="HG325" s="843"/>
      <c r="HH325" s="843"/>
      <c r="HI325" s="844"/>
      <c r="HJ325" s="842" t="str">
        <f>IF(HZ323&gt;=HA323,$J$7,"")</f>
        <v/>
      </c>
      <c r="HK325" s="843"/>
      <c r="HL325" s="844"/>
      <c r="HM325" s="842" t="str">
        <f>IF(HZ323&gt;=HA323,$M$7,"")</f>
        <v/>
      </c>
      <c r="HN325" s="843"/>
      <c r="HO325" s="844"/>
      <c r="HP325" s="842" t="str">
        <f>IF(HZ323&gt;=HA323,$P$7,"")</f>
        <v/>
      </c>
      <c r="HQ325" s="843"/>
      <c r="HR325" s="843"/>
      <c r="HS325" s="843"/>
      <c r="HT325" s="843"/>
      <c r="HU325" s="844"/>
      <c r="HV325" s="834" t="str">
        <f>IF(HZ323&gt;=HA323,$V$7,"")</f>
        <v/>
      </c>
      <c r="HW325" s="842" t="str">
        <f>IF(HZ323&gt;=HA323,$W$7,"")</f>
        <v/>
      </c>
      <c r="HX325" s="843"/>
      <c r="HY325" s="843"/>
      <c r="HZ325" s="850"/>
      <c r="IA325" s="848" t="str">
        <f>IFERROR(INDEX(Lista_Pedidos,Procesos!IY323+IA323-1,5),"")</f>
        <v/>
      </c>
      <c r="IB325" s="843"/>
      <c r="IC325" s="843"/>
      <c r="ID325" s="843"/>
      <c r="IE325" s="843"/>
      <c r="IF325" s="843"/>
      <c r="IG325" s="843"/>
      <c r="IH325" s="843"/>
      <c r="II325" s="844"/>
      <c r="IJ325" s="842" t="str">
        <f>IF(IZ323&gt;=IA323,$J$7,"")</f>
        <v/>
      </c>
      <c r="IK325" s="843"/>
      <c r="IL325" s="844"/>
      <c r="IM325" s="842" t="str">
        <f>IF(IZ323&gt;=IA323,$M$7,"")</f>
        <v/>
      </c>
      <c r="IN325" s="843"/>
      <c r="IO325" s="844"/>
      <c r="IP325" s="842" t="str">
        <f>IF(IZ323&gt;=IA323,$P$7,"")</f>
        <v/>
      </c>
      <c r="IQ325" s="843"/>
      <c r="IR325" s="843"/>
      <c r="IS325" s="843"/>
      <c r="IT325" s="843"/>
      <c r="IU325" s="844"/>
      <c r="IV325" s="834" t="str">
        <f>IF(IZ323&gt;=IA323,$V$7,"")</f>
        <v/>
      </c>
      <c r="IW325" s="842" t="str">
        <f>IF(IZ323&gt;=IA323,$W$7,"")</f>
        <v/>
      </c>
      <c r="IX325" s="843"/>
      <c r="IY325" s="843"/>
      <c r="IZ325" s="850"/>
    </row>
    <row r="326" spans="1:260" x14ac:dyDescent="0.25">
      <c r="A326" s="849"/>
      <c r="B326" s="846"/>
      <c r="C326" s="846"/>
      <c r="D326" s="846"/>
      <c r="E326" s="846"/>
      <c r="F326" s="846"/>
      <c r="G326" s="846"/>
      <c r="H326" s="846"/>
      <c r="I326" s="847"/>
      <c r="J326" s="845"/>
      <c r="K326" s="846"/>
      <c r="L326" s="847"/>
      <c r="M326" s="845"/>
      <c r="N326" s="846"/>
      <c r="O326" s="847"/>
      <c r="P326" s="845"/>
      <c r="Q326" s="846"/>
      <c r="R326" s="846"/>
      <c r="S326" s="846"/>
      <c r="T326" s="846"/>
      <c r="U326" s="847"/>
      <c r="V326" s="835"/>
      <c r="W326" s="845"/>
      <c r="X326" s="846"/>
      <c r="Y326" s="846"/>
      <c r="Z326" s="851"/>
      <c r="AA326" s="849"/>
      <c r="AB326" s="846"/>
      <c r="AC326" s="846"/>
      <c r="AD326" s="846"/>
      <c r="AE326" s="846"/>
      <c r="AF326" s="846"/>
      <c r="AG326" s="846"/>
      <c r="AH326" s="846"/>
      <c r="AI326" s="847"/>
      <c r="AJ326" s="845"/>
      <c r="AK326" s="846"/>
      <c r="AL326" s="847"/>
      <c r="AM326" s="845"/>
      <c r="AN326" s="846"/>
      <c r="AO326" s="847"/>
      <c r="AP326" s="845"/>
      <c r="AQ326" s="846"/>
      <c r="AR326" s="846"/>
      <c r="AS326" s="846"/>
      <c r="AT326" s="846"/>
      <c r="AU326" s="847"/>
      <c r="AV326" s="835"/>
      <c r="AW326" s="845"/>
      <c r="AX326" s="846"/>
      <c r="AY326" s="846"/>
      <c r="AZ326" s="851"/>
      <c r="BA326" s="849"/>
      <c r="BB326" s="846"/>
      <c r="BC326" s="846"/>
      <c r="BD326" s="846"/>
      <c r="BE326" s="846"/>
      <c r="BF326" s="846"/>
      <c r="BG326" s="846"/>
      <c r="BH326" s="846"/>
      <c r="BI326" s="847"/>
      <c r="BJ326" s="845"/>
      <c r="BK326" s="846"/>
      <c r="BL326" s="847"/>
      <c r="BM326" s="845"/>
      <c r="BN326" s="846"/>
      <c r="BO326" s="847"/>
      <c r="BP326" s="845"/>
      <c r="BQ326" s="846"/>
      <c r="BR326" s="846"/>
      <c r="BS326" s="846"/>
      <c r="BT326" s="846"/>
      <c r="BU326" s="847"/>
      <c r="BV326" s="835"/>
      <c r="BW326" s="845"/>
      <c r="BX326" s="846"/>
      <c r="BY326" s="846"/>
      <c r="BZ326" s="851"/>
      <c r="CA326" s="849"/>
      <c r="CB326" s="846"/>
      <c r="CC326" s="846"/>
      <c r="CD326" s="846"/>
      <c r="CE326" s="846"/>
      <c r="CF326" s="846"/>
      <c r="CG326" s="846"/>
      <c r="CH326" s="846"/>
      <c r="CI326" s="847"/>
      <c r="CJ326" s="845"/>
      <c r="CK326" s="846"/>
      <c r="CL326" s="847"/>
      <c r="CM326" s="845"/>
      <c r="CN326" s="846"/>
      <c r="CO326" s="847"/>
      <c r="CP326" s="845"/>
      <c r="CQ326" s="846"/>
      <c r="CR326" s="846"/>
      <c r="CS326" s="846"/>
      <c r="CT326" s="846"/>
      <c r="CU326" s="847"/>
      <c r="CV326" s="835"/>
      <c r="CW326" s="845"/>
      <c r="CX326" s="846"/>
      <c r="CY326" s="846"/>
      <c r="CZ326" s="851"/>
      <c r="DA326" s="849"/>
      <c r="DB326" s="846"/>
      <c r="DC326" s="846"/>
      <c r="DD326" s="846"/>
      <c r="DE326" s="846"/>
      <c r="DF326" s="846"/>
      <c r="DG326" s="846"/>
      <c r="DH326" s="846"/>
      <c r="DI326" s="847"/>
      <c r="DJ326" s="845"/>
      <c r="DK326" s="846"/>
      <c r="DL326" s="847"/>
      <c r="DM326" s="845"/>
      <c r="DN326" s="846"/>
      <c r="DO326" s="847"/>
      <c r="DP326" s="845"/>
      <c r="DQ326" s="846"/>
      <c r="DR326" s="846"/>
      <c r="DS326" s="846"/>
      <c r="DT326" s="846"/>
      <c r="DU326" s="847"/>
      <c r="DV326" s="835"/>
      <c r="DW326" s="845"/>
      <c r="DX326" s="846"/>
      <c r="DY326" s="846"/>
      <c r="DZ326" s="851"/>
      <c r="EA326" s="849"/>
      <c r="EB326" s="846"/>
      <c r="EC326" s="846"/>
      <c r="ED326" s="846"/>
      <c r="EE326" s="846"/>
      <c r="EF326" s="846"/>
      <c r="EG326" s="846"/>
      <c r="EH326" s="846"/>
      <c r="EI326" s="847"/>
      <c r="EJ326" s="845"/>
      <c r="EK326" s="846"/>
      <c r="EL326" s="847"/>
      <c r="EM326" s="845"/>
      <c r="EN326" s="846"/>
      <c r="EO326" s="847"/>
      <c r="EP326" s="845"/>
      <c r="EQ326" s="846"/>
      <c r="ER326" s="846"/>
      <c r="ES326" s="846"/>
      <c r="ET326" s="846"/>
      <c r="EU326" s="847"/>
      <c r="EV326" s="835"/>
      <c r="EW326" s="845"/>
      <c r="EX326" s="846"/>
      <c r="EY326" s="846"/>
      <c r="EZ326" s="851"/>
      <c r="FA326" s="849"/>
      <c r="FB326" s="846"/>
      <c r="FC326" s="846"/>
      <c r="FD326" s="846"/>
      <c r="FE326" s="846"/>
      <c r="FF326" s="846"/>
      <c r="FG326" s="846"/>
      <c r="FH326" s="846"/>
      <c r="FI326" s="847"/>
      <c r="FJ326" s="845"/>
      <c r="FK326" s="846"/>
      <c r="FL326" s="847"/>
      <c r="FM326" s="845"/>
      <c r="FN326" s="846"/>
      <c r="FO326" s="847"/>
      <c r="FP326" s="845"/>
      <c r="FQ326" s="846"/>
      <c r="FR326" s="846"/>
      <c r="FS326" s="846"/>
      <c r="FT326" s="846"/>
      <c r="FU326" s="847"/>
      <c r="FV326" s="835"/>
      <c r="FW326" s="845"/>
      <c r="FX326" s="846"/>
      <c r="FY326" s="846"/>
      <c r="FZ326" s="851"/>
      <c r="GA326" s="849"/>
      <c r="GB326" s="846"/>
      <c r="GC326" s="846"/>
      <c r="GD326" s="846"/>
      <c r="GE326" s="846"/>
      <c r="GF326" s="846"/>
      <c r="GG326" s="846"/>
      <c r="GH326" s="846"/>
      <c r="GI326" s="847"/>
      <c r="GJ326" s="845"/>
      <c r="GK326" s="846"/>
      <c r="GL326" s="847"/>
      <c r="GM326" s="845"/>
      <c r="GN326" s="846"/>
      <c r="GO326" s="847"/>
      <c r="GP326" s="845"/>
      <c r="GQ326" s="846"/>
      <c r="GR326" s="846"/>
      <c r="GS326" s="846"/>
      <c r="GT326" s="846"/>
      <c r="GU326" s="847"/>
      <c r="GV326" s="835"/>
      <c r="GW326" s="845"/>
      <c r="GX326" s="846"/>
      <c r="GY326" s="846"/>
      <c r="GZ326" s="851"/>
      <c r="HA326" s="849"/>
      <c r="HB326" s="846"/>
      <c r="HC326" s="846"/>
      <c r="HD326" s="846"/>
      <c r="HE326" s="846"/>
      <c r="HF326" s="846"/>
      <c r="HG326" s="846"/>
      <c r="HH326" s="846"/>
      <c r="HI326" s="847"/>
      <c r="HJ326" s="845"/>
      <c r="HK326" s="846"/>
      <c r="HL326" s="847"/>
      <c r="HM326" s="845"/>
      <c r="HN326" s="846"/>
      <c r="HO326" s="847"/>
      <c r="HP326" s="845"/>
      <c r="HQ326" s="846"/>
      <c r="HR326" s="846"/>
      <c r="HS326" s="846"/>
      <c r="HT326" s="846"/>
      <c r="HU326" s="847"/>
      <c r="HV326" s="835"/>
      <c r="HW326" s="845"/>
      <c r="HX326" s="846"/>
      <c r="HY326" s="846"/>
      <c r="HZ326" s="851"/>
      <c r="IA326" s="849"/>
      <c r="IB326" s="846"/>
      <c r="IC326" s="846"/>
      <c r="ID326" s="846"/>
      <c r="IE326" s="846"/>
      <c r="IF326" s="846"/>
      <c r="IG326" s="846"/>
      <c r="IH326" s="846"/>
      <c r="II326" s="847"/>
      <c r="IJ326" s="845"/>
      <c r="IK326" s="846"/>
      <c r="IL326" s="847"/>
      <c r="IM326" s="845"/>
      <c r="IN326" s="846"/>
      <c r="IO326" s="847"/>
      <c r="IP326" s="845"/>
      <c r="IQ326" s="846"/>
      <c r="IR326" s="846"/>
      <c r="IS326" s="846"/>
      <c r="IT326" s="846"/>
      <c r="IU326" s="847"/>
      <c r="IV326" s="835"/>
      <c r="IW326" s="845"/>
      <c r="IX326" s="846"/>
      <c r="IY326" s="846"/>
      <c r="IZ326" s="851"/>
    </row>
    <row r="327" spans="1:260" ht="15" customHeight="1" x14ac:dyDescent="0.25">
      <c r="A327" s="858" t="str">
        <f>IF(Z323&gt;=A323,$A$9,"")</f>
        <v/>
      </c>
      <c r="B327" s="806"/>
      <c r="C327" s="806"/>
      <c r="D327" s="806"/>
      <c r="E327" s="852"/>
      <c r="F327" s="805" t="str">
        <f>IF(Z323&gt;=A323,$F$9,"")</f>
        <v/>
      </c>
      <c r="G327" s="806"/>
      <c r="H327" s="806"/>
      <c r="I327" s="852"/>
      <c r="J327" s="811" t="str">
        <f>IF(Z323&gt;=A323,$J$9,"")</f>
        <v/>
      </c>
      <c r="K327" s="803" t="str">
        <f>IF(Z323&gt;=A323,$K$9,"")</f>
        <v/>
      </c>
      <c r="L327" s="803" t="str">
        <f>IF(Z323&gt;=A323,$L$9,"")</f>
        <v/>
      </c>
      <c r="M327" s="803" t="str">
        <f>IF(Z323&gt;=A323,$M$9,"")</f>
        <v/>
      </c>
      <c r="N327" s="803" t="str">
        <f>IF(Z323&gt;=A323,$N$9,"")</f>
        <v/>
      </c>
      <c r="O327" s="803" t="str">
        <f>IF(Z323&gt;=A323,$O$9,"")</f>
        <v/>
      </c>
      <c r="P327" s="803" t="str">
        <f>IF(Z323&gt;=A323,$P$9,"")</f>
        <v/>
      </c>
      <c r="Q327" s="803" t="str">
        <f>IF(Z323&gt;=A323,$Q$9,"")</f>
        <v/>
      </c>
      <c r="R327" s="803" t="str">
        <f>IF(Z323&gt;=A323,$R$9,"")</f>
        <v/>
      </c>
      <c r="S327" s="803" t="str">
        <f>IF(Z323&gt;=A323,$S$9,"")</f>
        <v/>
      </c>
      <c r="T327" s="803" t="str">
        <f>IF(Z323&gt;=A323,$T$9,"")</f>
        <v/>
      </c>
      <c r="U327" s="803" t="str">
        <f>IF(Z323&gt;=A323,$U$9,"")</f>
        <v/>
      </c>
      <c r="V327" s="803" t="str">
        <f>IF(Z323&gt;=A323,$V$9,"")</f>
        <v/>
      </c>
      <c r="W327" s="805" t="str">
        <f>IF(Z323&gt;=A323,$W$9,"")</f>
        <v/>
      </c>
      <c r="X327" s="806"/>
      <c r="Y327" s="806"/>
      <c r="Z327" s="807"/>
      <c r="AA327" s="858" t="str">
        <f>IF(AZ323&gt;=AA323,$A$9,"")</f>
        <v/>
      </c>
      <c r="AB327" s="806"/>
      <c r="AC327" s="806"/>
      <c r="AD327" s="806"/>
      <c r="AE327" s="852"/>
      <c r="AF327" s="805" t="str">
        <f>IF(AZ323&gt;=AA323,$F$9,"")</f>
        <v/>
      </c>
      <c r="AG327" s="806"/>
      <c r="AH327" s="806"/>
      <c r="AI327" s="852"/>
      <c r="AJ327" s="811" t="str">
        <f>IF(AZ323&gt;=AA323,$J$9,"")</f>
        <v/>
      </c>
      <c r="AK327" s="803" t="str">
        <f>IF(AZ323&gt;=AA323,$K$9,"")</f>
        <v/>
      </c>
      <c r="AL327" s="803" t="str">
        <f>IF(AZ323&gt;=AA323,$L$9,"")</f>
        <v/>
      </c>
      <c r="AM327" s="803" t="str">
        <f>IF(AZ323&gt;=AA323,$M$9,"")</f>
        <v/>
      </c>
      <c r="AN327" s="803" t="str">
        <f>IF(AZ323&gt;=AA323,$N$9,"")</f>
        <v/>
      </c>
      <c r="AO327" s="803" t="str">
        <f>IF(AZ323&gt;=AA323,$O$9,"")</f>
        <v/>
      </c>
      <c r="AP327" s="803" t="str">
        <f>IF(AZ323&gt;=AA323,$P$9,"")</f>
        <v/>
      </c>
      <c r="AQ327" s="803" t="str">
        <f>IF(AZ323&gt;=AA323,$Q$9,"")</f>
        <v/>
      </c>
      <c r="AR327" s="803" t="str">
        <f>IF(AZ323&gt;=AA323,$R$9,"")</f>
        <v/>
      </c>
      <c r="AS327" s="803" t="str">
        <f>IF(AZ323&gt;=AA323,$S$9,"")</f>
        <v/>
      </c>
      <c r="AT327" s="803" t="str">
        <f>IF(AZ323&gt;=AA323,$T$9,"")</f>
        <v/>
      </c>
      <c r="AU327" s="803" t="str">
        <f>IF(AZ323&gt;=AA323,$U$9,"")</f>
        <v/>
      </c>
      <c r="AV327" s="803" t="str">
        <f>IF(AZ323&gt;=AA323,$V$9,"")</f>
        <v/>
      </c>
      <c r="AW327" s="805" t="str">
        <f>IF(AZ323&gt;=AA323,$W$9,"")</f>
        <v/>
      </c>
      <c r="AX327" s="806"/>
      <c r="AY327" s="806"/>
      <c r="AZ327" s="807"/>
      <c r="BA327" s="858" t="str">
        <f>IF(BZ323&gt;=BA323,$A$9,"")</f>
        <v/>
      </c>
      <c r="BB327" s="806"/>
      <c r="BC327" s="806"/>
      <c r="BD327" s="806"/>
      <c r="BE327" s="852"/>
      <c r="BF327" s="805" t="str">
        <f>IF(BZ323&gt;=BA323,$F$9,"")</f>
        <v/>
      </c>
      <c r="BG327" s="806"/>
      <c r="BH327" s="806"/>
      <c r="BI327" s="852"/>
      <c r="BJ327" s="811" t="str">
        <f>IF(BZ323&gt;=BA323,$J$9,"")</f>
        <v/>
      </c>
      <c r="BK327" s="803" t="str">
        <f>IF(BZ323&gt;=BA323,$K$9,"")</f>
        <v/>
      </c>
      <c r="BL327" s="803" t="str">
        <f>IF(BZ323&gt;=BA323,$L$9,"")</f>
        <v/>
      </c>
      <c r="BM327" s="803" t="str">
        <f>IF(BZ323&gt;=BA323,$M$9,"")</f>
        <v/>
      </c>
      <c r="BN327" s="803" t="str">
        <f>IF(BZ323&gt;=BA323,$N$9,"")</f>
        <v/>
      </c>
      <c r="BO327" s="803" t="str">
        <f>IF(BZ323&gt;=BA323,$O$9,"")</f>
        <v/>
      </c>
      <c r="BP327" s="803" t="str">
        <f>IF(BZ323&gt;=BA323,$P$9,"")</f>
        <v/>
      </c>
      <c r="BQ327" s="803" t="str">
        <f>IF(BZ323&gt;=BA323,$Q$9,"")</f>
        <v/>
      </c>
      <c r="BR327" s="803" t="str">
        <f>IF(BZ323&gt;=BA323,$R$9,"")</f>
        <v/>
      </c>
      <c r="BS327" s="803" t="str">
        <f>IF(BZ323&gt;=BA323,$S$9,"")</f>
        <v/>
      </c>
      <c r="BT327" s="803" t="str">
        <f>IF(BZ323&gt;=BA323,$T$9,"")</f>
        <v/>
      </c>
      <c r="BU327" s="803" t="str">
        <f>IF(BZ323&gt;=BA323,$U$9,"")</f>
        <v/>
      </c>
      <c r="BV327" s="803" t="str">
        <f>IF(BZ323&gt;=BA323,$V$9,"")</f>
        <v/>
      </c>
      <c r="BW327" s="805" t="str">
        <f>IF(BZ323&gt;=BA323,$W$9,"")</f>
        <v/>
      </c>
      <c r="BX327" s="806"/>
      <c r="BY327" s="806"/>
      <c r="BZ327" s="807"/>
      <c r="CA327" s="858" t="str">
        <f>IF(CZ323&gt;=CA323,$A$9,"")</f>
        <v/>
      </c>
      <c r="CB327" s="806"/>
      <c r="CC327" s="806"/>
      <c r="CD327" s="806"/>
      <c r="CE327" s="852"/>
      <c r="CF327" s="805" t="str">
        <f>IF(CZ323&gt;=CA323,$F$9,"")</f>
        <v/>
      </c>
      <c r="CG327" s="806"/>
      <c r="CH327" s="806"/>
      <c r="CI327" s="852"/>
      <c r="CJ327" s="811" t="str">
        <f>IF(CZ323&gt;=CA323,$J$9,"")</f>
        <v/>
      </c>
      <c r="CK327" s="803" t="str">
        <f>IF(CZ323&gt;=CA323,$K$9,"")</f>
        <v/>
      </c>
      <c r="CL327" s="803" t="str">
        <f>IF(CZ323&gt;=CA323,$L$9,"")</f>
        <v/>
      </c>
      <c r="CM327" s="803" t="str">
        <f>IF(CZ323&gt;=CA323,$M$9,"")</f>
        <v/>
      </c>
      <c r="CN327" s="803" t="str">
        <f>IF(CZ323&gt;=CA323,$N$9,"")</f>
        <v/>
      </c>
      <c r="CO327" s="803" t="str">
        <f>IF(CZ323&gt;=CA323,$O$9,"")</f>
        <v/>
      </c>
      <c r="CP327" s="803" t="str">
        <f>IF(CZ323&gt;=CA323,$P$9,"")</f>
        <v/>
      </c>
      <c r="CQ327" s="803" t="str">
        <f>IF(CZ323&gt;=CA323,$Q$9,"")</f>
        <v/>
      </c>
      <c r="CR327" s="803" t="str">
        <f>IF(CZ323&gt;=CA323,$R$9,"")</f>
        <v/>
      </c>
      <c r="CS327" s="803" t="str">
        <f>IF(CZ323&gt;=CA323,$S$9,"")</f>
        <v/>
      </c>
      <c r="CT327" s="803" t="str">
        <f>IF(CZ323&gt;=CA323,$T$9,"")</f>
        <v/>
      </c>
      <c r="CU327" s="803" t="str">
        <f>IF(CZ323&gt;=CA323,$U$9,"")</f>
        <v/>
      </c>
      <c r="CV327" s="803" t="str">
        <f>IF(CZ323&gt;=CA323,$V$9,"")</f>
        <v/>
      </c>
      <c r="CW327" s="805" t="str">
        <f>IF(CZ323&gt;=CA323,$W$9,"")</f>
        <v/>
      </c>
      <c r="CX327" s="806"/>
      <c r="CY327" s="806"/>
      <c r="CZ327" s="807"/>
      <c r="DA327" s="858" t="str">
        <f>IF(DZ323&gt;=DA323,$A$9,"")</f>
        <v/>
      </c>
      <c r="DB327" s="806"/>
      <c r="DC327" s="806"/>
      <c r="DD327" s="806"/>
      <c r="DE327" s="852"/>
      <c r="DF327" s="805" t="str">
        <f>IF(DZ323&gt;=DA323,$F$9,"")</f>
        <v/>
      </c>
      <c r="DG327" s="806"/>
      <c r="DH327" s="806"/>
      <c r="DI327" s="852"/>
      <c r="DJ327" s="811" t="str">
        <f>IF(DZ323&gt;=DA323,$J$9,"")</f>
        <v/>
      </c>
      <c r="DK327" s="803" t="str">
        <f>IF(DZ323&gt;=DA323,$K$9,"")</f>
        <v/>
      </c>
      <c r="DL327" s="803" t="str">
        <f>IF(DZ323&gt;=DA323,$L$9,"")</f>
        <v/>
      </c>
      <c r="DM327" s="803" t="str">
        <f>IF(DZ323&gt;=DA323,$M$9,"")</f>
        <v/>
      </c>
      <c r="DN327" s="803" t="str">
        <f>IF(DZ323&gt;=DA323,$N$9,"")</f>
        <v/>
      </c>
      <c r="DO327" s="803" t="str">
        <f>IF(DZ323&gt;=DA323,$O$9,"")</f>
        <v/>
      </c>
      <c r="DP327" s="803" t="str">
        <f>IF(DZ323&gt;=DA323,$P$9,"")</f>
        <v/>
      </c>
      <c r="DQ327" s="803" t="str">
        <f>IF(DZ323&gt;=DA323,$Q$9,"")</f>
        <v/>
      </c>
      <c r="DR327" s="803" t="str">
        <f>IF(DZ323&gt;=DA323,$R$9,"")</f>
        <v/>
      </c>
      <c r="DS327" s="803" t="str">
        <f>IF(DZ323&gt;=DA323,$S$9,"")</f>
        <v/>
      </c>
      <c r="DT327" s="803" t="str">
        <f>IF(DZ323&gt;=DA323,$T$9,"")</f>
        <v/>
      </c>
      <c r="DU327" s="803" t="str">
        <f>IF(DZ323&gt;=DA323,$U$9,"")</f>
        <v/>
      </c>
      <c r="DV327" s="803" t="str">
        <f>IF(DZ323&gt;=DA323,$V$9,"")</f>
        <v/>
      </c>
      <c r="DW327" s="805" t="str">
        <f>IF(DZ323&gt;=DA323,$W$9,"")</f>
        <v/>
      </c>
      <c r="DX327" s="806"/>
      <c r="DY327" s="806"/>
      <c r="DZ327" s="807"/>
      <c r="EA327" s="858" t="str">
        <f>IF(EZ323&gt;=EA323,$A$9,"")</f>
        <v/>
      </c>
      <c r="EB327" s="806"/>
      <c r="EC327" s="806"/>
      <c r="ED327" s="806"/>
      <c r="EE327" s="852"/>
      <c r="EF327" s="805" t="str">
        <f>IF(EZ323&gt;=EA323,$F$9,"")</f>
        <v/>
      </c>
      <c r="EG327" s="806"/>
      <c r="EH327" s="806"/>
      <c r="EI327" s="852"/>
      <c r="EJ327" s="811" t="str">
        <f>IF(EZ323&gt;=EA323,$J$9,"")</f>
        <v/>
      </c>
      <c r="EK327" s="803" t="str">
        <f>IF(EZ323&gt;=EA323,$K$9,"")</f>
        <v/>
      </c>
      <c r="EL327" s="803" t="str">
        <f>IF(EZ323&gt;=EA323,$L$9,"")</f>
        <v/>
      </c>
      <c r="EM327" s="803" t="str">
        <f>IF(EZ323&gt;=EA323,$M$9,"")</f>
        <v/>
      </c>
      <c r="EN327" s="803" t="str">
        <f>IF(EZ323&gt;=EA323,$N$9,"")</f>
        <v/>
      </c>
      <c r="EO327" s="803" t="str">
        <f>IF(EZ323&gt;=EA323,$O$9,"")</f>
        <v/>
      </c>
      <c r="EP327" s="803" t="str">
        <f>IF(EZ323&gt;=EA323,$P$9,"")</f>
        <v/>
      </c>
      <c r="EQ327" s="803" t="str">
        <f>IF(EZ323&gt;=EA323,$Q$9,"")</f>
        <v/>
      </c>
      <c r="ER327" s="803" t="str">
        <f>IF(EZ323&gt;=EA323,$R$9,"")</f>
        <v/>
      </c>
      <c r="ES327" s="803" t="str">
        <f>IF(EZ323&gt;=EA323,$S$9,"")</f>
        <v/>
      </c>
      <c r="ET327" s="803" t="str">
        <f>IF(EZ323&gt;=EA323,$T$9,"")</f>
        <v/>
      </c>
      <c r="EU327" s="803" t="str">
        <f>IF(EZ323&gt;=EA323,$U$9,"")</f>
        <v/>
      </c>
      <c r="EV327" s="803" t="str">
        <f>IF(EZ323&gt;=EA323,$V$9,"")</f>
        <v/>
      </c>
      <c r="EW327" s="805" t="str">
        <f>IF(EZ323&gt;=EA323,$W$9,"")</f>
        <v/>
      </c>
      <c r="EX327" s="806"/>
      <c r="EY327" s="806"/>
      <c r="EZ327" s="807"/>
      <c r="FA327" s="858" t="str">
        <f>IF(FZ323&gt;=FA323,$A$9,"")</f>
        <v/>
      </c>
      <c r="FB327" s="806"/>
      <c r="FC327" s="806"/>
      <c r="FD327" s="806"/>
      <c r="FE327" s="852"/>
      <c r="FF327" s="805" t="str">
        <f>IF(FZ323&gt;=FA323,$F$9,"")</f>
        <v/>
      </c>
      <c r="FG327" s="806"/>
      <c r="FH327" s="806"/>
      <c r="FI327" s="852"/>
      <c r="FJ327" s="811" t="str">
        <f>IF(FZ323&gt;=FA323,$J$9,"")</f>
        <v/>
      </c>
      <c r="FK327" s="803" t="str">
        <f>IF(FZ323&gt;=FA323,$K$9,"")</f>
        <v/>
      </c>
      <c r="FL327" s="803" t="str">
        <f>IF(FZ323&gt;=FA323,$L$9,"")</f>
        <v/>
      </c>
      <c r="FM327" s="803" t="str">
        <f>IF(FZ323&gt;=FA323,$M$9,"")</f>
        <v/>
      </c>
      <c r="FN327" s="803" t="str">
        <f>IF(FZ323&gt;=FA323,$N$9,"")</f>
        <v/>
      </c>
      <c r="FO327" s="803" t="str">
        <f>IF(FZ323&gt;=FA323,$O$9,"")</f>
        <v/>
      </c>
      <c r="FP327" s="803" t="str">
        <f>IF(FZ323&gt;=FA323,$P$9,"")</f>
        <v/>
      </c>
      <c r="FQ327" s="803" t="str">
        <f>IF(FZ323&gt;=FA323,$Q$9,"")</f>
        <v/>
      </c>
      <c r="FR327" s="803" t="str">
        <f>IF(FZ323&gt;=FA323,$R$9,"")</f>
        <v/>
      </c>
      <c r="FS327" s="803" t="str">
        <f>IF(FZ323&gt;=FA323,$S$9,"")</f>
        <v/>
      </c>
      <c r="FT327" s="803" t="str">
        <f>IF(FZ323&gt;=FA323,$T$9,"")</f>
        <v/>
      </c>
      <c r="FU327" s="803" t="str">
        <f>IF(FZ323&gt;=FA323,$U$9,"")</f>
        <v/>
      </c>
      <c r="FV327" s="803" t="str">
        <f>IF(FZ323&gt;=FA323,$V$9,"")</f>
        <v/>
      </c>
      <c r="FW327" s="805" t="str">
        <f>IF(FZ323&gt;=FA323,$W$9,"")</f>
        <v/>
      </c>
      <c r="FX327" s="806"/>
      <c r="FY327" s="806"/>
      <c r="FZ327" s="807"/>
      <c r="GA327" s="858" t="str">
        <f>IF(GZ323&gt;=GA323,$A$9,"")</f>
        <v/>
      </c>
      <c r="GB327" s="806"/>
      <c r="GC327" s="806"/>
      <c r="GD327" s="806"/>
      <c r="GE327" s="852"/>
      <c r="GF327" s="805" t="str">
        <f>IF(GZ323&gt;=GA323,$F$9,"")</f>
        <v/>
      </c>
      <c r="GG327" s="806"/>
      <c r="GH327" s="806"/>
      <c r="GI327" s="852"/>
      <c r="GJ327" s="811" t="str">
        <f>IF(GZ323&gt;=GA323,$J$9,"")</f>
        <v/>
      </c>
      <c r="GK327" s="803" t="str">
        <f>IF(GZ323&gt;=GA323,$K$9,"")</f>
        <v/>
      </c>
      <c r="GL327" s="803" t="str">
        <f>IF(GZ323&gt;=GA323,$L$9,"")</f>
        <v/>
      </c>
      <c r="GM327" s="803" t="str">
        <f>IF(GZ323&gt;=GA323,$M$9,"")</f>
        <v/>
      </c>
      <c r="GN327" s="803" t="str">
        <f>IF(GZ323&gt;=GA323,$N$9,"")</f>
        <v/>
      </c>
      <c r="GO327" s="803" t="str">
        <f>IF(GZ323&gt;=GA323,$O$9,"")</f>
        <v/>
      </c>
      <c r="GP327" s="803" t="str">
        <f>IF(GZ323&gt;=GA323,$P$9,"")</f>
        <v/>
      </c>
      <c r="GQ327" s="803" t="str">
        <f>IF(GZ323&gt;=GA323,$Q$9,"")</f>
        <v/>
      </c>
      <c r="GR327" s="803" t="str">
        <f>IF(GZ323&gt;=GA323,$R$9,"")</f>
        <v/>
      </c>
      <c r="GS327" s="803" t="str">
        <f>IF(GZ323&gt;=GA323,$S$9,"")</f>
        <v/>
      </c>
      <c r="GT327" s="803" t="str">
        <f>IF(GZ323&gt;=GA323,$T$9,"")</f>
        <v/>
      </c>
      <c r="GU327" s="803" t="str">
        <f>IF(GZ323&gt;=GA323,$U$9,"")</f>
        <v/>
      </c>
      <c r="GV327" s="803" t="str">
        <f>IF(GZ323&gt;=GA323,$V$9,"")</f>
        <v/>
      </c>
      <c r="GW327" s="805" t="str">
        <f>IF(GZ323&gt;=GA323,$W$9,"")</f>
        <v/>
      </c>
      <c r="GX327" s="806"/>
      <c r="GY327" s="806"/>
      <c r="GZ327" s="807"/>
      <c r="HA327" s="858" t="str">
        <f>IF(HZ323&gt;=HA323,$A$9,"")</f>
        <v/>
      </c>
      <c r="HB327" s="806"/>
      <c r="HC327" s="806"/>
      <c r="HD327" s="806"/>
      <c r="HE327" s="852"/>
      <c r="HF327" s="805" t="str">
        <f>IF(HZ323&gt;=HA323,$F$9,"")</f>
        <v/>
      </c>
      <c r="HG327" s="806"/>
      <c r="HH327" s="806"/>
      <c r="HI327" s="852"/>
      <c r="HJ327" s="811" t="str">
        <f>IF(HZ323&gt;=HA323,$J$9,"")</f>
        <v/>
      </c>
      <c r="HK327" s="803" t="str">
        <f>IF(HZ323&gt;=HA323,$K$9,"")</f>
        <v/>
      </c>
      <c r="HL327" s="803" t="str">
        <f>IF(HZ323&gt;=HA323,$L$9,"")</f>
        <v/>
      </c>
      <c r="HM327" s="803" t="str">
        <f>IF(HZ323&gt;=HA323,$M$9,"")</f>
        <v/>
      </c>
      <c r="HN327" s="803" t="str">
        <f>IF(HZ323&gt;=HA323,$N$9,"")</f>
        <v/>
      </c>
      <c r="HO327" s="803" t="str">
        <f>IF(HZ323&gt;=HA323,$O$9,"")</f>
        <v/>
      </c>
      <c r="HP327" s="803" t="str">
        <f>IF(HZ323&gt;=HA323,$P$9,"")</f>
        <v/>
      </c>
      <c r="HQ327" s="803" t="str">
        <f>IF(HZ323&gt;=HA323,$Q$9,"")</f>
        <v/>
      </c>
      <c r="HR327" s="803" t="str">
        <f>IF(HZ323&gt;=HA323,$R$9,"")</f>
        <v/>
      </c>
      <c r="HS327" s="803" t="str">
        <f>IF(HZ323&gt;=HA323,$S$9,"")</f>
        <v/>
      </c>
      <c r="HT327" s="803" t="str">
        <f>IF(HZ323&gt;=HA323,$T$9,"")</f>
        <v/>
      </c>
      <c r="HU327" s="803" t="str">
        <f>IF(HZ323&gt;=HA323,$U$9,"")</f>
        <v/>
      </c>
      <c r="HV327" s="803" t="str">
        <f>IF(HZ323&gt;=HA323,$V$9,"")</f>
        <v/>
      </c>
      <c r="HW327" s="805" t="str">
        <f>IF(HZ323&gt;=HA323,$W$9,"")</f>
        <v/>
      </c>
      <c r="HX327" s="806"/>
      <c r="HY327" s="806"/>
      <c r="HZ327" s="807"/>
      <c r="IA327" s="858" t="str">
        <f>IF(IZ323&gt;=IA323,$A$9,"")</f>
        <v/>
      </c>
      <c r="IB327" s="806"/>
      <c r="IC327" s="806"/>
      <c r="ID327" s="806"/>
      <c r="IE327" s="852"/>
      <c r="IF327" s="805" t="str">
        <f>IF(IZ323&gt;=IA323,$F$9,"")</f>
        <v/>
      </c>
      <c r="IG327" s="806"/>
      <c r="IH327" s="806"/>
      <c r="II327" s="852"/>
      <c r="IJ327" s="811" t="str">
        <f>IF(IZ323&gt;=IA323,$J$9,"")</f>
        <v/>
      </c>
      <c r="IK327" s="803" t="str">
        <f>IF(IZ323&gt;=IA323,$K$9,"")</f>
        <v/>
      </c>
      <c r="IL327" s="803" t="str">
        <f>IF(IZ323&gt;=IA323,$L$9,"")</f>
        <v/>
      </c>
      <c r="IM327" s="803" t="str">
        <f>IF(IZ323&gt;=IA323,$M$9,"")</f>
        <v/>
      </c>
      <c r="IN327" s="803" t="str">
        <f>IF(IZ323&gt;=IA323,$N$9,"")</f>
        <v/>
      </c>
      <c r="IO327" s="803" t="str">
        <f>IF(IZ323&gt;=IA323,$O$9,"")</f>
        <v/>
      </c>
      <c r="IP327" s="803" t="str">
        <f>IF(IZ323&gt;=IA323,$P$9,"")</f>
        <v/>
      </c>
      <c r="IQ327" s="803" t="str">
        <f>IF(IZ323&gt;=IA323,$Q$9,"")</f>
        <v/>
      </c>
      <c r="IR327" s="803" t="str">
        <f>IF(IZ323&gt;=IA323,$R$9,"")</f>
        <v/>
      </c>
      <c r="IS327" s="803" t="str">
        <f>IF(IZ323&gt;=IA323,$S$9,"")</f>
        <v/>
      </c>
      <c r="IT327" s="803" t="str">
        <f>IF(IZ323&gt;=IA323,$T$9,"")</f>
        <v/>
      </c>
      <c r="IU327" s="803" t="str">
        <f>IF(IZ323&gt;=IA323,$U$9,"")</f>
        <v/>
      </c>
      <c r="IV327" s="803" t="str">
        <f>IF(IZ323&gt;=IA323,$V$9,"")</f>
        <v/>
      </c>
      <c r="IW327" s="805" t="str">
        <f>IF(IZ323&gt;=IA323,$W$9,"")</f>
        <v/>
      </c>
      <c r="IX327" s="806"/>
      <c r="IY327" s="806"/>
      <c r="IZ327" s="807"/>
    </row>
    <row r="328" spans="1:260" x14ac:dyDescent="0.25">
      <c r="A328" s="859"/>
      <c r="B328" s="809"/>
      <c r="C328" s="809"/>
      <c r="D328" s="809"/>
      <c r="E328" s="853"/>
      <c r="F328" s="808"/>
      <c r="G328" s="809"/>
      <c r="H328" s="809"/>
      <c r="I328" s="853"/>
      <c r="J328" s="812"/>
      <c r="K328" s="804"/>
      <c r="L328" s="804"/>
      <c r="M328" s="804"/>
      <c r="N328" s="804"/>
      <c r="O328" s="804"/>
      <c r="P328" s="804"/>
      <c r="Q328" s="804"/>
      <c r="R328" s="804"/>
      <c r="S328" s="804"/>
      <c r="T328" s="804"/>
      <c r="U328" s="804"/>
      <c r="V328" s="804"/>
      <c r="W328" s="808"/>
      <c r="X328" s="809"/>
      <c r="Y328" s="809"/>
      <c r="Z328" s="810"/>
      <c r="AA328" s="859"/>
      <c r="AB328" s="809"/>
      <c r="AC328" s="809"/>
      <c r="AD328" s="809"/>
      <c r="AE328" s="853"/>
      <c r="AF328" s="808"/>
      <c r="AG328" s="809"/>
      <c r="AH328" s="809"/>
      <c r="AI328" s="853"/>
      <c r="AJ328" s="812"/>
      <c r="AK328" s="804"/>
      <c r="AL328" s="804"/>
      <c r="AM328" s="804"/>
      <c r="AN328" s="804"/>
      <c r="AO328" s="804"/>
      <c r="AP328" s="804"/>
      <c r="AQ328" s="804"/>
      <c r="AR328" s="804"/>
      <c r="AS328" s="804"/>
      <c r="AT328" s="804"/>
      <c r="AU328" s="804"/>
      <c r="AV328" s="804"/>
      <c r="AW328" s="808"/>
      <c r="AX328" s="809"/>
      <c r="AY328" s="809"/>
      <c r="AZ328" s="810"/>
      <c r="BA328" s="859"/>
      <c r="BB328" s="809"/>
      <c r="BC328" s="809"/>
      <c r="BD328" s="809"/>
      <c r="BE328" s="853"/>
      <c r="BF328" s="808"/>
      <c r="BG328" s="809"/>
      <c r="BH328" s="809"/>
      <c r="BI328" s="853"/>
      <c r="BJ328" s="812"/>
      <c r="BK328" s="804"/>
      <c r="BL328" s="804"/>
      <c r="BM328" s="804"/>
      <c r="BN328" s="804"/>
      <c r="BO328" s="804"/>
      <c r="BP328" s="804"/>
      <c r="BQ328" s="804"/>
      <c r="BR328" s="804"/>
      <c r="BS328" s="804"/>
      <c r="BT328" s="804"/>
      <c r="BU328" s="804"/>
      <c r="BV328" s="804"/>
      <c r="BW328" s="808"/>
      <c r="BX328" s="809"/>
      <c r="BY328" s="809"/>
      <c r="BZ328" s="810"/>
      <c r="CA328" s="859"/>
      <c r="CB328" s="809"/>
      <c r="CC328" s="809"/>
      <c r="CD328" s="809"/>
      <c r="CE328" s="853"/>
      <c r="CF328" s="808"/>
      <c r="CG328" s="809"/>
      <c r="CH328" s="809"/>
      <c r="CI328" s="853"/>
      <c r="CJ328" s="812"/>
      <c r="CK328" s="804"/>
      <c r="CL328" s="804"/>
      <c r="CM328" s="804"/>
      <c r="CN328" s="804"/>
      <c r="CO328" s="804"/>
      <c r="CP328" s="804"/>
      <c r="CQ328" s="804"/>
      <c r="CR328" s="804"/>
      <c r="CS328" s="804"/>
      <c r="CT328" s="804"/>
      <c r="CU328" s="804"/>
      <c r="CV328" s="804"/>
      <c r="CW328" s="808"/>
      <c r="CX328" s="809"/>
      <c r="CY328" s="809"/>
      <c r="CZ328" s="810"/>
      <c r="DA328" s="859"/>
      <c r="DB328" s="809"/>
      <c r="DC328" s="809"/>
      <c r="DD328" s="809"/>
      <c r="DE328" s="853"/>
      <c r="DF328" s="808"/>
      <c r="DG328" s="809"/>
      <c r="DH328" s="809"/>
      <c r="DI328" s="853"/>
      <c r="DJ328" s="812"/>
      <c r="DK328" s="804"/>
      <c r="DL328" s="804"/>
      <c r="DM328" s="804"/>
      <c r="DN328" s="804"/>
      <c r="DO328" s="804"/>
      <c r="DP328" s="804"/>
      <c r="DQ328" s="804"/>
      <c r="DR328" s="804"/>
      <c r="DS328" s="804"/>
      <c r="DT328" s="804"/>
      <c r="DU328" s="804"/>
      <c r="DV328" s="804"/>
      <c r="DW328" s="808"/>
      <c r="DX328" s="809"/>
      <c r="DY328" s="809"/>
      <c r="DZ328" s="810"/>
      <c r="EA328" s="859"/>
      <c r="EB328" s="809"/>
      <c r="EC328" s="809"/>
      <c r="ED328" s="809"/>
      <c r="EE328" s="853"/>
      <c r="EF328" s="808"/>
      <c r="EG328" s="809"/>
      <c r="EH328" s="809"/>
      <c r="EI328" s="853"/>
      <c r="EJ328" s="812"/>
      <c r="EK328" s="804"/>
      <c r="EL328" s="804"/>
      <c r="EM328" s="804"/>
      <c r="EN328" s="804"/>
      <c r="EO328" s="804"/>
      <c r="EP328" s="804"/>
      <c r="EQ328" s="804"/>
      <c r="ER328" s="804"/>
      <c r="ES328" s="804"/>
      <c r="ET328" s="804"/>
      <c r="EU328" s="804"/>
      <c r="EV328" s="804"/>
      <c r="EW328" s="808"/>
      <c r="EX328" s="809"/>
      <c r="EY328" s="809"/>
      <c r="EZ328" s="810"/>
      <c r="FA328" s="859"/>
      <c r="FB328" s="809"/>
      <c r="FC328" s="809"/>
      <c r="FD328" s="809"/>
      <c r="FE328" s="853"/>
      <c r="FF328" s="808"/>
      <c r="FG328" s="809"/>
      <c r="FH328" s="809"/>
      <c r="FI328" s="853"/>
      <c r="FJ328" s="812"/>
      <c r="FK328" s="804"/>
      <c r="FL328" s="804"/>
      <c r="FM328" s="804"/>
      <c r="FN328" s="804"/>
      <c r="FO328" s="804"/>
      <c r="FP328" s="804"/>
      <c r="FQ328" s="804"/>
      <c r="FR328" s="804"/>
      <c r="FS328" s="804"/>
      <c r="FT328" s="804"/>
      <c r="FU328" s="804"/>
      <c r="FV328" s="804"/>
      <c r="FW328" s="808"/>
      <c r="FX328" s="809"/>
      <c r="FY328" s="809"/>
      <c r="FZ328" s="810"/>
      <c r="GA328" s="859"/>
      <c r="GB328" s="809"/>
      <c r="GC328" s="809"/>
      <c r="GD328" s="809"/>
      <c r="GE328" s="853"/>
      <c r="GF328" s="808"/>
      <c r="GG328" s="809"/>
      <c r="GH328" s="809"/>
      <c r="GI328" s="853"/>
      <c r="GJ328" s="812"/>
      <c r="GK328" s="804"/>
      <c r="GL328" s="804"/>
      <c r="GM328" s="804"/>
      <c r="GN328" s="804"/>
      <c r="GO328" s="804"/>
      <c r="GP328" s="804"/>
      <c r="GQ328" s="804"/>
      <c r="GR328" s="804"/>
      <c r="GS328" s="804"/>
      <c r="GT328" s="804"/>
      <c r="GU328" s="804"/>
      <c r="GV328" s="804"/>
      <c r="GW328" s="808"/>
      <c r="GX328" s="809"/>
      <c r="GY328" s="809"/>
      <c r="GZ328" s="810"/>
      <c r="HA328" s="859"/>
      <c r="HB328" s="809"/>
      <c r="HC328" s="809"/>
      <c r="HD328" s="809"/>
      <c r="HE328" s="853"/>
      <c r="HF328" s="808"/>
      <c r="HG328" s="809"/>
      <c r="HH328" s="809"/>
      <c r="HI328" s="853"/>
      <c r="HJ328" s="812"/>
      <c r="HK328" s="804"/>
      <c r="HL328" s="804"/>
      <c r="HM328" s="804"/>
      <c r="HN328" s="804"/>
      <c r="HO328" s="804"/>
      <c r="HP328" s="804"/>
      <c r="HQ328" s="804"/>
      <c r="HR328" s="804"/>
      <c r="HS328" s="804"/>
      <c r="HT328" s="804"/>
      <c r="HU328" s="804"/>
      <c r="HV328" s="804"/>
      <c r="HW328" s="808"/>
      <c r="HX328" s="809"/>
      <c r="HY328" s="809"/>
      <c r="HZ328" s="810"/>
      <c r="IA328" s="859"/>
      <c r="IB328" s="809"/>
      <c r="IC328" s="809"/>
      <c r="ID328" s="809"/>
      <c r="IE328" s="853"/>
      <c r="IF328" s="808"/>
      <c r="IG328" s="809"/>
      <c r="IH328" s="809"/>
      <c r="II328" s="853"/>
      <c r="IJ328" s="812"/>
      <c r="IK328" s="804"/>
      <c r="IL328" s="804"/>
      <c r="IM328" s="804"/>
      <c r="IN328" s="804"/>
      <c r="IO328" s="804"/>
      <c r="IP328" s="804"/>
      <c r="IQ328" s="804"/>
      <c r="IR328" s="804"/>
      <c r="IS328" s="804"/>
      <c r="IT328" s="804"/>
      <c r="IU328" s="804"/>
      <c r="IV328" s="804"/>
      <c r="IW328" s="808"/>
      <c r="IX328" s="809"/>
      <c r="IY328" s="809"/>
      <c r="IZ328" s="810"/>
    </row>
    <row r="329" spans="1:260" x14ac:dyDescent="0.25">
      <c r="A329" s="854" t="str">
        <f>IFERROR(INDEX(Lista_Pedidos,Procesos!Y323+A323-1,3),"")</f>
        <v/>
      </c>
      <c r="B329" s="855"/>
      <c r="C329" s="855"/>
      <c r="D329" s="855"/>
      <c r="E329" s="856"/>
      <c r="F329" s="857" t="str">
        <f>IF(Z323&gt;A323-1,E$11,"")</f>
        <v/>
      </c>
      <c r="G329" s="855"/>
      <c r="H329" s="855"/>
      <c r="I329" s="856"/>
      <c r="J329" s="526" t="str">
        <f>IFERROR(IF(IF(Z323&gt;A323-1,INDEX(Lista_Pedidos,Y323+A323-1,J323),"")=0,"",IF(Z323&gt;A323-1,INDEX(Lista_Pedidos,Y323+A323-1,J323),"")),"")</f>
        <v/>
      </c>
      <c r="K329" s="526" t="str">
        <f>IFERROR(IF(IF(Z323&gt;A323-1,INDEX(Lista_Pedidos,Y323+A323-1,K323),"")=0,"",IF(Z323&gt;A323-1,INDEX(Lista_Pedidos,Y323+A323-1,K323),"")),"")</f>
        <v/>
      </c>
      <c r="L329" s="526" t="str">
        <f>IFERROR(IF(IF(Z323&gt;A323-1,INDEX(Lista_Pedidos,Y323+A323-1,L323),"")=0,"",IF(Z323&gt;A323-1,INDEX(Lista_Pedidos,Y323+A323-1,L323),"")),"")</f>
        <v/>
      </c>
      <c r="M329" s="526" t="str">
        <f>IFERROR(IF(IF(Z323&gt;A323-1,INDEX(Lista_Pedidos,Y323+A323-1,M323),"")=0,"",IF(Z323&gt;A323-1,INDEX(Lista_Pedidos,Y323+A323-1,M323),"")),"")</f>
        <v/>
      </c>
      <c r="N329" s="526" t="str">
        <f>IFERROR(IF(IF(Z323&gt;A323-1,INDEX(Lista_Pedidos,Y323+A323-1,N323),"")=0,"",IF(Z323&gt;A323-1,INDEX(Lista_Pedidos,Y323+A323-1,N323),"")),"")</f>
        <v/>
      </c>
      <c r="O329" s="526" t="str">
        <f>IFERROR(IF(IF(Z323&gt;A323-1,INDEX(Lista_Pedidos,Y323+A323-1,O323),"")=0,"",IF(Z323&gt;A323-1,INDEX(Lista_Pedidos,Y323+A323-1,O323),"")),"")</f>
        <v/>
      </c>
      <c r="P329" s="526" t="str">
        <f>IFERROR(IF(IF(Z323&gt;A323-1,INDEX(Lista_Pedidos,Y323+A323-1,P323),"")=0,"",IF(Z323&gt;A323-1,INDEX(Lista_Pedidos,Y323+A323-1,P323),"")),"")</f>
        <v/>
      </c>
      <c r="Q329" s="526" t="str">
        <f>IFERROR(IF(IF(Z323&gt;A323-1,INDEX(Lista_Pedidos,Y323+A323-1,Q323),"")=0,"",IF(Z323&gt;A323-1,INDEX(Lista_Pedidos,Y323+A323-1,Q323),"")),"")</f>
        <v/>
      </c>
      <c r="R329" s="526" t="str">
        <f>IFERROR(IF(IF(Z323&gt;A323-1,INDEX(Lista_Pedidos,Y323+A323-1,R323),"")=0,"",IF(Z323&gt;A323-1,INDEX(Lista_Pedidos,Y323+A323-1,R323),"")),"")</f>
        <v/>
      </c>
      <c r="S329" s="526" t="str">
        <f>IFERROR(IF(IF(Z323&gt;A323-1,INDEX(Lista_Pedidos,Y323+A323-1,S323),"")=0,"",IF(Z323&gt;A323-1,INDEX(Lista_Pedidos,Y323+A323-1,S323),"")),"")</f>
        <v/>
      </c>
      <c r="T329" s="526" t="str">
        <f>IFERROR(IF(IF(Z323&gt;A323-1,INDEX(Lista_Pedidos,Y323+A323-1,T323),"")=0,"",IF(Z323&gt;A323-1,INDEX(Lista_Pedidos,Y323+A323-1,T323),"")),"")</f>
        <v/>
      </c>
      <c r="U329" s="526" t="str">
        <f>IFERROR(IF(IF(Z323&gt;A323-1,INDEX(Lista_Pedidos,Y323+A323-1,U323),"")=0,"",IF(Z323&gt;A323-1,INDEX(Lista_Pedidos,Y323+A323-1,U323),"")),"")</f>
        <v/>
      </c>
      <c r="V329" s="526" t="str">
        <f>IFERROR(IF(IF(Z323&gt;A323-1,INDEX(Lista_Pedidos,Y323+A323-1,V323),"")=0,"",IF(Z323&gt;A323-1,INDEX(Lista_Pedidos,Y323+A323-1,V323),"")),"")</f>
        <v/>
      </c>
      <c r="W329" s="857" t="str">
        <f>IF(SUM(J329:V329)&gt;1,SUM(J329:V329),"")</f>
        <v/>
      </c>
      <c r="X329" s="855"/>
      <c r="Y329" s="855"/>
      <c r="Z329" s="860"/>
      <c r="AA329" s="854" t="str">
        <f>IFERROR(INDEX(Lista_Pedidos,Procesos!AY323+AA323-1,3),"")</f>
        <v/>
      </c>
      <c r="AB329" s="855"/>
      <c r="AC329" s="855"/>
      <c r="AD329" s="855"/>
      <c r="AE329" s="856"/>
      <c r="AF329" s="857" t="str">
        <f>IF(AZ323&gt;AA323-1,AE$11,"")</f>
        <v/>
      </c>
      <c r="AG329" s="855"/>
      <c r="AH329" s="855"/>
      <c r="AI329" s="856"/>
      <c r="AJ329" s="526" t="str">
        <f>IFERROR(IF(IF(AZ323&gt;AA323-1,INDEX(Lista_Pedidos,AY323+AA323-1,AJ323),"")=0,"",IF(AZ323&gt;AA323-1,INDEX(Lista_Pedidos,AY323+AA323-1,AJ323),"")),"")</f>
        <v/>
      </c>
      <c r="AK329" s="526" t="str">
        <f>IFERROR(IF(IF(AZ323&gt;AA323-1,INDEX(Lista_Pedidos,AY323+AA323-1,AK323),"")=0,"",IF(AZ323&gt;AA323-1,INDEX(Lista_Pedidos,AY323+AA323-1,AK323),"")),"")</f>
        <v/>
      </c>
      <c r="AL329" s="526" t="str">
        <f>IFERROR(IF(IF(AZ323&gt;AA323-1,INDEX(Lista_Pedidos,AY323+AA323-1,AL323),"")=0,"",IF(AZ323&gt;AA323-1,INDEX(Lista_Pedidos,AY323+AA323-1,AL323),"")),"")</f>
        <v/>
      </c>
      <c r="AM329" s="526" t="str">
        <f>IFERROR(IF(IF(AZ323&gt;AA323-1,INDEX(Lista_Pedidos,AY323+AA323-1,AM323),"")=0,"",IF(AZ323&gt;AA323-1,INDEX(Lista_Pedidos,AY323+AA323-1,AM323),"")),"")</f>
        <v/>
      </c>
      <c r="AN329" s="526" t="str">
        <f>IFERROR(IF(IF(AZ323&gt;AA323-1,INDEX(Lista_Pedidos,AY323+AA323-1,AN323),"")=0,"",IF(AZ323&gt;AA323-1,INDEX(Lista_Pedidos,AY323+AA323-1,AN323),"")),"")</f>
        <v/>
      </c>
      <c r="AO329" s="526" t="str">
        <f>IFERROR(IF(IF(AZ323&gt;AA323-1,INDEX(Lista_Pedidos,AY323+AA323-1,AO323),"")=0,"",IF(AZ323&gt;AA323-1,INDEX(Lista_Pedidos,AY323+AA323-1,AO323),"")),"")</f>
        <v/>
      </c>
      <c r="AP329" s="526" t="str">
        <f>IFERROR(IF(IF(AZ323&gt;AA323-1,INDEX(Lista_Pedidos,AY323+AA323-1,AP323),"")=0,"",IF(AZ323&gt;AA323-1,INDEX(Lista_Pedidos,AY323+AA323-1,AP323),"")),"")</f>
        <v/>
      </c>
      <c r="AQ329" s="526" t="str">
        <f>IFERROR(IF(IF(AZ323&gt;AA323-1,INDEX(Lista_Pedidos,AY323+AA323-1,AQ323),"")=0,"",IF(AZ323&gt;AA323-1,INDEX(Lista_Pedidos,AY323+AA323-1,AQ323),"")),"")</f>
        <v/>
      </c>
      <c r="AR329" s="526" t="str">
        <f>IFERROR(IF(IF(AZ323&gt;AA323-1,INDEX(Lista_Pedidos,AY323+AA323-1,AR323),"")=0,"",IF(AZ323&gt;AA323-1,INDEX(Lista_Pedidos,AY323+AA323-1,AR323),"")),"")</f>
        <v/>
      </c>
      <c r="AS329" s="526" t="str">
        <f>IFERROR(IF(IF(AZ323&gt;AA323-1,INDEX(Lista_Pedidos,AY323+AA323-1,AS323),"")=0,"",IF(AZ323&gt;AA323-1,INDEX(Lista_Pedidos,AY323+AA323-1,AS323),"")),"")</f>
        <v/>
      </c>
      <c r="AT329" s="526" t="str">
        <f>IFERROR(IF(IF(AZ323&gt;AA323-1,INDEX(Lista_Pedidos,AY323+AA323-1,AT323),"")=0,"",IF(AZ323&gt;AA323-1,INDEX(Lista_Pedidos,AY323+AA323-1,AT323),"")),"")</f>
        <v/>
      </c>
      <c r="AU329" s="526" t="str">
        <f>IFERROR(IF(IF(AZ323&gt;AA323-1,INDEX(Lista_Pedidos,AY323+AA323-1,AU323),"")=0,"",IF(AZ323&gt;AA323-1,INDEX(Lista_Pedidos,AY323+AA323-1,AU323),"")),"")</f>
        <v/>
      </c>
      <c r="AV329" s="526" t="str">
        <f>IFERROR(IF(IF(AZ323&gt;AA323-1,INDEX(Lista_Pedidos,AY323+AA323-1,AV323),"")=0,"",IF(AZ323&gt;AA323-1,INDEX(Lista_Pedidos,AY323+AA323-1,AV323),"")),"")</f>
        <v/>
      </c>
      <c r="AW329" s="857" t="str">
        <f>IF(SUM(AJ329:AV329)&gt;1,SUM(AJ329:AV329),"")</f>
        <v/>
      </c>
      <c r="AX329" s="855"/>
      <c r="AY329" s="855"/>
      <c r="AZ329" s="860"/>
      <c r="BA329" s="854" t="str">
        <f>IFERROR(INDEX(Lista_Pedidos,Procesos!BY323+BA323-1,3),"")</f>
        <v/>
      </c>
      <c r="BB329" s="855"/>
      <c r="BC329" s="855"/>
      <c r="BD329" s="855"/>
      <c r="BE329" s="856"/>
      <c r="BF329" s="857" t="str">
        <f>IF(BZ323&gt;BA323-1,BE$11,"")</f>
        <v/>
      </c>
      <c r="BG329" s="855"/>
      <c r="BH329" s="855"/>
      <c r="BI329" s="856"/>
      <c r="BJ329" s="526" t="str">
        <f>IFERROR(IF(IF(BZ323&gt;BA323-1,INDEX(Lista_Pedidos,BY323+BA323-1,BJ323),"")=0,"",IF(BZ323&gt;BA323-1,INDEX(Lista_Pedidos,BY323+BA323-1,BJ323),"")),"")</f>
        <v/>
      </c>
      <c r="BK329" s="526" t="str">
        <f>IFERROR(IF(IF(BZ323&gt;BA323-1,INDEX(Lista_Pedidos,BY323+BA323-1,BK323),"")=0,"",IF(BZ323&gt;BA323-1,INDEX(Lista_Pedidos,BY323+BA323-1,BK323),"")),"")</f>
        <v/>
      </c>
      <c r="BL329" s="526" t="str">
        <f>IFERROR(IF(IF(BZ323&gt;BA323-1,INDEX(Lista_Pedidos,BY323+BA323-1,BL323),"")=0,"",IF(BZ323&gt;BA323-1,INDEX(Lista_Pedidos,BY323+BA323-1,BL323),"")),"")</f>
        <v/>
      </c>
      <c r="BM329" s="526" t="str">
        <f>IFERROR(IF(IF(BZ323&gt;BA323-1,INDEX(Lista_Pedidos,BY323+BA323-1,BM323),"")=0,"",IF(BZ323&gt;BA323-1,INDEX(Lista_Pedidos,BY323+BA323-1,BM323),"")),"")</f>
        <v/>
      </c>
      <c r="BN329" s="526" t="str">
        <f>IFERROR(IF(IF(BZ323&gt;BA323-1,INDEX(Lista_Pedidos,BY323+BA323-1,BN323),"")=0,"",IF(BZ323&gt;BA323-1,INDEX(Lista_Pedidos,BY323+BA323-1,BN323),"")),"")</f>
        <v/>
      </c>
      <c r="BO329" s="526" t="str">
        <f>IFERROR(IF(IF(BZ323&gt;BA323-1,INDEX(Lista_Pedidos,BY323+BA323-1,BO323),"")=0,"",IF(BZ323&gt;BA323-1,INDEX(Lista_Pedidos,BY323+BA323-1,BO323),"")),"")</f>
        <v/>
      </c>
      <c r="BP329" s="526" t="str">
        <f>IFERROR(IF(IF(BZ323&gt;BA323-1,INDEX(Lista_Pedidos,BY323+BA323-1,BP323),"")=0,"",IF(BZ323&gt;BA323-1,INDEX(Lista_Pedidos,BY323+BA323-1,BP323),"")),"")</f>
        <v/>
      </c>
      <c r="BQ329" s="526" t="str">
        <f>IFERROR(IF(IF(BZ323&gt;BA323-1,INDEX(Lista_Pedidos,BY323+BA323-1,BQ323),"")=0,"",IF(BZ323&gt;BA323-1,INDEX(Lista_Pedidos,BY323+BA323-1,BQ323),"")),"")</f>
        <v/>
      </c>
      <c r="BR329" s="526" t="str">
        <f>IFERROR(IF(IF(BZ323&gt;BA323-1,INDEX(Lista_Pedidos,BY323+BA323-1,BR323),"")=0,"",IF(BZ323&gt;BA323-1,INDEX(Lista_Pedidos,BY323+BA323-1,BR323),"")),"")</f>
        <v/>
      </c>
      <c r="BS329" s="526" t="str">
        <f>IFERROR(IF(IF(BZ323&gt;BA323-1,INDEX(Lista_Pedidos,BY323+BA323-1,BS323),"")=0,"",IF(BZ323&gt;BA323-1,INDEX(Lista_Pedidos,BY323+BA323-1,BS323),"")),"")</f>
        <v/>
      </c>
      <c r="BT329" s="526" t="str">
        <f>IFERROR(IF(IF(BZ323&gt;BA323-1,INDEX(Lista_Pedidos,BY323+BA323-1,BT323),"")=0,"",IF(BZ323&gt;BA323-1,INDEX(Lista_Pedidos,BY323+BA323-1,BT323),"")),"")</f>
        <v/>
      </c>
      <c r="BU329" s="526" t="str">
        <f>IFERROR(IF(IF(BZ323&gt;BA323-1,INDEX(Lista_Pedidos,BY323+BA323-1,BU323),"")=0,"",IF(BZ323&gt;BA323-1,INDEX(Lista_Pedidos,BY323+BA323-1,BU323),"")),"")</f>
        <v/>
      </c>
      <c r="BV329" s="526" t="str">
        <f>IFERROR(IF(IF(BZ323&gt;BA323-1,INDEX(Lista_Pedidos,BY323+BA323-1,BV323),"")=0,"",IF(BZ323&gt;BA323-1,INDEX(Lista_Pedidos,BY323+BA323-1,BV323),"")),"")</f>
        <v/>
      </c>
      <c r="BW329" s="857" t="str">
        <f>IF(SUM(BJ329:BV329)&gt;1,SUM(BJ329:BV329),"")</f>
        <v/>
      </c>
      <c r="BX329" s="855"/>
      <c r="BY329" s="855"/>
      <c r="BZ329" s="860"/>
      <c r="CA329" s="854" t="str">
        <f>IFERROR(INDEX(Lista_Pedidos,Procesos!CY323+CA323-1,3),"")</f>
        <v/>
      </c>
      <c r="CB329" s="855"/>
      <c r="CC329" s="855"/>
      <c r="CD329" s="855"/>
      <c r="CE329" s="856"/>
      <c r="CF329" s="857" t="str">
        <f>IF(CZ323&gt;CA323-1,CE$11,"")</f>
        <v/>
      </c>
      <c r="CG329" s="855"/>
      <c r="CH329" s="855"/>
      <c r="CI329" s="856"/>
      <c r="CJ329" s="526" t="str">
        <f>IFERROR(IF(IF(CZ323&gt;CA323-1,INDEX(Lista_Pedidos,CY323+CA323-1,CJ323),"")=0,"",IF(CZ323&gt;CA323-1,INDEX(Lista_Pedidos,CY323+CA323-1,CJ323),"")),"")</f>
        <v/>
      </c>
      <c r="CK329" s="526" t="str">
        <f>IFERROR(IF(IF(CZ323&gt;CA323-1,INDEX(Lista_Pedidos,CY323+CA323-1,CK323),"")=0,"",IF(CZ323&gt;CA323-1,INDEX(Lista_Pedidos,CY323+CA323-1,CK323),"")),"")</f>
        <v/>
      </c>
      <c r="CL329" s="526" t="str">
        <f>IFERROR(IF(IF(CZ323&gt;CA323-1,INDEX(Lista_Pedidos,CY323+CA323-1,CL323),"")=0,"",IF(CZ323&gt;CA323-1,INDEX(Lista_Pedidos,CY323+CA323-1,CL323),"")),"")</f>
        <v/>
      </c>
      <c r="CM329" s="526" t="str">
        <f>IFERROR(IF(IF(CZ323&gt;CA323-1,INDEX(Lista_Pedidos,CY323+CA323-1,CM323),"")=0,"",IF(CZ323&gt;CA323-1,INDEX(Lista_Pedidos,CY323+CA323-1,CM323),"")),"")</f>
        <v/>
      </c>
      <c r="CN329" s="526" t="str">
        <f>IFERROR(IF(IF(CZ323&gt;CA323-1,INDEX(Lista_Pedidos,CY323+CA323-1,CN323),"")=0,"",IF(CZ323&gt;CA323-1,INDEX(Lista_Pedidos,CY323+CA323-1,CN323),"")),"")</f>
        <v/>
      </c>
      <c r="CO329" s="526" t="str">
        <f>IFERROR(IF(IF(CZ323&gt;CA323-1,INDEX(Lista_Pedidos,CY323+CA323-1,CO323),"")=0,"",IF(CZ323&gt;CA323-1,INDEX(Lista_Pedidos,CY323+CA323-1,CO323),"")),"")</f>
        <v/>
      </c>
      <c r="CP329" s="526" t="str">
        <f>IFERROR(IF(IF(CZ323&gt;CA323-1,INDEX(Lista_Pedidos,CY323+CA323-1,CP323),"")=0,"",IF(CZ323&gt;CA323-1,INDEX(Lista_Pedidos,CY323+CA323-1,CP323),"")),"")</f>
        <v/>
      </c>
      <c r="CQ329" s="526" t="str">
        <f>IFERROR(IF(IF(CZ323&gt;CA323-1,INDEX(Lista_Pedidos,CY323+CA323-1,CQ323),"")=0,"",IF(CZ323&gt;CA323-1,INDEX(Lista_Pedidos,CY323+CA323-1,CQ323),"")),"")</f>
        <v/>
      </c>
      <c r="CR329" s="526" t="str">
        <f>IFERROR(IF(IF(CZ323&gt;CA323-1,INDEX(Lista_Pedidos,CY323+CA323-1,CR323),"")=0,"",IF(CZ323&gt;CA323-1,INDEX(Lista_Pedidos,CY323+CA323-1,CR323),"")),"")</f>
        <v/>
      </c>
      <c r="CS329" s="526" t="str">
        <f>IFERROR(IF(IF(CZ323&gt;CA323-1,INDEX(Lista_Pedidos,CY323+CA323-1,CS323),"")=0,"",IF(CZ323&gt;CA323-1,INDEX(Lista_Pedidos,CY323+CA323-1,CS323),"")),"")</f>
        <v/>
      </c>
      <c r="CT329" s="526" t="str">
        <f>IFERROR(IF(IF(CZ323&gt;CA323-1,INDEX(Lista_Pedidos,CY323+CA323-1,CT323),"")=0,"",IF(CZ323&gt;CA323-1,INDEX(Lista_Pedidos,CY323+CA323-1,CT323),"")),"")</f>
        <v/>
      </c>
      <c r="CU329" s="526" t="str">
        <f>IFERROR(IF(IF(CZ323&gt;CA323-1,INDEX(Lista_Pedidos,CY323+CA323-1,CU323),"")=0,"",IF(CZ323&gt;CA323-1,INDEX(Lista_Pedidos,CY323+CA323-1,CU323),"")),"")</f>
        <v/>
      </c>
      <c r="CV329" s="526" t="str">
        <f>IFERROR(IF(IF(CZ323&gt;CA323-1,INDEX(Lista_Pedidos,CY323+CA323-1,CV323),"")=0,"",IF(CZ323&gt;CA323-1,INDEX(Lista_Pedidos,CY323+CA323-1,CV323),"")),"")</f>
        <v/>
      </c>
      <c r="CW329" s="857" t="str">
        <f>IF(SUM(CJ329:CV329)&gt;1,SUM(CJ329:CV329),"")</f>
        <v/>
      </c>
      <c r="CX329" s="855"/>
      <c r="CY329" s="855"/>
      <c r="CZ329" s="860"/>
      <c r="DA329" s="854" t="str">
        <f>IFERROR(INDEX(Lista_Pedidos,Procesos!DY323+DA323-1,3),"")</f>
        <v/>
      </c>
      <c r="DB329" s="855"/>
      <c r="DC329" s="855"/>
      <c r="DD329" s="855"/>
      <c r="DE329" s="856"/>
      <c r="DF329" s="857" t="str">
        <f>IF(DZ323&gt;DA323-1,DE$11,"")</f>
        <v/>
      </c>
      <c r="DG329" s="855"/>
      <c r="DH329" s="855"/>
      <c r="DI329" s="856"/>
      <c r="DJ329" s="526" t="str">
        <f>IFERROR(IF(IF(DZ323&gt;DA323-1,INDEX(Lista_Pedidos,DY323+DA323-1,DJ323),"")=0,"",IF(DZ323&gt;DA323-1,INDEX(Lista_Pedidos,DY323+DA323-1,DJ323),"")),"")</f>
        <v/>
      </c>
      <c r="DK329" s="526" t="str">
        <f>IFERROR(IF(IF(DZ323&gt;DA323-1,INDEX(Lista_Pedidos,DY323+DA323-1,DK323),"")=0,"",IF(DZ323&gt;DA323-1,INDEX(Lista_Pedidos,DY323+DA323-1,DK323),"")),"")</f>
        <v/>
      </c>
      <c r="DL329" s="526" t="str">
        <f>IFERROR(IF(IF(DZ323&gt;DA323-1,INDEX(Lista_Pedidos,DY323+DA323-1,DL323),"")=0,"",IF(DZ323&gt;DA323-1,INDEX(Lista_Pedidos,DY323+DA323-1,DL323),"")),"")</f>
        <v/>
      </c>
      <c r="DM329" s="526" t="str">
        <f>IFERROR(IF(IF(DZ323&gt;DA323-1,INDEX(Lista_Pedidos,DY323+DA323-1,DM323),"")=0,"",IF(DZ323&gt;DA323-1,INDEX(Lista_Pedidos,DY323+DA323-1,DM323),"")),"")</f>
        <v/>
      </c>
      <c r="DN329" s="526" t="str">
        <f>IFERROR(IF(IF(DZ323&gt;DA323-1,INDEX(Lista_Pedidos,DY323+DA323-1,DN323),"")=0,"",IF(DZ323&gt;DA323-1,INDEX(Lista_Pedidos,DY323+DA323-1,DN323),"")),"")</f>
        <v/>
      </c>
      <c r="DO329" s="526" t="str">
        <f>IFERROR(IF(IF(DZ323&gt;DA323-1,INDEX(Lista_Pedidos,DY323+DA323-1,DO323),"")=0,"",IF(DZ323&gt;DA323-1,INDEX(Lista_Pedidos,DY323+DA323-1,DO323),"")),"")</f>
        <v/>
      </c>
      <c r="DP329" s="526" t="str">
        <f>IFERROR(IF(IF(DZ323&gt;DA323-1,INDEX(Lista_Pedidos,DY323+DA323-1,DP323),"")=0,"",IF(DZ323&gt;DA323-1,INDEX(Lista_Pedidos,DY323+DA323-1,DP323),"")),"")</f>
        <v/>
      </c>
      <c r="DQ329" s="526" t="str">
        <f>IFERROR(IF(IF(DZ323&gt;DA323-1,INDEX(Lista_Pedidos,DY323+DA323-1,DQ323),"")=0,"",IF(DZ323&gt;DA323-1,INDEX(Lista_Pedidos,DY323+DA323-1,DQ323),"")),"")</f>
        <v/>
      </c>
      <c r="DR329" s="526" t="str">
        <f>IFERROR(IF(IF(DZ323&gt;DA323-1,INDEX(Lista_Pedidos,DY323+DA323-1,DR323),"")=0,"",IF(DZ323&gt;DA323-1,INDEX(Lista_Pedidos,DY323+DA323-1,DR323),"")),"")</f>
        <v/>
      </c>
      <c r="DS329" s="526" t="str">
        <f>IFERROR(IF(IF(DZ323&gt;DA323-1,INDEX(Lista_Pedidos,DY323+DA323-1,DS323),"")=0,"",IF(DZ323&gt;DA323-1,INDEX(Lista_Pedidos,DY323+DA323-1,DS323),"")),"")</f>
        <v/>
      </c>
      <c r="DT329" s="526" t="str">
        <f>IFERROR(IF(IF(DZ323&gt;DA323-1,INDEX(Lista_Pedidos,DY323+DA323-1,DT323),"")=0,"",IF(DZ323&gt;DA323-1,INDEX(Lista_Pedidos,DY323+DA323-1,DT323),"")),"")</f>
        <v/>
      </c>
      <c r="DU329" s="526" t="str">
        <f>IFERROR(IF(IF(DZ323&gt;DA323-1,INDEX(Lista_Pedidos,DY323+DA323-1,DU323),"")=0,"",IF(DZ323&gt;DA323-1,INDEX(Lista_Pedidos,DY323+DA323-1,DU323),"")),"")</f>
        <v/>
      </c>
      <c r="DV329" s="526" t="str">
        <f>IFERROR(IF(IF(DZ323&gt;DA323-1,INDEX(Lista_Pedidos,DY323+DA323-1,DV323),"")=0,"",IF(DZ323&gt;DA323-1,INDEX(Lista_Pedidos,DY323+DA323-1,DV323),"")),"")</f>
        <v/>
      </c>
      <c r="DW329" s="857" t="str">
        <f>IF(SUM(DJ329:DV329)&gt;1,SUM(DJ329:DV329),"")</f>
        <v/>
      </c>
      <c r="DX329" s="855"/>
      <c r="DY329" s="855"/>
      <c r="DZ329" s="860"/>
      <c r="EA329" s="854" t="str">
        <f>IFERROR(INDEX(Lista_Pedidos,Procesos!EY323+EA323-1,3),"")</f>
        <v/>
      </c>
      <c r="EB329" s="855"/>
      <c r="EC329" s="855"/>
      <c r="ED329" s="855"/>
      <c r="EE329" s="856"/>
      <c r="EF329" s="857" t="str">
        <f>IF(EZ323&gt;EA323-1,EE$11,"")</f>
        <v/>
      </c>
      <c r="EG329" s="855"/>
      <c r="EH329" s="855"/>
      <c r="EI329" s="856"/>
      <c r="EJ329" s="526" t="str">
        <f>IFERROR(IF(IF(EZ323&gt;EA323-1,INDEX(Lista_Pedidos,EY323+EA323-1,EJ323),"")=0,"",IF(EZ323&gt;EA323-1,INDEX(Lista_Pedidos,EY323+EA323-1,EJ323),"")),"")</f>
        <v/>
      </c>
      <c r="EK329" s="526" t="str">
        <f>IFERROR(IF(IF(EZ323&gt;EA323-1,INDEX(Lista_Pedidos,EY323+EA323-1,EK323),"")=0,"",IF(EZ323&gt;EA323-1,INDEX(Lista_Pedidos,EY323+EA323-1,EK323),"")),"")</f>
        <v/>
      </c>
      <c r="EL329" s="526" t="str">
        <f>IFERROR(IF(IF(EZ323&gt;EA323-1,INDEX(Lista_Pedidos,EY323+EA323-1,EL323),"")=0,"",IF(EZ323&gt;EA323-1,INDEX(Lista_Pedidos,EY323+EA323-1,EL323),"")),"")</f>
        <v/>
      </c>
      <c r="EM329" s="526" t="str">
        <f>IFERROR(IF(IF(EZ323&gt;EA323-1,INDEX(Lista_Pedidos,EY323+EA323-1,EM323),"")=0,"",IF(EZ323&gt;EA323-1,INDEX(Lista_Pedidos,EY323+EA323-1,EM323),"")),"")</f>
        <v/>
      </c>
      <c r="EN329" s="526" t="str">
        <f>IFERROR(IF(IF(EZ323&gt;EA323-1,INDEX(Lista_Pedidos,EY323+EA323-1,EN323),"")=0,"",IF(EZ323&gt;EA323-1,INDEX(Lista_Pedidos,EY323+EA323-1,EN323),"")),"")</f>
        <v/>
      </c>
      <c r="EO329" s="526" t="str">
        <f>IFERROR(IF(IF(EZ323&gt;EA323-1,INDEX(Lista_Pedidos,EY323+EA323-1,EO323),"")=0,"",IF(EZ323&gt;EA323-1,INDEX(Lista_Pedidos,EY323+EA323-1,EO323),"")),"")</f>
        <v/>
      </c>
      <c r="EP329" s="526" t="str">
        <f>IFERROR(IF(IF(EZ323&gt;EA323-1,INDEX(Lista_Pedidos,EY323+EA323-1,EP323),"")=0,"",IF(EZ323&gt;EA323-1,INDEX(Lista_Pedidos,EY323+EA323-1,EP323),"")),"")</f>
        <v/>
      </c>
      <c r="EQ329" s="526" t="str">
        <f>IFERROR(IF(IF(EZ323&gt;EA323-1,INDEX(Lista_Pedidos,EY323+EA323-1,EQ323),"")=0,"",IF(EZ323&gt;EA323-1,INDEX(Lista_Pedidos,EY323+EA323-1,EQ323),"")),"")</f>
        <v/>
      </c>
      <c r="ER329" s="526" t="str">
        <f>IFERROR(IF(IF(EZ323&gt;EA323-1,INDEX(Lista_Pedidos,EY323+EA323-1,ER323),"")=0,"",IF(EZ323&gt;EA323-1,INDEX(Lista_Pedidos,EY323+EA323-1,ER323),"")),"")</f>
        <v/>
      </c>
      <c r="ES329" s="526" t="str">
        <f>IFERROR(IF(IF(EZ323&gt;EA323-1,INDEX(Lista_Pedidos,EY323+EA323-1,ES323),"")=0,"",IF(EZ323&gt;EA323-1,INDEX(Lista_Pedidos,EY323+EA323-1,ES323),"")),"")</f>
        <v/>
      </c>
      <c r="ET329" s="526" t="str">
        <f>IFERROR(IF(IF(EZ323&gt;EA323-1,INDEX(Lista_Pedidos,EY323+EA323-1,ET323),"")=0,"",IF(EZ323&gt;EA323-1,INDEX(Lista_Pedidos,EY323+EA323-1,ET323),"")),"")</f>
        <v/>
      </c>
      <c r="EU329" s="526" t="str">
        <f>IFERROR(IF(IF(EZ323&gt;EA323-1,INDEX(Lista_Pedidos,EY323+EA323-1,EU323),"")=0,"",IF(EZ323&gt;EA323-1,INDEX(Lista_Pedidos,EY323+EA323-1,EU323),"")),"")</f>
        <v/>
      </c>
      <c r="EV329" s="526" t="str">
        <f>IFERROR(IF(IF(EZ323&gt;EA323-1,INDEX(Lista_Pedidos,EY323+EA323-1,EV323),"")=0,"",IF(EZ323&gt;EA323-1,INDEX(Lista_Pedidos,EY323+EA323-1,EV323),"")),"")</f>
        <v/>
      </c>
      <c r="EW329" s="857" t="str">
        <f>IF(SUM(EJ329:EV329)&gt;1,SUM(EJ329:EV329),"")</f>
        <v/>
      </c>
      <c r="EX329" s="855"/>
      <c r="EY329" s="855"/>
      <c r="EZ329" s="860"/>
      <c r="FA329" s="854" t="str">
        <f>IFERROR(INDEX(Lista_Pedidos,Procesos!FY323+FA323-1,3),"")</f>
        <v/>
      </c>
      <c r="FB329" s="855"/>
      <c r="FC329" s="855"/>
      <c r="FD329" s="855"/>
      <c r="FE329" s="856"/>
      <c r="FF329" s="857" t="str">
        <f>IF(FZ323&gt;FA323-1,FE$11,"")</f>
        <v/>
      </c>
      <c r="FG329" s="855"/>
      <c r="FH329" s="855"/>
      <c r="FI329" s="856"/>
      <c r="FJ329" s="526" t="str">
        <f>IFERROR(IF(IF(FZ323&gt;FA323-1,INDEX(Lista_Pedidos,FY323+FA323-1,FJ323),"")=0,"",IF(FZ323&gt;FA323-1,INDEX(Lista_Pedidos,FY323+FA323-1,FJ323),"")),"")</f>
        <v/>
      </c>
      <c r="FK329" s="526" t="str">
        <f>IFERROR(IF(IF(FZ323&gt;FA323-1,INDEX(Lista_Pedidos,FY323+FA323-1,FK323),"")=0,"",IF(FZ323&gt;FA323-1,INDEX(Lista_Pedidos,FY323+FA323-1,FK323),"")),"")</f>
        <v/>
      </c>
      <c r="FL329" s="526" t="str">
        <f>IFERROR(IF(IF(FZ323&gt;FA323-1,INDEX(Lista_Pedidos,FY323+FA323-1,FL323),"")=0,"",IF(FZ323&gt;FA323-1,INDEX(Lista_Pedidos,FY323+FA323-1,FL323),"")),"")</f>
        <v/>
      </c>
      <c r="FM329" s="526" t="str">
        <f>IFERROR(IF(IF(FZ323&gt;FA323-1,INDEX(Lista_Pedidos,FY323+FA323-1,FM323),"")=0,"",IF(FZ323&gt;FA323-1,INDEX(Lista_Pedidos,FY323+FA323-1,FM323),"")),"")</f>
        <v/>
      </c>
      <c r="FN329" s="526" t="str">
        <f>IFERROR(IF(IF(FZ323&gt;FA323-1,INDEX(Lista_Pedidos,FY323+FA323-1,FN323),"")=0,"",IF(FZ323&gt;FA323-1,INDEX(Lista_Pedidos,FY323+FA323-1,FN323),"")),"")</f>
        <v/>
      </c>
      <c r="FO329" s="526" t="str">
        <f>IFERROR(IF(IF(FZ323&gt;FA323-1,INDEX(Lista_Pedidos,FY323+FA323-1,FO323),"")=0,"",IF(FZ323&gt;FA323-1,INDEX(Lista_Pedidos,FY323+FA323-1,FO323),"")),"")</f>
        <v/>
      </c>
      <c r="FP329" s="526" t="str">
        <f>IFERROR(IF(IF(FZ323&gt;FA323-1,INDEX(Lista_Pedidos,FY323+FA323-1,FP323),"")=0,"",IF(FZ323&gt;FA323-1,INDEX(Lista_Pedidos,FY323+FA323-1,FP323),"")),"")</f>
        <v/>
      </c>
      <c r="FQ329" s="526" t="str">
        <f>IFERROR(IF(IF(FZ323&gt;FA323-1,INDEX(Lista_Pedidos,FY323+FA323-1,FQ323),"")=0,"",IF(FZ323&gt;FA323-1,INDEX(Lista_Pedidos,FY323+FA323-1,FQ323),"")),"")</f>
        <v/>
      </c>
      <c r="FR329" s="526" t="str">
        <f>IFERROR(IF(IF(FZ323&gt;FA323-1,INDEX(Lista_Pedidos,FY323+FA323-1,FR323),"")=0,"",IF(FZ323&gt;FA323-1,INDEX(Lista_Pedidos,FY323+FA323-1,FR323),"")),"")</f>
        <v/>
      </c>
      <c r="FS329" s="526" t="str">
        <f>IFERROR(IF(IF(FZ323&gt;FA323-1,INDEX(Lista_Pedidos,FY323+FA323-1,FS323),"")=0,"",IF(FZ323&gt;FA323-1,INDEX(Lista_Pedidos,FY323+FA323-1,FS323),"")),"")</f>
        <v/>
      </c>
      <c r="FT329" s="526" t="str">
        <f>IFERROR(IF(IF(FZ323&gt;FA323-1,INDEX(Lista_Pedidos,FY323+FA323-1,FT323),"")=0,"",IF(FZ323&gt;FA323-1,INDEX(Lista_Pedidos,FY323+FA323-1,FT323),"")),"")</f>
        <v/>
      </c>
      <c r="FU329" s="526" t="str">
        <f>IFERROR(IF(IF(FZ323&gt;FA323-1,INDEX(Lista_Pedidos,FY323+FA323-1,FU323),"")=0,"",IF(FZ323&gt;FA323-1,INDEX(Lista_Pedidos,FY323+FA323-1,FU323),"")),"")</f>
        <v/>
      </c>
      <c r="FV329" s="526" t="str">
        <f>IFERROR(IF(IF(FZ323&gt;FA323-1,INDEX(Lista_Pedidos,FY323+FA323-1,FV323),"")=0,"",IF(FZ323&gt;FA323-1,INDEX(Lista_Pedidos,FY323+FA323-1,FV323),"")),"")</f>
        <v/>
      </c>
      <c r="FW329" s="857" t="str">
        <f>IF(SUM(FJ329:FV329)&gt;1,SUM(FJ329:FV329),"")</f>
        <v/>
      </c>
      <c r="FX329" s="855"/>
      <c r="FY329" s="855"/>
      <c r="FZ329" s="860"/>
      <c r="GA329" s="854" t="str">
        <f>IFERROR(INDEX(Lista_Pedidos,Procesos!GY323+GA323-1,3),"")</f>
        <v/>
      </c>
      <c r="GB329" s="855"/>
      <c r="GC329" s="855"/>
      <c r="GD329" s="855"/>
      <c r="GE329" s="856"/>
      <c r="GF329" s="857" t="str">
        <f>IF(GZ323&gt;GA323-1,GE$11,"")</f>
        <v/>
      </c>
      <c r="GG329" s="855"/>
      <c r="GH329" s="855"/>
      <c r="GI329" s="856"/>
      <c r="GJ329" s="526" t="str">
        <f>IFERROR(IF(IF(GZ323&gt;GA323-1,INDEX(Lista_Pedidos,GY323+GA323-1,GJ323),"")=0,"",IF(GZ323&gt;GA323-1,INDEX(Lista_Pedidos,GY323+GA323-1,GJ323),"")),"")</f>
        <v/>
      </c>
      <c r="GK329" s="526" t="str">
        <f>IFERROR(IF(IF(GZ323&gt;GA323-1,INDEX(Lista_Pedidos,GY323+GA323-1,GK323),"")=0,"",IF(GZ323&gt;GA323-1,INDEX(Lista_Pedidos,GY323+GA323-1,GK323),"")),"")</f>
        <v/>
      </c>
      <c r="GL329" s="526" t="str">
        <f>IFERROR(IF(IF(GZ323&gt;GA323-1,INDEX(Lista_Pedidos,GY323+GA323-1,GL323),"")=0,"",IF(GZ323&gt;GA323-1,INDEX(Lista_Pedidos,GY323+GA323-1,GL323),"")),"")</f>
        <v/>
      </c>
      <c r="GM329" s="526" t="str">
        <f>IFERROR(IF(IF(GZ323&gt;GA323-1,INDEX(Lista_Pedidos,GY323+GA323-1,GM323),"")=0,"",IF(GZ323&gt;GA323-1,INDEX(Lista_Pedidos,GY323+GA323-1,GM323),"")),"")</f>
        <v/>
      </c>
      <c r="GN329" s="526" t="str">
        <f>IFERROR(IF(IF(GZ323&gt;GA323-1,INDEX(Lista_Pedidos,GY323+GA323-1,GN323),"")=0,"",IF(GZ323&gt;GA323-1,INDEX(Lista_Pedidos,GY323+GA323-1,GN323),"")),"")</f>
        <v/>
      </c>
      <c r="GO329" s="526" t="str">
        <f>IFERROR(IF(IF(GZ323&gt;GA323-1,INDEX(Lista_Pedidos,GY323+GA323-1,GO323),"")=0,"",IF(GZ323&gt;GA323-1,INDEX(Lista_Pedidos,GY323+GA323-1,GO323),"")),"")</f>
        <v/>
      </c>
      <c r="GP329" s="526" t="str">
        <f>IFERROR(IF(IF(GZ323&gt;GA323-1,INDEX(Lista_Pedidos,GY323+GA323-1,GP323),"")=0,"",IF(GZ323&gt;GA323-1,INDEX(Lista_Pedidos,GY323+GA323-1,GP323),"")),"")</f>
        <v/>
      </c>
      <c r="GQ329" s="526" t="str">
        <f>IFERROR(IF(IF(GZ323&gt;GA323-1,INDEX(Lista_Pedidos,GY323+GA323-1,GQ323),"")=0,"",IF(GZ323&gt;GA323-1,INDEX(Lista_Pedidos,GY323+GA323-1,GQ323),"")),"")</f>
        <v/>
      </c>
      <c r="GR329" s="526" t="str">
        <f>IFERROR(IF(IF(GZ323&gt;GA323-1,INDEX(Lista_Pedidos,GY323+GA323-1,GR323),"")=0,"",IF(GZ323&gt;GA323-1,INDEX(Lista_Pedidos,GY323+GA323-1,GR323),"")),"")</f>
        <v/>
      </c>
      <c r="GS329" s="526" t="str">
        <f>IFERROR(IF(IF(GZ323&gt;GA323-1,INDEX(Lista_Pedidos,GY323+GA323-1,GS323),"")=0,"",IF(GZ323&gt;GA323-1,INDEX(Lista_Pedidos,GY323+GA323-1,GS323),"")),"")</f>
        <v/>
      </c>
      <c r="GT329" s="526" t="str">
        <f>IFERROR(IF(IF(GZ323&gt;GA323-1,INDEX(Lista_Pedidos,GY323+GA323-1,GT323),"")=0,"",IF(GZ323&gt;GA323-1,INDEX(Lista_Pedidos,GY323+GA323-1,GT323),"")),"")</f>
        <v/>
      </c>
      <c r="GU329" s="526" t="str">
        <f>IFERROR(IF(IF(GZ323&gt;GA323-1,INDEX(Lista_Pedidos,GY323+GA323-1,GU323),"")=0,"",IF(GZ323&gt;GA323-1,INDEX(Lista_Pedidos,GY323+GA323-1,GU323),"")),"")</f>
        <v/>
      </c>
      <c r="GV329" s="526" t="str">
        <f>IFERROR(IF(IF(GZ323&gt;GA323-1,INDEX(Lista_Pedidos,GY323+GA323-1,GV323),"")=0,"",IF(GZ323&gt;GA323-1,INDEX(Lista_Pedidos,GY323+GA323-1,GV323),"")),"")</f>
        <v/>
      </c>
      <c r="GW329" s="857" t="str">
        <f>IF(SUM(GJ329:GV329)&gt;1,SUM(GJ329:GV329),"")</f>
        <v/>
      </c>
      <c r="GX329" s="855"/>
      <c r="GY329" s="855"/>
      <c r="GZ329" s="860"/>
      <c r="HA329" s="854" t="str">
        <f>IFERROR(INDEX(Lista_Pedidos,Procesos!HY323+HA323-1,3),"")</f>
        <v/>
      </c>
      <c r="HB329" s="855"/>
      <c r="HC329" s="855"/>
      <c r="HD329" s="855"/>
      <c r="HE329" s="856"/>
      <c r="HF329" s="857" t="str">
        <f>IF(HZ323&gt;HA323-1,HE$11,"")</f>
        <v/>
      </c>
      <c r="HG329" s="855"/>
      <c r="HH329" s="855"/>
      <c r="HI329" s="856"/>
      <c r="HJ329" s="526" t="str">
        <f>IFERROR(IF(IF(HZ323&gt;HA323-1,INDEX(Lista_Pedidos,HY323+HA323-1,HJ323),"")=0,"",IF(HZ323&gt;HA323-1,INDEX(Lista_Pedidos,HY323+HA323-1,HJ323),"")),"")</f>
        <v/>
      </c>
      <c r="HK329" s="526" t="str">
        <f>IFERROR(IF(IF(HZ323&gt;HA323-1,INDEX(Lista_Pedidos,HY323+HA323-1,HK323),"")=0,"",IF(HZ323&gt;HA323-1,INDEX(Lista_Pedidos,HY323+HA323-1,HK323),"")),"")</f>
        <v/>
      </c>
      <c r="HL329" s="526" t="str">
        <f>IFERROR(IF(IF(HZ323&gt;HA323-1,INDEX(Lista_Pedidos,HY323+HA323-1,HL323),"")=0,"",IF(HZ323&gt;HA323-1,INDEX(Lista_Pedidos,HY323+HA323-1,HL323),"")),"")</f>
        <v/>
      </c>
      <c r="HM329" s="526" t="str">
        <f>IFERROR(IF(IF(HZ323&gt;HA323-1,INDEX(Lista_Pedidos,HY323+HA323-1,HM323),"")=0,"",IF(HZ323&gt;HA323-1,INDEX(Lista_Pedidos,HY323+HA323-1,HM323),"")),"")</f>
        <v/>
      </c>
      <c r="HN329" s="526" t="str">
        <f>IFERROR(IF(IF(HZ323&gt;HA323-1,INDEX(Lista_Pedidos,HY323+HA323-1,HN323),"")=0,"",IF(HZ323&gt;HA323-1,INDEX(Lista_Pedidos,HY323+HA323-1,HN323),"")),"")</f>
        <v/>
      </c>
      <c r="HO329" s="526" t="str">
        <f>IFERROR(IF(IF(HZ323&gt;HA323-1,INDEX(Lista_Pedidos,HY323+HA323-1,HO323),"")=0,"",IF(HZ323&gt;HA323-1,INDEX(Lista_Pedidos,HY323+HA323-1,HO323),"")),"")</f>
        <v/>
      </c>
      <c r="HP329" s="526" t="str">
        <f>IFERROR(IF(IF(HZ323&gt;HA323-1,INDEX(Lista_Pedidos,HY323+HA323-1,HP323),"")=0,"",IF(HZ323&gt;HA323-1,INDEX(Lista_Pedidos,HY323+HA323-1,HP323),"")),"")</f>
        <v/>
      </c>
      <c r="HQ329" s="526" t="str">
        <f>IFERROR(IF(IF(HZ323&gt;HA323-1,INDEX(Lista_Pedidos,HY323+HA323-1,HQ323),"")=0,"",IF(HZ323&gt;HA323-1,INDEX(Lista_Pedidos,HY323+HA323-1,HQ323),"")),"")</f>
        <v/>
      </c>
      <c r="HR329" s="526" t="str">
        <f>IFERROR(IF(IF(HZ323&gt;HA323-1,INDEX(Lista_Pedidos,HY323+HA323-1,HR323),"")=0,"",IF(HZ323&gt;HA323-1,INDEX(Lista_Pedidos,HY323+HA323-1,HR323),"")),"")</f>
        <v/>
      </c>
      <c r="HS329" s="526" t="str">
        <f>IFERROR(IF(IF(HZ323&gt;HA323-1,INDEX(Lista_Pedidos,HY323+HA323-1,HS323),"")=0,"",IF(HZ323&gt;HA323-1,INDEX(Lista_Pedidos,HY323+HA323-1,HS323),"")),"")</f>
        <v/>
      </c>
      <c r="HT329" s="526" t="str">
        <f>IFERROR(IF(IF(HZ323&gt;HA323-1,INDEX(Lista_Pedidos,HY323+HA323-1,HT323),"")=0,"",IF(HZ323&gt;HA323-1,INDEX(Lista_Pedidos,HY323+HA323-1,HT323),"")),"")</f>
        <v/>
      </c>
      <c r="HU329" s="526" t="str">
        <f>IFERROR(IF(IF(HZ323&gt;HA323-1,INDEX(Lista_Pedidos,HY323+HA323-1,HU323),"")=0,"",IF(HZ323&gt;HA323-1,INDEX(Lista_Pedidos,HY323+HA323-1,HU323),"")),"")</f>
        <v/>
      </c>
      <c r="HV329" s="526" t="str">
        <f>IFERROR(IF(IF(HZ323&gt;HA323-1,INDEX(Lista_Pedidos,HY323+HA323-1,HV323),"")=0,"",IF(HZ323&gt;HA323-1,INDEX(Lista_Pedidos,HY323+HA323-1,HV323),"")),"")</f>
        <v/>
      </c>
      <c r="HW329" s="857" t="str">
        <f>IF(SUM(HJ329:HV329)&gt;1,SUM(HJ329:HV329),"")</f>
        <v/>
      </c>
      <c r="HX329" s="855"/>
      <c r="HY329" s="855"/>
      <c r="HZ329" s="860"/>
      <c r="IA329" s="854" t="str">
        <f>IFERROR(INDEX(Lista_Pedidos,Procesos!IY323+IA323-1,3),"")</f>
        <v/>
      </c>
      <c r="IB329" s="855"/>
      <c r="IC329" s="855"/>
      <c r="ID329" s="855"/>
      <c r="IE329" s="856"/>
      <c r="IF329" s="857" t="str">
        <f>IF(IZ323&gt;IA323-1,IE$11,"")</f>
        <v/>
      </c>
      <c r="IG329" s="855"/>
      <c r="IH329" s="855"/>
      <c r="II329" s="856"/>
      <c r="IJ329" s="526" t="str">
        <f>IFERROR(IF(IF(IZ323&gt;IA323-1,INDEX(Lista_Pedidos,IY323+IA323-1,IJ323),"")=0,"",IF(IZ323&gt;IA323-1,INDEX(Lista_Pedidos,IY323+IA323-1,IJ323),"")),"")</f>
        <v/>
      </c>
      <c r="IK329" s="526" t="str">
        <f>IFERROR(IF(IF(IZ323&gt;IA323-1,INDEX(Lista_Pedidos,IY323+IA323-1,IK323),"")=0,"",IF(IZ323&gt;IA323-1,INDEX(Lista_Pedidos,IY323+IA323-1,IK323),"")),"")</f>
        <v/>
      </c>
      <c r="IL329" s="526" t="str">
        <f>IFERROR(IF(IF(IZ323&gt;IA323-1,INDEX(Lista_Pedidos,IY323+IA323-1,IL323),"")=0,"",IF(IZ323&gt;IA323-1,INDEX(Lista_Pedidos,IY323+IA323-1,IL323),"")),"")</f>
        <v/>
      </c>
      <c r="IM329" s="526" t="str">
        <f>IFERROR(IF(IF(IZ323&gt;IA323-1,INDEX(Lista_Pedidos,IY323+IA323-1,IM323),"")=0,"",IF(IZ323&gt;IA323-1,INDEX(Lista_Pedidos,IY323+IA323-1,IM323),"")),"")</f>
        <v/>
      </c>
      <c r="IN329" s="526" t="str">
        <f>IFERROR(IF(IF(IZ323&gt;IA323-1,INDEX(Lista_Pedidos,IY323+IA323-1,IN323),"")=0,"",IF(IZ323&gt;IA323-1,INDEX(Lista_Pedidos,IY323+IA323-1,IN323),"")),"")</f>
        <v/>
      </c>
      <c r="IO329" s="526" t="str">
        <f>IFERROR(IF(IF(IZ323&gt;IA323-1,INDEX(Lista_Pedidos,IY323+IA323-1,IO323),"")=0,"",IF(IZ323&gt;IA323-1,INDEX(Lista_Pedidos,IY323+IA323-1,IO323),"")),"")</f>
        <v/>
      </c>
      <c r="IP329" s="526" t="str">
        <f>IFERROR(IF(IF(IZ323&gt;IA323-1,INDEX(Lista_Pedidos,IY323+IA323-1,IP323),"")=0,"",IF(IZ323&gt;IA323-1,INDEX(Lista_Pedidos,IY323+IA323-1,IP323),"")),"")</f>
        <v/>
      </c>
      <c r="IQ329" s="526" t="str">
        <f>IFERROR(IF(IF(IZ323&gt;IA323-1,INDEX(Lista_Pedidos,IY323+IA323-1,IQ323),"")=0,"",IF(IZ323&gt;IA323-1,INDEX(Lista_Pedidos,IY323+IA323-1,IQ323),"")),"")</f>
        <v/>
      </c>
      <c r="IR329" s="526" t="str">
        <f>IFERROR(IF(IF(IZ323&gt;IA323-1,INDEX(Lista_Pedidos,IY323+IA323-1,IR323),"")=0,"",IF(IZ323&gt;IA323-1,INDEX(Lista_Pedidos,IY323+IA323-1,IR323),"")),"")</f>
        <v/>
      </c>
      <c r="IS329" s="526" t="str">
        <f>IFERROR(IF(IF(IZ323&gt;IA323-1,INDEX(Lista_Pedidos,IY323+IA323-1,IS323),"")=0,"",IF(IZ323&gt;IA323-1,INDEX(Lista_Pedidos,IY323+IA323-1,IS323),"")),"")</f>
        <v/>
      </c>
      <c r="IT329" s="526" t="str">
        <f>IFERROR(IF(IF(IZ323&gt;IA323-1,INDEX(Lista_Pedidos,IY323+IA323-1,IT323),"")=0,"",IF(IZ323&gt;IA323-1,INDEX(Lista_Pedidos,IY323+IA323-1,IT323),"")),"")</f>
        <v/>
      </c>
      <c r="IU329" s="526" t="str">
        <f>IFERROR(IF(IF(IZ323&gt;IA323-1,INDEX(Lista_Pedidos,IY323+IA323-1,IU323),"")=0,"",IF(IZ323&gt;IA323-1,INDEX(Lista_Pedidos,IY323+IA323-1,IU323),"")),"")</f>
        <v/>
      </c>
      <c r="IV329" s="526" t="str">
        <f>IFERROR(IF(IF(IZ323&gt;IA323-1,INDEX(Lista_Pedidos,IY323+IA323-1,IV323),"")=0,"",IF(IZ323&gt;IA323-1,INDEX(Lista_Pedidos,IY323+IA323-1,IV323),"")),"")</f>
        <v/>
      </c>
      <c r="IW329" s="857" t="str">
        <f>IF(SUM(IJ329:IV329)&gt;1,SUM(IJ329:IV329),"")</f>
        <v/>
      </c>
      <c r="IX329" s="855"/>
      <c r="IY329" s="855"/>
      <c r="IZ329" s="860"/>
    </row>
    <row r="330" spans="1:260" x14ac:dyDescent="0.25">
      <c r="A330" s="823"/>
      <c r="B330" s="824"/>
      <c r="C330" s="824"/>
      <c r="D330" s="824"/>
      <c r="E330" s="824"/>
      <c r="F330" s="824"/>
      <c r="G330" s="824"/>
      <c r="H330" s="824"/>
      <c r="I330" s="824"/>
      <c r="J330" s="824"/>
      <c r="K330" s="824"/>
      <c r="L330" s="824"/>
      <c r="M330" s="824"/>
      <c r="N330" s="824"/>
      <c r="O330" s="824"/>
      <c r="P330" s="824"/>
      <c r="Q330" s="824"/>
      <c r="R330" s="824"/>
      <c r="S330" s="824"/>
      <c r="T330" s="824"/>
      <c r="U330" s="824"/>
      <c r="V330" s="824"/>
      <c r="W330" s="824" t="str">
        <f>IFERROR(IF(Z323&gt;A323-1,IF(INDEX(Lista_Pedidos,Y323+A323-1,2)&lt;&gt;"",INDEX(Lista_Pedidos,Y323+A323-1,2),""),""),"")</f>
        <v/>
      </c>
      <c r="X330" s="824"/>
      <c r="Y330" s="824"/>
      <c r="Z330" s="825"/>
      <c r="AA330" s="823"/>
      <c r="AB330" s="824"/>
      <c r="AC330" s="824"/>
      <c r="AD330" s="824"/>
      <c r="AE330" s="824"/>
      <c r="AF330" s="824"/>
      <c r="AG330" s="824"/>
      <c r="AH330" s="824"/>
      <c r="AI330" s="824"/>
      <c r="AJ330" s="824"/>
      <c r="AK330" s="824"/>
      <c r="AL330" s="824"/>
      <c r="AM330" s="824"/>
      <c r="AN330" s="824"/>
      <c r="AO330" s="824"/>
      <c r="AP330" s="824"/>
      <c r="AQ330" s="824"/>
      <c r="AR330" s="824"/>
      <c r="AS330" s="824"/>
      <c r="AT330" s="824"/>
      <c r="AU330" s="824"/>
      <c r="AV330" s="824"/>
      <c r="AW330" s="824" t="str">
        <f>IFERROR(IF(AZ323&gt;AA323-1,IF(INDEX(Lista_Pedidos,AY323+AA323-1,2)&lt;&gt;"",INDEX(Lista_Pedidos,AY323+AA323-1,2),""),""),"")</f>
        <v/>
      </c>
      <c r="AX330" s="824"/>
      <c r="AY330" s="824"/>
      <c r="AZ330" s="825"/>
      <c r="BA330" s="823"/>
      <c r="BB330" s="824"/>
      <c r="BC330" s="824"/>
      <c r="BD330" s="824"/>
      <c r="BE330" s="824"/>
      <c r="BF330" s="824"/>
      <c r="BG330" s="824"/>
      <c r="BH330" s="824"/>
      <c r="BI330" s="824"/>
      <c r="BJ330" s="824"/>
      <c r="BK330" s="824"/>
      <c r="BL330" s="824"/>
      <c r="BM330" s="824"/>
      <c r="BN330" s="824"/>
      <c r="BO330" s="824"/>
      <c r="BP330" s="824"/>
      <c r="BQ330" s="824"/>
      <c r="BR330" s="824"/>
      <c r="BS330" s="824"/>
      <c r="BT330" s="824"/>
      <c r="BU330" s="824"/>
      <c r="BV330" s="824"/>
      <c r="BW330" s="824" t="str">
        <f>IFERROR(IF(BZ323&gt;BA323-1,IF(INDEX(Lista_Pedidos,BY323+BA323-1,2)&lt;&gt;"",INDEX(Lista_Pedidos,BY323+BA323-1,2),""),""),"")</f>
        <v/>
      </c>
      <c r="BX330" s="824"/>
      <c r="BY330" s="824"/>
      <c r="BZ330" s="825"/>
      <c r="CA330" s="823"/>
      <c r="CB330" s="824"/>
      <c r="CC330" s="824"/>
      <c r="CD330" s="824"/>
      <c r="CE330" s="824"/>
      <c r="CF330" s="824"/>
      <c r="CG330" s="824"/>
      <c r="CH330" s="824"/>
      <c r="CI330" s="824"/>
      <c r="CJ330" s="824"/>
      <c r="CK330" s="824"/>
      <c r="CL330" s="824"/>
      <c r="CM330" s="824"/>
      <c r="CN330" s="824"/>
      <c r="CO330" s="824"/>
      <c r="CP330" s="824"/>
      <c r="CQ330" s="824"/>
      <c r="CR330" s="824"/>
      <c r="CS330" s="824"/>
      <c r="CT330" s="824"/>
      <c r="CU330" s="824"/>
      <c r="CV330" s="824"/>
      <c r="CW330" s="824" t="str">
        <f>IFERROR(IF(CZ323&gt;CA323-1,IF(INDEX(Lista_Pedidos,CY323+CA323-1,2)&lt;&gt;"",INDEX(Lista_Pedidos,CY323+CA323-1,2),""),""),"")</f>
        <v/>
      </c>
      <c r="CX330" s="824"/>
      <c r="CY330" s="824"/>
      <c r="CZ330" s="825"/>
      <c r="DA330" s="823"/>
      <c r="DB330" s="824"/>
      <c r="DC330" s="824"/>
      <c r="DD330" s="824"/>
      <c r="DE330" s="824"/>
      <c r="DF330" s="824"/>
      <c r="DG330" s="824"/>
      <c r="DH330" s="824"/>
      <c r="DI330" s="824"/>
      <c r="DJ330" s="824"/>
      <c r="DK330" s="824"/>
      <c r="DL330" s="824"/>
      <c r="DM330" s="824"/>
      <c r="DN330" s="824"/>
      <c r="DO330" s="824"/>
      <c r="DP330" s="824"/>
      <c r="DQ330" s="824"/>
      <c r="DR330" s="824"/>
      <c r="DS330" s="824"/>
      <c r="DT330" s="824"/>
      <c r="DU330" s="824"/>
      <c r="DV330" s="824"/>
      <c r="DW330" s="824" t="str">
        <f>IFERROR(IF(DZ323&gt;DA323-1,IF(INDEX(Lista_Pedidos,DY323+DA323-1,2)&lt;&gt;"",INDEX(Lista_Pedidos,DY323+DA323-1,2),""),""),"")</f>
        <v/>
      </c>
      <c r="DX330" s="824"/>
      <c r="DY330" s="824"/>
      <c r="DZ330" s="825"/>
      <c r="EA330" s="823"/>
      <c r="EB330" s="824"/>
      <c r="EC330" s="824"/>
      <c r="ED330" s="824"/>
      <c r="EE330" s="824"/>
      <c r="EF330" s="824"/>
      <c r="EG330" s="824"/>
      <c r="EH330" s="824"/>
      <c r="EI330" s="824"/>
      <c r="EJ330" s="824"/>
      <c r="EK330" s="824"/>
      <c r="EL330" s="824"/>
      <c r="EM330" s="824"/>
      <c r="EN330" s="824"/>
      <c r="EO330" s="824"/>
      <c r="EP330" s="824"/>
      <c r="EQ330" s="824"/>
      <c r="ER330" s="824"/>
      <c r="ES330" s="824"/>
      <c r="ET330" s="824"/>
      <c r="EU330" s="824"/>
      <c r="EV330" s="824"/>
      <c r="EW330" s="824" t="str">
        <f>IFERROR(IF(EZ323&gt;EA323-1,IF(INDEX(Lista_Pedidos,EY323+EA323-1,2)&lt;&gt;"",INDEX(Lista_Pedidos,EY323+EA323-1,2),""),""),"")</f>
        <v/>
      </c>
      <c r="EX330" s="824"/>
      <c r="EY330" s="824"/>
      <c r="EZ330" s="825"/>
      <c r="FA330" s="823"/>
      <c r="FB330" s="824"/>
      <c r="FC330" s="824"/>
      <c r="FD330" s="824"/>
      <c r="FE330" s="824"/>
      <c r="FF330" s="824"/>
      <c r="FG330" s="824"/>
      <c r="FH330" s="824"/>
      <c r="FI330" s="824"/>
      <c r="FJ330" s="824"/>
      <c r="FK330" s="824"/>
      <c r="FL330" s="824"/>
      <c r="FM330" s="824"/>
      <c r="FN330" s="824"/>
      <c r="FO330" s="824"/>
      <c r="FP330" s="824"/>
      <c r="FQ330" s="824"/>
      <c r="FR330" s="824"/>
      <c r="FS330" s="824"/>
      <c r="FT330" s="824"/>
      <c r="FU330" s="824"/>
      <c r="FV330" s="824"/>
      <c r="FW330" s="824" t="str">
        <f>IFERROR(IF(FZ323&gt;FA323-1,IF(INDEX(Lista_Pedidos,FY323+FA323-1,2)&lt;&gt;"",INDEX(Lista_Pedidos,FY323+FA323-1,2),""),""),"")</f>
        <v/>
      </c>
      <c r="FX330" s="824"/>
      <c r="FY330" s="824"/>
      <c r="FZ330" s="825"/>
      <c r="GA330" s="823"/>
      <c r="GB330" s="824"/>
      <c r="GC330" s="824"/>
      <c r="GD330" s="824"/>
      <c r="GE330" s="824"/>
      <c r="GF330" s="824"/>
      <c r="GG330" s="824"/>
      <c r="GH330" s="824"/>
      <c r="GI330" s="824"/>
      <c r="GJ330" s="824"/>
      <c r="GK330" s="824"/>
      <c r="GL330" s="824"/>
      <c r="GM330" s="824"/>
      <c r="GN330" s="824"/>
      <c r="GO330" s="824"/>
      <c r="GP330" s="824"/>
      <c r="GQ330" s="824"/>
      <c r="GR330" s="824"/>
      <c r="GS330" s="824"/>
      <c r="GT330" s="824"/>
      <c r="GU330" s="824"/>
      <c r="GV330" s="824"/>
      <c r="GW330" s="824" t="str">
        <f>IFERROR(IF(GZ323&gt;GA323-1,IF(INDEX(Lista_Pedidos,GY323+GA323-1,2)&lt;&gt;"",INDEX(Lista_Pedidos,GY323+GA323-1,2),""),""),"")</f>
        <v/>
      </c>
      <c r="GX330" s="824"/>
      <c r="GY330" s="824"/>
      <c r="GZ330" s="825"/>
      <c r="HA330" s="823"/>
      <c r="HB330" s="824"/>
      <c r="HC330" s="824"/>
      <c r="HD330" s="824"/>
      <c r="HE330" s="824"/>
      <c r="HF330" s="824"/>
      <c r="HG330" s="824"/>
      <c r="HH330" s="824"/>
      <c r="HI330" s="824"/>
      <c r="HJ330" s="824"/>
      <c r="HK330" s="824"/>
      <c r="HL330" s="824"/>
      <c r="HM330" s="824"/>
      <c r="HN330" s="824"/>
      <c r="HO330" s="824"/>
      <c r="HP330" s="824"/>
      <c r="HQ330" s="824"/>
      <c r="HR330" s="824"/>
      <c r="HS330" s="824"/>
      <c r="HT330" s="824"/>
      <c r="HU330" s="824"/>
      <c r="HV330" s="824"/>
      <c r="HW330" s="824" t="str">
        <f>IFERROR(IF(HZ323&gt;HA323-1,IF(INDEX(Lista_Pedidos,HY323+HA323-1,2)&lt;&gt;"",INDEX(Lista_Pedidos,HY323+HA323-1,2),""),""),"")</f>
        <v/>
      </c>
      <c r="HX330" s="824"/>
      <c r="HY330" s="824"/>
      <c r="HZ330" s="825"/>
      <c r="IA330" s="823"/>
      <c r="IB330" s="824"/>
      <c r="IC330" s="824"/>
      <c r="ID330" s="824"/>
      <c r="IE330" s="824"/>
      <c r="IF330" s="824"/>
      <c r="IG330" s="824"/>
      <c r="IH330" s="824"/>
      <c r="II330" s="824"/>
      <c r="IJ330" s="824"/>
      <c r="IK330" s="824"/>
      <c r="IL330" s="824"/>
      <c r="IM330" s="824"/>
      <c r="IN330" s="824"/>
      <c r="IO330" s="824"/>
      <c r="IP330" s="824"/>
      <c r="IQ330" s="824"/>
      <c r="IR330" s="824"/>
      <c r="IS330" s="824"/>
      <c r="IT330" s="824"/>
      <c r="IU330" s="824"/>
      <c r="IV330" s="824"/>
      <c r="IW330" s="824" t="str">
        <f>IFERROR(IF(IZ323&gt;IA323-1,IF(INDEX(Lista_Pedidos,IY323+IA323-1,2)&lt;&gt;"",INDEX(Lista_Pedidos,IY323+IA323-1,2),""),""),"")</f>
        <v/>
      </c>
      <c r="IX330" s="824"/>
      <c r="IY330" s="824"/>
      <c r="IZ330" s="825"/>
    </row>
    <row r="331" spans="1:260" x14ac:dyDescent="0.25">
      <c r="A331" s="800" t="str">
        <f>IFERROR(IF(Z323&gt;A323-1,IF(INDEX(Lista_Pedidos,Y323+A323-1,6)&lt;&gt;"","Nombre de la Tela :     "&amp; INDEX(Lista_Pedidos,Y323+A323-1,6),""),""),"")</f>
        <v/>
      </c>
      <c r="B331" s="801"/>
      <c r="C331" s="801"/>
      <c r="D331" s="801"/>
      <c r="E331" s="801"/>
      <c r="F331" s="801"/>
      <c r="G331" s="801"/>
      <c r="H331" s="801"/>
      <c r="I331" s="801"/>
      <c r="J331" s="801"/>
      <c r="K331" s="801"/>
      <c r="L331" s="801"/>
      <c r="M331" s="801"/>
      <c r="N331" s="801"/>
      <c r="O331" s="801"/>
      <c r="P331" s="801"/>
      <c r="Q331" s="801"/>
      <c r="R331" s="801"/>
      <c r="S331" s="801"/>
      <c r="T331" s="801"/>
      <c r="U331" s="801"/>
      <c r="V331" s="801"/>
      <c r="W331" s="826"/>
      <c r="X331" s="826"/>
      <c r="Y331" s="826"/>
      <c r="Z331" s="827"/>
      <c r="AA331" s="800" t="str">
        <f>IFERROR(IF(AZ323&gt;AA323-1,IF(INDEX(Lista_Pedidos,AY323+AA323-1,6)&lt;&gt;"","Nombre de la Tela :     "&amp; INDEX(Lista_Pedidos,AY323+AA323-1,6),""),""),"")</f>
        <v/>
      </c>
      <c r="AB331" s="801"/>
      <c r="AC331" s="801"/>
      <c r="AD331" s="801"/>
      <c r="AE331" s="801"/>
      <c r="AF331" s="801"/>
      <c r="AG331" s="801"/>
      <c r="AH331" s="801"/>
      <c r="AI331" s="801"/>
      <c r="AJ331" s="801"/>
      <c r="AK331" s="801"/>
      <c r="AL331" s="801"/>
      <c r="AM331" s="801"/>
      <c r="AN331" s="801"/>
      <c r="AO331" s="801"/>
      <c r="AP331" s="801"/>
      <c r="AQ331" s="801"/>
      <c r="AR331" s="801"/>
      <c r="AS331" s="801"/>
      <c r="AT331" s="801"/>
      <c r="AU331" s="801"/>
      <c r="AV331" s="801"/>
      <c r="AW331" s="826"/>
      <c r="AX331" s="826"/>
      <c r="AY331" s="826"/>
      <c r="AZ331" s="827"/>
      <c r="BA331" s="800" t="str">
        <f>IFERROR(IF(BZ323&gt;BA323-1,IF(INDEX(Lista_Pedidos,BY323+BA323-1,6)&lt;&gt;"","Nombre de la Tela :     "&amp; INDEX(Lista_Pedidos,BY323+BA323-1,6),""),""),"")</f>
        <v/>
      </c>
      <c r="BB331" s="801"/>
      <c r="BC331" s="801"/>
      <c r="BD331" s="801"/>
      <c r="BE331" s="801"/>
      <c r="BF331" s="801"/>
      <c r="BG331" s="801"/>
      <c r="BH331" s="801"/>
      <c r="BI331" s="801"/>
      <c r="BJ331" s="801"/>
      <c r="BK331" s="801"/>
      <c r="BL331" s="801"/>
      <c r="BM331" s="801"/>
      <c r="BN331" s="801"/>
      <c r="BO331" s="801"/>
      <c r="BP331" s="801"/>
      <c r="BQ331" s="801"/>
      <c r="BR331" s="801"/>
      <c r="BS331" s="801"/>
      <c r="BT331" s="801"/>
      <c r="BU331" s="801"/>
      <c r="BV331" s="801"/>
      <c r="BW331" s="826"/>
      <c r="BX331" s="826"/>
      <c r="BY331" s="826"/>
      <c r="BZ331" s="827"/>
      <c r="CA331" s="800" t="str">
        <f>IFERROR(IF(CZ323&gt;CA323-1,IF(INDEX(Lista_Pedidos,CY323+CA323-1,6)&lt;&gt;"","Nombre de la Tela :     "&amp; INDEX(Lista_Pedidos,CY323+CA323-1,6),""),""),"")</f>
        <v/>
      </c>
      <c r="CB331" s="801"/>
      <c r="CC331" s="801"/>
      <c r="CD331" s="801"/>
      <c r="CE331" s="801"/>
      <c r="CF331" s="801"/>
      <c r="CG331" s="801"/>
      <c r="CH331" s="801"/>
      <c r="CI331" s="801"/>
      <c r="CJ331" s="801"/>
      <c r="CK331" s="801"/>
      <c r="CL331" s="801"/>
      <c r="CM331" s="801"/>
      <c r="CN331" s="801"/>
      <c r="CO331" s="801"/>
      <c r="CP331" s="801"/>
      <c r="CQ331" s="801"/>
      <c r="CR331" s="801"/>
      <c r="CS331" s="801"/>
      <c r="CT331" s="801"/>
      <c r="CU331" s="801"/>
      <c r="CV331" s="801"/>
      <c r="CW331" s="826"/>
      <c r="CX331" s="826"/>
      <c r="CY331" s="826"/>
      <c r="CZ331" s="827"/>
      <c r="DA331" s="800" t="str">
        <f>IFERROR(IF(DZ323&gt;DA323-1,IF(INDEX(Lista_Pedidos,DY323+DA323-1,6)&lt;&gt;"","Nombre de la Tela :     "&amp; INDEX(Lista_Pedidos,DY323+DA323-1,6),""),""),"")</f>
        <v/>
      </c>
      <c r="DB331" s="801"/>
      <c r="DC331" s="801"/>
      <c r="DD331" s="801"/>
      <c r="DE331" s="801"/>
      <c r="DF331" s="801"/>
      <c r="DG331" s="801"/>
      <c r="DH331" s="801"/>
      <c r="DI331" s="801"/>
      <c r="DJ331" s="801"/>
      <c r="DK331" s="801"/>
      <c r="DL331" s="801"/>
      <c r="DM331" s="801"/>
      <c r="DN331" s="801"/>
      <c r="DO331" s="801"/>
      <c r="DP331" s="801"/>
      <c r="DQ331" s="801"/>
      <c r="DR331" s="801"/>
      <c r="DS331" s="801"/>
      <c r="DT331" s="801"/>
      <c r="DU331" s="801"/>
      <c r="DV331" s="801"/>
      <c r="DW331" s="826"/>
      <c r="DX331" s="826"/>
      <c r="DY331" s="826"/>
      <c r="DZ331" s="827"/>
      <c r="EA331" s="800" t="str">
        <f>IFERROR(IF(EZ323&gt;EA323-1,IF(INDEX(Lista_Pedidos,EY323+EA323-1,6)&lt;&gt;"","Nombre de la Tela :     "&amp; INDEX(Lista_Pedidos,EY323+EA323-1,6),""),""),"")</f>
        <v/>
      </c>
      <c r="EB331" s="801"/>
      <c r="EC331" s="801"/>
      <c r="ED331" s="801"/>
      <c r="EE331" s="801"/>
      <c r="EF331" s="801"/>
      <c r="EG331" s="801"/>
      <c r="EH331" s="801"/>
      <c r="EI331" s="801"/>
      <c r="EJ331" s="801"/>
      <c r="EK331" s="801"/>
      <c r="EL331" s="801"/>
      <c r="EM331" s="801"/>
      <c r="EN331" s="801"/>
      <c r="EO331" s="801"/>
      <c r="EP331" s="801"/>
      <c r="EQ331" s="801"/>
      <c r="ER331" s="801"/>
      <c r="ES331" s="801"/>
      <c r="ET331" s="801"/>
      <c r="EU331" s="801"/>
      <c r="EV331" s="801"/>
      <c r="EW331" s="826"/>
      <c r="EX331" s="826"/>
      <c r="EY331" s="826"/>
      <c r="EZ331" s="827"/>
      <c r="FA331" s="800" t="str">
        <f>IFERROR(IF(FZ323&gt;FA323-1,IF(INDEX(Lista_Pedidos,FY323+FA323-1,6)&lt;&gt;"","Nombre de la Tela :     "&amp; INDEX(Lista_Pedidos,FY323+FA323-1,6),""),""),"")</f>
        <v/>
      </c>
      <c r="FB331" s="801"/>
      <c r="FC331" s="801"/>
      <c r="FD331" s="801"/>
      <c r="FE331" s="801"/>
      <c r="FF331" s="801"/>
      <c r="FG331" s="801"/>
      <c r="FH331" s="801"/>
      <c r="FI331" s="801"/>
      <c r="FJ331" s="801"/>
      <c r="FK331" s="801"/>
      <c r="FL331" s="801"/>
      <c r="FM331" s="801"/>
      <c r="FN331" s="801"/>
      <c r="FO331" s="801"/>
      <c r="FP331" s="801"/>
      <c r="FQ331" s="801"/>
      <c r="FR331" s="801"/>
      <c r="FS331" s="801"/>
      <c r="FT331" s="801"/>
      <c r="FU331" s="801"/>
      <c r="FV331" s="801"/>
      <c r="FW331" s="826"/>
      <c r="FX331" s="826"/>
      <c r="FY331" s="826"/>
      <c r="FZ331" s="827"/>
      <c r="GA331" s="800" t="str">
        <f>IFERROR(IF(GZ323&gt;GA323-1,IF(INDEX(Lista_Pedidos,GY323+GA323-1,6)&lt;&gt;"","Nombre de la Tela :     "&amp; INDEX(Lista_Pedidos,GY323+GA323-1,6),""),""),"")</f>
        <v/>
      </c>
      <c r="GB331" s="801"/>
      <c r="GC331" s="801"/>
      <c r="GD331" s="801"/>
      <c r="GE331" s="801"/>
      <c r="GF331" s="801"/>
      <c r="GG331" s="801"/>
      <c r="GH331" s="801"/>
      <c r="GI331" s="801"/>
      <c r="GJ331" s="801"/>
      <c r="GK331" s="801"/>
      <c r="GL331" s="801"/>
      <c r="GM331" s="801"/>
      <c r="GN331" s="801"/>
      <c r="GO331" s="801"/>
      <c r="GP331" s="801"/>
      <c r="GQ331" s="801"/>
      <c r="GR331" s="801"/>
      <c r="GS331" s="801"/>
      <c r="GT331" s="801"/>
      <c r="GU331" s="801"/>
      <c r="GV331" s="801"/>
      <c r="GW331" s="826"/>
      <c r="GX331" s="826"/>
      <c r="GY331" s="826"/>
      <c r="GZ331" s="827"/>
      <c r="HA331" s="800" t="str">
        <f>IFERROR(IF(HZ323&gt;HA323-1,IF(INDEX(Lista_Pedidos,HY323+HA323-1,6)&lt;&gt;"","Nombre de la Tela :     "&amp; INDEX(Lista_Pedidos,HY323+HA323-1,6),""),""),"")</f>
        <v/>
      </c>
      <c r="HB331" s="801"/>
      <c r="HC331" s="801"/>
      <c r="HD331" s="801"/>
      <c r="HE331" s="801"/>
      <c r="HF331" s="801"/>
      <c r="HG331" s="801"/>
      <c r="HH331" s="801"/>
      <c r="HI331" s="801"/>
      <c r="HJ331" s="801"/>
      <c r="HK331" s="801"/>
      <c r="HL331" s="801"/>
      <c r="HM331" s="801"/>
      <c r="HN331" s="801"/>
      <c r="HO331" s="801"/>
      <c r="HP331" s="801"/>
      <c r="HQ331" s="801"/>
      <c r="HR331" s="801"/>
      <c r="HS331" s="801"/>
      <c r="HT331" s="801"/>
      <c r="HU331" s="801"/>
      <c r="HV331" s="801"/>
      <c r="HW331" s="826"/>
      <c r="HX331" s="826"/>
      <c r="HY331" s="826"/>
      <c r="HZ331" s="827"/>
      <c r="IA331" s="800" t="str">
        <f>IFERROR(IF(IZ323&gt;IA323-1,IF(INDEX(Lista_Pedidos,IY323+IA323-1,6)&lt;&gt;"","Nombre de la Tela :     "&amp; INDEX(Lista_Pedidos,IY323+IA323-1,6),""),""),"")</f>
        <v/>
      </c>
      <c r="IB331" s="801"/>
      <c r="IC331" s="801"/>
      <c r="ID331" s="801"/>
      <c r="IE331" s="801"/>
      <c r="IF331" s="801"/>
      <c r="IG331" s="801"/>
      <c r="IH331" s="801"/>
      <c r="II331" s="801"/>
      <c r="IJ331" s="801"/>
      <c r="IK331" s="801"/>
      <c r="IL331" s="801"/>
      <c r="IM331" s="801"/>
      <c r="IN331" s="801"/>
      <c r="IO331" s="801"/>
      <c r="IP331" s="801"/>
      <c r="IQ331" s="801"/>
      <c r="IR331" s="801"/>
      <c r="IS331" s="801"/>
      <c r="IT331" s="801"/>
      <c r="IU331" s="801"/>
      <c r="IV331" s="801"/>
      <c r="IW331" s="826"/>
      <c r="IX331" s="826"/>
      <c r="IY331" s="826"/>
      <c r="IZ331" s="827"/>
    </row>
    <row r="332" spans="1:260" x14ac:dyDescent="0.25">
      <c r="A332" s="800" t="str">
        <f>IFERROR(IF(Z323&gt;A323-1,IF(INDEX(Lista_Pedidos,Y323+A323-1,7)&lt;&gt;"","Hilo :     "&amp; INDEX(Lista_Pedidos,Y323+A323-1,7),""),""),"")</f>
        <v/>
      </c>
      <c r="B332" s="801"/>
      <c r="C332" s="801"/>
      <c r="D332" s="801"/>
      <c r="E332" s="801"/>
      <c r="F332" s="801"/>
      <c r="G332" s="801"/>
      <c r="H332" s="801"/>
      <c r="I332" s="801"/>
      <c r="J332" s="801"/>
      <c r="K332" s="801"/>
      <c r="L332" s="801"/>
      <c r="M332" s="801"/>
      <c r="N332" s="801"/>
      <c r="O332" s="801"/>
      <c r="P332" s="801"/>
      <c r="Q332" s="801"/>
      <c r="R332" s="801"/>
      <c r="S332" s="801"/>
      <c r="T332" s="801"/>
      <c r="U332" s="801"/>
      <c r="V332" s="801"/>
      <c r="W332" s="801"/>
      <c r="X332" s="801"/>
      <c r="Y332" s="801"/>
      <c r="Z332" s="802"/>
      <c r="AA332" s="800" t="str">
        <f>IFERROR(IF(AZ323&gt;AA323-1,IF(INDEX(Lista_Pedidos,AY323+AA323-1,7)&lt;&gt;"","Hilo :     "&amp; INDEX(Lista_Pedidos,AY323+AA323-1,7),""),""),"")</f>
        <v/>
      </c>
      <c r="AB332" s="801"/>
      <c r="AC332" s="801"/>
      <c r="AD332" s="801"/>
      <c r="AE332" s="801"/>
      <c r="AF332" s="801"/>
      <c r="AG332" s="801"/>
      <c r="AH332" s="801"/>
      <c r="AI332" s="801"/>
      <c r="AJ332" s="801"/>
      <c r="AK332" s="801"/>
      <c r="AL332" s="801"/>
      <c r="AM332" s="801"/>
      <c r="AN332" s="801"/>
      <c r="AO332" s="801"/>
      <c r="AP332" s="801"/>
      <c r="AQ332" s="801"/>
      <c r="AR332" s="801"/>
      <c r="AS332" s="801"/>
      <c r="AT332" s="801"/>
      <c r="AU332" s="801"/>
      <c r="AV332" s="801"/>
      <c r="AW332" s="801"/>
      <c r="AX332" s="801"/>
      <c r="AY332" s="801"/>
      <c r="AZ332" s="802"/>
      <c r="BA332" s="800" t="str">
        <f>IFERROR(IF(BZ323&gt;BA323-1,IF(INDEX(Lista_Pedidos,BY323+BA323-1,7)&lt;&gt;"","Hilo :     "&amp; INDEX(Lista_Pedidos,BY323+BA323-1,7),""),""),"")</f>
        <v/>
      </c>
      <c r="BB332" s="801"/>
      <c r="BC332" s="801"/>
      <c r="BD332" s="801"/>
      <c r="BE332" s="801"/>
      <c r="BF332" s="801"/>
      <c r="BG332" s="801"/>
      <c r="BH332" s="801"/>
      <c r="BI332" s="801"/>
      <c r="BJ332" s="801"/>
      <c r="BK332" s="801"/>
      <c r="BL332" s="801"/>
      <c r="BM332" s="801"/>
      <c r="BN332" s="801"/>
      <c r="BO332" s="801"/>
      <c r="BP332" s="801"/>
      <c r="BQ332" s="801"/>
      <c r="BR332" s="801"/>
      <c r="BS332" s="801"/>
      <c r="BT332" s="801"/>
      <c r="BU332" s="801"/>
      <c r="BV332" s="801"/>
      <c r="BW332" s="801"/>
      <c r="BX332" s="801"/>
      <c r="BY332" s="801"/>
      <c r="BZ332" s="802"/>
      <c r="CA332" s="800" t="str">
        <f>IFERROR(IF(CZ323&gt;CA323-1,IF(INDEX(Lista_Pedidos,CY323+CA323-1,7)&lt;&gt;"","Hilo :     "&amp; INDEX(Lista_Pedidos,CY323+CA323-1,7),""),""),"")</f>
        <v/>
      </c>
      <c r="CB332" s="801"/>
      <c r="CC332" s="801"/>
      <c r="CD332" s="801"/>
      <c r="CE332" s="801"/>
      <c r="CF332" s="801"/>
      <c r="CG332" s="801"/>
      <c r="CH332" s="801"/>
      <c r="CI332" s="801"/>
      <c r="CJ332" s="801"/>
      <c r="CK332" s="801"/>
      <c r="CL332" s="801"/>
      <c r="CM332" s="801"/>
      <c r="CN332" s="801"/>
      <c r="CO332" s="801"/>
      <c r="CP332" s="801"/>
      <c r="CQ332" s="801"/>
      <c r="CR332" s="801"/>
      <c r="CS332" s="801"/>
      <c r="CT332" s="801"/>
      <c r="CU332" s="801"/>
      <c r="CV332" s="801"/>
      <c r="CW332" s="801"/>
      <c r="CX332" s="801"/>
      <c r="CY332" s="801"/>
      <c r="CZ332" s="802"/>
      <c r="DA332" s="800" t="str">
        <f>IFERROR(IF(DZ323&gt;DA323-1,IF(INDEX(Lista_Pedidos,DY323+DA323-1,7)&lt;&gt;"","Hilo :     "&amp; INDEX(Lista_Pedidos,DY323+DA323-1,7),""),""),"")</f>
        <v/>
      </c>
      <c r="DB332" s="801"/>
      <c r="DC332" s="801"/>
      <c r="DD332" s="801"/>
      <c r="DE332" s="801"/>
      <c r="DF332" s="801"/>
      <c r="DG332" s="801"/>
      <c r="DH332" s="801"/>
      <c r="DI332" s="801"/>
      <c r="DJ332" s="801"/>
      <c r="DK332" s="801"/>
      <c r="DL332" s="801"/>
      <c r="DM332" s="801"/>
      <c r="DN332" s="801"/>
      <c r="DO332" s="801"/>
      <c r="DP332" s="801"/>
      <c r="DQ332" s="801"/>
      <c r="DR332" s="801"/>
      <c r="DS332" s="801"/>
      <c r="DT332" s="801"/>
      <c r="DU332" s="801"/>
      <c r="DV332" s="801"/>
      <c r="DW332" s="801"/>
      <c r="DX332" s="801"/>
      <c r="DY332" s="801"/>
      <c r="DZ332" s="802"/>
      <c r="EA332" s="800" t="str">
        <f>IFERROR(IF(EZ323&gt;EA323-1,IF(INDEX(Lista_Pedidos,EY323+EA323-1,7)&lt;&gt;"","Hilo :     "&amp; INDEX(Lista_Pedidos,EY323+EA323-1,7),""),""),"")</f>
        <v/>
      </c>
      <c r="EB332" s="801"/>
      <c r="EC332" s="801"/>
      <c r="ED332" s="801"/>
      <c r="EE332" s="801"/>
      <c r="EF332" s="801"/>
      <c r="EG332" s="801"/>
      <c r="EH332" s="801"/>
      <c r="EI332" s="801"/>
      <c r="EJ332" s="801"/>
      <c r="EK332" s="801"/>
      <c r="EL332" s="801"/>
      <c r="EM332" s="801"/>
      <c r="EN332" s="801"/>
      <c r="EO332" s="801"/>
      <c r="EP332" s="801"/>
      <c r="EQ332" s="801"/>
      <c r="ER332" s="801"/>
      <c r="ES332" s="801"/>
      <c r="ET332" s="801"/>
      <c r="EU332" s="801"/>
      <c r="EV332" s="801"/>
      <c r="EW332" s="801"/>
      <c r="EX332" s="801"/>
      <c r="EY332" s="801"/>
      <c r="EZ332" s="802"/>
      <c r="FA332" s="800" t="str">
        <f>IFERROR(IF(FZ323&gt;FA323-1,IF(INDEX(Lista_Pedidos,FY323+FA323-1,7)&lt;&gt;"","Hilo :     "&amp; INDEX(Lista_Pedidos,FY323+FA323-1,7),""),""),"")</f>
        <v/>
      </c>
      <c r="FB332" s="801"/>
      <c r="FC332" s="801"/>
      <c r="FD332" s="801"/>
      <c r="FE332" s="801"/>
      <c r="FF332" s="801"/>
      <c r="FG332" s="801"/>
      <c r="FH332" s="801"/>
      <c r="FI332" s="801"/>
      <c r="FJ332" s="801"/>
      <c r="FK332" s="801"/>
      <c r="FL332" s="801"/>
      <c r="FM332" s="801"/>
      <c r="FN332" s="801"/>
      <c r="FO332" s="801"/>
      <c r="FP332" s="801"/>
      <c r="FQ332" s="801"/>
      <c r="FR332" s="801"/>
      <c r="FS332" s="801"/>
      <c r="FT332" s="801"/>
      <c r="FU332" s="801"/>
      <c r="FV332" s="801"/>
      <c r="FW332" s="801"/>
      <c r="FX332" s="801"/>
      <c r="FY332" s="801"/>
      <c r="FZ332" s="802"/>
      <c r="GA332" s="800" t="str">
        <f>IFERROR(IF(GZ323&gt;GA323-1,IF(INDEX(Lista_Pedidos,GY323+GA323-1,7)&lt;&gt;"","Hilo :     "&amp; INDEX(Lista_Pedidos,GY323+GA323-1,7),""),""),"")</f>
        <v/>
      </c>
      <c r="GB332" s="801"/>
      <c r="GC332" s="801"/>
      <c r="GD332" s="801"/>
      <c r="GE332" s="801"/>
      <c r="GF332" s="801"/>
      <c r="GG332" s="801"/>
      <c r="GH332" s="801"/>
      <c r="GI332" s="801"/>
      <c r="GJ332" s="801"/>
      <c r="GK332" s="801"/>
      <c r="GL332" s="801"/>
      <c r="GM332" s="801"/>
      <c r="GN332" s="801"/>
      <c r="GO332" s="801"/>
      <c r="GP332" s="801"/>
      <c r="GQ332" s="801"/>
      <c r="GR332" s="801"/>
      <c r="GS332" s="801"/>
      <c r="GT332" s="801"/>
      <c r="GU332" s="801"/>
      <c r="GV332" s="801"/>
      <c r="GW332" s="801"/>
      <c r="GX332" s="801"/>
      <c r="GY332" s="801"/>
      <c r="GZ332" s="802"/>
      <c r="HA332" s="800" t="str">
        <f>IFERROR(IF(HZ323&gt;HA323-1,IF(INDEX(Lista_Pedidos,HY323+HA323-1,7)&lt;&gt;"","Hilo :     "&amp; INDEX(Lista_Pedidos,HY323+HA323-1,7),""),""),"")</f>
        <v/>
      </c>
      <c r="HB332" s="801"/>
      <c r="HC332" s="801"/>
      <c r="HD332" s="801"/>
      <c r="HE332" s="801"/>
      <c r="HF332" s="801"/>
      <c r="HG332" s="801"/>
      <c r="HH332" s="801"/>
      <c r="HI332" s="801"/>
      <c r="HJ332" s="801"/>
      <c r="HK332" s="801"/>
      <c r="HL332" s="801"/>
      <c r="HM332" s="801"/>
      <c r="HN332" s="801"/>
      <c r="HO332" s="801"/>
      <c r="HP332" s="801"/>
      <c r="HQ332" s="801"/>
      <c r="HR332" s="801"/>
      <c r="HS332" s="801"/>
      <c r="HT332" s="801"/>
      <c r="HU332" s="801"/>
      <c r="HV332" s="801"/>
      <c r="HW332" s="801"/>
      <c r="HX332" s="801"/>
      <c r="HY332" s="801"/>
      <c r="HZ332" s="802"/>
      <c r="IA332" s="800" t="str">
        <f>IFERROR(IF(IZ323&gt;IA323-1,IF(INDEX(Lista_Pedidos,IY323+IA323-1,7)&lt;&gt;"","Hilo :     "&amp; INDEX(Lista_Pedidos,IY323+IA323-1,7),""),""),"")</f>
        <v/>
      </c>
      <c r="IB332" s="801"/>
      <c r="IC332" s="801"/>
      <c r="ID332" s="801"/>
      <c r="IE332" s="801"/>
      <c r="IF332" s="801"/>
      <c r="IG332" s="801"/>
      <c r="IH332" s="801"/>
      <c r="II332" s="801"/>
      <c r="IJ332" s="801"/>
      <c r="IK332" s="801"/>
      <c r="IL332" s="801"/>
      <c r="IM332" s="801"/>
      <c r="IN332" s="801"/>
      <c r="IO332" s="801"/>
      <c r="IP332" s="801"/>
      <c r="IQ332" s="801"/>
      <c r="IR332" s="801"/>
      <c r="IS332" s="801"/>
      <c r="IT332" s="801"/>
      <c r="IU332" s="801"/>
      <c r="IV332" s="801"/>
      <c r="IW332" s="801"/>
      <c r="IX332" s="801"/>
      <c r="IY332" s="801"/>
      <c r="IZ332" s="802"/>
    </row>
    <row r="333" spans="1:260" x14ac:dyDescent="0.25">
      <c r="A333" s="800" t="str">
        <f>IFERROR(IF(Z323&gt;A323-1,IF(INDEX(Lista_Pedidos,Y323+A323-1,8)&lt;&gt;"","Forro :     "&amp; INDEX(Lista_Pedidos,Y323+A323-1,8),""),""),"")</f>
        <v/>
      </c>
      <c r="B333" s="801"/>
      <c r="C333" s="801"/>
      <c r="D333" s="801"/>
      <c r="E333" s="801"/>
      <c r="F333" s="801"/>
      <c r="G333" s="801"/>
      <c r="H333" s="801"/>
      <c r="I333" s="801"/>
      <c r="J333" s="801"/>
      <c r="K333" s="801"/>
      <c r="L333" s="801"/>
      <c r="M333" s="801"/>
      <c r="N333" s="801"/>
      <c r="O333" s="801"/>
      <c r="P333" s="801"/>
      <c r="Q333" s="801"/>
      <c r="R333" s="801"/>
      <c r="S333" s="801"/>
      <c r="T333" s="801"/>
      <c r="U333" s="801"/>
      <c r="V333" s="801"/>
      <c r="W333" s="801"/>
      <c r="X333" s="801"/>
      <c r="Y333" s="801"/>
      <c r="Z333" s="802"/>
      <c r="AA333" s="800" t="str">
        <f>IFERROR(IF(AZ323&gt;AA323-1,IF(INDEX(Lista_Pedidos,AY323+AA323-1,8)&lt;&gt;"","Forro :     "&amp; INDEX(Lista_Pedidos,AY323+AA323-1,8),""),""),"")</f>
        <v/>
      </c>
      <c r="AB333" s="801"/>
      <c r="AC333" s="801"/>
      <c r="AD333" s="801"/>
      <c r="AE333" s="801"/>
      <c r="AF333" s="801"/>
      <c r="AG333" s="801"/>
      <c r="AH333" s="801"/>
      <c r="AI333" s="801"/>
      <c r="AJ333" s="801"/>
      <c r="AK333" s="801"/>
      <c r="AL333" s="801"/>
      <c r="AM333" s="801"/>
      <c r="AN333" s="801"/>
      <c r="AO333" s="801"/>
      <c r="AP333" s="801"/>
      <c r="AQ333" s="801"/>
      <c r="AR333" s="801"/>
      <c r="AS333" s="801"/>
      <c r="AT333" s="801"/>
      <c r="AU333" s="801"/>
      <c r="AV333" s="801"/>
      <c r="AW333" s="801"/>
      <c r="AX333" s="801"/>
      <c r="AY333" s="801"/>
      <c r="AZ333" s="802"/>
      <c r="BA333" s="800" t="str">
        <f>IFERROR(IF(BZ323&gt;BA323-1,IF(INDEX(Lista_Pedidos,BY323+BA323-1,8)&lt;&gt;"","Forro :     "&amp; INDEX(Lista_Pedidos,BY323+BA323-1,8),""),""),"")</f>
        <v/>
      </c>
      <c r="BB333" s="801"/>
      <c r="BC333" s="801"/>
      <c r="BD333" s="801"/>
      <c r="BE333" s="801"/>
      <c r="BF333" s="801"/>
      <c r="BG333" s="801"/>
      <c r="BH333" s="801"/>
      <c r="BI333" s="801"/>
      <c r="BJ333" s="801"/>
      <c r="BK333" s="801"/>
      <c r="BL333" s="801"/>
      <c r="BM333" s="801"/>
      <c r="BN333" s="801"/>
      <c r="BO333" s="801"/>
      <c r="BP333" s="801"/>
      <c r="BQ333" s="801"/>
      <c r="BR333" s="801"/>
      <c r="BS333" s="801"/>
      <c r="BT333" s="801"/>
      <c r="BU333" s="801"/>
      <c r="BV333" s="801"/>
      <c r="BW333" s="801"/>
      <c r="BX333" s="801"/>
      <c r="BY333" s="801"/>
      <c r="BZ333" s="802"/>
      <c r="CA333" s="800" t="str">
        <f>IFERROR(IF(CZ323&gt;CA323-1,IF(INDEX(Lista_Pedidos,CY323+CA323-1,8)&lt;&gt;"","Forro :     "&amp; INDEX(Lista_Pedidos,CY323+CA323-1,8),""),""),"")</f>
        <v/>
      </c>
      <c r="CB333" s="801"/>
      <c r="CC333" s="801"/>
      <c r="CD333" s="801"/>
      <c r="CE333" s="801"/>
      <c r="CF333" s="801"/>
      <c r="CG333" s="801"/>
      <c r="CH333" s="801"/>
      <c r="CI333" s="801"/>
      <c r="CJ333" s="801"/>
      <c r="CK333" s="801"/>
      <c r="CL333" s="801"/>
      <c r="CM333" s="801"/>
      <c r="CN333" s="801"/>
      <c r="CO333" s="801"/>
      <c r="CP333" s="801"/>
      <c r="CQ333" s="801"/>
      <c r="CR333" s="801"/>
      <c r="CS333" s="801"/>
      <c r="CT333" s="801"/>
      <c r="CU333" s="801"/>
      <c r="CV333" s="801"/>
      <c r="CW333" s="801"/>
      <c r="CX333" s="801"/>
      <c r="CY333" s="801"/>
      <c r="CZ333" s="802"/>
      <c r="DA333" s="800" t="str">
        <f>IFERROR(IF(DZ323&gt;DA323-1,IF(INDEX(Lista_Pedidos,DY323+DA323-1,8)&lt;&gt;"","Forro :     "&amp; INDEX(Lista_Pedidos,DY323+DA323-1,8),""),""),"")</f>
        <v/>
      </c>
      <c r="DB333" s="801"/>
      <c r="DC333" s="801"/>
      <c r="DD333" s="801"/>
      <c r="DE333" s="801"/>
      <c r="DF333" s="801"/>
      <c r="DG333" s="801"/>
      <c r="DH333" s="801"/>
      <c r="DI333" s="801"/>
      <c r="DJ333" s="801"/>
      <c r="DK333" s="801"/>
      <c r="DL333" s="801"/>
      <c r="DM333" s="801"/>
      <c r="DN333" s="801"/>
      <c r="DO333" s="801"/>
      <c r="DP333" s="801"/>
      <c r="DQ333" s="801"/>
      <c r="DR333" s="801"/>
      <c r="DS333" s="801"/>
      <c r="DT333" s="801"/>
      <c r="DU333" s="801"/>
      <c r="DV333" s="801"/>
      <c r="DW333" s="801"/>
      <c r="DX333" s="801"/>
      <c r="DY333" s="801"/>
      <c r="DZ333" s="802"/>
      <c r="EA333" s="800" t="str">
        <f>IFERROR(IF(EZ323&gt;EA323-1,IF(INDEX(Lista_Pedidos,EY323+EA323-1,8)&lt;&gt;"","Forro :     "&amp; INDEX(Lista_Pedidos,EY323+EA323-1,8),""),""),"")</f>
        <v/>
      </c>
      <c r="EB333" s="801"/>
      <c r="EC333" s="801"/>
      <c r="ED333" s="801"/>
      <c r="EE333" s="801"/>
      <c r="EF333" s="801"/>
      <c r="EG333" s="801"/>
      <c r="EH333" s="801"/>
      <c r="EI333" s="801"/>
      <c r="EJ333" s="801"/>
      <c r="EK333" s="801"/>
      <c r="EL333" s="801"/>
      <c r="EM333" s="801"/>
      <c r="EN333" s="801"/>
      <c r="EO333" s="801"/>
      <c r="EP333" s="801"/>
      <c r="EQ333" s="801"/>
      <c r="ER333" s="801"/>
      <c r="ES333" s="801"/>
      <c r="ET333" s="801"/>
      <c r="EU333" s="801"/>
      <c r="EV333" s="801"/>
      <c r="EW333" s="801"/>
      <c r="EX333" s="801"/>
      <c r="EY333" s="801"/>
      <c r="EZ333" s="802"/>
      <c r="FA333" s="800" t="str">
        <f>IFERROR(IF(FZ323&gt;FA323-1,IF(INDEX(Lista_Pedidos,FY323+FA323-1,8)&lt;&gt;"","Forro :     "&amp; INDEX(Lista_Pedidos,FY323+FA323-1,8),""),""),"")</f>
        <v/>
      </c>
      <c r="FB333" s="801"/>
      <c r="FC333" s="801"/>
      <c r="FD333" s="801"/>
      <c r="FE333" s="801"/>
      <c r="FF333" s="801"/>
      <c r="FG333" s="801"/>
      <c r="FH333" s="801"/>
      <c r="FI333" s="801"/>
      <c r="FJ333" s="801"/>
      <c r="FK333" s="801"/>
      <c r="FL333" s="801"/>
      <c r="FM333" s="801"/>
      <c r="FN333" s="801"/>
      <c r="FO333" s="801"/>
      <c r="FP333" s="801"/>
      <c r="FQ333" s="801"/>
      <c r="FR333" s="801"/>
      <c r="FS333" s="801"/>
      <c r="FT333" s="801"/>
      <c r="FU333" s="801"/>
      <c r="FV333" s="801"/>
      <c r="FW333" s="801"/>
      <c r="FX333" s="801"/>
      <c r="FY333" s="801"/>
      <c r="FZ333" s="802"/>
      <c r="GA333" s="800" t="str">
        <f>IFERROR(IF(GZ323&gt;GA323-1,IF(INDEX(Lista_Pedidos,GY323+GA323-1,8)&lt;&gt;"","Forro :     "&amp; INDEX(Lista_Pedidos,GY323+GA323-1,8),""),""),"")</f>
        <v/>
      </c>
      <c r="GB333" s="801"/>
      <c r="GC333" s="801"/>
      <c r="GD333" s="801"/>
      <c r="GE333" s="801"/>
      <c r="GF333" s="801"/>
      <c r="GG333" s="801"/>
      <c r="GH333" s="801"/>
      <c r="GI333" s="801"/>
      <c r="GJ333" s="801"/>
      <c r="GK333" s="801"/>
      <c r="GL333" s="801"/>
      <c r="GM333" s="801"/>
      <c r="GN333" s="801"/>
      <c r="GO333" s="801"/>
      <c r="GP333" s="801"/>
      <c r="GQ333" s="801"/>
      <c r="GR333" s="801"/>
      <c r="GS333" s="801"/>
      <c r="GT333" s="801"/>
      <c r="GU333" s="801"/>
      <c r="GV333" s="801"/>
      <c r="GW333" s="801"/>
      <c r="GX333" s="801"/>
      <c r="GY333" s="801"/>
      <c r="GZ333" s="802"/>
      <c r="HA333" s="800" t="str">
        <f>IFERROR(IF(HZ323&gt;HA323-1,IF(INDEX(Lista_Pedidos,HY323+HA323-1,8)&lt;&gt;"","Forro :     "&amp; INDEX(Lista_Pedidos,HY323+HA323-1,8),""),""),"")</f>
        <v/>
      </c>
      <c r="HB333" s="801"/>
      <c r="HC333" s="801"/>
      <c r="HD333" s="801"/>
      <c r="HE333" s="801"/>
      <c r="HF333" s="801"/>
      <c r="HG333" s="801"/>
      <c r="HH333" s="801"/>
      <c r="HI333" s="801"/>
      <c r="HJ333" s="801"/>
      <c r="HK333" s="801"/>
      <c r="HL333" s="801"/>
      <c r="HM333" s="801"/>
      <c r="HN333" s="801"/>
      <c r="HO333" s="801"/>
      <c r="HP333" s="801"/>
      <c r="HQ333" s="801"/>
      <c r="HR333" s="801"/>
      <c r="HS333" s="801"/>
      <c r="HT333" s="801"/>
      <c r="HU333" s="801"/>
      <c r="HV333" s="801"/>
      <c r="HW333" s="801"/>
      <c r="HX333" s="801"/>
      <c r="HY333" s="801"/>
      <c r="HZ333" s="802"/>
      <c r="IA333" s="800" t="str">
        <f>IFERROR(IF(IZ323&gt;IA323-1,IF(INDEX(Lista_Pedidos,IY323+IA323-1,8)&lt;&gt;"","Forro :     "&amp; INDEX(Lista_Pedidos,IY323+IA323-1,8),""),""),"")</f>
        <v/>
      </c>
      <c r="IB333" s="801"/>
      <c r="IC333" s="801"/>
      <c r="ID333" s="801"/>
      <c r="IE333" s="801"/>
      <c r="IF333" s="801"/>
      <c r="IG333" s="801"/>
      <c r="IH333" s="801"/>
      <c r="II333" s="801"/>
      <c r="IJ333" s="801"/>
      <c r="IK333" s="801"/>
      <c r="IL333" s="801"/>
      <c r="IM333" s="801"/>
      <c r="IN333" s="801"/>
      <c r="IO333" s="801"/>
      <c r="IP333" s="801"/>
      <c r="IQ333" s="801"/>
      <c r="IR333" s="801"/>
      <c r="IS333" s="801"/>
      <c r="IT333" s="801"/>
      <c r="IU333" s="801"/>
      <c r="IV333" s="801"/>
      <c r="IW333" s="801"/>
      <c r="IX333" s="801"/>
      <c r="IY333" s="801"/>
      <c r="IZ333" s="802"/>
    </row>
    <row r="334" spans="1:260" x14ac:dyDescent="0.25">
      <c r="A334" s="800" t="str">
        <f>IF(A$5="Cliente Especial : NEON",IF(Z323&gt;A323-1,"Neon :      Si",""),"")</f>
        <v/>
      </c>
      <c r="B334" s="801"/>
      <c r="C334" s="801"/>
      <c r="D334" s="801"/>
      <c r="E334" s="801"/>
      <c r="F334" s="801"/>
      <c r="G334" s="801"/>
      <c r="H334" s="801"/>
      <c r="I334" s="801"/>
      <c r="J334" s="801"/>
      <c r="K334" s="801"/>
      <c r="L334" s="801"/>
      <c r="M334" s="801"/>
      <c r="N334" s="801"/>
      <c r="O334" s="801"/>
      <c r="P334" s="801"/>
      <c r="Q334" s="801"/>
      <c r="R334" s="801"/>
      <c r="S334" s="801"/>
      <c r="T334" s="801"/>
      <c r="U334" s="801"/>
      <c r="V334" s="801"/>
      <c r="W334" s="801"/>
      <c r="X334" s="801"/>
      <c r="Y334" s="801"/>
      <c r="Z334" s="802"/>
      <c r="AA334" s="800" t="str">
        <f>IF(AA$5="Cliente Especial : NEON",IF(AZ323&gt;AA323-1,"Neon :      Si",""),"")</f>
        <v/>
      </c>
      <c r="AB334" s="801"/>
      <c r="AC334" s="801"/>
      <c r="AD334" s="801"/>
      <c r="AE334" s="801"/>
      <c r="AF334" s="801"/>
      <c r="AG334" s="801"/>
      <c r="AH334" s="801"/>
      <c r="AI334" s="801"/>
      <c r="AJ334" s="801"/>
      <c r="AK334" s="801"/>
      <c r="AL334" s="801"/>
      <c r="AM334" s="801"/>
      <c r="AN334" s="801"/>
      <c r="AO334" s="801"/>
      <c r="AP334" s="801"/>
      <c r="AQ334" s="801"/>
      <c r="AR334" s="801"/>
      <c r="AS334" s="801"/>
      <c r="AT334" s="801"/>
      <c r="AU334" s="801"/>
      <c r="AV334" s="801"/>
      <c r="AW334" s="801"/>
      <c r="AX334" s="801"/>
      <c r="AY334" s="801"/>
      <c r="AZ334" s="802"/>
      <c r="BA334" s="800" t="str">
        <f>IF(BA$5="Cliente Especial : NEON",IF(BZ323&gt;BA323-1,"Neon :      Si",""),"")</f>
        <v/>
      </c>
      <c r="BB334" s="801"/>
      <c r="BC334" s="801"/>
      <c r="BD334" s="801"/>
      <c r="BE334" s="801"/>
      <c r="BF334" s="801"/>
      <c r="BG334" s="801"/>
      <c r="BH334" s="801"/>
      <c r="BI334" s="801"/>
      <c r="BJ334" s="801"/>
      <c r="BK334" s="801"/>
      <c r="BL334" s="801"/>
      <c r="BM334" s="801"/>
      <c r="BN334" s="801"/>
      <c r="BO334" s="801"/>
      <c r="BP334" s="801"/>
      <c r="BQ334" s="801"/>
      <c r="BR334" s="801"/>
      <c r="BS334" s="801"/>
      <c r="BT334" s="801"/>
      <c r="BU334" s="801"/>
      <c r="BV334" s="801"/>
      <c r="BW334" s="801"/>
      <c r="BX334" s="801"/>
      <c r="BY334" s="801"/>
      <c r="BZ334" s="802"/>
      <c r="CA334" s="800" t="str">
        <f>IF(CA$5="Cliente Especial : NEON",IF(CZ323&gt;CA323-1,"Neon :      Si",""),"")</f>
        <v/>
      </c>
      <c r="CB334" s="801"/>
      <c r="CC334" s="801"/>
      <c r="CD334" s="801"/>
      <c r="CE334" s="801"/>
      <c r="CF334" s="801"/>
      <c r="CG334" s="801"/>
      <c r="CH334" s="801"/>
      <c r="CI334" s="801"/>
      <c r="CJ334" s="801"/>
      <c r="CK334" s="801"/>
      <c r="CL334" s="801"/>
      <c r="CM334" s="801"/>
      <c r="CN334" s="801"/>
      <c r="CO334" s="801"/>
      <c r="CP334" s="801"/>
      <c r="CQ334" s="801"/>
      <c r="CR334" s="801"/>
      <c r="CS334" s="801"/>
      <c r="CT334" s="801"/>
      <c r="CU334" s="801"/>
      <c r="CV334" s="801"/>
      <c r="CW334" s="801"/>
      <c r="CX334" s="801"/>
      <c r="CY334" s="801"/>
      <c r="CZ334" s="802"/>
      <c r="DA334" s="800" t="str">
        <f>IF(DA$5="Cliente Especial : NEON",IF(DZ323&gt;DA323-1,"Neon :      Si",""),"")</f>
        <v/>
      </c>
      <c r="DB334" s="801"/>
      <c r="DC334" s="801"/>
      <c r="DD334" s="801"/>
      <c r="DE334" s="801"/>
      <c r="DF334" s="801"/>
      <c r="DG334" s="801"/>
      <c r="DH334" s="801"/>
      <c r="DI334" s="801"/>
      <c r="DJ334" s="801"/>
      <c r="DK334" s="801"/>
      <c r="DL334" s="801"/>
      <c r="DM334" s="801"/>
      <c r="DN334" s="801"/>
      <c r="DO334" s="801"/>
      <c r="DP334" s="801"/>
      <c r="DQ334" s="801"/>
      <c r="DR334" s="801"/>
      <c r="DS334" s="801"/>
      <c r="DT334" s="801"/>
      <c r="DU334" s="801"/>
      <c r="DV334" s="801"/>
      <c r="DW334" s="801"/>
      <c r="DX334" s="801"/>
      <c r="DY334" s="801"/>
      <c r="DZ334" s="802"/>
      <c r="EA334" s="800" t="str">
        <f>IF(EA$5="Cliente Especial : NEON",IF(EZ323&gt;EA323-1,"Neon :      Si",""),"")</f>
        <v/>
      </c>
      <c r="EB334" s="801"/>
      <c r="EC334" s="801"/>
      <c r="ED334" s="801"/>
      <c r="EE334" s="801"/>
      <c r="EF334" s="801"/>
      <c r="EG334" s="801"/>
      <c r="EH334" s="801"/>
      <c r="EI334" s="801"/>
      <c r="EJ334" s="801"/>
      <c r="EK334" s="801"/>
      <c r="EL334" s="801"/>
      <c r="EM334" s="801"/>
      <c r="EN334" s="801"/>
      <c r="EO334" s="801"/>
      <c r="EP334" s="801"/>
      <c r="EQ334" s="801"/>
      <c r="ER334" s="801"/>
      <c r="ES334" s="801"/>
      <c r="ET334" s="801"/>
      <c r="EU334" s="801"/>
      <c r="EV334" s="801"/>
      <c r="EW334" s="801"/>
      <c r="EX334" s="801"/>
      <c r="EY334" s="801"/>
      <c r="EZ334" s="802"/>
      <c r="FA334" s="800" t="str">
        <f>IF(FA$5="Cliente Especial : NEON",IF(FZ323&gt;FA323-1,"Neon :      Si",""),"")</f>
        <v/>
      </c>
      <c r="FB334" s="801"/>
      <c r="FC334" s="801"/>
      <c r="FD334" s="801"/>
      <c r="FE334" s="801"/>
      <c r="FF334" s="801"/>
      <c r="FG334" s="801"/>
      <c r="FH334" s="801"/>
      <c r="FI334" s="801"/>
      <c r="FJ334" s="801"/>
      <c r="FK334" s="801"/>
      <c r="FL334" s="801"/>
      <c r="FM334" s="801"/>
      <c r="FN334" s="801"/>
      <c r="FO334" s="801"/>
      <c r="FP334" s="801"/>
      <c r="FQ334" s="801"/>
      <c r="FR334" s="801"/>
      <c r="FS334" s="801"/>
      <c r="FT334" s="801"/>
      <c r="FU334" s="801"/>
      <c r="FV334" s="801"/>
      <c r="FW334" s="801"/>
      <c r="FX334" s="801"/>
      <c r="FY334" s="801"/>
      <c r="FZ334" s="802"/>
      <c r="GA334" s="800" t="str">
        <f>IF(GA$5="Cliente Especial : NEON",IF(GZ323&gt;GA323-1,"Neon :      Si",""),"")</f>
        <v/>
      </c>
      <c r="GB334" s="801"/>
      <c r="GC334" s="801"/>
      <c r="GD334" s="801"/>
      <c r="GE334" s="801"/>
      <c r="GF334" s="801"/>
      <c r="GG334" s="801"/>
      <c r="GH334" s="801"/>
      <c r="GI334" s="801"/>
      <c r="GJ334" s="801"/>
      <c r="GK334" s="801"/>
      <c r="GL334" s="801"/>
      <c r="GM334" s="801"/>
      <c r="GN334" s="801"/>
      <c r="GO334" s="801"/>
      <c r="GP334" s="801"/>
      <c r="GQ334" s="801"/>
      <c r="GR334" s="801"/>
      <c r="GS334" s="801"/>
      <c r="GT334" s="801"/>
      <c r="GU334" s="801"/>
      <c r="GV334" s="801"/>
      <c r="GW334" s="801"/>
      <c r="GX334" s="801"/>
      <c r="GY334" s="801"/>
      <c r="GZ334" s="802"/>
      <c r="HA334" s="800" t="str">
        <f>IF(HA$5="Cliente Especial : NEON",IF(HZ323&gt;HA323-1,"Neon :      Si",""),"")</f>
        <v/>
      </c>
      <c r="HB334" s="801"/>
      <c r="HC334" s="801"/>
      <c r="HD334" s="801"/>
      <c r="HE334" s="801"/>
      <c r="HF334" s="801"/>
      <c r="HG334" s="801"/>
      <c r="HH334" s="801"/>
      <c r="HI334" s="801"/>
      <c r="HJ334" s="801"/>
      <c r="HK334" s="801"/>
      <c r="HL334" s="801"/>
      <c r="HM334" s="801"/>
      <c r="HN334" s="801"/>
      <c r="HO334" s="801"/>
      <c r="HP334" s="801"/>
      <c r="HQ334" s="801"/>
      <c r="HR334" s="801"/>
      <c r="HS334" s="801"/>
      <c r="HT334" s="801"/>
      <c r="HU334" s="801"/>
      <c r="HV334" s="801"/>
      <c r="HW334" s="801"/>
      <c r="HX334" s="801"/>
      <c r="HY334" s="801"/>
      <c r="HZ334" s="802"/>
      <c r="IA334" s="800" t="str">
        <f>IF(IA$5="Cliente Especial : NEON",IF(IZ323&gt;IA323-1,"Neon :      Si",""),"")</f>
        <v/>
      </c>
      <c r="IB334" s="801"/>
      <c r="IC334" s="801"/>
      <c r="ID334" s="801"/>
      <c r="IE334" s="801"/>
      <c r="IF334" s="801"/>
      <c r="IG334" s="801"/>
      <c r="IH334" s="801"/>
      <c r="II334" s="801"/>
      <c r="IJ334" s="801"/>
      <c r="IK334" s="801"/>
      <c r="IL334" s="801"/>
      <c r="IM334" s="801"/>
      <c r="IN334" s="801"/>
      <c r="IO334" s="801"/>
      <c r="IP334" s="801"/>
      <c r="IQ334" s="801"/>
      <c r="IR334" s="801"/>
      <c r="IS334" s="801"/>
      <c r="IT334" s="801"/>
      <c r="IU334" s="801"/>
      <c r="IV334" s="801"/>
      <c r="IW334" s="801"/>
      <c r="IX334" s="801"/>
      <c r="IY334" s="801"/>
      <c r="IZ334" s="802"/>
    </row>
    <row r="335" spans="1:260" x14ac:dyDescent="0.25">
      <c r="A335" s="800" t="str">
        <f>IFERROR(IF(Z323&gt;A323-1,IF(INDEX(Pedidos!J:AZ,Y323+A323-1,9)&lt;&gt;"","Cierre :     "&amp; INDEX(Pedidos!J:AZ,Y323+A323-1,9),""),""),"")</f>
        <v/>
      </c>
      <c r="B335" s="801"/>
      <c r="C335" s="801"/>
      <c r="D335" s="801"/>
      <c r="E335" s="801"/>
      <c r="F335" s="801"/>
      <c r="G335" s="801"/>
      <c r="H335" s="801"/>
      <c r="I335" s="801"/>
      <c r="J335" s="801"/>
      <c r="K335" s="801"/>
      <c r="L335" s="801"/>
      <c r="M335" s="801"/>
      <c r="N335" s="801"/>
      <c r="O335" s="801"/>
      <c r="P335" s="801"/>
      <c r="Q335" s="801"/>
      <c r="R335" s="801"/>
      <c r="S335" s="801"/>
      <c r="T335" s="801"/>
      <c r="U335" s="801"/>
      <c r="V335" s="801"/>
      <c r="W335" s="801"/>
      <c r="X335" s="801"/>
      <c r="Y335" s="801"/>
      <c r="Z335" s="802"/>
      <c r="AA335" s="800" t="str">
        <f>IFERROR(IF(AZ323&gt;AA323-1,IF(INDEX(Pedidos!AJ:BZ,AY323+AA323-1,9)&lt;&gt;"","Cierre :     "&amp; INDEX(Pedidos!AJ:BZ,AY323+AA323-1,9),""),""),"")</f>
        <v/>
      </c>
      <c r="AB335" s="801"/>
      <c r="AC335" s="801"/>
      <c r="AD335" s="801"/>
      <c r="AE335" s="801"/>
      <c r="AF335" s="801"/>
      <c r="AG335" s="801"/>
      <c r="AH335" s="801"/>
      <c r="AI335" s="801"/>
      <c r="AJ335" s="801"/>
      <c r="AK335" s="801"/>
      <c r="AL335" s="801"/>
      <c r="AM335" s="801"/>
      <c r="AN335" s="801"/>
      <c r="AO335" s="801"/>
      <c r="AP335" s="801"/>
      <c r="AQ335" s="801"/>
      <c r="AR335" s="801"/>
      <c r="AS335" s="801"/>
      <c r="AT335" s="801"/>
      <c r="AU335" s="801"/>
      <c r="AV335" s="801"/>
      <c r="AW335" s="801"/>
      <c r="AX335" s="801"/>
      <c r="AY335" s="801"/>
      <c r="AZ335" s="802"/>
      <c r="BA335" s="800" t="str">
        <f>IFERROR(IF(BZ323&gt;BA323-1,IF(INDEX(Pedidos!BJ:CZ,BY323+BA323-1,9)&lt;&gt;"","Cierre :     "&amp; INDEX(Pedidos!BJ:CZ,BY323+BA323-1,9),""),""),"")</f>
        <v/>
      </c>
      <c r="BB335" s="801"/>
      <c r="BC335" s="801"/>
      <c r="BD335" s="801"/>
      <c r="BE335" s="801"/>
      <c r="BF335" s="801"/>
      <c r="BG335" s="801"/>
      <c r="BH335" s="801"/>
      <c r="BI335" s="801"/>
      <c r="BJ335" s="801"/>
      <c r="BK335" s="801"/>
      <c r="BL335" s="801"/>
      <c r="BM335" s="801"/>
      <c r="BN335" s="801"/>
      <c r="BO335" s="801"/>
      <c r="BP335" s="801"/>
      <c r="BQ335" s="801"/>
      <c r="BR335" s="801"/>
      <c r="BS335" s="801"/>
      <c r="BT335" s="801"/>
      <c r="BU335" s="801"/>
      <c r="BV335" s="801"/>
      <c r="BW335" s="801"/>
      <c r="BX335" s="801"/>
      <c r="BY335" s="801"/>
      <c r="BZ335" s="802"/>
      <c r="CA335" s="800" t="str">
        <f>IFERROR(IF(CZ323&gt;CA323-1,IF(INDEX(Pedidos!CJ:DZ,CY323+CA323-1,9)&lt;&gt;"","Cierre :     "&amp; INDEX(Pedidos!CJ:DZ,CY323+CA323-1,9),""),""),"")</f>
        <v/>
      </c>
      <c r="CB335" s="801"/>
      <c r="CC335" s="801"/>
      <c r="CD335" s="801"/>
      <c r="CE335" s="801"/>
      <c r="CF335" s="801"/>
      <c r="CG335" s="801"/>
      <c r="CH335" s="801"/>
      <c r="CI335" s="801"/>
      <c r="CJ335" s="801"/>
      <c r="CK335" s="801"/>
      <c r="CL335" s="801"/>
      <c r="CM335" s="801"/>
      <c r="CN335" s="801"/>
      <c r="CO335" s="801"/>
      <c r="CP335" s="801"/>
      <c r="CQ335" s="801"/>
      <c r="CR335" s="801"/>
      <c r="CS335" s="801"/>
      <c r="CT335" s="801"/>
      <c r="CU335" s="801"/>
      <c r="CV335" s="801"/>
      <c r="CW335" s="801"/>
      <c r="CX335" s="801"/>
      <c r="CY335" s="801"/>
      <c r="CZ335" s="802"/>
      <c r="DA335" s="800" t="str">
        <f>IFERROR(IF(DZ323&gt;DA323-1,IF(INDEX(Pedidos!DJ:EZ,DY323+DA323-1,9)&lt;&gt;"","Cierre :     "&amp; INDEX(Pedidos!DJ:EZ,DY323+DA323-1,9),""),""),"")</f>
        <v/>
      </c>
      <c r="DB335" s="801"/>
      <c r="DC335" s="801"/>
      <c r="DD335" s="801"/>
      <c r="DE335" s="801"/>
      <c r="DF335" s="801"/>
      <c r="DG335" s="801"/>
      <c r="DH335" s="801"/>
      <c r="DI335" s="801"/>
      <c r="DJ335" s="801"/>
      <c r="DK335" s="801"/>
      <c r="DL335" s="801"/>
      <c r="DM335" s="801"/>
      <c r="DN335" s="801"/>
      <c r="DO335" s="801"/>
      <c r="DP335" s="801"/>
      <c r="DQ335" s="801"/>
      <c r="DR335" s="801"/>
      <c r="DS335" s="801"/>
      <c r="DT335" s="801"/>
      <c r="DU335" s="801"/>
      <c r="DV335" s="801"/>
      <c r="DW335" s="801"/>
      <c r="DX335" s="801"/>
      <c r="DY335" s="801"/>
      <c r="DZ335" s="802"/>
      <c r="EA335" s="800" t="str">
        <f>IFERROR(IF(EZ323&gt;EA323-1,IF(INDEX(Pedidos!EJ:FZ,EY323+EA323-1,9)&lt;&gt;"","Cierre :     "&amp; INDEX(Pedidos!EJ:FZ,EY323+EA323-1,9),""),""),"")</f>
        <v/>
      </c>
      <c r="EB335" s="801"/>
      <c r="EC335" s="801"/>
      <c r="ED335" s="801"/>
      <c r="EE335" s="801"/>
      <c r="EF335" s="801"/>
      <c r="EG335" s="801"/>
      <c r="EH335" s="801"/>
      <c r="EI335" s="801"/>
      <c r="EJ335" s="801"/>
      <c r="EK335" s="801"/>
      <c r="EL335" s="801"/>
      <c r="EM335" s="801"/>
      <c r="EN335" s="801"/>
      <c r="EO335" s="801"/>
      <c r="EP335" s="801"/>
      <c r="EQ335" s="801"/>
      <c r="ER335" s="801"/>
      <c r="ES335" s="801"/>
      <c r="ET335" s="801"/>
      <c r="EU335" s="801"/>
      <c r="EV335" s="801"/>
      <c r="EW335" s="801"/>
      <c r="EX335" s="801"/>
      <c r="EY335" s="801"/>
      <c r="EZ335" s="802"/>
      <c r="FA335" s="800" t="str">
        <f>IFERROR(IF(FZ323&gt;FA323-1,IF(INDEX(Pedidos!FJ:GZ,FY323+FA323-1,9)&lt;&gt;"","Cierre :     "&amp; INDEX(Pedidos!FJ:GZ,FY323+FA323-1,9),""),""),"")</f>
        <v/>
      </c>
      <c r="FB335" s="801"/>
      <c r="FC335" s="801"/>
      <c r="FD335" s="801"/>
      <c r="FE335" s="801"/>
      <c r="FF335" s="801"/>
      <c r="FG335" s="801"/>
      <c r="FH335" s="801"/>
      <c r="FI335" s="801"/>
      <c r="FJ335" s="801"/>
      <c r="FK335" s="801"/>
      <c r="FL335" s="801"/>
      <c r="FM335" s="801"/>
      <c r="FN335" s="801"/>
      <c r="FO335" s="801"/>
      <c r="FP335" s="801"/>
      <c r="FQ335" s="801"/>
      <c r="FR335" s="801"/>
      <c r="FS335" s="801"/>
      <c r="FT335" s="801"/>
      <c r="FU335" s="801"/>
      <c r="FV335" s="801"/>
      <c r="FW335" s="801"/>
      <c r="FX335" s="801"/>
      <c r="FY335" s="801"/>
      <c r="FZ335" s="802"/>
      <c r="GA335" s="800" t="str">
        <f>IFERROR(IF(GZ323&gt;GA323-1,IF(INDEX(Pedidos!GJ:HZ,GY323+GA323-1,9)&lt;&gt;"","Cierre :     "&amp; INDEX(Pedidos!GJ:HZ,GY323+GA323-1,9),""),""),"")</f>
        <v/>
      </c>
      <c r="GB335" s="801"/>
      <c r="GC335" s="801"/>
      <c r="GD335" s="801"/>
      <c r="GE335" s="801"/>
      <c r="GF335" s="801"/>
      <c r="GG335" s="801"/>
      <c r="GH335" s="801"/>
      <c r="GI335" s="801"/>
      <c r="GJ335" s="801"/>
      <c r="GK335" s="801"/>
      <c r="GL335" s="801"/>
      <c r="GM335" s="801"/>
      <c r="GN335" s="801"/>
      <c r="GO335" s="801"/>
      <c r="GP335" s="801"/>
      <c r="GQ335" s="801"/>
      <c r="GR335" s="801"/>
      <c r="GS335" s="801"/>
      <c r="GT335" s="801"/>
      <c r="GU335" s="801"/>
      <c r="GV335" s="801"/>
      <c r="GW335" s="801"/>
      <c r="GX335" s="801"/>
      <c r="GY335" s="801"/>
      <c r="GZ335" s="802"/>
      <c r="HA335" s="800" t="str">
        <f>IFERROR(IF(HZ323&gt;HA323-1,IF(INDEX(Pedidos!HJ:IZ,HY323+HA323-1,9)&lt;&gt;"","Cierre :     "&amp; INDEX(Pedidos!HJ:IZ,HY323+HA323-1,9),""),""),"")</f>
        <v/>
      </c>
      <c r="HB335" s="801"/>
      <c r="HC335" s="801"/>
      <c r="HD335" s="801"/>
      <c r="HE335" s="801"/>
      <c r="HF335" s="801"/>
      <c r="HG335" s="801"/>
      <c r="HH335" s="801"/>
      <c r="HI335" s="801"/>
      <c r="HJ335" s="801"/>
      <c r="HK335" s="801"/>
      <c r="HL335" s="801"/>
      <c r="HM335" s="801"/>
      <c r="HN335" s="801"/>
      <c r="HO335" s="801"/>
      <c r="HP335" s="801"/>
      <c r="HQ335" s="801"/>
      <c r="HR335" s="801"/>
      <c r="HS335" s="801"/>
      <c r="HT335" s="801"/>
      <c r="HU335" s="801"/>
      <c r="HV335" s="801"/>
      <c r="HW335" s="801"/>
      <c r="HX335" s="801"/>
      <c r="HY335" s="801"/>
      <c r="HZ335" s="802"/>
      <c r="IA335" s="800" t="str">
        <f>IFERROR(IF(IZ323&gt;IA323-1,IF(INDEX(Pedidos!IJ:JZ,IY323+IA323-1,9)&lt;&gt;"","Cierre :     "&amp; INDEX(Pedidos!IJ:JZ,IY323+IA323-1,9),""),""),"")</f>
        <v/>
      </c>
      <c r="IB335" s="801"/>
      <c r="IC335" s="801"/>
      <c r="ID335" s="801"/>
      <c r="IE335" s="801"/>
      <c r="IF335" s="801"/>
      <c r="IG335" s="801"/>
      <c r="IH335" s="801"/>
      <c r="II335" s="801"/>
      <c r="IJ335" s="801"/>
      <c r="IK335" s="801"/>
      <c r="IL335" s="801"/>
      <c r="IM335" s="801"/>
      <c r="IN335" s="801"/>
      <c r="IO335" s="801"/>
      <c r="IP335" s="801"/>
      <c r="IQ335" s="801"/>
      <c r="IR335" s="801"/>
      <c r="IS335" s="801"/>
      <c r="IT335" s="801"/>
      <c r="IU335" s="801"/>
      <c r="IV335" s="801"/>
      <c r="IW335" s="801"/>
      <c r="IX335" s="801"/>
      <c r="IY335" s="801"/>
      <c r="IZ335" s="802"/>
    </row>
    <row r="336" spans="1:260" x14ac:dyDescent="0.25">
      <c r="A336" s="800" t="str">
        <f>IFERROR(IF(Z323&gt;A323-1,IF(INDEX(Pedidos!J:AZ,Y323+A323-1,11)&lt;&gt;"","Cordon :     "&amp; INDEX(Pedidos!J:AZ,Y323+A323-1,11),""),""),"")</f>
        <v/>
      </c>
      <c r="B336" s="801"/>
      <c r="C336" s="801"/>
      <c r="D336" s="801"/>
      <c r="E336" s="801"/>
      <c r="F336" s="801"/>
      <c r="G336" s="801"/>
      <c r="H336" s="801"/>
      <c r="I336" s="801"/>
      <c r="J336" s="801"/>
      <c r="K336" s="801"/>
      <c r="L336" s="801"/>
      <c r="M336" s="801"/>
      <c r="N336" s="801"/>
      <c r="O336" s="801"/>
      <c r="P336" s="801"/>
      <c r="Q336" s="801"/>
      <c r="R336" s="801"/>
      <c r="S336" s="801"/>
      <c r="T336" s="801"/>
      <c r="U336" s="801"/>
      <c r="V336" s="801"/>
      <c r="W336" s="801"/>
      <c r="X336" s="801"/>
      <c r="Y336" s="801"/>
      <c r="Z336" s="802"/>
      <c r="AA336" s="800" t="str">
        <f>IFERROR(IF(AZ323&gt;AA323-1,IF(INDEX(Pedidos!AJ:BZ,AY323+AA323-1,11)&lt;&gt;"","Cordon :     "&amp; INDEX(Pedidos!AJ:BZ,AY323+AA323-1,11),""),""),"")</f>
        <v/>
      </c>
      <c r="AB336" s="801"/>
      <c r="AC336" s="801"/>
      <c r="AD336" s="801"/>
      <c r="AE336" s="801"/>
      <c r="AF336" s="801"/>
      <c r="AG336" s="801"/>
      <c r="AH336" s="801"/>
      <c r="AI336" s="801"/>
      <c r="AJ336" s="801"/>
      <c r="AK336" s="801"/>
      <c r="AL336" s="801"/>
      <c r="AM336" s="801"/>
      <c r="AN336" s="801"/>
      <c r="AO336" s="801"/>
      <c r="AP336" s="801"/>
      <c r="AQ336" s="801"/>
      <c r="AR336" s="801"/>
      <c r="AS336" s="801"/>
      <c r="AT336" s="801"/>
      <c r="AU336" s="801"/>
      <c r="AV336" s="801"/>
      <c r="AW336" s="801"/>
      <c r="AX336" s="801"/>
      <c r="AY336" s="801"/>
      <c r="AZ336" s="802"/>
      <c r="BA336" s="800" t="str">
        <f>IFERROR(IF(BZ323&gt;BA323-1,IF(INDEX(Pedidos!BJ:CZ,BY323+BA323-1,11)&lt;&gt;"","Cordon :     "&amp; INDEX(Pedidos!BJ:CZ,BY323+BA323-1,11),""),""),"")</f>
        <v/>
      </c>
      <c r="BB336" s="801"/>
      <c r="BC336" s="801"/>
      <c r="BD336" s="801"/>
      <c r="BE336" s="801"/>
      <c r="BF336" s="801"/>
      <c r="BG336" s="801"/>
      <c r="BH336" s="801"/>
      <c r="BI336" s="801"/>
      <c r="BJ336" s="801"/>
      <c r="BK336" s="801"/>
      <c r="BL336" s="801"/>
      <c r="BM336" s="801"/>
      <c r="BN336" s="801"/>
      <c r="BO336" s="801"/>
      <c r="BP336" s="801"/>
      <c r="BQ336" s="801"/>
      <c r="BR336" s="801"/>
      <c r="BS336" s="801"/>
      <c r="BT336" s="801"/>
      <c r="BU336" s="801"/>
      <c r="BV336" s="801"/>
      <c r="BW336" s="801"/>
      <c r="BX336" s="801"/>
      <c r="BY336" s="801"/>
      <c r="BZ336" s="802"/>
      <c r="CA336" s="800" t="str">
        <f>IFERROR(IF(CZ323&gt;CA323-1,IF(INDEX(Pedidos!CJ:DZ,CY323+CA323-1,11)&lt;&gt;"","Cordon :     "&amp; INDEX(Pedidos!CJ:DZ,CY323+CA323-1,11),""),""),"")</f>
        <v/>
      </c>
      <c r="CB336" s="801"/>
      <c r="CC336" s="801"/>
      <c r="CD336" s="801"/>
      <c r="CE336" s="801"/>
      <c r="CF336" s="801"/>
      <c r="CG336" s="801"/>
      <c r="CH336" s="801"/>
      <c r="CI336" s="801"/>
      <c r="CJ336" s="801"/>
      <c r="CK336" s="801"/>
      <c r="CL336" s="801"/>
      <c r="CM336" s="801"/>
      <c r="CN336" s="801"/>
      <c r="CO336" s="801"/>
      <c r="CP336" s="801"/>
      <c r="CQ336" s="801"/>
      <c r="CR336" s="801"/>
      <c r="CS336" s="801"/>
      <c r="CT336" s="801"/>
      <c r="CU336" s="801"/>
      <c r="CV336" s="801"/>
      <c r="CW336" s="801"/>
      <c r="CX336" s="801"/>
      <c r="CY336" s="801"/>
      <c r="CZ336" s="802"/>
      <c r="DA336" s="800" t="str">
        <f>IFERROR(IF(DZ323&gt;DA323-1,IF(INDEX(Pedidos!DJ:EZ,DY323+DA323-1,11)&lt;&gt;"","Cordon :     "&amp; INDEX(Pedidos!DJ:EZ,DY323+DA323-1,11),""),""),"")</f>
        <v/>
      </c>
      <c r="DB336" s="801"/>
      <c r="DC336" s="801"/>
      <c r="DD336" s="801"/>
      <c r="DE336" s="801"/>
      <c r="DF336" s="801"/>
      <c r="DG336" s="801"/>
      <c r="DH336" s="801"/>
      <c r="DI336" s="801"/>
      <c r="DJ336" s="801"/>
      <c r="DK336" s="801"/>
      <c r="DL336" s="801"/>
      <c r="DM336" s="801"/>
      <c r="DN336" s="801"/>
      <c r="DO336" s="801"/>
      <c r="DP336" s="801"/>
      <c r="DQ336" s="801"/>
      <c r="DR336" s="801"/>
      <c r="DS336" s="801"/>
      <c r="DT336" s="801"/>
      <c r="DU336" s="801"/>
      <c r="DV336" s="801"/>
      <c r="DW336" s="801"/>
      <c r="DX336" s="801"/>
      <c r="DY336" s="801"/>
      <c r="DZ336" s="802"/>
      <c r="EA336" s="800" t="str">
        <f>IFERROR(IF(EZ323&gt;EA323-1,IF(INDEX(Pedidos!EJ:FZ,EY323+EA323-1,11)&lt;&gt;"","Cordon :     "&amp; INDEX(Pedidos!EJ:FZ,EY323+EA323-1,11),""),""),"")</f>
        <v/>
      </c>
      <c r="EB336" s="801"/>
      <c r="EC336" s="801"/>
      <c r="ED336" s="801"/>
      <c r="EE336" s="801"/>
      <c r="EF336" s="801"/>
      <c r="EG336" s="801"/>
      <c r="EH336" s="801"/>
      <c r="EI336" s="801"/>
      <c r="EJ336" s="801"/>
      <c r="EK336" s="801"/>
      <c r="EL336" s="801"/>
      <c r="EM336" s="801"/>
      <c r="EN336" s="801"/>
      <c r="EO336" s="801"/>
      <c r="EP336" s="801"/>
      <c r="EQ336" s="801"/>
      <c r="ER336" s="801"/>
      <c r="ES336" s="801"/>
      <c r="ET336" s="801"/>
      <c r="EU336" s="801"/>
      <c r="EV336" s="801"/>
      <c r="EW336" s="801"/>
      <c r="EX336" s="801"/>
      <c r="EY336" s="801"/>
      <c r="EZ336" s="802"/>
      <c r="FA336" s="800" t="str">
        <f>IFERROR(IF(FZ323&gt;FA323-1,IF(INDEX(Pedidos!FJ:GZ,FY323+FA323-1,11)&lt;&gt;"","Cordon :     "&amp; INDEX(Pedidos!FJ:GZ,FY323+FA323-1,11),""),""),"")</f>
        <v/>
      </c>
      <c r="FB336" s="801"/>
      <c r="FC336" s="801"/>
      <c r="FD336" s="801"/>
      <c r="FE336" s="801"/>
      <c r="FF336" s="801"/>
      <c r="FG336" s="801"/>
      <c r="FH336" s="801"/>
      <c r="FI336" s="801"/>
      <c r="FJ336" s="801"/>
      <c r="FK336" s="801"/>
      <c r="FL336" s="801"/>
      <c r="FM336" s="801"/>
      <c r="FN336" s="801"/>
      <c r="FO336" s="801"/>
      <c r="FP336" s="801"/>
      <c r="FQ336" s="801"/>
      <c r="FR336" s="801"/>
      <c r="FS336" s="801"/>
      <c r="FT336" s="801"/>
      <c r="FU336" s="801"/>
      <c r="FV336" s="801"/>
      <c r="FW336" s="801"/>
      <c r="FX336" s="801"/>
      <c r="FY336" s="801"/>
      <c r="FZ336" s="802"/>
      <c r="GA336" s="800" t="str">
        <f>IFERROR(IF(GZ323&gt;GA323-1,IF(INDEX(Pedidos!GJ:HZ,GY323+GA323-1,11)&lt;&gt;"","Cordon :     "&amp; INDEX(Pedidos!GJ:HZ,GY323+GA323-1,11),""),""),"")</f>
        <v/>
      </c>
      <c r="GB336" s="801"/>
      <c r="GC336" s="801"/>
      <c r="GD336" s="801"/>
      <c r="GE336" s="801"/>
      <c r="GF336" s="801"/>
      <c r="GG336" s="801"/>
      <c r="GH336" s="801"/>
      <c r="GI336" s="801"/>
      <c r="GJ336" s="801"/>
      <c r="GK336" s="801"/>
      <c r="GL336" s="801"/>
      <c r="GM336" s="801"/>
      <c r="GN336" s="801"/>
      <c r="GO336" s="801"/>
      <c r="GP336" s="801"/>
      <c r="GQ336" s="801"/>
      <c r="GR336" s="801"/>
      <c r="GS336" s="801"/>
      <c r="GT336" s="801"/>
      <c r="GU336" s="801"/>
      <c r="GV336" s="801"/>
      <c r="GW336" s="801"/>
      <c r="GX336" s="801"/>
      <c r="GY336" s="801"/>
      <c r="GZ336" s="802"/>
      <c r="HA336" s="800" t="str">
        <f>IFERROR(IF(HZ323&gt;HA323-1,IF(INDEX(Pedidos!HJ:IZ,HY323+HA323-1,11)&lt;&gt;"","Cordon :     "&amp; INDEX(Pedidos!HJ:IZ,HY323+HA323-1,11),""),""),"")</f>
        <v/>
      </c>
      <c r="HB336" s="801"/>
      <c r="HC336" s="801"/>
      <c r="HD336" s="801"/>
      <c r="HE336" s="801"/>
      <c r="HF336" s="801"/>
      <c r="HG336" s="801"/>
      <c r="HH336" s="801"/>
      <c r="HI336" s="801"/>
      <c r="HJ336" s="801"/>
      <c r="HK336" s="801"/>
      <c r="HL336" s="801"/>
      <c r="HM336" s="801"/>
      <c r="HN336" s="801"/>
      <c r="HO336" s="801"/>
      <c r="HP336" s="801"/>
      <c r="HQ336" s="801"/>
      <c r="HR336" s="801"/>
      <c r="HS336" s="801"/>
      <c r="HT336" s="801"/>
      <c r="HU336" s="801"/>
      <c r="HV336" s="801"/>
      <c r="HW336" s="801"/>
      <c r="HX336" s="801"/>
      <c r="HY336" s="801"/>
      <c r="HZ336" s="802"/>
      <c r="IA336" s="800" t="str">
        <f>IFERROR(IF(IZ323&gt;IA323-1,IF(INDEX(Pedidos!IJ:JZ,IY323+IA323-1,11)&lt;&gt;"","Cordon :     "&amp; INDEX(Pedidos!IJ:JZ,IY323+IA323-1,11),""),""),"")</f>
        <v/>
      </c>
      <c r="IB336" s="801"/>
      <c r="IC336" s="801"/>
      <c r="ID336" s="801"/>
      <c r="IE336" s="801"/>
      <c r="IF336" s="801"/>
      <c r="IG336" s="801"/>
      <c r="IH336" s="801"/>
      <c r="II336" s="801"/>
      <c r="IJ336" s="801"/>
      <c r="IK336" s="801"/>
      <c r="IL336" s="801"/>
      <c r="IM336" s="801"/>
      <c r="IN336" s="801"/>
      <c r="IO336" s="801"/>
      <c r="IP336" s="801"/>
      <c r="IQ336" s="801"/>
      <c r="IR336" s="801"/>
      <c r="IS336" s="801"/>
      <c r="IT336" s="801"/>
      <c r="IU336" s="801"/>
      <c r="IV336" s="801"/>
      <c r="IW336" s="801"/>
      <c r="IX336" s="801"/>
      <c r="IY336" s="801"/>
      <c r="IZ336" s="802"/>
    </row>
    <row r="337" spans="1:260" x14ac:dyDescent="0.25">
      <c r="A337" s="800" t="str">
        <f>IFERROR(IF(Z323&gt;A323-1,IF(INDEX(Pedidos!J:AZ,Y323+A323-1,12)&lt;&gt;"","Color Cordon :     "&amp; INDEX(Pedidos!J:AZ,Y323+A323-1,12),""),""),"")</f>
        <v/>
      </c>
      <c r="B337" s="801"/>
      <c r="C337" s="801"/>
      <c r="D337" s="801"/>
      <c r="E337" s="801"/>
      <c r="F337" s="801"/>
      <c r="G337" s="801"/>
      <c r="H337" s="801"/>
      <c r="I337" s="801"/>
      <c r="J337" s="801"/>
      <c r="K337" s="801"/>
      <c r="L337" s="801"/>
      <c r="M337" s="801"/>
      <c r="N337" s="801"/>
      <c r="O337" s="801"/>
      <c r="P337" s="801"/>
      <c r="Q337" s="801"/>
      <c r="R337" s="801"/>
      <c r="S337" s="801"/>
      <c r="T337" s="801"/>
      <c r="U337" s="801"/>
      <c r="V337" s="801"/>
      <c r="W337" s="801"/>
      <c r="X337" s="801"/>
      <c r="Y337" s="801"/>
      <c r="Z337" s="802"/>
      <c r="AA337" s="800" t="str">
        <f>IFERROR(IF(AZ323&gt;AA323-1,IF(INDEX(Pedidos!AJ:BZ,AY323+AA323-1,12)&lt;&gt;"","Color Cordon :     "&amp; INDEX(Pedidos!AJ:BZ,AY323+AA323-1,12),""),""),"")</f>
        <v/>
      </c>
      <c r="AB337" s="801"/>
      <c r="AC337" s="801"/>
      <c r="AD337" s="801"/>
      <c r="AE337" s="801"/>
      <c r="AF337" s="801"/>
      <c r="AG337" s="801"/>
      <c r="AH337" s="801"/>
      <c r="AI337" s="801"/>
      <c r="AJ337" s="801"/>
      <c r="AK337" s="801"/>
      <c r="AL337" s="801"/>
      <c r="AM337" s="801"/>
      <c r="AN337" s="801"/>
      <c r="AO337" s="801"/>
      <c r="AP337" s="801"/>
      <c r="AQ337" s="801"/>
      <c r="AR337" s="801"/>
      <c r="AS337" s="801"/>
      <c r="AT337" s="801"/>
      <c r="AU337" s="801"/>
      <c r="AV337" s="801"/>
      <c r="AW337" s="801"/>
      <c r="AX337" s="801"/>
      <c r="AY337" s="801"/>
      <c r="AZ337" s="802"/>
      <c r="BA337" s="800" t="str">
        <f>IFERROR(IF(BZ323&gt;BA323-1,IF(INDEX(Pedidos!BJ:CZ,BY323+BA323-1,12)&lt;&gt;"","Color Cordon :     "&amp; INDEX(Pedidos!BJ:CZ,BY323+BA323-1,12),""),""),"")</f>
        <v/>
      </c>
      <c r="BB337" s="801"/>
      <c r="BC337" s="801"/>
      <c r="BD337" s="801"/>
      <c r="BE337" s="801"/>
      <c r="BF337" s="801"/>
      <c r="BG337" s="801"/>
      <c r="BH337" s="801"/>
      <c r="BI337" s="801"/>
      <c r="BJ337" s="801"/>
      <c r="BK337" s="801"/>
      <c r="BL337" s="801"/>
      <c r="BM337" s="801"/>
      <c r="BN337" s="801"/>
      <c r="BO337" s="801"/>
      <c r="BP337" s="801"/>
      <c r="BQ337" s="801"/>
      <c r="BR337" s="801"/>
      <c r="BS337" s="801"/>
      <c r="BT337" s="801"/>
      <c r="BU337" s="801"/>
      <c r="BV337" s="801"/>
      <c r="BW337" s="801"/>
      <c r="BX337" s="801"/>
      <c r="BY337" s="801"/>
      <c r="BZ337" s="802"/>
      <c r="CA337" s="800" t="str">
        <f>IFERROR(IF(CZ323&gt;CA323-1,IF(INDEX(Pedidos!CJ:DZ,CY323+CA323-1,12)&lt;&gt;"","Color Cordon :     "&amp; INDEX(Pedidos!CJ:DZ,CY323+CA323-1,12),""),""),"")</f>
        <v/>
      </c>
      <c r="CB337" s="801"/>
      <c r="CC337" s="801"/>
      <c r="CD337" s="801"/>
      <c r="CE337" s="801"/>
      <c r="CF337" s="801"/>
      <c r="CG337" s="801"/>
      <c r="CH337" s="801"/>
      <c r="CI337" s="801"/>
      <c r="CJ337" s="801"/>
      <c r="CK337" s="801"/>
      <c r="CL337" s="801"/>
      <c r="CM337" s="801"/>
      <c r="CN337" s="801"/>
      <c r="CO337" s="801"/>
      <c r="CP337" s="801"/>
      <c r="CQ337" s="801"/>
      <c r="CR337" s="801"/>
      <c r="CS337" s="801"/>
      <c r="CT337" s="801"/>
      <c r="CU337" s="801"/>
      <c r="CV337" s="801"/>
      <c r="CW337" s="801"/>
      <c r="CX337" s="801"/>
      <c r="CY337" s="801"/>
      <c r="CZ337" s="802"/>
      <c r="DA337" s="800" t="str">
        <f>IFERROR(IF(DZ323&gt;DA323-1,IF(INDEX(Pedidos!DJ:EZ,DY323+DA323-1,12)&lt;&gt;"","Color Cordon :     "&amp; INDEX(Pedidos!DJ:EZ,DY323+DA323-1,12),""),""),"")</f>
        <v/>
      </c>
      <c r="DB337" s="801"/>
      <c r="DC337" s="801"/>
      <c r="DD337" s="801"/>
      <c r="DE337" s="801"/>
      <c r="DF337" s="801"/>
      <c r="DG337" s="801"/>
      <c r="DH337" s="801"/>
      <c r="DI337" s="801"/>
      <c r="DJ337" s="801"/>
      <c r="DK337" s="801"/>
      <c r="DL337" s="801"/>
      <c r="DM337" s="801"/>
      <c r="DN337" s="801"/>
      <c r="DO337" s="801"/>
      <c r="DP337" s="801"/>
      <c r="DQ337" s="801"/>
      <c r="DR337" s="801"/>
      <c r="DS337" s="801"/>
      <c r="DT337" s="801"/>
      <c r="DU337" s="801"/>
      <c r="DV337" s="801"/>
      <c r="DW337" s="801"/>
      <c r="DX337" s="801"/>
      <c r="DY337" s="801"/>
      <c r="DZ337" s="802"/>
      <c r="EA337" s="800" t="str">
        <f>IFERROR(IF(EZ323&gt;EA323-1,IF(INDEX(Pedidos!EJ:FZ,EY323+EA323-1,12)&lt;&gt;"","Color Cordon :     "&amp; INDEX(Pedidos!EJ:FZ,EY323+EA323-1,12),""),""),"")</f>
        <v/>
      </c>
      <c r="EB337" s="801"/>
      <c r="EC337" s="801"/>
      <c r="ED337" s="801"/>
      <c r="EE337" s="801"/>
      <c r="EF337" s="801"/>
      <c r="EG337" s="801"/>
      <c r="EH337" s="801"/>
      <c r="EI337" s="801"/>
      <c r="EJ337" s="801"/>
      <c r="EK337" s="801"/>
      <c r="EL337" s="801"/>
      <c r="EM337" s="801"/>
      <c r="EN337" s="801"/>
      <c r="EO337" s="801"/>
      <c r="EP337" s="801"/>
      <c r="EQ337" s="801"/>
      <c r="ER337" s="801"/>
      <c r="ES337" s="801"/>
      <c r="ET337" s="801"/>
      <c r="EU337" s="801"/>
      <c r="EV337" s="801"/>
      <c r="EW337" s="801"/>
      <c r="EX337" s="801"/>
      <c r="EY337" s="801"/>
      <c r="EZ337" s="802"/>
      <c r="FA337" s="800" t="str">
        <f>IFERROR(IF(FZ323&gt;FA323-1,IF(INDEX(Pedidos!FJ:GZ,FY323+FA323-1,12)&lt;&gt;"","Color Cordon :     "&amp; INDEX(Pedidos!FJ:GZ,FY323+FA323-1,12),""),""),"")</f>
        <v/>
      </c>
      <c r="FB337" s="801"/>
      <c r="FC337" s="801"/>
      <c r="FD337" s="801"/>
      <c r="FE337" s="801"/>
      <c r="FF337" s="801"/>
      <c r="FG337" s="801"/>
      <c r="FH337" s="801"/>
      <c r="FI337" s="801"/>
      <c r="FJ337" s="801"/>
      <c r="FK337" s="801"/>
      <c r="FL337" s="801"/>
      <c r="FM337" s="801"/>
      <c r="FN337" s="801"/>
      <c r="FO337" s="801"/>
      <c r="FP337" s="801"/>
      <c r="FQ337" s="801"/>
      <c r="FR337" s="801"/>
      <c r="FS337" s="801"/>
      <c r="FT337" s="801"/>
      <c r="FU337" s="801"/>
      <c r="FV337" s="801"/>
      <c r="FW337" s="801"/>
      <c r="FX337" s="801"/>
      <c r="FY337" s="801"/>
      <c r="FZ337" s="802"/>
      <c r="GA337" s="800" t="str">
        <f>IFERROR(IF(GZ323&gt;GA323-1,IF(INDEX(Pedidos!GJ:HZ,GY323+GA323-1,12)&lt;&gt;"","Color Cordon :     "&amp; INDEX(Pedidos!GJ:HZ,GY323+GA323-1,12),""),""),"")</f>
        <v/>
      </c>
      <c r="GB337" s="801"/>
      <c r="GC337" s="801"/>
      <c r="GD337" s="801"/>
      <c r="GE337" s="801"/>
      <c r="GF337" s="801"/>
      <c r="GG337" s="801"/>
      <c r="GH337" s="801"/>
      <c r="GI337" s="801"/>
      <c r="GJ337" s="801"/>
      <c r="GK337" s="801"/>
      <c r="GL337" s="801"/>
      <c r="GM337" s="801"/>
      <c r="GN337" s="801"/>
      <c r="GO337" s="801"/>
      <c r="GP337" s="801"/>
      <c r="GQ337" s="801"/>
      <c r="GR337" s="801"/>
      <c r="GS337" s="801"/>
      <c r="GT337" s="801"/>
      <c r="GU337" s="801"/>
      <c r="GV337" s="801"/>
      <c r="GW337" s="801"/>
      <c r="GX337" s="801"/>
      <c r="GY337" s="801"/>
      <c r="GZ337" s="802"/>
      <c r="HA337" s="800" t="str">
        <f>IFERROR(IF(HZ323&gt;HA323-1,IF(INDEX(Pedidos!HJ:IZ,HY323+HA323-1,12)&lt;&gt;"","Color Cordon :     "&amp; INDEX(Pedidos!HJ:IZ,HY323+HA323-1,12),""),""),"")</f>
        <v/>
      </c>
      <c r="HB337" s="801"/>
      <c r="HC337" s="801"/>
      <c r="HD337" s="801"/>
      <c r="HE337" s="801"/>
      <c r="HF337" s="801"/>
      <c r="HG337" s="801"/>
      <c r="HH337" s="801"/>
      <c r="HI337" s="801"/>
      <c r="HJ337" s="801"/>
      <c r="HK337" s="801"/>
      <c r="HL337" s="801"/>
      <c r="HM337" s="801"/>
      <c r="HN337" s="801"/>
      <c r="HO337" s="801"/>
      <c r="HP337" s="801"/>
      <c r="HQ337" s="801"/>
      <c r="HR337" s="801"/>
      <c r="HS337" s="801"/>
      <c r="HT337" s="801"/>
      <c r="HU337" s="801"/>
      <c r="HV337" s="801"/>
      <c r="HW337" s="801"/>
      <c r="HX337" s="801"/>
      <c r="HY337" s="801"/>
      <c r="HZ337" s="802"/>
      <c r="IA337" s="800" t="str">
        <f>IFERROR(IF(IZ323&gt;IA323-1,IF(INDEX(Pedidos!IJ:JZ,IY323+IA323-1,12)&lt;&gt;"","Color Cordon :     "&amp; INDEX(Pedidos!IJ:JZ,IY323+IA323-1,12),""),""),"")</f>
        <v/>
      </c>
      <c r="IB337" s="801"/>
      <c r="IC337" s="801"/>
      <c r="ID337" s="801"/>
      <c r="IE337" s="801"/>
      <c r="IF337" s="801"/>
      <c r="IG337" s="801"/>
      <c r="IH337" s="801"/>
      <c r="II337" s="801"/>
      <c r="IJ337" s="801"/>
      <c r="IK337" s="801"/>
      <c r="IL337" s="801"/>
      <c r="IM337" s="801"/>
      <c r="IN337" s="801"/>
      <c r="IO337" s="801"/>
      <c r="IP337" s="801"/>
      <c r="IQ337" s="801"/>
      <c r="IR337" s="801"/>
      <c r="IS337" s="801"/>
      <c r="IT337" s="801"/>
      <c r="IU337" s="801"/>
      <c r="IV337" s="801"/>
      <c r="IW337" s="801"/>
      <c r="IX337" s="801"/>
      <c r="IY337" s="801"/>
      <c r="IZ337" s="802"/>
    </row>
    <row r="338" spans="1:260" x14ac:dyDescent="0.25">
      <c r="A338" s="800"/>
      <c r="B338" s="801"/>
      <c r="C338" s="801"/>
      <c r="D338" s="801"/>
      <c r="E338" s="801"/>
      <c r="F338" s="801"/>
      <c r="G338" s="801"/>
      <c r="H338" s="801"/>
      <c r="I338" s="801"/>
      <c r="J338" s="801"/>
      <c r="K338" s="801"/>
      <c r="L338" s="801"/>
      <c r="M338" s="801"/>
      <c r="N338" s="801"/>
      <c r="O338" s="801"/>
      <c r="P338" s="801"/>
      <c r="Q338" s="801"/>
      <c r="R338" s="801"/>
      <c r="S338" s="801"/>
      <c r="T338" s="801"/>
      <c r="U338" s="801"/>
      <c r="V338" s="801"/>
      <c r="W338" s="801"/>
      <c r="X338" s="801"/>
      <c r="Y338" s="801"/>
      <c r="Z338" s="802"/>
      <c r="AA338" s="800"/>
      <c r="AB338" s="801"/>
      <c r="AC338" s="801"/>
      <c r="AD338" s="801"/>
      <c r="AE338" s="801"/>
      <c r="AF338" s="801"/>
      <c r="AG338" s="801"/>
      <c r="AH338" s="801"/>
      <c r="AI338" s="801"/>
      <c r="AJ338" s="801"/>
      <c r="AK338" s="801"/>
      <c r="AL338" s="801"/>
      <c r="AM338" s="801"/>
      <c r="AN338" s="801"/>
      <c r="AO338" s="801"/>
      <c r="AP338" s="801"/>
      <c r="AQ338" s="801"/>
      <c r="AR338" s="801"/>
      <c r="AS338" s="801"/>
      <c r="AT338" s="801"/>
      <c r="AU338" s="801"/>
      <c r="AV338" s="801"/>
      <c r="AW338" s="801"/>
      <c r="AX338" s="801"/>
      <c r="AY338" s="801"/>
      <c r="AZ338" s="802"/>
      <c r="BA338" s="800"/>
      <c r="BB338" s="801"/>
      <c r="BC338" s="801"/>
      <c r="BD338" s="801"/>
      <c r="BE338" s="801"/>
      <c r="BF338" s="801"/>
      <c r="BG338" s="801"/>
      <c r="BH338" s="801"/>
      <c r="BI338" s="801"/>
      <c r="BJ338" s="801"/>
      <c r="BK338" s="801"/>
      <c r="BL338" s="801"/>
      <c r="BM338" s="801"/>
      <c r="BN338" s="801"/>
      <c r="BO338" s="801"/>
      <c r="BP338" s="801"/>
      <c r="BQ338" s="801"/>
      <c r="BR338" s="801"/>
      <c r="BS338" s="801"/>
      <c r="BT338" s="801"/>
      <c r="BU338" s="801"/>
      <c r="BV338" s="801"/>
      <c r="BW338" s="801"/>
      <c r="BX338" s="801"/>
      <c r="BY338" s="801"/>
      <c r="BZ338" s="802"/>
      <c r="CA338" s="800"/>
      <c r="CB338" s="801"/>
      <c r="CC338" s="801"/>
      <c r="CD338" s="801"/>
      <c r="CE338" s="801"/>
      <c r="CF338" s="801"/>
      <c r="CG338" s="801"/>
      <c r="CH338" s="801"/>
      <c r="CI338" s="801"/>
      <c r="CJ338" s="801"/>
      <c r="CK338" s="801"/>
      <c r="CL338" s="801"/>
      <c r="CM338" s="801"/>
      <c r="CN338" s="801"/>
      <c r="CO338" s="801"/>
      <c r="CP338" s="801"/>
      <c r="CQ338" s="801"/>
      <c r="CR338" s="801"/>
      <c r="CS338" s="801"/>
      <c r="CT338" s="801"/>
      <c r="CU338" s="801"/>
      <c r="CV338" s="801"/>
      <c r="CW338" s="801"/>
      <c r="CX338" s="801"/>
      <c r="CY338" s="801"/>
      <c r="CZ338" s="802"/>
      <c r="DA338" s="800"/>
      <c r="DB338" s="801"/>
      <c r="DC338" s="801"/>
      <c r="DD338" s="801"/>
      <c r="DE338" s="801"/>
      <c r="DF338" s="801"/>
      <c r="DG338" s="801"/>
      <c r="DH338" s="801"/>
      <c r="DI338" s="801"/>
      <c r="DJ338" s="801"/>
      <c r="DK338" s="801"/>
      <c r="DL338" s="801"/>
      <c r="DM338" s="801"/>
      <c r="DN338" s="801"/>
      <c r="DO338" s="801"/>
      <c r="DP338" s="801"/>
      <c r="DQ338" s="801"/>
      <c r="DR338" s="801"/>
      <c r="DS338" s="801"/>
      <c r="DT338" s="801"/>
      <c r="DU338" s="801"/>
      <c r="DV338" s="801"/>
      <c r="DW338" s="801"/>
      <c r="DX338" s="801"/>
      <c r="DY338" s="801"/>
      <c r="DZ338" s="802"/>
      <c r="EA338" s="800"/>
      <c r="EB338" s="801"/>
      <c r="EC338" s="801"/>
      <c r="ED338" s="801"/>
      <c r="EE338" s="801"/>
      <c r="EF338" s="801"/>
      <c r="EG338" s="801"/>
      <c r="EH338" s="801"/>
      <c r="EI338" s="801"/>
      <c r="EJ338" s="801"/>
      <c r="EK338" s="801"/>
      <c r="EL338" s="801"/>
      <c r="EM338" s="801"/>
      <c r="EN338" s="801"/>
      <c r="EO338" s="801"/>
      <c r="EP338" s="801"/>
      <c r="EQ338" s="801"/>
      <c r="ER338" s="801"/>
      <c r="ES338" s="801"/>
      <c r="ET338" s="801"/>
      <c r="EU338" s="801"/>
      <c r="EV338" s="801"/>
      <c r="EW338" s="801"/>
      <c r="EX338" s="801"/>
      <c r="EY338" s="801"/>
      <c r="EZ338" s="802"/>
      <c r="FA338" s="800"/>
      <c r="FB338" s="801"/>
      <c r="FC338" s="801"/>
      <c r="FD338" s="801"/>
      <c r="FE338" s="801"/>
      <c r="FF338" s="801"/>
      <c r="FG338" s="801"/>
      <c r="FH338" s="801"/>
      <c r="FI338" s="801"/>
      <c r="FJ338" s="801"/>
      <c r="FK338" s="801"/>
      <c r="FL338" s="801"/>
      <c r="FM338" s="801"/>
      <c r="FN338" s="801"/>
      <c r="FO338" s="801"/>
      <c r="FP338" s="801"/>
      <c r="FQ338" s="801"/>
      <c r="FR338" s="801"/>
      <c r="FS338" s="801"/>
      <c r="FT338" s="801"/>
      <c r="FU338" s="801"/>
      <c r="FV338" s="801"/>
      <c r="FW338" s="801"/>
      <c r="FX338" s="801"/>
      <c r="FY338" s="801"/>
      <c r="FZ338" s="802"/>
      <c r="GA338" s="800"/>
      <c r="GB338" s="801"/>
      <c r="GC338" s="801"/>
      <c r="GD338" s="801"/>
      <c r="GE338" s="801"/>
      <c r="GF338" s="801"/>
      <c r="GG338" s="801"/>
      <c r="GH338" s="801"/>
      <c r="GI338" s="801"/>
      <c r="GJ338" s="801"/>
      <c r="GK338" s="801"/>
      <c r="GL338" s="801"/>
      <c r="GM338" s="801"/>
      <c r="GN338" s="801"/>
      <c r="GO338" s="801"/>
      <c r="GP338" s="801"/>
      <c r="GQ338" s="801"/>
      <c r="GR338" s="801"/>
      <c r="GS338" s="801"/>
      <c r="GT338" s="801"/>
      <c r="GU338" s="801"/>
      <c r="GV338" s="801"/>
      <c r="GW338" s="801"/>
      <c r="GX338" s="801"/>
      <c r="GY338" s="801"/>
      <c r="GZ338" s="802"/>
      <c r="HA338" s="800"/>
      <c r="HB338" s="801"/>
      <c r="HC338" s="801"/>
      <c r="HD338" s="801"/>
      <c r="HE338" s="801"/>
      <c r="HF338" s="801"/>
      <c r="HG338" s="801"/>
      <c r="HH338" s="801"/>
      <c r="HI338" s="801"/>
      <c r="HJ338" s="801"/>
      <c r="HK338" s="801"/>
      <c r="HL338" s="801"/>
      <c r="HM338" s="801"/>
      <c r="HN338" s="801"/>
      <c r="HO338" s="801"/>
      <c r="HP338" s="801"/>
      <c r="HQ338" s="801"/>
      <c r="HR338" s="801"/>
      <c r="HS338" s="801"/>
      <c r="HT338" s="801"/>
      <c r="HU338" s="801"/>
      <c r="HV338" s="801"/>
      <c r="HW338" s="801"/>
      <c r="HX338" s="801"/>
      <c r="HY338" s="801"/>
      <c r="HZ338" s="802"/>
      <c r="IA338" s="800"/>
      <c r="IB338" s="801"/>
      <c r="IC338" s="801"/>
      <c r="ID338" s="801"/>
      <c r="IE338" s="801"/>
      <c r="IF338" s="801"/>
      <c r="IG338" s="801"/>
      <c r="IH338" s="801"/>
      <c r="II338" s="801"/>
      <c r="IJ338" s="801"/>
      <c r="IK338" s="801"/>
      <c r="IL338" s="801"/>
      <c r="IM338" s="801"/>
      <c r="IN338" s="801"/>
      <c r="IO338" s="801"/>
      <c r="IP338" s="801"/>
      <c r="IQ338" s="801"/>
      <c r="IR338" s="801"/>
      <c r="IS338" s="801"/>
      <c r="IT338" s="801"/>
      <c r="IU338" s="801"/>
      <c r="IV338" s="801"/>
      <c r="IW338" s="801"/>
      <c r="IX338" s="801"/>
      <c r="IY338" s="801"/>
      <c r="IZ338" s="802"/>
    </row>
    <row r="339" spans="1:260" x14ac:dyDescent="0.25">
      <c r="A339" s="800"/>
      <c r="B339" s="801"/>
      <c r="C339" s="801"/>
      <c r="D339" s="801"/>
      <c r="E339" s="801"/>
      <c r="F339" s="801"/>
      <c r="G339" s="801"/>
      <c r="H339" s="801"/>
      <c r="I339" s="801"/>
      <c r="J339" s="801"/>
      <c r="K339" s="801"/>
      <c r="L339" s="801"/>
      <c r="M339" s="801"/>
      <c r="N339" s="801"/>
      <c r="O339" s="801"/>
      <c r="P339" s="801"/>
      <c r="Q339" s="801"/>
      <c r="R339" s="801"/>
      <c r="S339" s="801"/>
      <c r="T339" s="801"/>
      <c r="U339" s="801"/>
      <c r="V339" s="801"/>
      <c r="W339" s="801"/>
      <c r="X339" s="801"/>
      <c r="Y339" s="801"/>
      <c r="Z339" s="802"/>
      <c r="AA339" s="800"/>
      <c r="AB339" s="801"/>
      <c r="AC339" s="801"/>
      <c r="AD339" s="801"/>
      <c r="AE339" s="801"/>
      <c r="AF339" s="801"/>
      <c r="AG339" s="801"/>
      <c r="AH339" s="801"/>
      <c r="AI339" s="801"/>
      <c r="AJ339" s="801"/>
      <c r="AK339" s="801"/>
      <c r="AL339" s="801"/>
      <c r="AM339" s="801"/>
      <c r="AN339" s="801"/>
      <c r="AO339" s="801"/>
      <c r="AP339" s="801"/>
      <c r="AQ339" s="801"/>
      <c r="AR339" s="801"/>
      <c r="AS339" s="801"/>
      <c r="AT339" s="801"/>
      <c r="AU339" s="801"/>
      <c r="AV339" s="801"/>
      <c r="AW339" s="801"/>
      <c r="AX339" s="801"/>
      <c r="AY339" s="801"/>
      <c r="AZ339" s="802"/>
      <c r="BA339" s="800"/>
      <c r="BB339" s="801"/>
      <c r="BC339" s="801"/>
      <c r="BD339" s="801"/>
      <c r="BE339" s="801"/>
      <c r="BF339" s="801"/>
      <c r="BG339" s="801"/>
      <c r="BH339" s="801"/>
      <c r="BI339" s="801"/>
      <c r="BJ339" s="801"/>
      <c r="BK339" s="801"/>
      <c r="BL339" s="801"/>
      <c r="BM339" s="801"/>
      <c r="BN339" s="801"/>
      <c r="BO339" s="801"/>
      <c r="BP339" s="801"/>
      <c r="BQ339" s="801"/>
      <c r="BR339" s="801"/>
      <c r="BS339" s="801"/>
      <c r="BT339" s="801"/>
      <c r="BU339" s="801"/>
      <c r="BV339" s="801"/>
      <c r="BW339" s="801"/>
      <c r="BX339" s="801"/>
      <c r="BY339" s="801"/>
      <c r="BZ339" s="802"/>
      <c r="CA339" s="800"/>
      <c r="CB339" s="801"/>
      <c r="CC339" s="801"/>
      <c r="CD339" s="801"/>
      <c r="CE339" s="801"/>
      <c r="CF339" s="801"/>
      <c r="CG339" s="801"/>
      <c r="CH339" s="801"/>
      <c r="CI339" s="801"/>
      <c r="CJ339" s="801"/>
      <c r="CK339" s="801"/>
      <c r="CL339" s="801"/>
      <c r="CM339" s="801"/>
      <c r="CN339" s="801"/>
      <c r="CO339" s="801"/>
      <c r="CP339" s="801"/>
      <c r="CQ339" s="801"/>
      <c r="CR339" s="801"/>
      <c r="CS339" s="801"/>
      <c r="CT339" s="801"/>
      <c r="CU339" s="801"/>
      <c r="CV339" s="801"/>
      <c r="CW339" s="801"/>
      <c r="CX339" s="801"/>
      <c r="CY339" s="801"/>
      <c r="CZ339" s="802"/>
      <c r="DA339" s="800"/>
      <c r="DB339" s="801"/>
      <c r="DC339" s="801"/>
      <c r="DD339" s="801"/>
      <c r="DE339" s="801"/>
      <c r="DF339" s="801"/>
      <c r="DG339" s="801"/>
      <c r="DH339" s="801"/>
      <c r="DI339" s="801"/>
      <c r="DJ339" s="801"/>
      <c r="DK339" s="801"/>
      <c r="DL339" s="801"/>
      <c r="DM339" s="801"/>
      <c r="DN339" s="801"/>
      <c r="DO339" s="801"/>
      <c r="DP339" s="801"/>
      <c r="DQ339" s="801"/>
      <c r="DR339" s="801"/>
      <c r="DS339" s="801"/>
      <c r="DT339" s="801"/>
      <c r="DU339" s="801"/>
      <c r="DV339" s="801"/>
      <c r="DW339" s="801"/>
      <c r="DX339" s="801"/>
      <c r="DY339" s="801"/>
      <c r="DZ339" s="802"/>
      <c r="EA339" s="800"/>
      <c r="EB339" s="801"/>
      <c r="EC339" s="801"/>
      <c r="ED339" s="801"/>
      <c r="EE339" s="801"/>
      <c r="EF339" s="801"/>
      <c r="EG339" s="801"/>
      <c r="EH339" s="801"/>
      <c r="EI339" s="801"/>
      <c r="EJ339" s="801"/>
      <c r="EK339" s="801"/>
      <c r="EL339" s="801"/>
      <c r="EM339" s="801"/>
      <c r="EN339" s="801"/>
      <c r="EO339" s="801"/>
      <c r="EP339" s="801"/>
      <c r="EQ339" s="801"/>
      <c r="ER339" s="801"/>
      <c r="ES339" s="801"/>
      <c r="ET339" s="801"/>
      <c r="EU339" s="801"/>
      <c r="EV339" s="801"/>
      <c r="EW339" s="801"/>
      <c r="EX339" s="801"/>
      <c r="EY339" s="801"/>
      <c r="EZ339" s="802"/>
      <c r="FA339" s="800"/>
      <c r="FB339" s="801"/>
      <c r="FC339" s="801"/>
      <c r="FD339" s="801"/>
      <c r="FE339" s="801"/>
      <c r="FF339" s="801"/>
      <c r="FG339" s="801"/>
      <c r="FH339" s="801"/>
      <c r="FI339" s="801"/>
      <c r="FJ339" s="801"/>
      <c r="FK339" s="801"/>
      <c r="FL339" s="801"/>
      <c r="FM339" s="801"/>
      <c r="FN339" s="801"/>
      <c r="FO339" s="801"/>
      <c r="FP339" s="801"/>
      <c r="FQ339" s="801"/>
      <c r="FR339" s="801"/>
      <c r="FS339" s="801"/>
      <c r="FT339" s="801"/>
      <c r="FU339" s="801"/>
      <c r="FV339" s="801"/>
      <c r="FW339" s="801"/>
      <c r="FX339" s="801"/>
      <c r="FY339" s="801"/>
      <c r="FZ339" s="802"/>
      <c r="GA339" s="800"/>
      <c r="GB339" s="801"/>
      <c r="GC339" s="801"/>
      <c r="GD339" s="801"/>
      <c r="GE339" s="801"/>
      <c r="GF339" s="801"/>
      <c r="GG339" s="801"/>
      <c r="GH339" s="801"/>
      <c r="GI339" s="801"/>
      <c r="GJ339" s="801"/>
      <c r="GK339" s="801"/>
      <c r="GL339" s="801"/>
      <c r="GM339" s="801"/>
      <c r="GN339" s="801"/>
      <c r="GO339" s="801"/>
      <c r="GP339" s="801"/>
      <c r="GQ339" s="801"/>
      <c r="GR339" s="801"/>
      <c r="GS339" s="801"/>
      <c r="GT339" s="801"/>
      <c r="GU339" s="801"/>
      <c r="GV339" s="801"/>
      <c r="GW339" s="801"/>
      <c r="GX339" s="801"/>
      <c r="GY339" s="801"/>
      <c r="GZ339" s="802"/>
      <c r="HA339" s="800"/>
      <c r="HB339" s="801"/>
      <c r="HC339" s="801"/>
      <c r="HD339" s="801"/>
      <c r="HE339" s="801"/>
      <c r="HF339" s="801"/>
      <c r="HG339" s="801"/>
      <c r="HH339" s="801"/>
      <c r="HI339" s="801"/>
      <c r="HJ339" s="801"/>
      <c r="HK339" s="801"/>
      <c r="HL339" s="801"/>
      <c r="HM339" s="801"/>
      <c r="HN339" s="801"/>
      <c r="HO339" s="801"/>
      <c r="HP339" s="801"/>
      <c r="HQ339" s="801"/>
      <c r="HR339" s="801"/>
      <c r="HS339" s="801"/>
      <c r="HT339" s="801"/>
      <c r="HU339" s="801"/>
      <c r="HV339" s="801"/>
      <c r="HW339" s="801"/>
      <c r="HX339" s="801"/>
      <c r="HY339" s="801"/>
      <c r="HZ339" s="802"/>
      <c r="IA339" s="800"/>
      <c r="IB339" s="801"/>
      <c r="IC339" s="801"/>
      <c r="ID339" s="801"/>
      <c r="IE339" s="801"/>
      <c r="IF339" s="801"/>
      <c r="IG339" s="801"/>
      <c r="IH339" s="801"/>
      <c r="II339" s="801"/>
      <c r="IJ339" s="801"/>
      <c r="IK339" s="801"/>
      <c r="IL339" s="801"/>
      <c r="IM339" s="801"/>
      <c r="IN339" s="801"/>
      <c r="IO339" s="801"/>
      <c r="IP339" s="801"/>
      <c r="IQ339" s="801"/>
      <c r="IR339" s="801"/>
      <c r="IS339" s="801"/>
      <c r="IT339" s="801"/>
      <c r="IU339" s="801"/>
      <c r="IV339" s="801"/>
      <c r="IW339" s="801"/>
      <c r="IX339" s="801"/>
      <c r="IY339" s="801"/>
      <c r="IZ339" s="802"/>
    </row>
    <row r="340" spans="1:260" x14ac:dyDescent="0.25">
      <c r="A340" s="800" t="str">
        <f>IFERROR(IF(Z323&gt;A323-1,IF(INDEX(Pedidos!J:AZ,Y323+A323-1,31)&lt;&gt;"","Nombres :     "&amp; INDEX(Pedidos!J:AZ,Y323+A323-1,31),""),""),"")</f>
        <v/>
      </c>
      <c r="B340" s="801"/>
      <c r="C340" s="801"/>
      <c r="D340" s="801"/>
      <c r="E340" s="801"/>
      <c r="F340" s="801"/>
      <c r="G340" s="801"/>
      <c r="H340" s="801"/>
      <c r="I340" s="801"/>
      <c r="J340" s="801"/>
      <c r="K340" s="801"/>
      <c r="L340" s="801"/>
      <c r="M340" s="801"/>
      <c r="N340" s="801"/>
      <c r="O340" s="801"/>
      <c r="P340" s="801"/>
      <c r="Q340" s="801"/>
      <c r="R340" s="801"/>
      <c r="S340" s="801"/>
      <c r="T340" s="801"/>
      <c r="U340" s="801"/>
      <c r="V340" s="801"/>
      <c r="W340" s="801"/>
      <c r="X340" s="801"/>
      <c r="Y340" s="801"/>
      <c r="Z340" s="802"/>
      <c r="AA340" s="800" t="str">
        <f>IFERROR(IF(AZ323&gt;AA323-1,IF(INDEX(Pedidos!AJ:BZ,AY323+AA323-1,31)&lt;&gt;"","Nombres :     "&amp; INDEX(Pedidos!AJ:BZ,AY323+AA323-1,31),""),""),"")</f>
        <v/>
      </c>
      <c r="AB340" s="801"/>
      <c r="AC340" s="801"/>
      <c r="AD340" s="801"/>
      <c r="AE340" s="801"/>
      <c r="AF340" s="801"/>
      <c r="AG340" s="801"/>
      <c r="AH340" s="801"/>
      <c r="AI340" s="801"/>
      <c r="AJ340" s="801"/>
      <c r="AK340" s="801"/>
      <c r="AL340" s="801"/>
      <c r="AM340" s="801"/>
      <c r="AN340" s="801"/>
      <c r="AO340" s="801"/>
      <c r="AP340" s="801"/>
      <c r="AQ340" s="801"/>
      <c r="AR340" s="801"/>
      <c r="AS340" s="801"/>
      <c r="AT340" s="801"/>
      <c r="AU340" s="801"/>
      <c r="AV340" s="801"/>
      <c r="AW340" s="801"/>
      <c r="AX340" s="801"/>
      <c r="AY340" s="801"/>
      <c r="AZ340" s="802"/>
      <c r="BA340" s="800" t="str">
        <f>IFERROR(IF(BZ323&gt;BA323-1,IF(INDEX(Pedidos!BJ:CZ,BY323+BA323-1,31)&lt;&gt;"","Nombres :     "&amp; INDEX(Pedidos!BJ:CZ,BY323+BA323-1,31),""),""),"")</f>
        <v/>
      </c>
      <c r="BB340" s="801"/>
      <c r="BC340" s="801"/>
      <c r="BD340" s="801"/>
      <c r="BE340" s="801"/>
      <c r="BF340" s="801"/>
      <c r="BG340" s="801"/>
      <c r="BH340" s="801"/>
      <c r="BI340" s="801"/>
      <c r="BJ340" s="801"/>
      <c r="BK340" s="801"/>
      <c r="BL340" s="801"/>
      <c r="BM340" s="801"/>
      <c r="BN340" s="801"/>
      <c r="BO340" s="801"/>
      <c r="BP340" s="801"/>
      <c r="BQ340" s="801"/>
      <c r="BR340" s="801"/>
      <c r="BS340" s="801"/>
      <c r="BT340" s="801"/>
      <c r="BU340" s="801"/>
      <c r="BV340" s="801"/>
      <c r="BW340" s="801"/>
      <c r="BX340" s="801"/>
      <c r="BY340" s="801"/>
      <c r="BZ340" s="802"/>
      <c r="CA340" s="800" t="str">
        <f>IFERROR(IF(CZ323&gt;CA323-1,IF(INDEX(Pedidos!CJ:DZ,CY323+CA323-1,31)&lt;&gt;"","Nombres :     "&amp; INDEX(Pedidos!CJ:DZ,CY323+CA323-1,31),""),""),"")</f>
        <v/>
      </c>
      <c r="CB340" s="801"/>
      <c r="CC340" s="801"/>
      <c r="CD340" s="801"/>
      <c r="CE340" s="801"/>
      <c r="CF340" s="801"/>
      <c r="CG340" s="801"/>
      <c r="CH340" s="801"/>
      <c r="CI340" s="801"/>
      <c r="CJ340" s="801"/>
      <c r="CK340" s="801"/>
      <c r="CL340" s="801"/>
      <c r="CM340" s="801"/>
      <c r="CN340" s="801"/>
      <c r="CO340" s="801"/>
      <c r="CP340" s="801"/>
      <c r="CQ340" s="801"/>
      <c r="CR340" s="801"/>
      <c r="CS340" s="801"/>
      <c r="CT340" s="801"/>
      <c r="CU340" s="801"/>
      <c r="CV340" s="801"/>
      <c r="CW340" s="801"/>
      <c r="CX340" s="801"/>
      <c r="CY340" s="801"/>
      <c r="CZ340" s="802"/>
      <c r="DA340" s="800" t="str">
        <f>IFERROR(IF(DZ323&gt;DA323-1,IF(INDEX(Pedidos!DJ:EZ,DY323+DA323-1,31)&lt;&gt;"","Nombres :     "&amp; INDEX(Pedidos!DJ:EZ,DY323+DA323-1,31),""),""),"")</f>
        <v/>
      </c>
      <c r="DB340" s="801"/>
      <c r="DC340" s="801"/>
      <c r="DD340" s="801"/>
      <c r="DE340" s="801"/>
      <c r="DF340" s="801"/>
      <c r="DG340" s="801"/>
      <c r="DH340" s="801"/>
      <c r="DI340" s="801"/>
      <c r="DJ340" s="801"/>
      <c r="DK340" s="801"/>
      <c r="DL340" s="801"/>
      <c r="DM340" s="801"/>
      <c r="DN340" s="801"/>
      <c r="DO340" s="801"/>
      <c r="DP340" s="801"/>
      <c r="DQ340" s="801"/>
      <c r="DR340" s="801"/>
      <c r="DS340" s="801"/>
      <c r="DT340" s="801"/>
      <c r="DU340" s="801"/>
      <c r="DV340" s="801"/>
      <c r="DW340" s="801"/>
      <c r="DX340" s="801"/>
      <c r="DY340" s="801"/>
      <c r="DZ340" s="802"/>
      <c r="EA340" s="800" t="str">
        <f>IFERROR(IF(EZ323&gt;EA323-1,IF(INDEX(Pedidos!EJ:FZ,EY323+EA323-1,31)&lt;&gt;"","Nombres :     "&amp; INDEX(Pedidos!EJ:FZ,EY323+EA323-1,31),""),""),"")</f>
        <v/>
      </c>
      <c r="EB340" s="801"/>
      <c r="EC340" s="801"/>
      <c r="ED340" s="801"/>
      <c r="EE340" s="801"/>
      <c r="EF340" s="801"/>
      <c r="EG340" s="801"/>
      <c r="EH340" s="801"/>
      <c r="EI340" s="801"/>
      <c r="EJ340" s="801"/>
      <c r="EK340" s="801"/>
      <c r="EL340" s="801"/>
      <c r="EM340" s="801"/>
      <c r="EN340" s="801"/>
      <c r="EO340" s="801"/>
      <c r="EP340" s="801"/>
      <c r="EQ340" s="801"/>
      <c r="ER340" s="801"/>
      <c r="ES340" s="801"/>
      <c r="ET340" s="801"/>
      <c r="EU340" s="801"/>
      <c r="EV340" s="801"/>
      <c r="EW340" s="801"/>
      <c r="EX340" s="801"/>
      <c r="EY340" s="801"/>
      <c r="EZ340" s="802"/>
      <c r="FA340" s="800" t="str">
        <f>IFERROR(IF(FZ323&gt;FA323-1,IF(INDEX(Pedidos!FJ:GZ,FY323+FA323-1,31)&lt;&gt;"","Nombres :     "&amp; INDEX(Pedidos!FJ:GZ,FY323+FA323-1,31),""),""),"")</f>
        <v/>
      </c>
      <c r="FB340" s="801"/>
      <c r="FC340" s="801"/>
      <c r="FD340" s="801"/>
      <c r="FE340" s="801"/>
      <c r="FF340" s="801"/>
      <c r="FG340" s="801"/>
      <c r="FH340" s="801"/>
      <c r="FI340" s="801"/>
      <c r="FJ340" s="801"/>
      <c r="FK340" s="801"/>
      <c r="FL340" s="801"/>
      <c r="FM340" s="801"/>
      <c r="FN340" s="801"/>
      <c r="FO340" s="801"/>
      <c r="FP340" s="801"/>
      <c r="FQ340" s="801"/>
      <c r="FR340" s="801"/>
      <c r="FS340" s="801"/>
      <c r="FT340" s="801"/>
      <c r="FU340" s="801"/>
      <c r="FV340" s="801"/>
      <c r="FW340" s="801"/>
      <c r="FX340" s="801"/>
      <c r="FY340" s="801"/>
      <c r="FZ340" s="802"/>
      <c r="GA340" s="800" t="str">
        <f>IFERROR(IF(GZ323&gt;GA323-1,IF(INDEX(Pedidos!GJ:HZ,GY323+GA323-1,31)&lt;&gt;"","Nombres :     "&amp; INDEX(Pedidos!GJ:HZ,GY323+GA323-1,31),""),""),"")</f>
        <v/>
      </c>
      <c r="GB340" s="801"/>
      <c r="GC340" s="801"/>
      <c r="GD340" s="801"/>
      <c r="GE340" s="801"/>
      <c r="GF340" s="801"/>
      <c r="GG340" s="801"/>
      <c r="GH340" s="801"/>
      <c r="GI340" s="801"/>
      <c r="GJ340" s="801"/>
      <c r="GK340" s="801"/>
      <c r="GL340" s="801"/>
      <c r="GM340" s="801"/>
      <c r="GN340" s="801"/>
      <c r="GO340" s="801"/>
      <c r="GP340" s="801"/>
      <c r="GQ340" s="801"/>
      <c r="GR340" s="801"/>
      <c r="GS340" s="801"/>
      <c r="GT340" s="801"/>
      <c r="GU340" s="801"/>
      <c r="GV340" s="801"/>
      <c r="GW340" s="801"/>
      <c r="GX340" s="801"/>
      <c r="GY340" s="801"/>
      <c r="GZ340" s="802"/>
      <c r="HA340" s="800" t="str">
        <f>IFERROR(IF(HZ323&gt;HA323-1,IF(INDEX(Pedidos!HJ:IZ,HY323+HA323-1,31)&lt;&gt;"","Nombres :     "&amp; INDEX(Pedidos!HJ:IZ,HY323+HA323-1,31),""),""),"")</f>
        <v/>
      </c>
      <c r="HB340" s="801"/>
      <c r="HC340" s="801"/>
      <c r="HD340" s="801"/>
      <c r="HE340" s="801"/>
      <c r="HF340" s="801"/>
      <c r="HG340" s="801"/>
      <c r="HH340" s="801"/>
      <c r="HI340" s="801"/>
      <c r="HJ340" s="801"/>
      <c r="HK340" s="801"/>
      <c r="HL340" s="801"/>
      <c r="HM340" s="801"/>
      <c r="HN340" s="801"/>
      <c r="HO340" s="801"/>
      <c r="HP340" s="801"/>
      <c r="HQ340" s="801"/>
      <c r="HR340" s="801"/>
      <c r="HS340" s="801"/>
      <c r="HT340" s="801"/>
      <c r="HU340" s="801"/>
      <c r="HV340" s="801"/>
      <c r="HW340" s="801"/>
      <c r="HX340" s="801"/>
      <c r="HY340" s="801"/>
      <c r="HZ340" s="802"/>
      <c r="IA340" s="800" t="str">
        <f>IFERROR(IF(IZ323&gt;IA323-1,IF(INDEX(Pedidos!IJ:JZ,IY323+IA323-1,31)&lt;&gt;"","Nombres :     "&amp; INDEX(Pedidos!IJ:JZ,IY323+IA323-1,31),""),""),"")</f>
        <v/>
      </c>
      <c r="IB340" s="801"/>
      <c r="IC340" s="801"/>
      <c r="ID340" s="801"/>
      <c r="IE340" s="801"/>
      <c r="IF340" s="801"/>
      <c r="IG340" s="801"/>
      <c r="IH340" s="801"/>
      <c r="II340" s="801"/>
      <c r="IJ340" s="801"/>
      <c r="IK340" s="801"/>
      <c r="IL340" s="801"/>
      <c r="IM340" s="801"/>
      <c r="IN340" s="801"/>
      <c r="IO340" s="801"/>
      <c r="IP340" s="801"/>
      <c r="IQ340" s="801"/>
      <c r="IR340" s="801"/>
      <c r="IS340" s="801"/>
      <c r="IT340" s="801"/>
      <c r="IU340" s="801"/>
      <c r="IV340" s="801"/>
      <c r="IW340" s="801"/>
      <c r="IX340" s="801"/>
      <c r="IY340" s="801"/>
      <c r="IZ340" s="802"/>
    </row>
    <row r="341" spans="1:260" x14ac:dyDescent="0.25">
      <c r="A341" s="820" t="str">
        <f>IFERROR(IF(Z323&gt;A323-1,IF(INDEX(Pedidos!J:AZ,Y323+A323-1,32)&lt;&gt;"","Localización de los Nombres :     "&amp; INDEX(Pedidos!J:AZ,Y323+A323-1,32),""),""),"")</f>
        <v/>
      </c>
      <c r="B341" s="821"/>
      <c r="C341" s="821"/>
      <c r="D341" s="821"/>
      <c r="E341" s="821"/>
      <c r="F341" s="821"/>
      <c r="G341" s="821"/>
      <c r="H341" s="821"/>
      <c r="I341" s="821"/>
      <c r="J341" s="821"/>
      <c r="K341" s="821"/>
      <c r="L341" s="821"/>
      <c r="M341" s="821"/>
      <c r="N341" s="821"/>
      <c r="O341" s="821"/>
      <c r="P341" s="821"/>
      <c r="Q341" s="821"/>
      <c r="R341" s="821"/>
      <c r="S341" s="821"/>
      <c r="T341" s="821"/>
      <c r="U341" s="821"/>
      <c r="V341" s="821"/>
      <c r="W341" s="821"/>
      <c r="X341" s="821"/>
      <c r="Y341" s="821"/>
      <c r="Z341" s="822"/>
      <c r="AA341" s="820" t="str">
        <f>IFERROR(IF(AZ323&gt;AA323-1,IF(INDEX(Pedidos!AJ:BZ,AY323+AA323-1,32)&lt;&gt;"","Localización de los Nombres :     "&amp; INDEX(Pedidos!AJ:BZ,AY323+AA323-1,32),""),""),"")</f>
        <v/>
      </c>
      <c r="AB341" s="821"/>
      <c r="AC341" s="821"/>
      <c r="AD341" s="821"/>
      <c r="AE341" s="821"/>
      <c r="AF341" s="821"/>
      <c r="AG341" s="821"/>
      <c r="AH341" s="821"/>
      <c r="AI341" s="821"/>
      <c r="AJ341" s="821"/>
      <c r="AK341" s="821"/>
      <c r="AL341" s="821"/>
      <c r="AM341" s="821"/>
      <c r="AN341" s="821"/>
      <c r="AO341" s="821"/>
      <c r="AP341" s="821"/>
      <c r="AQ341" s="821"/>
      <c r="AR341" s="821"/>
      <c r="AS341" s="821"/>
      <c r="AT341" s="821"/>
      <c r="AU341" s="821"/>
      <c r="AV341" s="821"/>
      <c r="AW341" s="821"/>
      <c r="AX341" s="821"/>
      <c r="AY341" s="821"/>
      <c r="AZ341" s="822"/>
      <c r="BA341" s="820" t="str">
        <f>IFERROR(IF(BZ323&gt;BA323-1,IF(INDEX(Pedidos!BJ:CZ,BY323+BA323-1,32)&lt;&gt;"","Localización de los Nombres :     "&amp; INDEX(Pedidos!BJ:CZ,BY323+BA323-1,32),""),""),"")</f>
        <v/>
      </c>
      <c r="BB341" s="821"/>
      <c r="BC341" s="821"/>
      <c r="BD341" s="821"/>
      <c r="BE341" s="821"/>
      <c r="BF341" s="821"/>
      <c r="BG341" s="821"/>
      <c r="BH341" s="821"/>
      <c r="BI341" s="821"/>
      <c r="BJ341" s="821"/>
      <c r="BK341" s="821"/>
      <c r="BL341" s="821"/>
      <c r="BM341" s="821"/>
      <c r="BN341" s="821"/>
      <c r="BO341" s="821"/>
      <c r="BP341" s="821"/>
      <c r="BQ341" s="821"/>
      <c r="BR341" s="821"/>
      <c r="BS341" s="821"/>
      <c r="BT341" s="821"/>
      <c r="BU341" s="821"/>
      <c r="BV341" s="821"/>
      <c r="BW341" s="821"/>
      <c r="BX341" s="821"/>
      <c r="BY341" s="821"/>
      <c r="BZ341" s="822"/>
      <c r="CA341" s="820" t="str">
        <f>IFERROR(IF(CZ323&gt;CA323-1,IF(INDEX(Pedidos!CJ:DZ,CY323+CA323-1,32)&lt;&gt;"","Localización de los Nombres :     "&amp; INDEX(Pedidos!CJ:DZ,CY323+CA323-1,32),""),""),"")</f>
        <v/>
      </c>
      <c r="CB341" s="821"/>
      <c r="CC341" s="821"/>
      <c r="CD341" s="821"/>
      <c r="CE341" s="821"/>
      <c r="CF341" s="821"/>
      <c r="CG341" s="821"/>
      <c r="CH341" s="821"/>
      <c r="CI341" s="821"/>
      <c r="CJ341" s="821"/>
      <c r="CK341" s="821"/>
      <c r="CL341" s="821"/>
      <c r="CM341" s="821"/>
      <c r="CN341" s="821"/>
      <c r="CO341" s="821"/>
      <c r="CP341" s="821"/>
      <c r="CQ341" s="821"/>
      <c r="CR341" s="821"/>
      <c r="CS341" s="821"/>
      <c r="CT341" s="821"/>
      <c r="CU341" s="821"/>
      <c r="CV341" s="821"/>
      <c r="CW341" s="821"/>
      <c r="CX341" s="821"/>
      <c r="CY341" s="821"/>
      <c r="CZ341" s="822"/>
      <c r="DA341" s="820" t="str">
        <f>IFERROR(IF(DZ323&gt;DA323-1,IF(INDEX(Pedidos!DJ:EZ,DY323+DA323-1,32)&lt;&gt;"","Localización de los Nombres :     "&amp; INDEX(Pedidos!DJ:EZ,DY323+DA323-1,32),""),""),"")</f>
        <v/>
      </c>
      <c r="DB341" s="821"/>
      <c r="DC341" s="821"/>
      <c r="DD341" s="821"/>
      <c r="DE341" s="821"/>
      <c r="DF341" s="821"/>
      <c r="DG341" s="821"/>
      <c r="DH341" s="821"/>
      <c r="DI341" s="821"/>
      <c r="DJ341" s="821"/>
      <c r="DK341" s="821"/>
      <c r="DL341" s="821"/>
      <c r="DM341" s="821"/>
      <c r="DN341" s="821"/>
      <c r="DO341" s="821"/>
      <c r="DP341" s="821"/>
      <c r="DQ341" s="821"/>
      <c r="DR341" s="821"/>
      <c r="DS341" s="821"/>
      <c r="DT341" s="821"/>
      <c r="DU341" s="821"/>
      <c r="DV341" s="821"/>
      <c r="DW341" s="821"/>
      <c r="DX341" s="821"/>
      <c r="DY341" s="821"/>
      <c r="DZ341" s="822"/>
      <c r="EA341" s="820" t="str">
        <f>IFERROR(IF(EZ323&gt;EA323-1,IF(INDEX(Pedidos!EJ:FZ,EY323+EA323-1,32)&lt;&gt;"","Localización de los Nombres :     "&amp; INDEX(Pedidos!EJ:FZ,EY323+EA323-1,32),""),""),"")</f>
        <v/>
      </c>
      <c r="EB341" s="821"/>
      <c r="EC341" s="821"/>
      <c r="ED341" s="821"/>
      <c r="EE341" s="821"/>
      <c r="EF341" s="821"/>
      <c r="EG341" s="821"/>
      <c r="EH341" s="821"/>
      <c r="EI341" s="821"/>
      <c r="EJ341" s="821"/>
      <c r="EK341" s="821"/>
      <c r="EL341" s="821"/>
      <c r="EM341" s="821"/>
      <c r="EN341" s="821"/>
      <c r="EO341" s="821"/>
      <c r="EP341" s="821"/>
      <c r="EQ341" s="821"/>
      <c r="ER341" s="821"/>
      <c r="ES341" s="821"/>
      <c r="ET341" s="821"/>
      <c r="EU341" s="821"/>
      <c r="EV341" s="821"/>
      <c r="EW341" s="821"/>
      <c r="EX341" s="821"/>
      <c r="EY341" s="821"/>
      <c r="EZ341" s="822"/>
      <c r="FA341" s="820" t="str">
        <f>IFERROR(IF(FZ323&gt;FA323-1,IF(INDEX(Pedidos!FJ:GZ,FY323+FA323-1,32)&lt;&gt;"","Localización de los Nombres :     "&amp; INDEX(Pedidos!FJ:GZ,FY323+FA323-1,32),""),""),"")</f>
        <v/>
      </c>
      <c r="FB341" s="821"/>
      <c r="FC341" s="821"/>
      <c r="FD341" s="821"/>
      <c r="FE341" s="821"/>
      <c r="FF341" s="821"/>
      <c r="FG341" s="821"/>
      <c r="FH341" s="821"/>
      <c r="FI341" s="821"/>
      <c r="FJ341" s="821"/>
      <c r="FK341" s="821"/>
      <c r="FL341" s="821"/>
      <c r="FM341" s="821"/>
      <c r="FN341" s="821"/>
      <c r="FO341" s="821"/>
      <c r="FP341" s="821"/>
      <c r="FQ341" s="821"/>
      <c r="FR341" s="821"/>
      <c r="FS341" s="821"/>
      <c r="FT341" s="821"/>
      <c r="FU341" s="821"/>
      <c r="FV341" s="821"/>
      <c r="FW341" s="821"/>
      <c r="FX341" s="821"/>
      <c r="FY341" s="821"/>
      <c r="FZ341" s="822"/>
      <c r="GA341" s="820" t="str">
        <f>IFERROR(IF(GZ323&gt;GA323-1,IF(INDEX(Pedidos!GJ:HZ,GY323+GA323-1,32)&lt;&gt;"","Localización de los Nombres :     "&amp; INDEX(Pedidos!GJ:HZ,GY323+GA323-1,32),""),""),"")</f>
        <v/>
      </c>
      <c r="GB341" s="821"/>
      <c r="GC341" s="821"/>
      <c r="GD341" s="821"/>
      <c r="GE341" s="821"/>
      <c r="GF341" s="821"/>
      <c r="GG341" s="821"/>
      <c r="GH341" s="821"/>
      <c r="GI341" s="821"/>
      <c r="GJ341" s="821"/>
      <c r="GK341" s="821"/>
      <c r="GL341" s="821"/>
      <c r="GM341" s="821"/>
      <c r="GN341" s="821"/>
      <c r="GO341" s="821"/>
      <c r="GP341" s="821"/>
      <c r="GQ341" s="821"/>
      <c r="GR341" s="821"/>
      <c r="GS341" s="821"/>
      <c r="GT341" s="821"/>
      <c r="GU341" s="821"/>
      <c r="GV341" s="821"/>
      <c r="GW341" s="821"/>
      <c r="GX341" s="821"/>
      <c r="GY341" s="821"/>
      <c r="GZ341" s="822"/>
      <c r="HA341" s="820" t="str">
        <f>IFERROR(IF(HZ323&gt;HA323-1,IF(INDEX(Pedidos!HJ:IZ,HY323+HA323-1,32)&lt;&gt;"","Localización de los Nombres :     "&amp; INDEX(Pedidos!HJ:IZ,HY323+HA323-1,32),""),""),"")</f>
        <v/>
      </c>
      <c r="HB341" s="821"/>
      <c r="HC341" s="821"/>
      <c r="HD341" s="821"/>
      <c r="HE341" s="821"/>
      <c r="HF341" s="821"/>
      <c r="HG341" s="821"/>
      <c r="HH341" s="821"/>
      <c r="HI341" s="821"/>
      <c r="HJ341" s="821"/>
      <c r="HK341" s="821"/>
      <c r="HL341" s="821"/>
      <c r="HM341" s="821"/>
      <c r="HN341" s="821"/>
      <c r="HO341" s="821"/>
      <c r="HP341" s="821"/>
      <c r="HQ341" s="821"/>
      <c r="HR341" s="821"/>
      <c r="HS341" s="821"/>
      <c r="HT341" s="821"/>
      <c r="HU341" s="821"/>
      <c r="HV341" s="821"/>
      <c r="HW341" s="821"/>
      <c r="HX341" s="821"/>
      <c r="HY341" s="821"/>
      <c r="HZ341" s="822"/>
      <c r="IA341" s="820" t="str">
        <f>IFERROR(IF(IZ323&gt;IA323-1,IF(INDEX(Pedidos!IJ:JZ,IY323+IA323-1,32)&lt;&gt;"","Localización de los Nombres :     "&amp; INDEX(Pedidos!IJ:JZ,IY323+IA323-1,32),""),""),"")</f>
        <v/>
      </c>
      <c r="IB341" s="821"/>
      <c r="IC341" s="821"/>
      <c r="ID341" s="821"/>
      <c r="IE341" s="821"/>
      <c r="IF341" s="821"/>
      <c r="IG341" s="821"/>
      <c r="IH341" s="821"/>
      <c r="II341" s="821"/>
      <c r="IJ341" s="821"/>
      <c r="IK341" s="821"/>
      <c r="IL341" s="821"/>
      <c r="IM341" s="821"/>
      <c r="IN341" s="821"/>
      <c r="IO341" s="821"/>
      <c r="IP341" s="821"/>
      <c r="IQ341" s="821"/>
      <c r="IR341" s="821"/>
      <c r="IS341" s="821"/>
      <c r="IT341" s="821"/>
      <c r="IU341" s="821"/>
      <c r="IV341" s="821"/>
      <c r="IW341" s="821"/>
      <c r="IX341" s="821"/>
      <c r="IY341" s="821"/>
      <c r="IZ341" s="822"/>
    </row>
    <row r="342" spans="1:260" x14ac:dyDescent="0.25">
      <c r="A342" s="836" t="str">
        <f>IFERROR(IF(Z323&gt;A323-1,IF(INDEX(Pedidos!J:AZ,Y323+A323-1,37)&lt;&gt;"","Otras Instrucciones Especiales :     "&amp; INDEX(Pedidos!J:AZ,Y323+A323-1,37),""),""),"")</f>
        <v/>
      </c>
      <c r="B342" s="837"/>
      <c r="C342" s="837"/>
      <c r="D342" s="837"/>
      <c r="E342" s="837"/>
      <c r="F342" s="837"/>
      <c r="G342" s="837"/>
      <c r="H342" s="837"/>
      <c r="I342" s="837"/>
      <c r="J342" s="837"/>
      <c r="K342" s="837"/>
      <c r="L342" s="837"/>
      <c r="M342" s="837"/>
      <c r="N342" s="837"/>
      <c r="O342" s="837"/>
      <c r="P342" s="837"/>
      <c r="Q342" s="837"/>
      <c r="R342" s="837"/>
      <c r="S342" s="837"/>
      <c r="T342" s="837"/>
      <c r="U342" s="837"/>
      <c r="V342" s="837"/>
      <c r="W342" s="837"/>
      <c r="X342" s="837"/>
      <c r="Y342" s="837"/>
      <c r="Z342" s="838"/>
      <c r="AA342" s="836" t="str">
        <f>IFERROR(IF(AZ323&gt;AA323-1,IF(INDEX(Pedidos!AJ:BZ,AY323+AA323-1,37)&lt;&gt;"","Otras Instrucciones Especiales :     "&amp; INDEX(Pedidos!AJ:BZ,AY323+AA323-1,37),""),""),"")</f>
        <v/>
      </c>
      <c r="AB342" s="837"/>
      <c r="AC342" s="837"/>
      <c r="AD342" s="837"/>
      <c r="AE342" s="837"/>
      <c r="AF342" s="837"/>
      <c r="AG342" s="837"/>
      <c r="AH342" s="837"/>
      <c r="AI342" s="837"/>
      <c r="AJ342" s="837"/>
      <c r="AK342" s="837"/>
      <c r="AL342" s="837"/>
      <c r="AM342" s="837"/>
      <c r="AN342" s="837"/>
      <c r="AO342" s="837"/>
      <c r="AP342" s="837"/>
      <c r="AQ342" s="837"/>
      <c r="AR342" s="837"/>
      <c r="AS342" s="837"/>
      <c r="AT342" s="837"/>
      <c r="AU342" s="837"/>
      <c r="AV342" s="837"/>
      <c r="AW342" s="837"/>
      <c r="AX342" s="837"/>
      <c r="AY342" s="837"/>
      <c r="AZ342" s="838"/>
      <c r="BA342" s="836" t="str">
        <f>IFERROR(IF(BZ323&gt;BA323-1,IF(INDEX(Pedidos!BJ:CZ,BY323+BA323-1,37)&lt;&gt;"","Otras Instrucciones Especiales :     "&amp; INDEX(Pedidos!BJ:CZ,BY323+BA323-1,37),""),""),"")</f>
        <v/>
      </c>
      <c r="BB342" s="837"/>
      <c r="BC342" s="837"/>
      <c r="BD342" s="837"/>
      <c r="BE342" s="837"/>
      <c r="BF342" s="837"/>
      <c r="BG342" s="837"/>
      <c r="BH342" s="837"/>
      <c r="BI342" s="837"/>
      <c r="BJ342" s="837"/>
      <c r="BK342" s="837"/>
      <c r="BL342" s="837"/>
      <c r="BM342" s="837"/>
      <c r="BN342" s="837"/>
      <c r="BO342" s="837"/>
      <c r="BP342" s="837"/>
      <c r="BQ342" s="837"/>
      <c r="BR342" s="837"/>
      <c r="BS342" s="837"/>
      <c r="BT342" s="837"/>
      <c r="BU342" s="837"/>
      <c r="BV342" s="837"/>
      <c r="BW342" s="837"/>
      <c r="BX342" s="837"/>
      <c r="BY342" s="837"/>
      <c r="BZ342" s="838"/>
      <c r="CA342" s="836" t="str">
        <f>IFERROR(IF(CZ323&gt;CA323-1,IF(INDEX(Pedidos!CJ:DZ,CY323+CA323-1,37)&lt;&gt;"","Otras Instrucciones Especiales :     "&amp; INDEX(Pedidos!CJ:DZ,CY323+CA323-1,37),""),""),"")</f>
        <v/>
      </c>
      <c r="CB342" s="837"/>
      <c r="CC342" s="837"/>
      <c r="CD342" s="837"/>
      <c r="CE342" s="837"/>
      <c r="CF342" s="837"/>
      <c r="CG342" s="837"/>
      <c r="CH342" s="837"/>
      <c r="CI342" s="837"/>
      <c r="CJ342" s="837"/>
      <c r="CK342" s="837"/>
      <c r="CL342" s="837"/>
      <c r="CM342" s="837"/>
      <c r="CN342" s="837"/>
      <c r="CO342" s="837"/>
      <c r="CP342" s="837"/>
      <c r="CQ342" s="837"/>
      <c r="CR342" s="837"/>
      <c r="CS342" s="837"/>
      <c r="CT342" s="837"/>
      <c r="CU342" s="837"/>
      <c r="CV342" s="837"/>
      <c r="CW342" s="837"/>
      <c r="CX342" s="837"/>
      <c r="CY342" s="837"/>
      <c r="CZ342" s="838"/>
      <c r="DA342" s="836" t="str">
        <f>IFERROR(IF(DZ323&gt;DA323-1,IF(INDEX(Pedidos!DJ:EZ,DY323+DA323-1,37)&lt;&gt;"","Otras Instrucciones Especiales :     "&amp; INDEX(Pedidos!DJ:EZ,DY323+DA323-1,37),""),""),"")</f>
        <v/>
      </c>
      <c r="DB342" s="837"/>
      <c r="DC342" s="837"/>
      <c r="DD342" s="837"/>
      <c r="DE342" s="837"/>
      <c r="DF342" s="837"/>
      <c r="DG342" s="837"/>
      <c r="DH342" s="837"/>
      <c r="DI342" s="837"/>
      <c r="DJ342" s="837"/>
      <c r="DK342" s="837"/>
      <c r="DL342" s="837"/>
      <c r="DM342" s="837"/>
      <c r="DN342" s="837"/>
      <c r="DO342" s="837"/>
      <c r="DP342" s="837"/>
      <c r="DQ342" s="837"/>
      <c r="DR342" s="837"/>
      <c r="DS342" s="837"/>
      <c r="DT342" s="837"/>
      <c r="DU342" s="837"/>
      <c r="DV342" s="837"/>
      <c r="DW342" s="837"/>
      <c r="DX342" s="837"/>
      <c r="DY342" s="837"/>
      <c r="DZ342" s="838"/>
      <c r="EA342" s="836" t="str">
        <f>IFERROR(IF(EZ323&gt;EA323-1,IF(INDEX(Pedidos!EJ:FZ,EY323+EA323-1,37)&lt;&gt;"","Otras Instrucciones Especiales :     "&amp; INDEX(Pedidos!EJ:FZ,EY323+EA323-1,37),""),""),"")</f>
        <v/>
      </c>
      <c r="EB342" s="837"/>
      <c r="EC342" s="837"/>
      <c r="ED342" s="837"/>
      <c r="EE342" s="837"/>
      <c r="EF342" s="837"/>
      <c r="EG342" s="837"/>
      <c r="EH342" s="837"/>
      <c r="EI342" s="837"/>
      <c r="EJ342" s="837"/>
      <c r="EK342" s="837"/>
      <c r="EL342" s="837"/>
      <c r="EM342" s="837"/>
      <c r="EN342" s="837"/>
      <c r="EO342" s="837"/>
      <c r="EP342" s="837"/>
      <c r="EQ342" s="837"/>
      <c r="ER342" s="837"/>
      <c r="ES342" s="837"/>
      <c r="ET342" s="837"/>
      <c r="EU342" s="837"/>
      <c r="EV342" s="837"/>
      <c r="EW342" s="837"/>
      <c r="EX342" s="837"/>
      <c r="EY342" s="837"/>
      <c r="EZ342" s="838"/>
      <c r="FA342" s="836" t="str">
        <f>IFERROR(IF(FZ323&gt;FA323-1,IF(INDEX(Pedidos!FJ:GZ,FY323+FA323-1,37)&lt;&gt;"","Otras Instrucciones Especiales :     "&amp; INDEX(Pedidos!FJ:GZ,FY323+FA323-1,37),""),""),"")</f>
        <v/>
      </c>
      <c r="FB342" s="837"/>
      <c r="FC342" s="837"/>
      <c r="FD342" s="837"/>
      <c r="FE342" s="837"/>
      <c r="FF342" s="837"/>
      <c r="FG342" s="837"/>
      <c r="FH342" s="837"/>
      <c r="FI342" s="837"/>
      <c r="FJ342" s="837"/>
      <c r="FK342" s="837"/>
      <c r="FL342" s="837"/>
      <c r="FM342" s="837"/>
      <c r="FN342" s="837"/>
      <c r="FO342" s="837"/>
      <c r="FP342" s="837"/>
      <c r="FQ342" s="837"/>
      <c r="FR342" s="837"/>
      <c r="FS342" s="837"/>
      <c r="FT342" s="837"/>
      <c r="FU342" s="837"/>
      <c r="FV342" s="837"/>
      <c r="FW342" s="837"/>
      <c r="FX342" s="837"/>
      <c r="FY342" s="837"/>
      <c r="FZ342" s="838"/>
      <c r="GA342" s="836" t="str">
        <f>IFERROR(IF(GZ323&gt;GA323-1,IF(INDEX(Pedidos!GJ:HZ,GY323+GA323-1,37)&lt;&gt;"","Otras Instrucciones Especiales :     "&amp; INDEX(Pedidos!GJ:HZ,GY323+GA323-1,37),""),""),"")</f>
        <v/>
      </c>
      <c r="GB342" s="837"/>
      <c r="GC342" s="837"/>
      <c r="GD342" s="837"/>
      <c r="GE342" s="837"/>
      <c r="GF342" s="837"/>
      <c r="GG342" s="837"/>
      <c r="GH342" s="837"/>
      <c r="GI342" s="837"/>
      <c r="GJ342" s="837"/>
      <c r="GK342" s="837"/>
      <c r="GL342" s="837"/>
      <c r="GM342" s="837"/>
      <c r="GN342" s="837"/>
      <c r="GO342" s="837"/>
      <c r="GP342" s="837"/>
      <c r="GQ342" s="837"/>
      <c r="GR342" s="837"/>
      <c r="GS342" s="837"/>
      <c r="GT342" s="837"/>
      <c r="GU342" s="837"/>
      <c r="GV342" s="837"/>
      <c r="GW342" s="837"/>
      <c r="GX342" s="837"/>
      <c r="GY342" s="837"/>
      <c r="GZ342" s="838"/>
      <c r="HA342" s="836" t="str">
        <f>IFERROR(IF(HZ323&gt;HA323-1,IF(INDEX(Pedidos!HJ:IZ,HY323+HA323-1,37)&lt;&gt;"","Otras Instrucciones Especiales :     "&amp; INDEX(Pedidos!HJ:IZ,HY323+HA323-1,37),""),""),"")</f>
        <v/>
      </c>
      <c r="HB342" s="837"/>
      <c r="HC342" s="837"/>
      <c r="HD342" s="837"/>
      <c r="HE342" s="837"/>
      <c r="HF342" s="837"/>
      <c r="HG342" s="837"/>
      <c r="HH342" s="837"/>
      <c r="HI342" s="837"/>
      <c r="HJ342" s="837"/>
      <c r="HK342" s="837"/>
      <c r="HL342" s="837"/>
      <c r="HM342" s="837"/>
      <c r="HN342" s="837"/>
      <c r="HO342" s="837"/>
      <c r="HP342" s="837"/>
      <c r="HQ342" s="837"/>
      <c r="HR342" s="837"/>
      <c r="HS342" s="837"/>
      <c r="HT342" s="837"/>
      <c r="HU342" s="837"/>
      <c r="HV342" s="837"/>
      <c r="HW342" s="837"/>
      <c r="HX342" s="837"/>
      <c r="HY342" s="837"/>
      <c r="HZ342" s="838"/>
      <c r="IA342" s="836" t="str">
        <f>IFERROR(IF(IZ323&gt;IA323-1,IF(INDEX(Pedidos!IJ:JZ,IY323+IA323-1,37)&lt;&gt;"","Otras Instrucciones Especiales :     "&amp; INDEX(Pedidos!IJ:JZ,IY323+IA323-1,37),""),""),"")</f>
        <v/>
      </c>
      <c r="IB342" s="837"/>
      <c r="IC342" s="837"/>
      <c r="ID342" s="837"/>
      <c r="IE342" s="837"/>
      <c r="IF342" s="837"/>
      <c r="IG342" s="837"/>
      <c r="IH342" s="837"/>
      <c r="II342" s="837"/>
      <c r="IJ342" s="837"/>
      <c r="IK342" s="837"/>
      <c r="IL342" s="837"/>
      <c r="IM342" s="837"/>
      <c r="IN342" s="837"/>
      <c r="IO342" s="837"/>
      <c r="IP342" s="837"/>
      <c r="IQ342" s="837"/>
      <c r="IR342" s="837"/>
      <c r="IS342" s="837"/>
      <c r="IT342" s="837"/>
      <c r="IU342" s="837"/>
      <c r="IV342" s="837"/>
      <c r="IW342" s="837"/>
      <c r="IX342" s="837"/>
      <c r="IY342" s="837"/>
      <c r="IZ342" s="838"/>
    </row>
    <row r="343" spans="1:260" ht="15.75" thickBot="1" x14ac:dyDescent="0.3">
      <c r="A343" s="839"/>
      <c r="B343" s="840"/>
      <c r="C343" s="840"/>
      <c r="D343" s="840"/>
      <c r="E343" s="840"/>
      <c r="F343" s="840"/>
      <c r="G343" s="840"/>
      <c r="H343" s="840"/>
      <c r="I343" s="840"/>
      <c r="J343" s="840"/>
      <c r="K343" s="840"/>
      <c r="L343" s="840"/>
      <c r="M343" s="840"/>
      <c r="N343" s="840"/>
      <c r="O343" s="840"/>
      <c r="P343" s="840"/>
      <c r="Q343" s="840"/>
      <c r="R343" s="840"/>
      <c r="S343" s="840"/>
      <c r="T343" s="840"/>
      <c r="U343" s="840"/>
      <c r="V343" s="840"/>
      <c r="W343" s="840"/>
      <c r="X343" s="840"/>
      <c r="Y343" s="840"/>
      <c r="Z343" s="841"/>
      <c r="AA343" s="839"/>
      <c r="AB343" s="840"/>
      <c r="AC343" s="840"/>
      <c r="AD343" s="840"/>
      <c r="AE343" s="840"/>
      <c r="AF343" s="840"/>
      <c r="AG343" s="840"/>
      <c r="AH343" s="840"/>
      <c r="AI343" s="840"/>
      <c r="AJ343" s="840"/>
      <c r="AK343" s="840"/>
      <c r="AL343" s="840"/>
      <c r="AM343" s="840"/>
      <c r="AN343" s="840"/>
      <c r="AO343" s="840"/>
      <c r="AP343" s="840"/>
      <c r="AQ343" s="840"/>
      <c r="AR343" s="840"/>
      <c r="AS343" s="840"/>
      <c r="AT343" s="840"/>
      <c r="AU343" s="840"/>
      <c r="AV343" s="840"/>
      <c r="AW343" s="840"/>
      <c r="AX343" s="840"/>
      <c r="AY343" s="840"/>
      <c r="AZ343" s="841"/>
      <c r="BA343" s="839"/>
      <c r="BB343" s="840"/>
      <c r="BC343" s="840"/>
      <c r="BD343" s="840"/>
      <c r="BE343" s="840"/>
      <c r="BF343" s="840"/>
      <c r="BG343" s="840"/>
      <c r="BH343" s="840"/>
      <c r="BI343" s="840"/>
      <c r="BJ343" s="840"/>
      <c r="BK343" s="840"/>
      <c r="BL343" s="840"/>
      <c r="BM343" s="840"/>
      <c r="BN343" s="840"/>
      <c r="BO343" s="840"/>
      <c r="BP343" s="840"/>
      <c r="BQ343" s="840"/>
      <c r="BR343" s="840"/>
      <c r="BS343" s="840"/>
      <c r="BT343" s="840"/>
      <c r="BU343" s="840"/>
      <c r="BV343" s="840"/>
      <c r="BW343" s="840"/>
      <c r="BX343" s="840"/>
      <c r="BY343" s="840"/>
      <c r="BZ343" s="841"/>
      <c r="CA343" s="839"/>
      <c r="CB343" s="840"/>
      <c r="CC343" s="840"/>
      <c r="CD343" s="840"/>
      <c r="CE343" s="840"/>
      <c r="CF343" s="840"/>
      <c r="CG343" s="840"/>
      <c r="CH343" s="840"/>
      <c r="CI343" s="840"/>
      <c r="CJ343" s="840"/>
      <c r="CK343" s="840"/>
      <c r="CL343" s="840"/>
      <c r="CM343" s="840"/>
      <c r="CN343" s="840"/>
      <c r="CO343" s="840"/>
      <c r="CP343" s="840"/>
      <c r="CQ343" s="840"/>
      <c r="CR343" s="840"/>
      <c r="CS343" s="840"/>
      <c r="CT343" s="840"/>
      <c r="CU343" s="840"/>
      <c r="CV343" s="840"/>
      <c r="CW343" s="840"/>
      <c r="CX343" s="840"/>
      <c r="CY343" s="840"/>
      <c r="CZ343" s="841"/>
      <c r="DA343" s="839"/>
      <c r="DB343" s="840"/>
      <c r="DC343" s="840"/>
      <c r="DD343" s="840"/>
      <c r="DE343" s="840"/>
      <c r="DF343" s="840"/>
      <c r="DG343" s="840"/>
      <c r="DH343" s="840"/>
      <c r="DI343" s="840"/>
      <c r="DJ343" s="840"/>
      <c r="DK343" s="840"/>
      <c r="DL343" s="840"/>
      <c r="DM343" s="840"/>
      <c r="DN343" s="840"/>
      <c r="DO343" s="840"/>
      <c r="DP343" s="840"/>
      <c r="DQ343" s="840"/>
      <c r="DR343" s="840"/>
      <c r="DS343" s="840"/>
      <c r="DT343" s="840"/>
      <c r="DU343" s="840"/>
      <c r="DV343" s="840"/>
      <c r="DW343" s="840"/>
      <c r="DX343" s="840"/>
      <c r="DY343" s="840"/>
      <c r="DZ343" s="841"/>
      <c r="EA343" s="839"/>
      <c r="EB343" s="840"/>
      <c r="EC343" s="840"/>
      <c r="ED343" s="840"/>
      <c r="EE343" s="840"/>
      <c r="EF343" s="840"/>
      <c r="EG343" s="840"/>
      <c r="EH343" s="840"/>
      <c r="EI343" s="840"/>
      <c r="EJ343" s="840"/>
      <c r="EK343" s="840"/>
      <c r="EL343" s="840"/>
      <c r="EM343" s="840"/>
      <c r="EN343" s="840"/>
      <c r="EO343" s="840"/>
      <c r="EP343" s="840"/>
      <c r="EQ343" s="840"/>
      <c r="ER343" s="840"/>
      <c r="ES343" s="840"/>
      <c r="ET343" s="840"/>
      <c r="EU343" s="840"/>
      <c r="EV343" s="840"/>
      <c r="EW343" s="840"/>
      <c r="EX343" s="840"/>
      <c r="EY343" s="840"/>
      <c r="EZ343" s="841"/>
      <c r="FA343" s="839"/>
      <c r="FB343" s="840"/>
      <c r="FC343" s="840"/>
      <c r="FD343" s="840"/>
      <c r="FE343" s="840"/>
      <c r="FF343" s="840"/>
      <c r="FG343" s="840"/>
      <c r="FH343" s="840"/>
      <c r="FI343" s="840"/>
      <c r="FJ343" s="840"/>
      <c r="FK343" s="840"/>
      <c r="FL343" s="840"/>
      <c r="FM343" s="840"/>
      <c r="FN343" s="840"/>
      <c r="FO343" s="840"/>
      <c r="FP343" s="840"/>
      <c r="FQ343" s="840"/>
      <c r="FR343" s="840"/>
      <c r="FS343" s="840"/>
      <c r="FT343" s="840"/>
      <c r="FU343" s="840"/>
      <c r="FV343" s="840"/>
      <c r="FW343" s="840"/>
      <c r="FX343" s="840"/>
      <c r="FY343" s="840"/>
      <c r="FZ343" s="841"/>
      <c r="GA343" s="839"/>
      <c r="GB343" s="840"/>
      <c r="GC343" s="840"/>
      <c r="GD343" s="840"/>
      <c r="GE343" s="840"/>
      <c r="GF343" s="840"/>
      <c r="GG343" s="840"/>
      <c r="GH343" s="840"/>
      <c r="GI343" s="840"/>
      <c r="GJ343" s="840"/>
      <c r="GK343" s="840"/>
      <c r="GL343" s="840"/>
      <c r="GM343" s="840"/>
      <c r="GN343" s="840"/>
      <c r="GO343" s="840"/>
      <c r="GP343" s="840"/>
      <c r="GQ343" s="840"/>
      <c r="GR343" s="840"/>
      <c r="GS343" s="840"/>
      <c r="GT343" s="840"/>
      <c r="GU343" s="840"/>
      <c r="GV343" s="840"/>
      <c r="GW343" s="840"/>
      <c r="GX343" s="840"/>
      <c r="GY343" s="840"/>
      <c r="GZ343" s="841"/>
      <c r="HA343" s="839"/>
      <c r="HB343" s="840"/>
      <c r="HC343" s="840"/>
      <c r="HD343" s="840"/>
      <c r="HE343" s="840"/>
      <c r="HF343" s="840"/>
      <c r="HG343" s="840"/>
      <c r="HH343" s="840"/>
      <c r="HI343" s="840"/>
      <c r="HJ343" s="840"/>
      <c r="HK343" s="840"/>
      <c r="HL343" s="840"/>
      <c r="HM343" s="840"/>
      <c r="HN343" s="840"/>
      <c r="HO343" s="840"/>
      <c r="HP343" s="840"/>
      <c r="HQ343" s="840"/>
      <c r="HR343" s="840"/>
      <c r="HS343" s="840"/>
      <c r="HT343" s="840"/>
      <c r="HU343" s="840"/>
      <c r="HV343" s="840"/>
      <c r="HW343" s="840"/>
      <c r="HX343" s="840"/>
      <c r="HY343" s="840"/>
      <c r="HZ343" s="841"/>
      <c r="IA343" s="839"/>
      <c r="IB343" s="840"/>
      <c r="IC343" s="840"/>
      <c r="ID343" s="840"/>
      <c r="IE343" s="840"/>
      <c r="IF343" s="840"/>
      <c r="IG343" s="840"/>
      <c r="IH343" s="840"/>
      <c r="II343" s="840"/>
      <c r="IJ343" s="840"/>
      <c r="IK343" s="840"/>
      <c r="IL343" s="840"/>
      <c r="IM343" s="840"/>
      <c r="IN343" s="840"/>
      <c r="IO343" s="840"/>
      <c r="IP343" s="840"/>
      <c r="IQ343" s="840"/>
      <c r="IR343" s="840"/>
      <c r="IS343" s="840"/>
      <c r="IT343" s="840"/>
      <c r="IU343" s="840"/>
      <c r="IV343" s="840"/>
      <c r="IW343" s="840"/>
      <c r="IX343" s="840"/>
      <c r="IY343" s="840"/>
      <c r="IZ343" s="841"/>
    </row>
    <row r="344" spans="1:260" x14ac:dyDescent="0.25">
      <c r="AA344" s="518"/>
      <c r="AB344" s="518"/>
      <c r="AC344" s="518"/>
      <c r="AD344" s="518"/>
      <c r="AE344" s="518"/>
      <c r="AF344" s="518"/>
      <c r="AG344" s="518"/>
      <c r="AH344" s="518"/>
      <c r="AI344" s="518"/>
      <c r="AJ344" s="518"/>
      <c r="AK344" s="518"/>
      <c r="AL344" s="518"/>
      <c r="AM344" s="518"/>
      <c r="AN344" s="518"/>
      <c r="AO344" s="518"/>
      <c r="AP344" s="518"/>
      <c r="AQ344" s="518"/>
      <c r="AR344" s="518"/>
      <c r="AS344" s="518"/>
      <c r="AT344" s="518"/>
      <c r="AU344" s="518"/>
      <c r="AV344" s="518"/>
      <c r="AW344" s="518"/>
    </row>
    <row r="345" spans="1:260" ht="15.75" thickBot="1" x14ac:dyDescent="0.3">
      <c r="A345" s="529">
        <v>16</v>
      </c>
      <c r="B345" s="529"/>
      <c r="C345" s="529"/>
      <c r="D345" s="529"/>
      <c r="E345" s="529"/>
      <c r="F345" s="529"/>
      <c r="G345" s="529"/>
      <c r="H345" s="529"/>
      <c r="I345" s="529"/>
      <c r="J345" s="529">
        <v>18</v>
      </c>
      <c r="K345" s="529">
        <v>19</v>
      </c>
      <c r="L345" s="529">
        <v>20</v>
      </c>
      <c r="M345" s="529">
        <v>21</v>
      </c>
      <c r="N345" s="529">
        <v>22</v>
      </c>
      <c r="O345" s="529">
        <v>23</v>
      </c>
      <c r="P345" s="529">
        <v>24</v>
      </c>
      <c r="Q345" s="529">
        <v>25</v>
      </c>
      <c r="R345" s="529">
        <v>26</v>
      </c>
      <c r="S345" s="529">
        <v>27</v>
      </c>
      <c r="T345" s="529">
        <v>28</v>
      </c>
      <c r="U345" s="529">
        <v>29</v>
      </c>
      <c r="V345" s="529">
        <v>30</v>
      </c>
      <c r="W345" s="529"/>
      <c r="X345" s="529"/>
      <c r="Y345" s="529" t="str">
        <f>IFERROR(IF(COUNTIF(Pedidos!$J:$J,Q$2)&gt;A345-1,MATCH(Q$2,Pedidos!$J:$J,0),""),"")</f>
        <v/>
      </c>
      <c r="Z345" s="529">
        <f>IFERROR(IF(Y345="",0,COUNTIF(Pedidos!$J:$J,Procesos!Q$2)),"")</f>
        <v>0</v>
      </c>
      <c r="AA345" s="529">
        <v>16</v>
      </c>
      <c r="AB345" s="529"/>
      <c r="AC345" s="529"/>
      <c r="AD345" s="529"/>
      <c r="AE345" s="529"/>
      <c r="AF345" s="529"/>
      <c r="AG345" s="529"/>
      <c r="AH345" s="529"/>
      <c r="AI345" s="529"/>
      <c r="AJ345" s="529">
        <v>18</v>
      </c>
      <c r="AK345" s="529">
        <v>19</v>
      </c>
      <c r="AL345" s="529">
        <v>20</v>
      </c>
      <c r="AM345" s="529">
        <v>21</v>
      </c>
      <c r="AN345" s="529">
        <v>22</v>
      </c>
      <c r="AO345" s="529">
        <v>23</v>
      </c>
      <c r="AP345" s="529">
        <v>24</v>
      </c>
      <c r="AQ345" s="529">
        <v>25</v>
      </c>
      <c r="AR345" s="529">
        <v>26</v>
      </c>
      <c r="AS345" s="529">
        <v>27</v>
      </c>
      <c r="AT345" s="529">
        <v>28</v>
      </c>
      <c r="AU345" s="529">
        <v>29</v>
      </c>
      <c r="AV345" s="529">
        <v>30</v>
      </c>
      <c r="AW345" s="529"/>
      <c r="AX345" s="529"/>
      <c r="AY345" s="529" t="str">
        <f>IFERROR(IF(COUNTIF(Pedidos!$J:$J,AQ$2)&gt;AA345-1,MATCH(AQ$2,Pedidos!$J:$J,0),""),"")</f>
        <v/>
      </c>
      <c r="AZ345" s="529">
        <f>IFERROR(IF(AY345="",0,COUNTIF(Pedidos!$J:$J,Procesos!AQ$2)),"")</f>
        <v>0</v>
      </c>
      <c r="BA345" s="529">
        <v>16</v>
      </c>
      <c r="BB345" s="529"/>
      <c r="BC345" s="529"/>
      <c r="BD345" s="529"/>
      <c r="BE345" s="529"/>
      <c r="BF345" s="529"/>
      <c r="BG345" s="529"/>
      <c r="BH345" s="529"/>
      <c r="BI345" s="529"/>
      <c r="BJ345" s="529">
        <v>18</v>
      </c>
      <c r="BK345" s="529">
        <v>19</v>
      </c>
      <c r="BL345" s="529">
        <v>20</v>
      </c>
      <c r="BM345" s="529">
        <v>21</v>
      </c>
      <c r="BN345" s="529">
        <v>22</v>
      </c>
      <c r="BO345" s="529">
        <v>23</v>
      </c>
      <c r="BP345" s="529">
        <v>24</v>
      </c>
      <c r="BQ345" s="529">
        <v>25</v>
      </c>
      <c r="BR345" s="529">
        <v>26</v>
      </c>
      <c r="BS345" s="529">
        <v>27</v>
      </c>
      <c r="BT345" s="529">
        <v>28</v>
      </c>
      <c r="BU345" s="529">
        <v>29</v>
      </c>
      <c r="BV345" s="529">
        <v>30</v>
      </c>
      <c r="BW345" s="529"/>
      <c r="BX345" s="529"/>
      <c r="BY345" s="529" t="str">
        <f>IFERROR(IF(COUNTIF(Pedidos!$J:$J,BQ$2)&gt;BA345-1,MATCH(BQ$2,Pedidos!$J:$J,0),""),"")</f>
        <v/>
      </c>
      <c r="BZ345" s="529">
        <f>IFERROR(IF(BY345="",0,COUNTIF(Pedidos!$J:$J,Procesos!BQ$2)),"")</f>
        <v>0</v>
      </c>
      <c r="CA345" s="529">
        <v>16</v>
      </c>
      <c r="CB345" s="529"/>
      <c r="CC345" s="529"/>
      <c r="CD345" s="529"/>
      <c r="CE345" s="529"/>
      <c r="CF345" s="529"/>
      <c r="CG345" s="529"/>
      <c r="CH345" s="529"/>
      <c r="CI345" s="529"/>
      <c r="CJ345" s="529">
        <v>18</v>
      </c>
      <c r="CK345" s="529">
        <v>19</v>
      </c>
      <c r="CL345" s="529">
        <v>20</v>
      </c>
      <c r="CM345" s="529">
        <v>21</v>
      </c>
      <c r="CN345" s="529">
        <v>22</v>
      </c>
      <c r="CO345" s="529">
        <v>23</v>
      </c>
      <c r="CP345" s="529">
        <v>24</v>
      </c>
      <c r="CQ345" s="529">
        <v>25</v>
      </c>
      <c r="CR345" s="529">
        <v>26</v>
      </c>
      <c r="CS345" s="529">
        <v>27</v>
      </c>
      <c r="CT345" s="529">
        <v>28</v>
      </c>
      <c r="CU345" s="529">
        <v>29</v>
      </c>
      <c r="CV345" s="529">
        <v>30</v>
      </c>
      <c r="CW345" s="529"/>
      <c r="CX345" s="529"/>
      <c r="CY345" s="529" t="str">
        <f>IFERROR(IF(COUNTIF(Pedidos!$J:$J,CQ$2)&gt;CA345-1,MATCH(CQ$2,Pedidos!$J:$J,0),""),"")</f>
        <v/>
      </c>
      <c r="CZ345" s="529">
        <f>IFERROR(IF(CY345="",0,COUNTIF(Pedidos!$J:$J,Procesos!CQ$2)),"")</f>
        <v>0</v>
      </c>
      <c r="DA345" s="529">
        <v>16</v>
      </c>
      <c r="DB345" s="529"/>
      <c r="DC345" s="529"/>
      <c r="DD345" s="529"/>
      <c r="DE345" s="529"/>
      <c r="DF345" s="529"/>
      <c r="DG345" s="529"/>
      <c r="DH345" s="529"/>
      <c r="DI345" s="529"/>
      <c r="DJ345" s="529">
        <v>18</v>
      </c>
      <c r="DK345" s="529">
        <v>19</v>
      </c>
      <c r="DL345" s="529">
        <v>20</v>
      </c>
      <c r="DM345" s="529">
        <v>21</v>
      </c>
      <c r="DN345" s="529">
        <v>22</v>
      </c>
      <c r="DO345" s="529">
        <v>23</v>
      </c>
      <c r="DP345" s="529">
        <v>24</v>
      </c>
      <c r="DQ345" s="529">
        <v>25</v>
      </c>
      <c r="DR345" s="529">
        <v>26</v>
      </c>
      <c r="DS345" s="529">
        <v>27</v>
      </c>
      <c r="DT345" s="529">
        <v>28</v>
      </c>
      <c r="DU345" s="529">
        <v>29</v>
      </c>
      <c r="DV345" s="529">
        <v>30</v>
      </c>
      <c r="DW345" s="529"/>
      <c r="DX345" s="529"/>
      <c r="DY345" s="529" t="str">
        <f>IFERROR(IF(COUNTIF(Pedidos!$J:$J,DQ$2)&gt;DA345-1,MATCH(DQ$2,Pedidos!$J:$J,0),""),"")</f>
        <v/>
      </c>
      <c r="DZ345" s="529">
        <f>IFERROR(IF(DY345="",0,COUNTIF(Pedidos!$J:$J,Procesos!DQ$2)),"")</f>
        <v>0</v>
      </c>
      <c r="EA345" s="529">
        <v>16</v>
      </c>
      <c r="EB345" s="529"/>
      <c r="EC345" s="529"/>
      <c r="ED345" s="529"/>
      <c r="EE345" s="529"/>
      <c r="EF345" s="529"/>
      <c r="EG345" s="529"/>
      <c r="EH345" s="529"/>
      <c r="EI345" s="529"/>
      <c r="EJ345" s="529">
        <v>18</v>
      </c>
      <c r="EK345" s="529">
        <v>19</v>
      </c>
      <c r="EL345" s="529">
        <v>20</v>
      </c>
      <c r="EM345" s="529">
        <v>21</v>
      </c>
      <c r="EN345" s="529">
        <v>22</v>
      </c>
      <c r="EO345" s="529">
        <v>23</v>
      </c>
      <c r="EP345" s="529">
        <v>24</v>
      </c>
      <c r="EQ345" s="529">
        <v>25</v>
      </c>
      <c r="ER345" s="529">
        <v>26</v>
      </c>
      <c r="ES345" s="529">
        <v>27</v>
      </c>
      <c r="ET345" s="529">
        <v>28</v>
      </c>
      <c r="EU345" s="529">
        <v>29</v>
      </c>
      <c r="EV345" s="529">
        <v>30</v>
      </c>
      <c r="EW345" s="529"/>
      <c r="EX345" s="529"/>
      <c r="EY345" s="529" t="str">
        <f>IFERROR(IF(COUNTIF(Pedidos!$J:$J,EQ$2)&gt;EA345-1,MATCH(EQ$2,Pedidos!$J:$J,0),""),"")</f>
        <v/>
      </c>
      <c r="EZ345" s="529">
        <f>IFERROR(IF(EY345="",0,COUNTIF(Pedidos!$J:$J,Procesos!EQ$2)),"")</f>
        <v>0</v>
      </c>
      <c r="FA345" s="529">
        <v>16</v>
      </c>
      <c r="FB345" s="529"/>
      <c r="FC345" s="529"/>
      <c r="FD345" s="529"/>
      <c r="FE345" s="529"/>
      <c r="FF345" s="529"/>
      <c r="FG345" s="529"/>
      <c r="FH345" s="529"/>
      <c r="FI345" s="529"/>
      <c r="FJ345" s="529">
        <v>18</v>
      </c>
      <c r="FK345" s="529">
        <v>19</v>
      </c>
      <c r="FL345" s="529">
        <v>20</v>
      </c>
      <c r="FM345" s="529">
        <v>21</v>
      </c>
      <c r="FN345" s="529">
        <v>22</v>
      </c>
      <c r="FO345" s="529">
        <v>23</v>
      </c>
      <c r="FP345" s="529">
        <v>24</v>
      </c>
      <c r="FQ345" s="529">
        <v>25</v>
      </c>
      <c r="FR345" s="529">
        <v>26</v>
      </c>
      <c r="FS345" s="529">
        <v>27</v>
      </c>
      <c r="FT345" s="529">
        <v>28</v>
      </c>
      <c r="FU345" s="529">
        <v>29</v>
      </c>
      <c r="FV345" s="529">
        <v>30</v>
      </c>
      <c r="FW345" s="529"/>
      <c r="FX345" s="529"/>
      <c r="FY345" s="529" t="str">
        <f>IFERROR(IF(COUNTIF(Pedidos!$J:$J,FQ$2)&gt;FA345-1,MATCH(FQ$2,Pedidos!$J:$J,0),""),"")</f>
        <v/>
      </c>
      <c r="FZ345" s="529">
        <f>IFERROR(IF(FY345="",0,COUNTIF(Pedidos!$J:$J,Procesos!FQ$2)),"")</f>
        <v>0</v>
      </c>
      <c r="GA345" s="529">
        <v>16</v>
      </c>
      <c r="GB345" s="529"/>
      <c r="GC345" s="529"/>
      <c r="GD345" s="529"/>
      <c r="GE345" s="529"/>
      <c r="GF345" s="529"/>
      <c r="GG345" s="529"/>
      <c r="GH345" s="529"/>
      <c r="GI345" s="529"/>
      <c r="GJ345" s="529">
        <v>18</v>
      </c>
      <c r="GK345" s="529">
        <v>19</v>
      </c>
      <c r="GL345" s="529">
        <v>20</v>
      </c>
      <c r="GM345" s="529">
        <v>21</v>
      </c>
      <c r="GN345" s="529">
        <v>22</v>
      </c>
      <c r="GO345" s="529">
        <v>23</v>
      </c>
      <c r="GP345" s="529">
        <v>24</v>
      </c>
      <c r="GQ345" s="529">
        <v>25</v>
      </c>
      <c r="GR345" s="529">
        <v>26</v>
      </c>
      <c r="GS345" s="529">
        <v>27</v>
      </c>
      <c r="GT345" s="529">
        <v>28</v>
      </c>
      <c r="GU345" s="529">
        <v>29</v>
      </c>
      <c r="GV345" s="529">
        <v>30</v>
      </c>
      <c r="GW345" s="529"/>
      <c r="GX345" s="529"/>
      <c r="GY345" s="529" t="str">
        <f>IFERROR(IF(COUNTIF(Pedidos!$J:$J,GQ$2)&gt;GA345-1,MATCH(GQ$2,Pedidos!$J:$J,0),""),"")</f>
        <v/>
      </c>
      <c r="GZ345" s="529">
        <f>IFERROR(IF(GY345="",0,COUNTIF(Pedidos!$J:$J,Procesos!GQ$2)),"")</f>
        <v>0</v>
      </c>
      <c r="HA345" s="529">
        <v>16</v>
      </c>
      <c r="HB345" s="529"/>
      <c r="HC345" s="529"/>
      <c r="HD345" s="529"/>
      <c r="HE345" s="529"/>
      <c r="HF345" s="529"/>
      <c r="HG345" s="529"/>
      <c r="HH345" s="529"/>
      <c r="HI345" s="529"/>
      <c r="HJ345" s="529">
        <v>18</v>
      </c>
      <c r="HK345" s="529">
        <v>19</v>
      </c>
      <c r="HL345" s="529">
        <v>20</v>
      </c>
      <c r="HM345" s="529">
        <v>21</v>
      </c>
      <c r="HN345" s="529">
        <v>22</v>
      </c>
      <c r="HO345" s="529">
        <v>23</v>
      </c>
      <c r="HP345" s="529">
        <v>24</v>
      </c>
      <c r="HQ345" s="529">
        <v>25</v>
      </c>
      <c r="HR345" s="529">
        <v>26</v>
      </c>
      <c r="HS345" s="529">
        <v>27</v>
      </c>
      <c r="HT345" s="529">
        <v>28</v>
      </c>
      <c r="HU345" s="529">
        <v>29</v>
      </c>
      <c r="HV345" s="529">
        <v>30</v>
      </c>
      <c r="HW345" s="529"/>
      <c r="HX345" s="529"/>
      <c r="HY345" s="529" t="str">
        <f>IFERROR(IF(COUNTIF(Pedidos!$J:$J,HQ$2)&gt;HA345-1,MATCH(HQ$2,Pedidos!$J:$J,0),""),"")</f>
        <v/>
      </c>
      <c r="HZ345" s="529">
        <f>IFERROR(IF(HY345="",0,COUNTIF(Pedidos!$J:$J,Procesos!HQ$2)),"")</f>
        <v>0</v>
      </c>
      <c r="IA345" s="529">
        <v>16</v>
      </c>
      <c r="IB345" s="529"/>
      <c r="IC345" s="529"/>
      <c r="ID345" s="529"/>
      <c r="IE345" s="529"/>
      <c r="IF345" s="529"/>
      <c r="IG345" s="529"/>
      <c r="IH345" s="529"/>
      <c r="II345" s="529"/>
      <c r="IJ345" s="529">
        <v>18</v>
      </c>
      <c r="IK345" s="529">
        <v>19</v>
      </c>
      <c r="IL345" s="529">
        <v>20</v>
      </c>
      <c r="IM345" s="529">
        <v>21</v>
      </c>
      <c r="IN345" s="529">
        <v>22</v>
      </c>
      <c r="IO345" s="529">
        <v>23</v>
      </c>
      <c r="IP345" s="529">
        <v>24</v>
      </c>
      <c r="IQ345" s="529">
        <v>25</v>
      </c>
      <c r="IR345" s="529">
        <v>26</v>
      </c>
      <c r="IS345" s="529">
        <v>27</v>
      </c>
      <c r="IT345" s="529">
        <v>28</v>
      </c>
      <c r="IU345" s="529">
        <v>29</v>
      </c>
      <c r="IV345" s="529">
        <v>30</v>
      </c>
      <c r="IW345" s="529"/>
      <c r="IX345" s="529"/>
      <c r="IY345" s="529" t="str">
        <f>IFERROR(IF(COUNTIF(Pedidos!$J:$J,IQ$2)&gt;IA345-1,MATCH(IQ$2,Pedidos!$J:$J,0),""),"")</f>
        <v/>
      </c>
      <c r="IZ345" s="529">
        <f>IFERROR(IF(IY345="",0,COUNTIF(Pedidos!$J:$J,Procesos!IQ$2)),"")</f>
        <v>0</v>
      </c>
    </row>
    <row r="346" spans="1:260" x14ac:dyDescent="0.25">
      <c r="A346" s="815" t="str">
        <f>IF(Z345&gt;=A345,Q$2 &amp;"     ITEM # "&amp;A345,"")</f>
        <v/>
      </c>
      <c r="B346" s="816"/>
      <c r="C346" s="816"/>
      <c r="D346" s="816"/>
      <c r="E346" s="816"/>
      <c r="F346" s="816"/>
      <c r="G346" s="816"/>
      <c r="H346" s="816"/>
      <c r="I346" s="817"/>
      <c r="J346" s="818" t="str">
        <f>IF(Z345&gt;=A345,$J$6,"")</f>
        <v/>
      </c>
      <c r="K346" s="816"/>
      <c r="L346" s="816"/>
      <c r="M346" s="816"/>
      <c r="N346" s="816"/>
      <c r="O346" s="816"/>
      <c r="P346" s="816"/>
      <c r="Q346" s="816"/>
      <c r="R346" s="816"/>
      <c r="S346" s="816"/>
      <c r="T346" s="816"/>
      <c r="U346" s="816"/>
      <c r="V346" s="816"/>
      <c r="W346" s="816"/>
      <c r="X346" s="816"/>
      <c r="Y346" s="816"/>
      <c r="Z346" s="819"/>
      <c r="AA346" s="815" t="str">
        <f>IF(AZ345&gt;=AA345,AQ$2 &amp;"     ITEM # "&amp;AA345,"")</f>
        <v/>
      </c>
      <c r="AB346" s="816"/>
      <c r="AC346" s="816"/>
      <c r="AD346" s="816"/>
      <c r="AE346" s="816"/>
      <c r="AF346" s="816"/>
      <c r="AG346" s="816"/>
      <c r="AH346" s="816"/>
      <c r="AI346" s="817"/>
      <c r="AJ346" s="818" t="str">
        <f>IF(AZ345&gt;=AA345,$J$6,"")</f>
        <v/>
      </c>
      <c r="AK346" s="816"/>
      <c r="AL346" s="816"/>
      <c r="AM346" s="816"/>
      <c r="AN346" s="816"/>
      <c r="AO346" s="816"/>
      <c r="AP346" s="816"/>
      <c r="AQ346" s="816"/>
      <c r="AR346" s="816"/>
      <c r="AS346" s="816"/>
      <c r="AT346" s="816"/>
      <c r="AU346" s="816"/>
      <c r="AV346" s="816"/>
      <c r="AW346" s="816"/>
      <c r="AX346" s="816"/>
      <c r="AY346" s="816"/>
      <c r="AZ346" s="819"/>
      <c r="BA346" s="815" t="str">
        <f>IF(BZ345&gt;=BA345,BQ$2 &amp;"     ITEM # "&amp;BA345,"")</f>
        <v/>
      </c>
      <c r="BB346" s="816"/>
      <c r="BC346" s="816"/>
      <c r="BD346" s="816"/>
      <c r="BE346" s="816"/>
      <c r="BF346" s="816"/>
      <c r="BG346" s="816"/>
      <c r="BH346" s="816"/>
      <c r="BI346" s="817"/>
      <c r="BJ346" s="818" t="str">
        <f>IF(BZ345&gt;=BA345,$J$6,"")</f>
        <v/>
      </c>
      <c r="BK346" s="816"/>
      <c r="BL346" s="816"/>
      <c r="BM346" s="816"/>
      <c r="BN346" s="816"/>
      <c r="BO346" s="816"/>
      <c r="BP346" s="816"/>
      <c r="BQ346" s="816"/>
      <c r="BR346" s="816"/>
      <c r="BS346" s="816"/>
      <c r="BT346" s="816"/>
      <c r="BU346" s="816"/>
      <c r="BV346" s="816"/>
      <c r="BW346" s="816"/>
      <c r="BX346" s="816"/>
      <c r="BY346" s="816"/>
      <c r="BZ346" s="819"/>
      <c r="CA346" s="815" t="str">
        <f>IF(CZ345&gt;=CA345,CQ$2 &amp;"     ITEM # "&amp;CA345,"")</f>
        <v/>
      </c>
      <c r="CB346" s="816"/>
      <c r="CC346" s="816"/>
      <c r="CD346" s="816"/>
      <c r="CE346" s="816"/>
      <c r="CF346" s="816"/>
      <c r="CG346" s="816"/>
      <c r="CH346" s="816"/>
      <c r="CI346" s="817"/>
      <c r="CJ346" s="818" t="str">
        <f>IF(CZ345&gt;=CA345,$J$6,"")</f>
        <v/>
      </c>
      <c r="CK346" s="816"/>
      <c r="CL346" s="816"/>
      <c r="CM346" s="816"/>
      <c r="CN346" s="816"/>
      <c r="CO346" s="816"/>
      <c r="CP346" s="816"/>
      <c r="CQ346" s="816"/>
      <c r="CR346" s="816"/>
      <c r="CS346" s="816"/>
      <c r="CT346" s="816"/>
      <c r="CU346" s="816"/>
      <c r="CV346" s="816"/>
      <c r="CW346" s="816"/>
      <c r="CX346" s="816"/>
      <c r="CY346" s="816"/>
      <c r="CZ346" s="819"/>
      <c r="DA346" s="815" t="str">
        <f>IF(DZ345&gt;=DA345,DQ$2 &amp;"     ITEM # "&amp;DA345,"")</f>
        <v/>
      </c>
      <c r="DB346" s="816"/>
      <c r="DC346" s="816"/>
      <c r="DD346" s="816"/>
      <c r="DE346" s="816"/>
      <c r="DF346" s="816"/>
      <c r="DG346" s="816"/>
      <c r="DH346" s="816"/>
      <c r="DI346" s="817"/>
      <c r="DJ346" s="818" t="str">
        <f>IF(DZ345&gt;=DA345,$J$6,"")</f>
        <v/>
      </c>
      <c r="DK346" s="816"/>
      <c r="DL346" s="816"/>
      <c r="DM346" s="816"/>
      <c r="DN346" s="816"/>
      <c r="DO346" s="816"/>
      <c r="DP346" s="816"/>
      <c r="DQ346" s="816"/>
      <c r="DR346" s="816"/>
      <c r="DS346" s="816"/>
      <c r="DT346" s="816"/>
      <c r="DU346" s="816"/>
      <c r="DV346" s="816"/>
      <c r="DW346" s="816"/>
      <c r="DX346" s="816"/>
      <c r="DY346" s="816"/>
      <c r="DZ346" s="819"/>
      <c r="EA346" s="815" t="str">
        <f>IF(EZ345&gt;=EA345,EQ$2 &amp;"     ITEM # "&amp;EA345,"")</f>
        <v/>
      </c>
      <c r="EB346" s="816"/>
      <c r="EC346" s="816"/>
      <c r="ED346" s="816"/>
      <c r="EE346" s="816"/>
      <c r="EF346" s="816"/>
      <c r="EG346" s="816"/>
      <c r="EH346" s="816"/>
      <c r="EI346" s="817"/>
      <c r="EJ346" s="818" t="str">
        <f>IF(EZ345&gt;=EA345,$J$6,"")</f>
        <v/>
      </c>
      <c r="EK346" s="816"/>
      <c r="EL346" s="816"/>
      <c r="EM346" s="816"/>
      <c r="EN346" s="816"/>
      <c r="EO346" s="816"/>
      <c r="EP346" s="816"/>
      <c r="EQ346" s="816"/>
      <c r="ER346" s="816"/>
      <c r="ES346" s="816"/>
      <c r="ET346" s="816"/>
      <c r="EU346" s="816"/>
      <c r="EV346" s="816"/>
      <c r="EW346" s="816"/>
      <c r="EX346" s="816"/>
      <c r="EY346" s="816"/>
      <c r="EZ346" s="819"/>
      <c r="FA346" s="815" t="str">
        <f>IF(FZ345&gt;=FA345,FQ$2 &amp;"     ITEM # "&amp;FA345,"")</f>
        <v/>
      </c>
      <c r="FB346" s="816"/>
      <c r="FC346" s="816"/>
      <c r="FD346" s="816"/>
      <c r="FE346" s="816"/>
      <c r="FF346" s="816"/>
      <c r="FG346" s="816"/>
      <c r="FH346" s="816"/>
      <c r="FI346" s="817"/>
      <c r="FJ346" s="818" t="str">
        <f>IF(FZ345&gt;=FA345,$J$6,"")</f>
        <v/>
      </c>
      <c r="FK346" s="816"/>
      <c r="FL346" s="816"/>
      <c r="FM346" s="816"/>
      <c r="FN346" s="816"/>
      <c r="FO346" s="816"/>
      <c r="FP346" s="816"/>
      <c r="FQ346" s="816"/>
      <c r="FR346" s="816"/>
      <c r="FS346" s="816"/>
      <c r="FT346" s="816"/>
      <c r="FU346" s="816"/>
      <c r="FV346" s="816"/>
      <c r="FW346" s="816"/>
      <c r="FX346" s="816"/>
      <c r="FY346" s="816"/>
      <c r="FZ346" s="819"/>
      <c r="GA346" s="815" t="str">
        <f>IF(GZ345&gt;=GA345,GQ$2 &amp;"     ITEM # "&amp;GA345,"")</f>
        <v/>
      </c>
      <c r="GB346" s="816"/>
      <c r="GC346" s="816"/>
      <c r="GD346" s="816"/>
      <c r="GE346" s="816"/>
      <c r="GF346" s="816"/>
      <c r="GG346" s="816"/>
      <c r="GH346" s="816"/>
      <c r="GI346" s="817"/>
      <c r="GJ346" s="818" t="str">
        <f>IF(GZ345&gt;=GA345,$J$6,"")</f>
        <v/>
      </c>
      <c r="GK346" s="816"/>
      <c r="GL346" s="816"/>
      <c r="GM346" s="816"/>
      <c r="GN346" s="816"/>
      <c r="GO346" s="816"/>
      <c r="GP346" s="816"/>
      <c r="GQ346" s="816"/>
      <c r="GR346" s="816"/>
      <c r="GS346" s="816"/>
      <c r="GT346" s="816"/>
      <c r="GU346" s="816"/>
      <c r="GV346" s="816"/>
      <c r="GW346" s="816"/>
      <c r="GX346" s="816"/>
      <c r="GY346" s="816"/>
      <c r="GZ346" s="819"/>
      <c r="HA346" s="815" t="str">
        <f>IF(HZ345&gt;=HA345,HQ$2 &amp;"     ITEM # "&amp;HA345,"")</f>
        <v/>
      </c>
      <c r="HB346" s="816"/>
      <c r="HC346" s="816"/>
      <c r="HD346" s="816"/>
      <c r="HE346" s="816"/>
      <c r="HF346" s="816"/>
      <c r="HG346" s="816"/>
      <c r="HH346" s="816"/>
      <c r="HI346" s="817"/>
      <c r="HJ346" s="818" t="str">
        <f>IF(HZ345&gt;=HA345,$J$6,"")</f>
        <v/>
      </c>
      <c r="HK346" s="816"/>
      <c r="HL346" s="816"/>
      <c r="HM346" s="816"/>
      <c r="HN346" s="816"/>
      <c r="HO346" s="816"/>
      <c r="HP346" s="816"/>
      <c r="HQ346" s="816"/>
      <c r="HR346" s="816"/>
      <c r="HS346" s="816"/>
      <c r="HT346" s="816"/>
      <c r="HU346" s="816"/>
      <c r="HV346" s="816"/>
      <c r="HW346" s="816"/>
      <c r="HX346" s="816"/>
      <c r="HY346" s="816"/>
      <c r="HZ346" s="819"/>
      <c r="IA346" s="815" t="str">
        <f>IF(IZ345&gt;=IA345,IQ$2 &amp;"     ITEM # "&amp;IA345,"")</f>
        <v/>
      </c>
      <c r="IB346" s="816"/>
      <c r="IC346" s="816"/>
      <c r="ID346" s="816"/>
      <c r="IE346" s="816"/>
      <c r="IF346" s="816"/>
      <c r="IG346" s="816"/>
      <c r="IH346" s="816"/>
      <c r="II346" s="817"/>
      <c r="IJ346" s="818" t="str">
        <f>IF(IZ345&gt;=IA345,$J$6,"")</f>
        <v/>
      </c>
      <c r="IK346" s="816"/>
      <c r="IL346" s="816"/>
      <c r="IM346" s="816"/>
      <c r="IN346" s="816"/>
      <c r="IO346" s="816"/>
      <c r="IP346" s="816"/>
      <c r="IQ346" s="816"/>
      <c r="IR346" s="816"/>
      <c r="IS346" s="816"/>
      <c r="IT346" s="816"/>
      <c r="IU346" s="816"/>
      <c r="IV346" s="816"/>
      <c r="IW346" s="816"/>
      <c r="IX346" s="816"/>
      <c r="IY346" s="816"/>
      <c r="IZ346" s="819"/>
    </row>
    <row r="347" spans="1:260" x14ac:dyDescent="0.25">
      <c r="A347" s="848" t="str">
        <f>IFERROR(INDEX(Lista_Pedidos,Procesos!Y345+A345-1,5),"")</f>
        <v/>
      </c>
      <c r="B347" s="843"/>
      <c r="C347" s="843"/>
      <c r="D347" s="843"/>
      <c r="E347" s="843"/>
      <c r="F347" s="843"/>
      <c r="G347" s="843"/>
      <c r="H347" s="843"/>
      <c r="I347" s="844"/>
      <c r="J347" s="842" t="str">
        <f>IF(Z345&gt;=A345,$J$7,"")</f>
        <v/>
      </c>
      <c r="K347" s="843"/>
      <c r="L347" s="844"/>
      <c r="M347" s="842" t="str">
        <f>IF(Z345&gt;=A345,$M$7,"")</f>
        <v/>
      </c>
      <c r="N347" s="843"/>
      <c r="O347" s="844"/>
      <c r="P347" s="842" t="str">
        <f>IF(Z345&gt;=A345,$P$7,"")</f>
        <v/>
      </c>
      <c r="Q347" s="843"/>
      <c r="R347" s="843"/>
      <c r="S347" s="843"/>
      <c r="T347" s="843"/>
      <c r="U347" s="844"/>
      <c r="V347" s="834" t="str">
        <f>IF(Z345&gt;=A345,$V$7,"")</f>
        <v/>
      </c>
      <c r="W347" s="842" t="str">
        <f>IF(Z345&gt;=A345,$W$7,"")</f>
        <v/>
      </c>
      <c r="X347" s="843"/>
      <c r="Y347" s="843"/>
      <c r="Z347" s="850"/>
      <c r="AA347" s="848" t="str">
        <f>IFERROR(INDEX(Lista_Pedidos,Procesos!AY345+AA345-1,5),"")</f>
        <v/>
      </c>
      <c r="AB347" s="843"/>
      <c r="AC347" s="843"/>
      <c r="AD347" s="843"/>
      <c r="AE347" s="843"/>
      <c r="AF347" s="843"/>
      <c r="AG347" s="843"/>
      <c r="AH347" s="843"/>
      <c r="AI347" s="844"/>
      <c r="AJ347" s="842" t="str">
        <f>IF(AZ345&gt;=AA345,$J$7,"")</f>
        <v/>
      </c>
      <c r="AK347" s="843"/>
      <c r="AL347" s="844"/>
      <c r="AM347" s="842" t="str">
        <f>IF(AZ345&gt;=AA345,$M$7,"")</f>
        <v/>
      </c>
      <c r="AN347" s="843"/>
      <c r="AO347" s="844"/>
      <c r="AP347" s="842" t="str">
        <f>IF(AZ345&gt;=AA345,$P$7,"")</f>
        <v/>
      </c>
      <c r="AQ347" s="843"/>
      <c r="AR347" s="843"/>
      <c r="AS347" s="843"/>
      <c r="AT347" s="843"/>
      <c r="AU347" s="844"/>
      <c r="AV347" s="834" t="str">
        <f>IF(AZ345&gt;=AA345,$V$7,"")</f>
        <v/>
      </c>
      <c r="AW347" s="842" t="str">
        <f>IF(AZ345&gt;=AA345,$W$7,"")</f>
        <v/>
      </c>
      <c r="AX347" s="843"/>
      <c r="AY347" s="843"/>
      <c r="AZ347" s="850"/>
      <c r="BA347" s="848" t="str">
        <f>IFERROR(INDEX(Lista_Pedidos,Procesos!BY345+BA345-1,5),"")</f>
        <v/>
      </c>
      <c r="BB347" s="843"/>
      <c r="BC347" s="843"/>
      <c r="BD347" s="843"/>
      <c r="BE347" s="843"/>
      <c r="BF347" s="843"/>
      <c r="BG347" s="843"/>
      <c r="BH347" s="843"/>
      <c r="BI347" s="844"/>
      <c r="BJ347" s="842" t="str">
        <f>IF(BZ345&gt;=BA345,$J$7,"")</f>
        <v/>
      </c>
      <c r="BK347" s="843"/>
      <c r="BL347" s="844"/>
      <c r="BM347" s="842" t="str">
        <f>IF(BZ345&gt;=BA345,$M$7,"")</f>
        <v/>
      </c>
      <c r="BN347" s="843"/>
      <c r="BO347" s="844"/>
      <c r="BP347" s="842" t="str">
        <f>IF(BZ345&gt;=BA345,$P$7,"")</f>
        <v/>
      </c>
      <c r="BQ347" s="843"/>
      <c r="BR347" s="843"/>
      <c r="BS347" s="843"/>
      <c r="BT347" s="843"/>
      <c r="BU347" s="844"/>
      <c r="BV347" s="834" t="str">
        <f>IF(BZ345&gt;=BA345,$V$7,"")</f>
        <v/>
      </c>
      <c r="BW347" s="842" t="str">
        <f>IF(BZ345&gt;=BA345,$W$7,"")</f>
        <v/>
      </c>
      <c r="BX347" s="843"/>
      <c r="BY347" s="843"/>
      <c r="BZ347" s="850"/>
      <c r="CA347" s="848" t="str">
        <f>IFERROR(INDEX(Lista_Pedidos,Procesos!CY345+CA345-1,5),"")</f>
        <v/>
      </c>
      <c r="CB347" s="843"/>
      <c r="CC347" s="843"/>
      <c r="CD347" s="843"/>
      <c r="CE347" s="843"/>
      <c r="CF347" s="843"/>
      <c r="CG347" s="843"/>
      <c r="CH347" s="843"/>
      <c r="CI347" s="844"/>
      <c r="CJ347" s="842" t="str">
        <f>IF(CZ345&gt;=CA345,$J$7,"")</f>
        <v/>
      </c>
      <c r="CK347" s="843"/>
      <c r="CL347" s="844"/>
      <c r="CM347" s="842" t="str">
        <f>IF(CZ345&gt;=CA345,$M$7,"")</f>
        <v/>
      </c>
      <c r="CN347" s="843"/>
      <c r="CO347" s="844"/>
      <c r="CP347" s="842" t="str">
        <f>IF(CZ345&gt;=CA345,$P$7,"")</f>
        <v/>
      </c>
      <c r="CQ347" s="843"/>
      <c r="CR347" s="843"/>
      <c r="CS347" s="843"/>
      <c r="CT347" s="843"/>
      <c r="CU347" s="844"/>
      <c r="CV347" s="834" t="str">
        <f>IF(CZ345&gt;=CA345,$V$7,"")</f>
        <v/>
      </c>
      <c r="CW347" s="842" t="str">
        <f>IF(CZ345&gt;=CA345,$W$7,"")</f>
        <v/>
      </c>
      <c r="CX347" s="843"/>
      <c r="CY347" s="843"/>
      <c r="CZ347" s="850"/>
      <c r="DA347" s="848" t="str">
        <f>IFERROR(INDEX(Lista_Pedidos,Procesos!DY345+DA345-1,5),"")</f>
        <v/>
      </c>
      <c r="DB347" s="843"/>
      <c r="DC347" s="843"/>
      <c r="DD347" s="843"/>
      <c r="DE347" s="843"/>
      <c r="DF347" s="843"/>
      <c r="DG347" s="843"/>
      <c r="DH347" s="843"/>
      <c r="DI347" s="844"/>
      <c r="DJ347" s="842" t="str">
        <f>IF(DZ345&gt;=DA345,$J$7,"")</f>
        <v/>
      </c>
      <c r="DK347" s="843"/>
      <c r="DL347" s="844"/>
      <c r="DM347" s="842" t="str">
        <f>IF(DZ345&gt;=DA345,$M$7,"")</f>
        <v/>
      </c>
      <c r="DN347" s="843"/>
      <c r="DO347" s="844"/>
      <c r="DP347" s="842" t="str">
        <f>IF(DZ345&gt;=DA345,$P$7,"")</f>
        <v/>
      </c>
      <c r="DQ347" s="843"/>
      <c r="DR347" s="843"/>
      <c r="DS347" s="843"/>
      <c r="DT347" s="843"/>
      <c r="DU347" s="844"/>
      <c r="DV347" s="834" t="str">
        <f>IF(DZ345&gt;=DA345,$V$7,"")</f>
        <v/>
      </c>
      <c r="DW347" s="842" t="str">
        <f>IF(DZ345&gt;=DA345,$W$7,"")</f>
        <v/>
      </c>
      <c r="DX347" s="843"/>
      <c r="DY347" s="843"/>
      <c r="DZ347" s="850"/>
      <c r="EA347" s="848" t="str">
        <f>IFERROR(INDEX(Lista_Pedidos,Procesos!EY345+EA345-1,5),"")</f>
        <v/>
      </c>
      <c r="EB347" s="843"/>
      <c r="EC347" s="843"/>
      <c r="ED347" s="843"/>
      <c r="EE347" s="843"/>
      <c r="EF347" s="843"/>
      <c r="EG347" s="843"/>
      <c r="EH347" s="843"/>
      <c r="EI347" s="844"/>
      <c r="EJ347" s="842" t="str">
        <f>IF(EZ345&gt;=EA345,$J$7,"")</f>
        <v/>
      </c>
      <c r="EK347" s="843"/>
      <c r="EL347" s="844"/>
      <c r="EM347" s="842" t="str">
        <f>IF(EZ345&gt;=EA345,$M$7,"")</f>
        <v/>
      </c>
      <c r="EN347" s="843"/>
      <c r="EO347" s="844"/>
      <c r="EP347" s="842" t="str">
        <f>IF(EZ345&gt;=EA345,$P$7,"")</f>
        <v/>
      </c>
      <c r="EQ347" s="843"/>
      <c r="ER347" s="843"/>
      <c r="ES347" s="843"/>
      <c r="ET347" s="843"/>
      <c r="EU347" s="844"/>
      <c r="EV347" s="834" t="str">
        <f>IF(EZ345&gt;=EA345,$V$7,"")</f>
        <v/>
      </c>
      <c r="EW347" s="842" t="str">
        <f>IF(EZ345&gt;=EA345,$W$7,"")</f>
        <v/>
      </c>
      <c r="EX347" s="843"/>
      <c r="EY347" s="843"/>
      <c r="EZ347" s="850"/>
      <c r="FA347" s="848" t="str">
        <f>IFERROR(INDEX(Lista_Pedidos,Procesos!FY345+FA345-1,5),"")</f>
        <v/>
      </c>
      <c r="FB347" s="843"/>
      <c r="FC347" s="843"/>
      <c r="FD347" s="843"/>
      <c r="FE347" s="843"/>
      <c r="FF347" s="843"/>
      <c r="FG347" s="843"/>
      <c r="FH347" s="843"/>
      <c r="FI347" s="844"/>
      <c r="FJ347" s="842" t="str">
        <f>IF(FZ345&gt;=FA345,$J$7,"")</f>
        <v/>
      </c>
      <c r="FK347" s="843"/>
      <c r="FL347" s="844"/>
      <c r="FM347" s="842" t="str">
        <f>IF(FZ345&gt;=FA345,$M$7,"")</f>
        <v/>
      </c>
      <c r="FN347" s="843"/>
      <c r="FO347" s="844"/>
      <c r="FP347" s="842" t="str">
        <f>IF(FZ345&gt;=FA345,$P$7,"")</f>
        <v/>
      </c>
      <c r="FQ347" s="843"/>
      <c r="FR347" s="843"/>
      <c r="FS347" s="843"/>
      <c r="FT347" s="843"/>
      <c r="FU347" s="844"/>
      <c r="FV347" s="834" t="str">
        <f>IF(FZ345&gt;=FA345,$V$7,"")</f>
        <v/>
      </c>
      <c r="FW347" s="842" t="str">
        <f>IF(FZ345&gt;=FA345,$W$7,"")</f>
        <v/>
      </c>
      <c r="FX347" s="843"/>
      <c r="FY347" s="843"/>
      <c r="FZ347" s="850"/>
      <c r="GA347" s="848" t="str">
        <f>IFERROR(INDEX(Lista_Pedidos,Procesos!GY345+GA345-1,5),"")</f>
        <v/>
      </c>
      <c r="GB347" s="843"/>
      <c r="GC347" s="843"/>
      <c r="GD347" s="843"/>
      <c r="GE347" s="843"/>
      <c r="GF347" s="843"/>
      <c r="GG347" s="843"/>
      <c r="GH347" s="843"/>
      <c r="GI347" s="844"/>
      <c r="GJ347" s="842" t="str">
        <f>IF(GZ345&gt;=GA345,$J$7,"")</f>
        <v/>
      </c>
      <c r="GK347" s="843"/>
      <c r="GL347" s="844"/>
      <c r="GM347" s="842" t="str">
        <f>IF(GZ345&gt;=GA345,$M$7,"")</f>
        <v/>
      </c>
      <c r="GN347" s="843"/>
      <c r="GO347" s="844"/>
      <c r="GP347" s="842" t="str">
        <f>IF(GZ345&gt;=GA345,$P$7,"")</f>
        <v/>
      </c>
      <c r="GQ347" s="843"/>
      <c r="GR347" s="843"/>
      <c r="GS347" s="843"/>
      <c r="GT347" s="843"/>
      <c r="GU347" s="844"/>
      <c r="GV347" s="834" t="str">
        <f>IF(GZ345&gt;=GA345,$V$7,"")</f>
        <v/>
      </c>
      <c r="GW347" s="842" t="str">
        <f>IF(GZ345&gt;=GA345,$W$7,"")</f>
        <v/>
      </c>
      <c r="GX347" s="843"/>
      <c r="GY347" s="843"/>
      <c r="GZ347" s="850"/>
      <c r="HA347" s="848" t="str">
        <f>IFERROR(INDEX(Lista_Pedidos,Procesos!HY345+HA345-1,5),"")</f>
        <v/>
      </c>
      <c r="HB347" s="843"/>
      <c r="HC347" s="843"/>
      <c r="HD347" s="843"/>
      <c r="HE347" s="843"/>
      <c r="HF347" s="843"/>
      <c r="HG347" s="843"/>
      <c r="HH347" s="843"/>
      <c r="HI347" s="844"/>
      <c r="HJ347" s="842" t="str">
        <f>IF(HZ345&gt;=HA345,$J$7,"")</f>
        <v/>
      </c>
      <c r="HK347" s="843"/>
      <c r="HL347" s="844"/>
      <c r="HM347" s="842" t="str">
        <f>IF(HZ345&gt;=HA345,$M$7,"")</f>
        <v/>
      </c>
      <c r="HN347" s="843"/>
      <c r="HO347" s="844"/>
      <c r="HP347" s="842" t="str">
        <f>IF(HZ345&gt;=HA345,$P$7,"")</f>
        <v/>
      </c>
      <c r="HQ347" s="843"/>
      <c r="HR347" s="843"/>
      <c r="HS347" s="843"/>
      <c r="HT347" s="843"/>
      <c r="HU347" s="844"/>
      <c r="HV347" s="834" t="str">
        <f>IF(HZ345&gt;=HA345,$V$7,"")</f>
        <v/>
      </c>
      <c r="HW347" s="842" t="str">
        <f>IF(HZ345&gt;=HA345,$W$7,"")</f>
        <v/>
      </c>
      <c r="HX347" s="843"/>
      <c r="HY347" s="843"/>
      <c r="HZ347" s="850"/>
      <c r="IA347" s="848" t="str">
        <f>IFERROR(INDEX(Lista_Pedidos,Procesos!IY345+IA345-1,5),"")</f>
        <v/>
      </c>
      <c r="IB347" s="843"/>
      <c r="IC347" s="843"/>
      <c r="ID347" s="843"/>
      <c r="IE347" s="843"/>
      <c r="IF347" s="843"/>
      <c r="IG347" s="843"/>
      <c r="IH347" s="843"/>
      <c r="II347" s="844"/>
      <c r="IJ347" s="842" t="str">
        <f>IF(IZ345&gt;=IA345,$J$7,"")</f>
        <v/>
      </c>
      <c r="IK347" s="843"/>
      <c r="IL347" s="844"/>
      <c r="IM347" s="842" t="str">
        <f>IF(IZ345&gt;=IA345,$M$7,"")</f>
        <v/>
      </c>
      <c r="IN347" s="843"/>
      <c r="IO347" s="844"/>
      <c r="IP347" s="842" t="str">
        <f>IF(IZ345&gt;=IA345,$P$7,"")</f>
        <v/>
      </c>
      <c r="IQ347" s="843"/>
      <c r="IR347" s="843"/>
      <c r="IS347" s="843"/>
      <c r="IT347" s="843"/>
      <c r="IU347" s="844"/>
      <c r="IV347" s="834" t="str">
        <f>IF(IZ345&gt;=IA345,$V$7,"")</f>
        <v/>
      </c>
      <c r="IW347" s="842" t="str">
        <f>IF(IZ345&gt;=IA345,$W$7,"")</f>
        <v/>
      </c>
      <c r="IX347" s="843"/>
      <c r="IY347" s="843"/>
      <c r="IZ347" s="850"/>
    </row>
    <row r="348" spans="1:260" x14ac:dyDescent="0.25">
      <c r="A348" s="849"/>
      <c r="B348" s="846"/>
      <c r="C348" s="846"/>
      <c r="D348" s="846"/>
      <c r="E348" s="846"/>
      <c r="F348" s="846"/>
      <c r="G348" s="846"/>
      <c r="H348" s="846"/>
      <c r="I348" s="847"/>
      <c r="J348" s="845"/>
      <c r="K348" s="846"/>
      <c r="L348" s="847"/>
      <c r="M348" s="845"/>
      <c r="N348" s="846"/>
      <c r="O348" s="847"/>
      <c r="P348" s="845"/>
      <c r="Q348" s="846"/>
      <c r="R348" s="846"/>
      <c r="S348" s="846"/>
      <c r="T348" s="846"/>
      <c r="U348" s="847"/>
      <c r="V348" s="835"/>
      <c r="W348" s="845"/>
      <c r="X348" s="846"/>
      <c r="Y348" s="846"/>
      <c r="Z348" s="851"/>
      <c r="AA348" s="849"/>
      <c r="AB348" s="846"/>
      <c r="AC348" s="846"/>
      <c r="AD348" s="846"/>
      <c r="AE348" s="846"/>
      <c r="AF348" s="846"/>
      <c r="AG348" s="846"/>
      <c r="AH348" s="846"/>
      <c r="AI348" s="847"/>
      <c r="AJ348" s="845"/>
      <c r="AK348" s="846"/>
      <c r="AL348" s="847"/>
      <c r="AM348" s="845"/>
      <c r="AN348" s="846"/>
      <c r="AO348" s="847"/>
      <c r="AP348" s="845"/>
      <c r="AQ348" s="846"/>
      <c r="AR348" s="846"/>
      <c r="AS348" s="846"/>
      <c r="AT348" s="846"/>
      <c r="AU348" s="847"/>
      <c r="AV348" s="835"/>
      <c r="AW348" s="845"/>
      <c r="AX348" s="846"/>
      <c r="AY348" s="846"/>
      <c r="AZ348" s="851"/>
      <c r="BA348" s="849"/>
      <c r="BB348" s="846"/>
      <c r="BC348" s="846"/>
      <c r="BD348" s="846"/>
      <c r="BE348" s="846"/>
      <c r="BF348" s="846"/>
      <c r="BG348" s="846"/>
      <c r="BH348" s="846"/>
      <c r="BI348" s="847"/>
      <c r="BJ348" s="845"/>
      <c r="BK348" s="846"/>
      <c r="BL348" s="847"/>
      <c r="BM348" s="845"/>
      <c r="BN348" s="846"/>
      <c r="BO348" s="847"/>
      <c r="BP348" s="845"/>
      <c r="BQ348" s="846"/>
      <c r="BR348" s="846"/>
      <c r="BS348" s="846"/>
      <c r="BT348" s="846"/>
      <c r="BU348" s="847"/>
      <c r="BV348" s="835"/>
      <c r="BW348" s="845"/>
      <c r="BX348" s="846"/>
      <c r="BY348" s="846"/>
      <c r="BZ348" s="851"/>
      <c r="CA348" s="849"/>
      <c r="CB348" s="846"/>
      <c r="CC348" s="846"/>
      <c r="CD348" s="846"/>
      <c r="CE348" s="846"/>
      <c r="CF348" s="846"/>
      <c r="CG348" s="846"/>
      <c r="CH348" s="846"/>
      <c r="CI348" s="847"/>
      <c r="CJ348" s="845"/>
      <c r="CK348" s="846"/>
      <c r="CL348" s="847"/>
      <c r="CM348" s="845"/>
      <c r="CN348" s="846"/>
      <c r="CO348" s="847"/>
      <c r="CP348" s="845"/>
      <c r="CQ348" s="846"/>
      <c r="CR348" s="846"/>
      <c r="CS348" s="846"/>
      <c r="CT348" s="846"/>
      <c r="CU348" s="847"/>
      <c r="CV348" s="835"/>
      <c r="CW348" s="845"/>
      <c r="CX348" s="846"/>
      <c r="CY348" s="846"/>
      <c r="CZ348" s="851"/>
      <c r="DA348" s="849"/>
      <c r="DB348" s="846"/>
      <c r="DC348" s="846"/>
      <c r="DD348" s="846"/>
      <c r="DE348" s="846"/>
      <c r="DF348" s="846"/>
      <c r="DG348" s="846"/>
      <c r="DH348" s="846"/>
      <c r="DI348" s="847"/>
      <c r="DJ348" s="845"/>
      <c r="DK348" s="846"/>
      <c r="DL348" s="847"/>
      <c r="DM348" s="845"/>
      <c r="DN348" s="846"/>
      <c r="DO348" s="847"/>
      <c r="DP348" s="845"/>
      <c r="DQ348" s="846"/>
      <c r="DR348" s="846"/>
      <c r="DS348" s="846"/>
      <c r="DT348" s="846"/>
      <c r="DU348" s="847"/>
      <c r="DV348" s="835"/>
      <c r="DW348" s="845"/>
      <c r="DX348" s="846"/>
      <c r="DY348" s="846"/>
      <c r="DZ348" s="851"/>
      <c r="EA348" s="849"/>
      <c r="EB348" s="846"/>
      <c r="EC348" s="846"/>
      <c r="ED348" s="846"/>
      <c r="EE348" s="846"/>
      <c r="EF348" s="846"/>
      <c r="EG348" s="846"/>
      <c r="EH348" s="846"/>
      <c r="EI348" s="847"/>
      <c r="EJ348" s="845"/>
      <c r="EK348" s="846"/>
      <c r="EL348" s="847"/>
      <c r="EM348" s="845"/>
      <c r="EN348" s="846"/>
      <c r="EO348" s="847"/>
      <c r="EP348" s="845"/>
      <c r="EQ348" s="846"/>
      <c r="ER348" s="846"/>
      <c r="ES348" s="846"/>
      <c r="ET348" s="846"/>
      <c r="EU348" s="847"/>
      <c r="EV348" s="835"/>
      <c r="EW348" s="845"/>
      <c r="EX348" s="846"/>
      <c r="EY348" s="846"/>
      <c r="EZ348" s="851"/>
      <c r="FA348" s="849"/>
      <c r="FB348" s="846"/>
      <c r="FC348" s="846"/>
      <c r="FD348" s="846"/>
      <c r="FE348" s="846"/>
      <c r="FF348" s="846"/>
      <c r="FG348" s="846"/>
      <c r="FH348" s="846"/>
      <c r="FI348" s="847"/>
      <c r="FJ348" s="845"/>
      <c r="FK348" s="846"/>
      <c r="FL348" s="847"/>
      <c r="FM348" s="845"/>
      <c r="FN348" s="846"/>
      <c r="FO348" s="847"/>
      <c r="FP348" s="845"/>
      <c r="FQ348" s="846"/>
      <c r="FR348" s="846"/>
      <c r="FS348" s="846"/>
      <c r="FT348" s="846"/>
      <c r="FU348" s="847"/>
      <c r="FV348" s="835"/>
      <c r="FW348" s="845"/>
      <c r="FX348" s="846"/>
      <c r="FY348" s="846"/>
      <c r="FZ348" s="851"/>
      <c r="GA348" s="849"/>
      <c r="GB348" s="846"/>
      <c r="GC348" s="846"/>
      <c r="GD348" s="846"/>
      <c r="GE348" s="846"/>
      <c r="GF348" s="846"/>
      <c r="GG348" s="846"/>
      <c r="GH348" s="846"/>
      <c r="GI348" s="847"/>
      <c r="GJ348" s="845"/>
      <c r="GK348" s="846"/>
      <c r="GL348" s="847"/>
      <c r="GM348" s="845"/>
      <c r="GN348" s="846"/>
      <c r="GO348" s="847"/>
      <c r="GP348" s="845"/>
      <c r="GQ348" s="846"/>
      <c r="GR348" s="846"/>
      <c r="GS348" s="846"/>
      <c r="GT348" s="846"/>
      <c r="GU348" s="847"/>
      <c r="GV348" s="835"/>
      <c r="GW348" s="845"/>
      <c r="GX348" s="846"/>
      <c r="GY348" s="846"/>
      <c r="GZ348" s="851"/>
      <c r="HA348" s="849"/>
      <c r="HB348" s="846"/>
      <c r="HC348" s="846"/>
      <c r="HD348" s="846"/>
      <c r="HE348" s="846"/>
      <c r="HF348" s="846"/>
      <c r="HG348" s="846"/>
      <c r="HH348" s="846"/>
      <c r="HI348" s="847"/>
      <c r="HJ348" s="845"/>
      <c r="HK348" s="846"/>
      <c r="HL348" s="847"/>
      <c r="HM348" s="845"/>
      <c r="HN348" s="846"/>
      <c r="HO348" s="847"/>
      <c r="HP348" s="845"/>
      <c r="HQ348" s="846"/>
      <c r="HR348" s="846"/>
      <c r="HS348" s="846"/>
      <c r="HT348" s="846"/>
      <c r="HU348" s="847"/>
      <c r="HV348" s="835"/>
      <c r="HW348" s="845"/>
      <c r="HX348" s="846"/>
      <c r="HY348" s="846"/>
      <c r="HZ348" s="851"/>
      <c r="IA348" s="849"/>
      <c r="IB348" s="846"/>
      <c r="IC348" s="846"/>
      <c r="ID348" s="846"/>
      <c r="IE348" s="846"/>
      <c r="IF348" s="846"/>
      <c r="IG348" s="846"/>
      <c r="IH348" s="846"/>
      <c r="II348" s="847"/>
      <c r="IJ348" s="845"/>
      <c r="IK348" s="846"/>
      <c r="IL348" s="847"/>
      <c r="IM348" s="845"/>
      <c r="IN348" s="846"/>
      <c r="IO348" s="847"/>
      <c r="IP348" s="845"/>
      <c r="IQ348" s="846"/>
      <c r="IR348" s="846"/>
      <c r="IS348" s="846"/>
      <c r="IT348" s="846"/>
      <c r="IU348" s="847"/>
      <c r="IV348" s="835"/>
      <c r="IW348" s="845"/>
      <c r="IX348" s="846"/>
      <c r="IY348" s="846"/>
      <c r="IZ348" s="851"/>
    </row>
    <row r="349" spans="1:260" ht="15" customHeight="1" x14ac:dyDescent="0.25">
      <c r="A349" s="858" t="str">
        <f>IF(Z345&gt;=A345,$A$9,"")</f>
        <v/>
      </c>
      <c r="B349" s="806"/>
      <c r="C349" s="806"/>
      <c r="D349" s="806"/>
      <c r="E349" s="852"/>
      <c r="F349" s="805" t="str">
        <f>IF(Z345&gt;=A345,$F$9,"")</f>
        <v/>
      </c>
      <c r="G349" s="806"/>
      <c r="H349" s="806"/>
      <c r="I349" s="852"/>
      <c r="J349" s="811" t="str">
        <f>IF(Z345&gt;=A345,$J$9,"")</f>
        <v/>
      </c>
      <c r="K349" s="803" t="str">
        <f>IF(Z345&gt;=A345,$K$9,"")</f>
        <v/>
      </c>
      <c r="L349" s="803" t="str">
        <f>IF(Z345&gt;=A345,$L$9,"")</f>
        <v/>
      </c>
      <c r="M349" s="803" t="str">
        <f>IF(Z345&gt;=A345,$M$9,"")</f>
        <v/>
      </c>
      <c r="N349" s="803" t="str">
        <f>IF(Z345&gt;=A345,$N$9,"")</f>
        <v/>
      </c>
      <c r="O349" s="803" t="str">
        <f>IF(Z345&gt;=A345,$O$9,"")</f>
        <v/>
      </c>
      <c r="P349" s="803" t="str">
        <f>IF(Z345&gt;=A345,$P$9,"")</f>
        <v/>
      </c>
      <c r="Q349" s="803" t="str">
        <f>IF(Z345&gt;=A345,$Q$9,"")</f>
        <v/>
      </c>
      <c r="R349" s="803" t="str">
        <f>IF(Z345&gt;=A345,$R$9,"")</f>
        <v/>
      </c>
      <c r="S349" s="803" t="str">
        <f>IF(Z345&gt;=A345,$S$9,"")</f>
        <v/>
      </c>
      <c r="T349" s="803" t="str">
        <f>IF(Z345&gt;=A345,$T$9,"")</f>
        <v/>
      </c>
      <c r="U349" s="803" t="str">
        <f>IF(Z345&gt;=A345,$U$9,"")</f>
        <v/>
      </c>
      <c r="V349" s="803" t="str">
        <f>IF(Z345&gt;=A345,$V$9,"")</f>
        <v/>
      </c>
      <c r="W349" s="805" t="str">
        <f>IF(Z345&gt;=A345,$W$9,"")</f>
        <v/>
      </c>
      <c r="X349" s="806"/>
      <c r="Y349" s="806"/>
      <c r="Z349" s="807"/>
      <c r="AA349" s="858" t="str">
        <f>IF(AZ345&gt;=AA345,$A$9,"")</f>
        <v/>
      </c>
      <c r="AB349" s="806"/>
      <c r="AC349" s="806"/>
      <c r="AD349" s="806"/>
      <c r="AE349" s="852"/>
      <c r="AF349" s="805" t="str">
        <f>IF(AZ345&gt;=AA345,$F$9,"")</f>
        <v/>
      </c>
      <c r="AG349" s="806"/>
      <c r="AH349" s="806"/>
      <c r="AI349" s="852"/>
      <c r="AJ349" s="811" t="str">
        <f>IF(AZ345&gt;=AA345,$J$9,"")</f>
        <v/>
      </c>
      <c r="AK349" s="803" t="str">
        <f>IF(AZ345&gt;=AA345,$K$9,"")</f>
        <v/>
      </c>
      <c r="AL349" s="803" t="str">
        <f>IF(AZ345&gt;=AA345,$L$9,"")</f>
        <v/>
      </c>
      <c r="AM349" s="803" t="str">
        <f>IF(AZ345&gt;=AA345,$M$9,"")</f>
        <v/>
      </c>
      <c r="AN349" s="803" t="str">
        <f>IF(AZ345&gt;=AA345,$N$9,"")</f>
        <v/>
      </c>
      <c r="AO349" s="803" t="str">
        <f>IF(AZ345&gt;=AA345,$O$9,"")</f>
        <v/>
      </c>
      <c r="AP349" s="803" t="str">
        <f>IF(AZ345&gt;=AA345,$P$9,"")</f>
        <v/>
      </c>
      <c r="AQ349" s="803" t="str">
        <f>IF(AZ345&gt;=AA345,$Q$9,"")</f>
        <v/>
      </c>
      <c r="AR349" s="803" t="str">
        <f>IF(AZ345&gt;=AA345,$R$9,"")</f>
        <v/>
      </c>
      <c r="AS349" s="803" t="str">
        <f>IF(AZ345&gt;=AA345,$S$9,"")</f>
        <v/>
      </c>
      <c r="AT349" s="803" t="str">
        <f>IF(AZ345&gt;=AA345,$T$9,"")</f>
        <v/>
      </c>
      <c r="AU349" s="803" t="str">
        <f>IF(AZ345&gt;=AA345,$U$9,"")</f>
        <v/>
      </c>
      <c r="AV349" s="803" t="str">
        <f>IF(AZ345&gt;=AA345,$V$9,"")</f>
        <v/>
      </c>
      <c r="AW349" s="805" t="str">
        <f>IF(AZ345&gt;=AA345,$W$9,"")</f>
        <v/>
      </c>
      <c r="AX349" s="806"/>
      <c r="AY349" s="806"/>
      <c r="AZ349" s="807"/>
      <c r="BA349" s="858" t="str">
        <f>IF(BZ345&gt;=BA345,$A$9,"")</f>
        <v/>
      </c>
      <c r="BB349" s="806"/>
      <c r="BC349" s="806"/>
      <c r="BD349" s="806"/>
      <c r="BE349" s="852"/>
      <c r="BF349" s="805" t="str">
        <f>IF(BZ345&gt;=BA345,$F$9,"")</f>
        <v/>
      </c>
      <c r="BG349" s="806"/>
      <c r="BH349" s="806"/>
      <c r="BI349" s="852"/>
      <c r="BJ349" s="811" t="str">
        <f>IF(BZ345&gt;=BA345,$J$9,"")</f>
        <v/>
      </c>
      <c r="BK349" s="803" t="str">
        <f>IF(BZ345&gt;=BA345,$K$9,"")</f>
        <v/>
      </c>
      <c r="BL349" s="803" t="str">
        <f>IF(BZ345&gt;=BA345,$L$9,"")</f>
        <v/>
      </c>
      <c r="BM349" s="803" t="str">
        <f>IF(BZ345&gt;=BA345,$M$9,"")</f>
        <v/>
      </c>
      <c r="BN349" s="803" t="str">
        <f>IF(BZ345&gt;=BA345,$N$9,"")</f>
        <v/>
      </c>
      <c r="BO349" s="803" t="str">
        <f>IF(BZ345&gt;=BA345,$O$9,"")</f>
        <v/>
      </c>
      <c r="BP349" s="803" t="str">
        <f>IF(BZ345&gt;=BA345,$P$9,"")</f>
        <v/>
      </c>
      <c r="BQ349" s="803" t="str">
        <f>IF(BZ345&gt;=BA345,$Q$9,"")</f>
        <v/>
      </c>
      <c r="BR349" s="803" t="str">
        <f>IF(BZ345&gt;=BA345,$R$9,"")</f>
        <v/>
      </c>
      <c r="BS349" s="803" t="str">
        <f>IF(BZ345&gt;=BA345,$S$9,"")</f>
        <v/>
      </c>
      <c r="BT349" s="803" t="str">
        <f>IF(BZ345&gt;=BA345,$T$9,"")</f>
        <v/>
      </c>
      <c r="BU349" s="803" t="str">
        <f>IF(BZ345&gt;=BA345,$U$9,"")</f>
        <v/>
      </c>
      <c r="BV349" s="803" t="str">
        <f>IF(BZ345&gt;=BA345,$V$9,"")</f>
        <v/>
      </c>
      <c r="BW349" s="805" t="str">
        <f>IF(BZ345&gt;=BA345,$W$9,"")</f>
        <v/>
      </c>
      <c r="BX349" s="806"/>
      <c r="BY349" s="806"/>
      <c r="BZ349" s="807"/>
      <c r="CA349" s="858" t="str">
        <f>IF(CZ345&gt;=CA345,$A$9,"")</f>
        <v/>
      </c>
      <c r="CB349" s="806"/>
      <c r="CC349" s="806"/>
      <c r="CD349" s="806"/>
      <c r="CE349" s="852"/>
      <c r="CF349" s="805" t="str">
        <f>IF(CZ345&gt;=CA345,$F$9,"")</f>
        <v/>
      </c>
      <c r="CG349" s="806"/>
      <c r="CH349" s="806"/>
      <c r="CI349" s="852"/>
      <c r="CJ349" s="811" t="str">
        <f>IF(CZ345&gt;=CA345,$J$9,"")</f>
        <v/>
      </c>
      <c r="CK349" s="803" t="str">
        <f>IF(CZ345&gt;=CA345,$K$9,"")</f>
        <v/>
      </c>
      <c r="CL349" s="803" t="str">
        <f>IF(CZ345&gt;=CA345,$L$9,"")</f>
        <v/>
      </c>
      <c r="CM349" s="803" t="str">
        <f>IF(CZ345&gt;=CA345,$M$9,"")</f>
        <v/>
      </c>
      <c r="CN349" s="803" t="str">
        <f>IF(CZ345&gt;=CA345,$N$9,"")</f>
        <v/>
      </c>
      <c r="CO349" s="803" t="str">
        <f>IF(CZ345&gt;=CA345,$O$9,"")</f>
        <v/>
      </c>
      <c r="CP349" s="803" t="str">
        <f>IF(CZ345&gt;=CA345,$P$9,"")</f>
        <v/>
      </c>
      <c r="CQ349" s="803" t="str">
        <f>IF(CZ345&gt;=CA345,$Q$9,"")</f>
        <v/>
      </c>
      <c r="CR349" s="803" t="str">
        <f>IF(CZ345&gt;=CA345,$R$9,"")</f>
        <v/>
      </c>
      <c r="CS349" s="803" t="str">
        <f>IF(CZ345&gt;=CA345,$S$9,"")</f>
        <v/>
      </c>
      <c r="CT349" s="803" t="str">
        <f>IF(CZ345&gt;=CA345,$T$9,"")</f>
        <v/>
      </c>
      <c r="CU349" s="803" t="str">
        <f>IF(CZ345&gt;=CA345,$U$9,"")</f>
        <v/>
      </c>
      <c r="CV349" s="803" t="str">
        <f>IF(CZ345&gt;=CA345,$V$9,"")</f>
        <v/>
      </c>
      <c r="CW349" s="805" t="str">
        <f>IF(CZ345&gt;=CA345,$W$9,"")</f>
        <v/>
      </c>
      <c r="CX349" s="806"/>
      <c r="CY349" s="806"/>
      <c r="CZ349" s="807"/>
      <c r="DA349" s="858" t="str">
        <f>IF(DZ345&gt;=DA345,$A$9,"")</f>
        <v/>
      </c>
      <c r="DB349" s="806"/>
      <c r="DC349" s="806"/>
      <c r="DD349" s="806"/>
      <c r="DE349" s="852"/>
      <c r="DF349" s="805" t="str">
        <f>IF(DZ345&gt;=DA345,$F$9,"")</f>
        <v/>
      </c>
      <c r="DG349" s="806"/>
      <c r="DH349" s="806"/>
      <c r="DI349" s="852"/>
      <c r="DJ349" s="811" t="str">
        <f>IF(DZ345&gt;=DA345,$J$9,"")</f>
        <v/>
      </c>
      <c r="DK349" s="803" t="str">
        <f>IF(DZ345&gt;=DA345,$K$9,"")</f>
        <v/>
      </c>
      <c r="DL349" s="803" t="str">
        <f>IF(DZ345&gt;=DA345,$L$9,"")</f>
        <v/>
      </c>
      <c r="DM349" s="803" t="str">
        <f>IF(DZ345&gt;=DA345,$M$9,"")</f>
        <v/>
      </c>
      <c r="DN349" s="803" t="str">
        <f>IF(DZ345&gt;=DA345,$N$9,"")</f>
        <v/>
      </c>
      <c r="DO349" s="803" t="str">
        <f>IF(DZ345&gt;=DA345,$O$9,"")</f>
        <v/>
      </c>
      <c r="DP349" s="803" t="str">
        <f>IF(DZ345&gt;=DA345,$P$9,"")</f>
        <v/>
      </c>
      <c r="DQ349" s="803" t="str">
        <f>IF(DZ345&gt;=DA345,$Q$9,"")</f>
        <v/>
      </c>
      <c r="DR349" s="803" t="str">
        <f>IF(DZ345&gt;=DA345,$R$9,"")</f>
        <v/>
      </c>
      <c r="DS349" s="803" t="str">
        <f>IF(DZ345&gt;=DA345,$S$9,"")</f>
        <v/>
      </c>
      <c r="DT349" s="803" t="str">
        <f>IF(DZ345&gt;=DA345,$T$9,"")</f>
        <v/>
      </c>
      <c r="DU349" s="803" t="str">
        <f>IF(DZ345&gt;=DA345,$U$9,"")</f>
        <v/>
      </c>
      <c r="DV349" s="803" t="str">
        <f>IF(DZ345&gt;=DA345,$V$9,"")</f>
        <v/>
      </c>
      <c r="DW349" s="805" t="str">
        <f>IF(DZ345&gt;=DA345,$W$9,"")</f>
        <v/>
      </c>
      <c r="DX349" s="806"/>
      <c r="DY349" s="806"/>
      <c r="DZ349" s="807"/>
      <c r="EA349" s="858" t="str">
        <f>IF(EZ345&gt;=EA345,$A$9,"")</f>
        <v/>
      </c>
      <c r="EB349" s="806"/>
      <c r="EC349" s="806"/>
      <c r="ED349" s="806"/>
      <c r="EE349" s="852"/>
      <c r="EF349" s="805" t="str">
        <f>IF(EZ345&gt;=EA345,$F$9,"")</f>
        <v/>
      </c>
      <c r="EG349" s="806"/>
      <c r="EH349" s="806"/>
      <c r="EI349" s="852"/>
      <c r="EJ349" s="811" t="str">
        <f>IF(EZ345&gt;=EA345,$J$9,"")</f>
        <v/>
      </c>
      <c r="EK349" s="803" t="str">
        <f>IF(EZ345&gt;=EA345,$K$9,"")</f>
        <v/>
      </c>
      <c r="EL349" s="803" t="str">
        <f>IF(EZ345&gt;=EA345,$L$9,"")</f>
        <v/>
      </c>
      <c r="EM349" s="803" t="str">
        <f>IF(EZ345&gt;=EA345,$M$9,"")</f>
        <v/>
      </c>
      <c r="EN349" s="803" t="str">
        <f>IF(EZ345&gt;=EA345,$N$9,"")</f>
        <v/>
      </c>
      <c r="EO349" s="803" t="str">
        <f>IF(EZ345&gt;=EA345,$O$9,"")</f>
        <v/>
      </c>
      <c r="EP349" s="803" t="str">
        <f>IF(EZ345&gt;=EA345,$P$9,"")</f>
        <v/>
      </c>
      <c r="EQ349" s="803" t="str">
        <f>IF(EZ345&gt;=EA345,$Q$9,"")</f>
        <v/>
      </c>
      <c r="ER349" s="803" t="str">
        <f>IF(EZ345&gt;=EA345,$R$9,"")</f>
        <v/>
      </c>
      <c r="ES349" s="803" t="str">
        <f>IF(EZ345&gt;=EA345,$S$9,"")</f>
        <v/>
      </c>
      <c r="ET349" s="803" t="str">
        <f>IF(EZ345&gt;=EA345,$T$9,"")</f>
        <v/>
      </c>
      <c r="EU349" s="803" t="str">
        <f>IF(EZ345&gt;=EA345,$U$9,"")</f>
        <v/>
      </c>
      <c r="EV349" s="803" t="str">
        <f>IF(EZ345&gt;=EA345,$V$9,"")</f>
        <v/>
      </c>
      <c r="EW349" s="805" t="str">
        <f>IF(EZ345&gt;=EA345,$W$9,"")</f>
        <v/>
      </c>
      <c r="EX349" s="806"/>
      <c r="EY349" s="806"/>
      <c r="EZ349" s="807"/>
      <c r="FA349" s="858" t="str">
        <f>IF(FZ345&gt;=FA345,$A$9,"")</f>
        <v/>
      </c>
      <c r="FB349" s="806"/>
      <c r="FC349" s="806"/>
      <c r="FD349" s="806"/>
      <c r="FE349" s="852"/>
      <c r="FF349" s="805" t="str">
        <f>IF(FZ345&gt;=FA345,$F$9,"")</f>
        <v/>
      </c>
      <c r="FG349" s="806"/>
      <c r="FH349" s="806"/>
      <c r="FI349" s="852"/>
      <c r="FJ349" s="811" t="str">
        <f>IF(FZ345&gt;=FA345,$J$9,"")</f>
        <v/>
      </c>
      <c r="FK349" s="803" t="str">
        <f>IF(FZ345&gt;=FA345,$K$9,"")</f>
        <v/>
      </c>
      <c r="FL349" s="803" t="str">
        <f>IF(FZ345&gt;=FA345,$L$9,"")</f>
        <v/>
      </c>
      <c r="FM349" s="803" t="str">
        <f>IF(FZ345&gt;=FA345,$M$9,"")</f>
        <v/>
      </c>
      <c r="FN349" s="803" t="str">
        <f>IF(FZ345&gt;=FA345,$N$9,"")</f>
        <v/>
      </c>
      <c r="FO349" s="803" t="str">
        <f>IF(FZ345&gt;=FA345,$O$9,"")</f>
        <v/>
      </c>
      <c r="FP349" s="803" t="str">
        <f>IF(FZ345&gt;=FA345,$P$9,"")</f>
        <v/>
      </c>
      <c r="FQ349" s="803" t="str">
        <f>IF(FZ345&gt;=FA345,$Q$9,"")</f>
        <v/>
      </c>
      <c r="FR349" s="803" t="str">
        <f>IF(FZ345&gt;=FA345,$R$9,"")</f>
        <v/>
      </c>
      <c r="FS349" s="803" t="str">
        <f>IF(FZ345&gt;=FA345,$S$9,"")</f>
        <v/>
      </c>
      <c r="FT349" s="803" t="str">
        <f>IF(FZ345&gt;=FA345,$T$9,"")</f>
        <v/>
      </c>
      <c r="FU349" s="803" t="str">
        <f>IF(FZ345&gt;=FA345,$U$9,"")</f>
        <v/>
      </c>
      <c r="FV349" s="803" t="str">
        <f>IF(FZ345&gt;=FA345,$V$9,"")</f>
        <v/>
      </c>
      <c r="FW349" s="805" t="str">
        <f>IF(FZ345&gt;=FA345,$W$9,"")</f>
        <v/>
      </c>
      <c r="FX349" s="806"/>
      <c r="FY349" s="806"/>
      <c r="FZ349" s="807"/>
      <c r="GA349" s="858" t="str">
        <f>IF(GZ345&gt;=GA345,$A$9,"")</f>
        <v/>
      </c>
      <c r="GB349" s="806"/>
      <c r="GC349" s="806"/>
      <c r="GD349" s="806"/>
      <c r="GE349" s="852"/>
      <c r="GF349" s="805" t="str">
        <f>IF(GZ345&gt;=GA345,$F$9,"")</f>
        <v/>
      </c>
      <c r="GG349" s="806"/>
      <c r="GH349" s="806"/>
      <c r="GI349" s="852"/>
      <c r="GJ349" s="811" t="str">
        <f>IF(GZ345&gt;=GA345,$J$9,"")</f>
        <v/>
      </c>
      <c r="GK349" s="803" t="str">
        <f>IF(GZ345&gt;=GA345,$K$9,"")</f>
        <v/>
      </c>
      <c r="GL349" s="803" t="str">
        <f>IF(GZ345&gt;=GA345,$L$9,"")</f>
        <v/>
      </c>
      <c r="GM349" s="803" t="str">
        <f>IF(GZ345&gt;=GA345,$M$9,"")</f>
        <v/>
      </c>
      <c r="GN349" s="803" t="str">
        <f>IF(GZ345&gt;=GA345,$N$9,"")</f>
        <v/>
      </c>
      <c r="GO349" s="803" t="str">
        <f>IF(GZ345&gt;=GA345,$O$9,"")</f>
        <v/>
      </c>
      <c r="GP349" s="803" t="str">
        <f>IF(GZ345&gt;=GA345,$P$9,"")</f>
        <v/>
      </c>
      <c r="GQ349" s="803" t="str">
        <f>IF(GZ345&gt;=GA345,$Q$9,"")</f>
        <v/>
      </c>
      <c r="GR349" s="803" t="str">
        <f>IF(GZ345&gt;=GA345,$R$9,"")</f>
        <v/>
      </c>
      <c r="GS349" s="803" t="str">
        <f>IF(GZ345&gt;=GA345,$S$9,"")</f>
        <v/>
      </c>
      <c r="GT349" s="803" t="str">
        <f>IF(GZ345&gt;=GA345,$T$9,"")</f>
        <v/>
      </c>
      <c r="GU349" s="803" t="str">
        <f>IF(GZ345&gt;=GA345,$U$9,"")</f>
        <v/>
      </c>
      <c r="GV349" s="803" t="str">
        <f>IF(GZ345&gt;=GA345,$V$9,"")</f>
        <v/>
      </c>
      <c r="GW349" s="805" t="str">
        <f>IF(GZ345&gt;=GA345,$W$9,"")</f>
        <v/>
      </c>
      <c r="GX349" s="806"/>
      <c r="GY349" s="806"/>
      <c r="GZ349" s="807"/>
      <c r="HA349" s="858" t="str">
        <f>IF(HZ345&gt;=HA345,$A$9,"")</f>
        <v/>
      </c>
      <c r="HB349" s="806"/>
      <c r="HC349" s="806"/>
      <c r="HD349" s="806"/>
      <c r="HE349" s="852"/>
      <c r="HF349" s="805" t="str">
        <f>IF(HZ345&gt;=HA345,$F$9,"")</f>
        <v/>
      </c>
      <c r="HG349" s="806"/>
      <c r="HH349" s="806"/>
      <c r="HI349" s="852"/>
      <c r="HJ349" s="811" t="str">
        <f>IF(HZ345&gt;=HA345,$J$9,"")</f>
        <v/>
      </c>
      <c r="HK349" s="803" t="str">
        <f>IF(HZ345&gt;=HA345,$K$9,"")</f>
        <v/>
      </c>
      <c r="HL349" s="803" t="str">
        <f>IF(HZ345&gt;=HA345,$L$9,"")</f>
        <v/>
      </c>
      <c r="HM349" s="803" t="str">
        <f>IF(HZ345&gt;=HA345,$M$9,"")</f>
        <v/>
      </c>
      <c r="HN349" s="803" t="str">
        <f>IF(HZ345&gt;=HA345,$N$9,"")</f>
        <v/>
      </c>
      <c r="HO349" s="803" t="str">
        <f>IF(HZ345&gt;=HA345,$O$9,"")</f>
        <v/>
      </c>
      <c r="HP349" s="803" t="str">
        <f>IF(HZ345&gt;=HA345,$P$9,"")</f>
        <v/>
      </c>
      <c r="HQ349" s="803" t="str">
        <f>IF(HZ345&gt;=HA345,$Q$9,"")</f>
        <v/>
      </c>
      <c r="HR349" s="803" t="str">
        <f>IF(HZ345&gt;=HA345,$R$9,"")</f>
        <v/>
      </c>
      <c r="HS349" s="803" t="str">
        <f>IF(HZ345&gt;=HA345,$S$9,"")</f>
        <v/>
      </c>
      <c r="HT349" s="803" t="str">
        <f>IF(HZ345&gt;=HA345,$T$9,"")</f>
        <v/>
      </c>
      <c r="HU349" s="803" t="str">
        <f>IF(HZ345&gt;=HA345,$U$9,"")</f>
        <v/>
      </c>
      <c r="HV349" s="803" t="str">
        <f>IF(HZ345&gt;=HA345,$V$9,"")</f>
        <v/>
      </c>
      <c r="HW349" s="805" t="str">
        <f>IF(HZ345&gt;=HA345,$W$9,"")</f>
        <v/>
      </c>
      <c r="HX349" s="806"/>
      <c r="HY349" s="806"/>
      <c r="HZ349" s="807"/>
      <c r="IA349" s="858" t="str">
        <f>IF(IZ345&gt;=IA345,$A$9,"")</f>
        <v/>
      </c>
      <c r="IB349" s="806"/>
      <c r="IC349" s="806"/>
      <c r="ID349" s="806"/>
      <c r="IE349" s="852"/>
      <c r="IF349" s="805" t="str">
        <f>IF(IZ345&gt;=IA345,$F$9,"")</f>
        <v/>
      </c>
      <c r="IG349" s="806"/>
      <c r="IH349" s="806"/>
      <c r="II349" s="852"/>
      <c r="IJ349" s="811" t="str">
        <f>IF(IZ345&gt;=IA345,$J$9,"")</f>
        <v/>
      </c>
      <c r="IK349" s="803" t="str">
        <f>IF(IZ345&gt;=IA345,$K$9,"")</f>
        <v/>
      </c>
      <c r="IL349" s="803" t="str">
        <f>IF(IZ345&gt;=IA345,$L$9,"")</f>
        <v/>
      </c>
      <c r="IM349" s="803" t="str">
        <f>IF(IZ345&gt;=IA345,$M$9,"")</f>
        <v/>
      </c>
      <c r="IN349" s="803" t="str">
        <f>IF(IZ345&gt;=IA345,$N$9,"")</f>
        <v/>
      </c>
      <c r="IO349" s="803" t="str">
        <f>IF(IZ345&gt;=IA345,$O$9,"")</f>
        <v/>
      </c>
      <c r="IP349" s="803" t="str">
        <f>IF(IZ345&gt;=IA345,$P$9,"")</f>
        <v/>
      </c>
      <c r="IQ349" s="803" t="str">
        <f>IF(IZ345&gt;=IA345,$Q$9,"")</f>
        <v/>
      </c>
      <c r="IR349" s="803" t="str">
        <f>IF(IZ345&gt;=IA345,$R$9,"")</f>
        <v/>
      </c>
      <c r="IS349" s="803" t="str">
        <f>IF(IZ345&gt;=IA345,$S$9,"")</f>
        <v/>
      </c>
      <c r="IT349" s="803" t="str">
        <f>IF(IZ345&gt;=IA345,$T$9,"")</f>
        <v/>
      </c>
      <c r="IU349" s="803" t="str">
        <f>IF(IZ345&gt;=IA345,$U$9,"")</f>
        <v/>
      </c>
      <c r="IV349" s="803" t="str">
        <f>IF(IZ345&gt;=IA345,$V$9,"")</f>
        <v/>
      </c>
      <c r="IW349" s="805" t="str">
        <f>IF(IZ345&gt;=IA345,$W$9,"")</f>
        <v/>
      </c>
      <c r="IX349" s="806"/>
      <c r="IY349" s="806"/>
      <c r="IZ349" s="807"/>
    </row>
    <row r="350" spans="1:260" x14ac:dyDescent="0.25">
      <c r="A350" s="859"/>
      <c r="B350" s="809"/>
      <c r="C350" s="809"/>
      <c r="D350" s="809"/>
      <c r="E350" s="853"/>
      <c r="F350" s="808"/>
      <c r="G350" s="809"/>
      <c r="H350" s="809"/>
      <c r="I350" s="853"/>
      <c r="J350" s="812"/>
      <c r="K350" s="804"/>
      <c r="L350" s="804"/>
      <c r="M350" s="804"/>
      <c r="N350" s="804"/>
      <c r="O350" s="804"/>
      <c r="P350" s="804"/>
      <c r="Q350" s="804"/>
      <c r="R350" s="804"/>
      <c r="S350" s="804"/>
      <c r="T350" s="804"/>
      <c r="U350" s="804"/>
      <c r="V350" s="804"/>
      <c r="W350" s="808"/>
      <c r="X350" s="809"/>
      <c r="Y350" s="809"/>
      <c r="Z350" s="810"/>
      <c r="AA350" s="859"/>
      <c r="AB350" s="809"/>
      <c r="AC350" s="809"/>
      <c r="AD350" s="809"/>
      <c r="AE350" s="853"/>
      <c r="AF350" s="808"/>
      <c r="AG350" s="809"/>
      <c r="AH350" s="809"/>
      <c r="AI350" s="853"/>
      <c r="AJ350" s="812"/>
      <c r="AK350" s="804"/>
      <c r="AL350" s="804"/>
      <c r="AM350" s="804"/>
      <c r="AN350" s="804"/>
      <c r="AO350" s="804"/>
      <c r="AP350" s="804"/>
      <c r="AQ350" s="804"/>
      <c r="AR350" s="804"/>
      <c r="AS350" s="804"/>
      <c r="AT350" s="804"/>
      <c r="AU350" s="804"/>
      <c r="AV350" s="804"/>
      <c r="AW350" s="808"/>
      <c r="AX350" s="809"/>
      <c r="AY350" s="809"/>
      <c r="AZ350" s="810"/>
      <c r="BA350" s="859"/>
      <c r="BB350" s="809"/>
      <c r="BC350" s="809"/>
      <c r="BD350" s="809"/>
      <c r="BE350" s="853"/>
      <c r="BF350" s="808"/>
      <c r="BG350" s="809"/>
      <c r="BH350" s="809"/>
      <c r="BI350" s="853"/>
      <c r="BJ350" s="812"/>
      <c r="BK350" s="804"/>
      <c r="BL350" s="804"/>
      <c r="BM350" s="804"/>
      <c r="BN350" s="804"/>
      <c r="BO350" s="804"/>
      <c r="BP350" s="804"/>
      <c r="BQ350" s="804"/>
      <c r="BR350" s="804"/>
      <c r="BS350" s="804"/>
      <c r="BT350" s="804"/>
      <c r="BU350" s="804"/>
      <c r="BV350" s="804"/>
      <c r="BW350" s="808"/>
      <c r="BX350" s="809"/>
      <c r="BY350" s="809"/>
      <c r="BZ350" s="810"/>
      <c r="CA350" s="859"/>
      <c r="CB350" s="809"/>
      <c r="CC350" s="809"/>
      <c r="CD350" s="809"/>
      <c r="CE350" s="853"/>
      <c r="CF350" s="808"/>
      <c r="CG350" s="809"/>
      <c r="CH350" s="809"/>
      <c r="CI350" s="853"/>
      <c r="CJ350" s="812"/>
      <c r="CK350" s="804"/>
      <c r="CL350" s="804"/>
      <c r="CM350" s="804"/>
      <c r="CN350" s="804"/>
      <c r="CO350" s="804"/>
      <c r="CP350" s="804"/>
      <c r="CQ350" s="804"/>
      <c r="CR350" s="804"/>
      <c r="CS350" s="804"/>
      <c r="CT350" s="804"/>
      <c r="CU350" s="804"/>
      <c r="CV350" s="804"/>
      <c r="CW350" s="808"/>
      <c r="CX350" s="809"/>
      <c r="CY350" s="809"/>
      <c r="CZ350" s="810"/>
      <c r="DA350" s="859"/>
      <c r="DB350" s="809"/>
      <c r="DC350" s="809"/>
      <c r="DD350" s="809"/>
      <c r="DE350" s="853"/>
      <c r="DF350" s="808"/>
      <c r="DG350" s="809"/>
      <c r="DH350" s="809"/>
      <c r="DI350" s="853"/>
      <c r="DJ350" s="812"/>
      <c r="DK350" s="804"/>
      <c r="DL350" s="804"/>
      <c r="DM350" s="804"/>
      <c r="DN350" s="804"/>
      <c r="DO350" s="804"/>
      <c r="DP350" s="804"/>
      <c r="DQ350" s="804"/>
      <c r="DR350" s="804"/>
      <c r="DS350" s="804"/>
      <c r="DT350" s="804"/>
      <c r="DU350" s="804"/>
      <c r="DV350" s="804"/>
      <c r="DW350" s="808"/>
      <c r="DX350" s="809"/>
      <c r="DY350" s="809"/>
      <c r="DZ350" s="810"/>
      <c r="EA350" s="859"/>
      <c r="EB350" s="809"/>
      <c r="EC350" s="809"/>
      <c r="ED350" s="809"/>
      <c r="EE350" s="853"/>
      <c r="EF350" s="808"/>
      <c r="EG350" s="809"/>
      <c r="EH350" s="809"/>
      <c r="EI350" s="853"/>
      <c r="EJ350" s="812"/>
      <c r="EK350" s="804"/>
      <c r="EL350" s="804"/>
      <c r="EM350" s="804"/>
      <c r="EN350" s="804"/>
      <c r="EO350" s="804"/>
      <c r="EP350" s="804"/>
      <c r="EQ350" s="804"/>
      <c r="ER350" s="804"/>
      <c r="ES350" s="804"/>
      <c r="ET350" s="804"/>
      <c r="EU350" s="804"/>
      <c r="EV350" s="804"/>
      <c r="EW350" s="808"/>
      <c r="EX350" s="809"/>
      <c r="EY350" s="809"/>
      <c r="EZ350" s="810"/>
      <c r="FA350" s="859"/>
      <c r="FB350" s="809"/>
      <c r="FC350" s="809"/>
      <c r="FD350" s="809"/>
      <c r="FE350" s="853"/>
      <c r="FF350" s="808"/>
      <c r="FG350" s="809"/>
      <c r="FH350" s="809"/>
      <c r="FI350" s="853"/>
      <c r="FJ350" s="812"/>
      <c r="FK350" s="804"/>
      <c r="FL350" s="804"/>
      <c r="FM350" s="804"/>
      <c r="FN350" s="804"/>
      <c r="FO350" s="804"/>
      <c r="FP350" s="804"/>
      <c r="FQ350" s="804"/>
      <c r="FR350" s="804"/>
      <c r="FS350" s="804"/>
      <c r="FT350" s="804"/>
      <c r="FU350" s="804"/>
      <c r="FV350" s="804"/>
      <c r="FW350" s="808"/>
      <c r="FX350" s="809"/>
      <c r="FY350" s="809"/>
      <c r="FZ350" s="810"/>
      <c r="GA350" s="859"/>
      <c r="GB350" s="809"/>
      <c r="GC350" s="809"/>
      <c r="GD350" s="809"/>
      <c r="GE350" s="853"/>
      <c r="GF350" s="808"/>
      <c r="GG350" s="809"/>
      <c r="GH350" s="809"/>
      <c r="GI350" s="853"/>
      <c r="GJ350" s="812"/>
      <c r="GK350" s="804"/>
      <c r="GL350" s="804"/>
      <c r="GM350" s="804"/>
      <c r="GN350" s="804"/>
      <c r="GO350" s="804"/>
      <c r="GP350" s="804"/>
      <c r="GQ350" s="804"/>
      <c r="GR350" s="804"/>
      <c r="GS350" s="804"/>
      <c r="GT350" s="804"/>
      <c r="GU350" s="804"/>
      <c r="GV350" s="804"/>
      <c r="GW350" s="808"/>
      <c r="GX350" s="809"/>
      <c r="GY350" s="809"/>
      <c r="GZ350" s="810"/>
      <c r="HA350" s="859"/>
      <c r="HB350" s="809"/>
      <c r="HC350" s="809"/>
      <c r="HD350" s="809"/>
      <c r="HE350" s="853"/>
      <c r="HF350" s="808"/>
      <c r="HG350" s="809"/>
      <c r="HH350" s="809"/>
      <c r="HI350" s="853"/>
      <c r="HJ350" s="812"/>
      <c r="HK350" s="804"/>
      <c r="HL350" s="804"/>
      <c r="HM350" s="804"/>
      <c r="HN350" s="804"/>
      <c r="HO350" s="804"/>
      <c r="HP350" s="804"/>
      <c r="HQ350" s="804"/>
      <c r="HR350" s="804"/>
      <c r="HS350" s="804"/>
      <c r="HT350" s="804"/>
      <c r="HU350" s="804"/>
      <c r="HV350" s="804"/>
      <c r="HW350" s="808"/>
      <c r="HX350" s="809"/>
      <c r="HY350" s="809"/>
      <c r="HZ350" s="810"/>
      <c r="IA350" s="859"/>
      <c r="IB350" s="809"/>
      <c r="IC350" s="809"/>
      <c r="ID350" s="809"/>
      <c r="IE350" s="853"/>
      <c r="IF350" s="808"/>
      <c r="IG350" s="809"/>
      <c r="IH350" s="809"/>
      <c r="II350" s="853"/>
      <c r="IJ350" s="812"/>
      <c r="IK350" s="804"/>
      <c r="IL350" s="804"/>
      <c r="IM350" s="804"/>
      <c r="IN350" s="804"/>
      <c r="IO350" s="804"/>
      <c r="IP350" s="804"/>
      <c r="IQ350" s="804"/>
      <c r="IR350" s="804"/>
      <c r="IS350" s="804"/>
      <c r="IT350" s="804"/>
      <c r="IU350" s="804"/>
      <c r="IV350" s="804"/>
      <c r="IW350" s="808"/>
      <c r="IX350" s="809"/>
      <c r="IY350" s="809"/>
      <c r="IZ350" s="810"/>
    </row>
    <row r="351" spans="1:260" x14ac:dyDescent="0.25">
      <c r="A351" s="854" t="str">
        <f>IFERROR(INDEX(Lista_Pedidos,Procesos!Y345+A345-1,3),"")</f>
        <v/>
      </c>
      <c r="B351" s="855"/>
      <c r="C351" s="855"/>
      <c r="D351" s="855"/>
      <c r="E351" s="856"/>
      <c r="F351" s="857" t="str">
        <f>IF(Z345&gt;A345-1,E$11,"")</f>
        <v/>
      </c>
      <c r="G351" s="855"/>
      <c r="H351" s="855"/>
      <c r="I351" s="856"/>
      <c r="J351" s="526" t="str">
        <f>IFERROR(IF(IF(Z345&gt;A345-1,INDEX(Lista_Pedidos,Y345+A345-1,J345),"")=0,"",IF(Z345&gt;A345-1,INDEX(Lista_Pedidos,Y345+A345-1,J345),"")),"")</f>
        <v/>
      </c>
      <c r="K351" s="526" t="str">
        <f>IFERROR(IF(IF(Z345&gt;A345-1,INDEX(Lista_Pedidos,Y345+A345-1,K345),"")=0,"",IF(Z345&gt;A345-1,INDEX(Lista_Pedidos,Y345+A345-1,K345),"")),"")</f>
        <v/>
      </c>
      <c r="L351" s="526" t="str">
        <f>IFERROR(IF(IF(Z345&gt;A345-1,INDEX(Lista_Pedidos,Y345+A345-1,L345),"")=0,"",IF(Z345&gt;A345-1,INDEX(Lista_Pedidos,Y345+A345-1,L345),"")),"")</f>
        <v/>
      </c>
      <c r="M351" s="526" t="str">
        <f>IFERROR(IF(IF(Z345&gt;A345-1,INDEX(Lista_Pedidos,Y345+A345-1,M345),"")=0,"",IF(Z345&gt;A345-1,INDEX(Lista_Pedidos,Y345+A345-1,M345),"")),"")</f>
        <v/>
      </c>
      <c r="N351" s="526" t="str">
        <f>IFERROR(IF(IF(Z345&gt;A345-1,INDEX(Lista_Pedidos,Y345+A345-1,N345),"")=0,"",IF(Z345&gt;A345-1,INDEX(Lista_Pedidos,Y345+A345-1,N345),"")),"")</f>
        <v/>
      </c>
      <c r="O351" s="526" t="str">
        <f>IFERROR(IF(IF(Z345&gt;A345-1,INDEX(Lista_Pedidos,Y345+A345-1,O345),"")=0,"",IF(Z345&gt;A345-1,INDEX(Lista_Pedidos,Y345+A345-1,O345),"")),"")</f>
        <v/>
      </c>
      <c r="P351" s="526" t="str">
        <f>IFERROR(IF(IF(Z345&gt;A345-1,INDEX(Lista_Pedidos,Y345+A345-1,P345),"")=0,"",IF(Z345&gt;A345-1,INDEX(Lista_Pedidos,Y345+A345-1,P345),"")),"")</f>
        <v/>
      </c>
      <c r="Q351" s="526" t="str">
        <f>IFERROR(IF(IF(Z345&gt;A345-1,INDEX(Lista_Pedidos,Y345+A345-1,Q345),"")=0,"",IF(Z345&gt;A345-1,INDEX(Lista_Pedidos,Y345+A345-1,Q345),"")),"")</f>
        <v/>
      </c>
      <c r="R351" s="526" t="str">
        <f>IFERROR(IF(IF(Z345&gt;A345-1,INDEX(Lista_Pedidos,Y345+A345-1,R345),"")=0,"",IF(Z345&gt;A345-1,INDEX(Lista_Pedidos,Y345+A345-1,R345),"")),"")</f>
        <v/>
      </c>
      <c r="S351" s="526" t="str">
        <f>IFERROR(IF(IF(Z345&gt;A345-1,INDEX(Lista_Pedidos,Y345+A345-1,S345),"")=0,"",IF(Z345&gt;A345-1,INDEX(Lista_Pedidos,Y345+A345-1,S345),"")),"")</f>
        <v/>
      </c>
      <c r="T351" s="526" t="str">
        <f>IFERROR(IF(IF(Z345&gt;A345-1,INDEX(Lista_Pedidos,Y345+A345-1,T345),"")=0,"",IF(Z345&gt;A345-1,INDEX(Lista_Pedidos,Y345+A345-1,T345),"")),"")</f>
        <v/>
      </c>
      <c r="U351" s="526" t="str">
        <f>IFERROR(IF(IF(Z345&gt;A345-1,INDEX(Lista_Pedidos,Y345+A345-1,U345),"")=0,"",IF(Z345&gt;A345-1,INDEX(Lista_Pedidos,Y345+A345-1,U345),"")),"")</f>
        <v/>
      </c>
      <c r="V351" s="526" t="str">
        <f>IFERROR(IF(IF(Z345&gt;A345-1,INDEX(Lista_Pedidos,Y345+A345-1,V345),"")=0,"",IF(Z345&gt;A345-1,INDEX(Lista_Pedidos,Y345+A345-1,V345),"")),"")</f>
        <v/>
      </c>
      <c r="W351" s="857" t="str">
        <f>IF(SUM(J351:V351)&gt;1,SUM(J351:V351),"")</f>
        <v/>
      </c>
      <c r="X351" s="855"/>
      <c r="Y351" s="855"/>
      <c r="Z351" s="860"/>
      <c r="AA351" s="854" t="str">
        <f>IFERROR(INDEX(Lista_Pedidos,Procesos!AY345+AA345-1,3),"")</f>
        <v/>
      </c>
      <c r="AB351" s="855"/>
      <c r="AC351" s="855"/>
      <c r="AD351" s="855"/>
      <c r="AE351" s="856"/>
      <c r="AF351" s="857" t="str">
        <f>IF(AZ345&gt;AA345-1,AE$11,"")</f>
        <v/>
      </c>
      <c r="AG351" s="855"/>
      <c r="AH351" s="855"/>
      <c r="AI351" s="856"/>
      <c r="AJ351" s="526" t="str">
        <f>IFERROR(IF(IF(AZ345&gt;AA345-1,INDEX(Lista_Pedidos,AY345+AA345-1,AJ345),"")=0,"",IF(AZ345&gt;AA345-1,INDEX(Lista_Pedidos,AY345+AA345-1,AJ345),"")),"")</f>
        <v/>
      </c>
      <c r="AK351" s="526" t="str">
        <f>IFERROR(IF(IF(AZ345&gt;AA345-1,INDEX(Lista_Pedidos,AY345+AA345-1,AK345),"")=0,"",IF(AZ345&gt;AA345-1,INDEX(Lista_Pedidos,AY345+AA345-1,AK345),"")),"")</f>
        <v/>
      </c>
      <c r="AL351" s="526" t="str">
        <f>IFERROR(IF(IF(AZ345&gt;AA345-1,INDEX(Lista_Pedidos,AY345+AA345-1,AL345),"")=0,"",IF(AZ345&gt;AA345-1,INDEX(Lista_Pedidos,AY345+AA345-1,AL345),"")),"")</f>
        <v/>
      </c>
      <c r="AM351" s="526" t="str">
        <f>IFERROR(IF(IF(AZ345&gt;AA345-1,INDEX(Lista_Pedidos,AY345+AA345-1,AM345),"")=0,"",IF(AZ345&gt;AA345-1,INDEX(Lista_Pedidos,AY345+AA345-1,AM345),"")),"")</f>
        <v/>
      </c>
      <c r="AN351" s="526" t="str">
        <f>IFERROR(IF(IF(AZ345&gt;AA345-1,INDEX(Lista_Pedidos,AY345+AA345-1,AN345),"")=0,"",IF(AZ345&gt;AA345-1,INDEX(Lista_Pedidos,AY345+AA345-1,AN345),"")),"")</f>
        <v/>
      </c>
      <c r="AO351" s="526" t="str">
        <f>IFERROR(IF(IF(AZ345&gt;AA345-1,INDEX(Lista_Pedidos,AY345+AA345-1,AO345),"")=0,"",IF(AZ345&gt;AA345-1,INDEX(Lista_Pedidos,AY345+AA345-1,AO345),"")),"")</f>
        <v/>
      </c>
      <c r="AP351" s="526" t="str">
        <f>IFERROR(IF(IF(AZ345&gt;AA345-1,INDEX(Lista_Pedidos,AY345+AA345-1,AP345),"")=0,"",IF(AZ345&gt;AA345-1,INDEX(Lista_Pedidos,AY345+AA345-1,AP345),"")),"")</f>
        <v/>
      </c>
      <c r="AQ351" s="526" t="str">
        <f>IFERROR(IF(IF(AZ345&gt;AA345-1,INDEX(Lista_Pedidos,AY345+AA345-1,AQ345),"")=0,"",IF(AZ345&gt;AA345-1,INDEX(Lista_Pedidos,AY345+AA345-1,AQ345),"")),"")</f>
        <v/>
      </c>
      <c r="AR351" s="526" t="str">
        <f>IFERROR(IF(IF(AZ345&gt;AA345-1,INDEX(Lista_Pedidos,AY345+AA345-1,AR345),"")=0,"",IF(AZ345&gt;AA345-1,INDEX(Lista_Pedidos,AY345+AA345-1,AR345),"")),"")</f>
        <v/>
      </c>
      <c r="AS351" s="526" t="str">
        <f>IFERROR(IF(IF(AZ345&gt;AA345-1,INDEX(Lista_Pedidos,AY345+AA345-1,AS345),"")=0,"",IF(AZ345&gt;AA345-1,INDEX(Lista_Pedidos,AY345+AA345-1,AS345),"")),"")</f>
        <v/>
      </c>
      <c r="AT351" s="526" t="str">
        <f>IFERROR(IF(IF(AZ345&gt;AA345-1,INDEX(Lista_Pedidos,AY345+AA345-1,AT345),"")=0,"",IF(AZ345&gt;AA345-1,INDEX(Lista_Pedidos,AY345+AA345-1,AT345),"")),"")</f>
        <v/>
      </c>
      <c r="AU351" s="526" t="str">
        <f>IFERROR(IF(IF(AZ345&gt;AA345-1,INDEX(Lista_Pedidos,AY345+AA345-1,AU345),"")=0,"",IF(AZ345&gt;AA345-1,INDEX(Lista_Pedidos,AY345+AA345-1,AU345),"")),"")</f>
        <v/>
      </c>
      <c r="AV351" s="526" t="str">
        <f>IFERROR(IF(IF(AZ345&gt;AA345-1,INDEX(Lista_Pedidos,AY345+AA345-1,AV345),"")=0,"",IF(AZ345&gt;AA345-1,INDEX(Lista_Pedidos,AY345+AA345-1,AV345),"")),"")</f>
        <v/>
      </c>
      <c r="AW351" s="857" t="str">
        <f>IF(SUM(AJ351:AV351)&gt;1,SUM(AJ351:AV351),"")</f>
        <v/>
      </c>
      <c r="AX351" s="855"/>
      <c r="AY351" s="855"/>
      <c r="AZ351" s="860"/>
      <c r="BA351" s="854" t="str">
        <f>IFERROR(INDEX(Lista_Pedidos,Procesos!BY345+BA345-1,3),"")</f>
        <v/>
      </c>
      <c r="BB351" s="855"/>
      <c r="BC351" s="855"/>
      <c r="BD351" s="855"/>
      <c r="BE351" s="856"/>
      <c r="BF351" s="857" t="str">
        <f>IF(BZ345&gt;BA345-1,BE$11,"")</f>
        <v/>
      </c>
      <c r="BG351" s="855"/>
      <c r="BH351" s="855"/>
      <c r="BI351" s="856"/>
      <c r="BJ351" s="526" t="str">
        <f>IFERROR(IF(IF(BZ345&gt;BA345-1,INDEX(Lista_Pedidos,BY345+BA345-1,BJ345),"")=0,"",IF(BZ345&gt;BA345-1,INDEX(Lista_Pedidos,BY345+BA345-1,BJ345),"")),"")</f>
        <v/>
      </c>
      <c r="BK351" s="526" t="str">
        <f>IFERROR(IF(IF(BZ345&gt;BA345-1,INDEX(Lista_Pedidos,BY345+BA345-1,BK345),"")=0,"",IF(BZ345&gt;BA345-1,INDEX(Lista_Pedidos,BY345+BA345-1,BK345),"")),"")</f>
        <v/>
      </c>
      <c r="BL351" s="526" t="str">
        <f>IFERROR(IF(IF(BZ345&gt;BA345-1,INDEX(Lista_Pedidos,BY345+BA345-1,BL345),"")=0,"",IF(BZ345&gt;BA345-1,INDEX(Lista_Pedidos,BY345+BA345-1,BL345),"")),"")</f>
        <v/>
      </c>
      <c r="BM351" s="526" t="str">
        <f>IFERROR(IF(IF(BZ345&gt;BA345-1,INDEX(Lista_Pedidos,BY345+BA345-1,BM345),"")=0,"",IF(BZ345&gt;BA345-1,INDEX(Lista_Pedidos,BY345+BA345-1,BM345),"")),"")</f>
        <v/>
      </c>
      <c r="BN351" s="526" t="str">
        <f>IFERROR(IF(IF(BZ345&gt;BA345-1,INDEX(Lista_Pedidos,BY345+BA345-1,BN345),"")=0,"",IF(BZ345&gt;BA345-1,INDEX(Lista_Pedidos,BY345+BA345-1,BN345),"")),"")</f>
        <v/>
      </c>
      <c r="BO351" s="526" t="str">
        <f>IFERROR(IF(IF(BZ345&gt;BA345-1,INDEX(Lista_Pedidos,BY345+BA345-1,BO345),"")=0,"",IF(BZ345&gt;BA345-1,INDEX(Lista_Pedidos,BY345+BA345-1,BO345),"")),"")</f>
        <v/>
      </c>
      <c r="BP351" s="526" t="str">
        <f>IFERROR(IF(IF(BZ345&gt;BA345-1,INDEX(Lista_Pedidos,BY345+BA345-1,BP345),"")=0,"",IF(BZ345&gt;BA345-1,INDEX(Lista_Pedidos,BY345+BA345-1,BP345),"")),"")</f>
        <v/>
      </c>
      <c r="BQ351" s="526" t="str">
        <f>IFERROR(IF(IF(BZ345&gt;BA345-1,INDEX(Lista_Pedidos,BY345+BA345-1,BQ345),"")=0,"",IF(BZ345&gt;BA345-1,INDEX(Lista_Pedidos,BY345+BA345-1,BQ345),"")),"")</f>
        <v/>
      </c>
      <c r="BR351" s="526" t="str">
        <f>IFERROR(IF(IF(BZ345&gt;BA345-1,INDEX(Lista_Pedidos,BY345+BA345-1,BR345),"")=0,"",IF(BZ345&gt;BA345-1,INDEX(Lista_Pedidos,BY345+BA345-1,BR345),"")),"")</f>
        <v/>
      </c>
      <c r="BS351" s="526" t="str">
        <f>IFERROR(IF(IF(BZ345&gt;BA345-1,INDEX(Lista_Pedidos,BY345+BA345-1,BS345),"")=0,"",IF(BZ345&gt;BA345-1,INDEX(Lista_Pedidos,BY345+BA345-1,BS345),"")),"")</f>
        <v/>
      </c>
      <c r="BT351" s="526" t="str">
        <f>IFERROR(IF(IF(BZ345&gt;BA345-1,INDEX(Lista_Pedidos,BY345+BA345-1,BT345),"")=0,"",IF(BZ345&gt;BA345-1,INDEX(Lista_Pedidos,BY345+BA345-1,BT345),"")),"")</f>
        <v/>
      </c>
      <c r="BU351" s="526" t="str">
        <f>IFERROR(IF(IF(BZ345&gt;BA345-1,INDEX(Lista_Pedidos,BY345+BA345-1,BU345),"")=0,"",IF(BZ345&gt;BA345-1,INDEX(Lista_Pedidos,BY345+BA345-1,BU345),"")),"")</f>
        <v/>
      </c>
      <c r="BV351" s="526" t="str">
        <f>IFERROR(IF(IF(BZ345&gt;BA345-1,INDEX(Lista_Pedidos,BY345+BA345-1,BV345),"")=0,"",IF(BZ345&gt;BA345-1,INDEX(Lista_Pedidos,BY345+BA345-1,BV345),"")),"")</f>
        <v/>
      </c>
      <c r="BW351" s="857" t="str">
        <f>IF(SUM(BJ351:BV351)&gt;1,SUM(BJ351:BV351),"")</f>
        <v/>
      </c>
      <c r="BX351" s="855"/>
      <c r="BY351" s="855"/>
      <c r="BZ351" s="860"/>
      <c r="CA351" s="854" t="str">
        <f>IFERROR(INDEX(Lista_Pedidos,Procesos!CY345+CA345-1,3),"")</f>
        <v/>
      </c>
      <c r="CB351" s="855"/>
      <c r="CC351" s="855"/>
      <c r="CD351" s="855"/>
      <c r="CE351" s="856"/>
      <c r="CF351" s="857" t="str">
        <f>IF(CZ345&gt;CA345-1,CE$11,"")</f>
        <v/>
      </c>
      <c r="CG351" s="855"/>
      <c r="CH351" s="855"/>
      <c r="CI351" s="856"/>
      <c r="CJ351" s="526" t="str">
        <f>IFERROR(IF(IF(CZ345&gt;CA345-1,INDEX(Lista_Pedidos,CY345+CA345-1,CJ345),"")=0,"",IF(CZ345&gt;CA345-1,INDEX(Lista_Pedidos,CY345+CA345-1,CJ345),"")),"")</f>
        <v/>
      </c>
      <c r="CK351" s="526" t="str">
        <f>IFERROR(IF(IF(CZ345&gt;CA345-1,INDEX(Lista_Pedidos,CY345+CA345-1,CK345),"")=0,"",IF(CZ345&gt;CA345-1,INDEX(Lista_Pedidos,CY345+CA345-1,CK345),"")),"")</f>
        <v/>
      </c>
      <c r="CL351" s="526" t="str">
        <f>IFERROR(IF(IF(CZ345&gt;CA345-1,INDEX(Lista_Pedidos,CY345+CA345-1,CL345),"")=0,"",IF(CZ345&gt;CA345-1,INDEX(Lista_Pedidos,CY345+CA345-1,CL345),"")),"")</f>
        <v/>
      </c>
      <c r="CM351" s="526" t="str">
        <f>IFERROR(IF(IF(CZ345&gt;CA345-1,INDEX(Lista_Pedidos,CY345+CA345-1,CM345),"")=0,"",IF(CZ345&gt;CA345-1,INDEX(Lista_Pedidos,CY345+CA345-1,CM345),"")),"")</f>
        <v/>
      </c>
      <c r="CN351" s="526" t="str">
        <f>IFERROR(IF(IF(CZ345&gt;CA345-1,INDEX(Lista_Pedidos,CY345+CA345-1,CN345),"")=0,"",IF(CZ345&gt;CA345-1,INDEX(Lista_Pedidos,CY345+CA345-1,CN345),"")),"")</f>
        <v/>
      </c>
      <c r="CO351" s="526" t="str">
        <f>IFERROR(IF(IF(CZ345&gt;CA345-1,INDEX(Lista_Pedidos,CY345+CA345-1,CO345),"")=0,"",IF(CZ345&gt;CA345-1,INDEX(Lista_Pedidos,CY345+CA345-1,CO345),"")),"")</f>
        <v/>
      </c>
      <c r="CP351" s="526" t="str">
        <f>IFERROR(IF(IF(CZ345&gt;CA345-1,INDEX(Lista_Pedidos,CY345+CA345-1,CP345),"")=0,"",IF(CZ345&gt;CA345-1,INDEX(Lista_Pedidos,CY345+CA345-1,CP345),"")),"")</f>
        <v/>
      </c>
      <c r="CQ351" s="526" t="str">
        <f>IFERROR(IF(IF(CZ345&gt;CA345-1,INDEX(Lista_Pedidos,CY345+CA345-1,CQ345),"")=0,"",IF(CZ345&gt;CA345-1,INDEX(Lista_Pedidos,CY345+CA345-1,CQ345),"")),"")</f>
        <v/>
      </c>
      <c r="CR351" s="526" t="str">
        <f>IFERROR(IF(IF(CZ345&gt;CA345-1,INDEX(Lista_Pedidos,CY345+CA345-1,CR345),"")=0,"",IF(CZ345&gt;CA345-1,INDEX(Lista_Pedidos,CY345+CA345-1,CR345),"")),"")</f>
        <v/>
      </c>
      <c r="CS351" s="526" t="str">
        <f>IFERROR(IF(IF(CZ345&gt;CA345-1,INDEX(Lista_Pedidos,CY345+CA345-1,CS345),"")=0,"",IF(CZ345&gt;CA345-1,INDEX(Lista_Pedidos,CY345+CA345-1,CS345),"")),"")</f>
        <v/>
      </c>
      <c r="CT351" s="526" t="str">
        <f>IFERROR(IF(IF(CZ345&gt;CA345-1,INDEX(Lista_Pedidos,CY345+CA345-1,CT345),"")=0,"",IF(CZ345&gt;CA345-1,INDEX(Lista_Pedidos,CY345+CA345-1,CT345),"")),"")</f>
        <v/>
      </c>
      <c r="CU351" s="526" t="str">
        <f>IFERROR(IF(IF(CZ345&gt;CA345-1,INDEX(Lista_Pedidos,CY345+CA345-1,CU345),"")=0,"",IF(CZ345&gt;CA345-1,INDEX(Lista_Pedidos,CY345+CA345-1,CU345),"")),"")</f>
        <v/>
      </c>
      <c r="CV351" s="526" t="str">
        <f>IFERROR(IF(IF(CZ345&gt;CA345-1,INDEX(Lista_Pedidos,CY345+CA345-1,CV345),"")=0,"",IF(CZ345&gt;CA345-1,INDEX(Lista_Pedidos,CY345+CA345-1,CV345),"")),"")</f>
        <v/>
      </c>
      <c r="CW351" s="857" t="str">
        <f>IF(SUM(CJ351:CV351)&gt;1,SUM(CJ351:CV351),"")</f>
        <v/>
      </c>
      <c r="CX351" s="855"/>
      <c r="CY351" s="855"/>
      <c r="CZ351" s="860"/>
      <c r="DA351" s="854" t="str">
        <f>IFERROR(INDEX(Lista_Pedidos,Procesos!DY345+DA345-1,3),"")</f>
        <v/>
      </c>
      <c r="DB351" s="855"/>
      <c r="DC351" s="855"/>
      <c r="DD351" s="855"/>
      <c r="DE351" s="856"/>
      <c r="DF351" s="857" t="str">
        <f>IF(DZ345&gt;DA345-1,DE$11,"")</f>
        <v/>
      </c>
      <c r="DG351" s="855"/>
      <c r="DH351" s="855"/>
      <c r="DI351" s="856"/>
      <c r="DJ351" s="526" t="str">
        <f>IFERROR(IF(IF(DZ345&gt;DA345-1,INDEX(Lista_Pedidos,DY345+DA345-1,DJ345),"")=0,"",IF(DZ345&gt;DA345-1,INDEX(Lista_Pedidos,DY345+DA345-1,DJ345),"")),"")</f>
        <v/>
      </c>
      <c r="DK351" s="526" t="str">
        <f>IFERROR(IF(IF(DZ345&gt;DA345-1,INDEX(Lista_Pedidos,DY345+DA345-1,DK345),"")=0,"",IF(DZ345&gt;DA345-1,INDEX(Lista_Pedidos,DY345+DA345-1,DK345),"")),"")</f>
        <v/>
      </c>
      <c r="DL351" s="526" t="str">
        <f>IFERROR(IF(IF(DZ345&gt;DA345-1,INDEX(Lista_Pedidos,DY345+DA345-1,DL345),"")=0,"",IF(DZ345&gt;DA345-1,INDEX(Lista_Pedidos,DY345+DA345-1,DL345),"")),"")</f>
        <v/>
      </c>
      <c r="DM351" s="526" t="str">
        <f>IFERROR(IF(IF(DZ345&gt;DA345-1,INDEX(Lista_Pedidos,DY345+DA345-1,DM345),"")=0,"",IF(DZ345&gt;DA345-1,INDEX(Lista_Pedidos,DY345+DA345-1,DM345),"")),"")</f>
        <v/>
      </c>
      <c r="DN351" s="526" t="str">
        <f>IFERROR(IF(IF(DZ345&gt;DA345-1,INDEX(Lista_Pedidos,DY345+DA345-1,DN345),"")=0,"",IF(DZ345&gt;DA345-1,INDEX(Lista_Pedidos,DY345+DA345-1,DN345),"")),"")</f>
        <v/>
      </c>
      <c r="DO351" s="526" t="str">
        <f>IFERROR(IF(IF(DZ345&gt;DA345-1,INDEX(Lista_Pedidos,DY345+DA345-1,DO345),"")=0,"",IF(DZ345&gt;DA345-1,INDEX(Lista_Pedidos,DY345+DA345-1,DO345),"")),"")</f>
        <v/>
      </c>
      <c r="DP351" s="526" t="str">
        <f>IFERROR(IF(IF(DZ345&gt;DA345-1,INDEX(Lista_Pedidos,DY345+DA345-1,DP345),"")=0,"",IF(DZ345&gt;DA345-1,INDEX(Lista_Pedidos,DY345+DA345-1,DP345),"")),"")</f>
        <v/>
      </c>
      <c r="DQ351" s="526" t="str">
        <f>IFERROR(IF(IF(DZ345&gt;DA345-1,INDEX(Lista_Pedidos,DY345+DA345-1,DQ345),"")=0,"",IF(DZ345&gt;DA345-1,INDEX(Lista_Pedidos,DY345+DA345-1,DQ345),"")),"")</f>
        <v/>
      </c>
      <c r="DR351" s="526" t="str">
        <f>IFERROR(IF(IF(DZ345&gt;DA345-1,INDEX(Lista_Pedidos,DY345+DA345-1,DR345),"")=0,"",IF(DZ345&gt;DA345-1,INDEX(Lista_Pedidos,DY345+DA345-1,DR345),"")),"")</f>
        <v/>
      </c>
      <c r="DS351" s="526" t="str">
        <f>IFERROR(IF(IF(DZ345&gt;DA345-1,INDEX(Lista_Pedidos,DY345+DA345-1,DS345),"")=0,"",IF(DZ345&gt;DA345-1,INDEX(Lista_Pedidos,DY345+DA345-1,DS345),"")),"")</f>
        <v/>
      </c>
      <c r="DT351" s="526" t="str">
        <f>IFERROR(IF(IF(DZ345&gt;DA345-1,INDEX(Lista_Pedidos,DY345+DA345-1,DT345),"")=0,"",IF(DZ345&gt;DA345-1,INDEX(Lista_Pedidos,DY345+DA345-1,DT345),"")),"")</f>
        <v/>
      </c>
      <c r="DU351" s="526" t="str">
        <f>IFERROR(IF(IF(DZ345&gt;DA345-1,INDEX(Lista_Pedidos,DY345+DA345-1,DU345),"")=0,"",IF(DZ345&gt;DA345-1,INDEX(Lista_Pedidos,DY345+DA345-1,DU345),"")),"")</f>
        <v/>
      </c>
      <c r="DV351" s="526" t="str">
        <f>IFERROR(IF(IF(DZ345&gt;DA345-1,INDEX(Lista_Pedidos,DY345+DA345-1,DV345),"")=0,"",IF(DZ345&gt;DA345-1,INDEX(Lista_Pedidos,DY345+DA345-1,DV345),"")),"")</f>
        <v/>
      </c>
      <c r="DW351" s="857" t="str">
        <f>IF(SUM(DJ351:DV351)&gt;1,SUM(DJ351:DV351),"")</f>
        <v/>
      </c>
      <c r="DX351" s="855"/>
      <c r="DY351" s="855"/>
      <c r="DZ351" s="860"/>
      <c r="EA351" s="854" t="str">
        <f>IFERROR(INDEX(Lista_Pedidos,Procesos!EY345+EA345-1,3),"")</f>
        <v/>
      </c>
      <c r="EB351" s="855"/>
      <c r="EC351" s="855"/>
      <c r="ED351" s="855"/>
      <c r="EE351" s="856"/>
      <c r="EF351" s="857" t="str">
        <f>IF(EZ345&gt;EA345-1,EE$11,"")</f>
        <v/>
      </c>
      <c r="EG351" s="855"/>
      <c r="EH351" s="855"/>
      <c r="EI351" s="856"/>
      <c r="EJ351" s="526" t="str">
        <f>IFERROR(IF(IF(EZ345&gt;EA345-1,INDEX(Lista_Pedidos,EY345+EA345-1,EJ345),"")=0,"",IF(EZ345&gt;EA345-1,INDEX(Lista_Pedidos,EY345+EA345-1,EJ345),"")),"")</f>
        <v/>
      </c>
      <c r="EK351" s="526" t="str">
        <f>IFERROR(IF(IF(EZ345&gt;EA345-1,INDEX(Lista_Pedidos,EY345+EA345-1,EK345),"")=0,"",IF(EZ345&gt;EA345-1,INDEX(Lista_Pedidos,EY345+EA345-1,EK345),"")),"")</f>
        <v/>
      </c>
      <c r="EL351" s="526" t="str">
        <f>IFERROR(IF(IF(EZ345&gt;EA345-1,INDEX(Lista_Pedidos,EY345+EA345-1,EL345),"")=0,"",IF(EZ345&gt;EA345-1,INDEX(Lista_Pedidos,EY345+EA345-1,EL345),"")),"")</f>
        <v/>
      </c>
      <c r="EM351" s="526" t="str">
        <f>IFERROR(IF(IF(EZ345&gt;EA345-1,INDEX(Lista_Pedidos,EY345+EA345-1,EM345),"")=0,"",IF(EZ345&gt;EA345-1,INDEX(Lista_Pedidos,EY345+EA345-1,EM345),"")),"")</f>
        <v/>
      </c>
      <c r="EN351" s="526" t="str">
        <f>IFERROR(IF(IF(EZ345&gt;EA345-1,INDEX(Lista_Pedidos,EY345+EA345-1,EN345),"")=0,"",IF(EZ345&gt;EA345-1,INDEX(Lista_Pedidos,EY345+EA345-1,EN345),"")),"")</f>
        <v/>
      </c>
      <c r="EO351" s="526" t="str">
        <f>IFERROR(IF(IF(EZ345&gt;EA345-1,INDEX(Lista_Pedidos,EY345+EA345-1,EO345),"")=0,"",IF(EZ345&gt;EA345-1,INDEX(Lista_Pedidos,EY345+EA345-1,EO345),"")),"")</f>
        <v/>
      </c>
      <c r="EP351" s="526" t="str">
        <f>IFERROR(IF(IF(EZ345&gt;EA345-1,INDEX(Lista_Pedidos,EY345+EA345-1,EP345),"")=0,"",IF(EZ345&gt;EA345-1,INDEX(Lista_Pedidos,EY345+EA345-1,EP345),"")),"")</f>
        <v/>
      </c>
      <c r="EQ351" s="526" t="str">
        <f>IFERROR(IF(IF(EZ345&gt;EA345-1,INDEX(Lista_Pedidos,EY345+EA345-1,EQ345),"")=0,"",IF(EZ345&gt;EA345-1,INDEX(Lista_Pedidos,EY345+EA345-1,EQ345),"")),"")</f>
        <v/>
      </c>
      <c r="ER351" s="526" t="str">
        <f>IFERROR(IF(IF(EZ345&gt;EA345-1,INDEX(Lista_Pedidos,EY345+EA345-1,ER345),"")=0,"",IF(EZ345&gt;EA345-1,INDEX(Lista_Pedidos,EY345+EA345-1,ER345),"")),"")</f>
        <v/>
      </c>
      <c r="ES351" s="526" t="str">
        <f>IFERROR(IF(IF(EZ345&gt;EA345-1,INDEX(Lista_Pedidos,EY345+EA345-1,ES345),"")=0,"",IF(EZ345&gt;EA345-1,INDEX(Lista_Pedidos,EY345+EA345-1,ES345),"")),"")</f>
        <v/>
      </c>
      <c r="ET351" s="526" t="str">
        <f>IFERROR(IF(IF(EZ345&gt;EA345-1,INDEX(Lista_Pedidos,EY345+EA345-1,ET345),"")=0,"",IF(EZ345&gt;EA345-1,INDEX(Lista_Pedidos,EY345+EA345-1,ET345),"")),"")</f>
        <v/>
      </c>
      <c r="EU351" s="526" t="str">
        <f>IFERROR(IF(IF(EZ345&gt;EA345-1,INDEX(Lista_Pedidos,EY345+EA345-1,EU345),"")=0,"",IF(EZ345&gt;EA345-1,INDEX(Lista_Pedidos,EY345+EA345-1,EU345),"")),"")</f>
        <v/>
      </c>
      <c r="EV351" s="526" t="str">
        <f>IFERROR(IF(IF(EZ345&gt;EA345-1,INDEX(Lista_Pedidos,EY345+EA345-1,EV345),"")=0,"",IF(EZ345&gt;EA345-1,INDEX(Lista_Pedidos,EY345+EA345-1,EV345),"")),"")</f>
        <v/>
      </c>
      <c r="EW351" s="857" t="str">
        <f>IF(SUM(EJ351:EV351)&gt;1,SUM(EJ351:EV351),"")</f>
        <v/>
      </c>
      <c r="EX351" s="855"/>
      <c r="EY351" s="855"/>
      <c r="EZ351" s="860"/>
      <c r="FA351" s="854" t="str">
        <f>IFERROR(INDEX(Lista_Pedidos,Procesos!FY345+FA345-1,3),"")</f>
        <v/>
      </c>
      <c r="FB351" s="855"/>
      <c r="FC351" s="855"/>
      <c r="FD351" s="855"/>
      <c r="FE351" s="856"/>
      <c r="FF351" s="857" t="str">
        <f>IF(FZ345&gt;FA345-1,FE$11,"")</f>
        <v/>
      </c>
      <c r="FG351" s="855"/>
      <c r="FH351" s="855"/>
      <c r="FI351" s="856"/>
      <c r="FJ351" s="526" t="str">
        <f>IFERROR(IF(IF(FZ345&gt;FA345-1,INDEX(Lista_Pedidos,FY345+FA345-1,FJ345),"")=0,"",IF(FZ345&gt;FA345-1,INDEX(Lista_Pedidos,FY345+FA345-1,FJ345),"")),"")</f>
        <v/>
      </c>
      <c r="FK351" s="526" t="str">
        <f>IFERROR(IF(IF(FZ345&gt;FA345-1,INDEX(Lista_Pedidos,FY345+FA345-1,FK345),"")=0,"",IF(FZ345&gt;FA345-1,INDEX(Lista_Pedidos,FY345+FA345-1,FK345),"")),"")</f>
        <v/>
      </c>
      <c r="FL351" s="526" t="str">
        <f>IFERROR(IF(IF(FZ345&gt;FA345-1,INDEX(Lista_Pedidos,FY345+FA345-1,FL345),"")=0,"",IF(FZ345&gt;FA345-1,INDEX(Lista_Pedidos,FY345+FA345-1,FL345),"")),"")</f>
        <v/>
      </c>
      <c r="FM351" s="526" t="str">
        <f>IFERROR(IF(IF(FZ345&gt;FA345-1,INDEX(Lista_Pedidos,FY345+FA345-1,FM345),"")=0,"",IF(FZ345&gt;FA345-1,INDEX(Lista_Pedidos,FY345+FA345-1,FM345),"")),"")</f>
        <v/>
      </c>
      <c r="FN351" s="526" t="str">
        <f>IFERROR(IF(IF(FZ345&gt;FA345-1,INDEX(Lista_Pedidos,FY345+FA345-1,FN345),"")=0,"",IF(FZ345&gt;FA345-1,INDEX(Lista_Pedidos,FY345+FA345-1,FN345),"")),"")</f>
        <v/>
      </c>
      <c r="FO351" s="526" t="str">
        <f>IFERROR(IF(IF(FZ345&gt;FA345-1,INDEX(Lista_Pedidos,FY345+FA345-1,FO345),"")=0,"",IF(FZ345&gt;FA345-1,INDEX(Lista_Pedidos,FY345+FA345-1,FO345),"")),"")</f>
        <v/>
      </c>
      <c r="FP351" s="526" t="str">
        <f>IFERROR(IF(IF(FZ345&gt;FA345-1,INDEX(Lista_Pedidos,FY345+FA345-1,FP345),"")=0,"",IF(FZ345&gt;FA345-1,INDEX(Lista_Pedidos,FY345+FA345-1,FP345),"")),"")</f>
        <v/>
      </c>
      <c r="FQ351" s="526" t="str">
        <f>IFERROR(IF(IF(FZ345&gt;FA345-1,INDEX(Lista_Pedidos,FY345+FA345-1,FQ345),"")=0,"",IF(FZ345&gt;FA345-1,INDEX(Lista_Pedidos,FY345+FA345-1,FQ345),"")),"")</f>
        <v/>
      </c>
      <c r="FR351" s="526" t="str">
        <f>IFERROR(IF(IF(FZ345&gt;FA345-1,INDEX(Lista_Pedidos,FY345+FA345-1,FR345),"")=0,"",IF(FZ345&gt;FA345-1,INDEX(Lista_Pedidos,FY345+FA345-1,FR345),"")),"")</f>
        <v/>
      </c>
      <c r="FS351" s="526" t="str">
        <f>IFERROR(IF(IF(FZ345&gt;FA345-1,INDEX(Lista_Pedidos,FY345+FA345-1,FS345),"")=0,"",IF(FZ345&gt;FA345-1,INDEX(Lista_Pedidos,FY345+FA345-1,FS345),"")),"")</f>
        <v/>
      </c>
      <c r="FT351" s="526" t="str">
        <f>IFERROR(IF(IF(FZ345&gt;FA345-1,INDEX(Lista_Pedidos,FY345+FA345-1,FT345),"")=0,"",IF(FZ345&gt;FA345-1,INDEX(Lista_Pedidos,FY345+FA345-1,FT345),"")),"")</f>
        <v/>
      </c>
      <c r="FU351" s="526" t="str">
        <f>IFERROR(IF(IF(FZ345&gt;FA345-1,INDEX(Lista_Pedidos,FY345+FA345-1,FU345),"")=0,"",IF(FZ345&gt;FA345-1,INDEX(Lista_Pedidos,FY345+FA345-1,FU345),"")),"")</f>
        <v/>
      </c>
      <c r="FV351" s="526" t="str">
        <f>IFERROR(IF(IF(FZ345&gt;FA345-1,INDEX(Lista_Pedidos,FY345+FA345-1,FV345),"")=0,"",IF(FZ345&gt;FA345-1,INDEX(Lista_Pedidos,FY345+FA345-1,FV345),"")),"")</f>
        <v/>
      </c>
      <c r="FW351" s="857" t="str">
        <f>IF(SUM(FJ351:FV351)&gt;1,SUM(FJ351:FV351),"")</f>
        <v/>
      </c>
      <c r="FX351" s="855"/>
      <c r="FY351" s="855"/>
      <c r="FZ351" s="860"/>
      <c r="GA351" s="854" t="str">
        <f>IFERROR(INDEX(Lista_Pedidos,Procesos!GY345+GA345-1,3),"")</f>
        <v/>
      </c>
      <c r="GB351" s="855"/>
      <c r="GC351" s="855"/>
      <c r="GD351" s="855"/>
      <c r="GE351" s="856"/>
      <c r="GF351" s="857" t="str">
        <f>IF(GZ345&gt;GA345-1,GE$11,"")</f>
        <v/>
      </c>
      <c r="GG351" s="855"/>
      <c r="GH351" s="855"/>
      <c r="GI351" s="856"/>
      <c r="GJ351" s="526" t="str">
        <f>IFERROR(IF(IF(GZ345&gt;GA345-1,INDEX(Lista_Pedidos,GY345+GA345-1,GJ345),"")=0,"",IF(GZ345&gt;GA345-1,INDEX(Lista_Pedidos,GY345+GA345-1,GJ345),"")),"")</f>
        <v/>
      </c>
      <c r="GK351" s="526" t="str">
        <f>IFERROR(IF(IF(GZ345&gt;GA345-1,INDEX(Lista_Pedidos,GY345+GA345-1,GK345),"")=0,"",IF(GZ345&gt;GA345-1,INDEX(Lista_Pedidos,GY345+GA345-1,GK345),"")),"")</f>
        <v/>
      </c>
      <c r="GL351" s="526" t="str">
        <f>IFERROR(IF(IF(GZ345&gt;GA345-1,INDEX(Lista_Pedidos,GY345+GA345-1,GL345),"")=0,"",IF(GZ345&gt;GA345-1,INDEX(Lista_Pedidos,GY345+GA345-1,GL345),"")),"")</f>
        <v/>
      </c>
      <c r="GM351" s="526" t="str">
        <f>IFERROR(IF(IF(GZ345&gt;GA345-1,INDEX(Lista_Pedidos,GY345+GA345-1,GM345),"")=0,"",IF(GZ345&gt;GA345-1,INDEX(Lista_Pedidos,GY345+GA345-1,GM345),"")),"")</f>
        <v/>
      </c>
      <c r="GN351" s="526" t="str">
        <f>IFERROR(IF(IF(GZ345&gt;GA345-1,INDEX(Lista_Pedidos,GY345+GA345-1,GN345),"")=0,"",IF(GZ345&gt;GA345-1,INDEX(Lista_Pedidos,GY345+GA345-1,GN345),"")),"")</f>
        <v/>
      </c>
      <c r="GO351" s="526" t="str">
        <f>IFERROR(IF(IF(GZ345&gt;GA345-1,INDEX(Lista_Pedidos,GY345+GA345-1,GO345),"")=0,"",IF(GZ345&gt;GA345-1,INDEX(Lista_Pedidos,GY345+GA345-1,GO345),"")),"")</f>
        <v/>
      </c>
      <c r="GP351" s="526" t="str">
        <f>IFERROR(IF(IF(GZ345&gt;GA345-1,INDEX(Lista_Pedidos,GY345+GA345-1,GP345),"")=0,"",IF(GZ345&gt;GA345-1,INDEX(Lista_Pedidos,GY345+GA345-1,GP345),"")),"")</f>
        <v/>
      </c>
      <c r="GQ351" s="526" t="str">
        <f>IFERROR(IF(IF(GZ345&gt;GA345-1,INDEX(Lista_Pedidos,GY345+GA345-1,GQ345),"")=0,"",IF(GZ345&gt;GA345-1,INDEX(Lista_Pedidos,GY345+GA345-1,GQ345),"")),"")</f>
        <v/>
      </c>
      <c r="GR351" s="526" t="str">
        <f>IFERROR(IF(IF(GZ345&gt;GA345-1,INDEX(Lista_Pedidos,GY345+GA345-1,GR345),"")=0,"",IF(GZ345&gt;GA345-1,INDEX(Lista_Pedidos,GY345+GA345-1,GR345),"")),"")</f>
        <v/>
      </c>
      <c r="GS351" s="526" t="str">
        <f>IFERROR(IF(IF(GZ345&gt;GA345-1,INDEX(Lista_Pedidos,GY345+GA345-1,GS345),"")=0,"",IF(GZ345&gt;GA345-1,INDEX(Lista_Pedidos,GY345+GA345-1,GS345),"")),"")</f>
        <v/>
      </c>
      <c r="GT351" s="526" t="str">
        <f>IFERROR(IF(IF(GZ345&gt;GA345-1,INDEX(Lista_Pedidos,GY345+GA345-1,GT345),"")=0,"",IF(GZ345&gt;GA345-1,INDEX(Lista_Pedidos,GY345+GA345-1,GT345),"")),"")</f>
        <v/>
      </c>
      <c r="GU351" s="526" t="str">
        <f>IFERROR(IF(IF(GZ345&gt;GA345-1,INDEX(Lista_Pedidos,GY345+GA345-1,GU345),"")=0,"",IF(GZ345&gt;GA345-1,INDEX(Lista_Pedidos,GY345+GA345-1,GU345),"")),"")</f>
        <v/>
      </c>
      <c r="GV351" s="526" t="str">
        <f>IFERROR(IF(IF(GZ345&gt;GA345-1,INDEX(Lista_Pedidos,GY345+GA345-1,GV345),"")=0,"",IF(GZ345&gt;GA345-1,INDEX(Lista_Pedidos,GY345+GA345-1,GV345),"")),"")</f>
        <v/>
      </c>
      <c r="GW351" s="857" t="str">
        <f>IF(SUM(GJ351:GV351)&gt;1,SUM(GJ351:GV351),"")</f>
        <v/>
      </c>
      <c r="GX351" s="855"/>
      <c r="GY351" s="855"/>
      <c r="GZ351" s="860"/>
      <c r="HA351" s="854" t="str">
        <f>IFERROR(INDEX(Lista_Pedidos,Procesos!HY345+HA345-1,3),"")</f>
        <v/>
      </c>
      <c r="HB351" s="855"/>
      <c r="HC351" s="855"/>
      <c r="HD351" s="855"/>
      <c r="HE351" s="856"/>
      <c r="HF351" s="857" t="str">
        <f>IF(HZ345&gt;HA345-1,HE$11,"")</f>
        <v/>
      </c>
      <c r="HG351" s="855"/>
      <c r="HH351" s="855"/>
      <c r="HI351" s="856"/>
      <c r="HJ351" s="526" t="str">
        <f>IFERROR(IF(IF(HZ345&gt;HA345-1,INDEX(Lista_Pedidos,HY345+HA345-1,HJ345),"")=0,"",IF(HZ345&gt;HA345-1,INDEX(Lista_Pedidos,HY345+HA345-1,HJ345),"")),"")</f>
        <v/>
      </c>
      <c r="HK351" s="526" t="str">
        <f>IFERROR(IF(IF(HZ345&gt;HA345-1,INDEX(Lista_Pedidos,HY345+HA345-1,HK345),"")=0,"",IF(HZ345&gt;HA345-1,INDEX(Lista_Pedidos,HY345+HA345-1,HK345),"")),"")</f>
        <v/>
      </c>
      <c r="HL351" s="526" t="str">
        <f>IFERROR(IF(IF(HZ345&gt;HA345-1,INDEX(Lista_Pedidos,HY345+HA345-1,HL345),"")=0,"",IF(HZ345&gt;HA345-1,INDEX(Lista_Pedidos,HY345+HA345-1,HL345),"")),"")</f>
        <v/>
      </c>
      <c r="HM351" s="526" t="str">
        <f>IFERROR(IF(IF(HZ345&gt;HA345-1,INDEX(Lista_Pedidos,HY345+HA345-1,HM345),"")=0,"",IF(HZ345&gt;HA345-1,INDEX(Lista_Pedidos,HY345+HA345-1,HM345),"")),"")</f>
        <v/>
      </c>
      <c r="HN351" s="526" t="str">
        <f>IFERROR(IF(IF(HZ345&gt;HA345-1,INDEX(Lista_Pedidos,HY345+HA345-1,HN345),"")=0,"",IF(HZ345&gt;HA345-1,INDEX(Lista_Pedidos,HY345+HA345-1,HN345),"")),"")</f>
        <v/>
      </c>
      <c r="HO351" s="526" t="str">
        <f>IFERROR(IF(IF(HZ345&gt;HA345-1,INDEX(Lista_Pedidos,HY345+HA345-1,HO345),"")=0,"",IF(HZ345&gt;HA345-1,INDEX(Lista_Pedidos,HY345+HA345-1,HO345),"")),"")</f>
        <v/>
      </c>
      <c r="HP351" s="526" t="str">
        <f>IFERROR(IF(IF(HZ345&gt;HA345-1,INDEX(Lista_Pedidos,HY345+HA345-1,HP345),"")=0,"",IF(HZ345&gt;HA345-1,INDEX(Lista_Pedidos,HY345+HA345-1,HP345),"")),"")</f>
        <v/>
      </c>
      <c r="HQ351" s="526" t="str">
        <f>IFERROR(IF(IF(HZ345&gt;HA345-1,INDEX(Lista_Pedidos,HY345+HA345-1,HQ345),"")=0,"",IF(HZ345&gt;HA345-1,INDEX(Lista_Pedidos,HY345+HA345-1,HQ345),"")),"")</f>
        <v/>
      </c>
      <c r="HR351" s="526" t="str">
        <f>IFERROR(IF(IF(HZ345&gt;HA345-1,INDEX(Lista_Pedidos,HY345+HA345-1,HR345),"")=0,"",IF(HZ345&gt;HA345-1,INDEX(Lista_Pedidos,HY345+HA345-1,HR345),"")),"")</f>
        <v/>
      </c>
      <c r="HS351" s="526" t="str">
        <f>IFERROR(IF(IF(HZ345&gt;HA345-1,INDEX(Lista_Pedidos,HY345+HA345-1,HS345),"")=0,"",IF(HZ345&gt;HA345-1,INDEX(Lista_Pedidos,HY345+HA345-1,HS345),"")),"")</f>
        <v/>
      </c>
      <c r="HT351" s="526" t="str">
        <f>IFERROR(IF(IF(HZ345&gt;HA345-1,INDEX(Lista_Pedidos,HY345+HA345-1,HT345),"")=0,"",IF(HZ345&gt;HA345-1,INDEX(Lista_Pedidos,HY345+HA345-1,HT345),"")),"")</f>
        <v/>
      </c>
      <c r="HU351" s="526" t="str">
        <f>IFERROR(IF(IF(HZ345&gt;HA345-1,INDEX(Lista_Pedidos,HY345+HA345-1,HU345),"")=0,"",IF(HZ345&gt;HA345-1,INDEX(Lista_Pedidos,HY345+HA345-1,HU345),"")),"")</f>
        <v/>
      </c>
      <c r="HV351" s="526" t="str">
        <f>IFERROR(IF(IF(HZ345&gt;HA345-1,INDEX(Lista_Pedidos,HY345+HA345-1,HV345),"")=0,"",IF(HZ345&gt;HA345-1,INDEX(Lista_Pedidos,HY345+HA345-1,HV345),"")),"")</f>
        <v/>
      </c>
      <c r="HW351" s="857" t="str">
        <f>IF(SUM(HJ351:HV351)&gt;1,SUM(HJ351:HV351),"")</f>
        <v/>
      </c>
      <c r="HX351" s="855"/>
      <c r="HY351" s="855"/>
      <c r="HZ351" s="860"/>
      <c r="IA351" s="854" t="str">
        <f>IFERROR(INDEX(Lista_Pedidos,Procesos!IY345+IA345-1,3),"")</f>
        <v/>
      </c>
      <c r="IB351" s="855"/>
      <c r="IC351" s="855"/>
      <c r="ID351" s="855"/>
      <c r="IE351" s="856"/>
      <c r="IF351" s="857" t="str">
        <f>IF(IZ345&gt;IA345-1,IE$11,"")</f>
        <v/>
      </c>
      <c r="IG351" s="855"/>
      <c r="IH351" s="855"/>
      <c r="II351" s="856"/>
      <c r="IJ351" s="526" t="str">
        <f>IFERROR(IF(IF(IZ345&gt;IA345-1,INDEX(Lista_Pedidos,IY345+IA345-1,IJ345),"")=0,"",IF(IZ345&gt;IA345-1,INDEX(Lista_Pedidos,IY345+IA345-1,IJ345),"")),"")</f>
        <v/>
      </c>
      <c r="IK351" s="526" t="str">
        <f>IFERROR(IF(IF(IZ345&gt;IA345-1,INDEX(Lista_Pedidos,IY345+IA345-1,IK345),"")=0,"",IF(IZ345&gt;IA345-1,INDEX(Lista_Pedidos,IY345+IA345-1,IK345),"")),"")</f>
        <v/>
      </c>
      <c r="IL351" s="526" t="str">
        <f>IFERROR(IF(IF(IZ345&gt;IA345-1,INDEX(Lista_Pedidos,IY345+IA345-1,IL345),"")=0,"",IF(IZ345&gt;IA345-1,INDEX(Lista_Pedidos,IY345+IA345-1,IL345),"")),"")</f>
        <v/>
      </c>
      <c r="IM351" s="526" t="str">
        <f>IFERROR(IF(IF(IZ345&gt;IA345-1,INDEX(Lista_Pedidos,IY345+IA345-1,IM345),"")=0,"",IF(IZ345&gt;IA345-1,INDEX(Lista_Pedidos,IY345+IA345-1,IM345),"")),"")</f>
        <v/>
      </c>
      <c r="IN351" s="526" t="str">
        <f>IFERROR(IF(IF(IZ345&gt;IA345-1,INDEX(Lista_Pedidos,IY345+IA345-1,IN345),"")=0,"",IF(IZ345&gt;IA345-1,INDEX(Lista_Pedidos,IY345+IA345-1,IN345),"")),"")</f>
        <v/>
      </c>
      <c r="IO351" s="526" t="str">
        <f>IFERROR(IF(IF(IZ345&gt;IA345-1,INDEX(Lista_Pedidos,IY345+IA345-1,IO345),"")=0,"",IF(IZ345&gt;IA345-1,INDEX(Lista_Pedidos,IY345+IA345-1,IO345),"")),"")</f>
        <v/>
      </c>
      <c r="IP351" s="526" t="str">
        <f>IFERROR(IF(IF(IZ345&gt;IA345-1,INDEX(Lista_Pedidos,IY345+IA345-1,IP345),"")=0,"",IF(IZ345&gt;IA345-1,INDEX(Lista_Pedidos,IY345+IA345-1,IP345),"")),"")</f>
        <v/>
      </c>
      <c r="IQ351" s="526" t="str">
        <f>IFERROR(IF(IF(IZ345&gt;IA345-1,INDEX(Lista_Pedidos,IY345+IA345-1,IQ345),"")=0,"",IF(IZ345&gt;IA345-1,INDEX(Lista_Pedidos,IY345+IA345-1,IQ345),"")),"")</f>
        <v/>
      </c>
      <c r="IR351" s="526" t="str">
        <f>IFERROR(IF(IF(IZ345&gt;IA345-1,INDEX(Lista_Pedidos,IY345+IA345-1,IR345),"")=0,"",IF(IZ345&gt;IA345-1,INDEX(Lista_Pedidos,IY345+IA345-1,IR345),"")),"")</f>
        <v/>
      </c>
      <c r="IS351" s="526" t="str">
        <f>IFERROR(IF(IF(IZ345&gt;IA345-1,INDEX(Lista_Pedidos,IY345+IA345-1,IS345),"")=0,"",IF(IZ345&gt;IA345-1,INDEX(Lista_Pedidos,IY345+IA345-1,IS345),"")),"")</f>
        <v/>
      </c>
      <c r="IT351" s="526" t="str">
        <f>IFERROR(IF(IF(IZ345&gt;IA345-1,INDEX(Lista_Pedidos,IY345+IA345-1,IT345),"")=0,"",IF(IZ345&gt;IA345-1,INDEX(Lista_Pedidos,IY345+IA345-1,IT345),"")),"")</f>
        <v/>
      </c>
      <c r="IU351" s="526" t="str">
        <f>IFERROR(IF(IF(IZ345&gt;IA345-1,INDEX(Lista_Pedidos,IY345+IA345-1,IU345),"")=0,"",IF(IZ345&gt;IA345-1,INDEX(Lista_Pedidos,IY345+IA345-1,IU345),"")),"")</f>
        <v/>
      </c>
      <c r="IV351" s="526" t="str">
        <f>IFERROR(IF(IF(IZ345&gt;IA345-1,INDEX(Lista_Pedidos,IY345+IA345-1,IV345),"")=0,"",IF(IZ345&gt;IA345-1,INDEX(Lista_Pedidos,IY345+IA345-1,IV345),"")),"")</f>
        <v/>
      </c>
      <c r="IW351" s="857" t="str">
        <f>IF(SUM(IJ351:IV351)&gt;1,SUM(IJ351:IV351),"")</f>
        <v/>
      </c>
      <c r="IX351" s="855"/>
      <c r="IY351" s="855"/>
      <c r="IZ351" s="860"/>
    </row>
    <row r="352" spans="1:260" x14ac:dyDescent="0.25">
      <c r="A352" s="823"/>
      <c r="B352" s="824"/>
      <c r="C352" s="824"/>
      <c r="D352" s="824"/>
      <c r="E352" s="824"/>
      <c r="F352" s="824"/>
      <c r="G352" s="824"/>
      <c r="H352" s="824"/>
      <c r="I352" s="824"/>
      <c r="J352" s="824"/>
      <c r="K352" s="824"/>
      <c r="L352" s="824"/>
      <c r="M352" s="824"/>
      <c r="N352" s="824"/>
      <c r="O352" s="824"/>
      <c r="P352" s="824"/>
      <c r="Q352" s="824"/>
      <c r="R352" s="824"/>
      <c r="S352" s="824"/>
      <c r="T352" s="824"/>
      <c r="U352" s="824"/>
      <c r="V352" s="824"/>
      <c r="W352" s="824" t="str">
        <f>IFERROR(IF(Z345&gt;A345-1,IF(INDEX(Lista_Pedidos,Y345+A345-1,2)&lt;&gt;"",INDEX(Lista_Pedidos,Y345+A345-1,2),""),""),"")</f>
        <v/>
      </c>
      <c r="X352" s="824"/>
      <c r="Y352" s="824"/>
      <c r="Z352" s="825"/>
      <c r="AA352" s="823"/>
      <c r="AB352" s="824"/>
      <c r="AC352" s="824"/>
      <c r="AD352" s="824"/>
      <c r="AE352" s="824"/>
      <c r="AF352" s="824"/>
      <c r="AG352" s="824"/>
      <c r="AH352" s="824"/>
      <c r="AI352" s="824"/>
      <c r="AJ352" s="824"/>
      <c r="AK352" s="824"/>
      <c r="AL352" s="824"/>
      <c r="AM352" s="824"/>
      <c r="AN352" s="824"/>
      <c r="AO352" s="824"/>
      <c r="AP352" s="824"/>
      <c r="AQ352" s="824"/>
      <c r="AR352" s="824"/>
      <c r="AS352" s="824"/>
      <c r="AT352" s="824"/>
      <c r="AU352" s="824"/>
      <c r="AV352" s="824"/>
      <c r="AW352" s="824" t="str">
        <f>IFERROR(IF(AZ345&gt;AA345-1,IF(INDEX(Lista_Pedidos,AY345+AA345-1,2)&lt;&gt;"",INDEX(Lista_Pedidos,AY345+AA345-1,2),""),""),"")</f>
        <v/>
      </c>
      <c r="AX352" s="824"/>
      <c r="AY352" s="824"/>
      <c r="AZ352" s="825"/>
      <c r="BA352" s="823"/>
      <c r="BB352" s="824"/>
      <c r="BC352" s="824"/>
      <c r="BD352" s="824"/>
      <c r="BE352" s="824"/>
      <c r="BF352" s="824"/>
      <c r="BG352" s="824"/>
      <c r="BH352" s="824"/>
      <c r="BI352" s="824"/>
      <c r="BJ352" s="824"/>
      <c r="BK352" s="824"/>
      <c r="BL352" s="824"/>
      <c r="BM352" s="824"/>
      <c r="BN352" s="824"/>
      <c r="BO352" s="824"/>
      <c r="BP352" s="824"/>
      <c r="BQ352" s="824"/>
      <c r="BR352" s="824"/>
      <c r="BS352" s="824"/>
      <c r="BT352" s="824"/>
      <c r="BU352" s="824"/>
      <c r="BV352" s="824"/>
      <c r="BW352" s="824" t="str">
        <f>IFERROR(IF(BZ345&gt;BA345-1,IF(INDEX(Lista_Pedidos,BY345+BA345-1,2)&lt;&gt;"",INDEX(Lista_Pedidos,BY345+BA345-1,2),""),""),"")</f>
        <v/>
      </c>
      <c r="BX352" s="824"/>
      <c r="BY352" s="824"/>
      <c r="BZ352" s="825"/>
      <c r="CA352" s="823"/>
      <c r="CB352" s="824"/>
      <c r="CC352" s="824"/>
      <c r="CD352" s="824"/>
      <c r="CE352" s="824"/>
      <c r="CF352" s="824"/>
      <c r="CG352" s="824"/>
      <c r="CH352" s="824"/>
      <c r="CI352" s="824"/>
      <c r="CJ352" s="824"/>
      <c r="CK352" s="824"/>
      <c r="CL352" s="824"/>
      <c r="CM352" s="824"/>
      <c r="CN352" s="824"/>
      <c r="CO352" s="824"/>
      <c r="CP352" s="824"/>
      <c r="CQ352" s="824"/>
      <c r="CR352" s="824"/>
      <c r="CS352" s="824"/>
      <c r="CT352" s="824"/>
      <c r="CU352" s="824"/>
      <c r="CV352" s="824"/>
      <c r="CW352" s="824" t="str">
        <f>IFERROR(IF(CZ345&gt;CA345-1,IF(INDEX(Lista_Pedidos,CY345+CA345-1,2)&lt;&gt;"",INDEX(Lista_Pedidos,CY345+CA345-1,2),""),""),"")</f>
        <v/>
      </c>
      <c r="CX352" s="824"/>
      <c r="CY352" s="824"/>
      <c r="CZ352" s="825"/>
      <c r="DA352" s="823"/>
      <c r="DB352" s="824"/>
      <c r="DC352" s="824"/>
      <c r="DD352" s="824"/>
      <c r="DE352" s="824"/>
      <c r="DF352" s="824"/>
      <c r="DG352" s="824"/>
      <c r="DH352" s="824"/>
      <c r="DI352" s="824"/>
      <c r="DJ352" s="824"/>
      <c r="DK352" s="824"/>
      <c r="DL352" s="824"/>
      <c r="DM352" s="824"/>
      <c r="DN352" s="824"/>
      <c r="DO352" s="824"/>
      <c r="DP352" s="824"/>
      <c r="DQ352" s="824"/>
      <c r="DR352" s="824"/>
      <c r="DS352" s="824"/>
      <c r="DT352" s="824"/>
      <c r="DU352" s="824"/>
      <c r="DV352" s="824"/>
      <c r="DW352" s="824" t="str">
        <f>IFERROR(IF(DZ345&gt;DA345-1,IF(INDEX(Lista_Pedidos,DY345+DA345-1,2)&lt;&gt;"",INDEX(Lista_Pedidos,DY345+DA345-1,2),""),""),"")</f>
        <v/>
      </c>
      <c r="DX352" s="824"/>
      <c r="DY352" s="824"/>
      <c r="DZ352" s="825"/>
      <c r="EA352" s="823"/>
      <c r="EB352" s="824"/>
      <c r="EC352" s="824"/>
      <c r="ED352" s="824"/>
      <c r="EE352" s="824"/>
      <c r="EF352" s="824"/>
      <c r="EG352" s="824"/>
      <c r="EH352" s="824"/>
      <c r="EI352" s="824"/>
      <c r="EJ352" s="824"/>
      <c r="EK352" s="824"/>
      <c r="EL352" s="824"/>
      <c r="EM352" s="824"/>
      <c r="EN352" s="824"/>
      <c r="EO352" s="824"/>
      <c r="EP352" s="824"/>
      <c r="EQ352" s="824"/>
      <c r="ER352" s="824"/>
      <c r="ES352" s="824"/>
      <c r="ET352" s="824"/>
      <c r="EU352" s="824"/>
      <c r="EV352" s="824"/>
      <c r="EW352" s="824" t="str">
        <f>IFERROR(IF(EZ345&gt;EA345-1,IF(INDEX(Lista_Pedidos,EY345+EA345-1,2)&lt;&gt;"",INDEX(Lista_Pedidos,EY345+EA345-1,2),""),""),"")</f>
        <v/>
      </c>
      <c r="EX352" s="824"/>
      <c r="EY352" s="824"/>
      <c r="EZ352" s="825"/>
      <c r="FA352" s="823"/>
      <c r="FB352" s="824"/>
      <c r="FC352" s="824"/>
      <c r="FD352" s="824"/>
      <c r="FE352" s="824"/>
      <c r="FF352" s="824"/>
      <c r="FG352" s="824"/>
      <c r="FH352" s="824"/>
      <c r="FI352" s="824"/>
      <c r="FJ352" s="824"/>
      <c r="FK352" s="824"/>
      <c r="FL352" s="824"/>
      <c r="FM352" s="824"/>
      <c r="FN352" s="824"/>
      <c r="FO352" s="824"/>
      <c r="FP352" s="824"/>
      <c r="FQ352" s="824"/>
      <c r="FR352" s="824"/>
      <c r="FS352" s="824"/>
      <c r="FT352" s="824"/>
      <c r="FU352" s="824"/>
      <c r="FV352" s="824"/>
      <c r="FW352" s="824" t="str">
        <f>IFERROR(IF(FZ345&gt;FA345-1,IF(INDEX(Lista_Pedidos,FY345+FA345-1,2)&lt;&gt;"",INDEX(Lista_Pedidos,FY345+FA345-1,2),""),""),"")</f>
        <v/>
      </c>
      <c r="FX352" s="824"/>
      <c r="FY352" s="824"/>
      <c r="FZ352" s="825"/>
      <c r="GA352" s="823"/>
      <c r="GB352" s="824"/>
      <c r="GC352" s="824"/>
      <c r="GD352" s="824"/>
      <c r="GE352" s="824"/>
      <c r="GF352" s="824"/>
      <c r="GG352" s="824"/>
      <c r="GH352" s="824"/>
      <c r="GI352" s="824"/>
      <c r="GJ352" s="824"/>
      <c r="GK352" s="824"/>
      <c r="GL352" s="824"/>
      <c r="GM352" s="824"/>
      <c r="GN352" s="824"/>
      <c r="GO352" s="824"/>
      <c r="GP352" s="824"/>
      <c r="GQ352" s="824"/>
      <c r="GR352" s="824"/>
      <c r="GS352" s="824"/>
      <c r="GT352" s="824"/>
      <c r="GU352" s="824"/>
      <c r="GV352" s="824"/>
      <c r="GW352" s="824" t="str">
        <f>IFERROR(IF(GZ345&gt;GA345-1,IF(INDEX(Lista_Pedidos,GY345+GA345-1,2)&lt;&gt;"",INDEX(Lista_Pedidos,GY345+GA345-1,2),""),""),"")</f>
        <v/>
      </c>
      <c r="GX352" s="824"/>
      <c r="GY352" s="824"/>
      <c r="GZ352" s="825"/>
      <c r="HA352" s="823"/>
      <c r="HB352" s="824"/>
      <c r="HC352" s="824"/>
      <c r="HD352" s="824"/>
      <c r="HE352" s="824"/>
      <c r="HF352" s="824"/>
      <c r="HG352" s="824"/>
      <c r="HH352" s="824"/>
      <c r="HI352" s="824"/>
      <c r="HJ352" s="824"/>
      <c r="HK352" s="824"/>
      <c r="HL352" s="824"/>
      <c r="HM352" s="824"/>
      <c r="HN352" s="824"/>
      <c r="HO352" s="824"/>
      <c r="HP352" s="824"/>
      <c r="HQ352" s="824"/>
      <c r="HR352" s="824"/>
      <c r="HS352" s="824"/>
      <c r="HT352" s="824"/>
      <c r="HU352" s="824"/>
      <c r="HV352" s="824"/>
      <c r="HW352" s="824" t="str">
        <f>IFERROR(IF(HZ345&gt;HA345-1,IF(INDEX(Lista_Pedidos,HY345+HA345-1,2)&lt;&gt;"",INDEX(Lista_Pedidos,HY345+HA345-1,2),""),""),"")</f>
        <v/>
      </c>
      <c r="HX352" s="824"/>
      <c r="HY352" s="824"/>
      <c r="HZ352" s="825"/>
      <c r="IA352" s="823"/>
      <c r="IB352" s="824"/>
      <c r="IC352" s="824"/>
      <c r="ID352" s="824"/>
      <c r="IE352" s="824"/>
      <c r="IF352" s="824"/>
      <c r="IG352" s="824"/>
      <c r="IH352" s="824"/>
      <c r="II352" s="824"/>
      <c r="IJ352" s="824"/>
      <c r="IK352" s="824"/>
      <c r="IL352" s="824"/>
      <c r="IM352" s="824"/>
      <c r="IN352" s="824"/>
      <c r="IO352" s="824"/>
      <c r="IP352" s="824"/>
      <c r="IQ352" s="824"/>
      <c r="IR352" s="824"/>
      <c r="IS352" s="824"/>
      <c r="IT352" s="824"/>
      <c r="IU352" s="824"/>
      <c r="IV352" s="824"/>
      <c r="IW352" s="824" t="str">
        <f>IFERROR(IF(IZ345&gt;IA345-1,IF(INDEX(Lista_Pedidos,IY345+IA345-1,2)&lt;&gt;"",INDEX(Lista_Pedidos,IY345+IA345-1,2),""),""),"")</f>
        <v/>
      </c>
      <c r="IX352" s="824"/>
      <c r="IY352" s="824"/>
      <c r="IZ352" s="825"/>
    </row>
    <row r="353" spans="1:260" x14ac:dyDescent="0.25">
      <c r="A353" s="800" t="str">
        <f>IFERROR(IF(Z345&gt;A345-1,IF(INDEX(Lista_Pedidos,Y345+A345-1,6)&lt;&gt;"","Nombre de la Tela :     "&amp; INDEX(Lista_Pedidos,Y345+A345-1,6),""),""),"")</f>
        <v/>
      </c>
      <c r="B353" s="801"/>
      <c r="C353" s="801"/>
      <c r="D353" s="801"/>
      <c r="E353" s="801"/>
      <c r="F353" s="801"/>
      <c r="G353" s="801"/>
      <c r="H353" s="801"/>
      <c r="I353" s="801"/>
      <c r="J353" s="801"/>
      <c r="K353" s="801"/>
      <c r="L353" s="801"/>
      <c r="M353" s="801"/>
      <c r="N353" s="801"/>
      <c r="O353" s="801"/>
      <c r="P353" s="801"/>
      <c r="Q353" s="801"/>
      <c r="R353" s="801"/>
      <c r="S353" s="801"/>
      <c r="T353" s="801"/>
      <c r="U353" s="801"/>
      <c r="V353" s="801"/>
      <c r="W353" s="826"/>
      <c r="X353" s="826"/>
      <c r="Y353" s="826"/>
      <c r="Z353" s="827"/>
      <c r="AA353" s="800" t="str">
        <f>IFERROR(IF(AZ345&gt;AA345-1,IF(INDEX(Lista_Pedidos,AY345+AA345-1,6)&lt;&gt;"","Nombre de la Tela :     "&amp; INDEX(Lista_Pedidos,AY345+AA345-1,6),""),""),"")</f>
        <v/>
      </c>
      <c r="AB353" s="801"/>
      <c r="AC353" s="801"/>
      <c r="AD353" s="801"/>
      <c r="AE353" s="801"/>
      <c r="AF353" s="801"/>
      <c r="AG353" s="801"/>
      <c r="AH353" s="801"/>
      <c r="AI353" s="801"/>
      <c r="AJ353" s="801"/>
      <c r="AK353" s="801"/>
      <c r="AL353" s="801"/>
      <c r="AM353" s="801"/>
      <c r="AN353" s="801"/>
      <c r="AO353" s="801"/>
      <c r="AP353" s="801"/>
      <c r="AQ353" s="801"/>
      <c r="AR353" s="801"/>
      <c r="AS353" s="801"/>
      <c r="AT353" s="801"/>
      <c r="AU353" s="801"/>
      <c r="AV353" s="801"/>
      <c r="AW353" s="826"/>
      <c r="AX353" s="826"/>
      <c r="AY353" s="826"/>
      <c r="AZ353" s="827"/>
      <c r="BA353" s="800" t="str">
        <f>IFERROR(IF(BZ345&gt;BA345-1,IF(INDEX(Lista_Pedidos,BY345+BA345-1,6)&lt;&gt;"","Nombre de la Tela :     "&amp; INDEX(Lista_Pedidos,BY345+BA345-1,6),""),""),"")</f>
        <v/>
      </c>
      <c r="BB353" s="801"/>
      <c r="BC353" s="801"/>
      <c r="BD353" s="801"/>
      <c r="BE353" s="801"/>
      <c r="BF353" s="801"/>
      <c r="BG353" s="801"/>
      <c r="BH353" s="801"/>
      <c r="BI353" s="801"/>
      <c r="BJ353" s="801"/>
      <c r="BK353" s="801"/>
      <c r="BL353" s="801"/>
      <c r="BM353" s="801"/>
      <c r="BN353" s="801"/>
      <c r="BO353" s="801"/>
      <c r="BP353" s="801"/>
      <c r="BQ353" s="801"/>
      <c r="BR353" s="801"/>
      <c r="BS353" s="801"/>
      <c r="BT353" s="801"/>
      <c r="BU353" s="801"/>
      <c r="BV353" s="801"/>
      <c r="BW353" s="826"/>
      <c r="BX353" s="826"/>
      <c r="BY353" s="826"/>
      <c r="BZ353" s="827"/>
      <c r="CA353" s="800" t="str">
        <f>IFERROR(IF(CZ345&gt;CA345-1,IF(INDEX(Lista_Pedidos,CY345+CA345-1,6)&lt;&gt;"","Nombre de la Tela :     "&amp; INDEX(Lista_Pedidos,CY345+CA345-1,6),""),""),"")</f>
        <v/>
      </c>
      <c r="CB353" s="801"/>
      <c r="CC353" s="801"/>
      <c r="CD353" s="801"/>
      <c r="CE353" s="801"/>
      <c r="CF353" s="801"/>
      <c r="CG353" s="801"/>
      <c r="CH353" s="801"/>
      <c r="CI353" s="801"/>
      <c r="CJ353" s="801"/>
      <c r="CK353" s="801"/>
      <c r="CL353" s="801"/>
      <c r="CM353" s="801"/>
      <c r="CN353" s="801"/>
      <c r="CO353" s="801"/>
      <c r="CP353" s="801"/>
      <c r="CQ353" s="801"/>
      <c r="CR353" s="801"/>
      <c r="CS353" s="801"/>
      <c r="CT353" s="801"/>
      <c r="CU353" s="801"/>
      <c r="CV353" s="801"/>
      <c r="CW353" s="826"/>
      <c r="CX353" s="826"/>
      <c r="CY353" s="826"/>
      <c r="CZ353" s="827"/>
      <c r="DA353" s="800" t="str">
        <f>IFERROR(IF(DZ345&gt;DA345-1,IF(INDEX(Lista_Pedidos,DY345+DA345-1,6)&lt;&gt;"","Nombre de la Tela :     "&amp; INDEX(Lista_Pedidos,DY345+DA345-1,6),""),""),"")</f>
        <v/>
      </c>
      <c r="DB353" s="801"/>
      <c r="DC353" s="801"/>
      <c r="DD353" s="801"/>
      <c r="DE353" s="801"/>
      <c r="DF353" s="801"/>
      <c r="DG353" s="801"/>
      <c r="DH353" s="801"/>
      <c r="DI353" s="801"/>
      <c r="DJ353" s="801"/>
      <c r="DK353" s="801"/>
      <c r="DL353" s="801"/>
      <c r="DM353" s="801"/>
      <c r="DN353" s="801"/>
      <c r="DO353" s="801"/>
      <c r="DP353" s="801"/>
      <c r="DQ353" s="801"/>
      <c r="DR353" s="801"/>
      <c r="DS353" s="801"/>
      <c r="DT353" s="801"/>
      <c r="DU353" s="801"/>
      <c r="DV353" s="801"/>
      <c r="DW353" s="826"/>
      <c r="DX353" s="826"/>
      <c r="DY353" s="826"/>
      <c r="DZ353" s="827"/>
      <c r="EA353" s="800" t="str">
        <f>IFERROR(IF(EZ345&gt;EA345-1,IF(INDEX(Lista_Pedidos,EY345+EA345-1,6)&lt;&gt;"","Nombre de la Tela :     "&amp; INDEX(Lista_Pedidos,EY345+EA345-1,6),""),""),"")</f>
        <v/>
      </c>
      <c r="EB353" s="801"/>
      <c r="EC353" s="801"/>
      <c r="ED353" s="801"/>
      <c r="EE353" s="801"/>
      <c r="EF353" s="801"/>
      <c r="EG353" s="801"/>
      <c r="EH353" s="801"/>
      <c r="EI353" s="801"/>
      <c r="EJ353" s="801"/>
      <c r="EK353" s="801"/>
      <c r="EL353" s="801"/>
      <c r="EM353" s="801"/>
      <c r="EN353" s="801"/>
      <c r="EO353" s="801"/>
      <c r="EP353" s="801"/>
      <c r="EQ353" s="801"/>
      <c r="ER353" s="801"/>
      <c r="ES353" s="801"/>
      <c r="ET353" s="801"/>
      <c r="EU353" s="801"/>
      <c r="EV353" s="801"/>
      <c r="EW353" s="826"/>
      <c r="EX353" s="826"/>
      <c r="EY353" s="826"/>
      <c r="EZ353" s="827"/>
      <c r="FA353" s="800" t="str">
        <f>IFERROR(IF(FZ345&gt;FA345-1,IF(INDEX(Lista_Pedidos,FY345+FA345-1,6)&lt;&gt;"","Nombre de la Tela :     "&amp; INDEX(Lista_Pedidos,FY345+FA345-1,6),""),""),"")</f>
        <v/>
      </c>
      <c r="FB353" s="801"/>
      <c r="FC353" s="801"/>
      <c r="FD353" s="801"/>
      <c r="FE353" s="801"/>
      <c r="FF353" s="801"/>
      <c r="FG353" s="801"/>
      <c r="FH353" s="801"/>
      <c r="FI353" s="801"/>
      <c r="FJ353" s="801"/>
      <c r="FK353" s="801"/>
      <c r="FL353" s="801"/>
      <c r="FM353" s="801"/>
      <c r="FN353" s="801"/>
      <c r="FO353" s="801"/>
      <c r="FP353" s="801"/>
      <c r="FQ353" s="801"/>
      <c r="FR353" s="801"/>
      <c r="FS353" s="801"/>
      <c r="FT353" s="801"/>
      <c r="FU353" s="801"/>
      <c r="FV353" s="801"/>
      <c r="FW353" s="826"/>
      <c r="FX353" s="826"/>
      <c r="FY353" s="826"/>
      <c r="FZ353" s="827"/>
      <c r="GA353" s="800" t="str">
        <f>IFERROR(IF(GZ345&gt;GA345-1,IF(INDEX(Lista_Pedidos,GY345+GA345-1,6)&lt;&gt;"","Nombre de la Tela :     "&amp; INDEX(Lista_Pedidos,GY345+GA345-1,6),""),""),"")</f>
        <v/>
      </c>
      <c r="GB353" s="801"/>
      <c r="GC353" s="801"/>
      <c r="GD353" s="801"/>
      <c r="GE353" s="801"/>
      <c r="GF353" s="801"/>
      <c r="GG353" s="801"/>
      <c r="GH353" s="801"/>
      <c r="GI353" s="801"/>
      <c r="GJ353" s="801"/>
      <c r="GK353" s="801"/>
      <c r="GL353" s="801"/>
      <c r="GM353" s="801"/>
      <c r="GN353" s="801"/>
      <c r="GO353" s="801"/>
      <c r="GP353" s="801"/>
      <c r="GQ353" s="801"/>
      <c r="GR353" s="801"/>
      <c r="GS353" s="801"/>
      <c r="GT353" s="801"/>
      <c r="GU353" s="801"/>
      <c r="GV353" s="801"/>
      <c r="GW353" s="826"/>
      <c r="GX353" s="826"/>
      <c r="GY353" s="826"/>
      <c r="GZ353" s="827"/>
      <c r="HA353" s="800" t="str">
        <f>IFERROR(IF(HZ345&gt;HA345-1,IF(INDEX(Lista_Pedidos,HY345+HA345-1,6)&lt;&gt;"","Nombre de la Tela :     "&amp; INDEX(Lista_Pedidos,HY345+HA345-1,6),""),""),"")</f>
        <v/>
      </c>
      <c r="HB353" s="801"/>
      <c r="HC353" s="801"/>
      <c r="HD353" s="801"/>
      <c r="HE353" s="801"/>
      <c r="HF353" s="801"/>
      <c r="HG353" s="801"/>
      <c r="HH353" s="801"/>
      <c r="HI353" s="801"/>
      <c r="HJ353" s="801"/>
      <c r="HK353" s="801"/>
      <c r="HL353" s="801"/>
      <c r="HM353" s="801"/>
      <c r="HN353" s="801"/>
      <c r="HO353" s="801"/>
      <c r="HP353" s="801"/>
      <c r="HQ353" s="801"/>
      <c r="HR353" s="801"/>
      <c r="HS353" s="801"/>
      <c r="HT353" s="801"/>
      <c r="HU353" s="801"/>
      <c r="HV353" s="801"/>
      <c r="HW353" s="826"/>
      <c r="HX353" s="826"/>
      <c r="HY353" s="826"/>
      <c r="HZ353" s="827"/>
      <c r="IA353" s="800" t="str">
        <f>IFERROR(IF(IZ345&gt;IA345-1,IF(INDEX(Lista_Pedidos,IY345+IA345-1,6)&lt;&gt;"","Nombre de la Tela :     "&amp; INDEX(Lista_Pedidos,IY345+IA345-1,6),""),""),"")</f>
        <v/>
      </c>
      <c r="IB353" s="801"/>
      <c r="IC353" s="801"/>
      <c r="ID353" s="801"/>
      <c r="IE353" s="801"/>
      <c r="IF353" s="801"/>
      <c r="IG353" s="801"/>
      <c r="IH353" s="801"/>
      <c r="II353" s="801"/>
      <c r="IJ353" s="801"/>
      <c r="IK353" s="801"/>
      <c r="IL353" s="801"/>
      <c r="IM353" s="801"/>
      <c r="IN353" s="801"/>
      <c r="IO353" s="801"/>
      <c r="IP353" s="801"/>
      <c r="IQ353" s="801"/>
      <c r="IR353" s="801"/>
      <c r="IS353" s="801"/>
      <c r="IT353" s="801"/>
      <c r="IU353" s="801"/>
      <c r="IV353" s="801"/>
      <c r="IW353" s="826"/>
      <c r="IX353" s="826"/>
      <c r="IY353" s="826"/>
      <c r="IZ353" s="827"/>
    </row>
    <row r="354" spans="1:260" x14ac:dyDescent="0.25">
      <c r="A354" s="800" t="str">
        <f>IFERROR(IF(Z345&gt;A345-1,IF(INDEX(Lista_Pedidos,Y345+A345-1,7)&lt;&gt;"","Hilo :     "&amp; INDEX(Lista_Pedidos,Y345+A345-1,7),""),""),"")</f>
        <v/>
      </c>
      <c r="B354" s="801"/>
      <c r="C354" s="801"/>
      <c r="D354" s="801"/>
      <c r="E354" s="801"/>
      <c r="F354" s="801"/>
      <c r="G354" s="801"/>
      <c r="H354" s="801"/>
      <c r="I354" s="801"/>
      <c r="J354" s="801"/>
      <c r="K354" s="801"/>
      <c r="L354" s="801"/>
      <c r="M354" s="801"/>
      <c r="N354" s="801"/>
      <c r="O354" s="801"/>
      <c r="P354" s="801"/>
      <c r="Q354" s="801"/>
      <c r="R354" s="801"/>
      <c r="S354" s="801"/>
      <c r="T354" s="801"/>
      <c r="U354" s="801"/>
      <c r="V354" s="801"/>
      <c r="W354" s="801"/>
      <c r="X354" s="801"/>
      <c r="Y354" s="801"/>
      <c r="Z354" s="802"/>
      <c r="AA354" s="800" t="str">
        <f>IFERROR(IF(AZ345&gt;AA345-1,IF(INDEX(Lista_Pedidos,AY345+AA345-1,7)&lt;&gt;"","Hilo :     "&amp; INDEX(Lista_Pedidos,AY345+AA345-1,7),""),""),"")</f>
        <v/>
      </c>
      <c r="AB354" s="801"/>
      <c r="AC354" s="801"/>
      <c r="AD354" s="801"/>
      <c r="AE354" s="801"/>
      <c r="AF354" s="801"/>
      <c r="AG354" s="801"/>
      <c r="AH354" s="801"/>
      <c r="AI354" s="801"/>
      <c r="AJ354" s="801"/>
      <c r="AK354" s="801"/>
      <c r="AL354" s="801"/>
      <c r="AM354" s="801"/>
      <c r="AN354" s="801"/>
      <c r="AO354" s="801"/>
      <c r="AP354" s="801"/>
      <c r="AQ354" s="801"/>
      <c r="AR354" s="801"/>
      <c r="AS354" s="801"/>
      <c r="AT354" s="801"/>
      <c r="AU354" s="801"/>
      <c r="AV354" s="801"/>
      <c r="AW354" s="801"/>
      <c r="AX354" s="801"/>
      <c r="AY354" s="801"/>
      <c r="AZ354" s="802"/>
      <c r="BA354" s="800" t="str">
        <f>IFERROR(IF(BZ345&gt;BA345-1,IF(INDEX(Lista_Pedidos,BY345+BA345-1,7)&lt;&gt;"","Hilo :     "&amp; INDEX(Lista_Pedidos,BY345+BA345-1,7),""),""),"")</f>
        <v/>
      </c>
      <c r="BB354" s="801"/>
      <c r="BC354" s="801"/>
      <c r="BD354" s="801"/>
      <c r="BE354" s="801"/>
      <c r="BF354" s="801"/>
      <c r="BG354" s="801"/>
      <c r="BH354" s="801"/>
      <c r="BI354" s="801"/>
      <c r="BJ354" s="801"/>
      <c r="BK354" s="801"/>
      <c r="BL354" s="801"/>
      <c r="BM354" s="801"/>
      <c r="BN354" s="801"/>
      <c r="BO354" s="801"/>
      <c r="BP354" s="801"/>
      <c r="BQ354" s="801"/>
      <c r="BR354" s="801"/>
      <c r="BS354" s="801"/>
      <c r="BT354" s="801"/>
      <c r="BU354" s="801"/>
      <c r="BV354" s="801"/>
      <c r="BW354" s="801"/>
      <c r="BX354" s="801"/>
      <c r="BY354" s="801"/>
      <c r="BZ354" s="802"/>
      <c r="CA354" s="800" t="str">
        <f>IFERROR(IF(CZ345&gt;CA345-1,IF(INDEX(Lista_Pedidos,CY345+CA345-1,7)&lt;&gt;"","Hilo :     "&amp; INDEX(Lista_Pedidos,CY345+CA345-1,7),""),""),"")</f>
        <v/>
      </c>
      <c r="CB354" s="801"/>
      <c r="CC354" s="801"/>
      <c r="CD354" s="801"/>
      <c r="CE354" s="801"/>
      <c r="CF354" s="801"/>
      <c r="CG354" s="801"/>
      <c r="CH354" s="801"/>
      <c r="CI354" s="801"/>
      <c r="CJ354" s="801"/>
      <c r="CK354" s="801"/>
      <c r="CL354" s="801"/>
      <c r="CM354" s="801"/>
      <c r="CN354" s="801"/>
      <c r="CO354" s="801"/>
      <c r="CP354" s="801"/>
      <c r="CQ354" s="801"/>
      <c r="CR354" s="801"/>
      <c r="CS354" s="801"/>
      <c r="CT354" s="801"/>
      <c r="CU354" s="801"/>
      <c r="CV354" s="801"/>
      <c r="CW354" s="801"/>
      <c r="CX354" s="801"/>
      <c r="CY354" s="801"/>
      <c r="CZ354" s="802"/>
      <c r="DA354" s="800" t="str">
        <f>IFERROR(IF(DZ345&gt;DA345-1,IF(INDEX(Lista_Pedidos,DY345+DA345-1,7)&lt;&gt;"","Hilo :     "&amp; INDEX(Lista_Pedidos,DY345+DA345-1,7),""),""),"")</f>
        <v/>
      </c>
      <c r="DB354" s="801"/>
      <c r="DC354" s="801"/>
      <c r="DD354" s="801"/>
      <c r="DE354" s="801"/>
      <c r="DF354" s="801"/>
      <c r="DG354" s="801"/>
      <c r="DH354" s="801"/>
      <c r="DI354" s="801"/>
      <c r="DJ354" s="801"/>
      <c r="DK354" s="801"/>
      <c r="DL354" s="801"/>
      <c r="DM354" s="801"/>
      <c r="DN354" s="801"/>
      <c r="DO354" s="801"/>
      <c r="DP354" s="801"/>
      <c r="DQ354" s="801"/>
      <c r="DR354" s="801"/>
      <c r="DS354" s="801"/>
      <c r="DT354" s="801"/>
      <c r="DU354" s="801"/>
      <c r="DV354" s="801"/>
      <c r="DW354" s="801"/>
      <c r="DX354" s="801"/>
      <c r="DY354" s="801"/>
      <c r="DZ354" s="802"/>
      <c r="EA354" s="800" t="str">
        <f>IFERROR(IF(EZ345&gt;EA345-1,IF(INDEX(Lista_Pedidos,EY345+EA345-1,7)&lt;&gt;"","Hilo :     "&amp; INDEX(Lista_Pedidos,EY345+EA345-1,7),""),""),"")</f>
        <v/>
      </c>
      <c r="EB354" s="801"/>
      <c r="EC354" s="801"/>
      <c r="ED354" s="801"/>
      <c r="EE354" s="801"/>
      <c r="EF354" s="801"/>
      <c r="EG354" s="801"/>
      <c r="EH354" s="801"/>
      <c r="EI354" s="801"/>
      <c r="EJ354" s="801"/>
      <c r="EK354" s="801"/>
      <c r="EL354" s="801"/>
      <c r="EM354" s="801"/>
      <c r="EN354" s="801"/>
      <c r="EO354" s="801"/>
      <c r="EP354" s="801"/>
      <c r="EQ354" s="801"/>
      <c r="ER354" s="801"/>
      <c r="ES354" s="801"/>
      <c r="ET354" s="801"/>
      <c r="EU354" s="801"/>
      <c r="EV354" s="801"/>
      <c r="EW354" s="801"/>
      <c r="EX354" s="801"/>
      <c r="EY354" s="801"/>
      <c r="EZ354" s="802"/>
      <c r="FA354" s="800" t="str">
        <f>IFERROR(IF(FZ345&gt;FA345-1,IF(INDEX(Lista_Pedidos,FY345+FA345-1,7)&lt;&gt;"","Hilo :     "&amp; INDEX(Lista_Pedidos,FY345+FA345-1,7),""),""),"")</f>
        <v/>
      </c>
      <c r="FB354" s="801"/>
      <c r="FC354" s="801"/>
      <c r="FD354" s="801"/>
      <c r="FE354" s="801"/>
      <c r="FF354" s="801"/>
      <c r="FG354" s="801"/>
      <c r="FH354" s="801"/>
      <c r="FI354" s="801"/>
      <c r="FJ354" s="801"/>
      <c r="FK354" s="801"/>
      <c r="FL354" s="801"/>
      <c r="FM354" s="801"/>
      <c r="FN354" s="801"/>
      <c r="FO354" s="801"/>
      <c r="FP354" s="801"/>
      <c r="FQ354" s="801"/>
      <c r="FR354" s="801"/>
      <c r="FS354" s="801"/>
      <c r="FT354" s="801"/>
      <c r="FU354" s="801"/>
      <c r="FV354" s="801"/>
      <c r="FW354" s="801"/>
      <c r="FX354" s="801"/>
      <c r="FY354" s="801"/>
      <c r="FZ354" s="802"/>
      <c r="GA354" s="800" t="str">
        <f>IFERROR(IF(GZ345&gt;GA345-1,IF(INDEX(Lista_Pedidos,GY345+GA345-1,7)&lt;&gt;"","Hilo :     "&amp; INDEX(Lista_Pedidos,GY345+GA345-1,7),""),""),"")</f>
        <v/>
      </c>
      <c r="GB354" s="801"/>
      <c r="GC354" s="801"/>
      <c r="GD354" s="801"/>
      <c r="GE354" s="801"/>
      <c r="GF354" s="801"/>
      <c r="GG354" s="801"/>
      <c r="GH354" s="801"/>
      <c r="GI354" s="801"/>
      <c r="GJ354" s="801"/>
      <c r="GK354" s="801"/>
      <c r="GL354" s="801"/>
      <c r="GM354" s="801"/>
      <c r="GN354" s="801"/>
      <c r="GO354" s="801"/>
      <c r="GP354" s="801"/>
      <c r="GQ354" s="801"/>
      <c r="GR354" s="801"/>
      <c r="GS354" s="801"/>
      <c r="GT354" s="801"/>
      <c r="GU354" s="801"/>
      <c r="GV354" s="801"/>
      <c r="GW354" s="801"/>
      <c r="GX354" s="801"/>
      <c r="GY354" s="801"/>
      <c r="GZ354" s="802"/>
      <c r="HA354" s="800" t="str">
        <f>IFERROR(IF(HZ345&gt;HA345-1,IF(INDEX(Lista_Pedidos,HY345+HA345-1,7)&lt;&gt;"","Hilo :     "&amp; INDEX(Lista_Pedidos,HY345+HA345-1,7),""),""),"")</f>
        <v/>
      </c>
      <c r="HB354" s="801"/>
      <c r="HC354" s="801"/>
      <c r="HD354" s="801"/>
      <c r="HE354" s="801"/>
      <c r="HF354" s="801"/>
      <c r="HG354" s="801"/>
      <c r="HH354" s="801"/>
      <c r="HI354" s="801"/>
      <c r="HJ354" s="801"/>
      <c r="HK354" s="801"/>
      <c r="HL354" s="801"/>
      <c r="HM354" s="801"/>
      <c r="HN354" s="801"/>
      <c r="HO354" s="801"/>
      <c r="HP354" s="801"/>
      <c r="HQ354" s="801"/>
      <c r="HR354" s="801"/>
      <c r="HS354" s="801"/>
      <c r="HT354" s="801"/>
      <c r="HU354" s="801"/>
      <c r="HV354" s="801"/>
      <c r="HW354" s="801"/>
      <c r="HX354" s="801"/>
      <c r="HY354" s="801"/>
      <c r="HZ354" s="802"/>
      <c r="IA354" s="800" t="str">
        <f>IFERROR(IF(IZ345&gt;IA345-1,IF(INDEX(Lista_Pedidos,IY345+IA345-1,7)&lt;&gt;"","Hilo :     "&amp; INDEX(Lista_Pedidos,IY345+IA345-1,7),""),""),"")</f>
        <v/>
      </c>
      <c r="IB354" s="801"/>
      <c r="IC354" s="801"/>
      <c r="ID354" s="801"/>
      <c r="IE354" s="801"/>
      <c r="IF354" s="801"/>
      <c r="IG354" s="801"/>
      <c r="IH354" s="801"/>
      <c r="II354" s="801"/>
      <c r="IJ354" s="801"/>
      <c r="IK354" s="801"/>
      <c r="IL354" s="801"/>
      <c r="IM354" s="801"/>
      <c r="IN354" s="801"/>
      <c r="IO354" s="801"/>
      <c r="IP354" s="801"/>
      <c r="IQ354" s="801"/>
      <c r="IR354" s="801"/>
      <c r="IS354" s="801"/>
      <c r="IT354" s="801"/>
      <c r="IU354" s="801"/>
      <c r="IV354" s="801"/>
      <c r="IW354" s="801"/>
      <c r="IX354" s="801"/>
      <c r="IY354" s="801"/>
      <c r="IZ354" s="802"/>
    </row>
    <row r="355" spans="1:260" x14ac:dyDescent="0.25">
      <c r="A355" s="800" t="str">
        <f>IFERROR(IF(Z345&gt;A345-1,IF(INDEX(Lista_Pedidos,Y345+A345-1,8)&lt;&gt;"","Forro :     "&amp; INDEX(Lista_Pedidos,Y345+A345-1,8),""),""),"")</f>
        <v/>
      </c>
      <c r="B355" s="801"/>
      <c r="C355" s="801"/>
      <c r="D355" s="801"/>
      <c r="E355" s="801"/>
      <c r="F355" s="801"/>
      <c r="G355" s="801"/>
      <c r="H355" s="801"/>
      <c r="I355" s="801"/>
      <c r="J355" s="801"/>
      <c r="K355" s="801"/>
      <c r="L355" s="801"/>
      <c r="M355" s="801"/>
      <c r="N355" s="801"/>
      <c r="O355" s="801"/>
      <c r="P355" s="801"/>
      <c r="Q355" s="801"/>
      <c r="R355" s="801"/>
      <c r="S355" s="801"/>
      <c r="T355" s="801"/>
      <c r="U355" s="801"/>
      <c r="V355" s="801"/>
      <c r="W355" s="801"/>
      <c r="X355" s="801"/>
      <c r="Y355" s="801"/>
      <c r="Z355" s="802"/>
      <c r="AA355" s="800" t="str">
        <f>IFERROR(IF(AZ345&gt;AA345-1,IF(INDEX(Lista_Pedidos,AY345+AA345-1,8)&lt;&gt;"","Forro :     "&amp; INDEX(Lista_Pedidos,AY345+AA345-1,8),""),""),"")</f>
        <v/>
      </c>
      <c r="AB355" s="801"/>
      <c r="AC355" s="801"/>
      <c r="AD355" s="801"/>
      <c r="AE355" s="801"/>
      <c r="AF355" s="801"/>
      <c r="AG355" s="801"/>
      <c r="AH355" s="801"/>
      <c r="AI355" s="801"/>
      <c r="AJ355" s="801"/>
      <c r="AK355" s="801"/>
      <c r="AL355" s="801"/>
      <c r="AM355" s="801"/>
      <c r="AN355" s="801"/>
      <c r="AO355" s="801"/>
      <c r="AP355" s="801"/>
      <c r="AQ355" s="801"/>
      <c r="AR355" s="801"/>
      <c r="AS355" s="801"/>
      <c r="AT355" s="801"/>
      <c r="AU355" s="801"/>
      <c r="AV355" s="801"/>
      <c r="AW355" s="801"/>
      <c r="AX355" s="801"/>
      <c r="AY355" s="801"/>
      <c r="AZ355" s="802"/>
      <c r="BA355" s="800" t="str">
        <f>IFERROR(IF(BZ345&gt;BA345-1,IF(INDEX(Lista_Pedidos,BY345+BA345-1,8)&lt;&gt;"","Forro :     "&amp; INDEX(Lista_Pedidos,BY345+BA345-1,8),""),""),"")</f>
        <v/>
      </c>
      <c r="BB355" s="801"/>
      <c r="BC355" s="801"/>
      <c r="BD355" s="801"/>
      <c r="BE355" s="801"/>
      <c r="BF355" s="801"/>
      <c r="BG355" s="801"/>
      <c r="BH355" s="801"/>
      <c r="BI355" s="801"/>
      <c r="BJ355" s="801"/>
      <c r="BK355" s="801"/>
      <c r="BL355" s="801"/>
      <c r="BM355" s="801"/>
      <c r="BN355" s="801"/>
      <c r="BO355" s="801"/>
      <c r="BP355" s="801"/>
      <c r="BQ355" s="801"/>
      <c r="BR355" s="801"/>
      <c r="BS355" s="801"/>
      <c r="BT355" s="801"/>
      <c r="BU355" s="801"/>
      <c r="BV355" s="801"/>
      <c r="BW355" s="801"/>
      <c r="BX355" s="801"/>
      <c r="BY355" s="801"/>
      <c r="BZ355" s="802"/>
      <c r="CA355" s="800" t="str">
        <f>IFERROR(IF(CZ345&gt;CA345-1,IF(INDEX(Lista_Pedidos,CY345+CA345-1,8)&lt;&gt;"","Forro :     "&amp; INDEX(Lista_Pedidos,CY345+CA345-1,8),""),""),"")</f>
        <v/>
      </c>
      <c r="CB355" s="801"/>
      <c r="CC355" s="801"/>
      <c r="CD355" s="801"/>
      <c r="CE355" s="801"/>
      <c r="CF355" s="801"/>
      <c r="CG355" s="801"/>
      <c r="CH355" s="801"/>
      <c r="CI355" s="801"/>
      <c r="CJ355" s="801"/>
      <c r="CK355" s="801"/>
      <c r="CL355" s="801"/>
      <c r="CM355" s="801"/>
      <c r="CN355" s="801"/>
      <c r="CO355" s="801"/>
      <c r="CP355" s="801"/>
      <c r="CQ355" s="801"/>
      <c r="CR355" s="801"/>
      <c r="CS355" s="801"/>
      <c r="CT355" s="801"/>
      <c r="CU355" s="801"/>
      <c r="CV355" s="801"/>
      <c r="CW355" s="801"/>
      <c r="CX355" s="801"/>
      <c r="CY355" s="801"/>
      <c r="CZ355" s="802"/>
      <c r="DA355" s="800" t="str">
        <f>IFERROR(IF(DZ345&gt;DA345-1,IF(INDEX(Lista_Pedidos,DY345+DA345-1,8)&lt;&gt;"","Forro :     "&amp; INDEX(Lista_Pedidos,DY345+DA345-1,8),""),""),"")</f>
        <v/>
      </c>
      <c r="DB355" s="801"/>
      <c r="DC355" s="801"/>
      <c r="DD355" s="801"/>
      <c r="DE355" s="801"/>
      <c r="DF355" s="801"/>
      <c r="DG355" s="801"/>
      <c r="DH355" s="801"/>
      <c r="DI355" s="801"/>
      <c r="DJ355" s="801"/>
      <c r="DK355" s="801"/>
      <c r="DL355" s="801"/>
      <c r="DM355" s="801"/>
      <c r="DN355" s="801"/>
      <c r="DO355" s="801"/>
      <c r="DP355" s="801"/>
      <c r="DQ355" s="801"/>
      <c r="DR355" s="801"/>
      <c r="DS355" s="801"/>
      <c r="DT355" s="801"/>
      <c r="DU355" s="801"/>
      <c r="DV355" s="801"/>
      <c r="DW355" s="801"/>
      <c r="DX355" s="801"/>
      <c r="DY355" s="801"/>
      <c r="DZ355" s="802"/>
      <c r="EA355" s="800" t="str">
        <f>IFERROR(IF(EZ345&gt;EA345-1,IF(INDEX(Lista_Pedidos,EY345+EA345-1,8)&lt;&gt;"","Forro :     "&amp; INDEX(Lista_Pedidos,EY345+EA345-1,8),""),""),"")</f>
        <v/>
      </c>
      <c r="EB355" s="801"/>
      <c r="EC355" s="801"/>
      <c r="ED355" s="801"/>
      <c r="EE355" s="801"/>
      <c r="EF355" s="801"/>
      <c r="EG355" s="801"/>
      <c r="EH355" s="801"/>
      <c r="EI355" s="801"/>
      <c r="EJ355" s="801"/>
      <c r="EK355" s="801"/>
      <c r="EL355" s="801"/>
      <c r="EM355" s="801"/>
      <c r="EN355" s="801"/>
      <c r="EO355" s="801"/>
      <c r="EP355" s="801"/>
      <c r="EQ355" s="801"/>
      <c r="ER355" s="801"/>
      <c r="ES355" s="801"/>
      <c r="ET355" s="801"/>
      <c r="EU355" s="801"/>
      <c r="EV355" s="801"/>
      <c r="EW355" s="801"/>
      <c r="EX355" s="801"/>
      <c r="EY355" s="801"/>
      <c r="EZ355" s="802"/>
      <c r="FA355" s="800" t="str">
        <f>IFERROR(IF(FZ345&gt;FA345-1,IF(INDEX(Lista_Pedidos,FY345+FA345-1,8)&lt;&gt;"","Forro :     "&amp; INDEX(Lista_Pedidos,FY345+FA345-1,8),""),""),"")</f>
        <v/>
      </c>
      <c r="FB355" s="801"/>
      <c r="FC355" s="801"/>
      <c r="FD355" s="801"/>
      <c r="FE355" s="801"/>
      <c r="FF355" s="801"/>
      <c r="FG355" s="801"/>
      <c r="FH355" s="801"/>
      <c r="FI355" s="801"/>
      <c r="FJ355" s="801"/>
      <c r="FK355" s="801"/>
      <c r="FL355" s="801"/>
      <c r="FM355" s="801"/>
      <c r="FN355" s="801"/>
      <c r="FO355" s="801"/>
      <c r="FP355" s="801"/>
      <c r="FQ355" s="801"/>
      <c r="FR355" s="801"/>
      <c r="FS355" s="801"/>
      <c r="FT355" s="801"/>
      <c r="FU355" s="801"/>
      <c r="FV355" s="801"/>
      <c r="FW355" s="801"/>
      <c r="FX355" s="801"/>
      <c r="FY355" s="801"/>
      <c r="FZ355" s="802"/>
      <c r="GA355" s="800" t="str">
        <f>IFERROR(IF(GZ345&gt;GA345-1,IF(INDEX(Lista_Pedidos,GY345+GA345-1,8)&lt;&gt;"","Forro :     "&amp; INDEX(Lista_Pedidos,GY345+GA345-1,8),""),""),"")</f>
        <v/>
      </c>
      <c r="GB355" s="801"/>
      <c r="GC355" s="801"/>
      <c r="GD355" s="801"/>
      <c r="GE355" s="801"/>
      <c r="GF355" s="801"/>
      <c r="GG355" s="801"/>
      <c r="GH355" s="801"/>
      <c r="GI355" s="801"/>
      <c r="GJ355" s="801"/>
      <c r="GK355" s="801"/>
      <c r="GL355" s="801"/>
      <c r="GM355" s="801"/>
      <c r="GN355" s="801"/>
      <c r="GO355" s="801"/>
      <c r="GP355" s="801"/>
      <c r="GQ355" s="801"/>
      <c r="GR355" s="801"/>
      <c r="GS355" s="801"/>
      <c r="GT355" s="801"/>
      <c r="GU355" s="801"/>
      <c r="GV355" s="801"/>
      <c r="GW355" s="801"/>
      <c r="GX355" s="801"/>
      <c r="GY355" s="801"/>
      <c r="GZ355" s="802"/>
      <c r="HA355" s="800" t="str">
        <f>IFERROR(IF(HZ345&gt;HA345-1,IF(INDEX(Lista_Pedidos,HY345+HA345-1,8)&lt;&gt;"","Forro :     "&amp; INDEX(Lista_Pedidos,HY345+HA345-1,8),""),""),"")</f>
        <v/>
      </c>
      <c r="HB355" s="801"/>
      <c r="HC355" s="801"/>
      <c r="HD355" s="801"/>
      <c r="HE355" s="801"/>
      <c r="HF355" s="801"/>
      <c r="HG355" s="801"/>
      <c r="HH355" s="801"/>
      <c r="HI355" s="801"/>
      <c r="HJ355" s="801"/>
      <c r="HK355" s="801"/>
      <c r="HL355" s="801"/>
      <c r="HM355" s="801"/>
      <c r="HN355" s="801"/>
      <c r="HO355" s="801"/>
      <c r="HP355" s="801"/>
      <c r="HQ355" s="801"/>
      <c r="HR355" s="801"/>
      <c r="HS355" s="801"/>
      <c r="HT355" s="801"/>
      <c r="HU355" s="801"/>
      <c r="HV355" s="801"/>
      <c r="HW355" s="801"/>
      <c r="HX355" s="801"/>
      <c r="HY355" s="801"/>
      <c r="HZ355" s="802"/>
      <c r="IA355" s="800" t="str">
        <f>IFERROR(IF(IZ345&gt;IA345-1,IF(INDEX(Lista_Pedidos,IY345+IA345-1,8)&lt;&gt;"","Forro :     "&amp; INDEX(Lista_Pedidos,IY345+IA345-1,8),""),""),"")</f>
        <v/>
      </c>
      <c r="IB355" s="801"/>
      <c r="IC355" s="801"/>
      <c r="ID355" s="801"/>
      <c r="IE355" s="801"/>
      <c r="IF355" s="801"/>
      <c r="IG355" s="801"/>
      <c r="IH355" s="801"/>
      <c r="II355" s="801"/>
      <c r="IJ355" s="801"/>
      <c r="IK355" s="801"/>
      <c r="IL355" s="801"/>
      <c r="IM355" s="801"/>
      <c r="IN355" s="801"/>
      <c r="IO355" s="801"/>
      <c r="IP355" s="801"/>
      <c r="IQ355" s="801"/>
      <c r="IR355" s="801"/>
      <c r="IS355" s="801"/>
      <c r="IT355" s="801"/>
      <c r="IU355" s="801"/>
      <c r="IV355" s="801"/>
      <c r="IW355" s="801"/>
      <c r="IX355" s="801"/>
      <c r="IY355" s="801"/>
      <c r="IZ355" s="802"/>
    </row>
    <row r="356" spans="1:260" x14ac:dyDescent="0.25">
      <c r="A356" s="800" t="str">
        <f>IF(A$5="Cliente Especial : NEON",IF(Z345&gt;A345-1,"Neon :      Si",""),"")</f>
        <v/>
      </c>
      <c r="B356" s="801"/>
      <c r="C356" s="801"/>
      <c r="D356" s="801"/>
      <c r="E356" s="801"/>
      <c r="F356" s="801"/>
      <c r="G356" s="801"/>
      <c r="H356" s="801"/>
      <c r="I356" s="801"/>
      <c r="J356" s="801"/>
      <c r="K356" s="801"/>
      <c r="L356" s="801"/>
      <c r="M356" s="801"/>
      <c r="N356" s="801"/>
      <c r="O356" s="801"/>
      <c r="P356" s="801"/>
      <c r="Q356" s="801"/>
      <c r="R356" s="801"/>
      <c r="S356" s="801"/>
      <c r="T356" s="801"/>
      <c r="U356" s="801"/>
      <c r="V356" s="801"/>
      <c r="W356" s="801"/>
      <c r="X356" s="801"/>
      <c r="Y356" s="801"/>
      <c r="Z356" s="802"/>
      <c r="AA356" s="800" t="str">
        <f>IF(AA$5="Cliente Especial : NEON",IF(AZ345&gt;AA345-1,"Neon :      Si",""),"")</f>
        <v/>
      </c>
      <c r="AB356" s="801"/>
      <c r="AC356" s="801"/>
      <c r="AD356" s="801"/>
      <c r="AE356" s="801"/>
      <c r="AF356" s="801"/>
      <c r="AG356" s="801"/>
      <c r="AH356" s="801"/>
      <c r="AI356" s="801"/>
      <c r="AJ356" s="801"/>
      <c r="AK356" s="801"/>
      <c r="AL356" s="801"/>
      <c r="AM356" s="801"/>
      <c r="AN356" s="801"/>
      <c r="AO356" s="801"/>
      <c r="AP356" s="801"/>
      <c r="AQ356" s="801"/>
      <c r="AR356" s="801"/>
      <c r="AS356" s="801"/>
      <c r="AT356" s="801"/>
      <c r="AU356" s="801"/>
      <c r="AV356" s="801"/>
      <c r="AW356" s="801"/>
      <c r="AX356" s="801"/>
      <c r="AY356" s="801"/>
      <c r="AZ356" s="802"/>
      <c r="BA356" s="800" t="str">
        <f>IF(BA$5="Cliente Especial : NEON",IF(BZ345&gt;BA345-1,"Neon :      Si",""),"")</f>
        <v/>
      </c>
      <c r="BB356" s="801"/>
      <c r="BC356" s="801"/>
      <c r="BD356" s="801"/>
      <c r="BE356" s="801"/>
      <c r="BF356" s="801"/>
      <c r="BG356" s="801"/>
      <c r="BH356" s="801"/>
      <c r="BI356" s="801"/>
      <c r="BJ356" s="801"/>
      <c r="BK356" s="801"/>
      <c r="BL356" s="801"/>
      <c r="BM356" s="801"/>
      <c r="BN356" s="801"/>
      <c r="BO356" s="801"/>
      <c r="BP356" s="801"/>
      <c r="BQ356" s="801"/>
      <c r="BR356" s="801"/>
      <c r="BS356" s="801"/>
      <c r="BT356" s="801"/>
      <c r="BU356" s="801"/>
      <c r="BV356" s="801"/>
      <c r="BW356" s="801"/>
      <c r="BX356" s="801"/>
      <c r="BY356" s="801"/>
      <c r="BZ356" s="802"/>
      <c r="CA356" s="800" t="str">
        <f>IF(CA$5="Cliente Especial : NEON",IF(CZ345&gt;CA345-1,"Neon :      Si",""),"")</f>
        <v/>
      </c>
      <c r="CB356" s="801"/>
      <c r="CC356" s="801"/>
      <c r="CD356" s="801"/>
      <c r="CE356" s="801"/>
      <c r="CF356" s="801"/>
      <c r="CG356" s="801"/>
      <c r="CH356" s="801"/>
      <c r="CI356" s="801"/>
      <c r="CJ356" s="801"/>
      <c r="CK356" s="801"/>
      <c r="CL356" s="801"/>
      <c r="CM356" s="801"/>
      <c r="CN356" s="801"/>
      <c r="CO356" s="801"/>
      <c r="CP356" s="801"/>
      <c r="CQ356" s="801"/>
      <c r="CR356" s="801"/>
      <c r="CS356" s="801"/>
      <c r="CT356" s="801"/>
      <c r="CU356" s="801"/>
      <c r="CV356" s="801"/>
      <c r="CW356" s="801"/>
      <c r="CX356" s="801"/>
      <c r="CY356" s="801"/>
      <c r="CZ356" s="802"/>
      <c r="DA356" s="800" t="str">
        <f>IF(DA$5="Cliente Especial : NEON",IF(DZ345&gt;DA345-1,"Neon :      Si",""),"")</f>
        <v/>
      </c>
      <c r="DB356" s="801"/>
      <c r="DC356" s="801"/>
      <c r="DD356" s="801"/>
      <c r="DE356" s="801"/>
      <c r="DF356" s="801"/>
      <c r="DG356" s="801"/>
      <c r="DH356" s="801"/>
      <c r="DI356" s="801"/>
      <c r="DJ356" s="801"/>
      <c r="DK356" s="801"/>
      <c r="DL356" s="801"/>
      <c r="DM356" s="801"/>
      <c r="DN356" s="801"/>
      <c r="DO356" s="801"/>
      <c r="DP356" s="801"/>
      <c r="DQ356" s="801"/>
      <c r="DR356" s="801"/>
      <c r="DS356" s="801"/>
      <c r="DT356" s="801"/>
      <c r="DU356" s="801"/>
      <c r="DV356" s="801"/>
      <c r="DW356" s="801"/>
      <c r="DX356" s="801"/>
      <c r="DY356" s="801"/>
      <c r="DZ356" s="802"/>
      <c r="EA356" s="800" t="str">
        <f>IF(EA$5="Cliente Especial : NEON",IF(EZ345&gt;EA345-1,"Neon :      Si",""),"")</f>
        <v/>
      </c>
      <c r="EB356" s="801"/>
      <c r="EC356" s="801"/>
      <c r="ED356" s="801"/>
      <c r="EE356" s="801"/>
      <c r="EF356" s="801"/>
      <c r="EG356" s="801"/>
      <c r="EH356" s="801"/>
      <c r="EI356" s="801"/>
      <c r="EJ356" s="801"/>
      <c r="EK356" s="801"/>
      <c r="EL356" s="801"/>
      <c r="EM356" s="801"/>
      <c r="EN356" s="801"/>
      <c r="EO356" s="801"/>
      <c r="EP356" s="801"/>
      <c r="EQ356" s="801"/>
      <c r="ER356" s="801"/>
      <c r="ES356" s="801"/>
      <c r="ET356" s="801"/>
      <c r="EU356" s="801"/>
      <c r="EV356" s="801"/>
      <c r="EW356" s="801"/>
      <c r="EX356" s="801"/>
      <c r="EY356" s="801"/>
      <c r="EZ356" s="802"/>
      <c r="FA356" s="800" t="str">
        <f>IF(FA$5="Cliente Especial : NEON",IF(FZ345&gt;FA345-1,"Neon :      Si",""),"")</f>
        <v/>
      </c>
      <c r="FB356" s="801"/>
      <c r="FC356" s="801"/>
      <c r="FD356" s="801"/>
      <c r="FE356" s="801"/>
      <c r="FF356" s="801"/>
      <c r="FG356" s="801"/>
      <c r="FH356" s="801"/>
      <c r="FI356" s="801"/>
      <c r="FJ356" s="801"/>
      <c r="FK356" s="801"/>
      <c r="FL356" s="801"/>
      <c r="FM356" s="801"/>
      <c r="FN356" s="801"/>
      <c r="FO356" s="801"/>
      <c r="FP356" s="801"/>
      <c r="FQ356" s="801"/>
      <c r="FR356" s="801"/>
      <c r="FS356" s="801"/>
      <c r="FT356" s="801"/>
      <c r="FU356" s="801"/>
      <c r="FV356" s="801"/>
      <c r="FW356" s="801"/>
      <c r="FX356" s="801"/>
      <c r="FY356" s="801"/>
      <c r="FZ356" s="802"/>
      <c r="GA356" s="800" t="str">
        <f>IF(GA$5="Cliente Especial : NEON",IF(GZ345&gt;GA345-1,"Neon :      Si",""),"")</f>
        <v/>
      </c>
      <c r="GB356" s="801"/>
      <c r="GC356" s="801"/>
      <c r="GD356" s="801"/>
      <c r="GE356" s="801"/>
      <c r="GF356" s="801"/>
      <c r="GG356" s="801"/>
      <c r="GH356" s="801"/>
      <c r="GI356" s="801"/>
      <c r="GJ356" s="801"/>
      <c r="GK356" s="801"/>
      <c r="GL356" s="801"/>
      <c r="GM356" s="801"/>
      <c r="GN356" s="801"/>
      <c r="GO356" s="801"/>
      <c r="GP356" s="801"/>
      <c r="GQ356" s="801"/>
      <c r="GR356" s="801"/>
      <c r="GS356" s="801"/>
      <c r="GT356" s="801"/>
      <c r="GU356" s="801"/>
      <c r="GV356" s="801"/>
      <c r="GW356" s="801"/>
      <c r="GX356" s="801"/>
      <c r="GY356" s="801"/>
      <c r="GZ356" s="802"/>
      <c r="HA356" s="800" t="str">
        <f>IF(HA$5="Cliente Especial : NEON",IF(HZ345&gt;HA345-1,"Neon :      Si",""),"")</f>
        <v/>
      </c>
      <c r="HB356" s="801"/>
      <c r="HC356" s="801"/>
      <c r="HD356" s="801"/>
      <c r="HE356" s="801"/>
      <c r="HF356" s="801"/>
      <c r="HG356" s="801"/>
      <c r="HH356" s="801"/>
      <c r="HI356" s="801"/>
      <c r="HJ356" s="801"/>
      <c r="HK356" s="801"/>
      <c r="HL356" s="801"/>
      <c r="HM356" s="801"/>
      <c r="HN356" s="801"/>
      <c r="HO356" s="801"/>
      <c r="HP356" s="801"/>
      <c r="HQ356" s="801"/>
      <c r="HR356" s="801"/>
      <c r="HS356" s="801"/>
      <c r="HT356" s="801"/>
      <c r="HU356" s="801"/>
      <c r="HV356" s="801"/>
      <c r="HW356" s="801"/>
      <c r="HX356" s="801"/>
      <c r="HY356" s="801"/>
      <c r="HZ356" s="802"/>
      <c r="IA356" s="800" t="str">
        <f>IF(IA$5="Cliente Especial : NEON",IF(IZ345&gt;IA345-1,"Neon :      Si",""),"")</f>
        <v/>
      </c>
      <c r="IB356" s="801"/>
      <c r="IC356" s="801"/>
      <c r="ID356" s="801"/>
      <c r="IE356" s="801"/>
      <c r="IF356" s="801"/>
      <c r="IG356" s="801"/>
      <c r="IH356" s="801"/>
      <c r="II356" s="801"/>
      <c r="IJ356" s="801"/>
      <c r="IK356" s="801"/>
      <c r="IL356" s="801"/>
      <c r="IM356" s="801"/>
      <c r="IN356" s="801"/>
      <c r="IO356" s="801"/>
      <c r="IP356" s="801"/>
      <c r="IQ356" s="801"/>
      <c r="IR356" s="801"/>
      <c r="IS356" s="801"/>
      <c r="IT356" s="801"/>
      <c r="IU356" s="801"/>
      <c r="IV356" s="801"/>
      <c r="IW356" s="801"/>
      <c r="IX356" s="801"/>
      <c r="IY356" s="801"/>
      <c r="IZ356" s="802"/>
    </row>
    <row r="357" spans="1:260" x14ac:dyDescent="0.25">
      <c r="A357" s="800" t="str">
        <f>IFERROR(IF(Z345&gt;A345-1,IF(INDEX(Pedidos!J:AZ,Y345+A345-1,9)&lt;&gt;"","Cierre :     "&amp; INDEX(Pedidos!J:AZ,Y345+A345-1,9),""),""),"")</f>
        <v/>
      </c>
      <c r="B357" s="801"/>
      <c r="C357" s="801"/>
      <c r="D357" s="801"/>
      <c r="E357" s="801"/>
      <c r="F357" s="801"/>
      <c r="G357" s="801"/>
      <c r="H357" s="801"/>
      <c r="I357" s="801"/>
      <c r="J357" s="801"/>
      <c r="K357" s="801"/>
      <c r="L357" s="801"/>
      <c r="M357" s="801"/>
      <c r="N357" s="801"/>
      <c r="O357" s="801"/>
      <c r="P357" s="801"/>
      <c r="Q357" s="801"/>
      <c r="R357" s="801"/>
      <c r="S357" s="801"/>
      <c r="T357" s="801"/>
      <c r="U357" s="801"/>
      <c r="V357" s="801"/>
      <c r="W357" s="801"/>
      <c r="X357" s="801"/>
      <c r="Y357" s="801"/>
      <c r="Z357" s="802"/>
      <c r="AA357" s="800" t="str">
        <f>IFERROR(IF(AZ345&gt;AA345-1,IF(INDEX(Pedidos!AJ:BZ,AY345+AA345-1,9)&lt;&gt;"","Cierre :     "&amp; INDEX(Pedidos!AJ:BZ,AY345+AA345-1,9),""),""),"")</f>
        <v/>
      </c>
      <c r="AB357" s="801"/>
      <c r="AC357" s="801"/>
      <c r="AD357" s="801"/>
      <c r="AE357" s="801"/>
      <c r="AF357" s="801"/>
      <c r="AG357" s="801"/>
      <c r="AH357" s="801"/>
      <c r="AI357" s="801"/>
      <c r="AJ357" s="801"/>
      <c r="AK357" s="801"/>
      <c r="AL357" s="801"/>
      <c r="AM357" s="801"/>
      <c r="AN357" s="801"/>
      <c r="AO357" s="801"/>
      <c r="AP357" s="801"/>
      <c r="AQ357" s="801"/>
      <c r="AR357" s="801"/>
      <c r="AS357" s="801"/>
      <c r="AT357" s="801"/>
      <c r="AU357" s="801"/>
      <c r="AV357" s="801"/>
      <c r="AW357" s="801"/>
      <c r="AX357" s="801"/>
      <c r="AY357" s="801"/>
      <c r="AZ357" s="802"/>
      <c r="BA357" s="800" t="str">
        <f>IFERROR(IF(BZ345&gt;BA345-1,IF(INDEX(Pedidos!BJ:CZ,BY345+BA345-1,9)&lt;&gt;"","Cierre :     "&amp; INDEX(Pedidos!BJ:CZ,BY345+BA345-1,9),""),""),"")</f>
        <v/>
      </c>
      <c r="BB357" s="801"/>
      <c r="BC357" s="801"/>
      <c r="BD357" s="801"/>
      <c r="BE357" s="801"/>
      <c r="BF357" s="801"/>
      <c r="BG357" s="801"/>
      <c r="BH357" s="801"/>
      <c r="BI357" s="801"/>
      <c r="BJ357" s="801"/>
      <c r="BK357" s="801"/>
      <c r="BL357" s="801"/>
      <c r="BM357" s="801"/>
      <c r="BN357" s="801"/>
      <c r="BO357" s="801"/>
      <c r="BP357" s="801"/>
      <c r="BQ357" s="801"/>
      <c r="BR357" s="801"/>
      <c r="BS357" s="801"/>
      <c r="BT357" s="801"/>
      <c r="BU357" s="801"/>
      <c r="BV357" s="801"/>
      <c r="BW357" s="801"/>
      <c r="BX357" s="801"/>
      <c r="BY357" s="801"/>
      <c r="BZ357" s="802"/>
      <c r="CA357" s="800" t="str">
        <f>IFERROR(IF(CZ345&gt;CA345-1,IF(INDEX(Pedidos!CJ:DZ,CY345+CA345-1,9)&lt;&gt;"","Cierre :     "&amp; INDEX(Pedidos!CJ:DZ,CY345+CA345-1,9),""),""),"")</f>
        <v/>
      </c>
      <c r="CB357" s="801"/>
      <c r="CC357" s="801"/>
      <c r="CD357" s="801"/>
      <c r="CE357" s="801"/>
      <c r="CF357" s="801"/>
      <c r="CG357" s="801"/>
      <c r="CH357" s="801"/>
      <c r="CI357" s="801"/>
      <c r="CJ357" s="801"/>
      <c r="CK357" s="801"/>
      <c r="CL357" s="801"/>
      <c r="CM357" s="801"/>
      <c r="CN357" s="801"/>
      <c r="CO357" s="801"/>
      <c r="CP357" s="801"/>
      <c r="CQ357" s="801"/>
      <c r="CR357" s="801"/>
      <c r="CS357" s="801"/>
      <c r="CT357" s="801"/>
      <c r="CU357" s="801"/>
      <c r="CV357" s="801"/>
      <c r="CW357" s="801"/>
      <c r="CX357" s="801"/>
      <c r="CY357" s="801"/>
      <c r="CZ357" s="802"/>
      <c r="DA357" s="800" t="str">
        <f>IFERROR(IF(DZ345&gt;DA345-1,IF(INDEX(Pedidos!DJ:EZ,DY345+DA345-1,9)&lt;&gt;"","Cierre :     "&amp; INDEX(Pedidos!DJ:EZ,DY345+DA345-1,9),""),""),"")</f>
        <v/>
      </c>
      <c r="DB357" s="801"/>
      <c r="DC357" s="801"/>
      <c r="DD357" s="801"/>
      <c r="DE357" s="801"/>
      <c r="DF357" s="801"/>
      <c r="DG357" s="801"/>
      <c r="DH357" s="801"/>
      <c r="DI357" s="801"/>
      <c r="DJ357" s="801"/>
      <c r="DK357" s="801"/>
      <c r="DL357" s="801"/>
      <c r="DM357" s="801"/>
      <c r="DN357" s="801"/>
      <c r="DO357" s="801"/>
      <c r="DP357" s="801"/>
      <c r="DQ357" s="801"/>
      <c r="DR357" s="801"/>
      <c r="DS357" s="801"/>
      <c r="DT357" s="801"/>
      <c r="DU357" s="801"/>
      <c r="DV357" s="801"/>
      <c r="DW357" s="801"/>
      <c r="DX357" s="801"/>
      <c r="DY357" s="801"/>
      <c r="DZ357" s="802"/>
      <c r="EA357" s="800" t="str">
        <f>IFERROR(IF(EZ345&gt;EA345-1,IF(INDEX(Pedidos!EJ:FZ,EY345+EA345-1,9)&lt;&gt;"","Cierre :     "&amp; INDEX(Pedidos!EJ:FZ,EY345+EA345-1,9),""),""),"")</f>
        <v/>
      </c>
      <c r="EB357" s="801"/>
      <c r="EC357" s="801"/>
      <c r="ED357" s="801"/>
      <c r="EE357" s="801"/>
      <c r="EF357" s="801"/>
      <c r="EG357" s="801"/>
      <c r="EH357" s="801"/>
      <c r="EI357" s="801"/>
      <c r="EJ357" s="801"/>
      <c r="EK357" s="801"/>
      <c r="EL357" s="801"/>
      <c r="EM357" s="801"/>
      <c r="EN357" s="801"/>
      <c r="EO357" s="801"/>
      <c r="EP357" s="801"/>
      <c r="EQ357" s="801"/>
      <c r="ER357" s="801"/>
      <c r="ES357" s="801"/>
      <c r="ET357" s="801"/>
      <c r="EU357" s="801"/>
      <c r="EV357" s="801"/>
      <c r="EW357" s="801"/>
      <c r="EX357" s="801"/>
      <c r="EY357" s="801"/>
      <c r="EZ357" s="802"/>
      <c r="FA357" s="800" t="str">
        <f>IFERROR(IF(FZ345&gt;FA345-1,IF(INDEX(Pedidos!FJ:GZ,FY345+FA345-1,9)&lt;&gt;"","Cierre :     "&amp; INDEX(Pedidos!FJ:GZ,FY345+FA345-1,9),""),""),"")</f>
        <v/>
      </c>
      <c r="FB357" s="801"/>
      <c r="FC357" s="801"/>
      <c r="FD357" s="801"/>
      <c r="FE357" s="801"/>
      <c r="FF357" s="801"/>
      <c r="FG357" s="801"/>
      <c r="FH357" s="801"/>
      <c r="FI357" s="801"/>
      <c r="FJ357" s="801"/>
      <c r="FK357" s="801"/>
      <c r="FL357" s="801"/>
      <c r="FM357" s="801"/>
      <c r="FN357" s="801"/>
      <c r="FO357" s="801"/>
      <c r="FP357" s="801"/>
      <c r="FQ357" s="801"/>
      <c r="FR357" s="801"/>
      <c r="FS357" s="801"/>
      <c r="FT357" s="801"/>
      <c r="FU357" s="801"/>
      <c r="FV357" s="801"/>
      <c r="FW357" s="801"/>
      <c r="FX357" s="801"/>
      <c r="FY357" s="801"/>
      <c r="FZ357" s="802"/>
      <c r="GA357" s="800" t="str">
        <f>IFERROR(IF(GZ345&gt;GA345-1,IF(INDEX(Pedidos!GJ:HZ,GY345+GA345-1,9)&lt;&gt;"","Cierre :     "&amp; INDEX(Pedidos!GJ:HZ,GY345+GA345-1,9),""),""),"")</f>
        <v/>
      </c>
      <c r="GB357" s="801"/>
      <c r="GC357" s="801"/>
      <c r="GD357" s="801"/>
      <c r="GE357" s="801"/>
      <c r="GF357" s="801"/>
      <c r="GG357" s="801"/>
      <c r="GH357" s="801"/>
      <c r="GI357" s="801"/>
      <c r="GJ357" s="801"/>
      <c r="GK357" s="801"/>
      <c r="GL357" s="801"/>
      <c r="GM357" s="801"/>
      <c r="GN357" s="801"/>
      <c r="GO357" s="801"/>
      <c r="GP357" s="801"/>
      <c r="GQ357" s="801"/>
      <c r="GR357" s="801"/>
      <c r="GS357" s="801"/>
      <c r="GT357" s="801"/>
      <c r="GU357" s="801"/>
      <c r="GV357" s="801"/>
      <c r="GW357" s="801"/>
      <c r="GX357" s="801"/>
      <c r="GY357" s="801"/>
      <c r="GZ357" s="802"/>
      <c r="HA357" s="800" t="str">
        <f>IFERROR(IF(HZ345&gt;HA345-1,IF(INDEX(Pedidos!HJ:IZ,HY345+HA345-1,9)&lt;&gt;"","Cierre :     "&amp; INDEX(Pedidos!HJ:IZ,HY345+HA345-1,9),""),""),"")</f>
        <v/>
      </c>
      <c r="HB357" s="801"/>
      <c r="HC357" s="801"/>
      <c r="HD357" s="801"/>
      <c r="HE357" s="801"/>
      <c r="HF357" s="801"/>
      <c r="HG357" s="801"/>
      <c r="HH357" s="801"/>
      <c r="HI357" s="801"/>
      <c r="HJ357" s="801"/>
      <c r="HK357" s="801"/>
      <c r="HL357" s="801"/>
      <c r="HM357" s="801"/>
      <c r="HN357" s="801"/>
      <c r="HO357" s="801"/>
      <c r="HP357" s="801"/>
      <c r="HQ357" s="801"/>
      <c r="HR357" s="801"/>
      <c r="HS357" s="801"/>
      <c r="HT357" s="801"/>
      <c r="HU357" s="801"/>
      <c r="HV357" s="801"/>
      <c r="HW357" s="801"/>
      <c r="HX357" s="801"/>
      <c r="HY357" s="801"/>
      <c r="HZ357" s="802"/>
      <c r="IA357" s="800" t="str">
        <f>IFERROR(IF(IZ345&gt;IA345-1,IF(INDEX(Pedidos!IJ:JZ,IY345+IA345-1,9)&lt;&gt;"","Cierre :     "&amp; INDEX(Pedidos!IJ:JZ,IY345+IA345-1,9),""),""),"")</f>
        <v/>
      </c>
      <c r="IB357" s="801"/>
      <c r="IC357" s="801"/>
      <c r="ID357" s="801"/>
      <c r="IE357" s="801"/>
      <c r="IF357" s="801"/>
      <c r="IG357" s="801"/>
      <c r="IH357" s="801"/>
      <c r="II357" s="801"/>
      <c r="IJ357" s="801"/>
      <c r="IK357" s="801"/>
      <c r="IL357" s="801"/>
      <c r="IM357" s="801"/>
      <c r="IN357" s="801"/>
      <c r="IO357" s="801"/>
      <c r="IP357" s="801"/>
      <c r="IQ357" s="801"/>
      <c r="IR357" s="801"/>
      <c r="IS357" s="801"/>
      <c r="IT357" s="801"/>
      <c r="IU357" s="801"/>
      <c r="IV357" s="801"/>
      <c r="IW357" s="801"/>
      <c r="IX357" s="801"/>
      <c r="IY357" s="801"/>
      <c r="IZ357" s="802"/>
    </row>
    <row r="358" spans="1:260" x14ac:dyDescent="0.25">
      <c r="A358" s="800" t="str">
        <f>IFERROR(IF(Z345&gt;A345-1,IF(INDEX(Pedidos!J:AZ,Y345+A345-1,11)&lt;&gt;"","Cordon :     "&amp; INDEX(Pedidos!J:AZ,Y345+A345-1,11),""),""),"")</f>
        <v/>
      </c>
      <c r="B358" s="801"/>
      <c r="C358" s="801"/>
      <c r="D358" s="801"/>
      <c r="E358" s="801"/>
      <c r="F358" s="801"/>
      <c r="G358" s="801"/>
      <c r="H358" s="801"/>
      <c r="I358" s="801"/>
      <c r="J358" s="801"/>
      <c r="K358" s="801"/>
      <c r="L358" s="801"/>
      <c r="M358" s="801"/>
      <c r="N358" s="801"/>
      <c r="O358" s="801"/>
      <c r="P358" s="801"/>
      <c r="Q358" s="801"/>
      <c r="R358" s="801"/>
      <c r="S358" s="801"/>
      <c r="T358" s="801"/>
      <c r="U358" s="801"/>
      <c r="V358" s="801"/>
      <c r="W358" s="801"/>
      <c r="X358" s="801"/>
      <c r="Y358" s="801"/>
      <c r="Z358" s="802"/>
      <c r="AA358" s="800" t="str">
        <f>IFERROR(IF(AZ345&gt;AA345-1,IF(INDEX(Pedidos!AJ:BZ,AY345+AA345-1,11)&lt;&gt;"","Cordon :     "&amp; INDEX(Pedidos!AJ:BZ,AY345+AA345-1,11),""),""),"")</f>
        <v/>
      </c>
      <c r="AB358" s="801"/>
      <c r="AC358" s="801"/>
      <c r="AD358" s="801"/>
      <c r="AE358" s="801"/>
      <c r="AF358" s="801"/>
      <c r="AG358" s="801"/>
      <c r="AH358" s="801"/>
      <c r="AI358" s="801"/>
      <c r="AJ358" s="801"/>
      <c r="AK358" s="801"/>
      <c r="AL358" s="801"/>
      <c r="AM358" s="801"/>
      <c r="AN358" s="801"/>
      <c r="AO358" s="801"/>
      <c r="AP358" s="801"/>
      <c r="AQ358" s="801"/>
      <c r="AR358" s="801"/>
      <c r="AS358" s="801"/>
      <c r="AT358" s="801"/>
      <c r="AU358" s="801"/>
      <c r="AV358" s="801"/>
      <c r="AW358" s="801"/>
      <c r="AX358" s="801"/>
      <c r="AY358" s="801"/>
      <c r="AZ358" s="802"/>
      <c r="BA358" s="800" t="str">
        <f>IFERROR(IF(BZ345&gt;BA345-1,IF(INDEX(Pedidos!BJ:CZ,BY345+BA345-1,11)&lt;&gt;"","Cordon :     "&amp; INDEX(Pedidos!BJ:CZ,BY345+BA345-1,11),""),""),"")</f>
        <v/>
      </c>
      <c r="BB358" s="801"/>
      <c r="BC358" s="801"/>
      <c r="BD358" s="801"/>
      <c r="BE358" s="801"/>
      <c r="BF358" s="801"/>
      <c r="BG358" s="801"/>
      <c r="BH358" s="801"/>
      <c r="BI358" s="801"/>
      <c r="BJ358" s="801"/>
      <c r="BK358" s="801"/>
      <c r="BL358" s="801"/>
      <c r="BM358" s="801"/>
      <c r="BN358" s="801"/>
      <c r="BO358" s="801"/>
      <c r="BP358" s="801"/>
      <c r="BQ358" s="801"/>
      <c r="BR358" s="801"/>
      <c r="BS358" s="801"/>
      <c r="BT358" s="801"/>
      <c r="BU358" s="801"/>
      <c r="BV358" s="801"/>
      <c r="BW358" s="801"/>
      <c r="BX358" s="801"/>
      <c r="BY358" s="801"/>
      <c r="BZ358" s="802"/>
      <c r="CA358" s="800" t="str">
        <f>IFERROR(IF(CZ345&gt;CA345-1,IF(INDEX(Pedidos!CJ:DZ,CY345+CA345-1,11)&lt;&gt;"","Cordon :     "&amp; INDEX(Pedidos!CJ:DZ,CY345+CA345-1,11),""),""),"")</f>
        <v/>
      </c>
      <c r="CB358" s="801"/>
      <c r="CC358" s="801"/>
      <c r="CD358" s="801"/>
      <c r="CE358" s="801"/>
      <c r="CF358" s="801"/>
      <c r="CG358" s="801"/>
      <c r="CH358" s="801"/>
      <c r="CI358" s="801"/>
      <c r="CJ358" s="801"/>
      <c r="CK358" s="801"/>
      <c r="CL358" s="801"/>
      <c r="CM358" s="801"/>
      <c r="CN358" s="801"/>
      <c r="CO358" s="801"/>
      <c r="CP358" s="801"/>
      <c r="CQ358" s="801"/>
      <c r="CR358" s="801"/>
      <c r="CS358" s="801"/>
      <c r="CT358" s="801"/>
      <c r="CU358" s="801"/>
      <c r="CV358" s="801"/>
      <c r="CW358" s="801"/>
      <c r="CX358" s="801"/>
      <c r="CY358" s="801"/>
      <c r="CZ358" s="802"/>
      <c r="DA358" s="800" t="str">
        <f>IFERROR(IF(DZ345&gt;DA345-1,IF(INDEX(Pedidos!DJ:EZ,DY345+DA345-1,11)&lt;&gt;"","Cordon :     "&amp; INDEX(Pedidos!DJ:EZ,DY345+DA345-1,11),""),""),"")</f>
        <v/>
      </c>
      <c r="DB358" s="801"/>
      <c r="DC358" s="801"/>
      <c r="DD358" s="801"/>
      <c r="DE358" s="801"/>
      <c r="DF358" s="801"/>
      <c r="DG358" s="801"/>
      <c r="DH358" s="801"/>
      <c r="DI358" s="801"/>
      <c r="DJ358" s="801"/>
      <c r="DK358" s="801"/>
      <c r="DL358" s="801"/>
      <c r="DM358" s="801"/>
      <c r="DN358" s="801"/>
      <c r="DO358" s="801"/>
      <c r="DP358" s="801"/>
      <c r="DQ358" s="801"/>
      <c r="DR358" s="801"/>
      <c r="DS358" s="801"/>
      <c r="DT358" s="801"/>
      <c r="DU358" s="801"/>
      <c r="DV358" s="801"/>
      <c r="DW358" s="801"/>
      <c r="DX358" s="801"/>
      <c r="DY358" s="801"/>
      <c r="DZ358" s="802"/>
      <c r="EA358" s="800" t="str">
        <f>IFERROR(IF(EZ345&gt;EA345-1,IF(INDEX(Pedidos!EJ:FZ,EY345+EA345-1,11)&lt;&gt;"","Cordon :     "&amp; INDEX(Pedidos!EJ:FZ,EY345+EA345-1,11),""),""),"")</f>
        <v/>
      </c>
      <c r="EB358" s="801"/>
      <c r="EC358" s="801"/>
      <c r="ED358" s="801"/>
      <c r="EE358" s="801"/>
      <c r="EF358" s="801"/>
      <c r="EG358" s="801"/>
      <c r="EH358" s="801"/>
      <c r="EI358" s="801"/>
      <c r="EJ358" s="801"/>
      <c r="EK358" s="801"/>
      <c r="EL358" s="801"/>
      <c r="EM358" s="801"/>
      <c r="EN358" s="801"/>
      <c r="EO358" s="801"/>
      <c r="EP358" s="801"/>
      <c r="EQ358" s="801"/>
      <c r="ER358" s="801"/>
      <c r="ES358" s="801"/>
      <c r="ET358" s="801"/>
      <c r="EU358" s="801"/>
      <c r="EV358" s="801"/>
      <c r="EW358" s="801"/>
      <c r="EX358" s="801"/>
      <c r="EY358" s="801"/>
      <c r="EZ358" s="802"/>
      <c r="FA358" s="800" t="str">
        <f>IFERROR(IF(FZ345&gt;FA345-1,IF(INDEX(Pedidos!FJ:GZ,FY345+FA345-1,11)&lt;&gt;"","Cordon :     "&amp; INDEX(Pedidos!FJ:GZ,FY345+FA345-1,11),""),""),"")</f>
        <v/>
      </c>
      <c r="FB358" s="801"/>
      <c r="FC358" s="801"/>
      <c r="FD358" s="801"/>
      <c r="FE358" s="801"/>
      <c r="FF358" s="801"/>
      <c r="FG358" s="801"/>
      <c r="FH358" s="801"/>
      <c r="FI358" s="801"/>
      <c r="FJ358" s="801"/>
      <c r="FK358" s="801"/>
      <c r="FL358" s="801"/>
      <c r="FM358" s="801"/>
      <c r="FN358" s="801"/>
      <c r="FO358" s="801"/>
      <c r="FP358" s="801"/>
      <c r="FQ358" s="801"/>
      <c r="FR358" s="801"/>
      <c r="FS358" s="801"/>
      <c r="FT358" s="801"/>
      <c r="FU358" s="801"/>
      <c r="FV358" s="801"/>
      <c r="FW358" s="801"/>
      <c r="FX358" s="801"/>
      <c r="FY358" s="801"/>
      <c r="FZ358" s="802"/>
      <c r="GA358" s="800" t="str">
        <f>IFERROR(IF(GZ345&gt;GA345-1,IF(INDEX(Pedidos!GJ:HZ,GY345+GA345-1,11)&lt;&gt;"","Cordon :     "&amp; INDEX(Pedidos!GJ:HZ,GY345+GA345-1,11),""),""),"")</f>
        <v/>
      </c>
      <c r="GB358" s="801"/>
      <c r="GC358" s="801"/>
      <c r="GD358" s="801"/>
      <c r="GE358" s="801"/>
      <c r="GF358" s="801"/>
      <c r="GG358" s="801"/>
      <c r="GH358" s="801"/>
      <c r="GI358" s="801"/>
      <c r="GJ358" s="801"/>
      <c r="GK358" s="801"/>
      <c r="GL358" s="801"/>
      <c r="GM358" s="801"/>
      <c r="GN358" s="801"/>
      <c r="GO358" s="801"/>
      <c r="GP358" s="801"/>
      <c r="GQ358" s="801"/>
      <c r="GR358" s="801"/>
      <c r="GS358" s="801"/>
      <c r="GT358" s="801"/>
      <c r="GU358" s="801"/>
      <c r="GV358" s="801"/>
      <c r="GW358" s="801"/>
      <c r="GX358" s="801"/>
      <c r="GY358" s="801"/>
      <c r="GZ358" s="802"/>
      <c r="HA358" s="800" t="str">
        <f>IFERROR(IF(HZ345&gt;HA345-1,IF(INDEX(Pedidos!HJ:IZ,HY345+HA345-1,11)&lt;&gt;"","Cordon :     "&amp; INDEX(Pedidos!HJ:IZ,HY345+HA345-1,11),""),""),"")</f>
        <v/>
      </c>
      <c r="HB358" s="801"/>
      <c r="HC358" s="801"/>
      <c r="HD358" s="801"/>
      <c r="HE358" s="801"/>
      <c r="HF358" s="801"/>
      <c r="HG358" s="801"/>
      <c r="HH358" s="801"/>
      <c r="HI358" s="801"/>
      <c r="HJ358" s="801"/>
      <c r="HK358" s="801"/>
      <c r="HL358" s="801"/>
      <c r="HM358" s="801"/>
      <c r="HN358" s="801"/>
      <c r="HO358" s="801"/>
      <c r="HP358" s="801"/>
      <c r="HQ358" s="801"/>
      <c r="HR358" s="801"/>
      <c r="HS358" s="801"/>
      <c r="HT358" s="801"/>
      <c r="HU358" s="801"/>
      <c r="HV358" s="801"/>
      <c r="HW358" s="801"/>
      <c r="HX358" s="801"/>
      <c r="HY358" s="801"/>
      <c r="HZ358" s="802"/>
      <c r="IA358" s="800" t="str">
        <f>IFERROR(IF(IZ345&gt;IA345-1,IF(INDEX(Pedidos!IJ:JZ,IY345+IA345-1,11)&lt;&gt;"","Cordon :     "&amp; INDEX(Pedidos!IJ:JZ,IY345+IA345-1,11),""),""),"")</f>
        <v/>
      </c>
      <c r="IB358" s="801"/>
      <c r="IC358" s="801"/>
      <c r="ID358" s="801"/>
      <c r="IE358" s="801"/>
      <c r="IF358" s="801"/>
      <c r="IG358" s="801"/>
      <c r="IH358" s="801"/>
      <c r="II358" s="801"/>
      <c r="IJ358" s="801"/>
      <c r="IK358" s="801"/>
      <c r="IL358" s="801"/>
      <c r="IM358" s="801"/>
      <c r="IN358" s="801"/>
      <c r="IO358" s="801"/>
      <c r="IP358" s="801"/>
      <c r="IQ358" s="801"/>
      <c r="IR358" s="801"/>
      <c r="IS358" s="801"/>
      <c r="IT358" s="801"/>
      <c r="IU358" s="801"/>
      <c r="IV358" s="801"/>
      <c r="IW358" s="801"/>
      <c r="IX358" s="801"/>
      <c r="IY358" s="801"/>
      <c r="IZ358" s="802"/>
    </row>
    <row r="359" spans="1:260" x14ac:dyDescent="0.25">
      <c r="A359" s="800" t="str">
        <f>IFERROR(IF(Z345&gt;A345-1,IF(INDEX(Pedidos!J:AZ,Y345+A345-1,12)&lt;&gt;"","Color Cordon :     "&amp; INDEX(Pedidos!J:AZ,Y345+A345-1,12),""),""),"")</f>
        <v/>
      </c>
      <c r="B359" s="801"/>
      <c r="C359" s="801"/>
      <c r="D359" s="801"/>
      <c r="E359" s="801"/>
      <c r="F359" s="801"/>
      <c r="G359" s="801"/>
      <c r="H359" s="801"/>
      <c r="I359" s="801"/>
      <c r="J359" s="801"/>
      <c r="K359" s="801"/>
      <c r="L359" s="801"/>
      <c r="M359" s="801"/>
      <c r="N359" s="801"/>
      <c r="O359" s="801"/>
      <c r="P359" s="801"/>
      <c r="Q359" s="801"/>
      <c r="R359" s="801"/>
      <c r="S359" s="801"/>
      <c r="T359" s="801"/>
      <c r="U359" s="801"/>
      <c r="V359" s="801"/>
      <c r="W359" s="801"/>
      <c r="X359" s="801"/>
      <c r="Y359" s="801"/>
      <c r="Z359" s="802"/>
      <c r="AA359" s="800" t="str">
        <f>IFERROR(IF(AZ345&gt;AA345-1,IF(INDEX(Pedidos!AJ:BZ,AY345+AA345-1,12)&lt;&gt;"","Color Cordon :     "&amp; INDEX(Pedidos!AJ:BZ,AY345+AA345-1,12),""),""),"")</f>
        <v/>
      </c>
      <c r="AB359" s="801"/>
      <c r="AC359" s="801"/>
      <c r="AD359" s="801"/>
      <c r="AE359" s="801"/>
      <c r="AF359" s="801"/>
      <c r="AG359" s="801"/>
      <c r="AH359" s="801"/>
      <c r="AI359" s="801"/>
      <c r="AJ359" s="801"/>
      <c r="AK359" s="801"/>
      <c r="AL359" s="801"/>
      <c r="AM359" s="801"/>
      <c r="AN359" s="801"/>
      <c r="AO359" s="801"/>
      <c r="AP359" s="801"/>
      <c r="AQ359" s="801"/>
      <c r="AR359" s="801"/>
      <c r="AS359" s="801"/>
      <c r="AT359" s="801"/>
      <c r="AU359" s="801"/>
      <c r="AV359" s="801"/>
      <c r="AW359" s="801"/>
      <c r="AX359" s="801"/>
      <c r="AY359" s="801"/>
      <c r="AZ359" s="802"/>
      <c r="BA359" s="800" t="str">
        <f>IFERROR(IF(BZ345&gt;BA345-1,IF(INDEX(Pedidos!BJ:CZ,BY345+BA345-1,12)&lt;&gt;"","Color Cordon :     "&amp; INDEX(Pedidos!BJ:CZ,BY345+BA345-1,12),""),""),"")</f>
        <v/>
      </c>
      <c r="BB359" s="801"/>
      <c r="BC359" s="801"/>
      <c r="BD359" s="801"/>
      <c r="BE359" s="801"/>
      <c r="BF359" s="801"/>
      <c r="BG359" s="801"/>
      <c r="BH359" s="801"/>
      <c r="BI359" s="801"/>
      <c r="BJ359" s="801"/>
      <c r="BK359" s="801"/>
      <c r="BL359" s="801"/>
      <c r="BM359" s="801"/>
      <c r="BN359" s="801"/>
      <c r="BO359" s="801"/>
      <c r="BP359" s="801"/>
      <c r="BQ359" s="801"/>
      <c r="BR359" s="801"/>
      <c r="BS359" s="801"/>
      <c r="BT359" s="801"/>
      <c r="BU359" s="801"/>
      <c r="BV359" s="801"/>
      <c r="BW359" s="801"/>
      <c r="BX359" s="801"/>
      <c r="BY359" s="801"/>
      <c r="BZ359" s="802"/>
      <c r="CA359" s="800" t="str">
        <f>IFERROR(IF(CZ345&gt;CA345-1,IF(INDEX(Pedidos!CJ:DZ,CY345+CA345-1,12)&lt;&gt;"","Color Cordon :     "&amp; INDEX(Pedidos!CJ:DZ,CY345+CA345-1,12),""),""),"")</f>
        <v/>
      </c>
      <c r="CB359" s="801"/>
      <c r="CC359" s="801"/>
      <c r="CD359" s="801"/>
      <c r="CE359" s="801"/>
      <c r="CF359" s="801"/>
      <c r="CG359" s="801"/>
      <c r="CH359" s="801"/>
      <c r="CI359" s="801"/>
      <c r="CJ359" s="801"/>
      <c r="CK359" s="801"/>
      <c r="CL359" s="801"/>
      <c r="CM359" s="801"/>
      <c r="CN359" s="801"/>
      <c r="CO359" s="801"/>
      <c r="CP359" s="801"/>
      <c r="CQ359" s="801"/>
      <c r="CR359" s="801"/>
      <c r="CS359" s="801"/>
      <c r="CT359" s="801"/>
      <c r="CU359" s="801"/>
      <c r="CV359" s="801"/>
      <c r="CW359" s="801"/>
      <c r="CX359" s="801"/>
      <c r="CY359" s="801"/>
      <c r="CZ359" s="802"/>
      <c r="DA359" s="800" t="str">
        <f>IFERROR(IF(DZ345&gt;DA345-1,IF(INDEX(Pedidos!DJ:EZ,DY345+DA345-1,12)&lt;&gt;"","Color Cordon :     "&amp; INDEX(Pedidos!DJ:EZ,DY345+DA345-1,12),""),""),"")</f>
        <v/>
      </c>
      <c r="DB359" s="801"/>
      <c r="DC359" s="801"/>
      <c r="DD359" s="801"/>
      <c r="DE359" s="801"/>
      <c r="DF359" s="801"/>
      <c r="DG359" s="801"/>
      <c r="DH359" s="801"/>
      <c r="DI359" s="801"/>
      <c r="DJ359" s="801"/>
      <c r="DK359" s="801"/>
      <c r="DL359" s="801"/>
      <c r="DM359" s="801"/>
      <c r="DN359" s="801"/>
      <c r="DO359" s="801"/>
      <c r="DP359" s="801"/>
      <c r="DQ359" s="801"/>
      <c r="DR359" s="801"/>
      <c r="DS359" s="801"/>
      <c r="DT359" s="801"/>
      <c r="DU359" s="801"/>
      <c r="DV359" s="801"/>
      <c r="DW359" s="801"/>
      <c r="DX359" s="801"/>
      <c r="DY359" s="801"/>
      <c r="DZ359" s="802"/>
      <c r="EA359" s="800" t="str">
        <f>IFERROR(IF(EZ345&gt;EA345-1,IF(INDEX(Pedidos!EJ:FZ,EY345+EA345-1,12)&lt;&gt;"","Color Cordon :     "&amp; INDEX(Pedidos!EJ:FZ,EY345+EA345-1,12),""),""),"")</f>
        <v/>
      </c>
      <c r="EB359" s="801"/>
      <c r="EC359" s="801"/>
      <c r="ED359" s="801"/>
      <c r="EE359" s="801"/>
      <c r="EF359" s="801"/>
      <c r="EG359" s="801"/>
      <c r="EH359" s="801"/>
      <c r="EI359" s="801"/>
      <c r="EJ359" s="801"/>
      <c r="EK359" s="801"/>
      <c r="EL359" s="801"/>
      <c r="EM359" s="801"/>
      <c r="EN359" s="801"/>
      <c r="EO359" s="801"/>
      <c r="EP359" s="801"/>
      <c r="EQ359" s="801"/>
      <c r="ER359" s="801"/>
      <c r="ES359" s="801"/>
      <c r="ET359" s="801"/>
      <c r="EU359" s="801"/>
      <c r="EV359" s="801"/>
      <c r="EW359" s="801"/>
      <c r="EX359" s="801"/>
      <c r="EY359" s="801"/>
      <c r="EZ359" s="802"/>
      <c r="FA359" s="800" t="str">
        <f>IFERROR(IF(FZ345&gt;FA345-1,IF(INDEX(Pedidos!FJ:GZ,FY345+FA345-1,12)&lt;&gt;"","Color Cordon :     "&amp; INDEX(Pedidos!FJ:GZ,FY345+FA345-1,12),""),""),"")</f>
        <v/>
      </c>
      <c r="FB359" s="801"/>
      <c r="FC359" s="801"/>
      <c r="FD359" s="801"/>
      <c r="FE359" s="801"/>
      <c r="FF359" s="801"/>
      <c r="FG359" s="801"/>
      <c r="FH359" s="801"/>
      <c r="FI359" s="801"/>
      <c r="FJ359" s="801"/>
      <c r="FK359" s="801"/>
      <c r="FL359" s="801"/>
      <c r="FM359" s="801"/>
      <c r="FN359" s="801"/>
      <c r="FO359" s="801"/>
      <c r="FP359" s="801"/>
      <c r="FQ359" s="801"/>
      <c r="FR359" s="801"/>
      <c r="FS359" s="801"/>
      <c r="FT359" s="801"/>
      <c r="FU359" s="801"/>
      <c r="FV359" s="801"/>
      <c r="FW359" s="801"/>
      <c r="FX359" s="801"/>
      <c r="FY359" s="801"/>
      <c r="FZ359" s="802"/>
      <c r="GA359" s="800" t="str">
        <f>IFERROR(IF(GZ345&gt;GA345-1,IF(INDEX(Pedidos!GJ:HZ,GY345+GA345-1,12)&lt;&gt;"","Color Cordon :     "&amp; INDEX(Pedidos!GJ:HZ,GY345+GA345-1,12),""),""),"")</f>
        <v/>
      </c>
      <c r="GB359" s="801"/>
      <c r="GC359" s="801"/>
      <c r="GD359" s="801"/>
      <c r="GE359" s="801"/>
      <c r="GF359" s="801"/>
      <c r="GG359" s="801"/>
      <c r="GH359" s="801"/>
      <c r="GI359" s="801"/>
      <c r="GJ359" s="801"/>
      <c r="GK359" s="801"/>
      <c r="GL359" s="801"/>
      <c r="GM359" s="801"/>
      <c r="GN359" s="801"/>
      <c r="GO359" s="801"/>
      <c r="GP359" s="801"/>
      <c r="GQ359" s="801"/>
      <c r="GR359" s="801"/>
      <c r="GS359" s="801"/>
      <c r="GT359" s="801"/>
      <c r="GU359" s="801"/>
      <c r="GV359" s="801"/>
      <c r="GW359" s="801"/>
      <c r="GX359" s="801"/>
      <c r="GY359" s="801"/>
      <c r="GZ359" s="802"/>
      <c r="HA359" s="800" t="str">
        <f>IFERROR(IF(HZ345&gt;HA345-1,IF(INDEX(Pedidos!HJ:IZ,HY345+HA345-1,12)&lt;&gt;"","Color Cordon :     "&amp; INDEX(Pedidos!HJ:IZ,HY345+HA345-1,12),""),""),"")</f>
        <v/>
      </c>
      <c r="HB359" s="801"/>
      <c r="HC359" s="801"/>
      <c r="HD359" s="801"/>
      <c r="HE359" s="801"/>
      <c r="HF359" s="801"/>
      <c r="HG359" s="801"/>
      <c r="HH359" s="801"/>
      <c r="HI359" s="801"/>
      <c r="HJ359" s="801"/>
      <c r="HK359" s="801"/>
      <c r="HL359" s="801"/>
      <c r="HM359" s="801"/>
      <c r="HN359" s="801"/>
      <c r="HO359" s="801"/>
      <c r="HP359" s="801"/>
      <c r="HQ359" s="801"/>
      <c r="HR359" s="801"/>
      <c r="HS359" s="801"/>
      <c r="HT359" s="801"/>
      <c r="HU359" s="801"/>
      <c r="HV359" s="801"/>
      <c r="HW359" s="801"/>
      <c r="HX359" s="801"/>
      <c r="HY359" s="801"/>
      <c r="HZ359" s="802"/>
      <c r="IA359" s="800" t="str">
        <f>IFERROR(IF(IZ345&gt;IA345-1,IF(INDEX(Pedidos!IJ:JZ,IY345+IA345-1,12)&lt;&gt;"","Color Cordon :     "&amp; INDEX(Pedidos!IJ:JZ,IY345+IA345-1,12),""),""),"")</f>
        <v/>
      </c>
      <c r="IB359" s="801"/>
      <c r="IC359" s="801"/>
      <c r="ID359" s="801"/>
      <c r="IE359" s="801"/>
      <c r="IF359" s="801"/>
      <c r="IG359" s="801"/>
      <c r="IH359" s="801"/>
      <c r="II359" s="801"/>
      <c r="IJ359" s="801"/>
      <c r="IK359" s="801"/>
      <c r="IL359" s="801"/>
      <c r="IM359" s="801"/>
      <c r="IN359" s="801"/>
      <c r="IO359" s="801"/>
      <c r="IP359" s="801"/>
      <c r="IQ359" s="801"/>
      <c r="IR359" s="801"/>
      <c r="IS359" s="801"/>
      <c r="IT359" s="801"/>
      <c r="IU359" s="801"/>
      <c r="IV359" s="801"/>
      <c r="IW359" s="801"/>
      <c r="IX359" s="801"/>
      <c r="IY359" s="801"/>
      <c r="IZ359" s="802"/>
    </row>
    <row r="360" spans="1:260" x14ac:dyDescent="0.25">
      <c r="A360" s="800"/>
      <c r="B360" s="801"/>
      <c r="C360" s="801"/>
      <c r="D360" s="801"/>
      <c r="E360" s="801"/>
      <c r="F360" s="801"/>
      <c r="G360" s="801"/>
      <c r="H360" s="801"/>
      <c r="I360" s="801"/>
      <c r="J360" s="801"/>
      <c r="K360" s="801"/>
      <c r="L360" s="801"/>
      <c r="M360" s="801"/>
      <c r="N360" s="801"/>
      <c r="O360" s="801"/>
      <c r="P360" s="801"/>
      <c r="Q360" s="801"/>
      <c r="R360" s="801"/>
      <c r="S360" s="801"/>
      <c r="T360" s="801"/>
      <c r="U360" s="801"/>
      <c r="V360" s="801"/>
      <c r="W360" s="801"/>
      <c r="X360" s="801"/>
      <c r="Y360" s="801"/>
      <c r="Z360" s="802"/>
      <c r="AA360" s="800"/>
      <c r="AB360" s="801"/>
      <c r="AC360" s="801"/>
      <c r="AD360" s="801"/>
      <c r="AE360" s="801"/>
      <c r="AF360" s="801"/>
      <c r="AG360" s="801"/>
      <c r="AH360" s="801"/>
      <c r="AI360" s="801"/>
      <c r="AJ360" s="801"/>
      <c r="AK360" s="801"/>
      <c r="AL360" s="801"/>
      <c r="AM360" s="801"/>
      <c r="AN360" s="801"/>
      <c r="AO360" s="801"/>
      <c r="AP360" s="801"/>
      <c r="AQ360" s="801"/>
      <c r="AR360" s="801"/>
      <c r="AS360" s="801"/>
      <c r="AT360" s="801"/>
      <c r="AU360" s="801"/>
      <c r="AV360" s="801"/>
      <c r="AW360" s="801"/>
      <c r="AX360" s="801"/>
      <c r="AY360" s="801"/>
      <c r="AZ360" s="802"/>
      <c r="BA360" s="800"/>
      <c r="BB360" s="801"/>
      <c r="BC360" s="801"/>
      <c r="BD360" s="801"/>
      <c r="BE360" s="801"/>
      <c r="BF360" s="801"/>
      <c r="BG360" s="801"/>
      <c r="BH360" s="801"/>
      <c r="BI360" s="801"/>
      <c r="BJ360" s="801"/>
      <c r="BK360" s="801"/>
      <c r="BL360" s="801"/>
      <c r="BM360" s="801"/>
      <c r="BN360" s="801"/>
      <c r="BO360" s="801"/>
      <c r="BP360" s="801"/>
      <c r="BQ360" s="801"/>
      <c r="BR360" s="801"/>
      <c r="BS360" s="801"/>
      <c r="BT360" s="801"/>
      <c r="BU360" s="801"/>
      <c r="BV360" s="801"/>
      <c r="BW360" s="801"/>
      <c r="BX360" s="801"/>
      <c r="BY360" s="801"/>
      <c r="BZ360" s="802"/>
      <c r="CA360" s="800"/>
      <c r="CB360" s="801"/>
      <c r="CC360" s="801"/>
      <c r="CD360" s="801"/>
      <c r="CE360" s="801"/>
      <c r="CF360" s="801"/>
      <c r="CG360" s="801"/>
      <c r="CH360" s="801"/>
      <c r="CI360" s="801"/>
      <c r="CJ360" s="801"/>
      <c r="CK360" s="801"/>
      <c r="CL360" s="801"/>
      <c r="CM360" s="801"/>
      <c r="CN360" s="801"/>
      <c r="CO360" s="801"/>
      <c r="CP360" s="801"/>
      <c r="CQ360" s="801"/>
      <c r="CR360" s="801"/>
      <c r="CS360" s="801"/>
      <c r="CT360" s="801"/>
      <c r="CU360" s="801"/>
      <c r="CV360" s="801"/>
      <c r="CW360" s="801"/>
      <c r="CX360" s="801"/>
      <c r="CY360" s="801"/>
      <c r="CZ360" s="802"/>
      <c r="DA360" s="800"/>
      <c r="DB360" s="801"/>
      <c r="DC360" s="801"/>
      <c r="DD360" s="801"/>
      <c r="DE360" s="801"/>
      <c r="DF360" s="801"/>
      <c r="DG360" s="801"/>
      <c r="DH360" s="801"/>
      <c r="DI360" s="801"/>
      <c r="DJ360" s="801"/>
      <c r="DK360" s="801"/>
      <c r="DL360" s="801"/>
      <c r="DM360" s="801"/>
      <c r="DN360" s="801"/>
      <c r="DO360" s="801"/>
      <c r="DP360" s="801"/>
      <c r="DQ360" s="801"/>
      <c r="DR360" s="801"/>
      <c r="DS360" s="801"/>
      <c r="DT360" s="801"/>
      <c r="DU360" s="801"/>
      <c r="DV360" s="801"/>
      <c r="DW360" s="801"/>
      <c r="DX360" s="801"/>
      <c r="DY360" s="801"/>
      <c r="DZ360" s="802"/>
      <c r="EA360" s="800"/>
      <c r="EB360" s="801"/>
      <c r="EC360" s="801"/>
      <c r="ED360" s="801"/>
      <c r="EE360" s="801"/>
      <c r="EF360" s="801"/>
      <c r="EG360" s="801"/>
      <c r="EH360" s="801"/>
      <c r="EI360" s="801"/>
      <c r="EJ360" s="801"/>
      <c r="EK360" s="801"/>
      <c r="EL360" s="801"/>
      <c r="EM360" s="801"/>
      <c r="EN360" s="801"/>
      <c r="EO360" s="801"/>
      <c r="EP360" s="801"/>
      <c r="EQ360" s="801"/>
      <c r="ER360" s="801"/>
      <c r="ES360" s="801"/>
      <c r="ET360" s="801"/>
      <c r="EU360" s="801"/>
      <c r="EV360" s="801"/>
      <c r="EW360" s="801"/>
      <c r="EX360" s="801"/>
      <c r="EY360" s="801"/>
      <c r="EZ360" s="802"/>
      <c r="FA360" s="800"/>
      <c r="FB360" s="801"/>
      <c r="FC360" s="801"/>
      <c r="FD360" s="801"/>
      <c r="FE360" s="801"/>
      <c r="FF360" s="801"/>
      <c r="FG360" s="801"/>
      <c r="FH360" s="801"/>
      <c r="FI360" s="801"/>
      <c r="FJ360" s="801"/>
      <c r="FK360" s="801"/>
      <c r="FL360" s="801"/>
      <c r="FM360" s="801"/>
      <c r="FN360" s="801"/>
      <c r="FO360" s="801"/>
      <c r="FP360" s="801"/>
      <c r="FQ360" s="801"/>
      <c r="FR360" s="801"/>
      <c r="FS360" s="801"/>
      <c r="FT360" s="801"/>
      <c r="FU360" s="801"/>
      <c r="FV360" s="801"/>
      <c r="FW360" s="801"/>
      <c r="FX360" s="801"/>
      <c r="FY360" s="801"/>
      <c r="FZ360" s="802"/>
      <c r="GA360" s="800"/>
      <c r="GB360" s="801"/>
      <c r="GC360" s="801"/>
      <c r="GD360" s="801"/>
      <c r="GE360" s="801"/>
      <c r="GF360" s="801"/>
      <c r="GG360" s="801"/>
      <c r="GH360" s="801"/>
      <c r="GI360" s="801"/>
      <c r="GJ360" s="801"/>
      <c r="GK360" s="801"/>
      <c r="GL360" s="801"/>
      <c r="GM360" s="801"/>
      <c r="GN360" s="801"/>
      <c r="GO360" s="801"/>
      <c r="GP360" s="801"/>
      <c r="GQ360" s="801"/>
      <c r="GR360" s="801"/>
      <c r="GS360" s="801"/>
      <c r="GT360" s="801"/>
      <c r="GU360" s="801"/>
      <c r="GV360" s="801"/>
      <c r="GW360" s="801"/>
      <c r="GX360" s="801"/>
      <c r="GY360" s="801"/>
      <c r="GZ360" s="802"/>
      <c r="HA360" s="800"/>
      <c r="HB360" s="801"/>
      <c r="HC360" s="801"/>
      <c r="HD360" s="801"/>
      <c r="HE360" s="801"/>
      <c r="HF360" s="801"/>
      <c r="HG360" s="801"/>
      <c r="HH360" s="801"/>
      <c r="HI360" s="801"/>
      <c r="HJ360" s="801"/>
      <c r="HK360" s="801"/>
      <c r="HL360" s="801"/>
      <c r="HM360" s="801"/>
      <c r="HN360" s="801"/>
      <c r="HO360" s="801"/>
      <c r="HP360" s="801"/>
      <c r="HQ360" s="801"/>
      <c r="HR360" s="801"/>
      <c r="HS360" s="801"/>
      <c r="HT360" s="801"/>
      <c r="HU360" s="801"/>
      <c r="HV360" s="801"/>
      <c r="HW360" s="801"/>
      <c r="HX360" s="801"/>
      <c r="HY360" s="801"/>
      <c r="HZ360" s="802"/>
      <c r="IA360" s="800"/>
      <c r="IB360" s="801"/>
      <c r="IC360" s="801"/>
      <c r="ID360" s="801"/>
      <c r="IE360" s="801"/>
      <c r="IF360" s="801"/>
      <c r="IG360" s="801"/>
      <c r="IH360" s="801"/>
      <c r="II360" s="801"/>
      <c r="IJ360" s="801"/>
      <c r="IK360" s="801"/>
      <c r="IL360" s="801"/>
      <c r="IM360" s="801"/>
      <c r="IN360" s="801"/>
      <c r="IO360" s="801"/>
      <c r="IP360" s="801"/>
      <c r="IQ360" s="801"/>
      <c r="IR360" s="801"/>
      <c r="IS360" s="801"/>
      <c r="IT360" s="801"/>
      <c r="IU360" s="801"/>
      <c r="IV360" s="801"/>
      <c r="IW360" s="801"/>
      <c r="IX360" s="801"/>
      <c r="IY360" s="801"/>
      <c r="IZ360" s="802"/>
    </row>
    <row r="361" spans="1:260" x14ac:dyDescent="0.25">
      <c r="A361" s="800"/>
      <c r="B361" s="801"/>
      <c r="C361" s="801"/>
      <c r="D361" s="801"/>
      <c r="E361" s="801"/>
      <c r="F361" s="801"/>
      <c r="G361" s="801"/>
      <c r="H361" s="801"/>
      <c r="I361" s="801"/>
      <c r="J361" s="801"/>
      <c r="K361" s="801"/>
      <c r="L361" s="801"/>
      <c r="M361" s="801"/>
      <c r="N361" s="801"/>
      <c r="O361" s="801"/>
      <c r="P361" s="801"/>
      <c r="Q361" s="801"/>
      <c r="R361" s="801"/>
      <c r="S361" s="801"/>
      <c r="T361" s="801"/>
      <c r="U361" s="801"/>
      <c r="V361" s="801"/>
      <c r="W361" s="801"/>
      <c r="X361" s="801"/>
      <c r="Y361" s="801"/>
      <c r="Z361" s="802"/>
      <c r="AA361" s="800"/>
      <c r="AB361" s="801"/>
      <c r="AC361" s="801"/>
      <c r="AD361" s="801"/>
      <c r="AE361" s="801"/>
      <c r="AF361" s="801"/>
      <c r="AG361" s="801"/>
      <c r="AH361" s="801"/>
      <c r="AI361" s="801"/>
      <c r="AJ361" s="801"/>
      <c r="AK361" s="801"/>
      <c r="AL361" s="801"/>
      <c r="AM361" s="801"/>
      <c r="AN361" s="801"/>
      <c r="AO361" s="801"/>
      <c r="AP361" s="801"/>
      <c r="AQ361" s="801"/>
      <c r="AR361" s="801"/>
      <c r="AS361" s="801"/>
      <c r="AT361" s="801"/>
      <c r="AU361" s="801"/>
      <c r="AV361" s="801"/>
      <c r="AW361" s="801"/>
      <c r="AX361" s="801"/>
      <c r="AY361" s="801"/>
      <c r="AZ361" s="802"/>
      <c r="BA361" s="800"/>
      <c r="BB361" s="801"/>
      <c r="BC361" s="801"/>
      <c r="BD361" s="801"/>
      <c r="BE361" s="801"/>
      <c r="BF361" s="801"/>
      <c r="BG361" s="801"/>
      <c r="BH361" s="801"/>
      <c r="BI361" s="801"/>
      <c r="BJ361" s="801"/>
      <c r="BK361" s="801"/>
      <c r="BL361" s="801"/>
      <c r="BM361" s="801"/>
      <c r="BN361" s="801"/>
      <c r="BO361" s="801"/>
      <c r="BP361" s="801"/>
      <c r="BQ361" s="801"/>
      <c r="BR361" s="801"/>
      <c r="BS361" s="801"/>
      <c r="BT361" s="801"/>
      <c r="BU361" s="801"/>
      <c r="BV361" s="801"/>
      <c r="BW361" s="801"/>
      <c r="BX361" s="801"/>
      <c r="BY361" s="801"/>
      <c r="BZ361" s="802"/>
      <c r="CA361" s="800"/>
      <c r="CB361" s="801"/>
      <c r="CC361" s="801"/>
      <c r="CD361" s="801"/>
      <c r="CE361" s="801"/>
      <c r="CF361" s="801"/>
      <c r="CG361" s="801"/>
      <c r="CH361" s="801"/>
      <c r="CI361" s="801"/>
      <c r="CJ361" s="801"/>
      <c r="CK361" s="801"/>
      <c r="CL361" s="801"/>
      <c r="CM361" s="801"/>
      <c r="CN361" s="801"/>
      <c r="CO361" s="801"/>
      <c r="CP361" s="801"/>
      <c r="CQ361" s="801"/>
      <c r="CR361" s="801"/>
      <c r="CS361" s="801"/>
      <c r="CT361" s="801"/>
      <c r="CU361" s="801"/>
      <c r="CV361" s="801"/>
      <c r="CW361" s="801"/>
      <c r="CX361" s="801"/>
      <c r="CY361" s="801"/>
      <c r="CZ361" s="802"/>
      <c r="DA361" s="800"/>
      <c r="DB361" s="801"/>
      <c r="DC361" s="801"/>
      <c r="DD361" s="801"/>
      <c r="DE361" s="801"/>
      <c r="DF361" s="801"/>
      <c r="DG361" s="801"/>
      <c r="DH361" s="801"/>
      <c r="DI361" s="801"/>
      <c r="DJ361" s="801"/>
      <c r="DK361" s="801"/>
      <c r="DL361" s="801"/>
      <c r="DM361" s="801"/>
      <c r="DN361" s="801"/>
      <c r="DO361" s="801"/>
      <c r="DP361" s="801"/>
      <c r="DQ361" s="801"/>
      <c r="DR361" s="801"/>
      <c r="DS361" s="801"/>
      <c r="DT361" s="801"/>
      <c r="DU361" s="801"/>
      <c r="DV361" s="801"/>
      <c r="DW361" s="801"/>
      <c r="DX361" s="801"/>
      <c r="DY361" s="801"/>
      <c r="DZ361" s="802"/>
      <c r="EA361" s="800"/>
      <c r="EB361" s="801"/>
      <c r="EC361" s="801"/>
      <c r="ED361" s="801"/>
      <c r="EE361" s="801"/>
      <c r="EF361" s="801"/>
      <c r="EG361" s="801"/>
      <c r="EH361" s="801"/>
      <c r="EI361" s="801"/>
      <c r="EJ361" s="801"/>
      <c r="EK361" s="801"/>
      <c r="EL361" s="801"/>
      <c r="EM361" s="801"/>
      <c r="EN361" s="801"/>
      <c r="EO361" s="801"/>
      <c r="EP361" s="801"/>
      <c r="EQ361" s="801"/>
      <c r="ER361" s="801"/>
      <c r="ES361" s="801"/>
      <c r="ET361" s="801"/>
      <c r="EU361" s="801"/>
      <c r="EV361" s="801"/>
      <c r="EW361" s="801"/>
      <c r="EX361" s="801"/>
      <c r="EY361" s="801"/>
      <c r="EZ361" s="802"/>
      <c r="FA361" s="800"/>
      <c r="FB361" s="801"/>
      <c r="FC361" s="801"/>
      <c r="FD361" s="801"/>
      <c r="FE361" s="801"/>
      <c r="FF361" s="801"/>
      <c r="FG361" s="801"/>
      <c r="FH361" s="801"/>
      <c r="FI361" s="801"/>
      <c r="FJ361" s="801"/>
      <c r="FK361" s="801"/>
      <c r="FL361" s="801"/>
      <c r="FM361" s="801"/>
      <c r="FN361" s="801"/>
      <c r="FO361" s="801"/>
      <c r="FP361" s="801"/>
      <c r="FQ361" s="801"/>
      <c r="FR361" s="801"/>
      <c r="FS361" s="801"/>
      <c r="FT361" s="801"/>
      <c r="FU361" s="801"/>
      <c r="FV361" s="801"/>
      <c r="FW361" s="801"/>
      <c r="FX361" s="801"/>
      <c r="FY361" s="801"/>
      <c r="FZ361" s="802"/>
      <c r="GA361" s="800"/>
      <c r="GB361" s="801"/>
      <c r="GC361" s="801"/>
      <c r="GD361" s="801"/>
      <c r="GE361" s="801"/>
      <c r="GF361" s="801"/>
      <c r="GG361" s="801"/>
      <c r="GH361" s="801"/>
      <c r="GI361" s="801"/>
      <c r="GJ361" s="801"/>
      <c r="GK361" s="801"/>
      <c r="GL361" s="801"/>
      <c r="GM361" s="801"/>
      <c r="GN361" s="801"/>
      <c r="GO361" s="801"/>
      <c r="GP361" s="801"/>
      <c r="GQ361" s="801"/>
      <c r="GR361" s="801"/>
      <c r="GS361" s="801"/>
      <c r="GT361" s="801"/>
      <c r="GU361" s="801"/>
      <c r="GV361" s="801"/>
      <c r="GW361" s="801"/>
      <c r="GX361" s="801"/>
      <c r="GY361" s="801"/>
      <c r="GZ361" s="802"/>
      <c r="HA361" s="800"/>
      <c r="HB361" s="801"/>
      <c r="HC361" s="801"/>
      <c r="HD361" s="801"/>
      <c r="HE361" s="801"/>
      <c r="HF361" s="801"/>
      <c r="HG361" s="801"/>
      <c r="HH361" s="801"/>
      <c r="HI361" s="801"/>
      <c r="HJ361" s="801"/>
      <c r="HK361" s="801"/>
      <c r="HL361" s="801"/>
      <c r="HM361" s="801"/>
      <c r="HN361" s="801"/>
      <c r="HO361" s="801"/>
      <c r="HP361" s="801"/>
      <c r="HQ361" s="801"/>
      <c r="HR361" s="801"/>
      <c r="HS361" s="801"/>
      <c r="HT361" s="801"/>
      <c r="HU361" s="801"/>
      <c r="HV361" s="801"/>
      <c r="HW361" s="801"/>
      <c r="HX361" s="801"/>
      <c r="HY361" s="801"/>
      <c r="HZ361" s="802"/>
      <c r="IA361" s="800"/>
      <c r="IB361" s="801"/>
      <c r="IC361" s="801"/>
      <c r="ID361" s="801"/>
      <c r="IE361" s="801"/>
      <c r="IF361" s="801"/>
      <c r="IG361" s="801"/>
      <c r="IH361" s="801"/>
      <c r="II361" s="801"/>
      <c r="IJ361" s="801"/>
      <c r="IK361" s="801"/>
      <c r="IL361" s="801"/>
      <c r="IM361" s="801"/>
      <c r="IN361" s="801"/>
      <c r="IO361" s="801"/>
      <c r="IP361" s="801"/>
      <c r="IQ361" s="801"/>
      <c r="IR361" s="801"/>
      <c r="IS361" s="801"/>
      <c r="IT361" s="801"/>
      <c r="IU361" s="801"/>
      <c r="IV361" s="801"/>
      <c r="IW361" s="801"/>
      <c r="IX361" s="801"/>
      <c r="IY361" s="801"/>
      <c r="IZ361" s="802"/>
    </row>
    <row r="362" spans="1:260" x14ac:dyDescent="0.25">
      <c r="A362" s="800" t="str">
        <f>IFERROR(IF(Z345&gt;A345-1,IF(INDEX(Pedidos!J:AZ,Y345+A345-1,31)&lt;&gt;"","Nombres :     "&amp; INDEX(Pedidos!J:AZ,Y345+A345-1,31),""),""),"")</f>
        <v/>
      </c>
      <c r="B362" s="801"/>
      <c r="C362" s="801"/>
      <c r="D362" s="801"/>
      <c r="E362" s="801"/>
      <c r="F362" s="801"/>
      <c r="G362" s="801"/>
      <c r="H362" s="801"/>
      <c r="I362" s="801"/>
      <c r="J362" s="801"/>
      <c r="K362" s="801"/>
      <c r="L362" s="801"/>
      <c r="M362" s="801"/>
      <c r="N362" s="801"/>
      <c r="O362" s="801"/>
      <c r="P362" s="801"/>
      <c r="Q362" s="801"/>
      <c r="R362" s="801"/>
      <c r="S362" s="801"/>
      <c r="T362" s="801"/>
      <c r="U362" s="801"/>
      <c r="V362" s="801"/>
      <c r="W362" s="801"/>
      <c r="X362" s="801"/>
      <c r="Y362" s="801"/>
      <c r="Z362" s="802"/>
      <c r="AA362" s="800" t="str">
        <f>IFERROR(IF(AZ345&gt;AA345-1,IF(INDEX(Pedidos!AJ:BZ,AY345+AA345-1,31)&lt;&gt;"","Nombres :     "&amp; INDEX(Pedidos!AJ:BZ,AY345+AA345-1,31),""),""),"")</f>
        <v/>
      </c>
      <c r="AB362" s="801"/>
      <c r="AC362" s="801"/>
      <c r="AD362" s="801"/>
      <c r="AE362" s="801"/>
      <c r="AF362" s="801"/>
      <c r="AG362" s="801"/>
      <c r="AH362" s="801"/>
      <c r="AI362" s="801"/>
      <c r="AJ362" s="801"/>
      <c r="AK362" s="801"/>
      <c r="AL362" s="801"/>
      <c r="AM362" s="801"/>
      <c r="AN362" s="801"/>
      <c r="AO362" s="801"/>
      <c r="AP362" s="801"/>
      <c r="AQ362" s="801"/>
      <c r="AR362" s="801"/>
      <c r="AS362" s="801"/>
      <c r="AT362" s="801"/>
      <c r="AU362" s="801"/>
      <c r="AV362" s="801"/>
      <c r="AW362" s="801"/>
      <c r="AX362" s="801"/>
      <c r="AY362" s="801"/>
      <c r="AZ362" s="802"/>
      <c r="BA362" s="800" t="str">
        <f>IFERROR(IF(BZ345&gt;BA345-1,IF(INDEX(Pedidos!BJ:CZ,BY345+BA345-1,31)&lt;&gt;"","Nombres :     "&amp; INDEX(Pedidos!BJ:CZ,BY345+BA345-1,31),""),""),"")</f>
        <v/>
      </c>
      <c r="BB362" s="801"/>
      <c r="BC362" s="801"/>
      <c r="BD362" s="801"/>
      <c r="BE362" s="801"/>
      <c r="BF362" s="801"/>
      <c r="BG362" s="801"/>
      <c r="BH362" s="801"/>
      <c r="BI362" s="801"/>
      <c r="BJ362" s="801"/>
      <c r="BK362" s="801"/>
      <c r="BL362" s="801"/>
      <c r="BM362" s="801"/>
      <c r="BN362" s="801"/>
      <c r="BO362" s="801"/>
      <c r="BP362" s="801"/>
      <c r="BQ362" s="801"/>
      <c r="BR362" s="801"/>
      <c r="BS362" s="801"/>
      <c r="BT362" s="801"/>
      <c r="BU362" s="801"/>
      <c r="BV362" s="801"/>
      <c r="BW362" s="801"/>
      <c r="BX362" s="801"/>
      <c r="BY362" s="801"/>
      <c r="BZ362" s="802"/>
      <c r="CA362" s="800" t="str">
        <f>IFERROR(IF(CZ345&gt;CA345-1,IF(INDEX(Pedidos!CJ:DZ,CY345+CA345-1,31)&lt;&gt;"","Nombres :     "&amp; INDEX(Pedidos!CJ:DZ,CY345+CA345-1,31),""),""),"")</f>
        <v/>
      </c>
      <c r="CB362" s="801"/>
      <c r="CC362" s="801"/>
      <c r="CD362" s="801"/>
      <c r="CE362" s="801"/>
      <c r="CF362" s="801"/>
      <c r="CG362" s="801"/>
      <c r="CH362" s="801"/>
      <c r="CI362" s="801"/>
      <c r="CJ362" s="801"/>
      <c r="CK362" s="801"/>
      <c r="CL362" s="801"/>
      <c r="CM362" s="801"/>
      <c r="CN362" s="801"/>
      <c r="CO362" s="801"/>
      <c r="CP362" s="801"/>
      <c r="CQ362" s="801"/>
      <c r="CR362" s="801"/>
      <c r="CS362" s="801"/>
      <c r="CT362" s="801"/>
      <c r="CU362" s="801"/>
      <c r="CV362" s="801"/>
      <c r="CW362" s="801"/>
      <c r="CX362" s="801"/>
      <c r="CY362" s="801"/>
      <c r="CZ362" s="802"/>
      <c r="DA362" s="800" t="str">
        <f>IFERROR(IF(DZ345&gt;DA345-1,IF(INDEX(Pedidos!DJ:EZ,DY345+DA345-1,31)&lt;&gt;"","Nombres :     "&amp; INDEX(Pedidos!DJ:EZ,DY345+DA345-1,31),""),""),"")</f>
        <v/>
      </c>
      <c r="DB362" s="801"/>
      <c r="DC362" s="801"/>
      <c r="DD362" s="801"/>
      <c r="DE362" s="801"/>
      <c r="DF362" s="801"/>
      <c r="DG362" s="801"/>
      <c r="DH362" s="801"/>
      <c r="DI362" s="801"/>
      <c r="DJ362" s="801"/>
      <c r="DK362" s="801"/>
      <c r="DL362" s="801"/>
      <c r="DM362" s="801"/>
      <c r="DN362" s="801"/>
      <c r="DO362" s="801"/>
      <c r="DP362" s="801"/>
      <c r="DQ362" s="801"/>
      <c r="DR362" s="801"/>
      <c r="DS362" s="801"/>
      <c r="DT362" s="801"/>
      <c r="DU362" s="801"/>
      <c r="DV362" s="801"/>
      <c r="DW362" s="801"/>
      <c r="DX362" s="801"/>
      <c r="DY362" s="801"/>
      <c r="DZ362" s="802"/>
      <c r="EA362" s="800" t="str">
        <f>IFERROR(IF(EZ345&gt;EA345-1,IF(INDEX(Pedidos!EJ:FZ,EY345+EA345-1,31)&lt;&gt;"","Nombres :     "&amp; INDEX(Pedidos!EJ:FZ,EY345+EA345-1,31),""),""),"")</f>
        <v/>
      </c>
      <c r="EB362" s="801"/>
      <c r="EC362" s="801"/>
      <c r="ED362" s="801"/>
      <c r="EE362" s="801"/>
      <c r="EF362" s="801"/>
      <c r="EG362" s="801"/>
      <c r="EH362" s="801"/>
      <c r="EI362" s="801"/>
      <c r="EJ362" s="801"/>
      <c r="EK362" s="801"/>
      <c r="EL362" s="801"/>
      <c r="EM362" s="801"/>
      <c r="EN362" s="801"/>
      <c r="EO362" s="801"/>
      <c r="EP362" s="801"/>
      <c r="EQ362" s="801"/>
      <c r="ER362" s="801"/>
      <c r="ES362" s="801"/>
      <c r="ET362" s="801"/>
      <c r="EU362" s="801"/>
      <c r="EV362" s="801"/>
      <c r="EW362" s="801"/>
      <c r="EX362" s="801"/>
      <c r="EY362" s="801"/>
      <c r="EZ362" s="802"/>
      <c r="FA362" s="800" t="str">
        <f>IFERROR(IF(FZ345&gt;FA345-1,IF(INDEX(Pedidos!FJ:GZ,FY345+FA345-1,31)&lt;&gt;"","Nombres :     "&amp; INDEX(Pedidos!FJ:GZ,FY345+FA345-1,31),""),""),"")</f>
        <v/>
      </c>
      <c r="FB362" s="801"/>
      <c r="FC362" s="801"/>
      <c r="FD362" s="801"/>
      <c r="FE362" s="801"/>
      <c r="FF362" s="801"/>
      <c r="FG362" s="801"/>
      <c r="FH362" s="801"/>
      <c r="FI362" s="801"/>
      <c r="FJ362" s="801"/>
      <c r="FK362" s="801"/>
      <c r="FL362" s="801"/>
      <c r="FM362" s="801"/>
      <c r="FN362" s="801"/>
      <c r="FO362" s="801"/>
      <c r="FP362" s="801"/>
      <c r="FQ362" s="801"/>
      <c r="FR362" s="801"/>
      <c r="FS362" s="801"/>
      <c r="FT362" s="801"/>
      <c r="FU362" s="801"/>
      <c r="FV362" s="801"/>
      <c r="FW362" s="801"/>
      <c r="FX362" s="801"/>
      <c r="FY362" s="801"/>
      <c r="FZ362" s="802"/>
      <c r="GA362" s="800" t="str">
        <f>IFERROR(IF(GZ345&gt;GA345-1,IF(INDEX(Pedidos!GJ:HZ,GY345+GA345-1,31)&lt;&gt;"","Nombres :     "&amp; INDEX(Pedidos!GJ:HZ,GY345+GA345-1,31),""),""),"")</f>
        <v/>
      </c>
      <c r="GB362" s="801"/>
      <c r="GC362" s="801"/>
      <c r="GD362" s="801"/>
      <c r="GE362" s="801"/>
      <c r="GF362" s="801"/>
      <c r="GG362" s="801"/>
      <c r="GH362" s="801"/>
      <c r="GI362" s="801"/>
      <c r="GJ362" s="801"/>
      <c r="GK362" s="801"/>
      <c r="GL362" s="801"/>
      <c r="GM362" s="801"/>
      <c r="GN362" s="801"/>
      <c r="GO362" s="801"/>
      <c r="GP362" s="801"/>
      <c r="GQ362" s="801"/>
      <c r="GR362" s="801"/>
      <c r="GS362" s="801"/>
      <c r="GT362" s="801"/>
      <c r="GU362" s="801"/>
      <c r="GV362" s="801"/>
      <c r="GW362" s="801"/>
      <c r="GX362" s="801"/>
      <c r="GY362" s="801"/>
      <c r="GZ362" s="802"/>
      <c r="HA362" s="800" t="str">
        <f>IFERROR(IF(HZ345&gt;HA345-1,IF(INDEX(Pedidos!HJ:IZ,HY345+HA345-1,31)&lt;&gt;"","Nombres :     "&amp; INDEX(Pedidos!HJ:IZ,HY345+HA345-1,31),""),""),"")</f>
        <v/>
      </c>
      <c r="HB362" s="801"/>
      <c r="HC362" s="801"/>
      <c r="HD362" s="801"/>
      <c r="HE362" s="801"/>
      <c r="HF362" s="801"/>
      <c r="HG362" s="801"/>
      <c r="HH362" s="801"/>
      <c r="HI362" s="801"/>
      <c r="HJ362" s="801"/>
      <c r="HK362" s="801"/>
      <c r="HL362" s="801"/>
      <c r="HM362" s="801"/>
      <c r="HN362" s="801"/>
      <c r="HO362" s="801"/>
      <c r="HP362" s="801"/>
      <c r="HQ362" s="801"/>
      <c r="HR362" s="801"/>
      <c r="HS362" s="801"/>
      <c r="HT362" s="801"/>
      <c r="HU362" s="801"/>
      <c r="HV362" s="801"/>
      <c r="HW362" s="801"/>
      <c r="HX362" s="801"/>
      <c r="HY362" s="801"/>
      <c r="HZ362" s="802"/>
      <c r="IA362" s="800" t="str">
        <f>IFERROR(IF(IZ345&gt;IA345-1,IF(INDEX(Pedidos!IJ:JZ,IY345+IA345-1,31)&lt;&gt;"","Nombres :     "&amp; INDEX(Pedidos!IJ:JZ,IY345+IA345-1,31),""),""),"")</f>
        <v/>
      </c>
      <c r="IB362" s="801"/>
      <c r="IC362" s="801"/>
      <c r="ID362" s="801"/>
      <c r="IE362" s="801"/>
      <c r="IF362" s="801"/>
      <c r="IG362" s="801"/>
      <c r="IH362" s="801"/>
      <c r="II362" s="801"/>
      <c r="IJ362" s="801"/>
      <c r="IK362" s="801"/>
      <c r="IL362" s="801"/>
      <c r="IM362" s="801"/>
      <c r="IN362" s="801"/>
      <c r="IO362" s="801"/>
      <c r="IP362" s="801"/>
      <c r="IQ362" s="801"/>
      <c r="IR362" s="801"/>
      <c r="IS362" s="801"/>
      <c r="IT362" s="801"/>
      <c r="IU362" s="801"/>
      <c r="IV362" s="801"/>
      <c r="IW362" s="801"/>
      <c r="IX362" s="801"/>
      <c r="IY362" s="801"/>
      <c r="IZ362" s="802"/>
    </row>
    <row r="363" spans="1:260" x14ac:dyDescent="0.25">
      <c r="A363" s="820" t="str">
        <f>IFERROR(IF(Z345&gt;A345-1,IF(INDEX(Pedidos!J:AZ,Y345+A345-1,32)&lt;&gt;"","Localización de los Nombres :     "&amp; INDEX(Pedidos!J:AZ,Y345+A345-1,32),""),""),"")</f>
        <v/>
      </c>
      <c r="B363" s="821"/>
      <c r="C363" s="821"/>
      <c r="D363" s="821"/>
      <c r="E363" s="821"/>
      <c r="F363" s="821"/>
      <c r="G363" s="821"/>
      <c r="H363" s="821"/>
      <c r="I363" s="821"/>
      <c r="J363" s="821"/>
      <c r="K363" s="821"/>
      <c r="L363" s="821"/>
      <c r="M363" s="821"/>
      <c r="N363" s="821"/>
      <c r="O363" s="821"/>
      <c r="P363" s="821"/>
      <c r="Q363" s="821"/>
      <c r="R363" s="821"/>
      <c r="S363" s="821"/>
      <c r="T363" s="821"/>
      <c r="U363" s="821"/>
      <c r="V363" s="821"/>
      <c r="W363" s="821"/>
      <c r="X363" s="821"/>
      <c r="Y363" s="821"/>
      <c r="Z363" s="822"/>
      <c r="AA363" s="820" t="str">
        <f>IFERROR(IF(AZ345&gt;AA345-1,IF(INDEX(Pedidos!AJ:BZ,AY345+AA345-1,32)&lt;&gt;"","Localización de los Nombres :     "&amp; INDEX(Pedidos!AJ:BZ,AY345+AA345-1,32),""),""),"")</f>
        <v/>
      </c>
      <c r="AB363" s="821"/>
      <c r="AC363" s="821"/>
      <c r="AD363" s="821"/>
      <c r="AE363" s="821"/>
      <c r="AF363" s="821"/>
      <c r="AG363" s="821"/>
      <c r="AH363" s="821"/>
      <c r="AI363" s="821"/>
      <c r="AJ363" s="821"/>
      <c r="AK363" s="821"/>
      <c r="AL363" s="821"/>
      <c r="AM363" s="821"/>
      <c r="AN363" s="821"/>
      <c r="AO363" s="821"/>
      <c r="AP363" s="821"/>
      <c r="AQ363" s="821"/>
      <c r="AR363" s="821"/>
      <c r="AS363" s="821"/>
      <c r="AT363" s="821"/>
      <c r="AU363" s="821"/>
      <c r="AV363" s="821"/>
      <c r="AW363" s="821"/>
      <c r="AX363" s="821"/>
      <c r="AY363" s="821"/>
      <c r="AZ363" s="822"/>
      <c r="BA363" s="820" t="str">
        <f>IFERROR(IF(BZ345&gt;BA345-1,IF(INDEX(Pedidos!BJ:CZ,BY345+BA345-1,32)&lt;&gt;"","Localización de los Nombres :     "&amp; INDEX(Pedidos!BJ:CZ,BY345+BA345-1,32),""),""),"")</f>
        <v/>
      </c>
      <c r="BB363" s="821"/>
      <c r="BC363" s="821"/>
      <c r="BD363" s="821"/>
      <c r="BE363" s="821"/>
      <c r="BF363" s="821"/>
      <c r="BG363" s="821"/>
      <c r="BH363" s="821"/>
      <c r="BI363" s="821"/>
      <c r="BJ363" s="821"/>
      <c r="BK363" s="821"/>
      <c r="BL363" s="821"/>
      <c r="BM363" s="821"/>
      <c r="BN363" s="821"/>
      <c r="BO363" s="821"/>
      <c r="BP363" s="821"/>
      <c r="BQ363" s="821"/>
      <c r="BR363" s="821"/>
      <c r="BS363" s="821"/>
      <c r="BT363" s="821"/>
      <c r="BU363" s="821"/>
      <c r="BV363" s="821"/>
      <c r="BW363" s="821"/>
      <c r="BX363" s="821"/>
      <c r="BY363" s="821"/>
      <c r="BZ363" s="822"/>
      <c r="CA363" s="820" t="str">
        <f>IFERROR(IF(CZ345&gt;CA345-1,IF(INDEX(Pedidos!CJ:DZ,CY345+CA345-1,32)&lt;&gt;"","Localización de los Nombres :     "&amp; INDEX(Pedidos!CJ:DZ,CY345+CA345-1,32),""),""),"")</f>
        <v/>
      </c>
      <c r="CB363" s="821"/>
      <c r="CC363" s="821"/>
      <c r="CD363" s="821"/>
      <c r="CE363" s="821"/>
      <c r="CF363" s="821"/>
      <c r="CG363" s="821"/>
      <c r="CH363" s="821"/>
      <c r="CI363" s="821"/>
      <c r="CJ363" s="821"/>
      <c r="CK363" s="821"/>
      <c r="CL363" s="821"/>
      <c r="CM363" s="821"/>
      <c r="CN363" s="821"/>
      <c r="CO363" s="821"/>
      <c r="CP363" s="821"/>
      <c r="CQ363" s="821"/>
      <c r="CR363" s="821"/>
      <c r="CS363" s="821"/>
      <c r="CT363" s="821"/>
      <c r="CU363" s="821"/>
      <c r="CV363" s="821"/>
      <c r="CW363" s="821"/>
      <c r="CX363" s="821"/>
      <c r="CY363" s="821"/>
      <c r="CZ363" s="822"/>
      <c r="DA363" s="820" t="str">
        <f>IFERROR(IF(DZ345&gt;DA345-1,IF(INDEX(Pedidos!DJ:EZ,DY345+DA345-1,32)&lt;&gt;"","Localización de los Nombres :     "&amp; INDEX(Pedidos!DJ:EZ,DY345+DA345-1,32),""),""),"")</f>
        <v/>
      </c>
      <c r="DB363" s="821"/>
      <c r="DC363" s="821"/>
      <c r="DD363" s="821"/>
      <c r="DE363" s="821"/>
      <c r="DF363" s="821"/>
      <c r="DG363" s="821"/>
      <c r="DH363" s="821"/>
      <c r="DI363" s="821"/>
      <c r="DJ363" s="821"/>
      <c r="DK363" s="821"/>
      <c r="DL363" s="821"/>
      <c r="DM363" s="821"/>
      <c r="DN363" s="821"/>
      <c r="DO363" s="821"/>
      <c r="DP363" s="821"/>
      <c r="DQ363" s="821"/>
      <c r="DR363" s="821"/>
      <c r="DS363" s="821"/>
      <c r="DT363" s="821"/>
      <c r="DU363" s="821"/>
      <c r="DV363" s="821"/>
      <c r="DW363" s="821"/>
      <c r="DX363" s="821"/>
      <c r="DY363" s="821"/>
      <c r="DZ363" s="822"/>
      <c r="EA363" s="820" t="str">
        <f>IFERROR(IF(EZ345&gt;EA345-1,IF(INDEX(Pedidos!EJ:FZ,EY345+EA345-1,32)&lt;&gt;"","Localización de los Nombres :     "&amp; INDEX(Pedidos!EJ:FZ,EY345+EA345-1,32),""),""),"")</f>
        <v/>
      </c>
      <c r="EB363" s="821"/>
      <c r="EC363" s="821"/>
      <c r="ED363" s="821"/>
      <c r="EE363" s="821"/>
      <c r="EF363" s="821"/>
      <c r="EG363" s="821"/>
      <c r="EH363" s="821"/>
      <c r="EI363" s="821"/>
      <c r="EJ363" s="821"/>
      <c r="EK363" s="821"/>
      <c r="EL363" s="821"/>
      <c r="EM363" s="821"/>
      <c r="EN363" s="821"/>
      <c r="EO363" s="821"/>
      <c r="EP363" s="821"/>
      <c r="EQ363" s="821"/>
      <c r="ER363" s="821"/>
      <c r="ES363" s="821"/>
      <c r="ET363" s="821"/>
      <c r="EU363" s="821"/>
      <c r="EV363" s="821"/>
      <c r="EW363" s="821"/>
      <c r="EX363" s="821"/>
      <c r="EY363" s="821"/>
      <c r="EZ363" s="822"/>
      <c r="FA363" s="820" t="str">
        <f>IFERROR(IF(FZ345&gt;FA345-1,IF(INDEX(Pedidos!FJ:GZ,FY345+FA345-1,32)&lt;&gt;"","Localización de los Nombres :     "&amp; INDEX(Pedidos!FJ:GZ,FY345+FA345-1,32),""),""),"")</f>
        <v/>
      </c>
      <c r="FB363" s="821"/>
      <c r="FC363" s="821"/>
      <c r="FD363" s="821"/>
      <c r="FE363" s="821"/>
      <c r="FF363" s="821"/>
      <c r="FG363" s="821"/>
      <c r="FH363" s="821"/>
      <c r="FI363" s="821"/>
      <c r="FJ363" s="821"/>
      <c r="FK363" s="821"/>
      <c r="FL363" s="821"/>
      <c r="FM363" s="821"/>
      <c r="FN363" s="821"/>
      <c r="FO363" s="821"/>
      <c r="FP363" s="821"/>
      <c r="FQ363" s="821"/>
      <c r="FR363" s="821"/>
      <c r="FS363" s="821"/>
      <c r="FT363" s="821"/>
      <c r="FU363" s="821"/>
      <c r="FV363" s="821"/>
      <c r="FW363" s="821"/>
      <c r="FX363" s="821"/>
      <c r="FY363" s="821"/>
      <c r="FZ363" s="822"/>
      <c r="GA363" s="820" t="str">
        <f>IFERROR(IF(GZ345&gt;GA345-1,IF(INDEX(Pedidos!GJ:HZ,GY345+GA345-1,32)&lt;&gt;"","Localización de los Nombres :     "&amp; INDEX(Pedidos!GJ:HZ,GY345+GA345-1,32),""),""),"")</f>
        <v/>
      </c>
      <c r="GB363" s="821"/>
      <c r="GC363" s="821"/>
      <c r="GD363" s="821"/>
      <c r="GE363" s="821"/>
      <c r="GF363" s="821"/>
      <c r="GG363" s="821"/>
      <c r="GH363" s="821"/>
      <c r="GI363" s="821"/>
      <c r="GJ363" s="821"/>
      <c r="GK363" s="821"/>
      <c r="GL363" s="821"/>
      <c r="GM363" s="821"/>
      <c r="GN363" s="821"/>
      <c r="GO363" s="821"/>
      <c r="GP363" s="821"/>
      <c r="GQ363" s="821"/>
      <c r="GR363" s="821"/>
      <c r="GS363" s="821"/>
      <c r="GT363" s="821"/>
      <c r="GU363" s="821"/>
      <c r="GV363" s="821"/>
      <c r="GW363" s="821"/>
      <c r="GX363" s="821"/>
      <c r="GY363" s="821"/>
      <c r="GZ363" s="822"/>
      <c r="HA363" s="820" t="str">
        <f>IFERROR(IF(HZ345&gt;HA345-1,IF(INDEX(Pedidos!HJ:IZ,HY345+HA345-1,32)&lt;&gt;"","Localización de los Nombres :     "&amp; INDEX(Pedidos!HJ:IZ,HY345+HA345-1,32),""),""),"")</f>
        <v/>
      </c>
      <c r="HB363" s="821"/>
      <c r="HC363" s="821"/>
      <c r="HD363" s="821"/>
      <c r="HE363" s="821"/>
      <c r="HF363" s="821"/>
      <c r="HG363" s="821"/>
      <c r="HH363" s="821"/>
      <c r="HI363" s="821"/>
      <c r="HJ363" s="821"/>
      <c r="HK363" s="821"/>
      <c r="HL363" s="821"/>
      <c r="HM363" s="821"/>
      <c r="HN363" s="821"/>
      <c r="HO363" s="821"/>
      <c r="HP363" s="821"/>
      <c r="HQ363" s="821"/>
      <c r="HR363" s="821"/>
      <c r="HS363" s="821"/>
      <c r="HT363" s="821"/>
      <c r="HU363" s="821"/>
      <c r="HV363" s="821"/>
      <c r="HW363" s="821"/>
      <c r="HX363" s="821"/>
      <c r="HY363" s="821"/>
      <c r="HZ363" s="822"/>
      <c r="IA363" s="820" t="str">
        <f>IFERROR(IF(IZ345&gt;IA345-1,IF(INDEX(Pedidos!IJ:JZ,IY345+IA345-1,32)&lt;&gt;"","Localización de los Nombres :     "&amp; INDEX(Pedidos!IJ:JZ,IY345+IA345-1,32),""),""),"")</f>
        <v/>
      </c>
      <c r="IB363" s="821"/>
      <c r="IC363" s="821"/>
      <c r="ID363" s="821"/>
      <c r="IE363" s="821"/>
      <c r="IF363" s="821"/>
      <c r="IG363" s="821"/>
      <c r="IH363" s="821"/>
      <c r="II363" s="821"/>
      <c r="IJ363" s="821"/>
      <c r="IK363" s="821"/>
      <c r="IL363" s="821"/>
      <c r="IM363" s="821"/>
      <c r="IN363" s="821"/>
      <c r="IO363" s="821"/>
      <c r="IP363" s="821"/>
      <c r="IQ363" s="821"/>
      <c r="IR363" s="821"/>
      <c r="IS363" s="821"/>
      <c r="IT363" s="821"/>
      <c r="IU363" s="821"/>
      <c r="IV363" s="821"/>
      <c r="IW363" s="821"/>
      <c r="IX363" s="821"/>
      <c r="IY363" s="821"/>
      <c r="IZ363" s="822"/>
    </row>
    <row r="364" spans="1:260" x14ac:dyDescent="0.25">
      <c r="A364" s="836" t="str">
        <f>IFERROR(IF(Z345&gt;A345-1,IF(INDEX(Pedidos!J:AZ,Y345+A345-1,37)&lt;&gt;"","Otras Instrucciones Especiales :     "&amp; INDEX(Pedidos!J:AZ,Y345+A345-1,37),""),""),"")</f>
        <v/>
      </c>
      <c r="B364" s="837"/>
      <c r="C364" s="837"/>
      <c r="D364" s="837"/>
      <c r="E364" s="837"/>
      <c r="F364" s="837"/>
      <c r="G364" s="837"/>
      <c r="H364" s="837"/>
      <c r="I364" s="837"/>
      <c r="J364" s="837"/>
      <c r="K364" s="837"/>
      <c r="L364" s="837"/>
      <c r="M364" s="837"/>
      <c r="N364" s="837"/>
      <c r="O364" s="837"/>
      <c r="P364" s="837"/>
      <c r="Q364" s="837"/>
      <c r="R364" s="837"/>
      <c r="S364" s="837"/>
      <c r="T364" s="837"/>
      <c r="U364" s="837"/>
      <c r="V364" s="837"/>
      <c r="W364" s="837"/>
      <c r="X364" s="837"/>
      <c r="Y364" s="837"/>
      <c r="Z364" s="838"/>
      <c r="AA364" s="836" t="str">
        <f>IFERROR(IF(AZ345&gt;AA345-1,IF(INDEX(Pedidos!AJ:BZ,AY345+AA345-1,37)&lt;&gt;"","Otras Instrucciones Especiales :     "&amp; INDEX(Pedidos!AJ:BZ,AY345+AA345-1,37),""),""),"")</f>
        <v/>
      </c>
      <c r="AB364" s="837"/>
      <c r="AC364" s="837"/>
      <c r="AD364" s="837"/>
      <c r="AE364" s="837"/>
      <c r="AF364" s="837"/>
      <c r="AG364" s="837"/>
      <c r="AH364" s="837"/>
      <c r="AI364" s="837"/>
      <c r="AJ364" s="837"/>
      <c r="AK364" s="837"/>
      <c r="AL364" s="837"/>
      <c r="AM364" s="837"/>
      <c r="AN364" s="837"/>
      <c r="AO364" s="837"/>
      <c r="AP364" s="837"/>
      <c r="AQ364" s="837"/>
      <c r="AR364" s="837"/>
      <c r="AS364" s="837"/>
      <c r="AT364" s="837"/>
      <c r="AU364" s="837"/>
      <c r="AV364" s="837"/>
      <c r="AW364" s="837"/>
      <c r="AX364" s="837"/>
      <c r="AY364" s="837"/>
      <c r="AZ364" s="838"/>
      <c r="BA364" s="836" t="str">
        <f>IFERROR(IF(BZ345&gt;BA345-1,IF(INDEX(Pedidos!BJ:CZ,BY345+BA345-1,37)&lt;&gt;"","Otras Instrucciones Especiales :     "&amp; INDEX(Pedidos!BJ:CZ,BY345+BA345-1,37),""),""),"")</f>
        <v/>
      </c>
      <c r="BB364" s="837"/>
      <c r="BC364" s="837"/>
      <c r="BD364" s="837"/>
      <c r="BE364" s="837"/>
      <c r="BF364" s="837"/>
      <c r="BG364" s="837"/>
      <c r="BH364" s="837"/>
      <c r="BI364" s="837"/>
      <c r="BJ364" s="837"/>
      <c r="BK364" s="837"/>
      <c r="BL364" s="837"/>
      <c r="BM364" s="837"/>
      <c r="BN364" s="837"/>
      <c r="BO364" s="837"/>
      <c r="BP364" s="837"/>
      <c r="BQ364" s="837"/>
      <c r="BR364" s="837"/>
      <c r="BS364" s="837"/>
      <c r="BT364" s="837"/>
      <c r="BU364" s="837"/>
      <c r="BV364" s="837"/>
      <c r="BW364" s="837"/>
      <c r="BX364" s="837"/>
      <c r="BY364" s="837"/>
      <c r="BZ364" s="838"/>
      <c r="CA364" s="836" t="str">
        <f>IFERROR(IF(CZ345&gt;CA345-1,IF(INDEX(Pedidos!CJ:DZ,CY345+CA345-1,37)&lt;&gt;"","Otras Instrucciones Especiales :     "&amp; INDEX(Pedidos!CJ:DZ,CY345+CA345-1,37),""),""),"")</f>
        <v/>
      </c>
      <c r="CB364" s="837"/>
      <c r="CC364" s="837"/>
      <c r="CD364" s="837"/>
      <c r="CE364" s="837"/>
      <c r="CF364" s="837"/>
      <c r="CG364" s="837"/>
      <c r="CH364" s="837"/>
      <c r="CI364" s="837"/>
      <c r="CJ364" s="837"/>
      <c r="CK364" s="837"/>
      <c r="CL364" s="837"/>
      <c r="CM364" s="837"/>
      <c r="CN364" s="837"/>
      <c r="CO364" s="837"/>
      <c r="CP364" s="837"/>
      <c r="CQ364" s="837"/>
      <c r="CR364" s="837"/>
      <c r="CS364" s="837"/>
      <c r="CT364" s="837"/>
      <c r="CU364" s="837"/>
      <c r="CV364" s="837"/>
      <c r="CW364" s="837"/>
      <c r="CX364" s="837"/>
      <c r="CY364" s="837"/>
      <c r="CZ364" s="838"/>
      <c r="DA364" s="836" t="str">
        <f>IFERROR(IF(DZ345&gt;DA345-1,IF(INDEX(Pedidos!DJ:EZ,DY345+DA345-1,37)&lt;&gt;"","Otras Instrucciones Especiales :     "&amp; INDEX(Pedidos!DJ:EZ,DY345+DA345-1,37),""),""),"")</f>
        <v/>
      </c>
      <c r="DB364" s="837"/>
      <c r="DC364" s="837"/>
      <c r="DD364" s="837"/>
      <c r="DE364" s="837"/>
      <c r="DF364" s="837"/>
      <c r="DG364" s="837"/>
      <c r="DH364" s="837"/>
      <c r="DI364" s="837"/>
      <c r="DJ364" s="837"/>
      <c r="DK364" s="837"/>
      <c r="DL364" s="837"/>
      <c r="DM364" s="837"/>
      <c r="DN364" s="837"/>
      <c r="DO364" s="837"/>
      <c r="DP364" s="837"/>
      <c r="DQ364" s="837"/>
      <c r="DR364" s="837"/>
      <c r="DS364" s="837"/>
      <c r="DT364" s="837"/>
      <c r="DU364" s="837"/>
      <c r="DV364" s="837"/>
      <c r="DW364" s="837"/>
      <c r="DX364" s="837"/>
      <c r="DY364" s="837"/>
      <c r="DZ364" s="838"/>
      <c r="EA364" s="836" t="str">
        <f>IFERROR(IF(EZ345&gt;EA345-1,IF(INDEX(Pedidos!EJ:FZ,EY345+EA345-1,37)&lt;&gt;"","Otras Instrucciones Especiales :     "&amp; INDEX(Pedidos!EJ:FZ,EY345+EA345-1,37),""),""),"")</f>
        <v/>
      </c>
      <c r="EB364" s="837"/>
      <c r="EC364" s="837"/>
      <c r="ED364" s="837"/>
      <c r="EE364" s="837"/>
      <c r="EF364" s="837"/>
      <c r="EG364" s="837"/>
      <c r="EH364" s="837"/>
      <c r="EI364" s="837"/>
      <c r="EJ364" s="837"/>
      <c r="EK364" s="837"/>
      <c r="EL364" s="837"/>
      <c r="EM364" s="837"/>
      <c r="EN364" s="837"/>
      <c r="EO364" s="837"/>
      <c r="EP364" s="837"/>
      <c r="EQ364" s="837"/>
      <c r="ER364" s="837"/>
      <c r="ES364" s="837"/>
      <c r="ET364" s="837"/>
      <c r="EU364" s="837"/>
      <c r="EV364" s="837"/>
      <c r="EW364" s="837"/>
      <c r="EX364" s="837"/>
      <c r="EY364" s="837"/>
      <c r="EZ364" s="838"/>
      <c r="FA364" s="836" t="str">
        <f>IFERROR(IF(FZ345&gt;FA345-1,IF(INDEX(Pedidos!FJ:GZ,FY345+FA345-1,37)&lt;&gt;"","Otras Instrucciones Especiales :     "&amp; INDEX(Pedidos!FJ:GZ,FY345+FA345-1,37),""),""),"")</f>
        <v/>
      </c>
      <c r="FB364" s="837"/>
      <c r="FC364" s="837"/>
      <c r="FD364" s="837"/>
      <c r="FE364" s="837"/>
      <c r="FF364" s="837"/>
      <c r="FG364" s="837"/>
      <c r="FH364" s="837"/>
      <c r="FI364" s="837"/>
      <c r="FJ364" s="837"/>
      <c r="FK364" s="837"/>
      <c r="FL364" s="837"/>
      <c r="FM364" s="837"/>
      <c r="FN364" s="837"/>
      <c r="FO364" s="837"/>
      <c r="FP364" s="837"/>
      <c r="FQ364" s="837"/>
      <c r="FR364" s="837"/>
      <c r="FS364" s="837"/>
      <c r="FT364" s="837"/>
      <c r="FU364" s="837"/>
      <c r="FV364" s="837"/>
      <c r="FW364" s="837"/>
      <c r="FX364" s="837"/>
      <c r="FY364" s="837"/>
      <c r="FZ364" s="838"/>
      <c r="GA364" s="836" t="str">
        <f>IFERROR(IF(GZ345&gt;GA345-1,IF(INDEX(Pedidos!GJ:HZ,GY345+GA345-1,37)&lt;&gt;"","Otras Instrucciones Especiales :     "&amp; INDEX(Pedidos!GJ:HZ,GY345+GA345-1,37),""),""),"")</f>
        <v/>
      </c>
      <c r="GB364" s="837"/>
      <c r="GC364" s="837"/>
      <c r="GD364" s="837"/>
      <c r="GE364" s="837"/>
      <c r="GF364" s="837"/>
      <c r="GG364" s="837"/>
      <c r="GH364" s="837"/>
      <c r="GI364" s="837"/>
      <c r="GJ364" s="837"/>
      <c r="GK364" s="837"/>
      <c r="GL364" s="837"/>
      <c r="GM364" s="837"/>
      <c r="GN364" s="837"/>
      <c r="GO364" s="837"/>
      <c r="GP364" s="837"/>
      <c r="GQ364" s="837"/>
      <c r="GR364" s="837"/>
      <c r="GS364" s="837"/>
      <c r="GT364" s="837"/>
      <c r="GU364" s="837"/>
      <c r="GV364" s="837"/>
      <c r="GW364" s="837"/>
      <c r="GX364" s="837"/>
      <c r="GY364" s="837"/>
      <c r="GZ364" s="838"/>
      <c r="HA364" s="836" t="str">
        <f>IFERROR(IF(HZ345&gt;HA345-1,IF(INDEX(Pedidos!HJ:IZ,HY345+HA345-1,37)&lt;&gt;"","Otras Instrucciones Especiales :     "&amp; INDEX(Pedidos!HJ:IZ,HY345+HA345-1,37),""),""),"")</f>
        <v/>
      </c>
      <c r="HB364" s="837"/>
      <c r="HC364" s="837"/>
      <c r="HD364" s="837"/>
      <c r="HE364" s="837"/>
      <c r="HF364" s="837"/>
      <c r="HG364" s="837"/>
      <c r="HH364" s="837"/>
      <c r="HI364" s="837"/>
      <c r="HJ364" s="837"/>
      <c r="HK364" s="837"/>
      <c r="HL364" s="837"/>
      <c r="HM364" s="837"/>
      <c r="HN364" s="837"/>
      <c r="HO364" s="837"/>
      <c r="HP364" s="837"/>
      <c r="HQ364" s="837"/>
      <c r="HR364" s="837"/>
      <c r="HS364" s="837"/>
      <c r="HT364" s="837"/>
      <c r="HU364" s="837"/>
      <c r="HV364" s="837"/>
      <c r="HW364" s="837"/>
      <c r="HX364" s="837"/>
      <c r="HY364" s="837"/>
      <c r="HZ364" s="838"/>
      <c r="IA364" s="836" t="str">
        <f>IFERROR(IF(IZ345&gt;IA345-1,IF(INDEX(Pedidos!IJ:JZ,IY345+IA345-1,37)&lt;&gt;"","Otras Instrucciones Especiales :     "&amp; INDEX(Pedidos!IJ:JZ,IY345+IA345-1,37),""),""),"")</f>
        <v/>
      </c>
      <c r="IB364" s="837"/>
      <c r="IC364" s="837"/>
      <c r="ID364" s="837"/>
      <c r="IE364" s="837"/>
      <c r="IF364" s="837"/>
      <c r="IG364" s="837"/>
      <c r="IH364" s="837"/>
      <c r="II364" s="837"/>
      <c r="IJ364" s="837"/>
      <c r="IK364" s="837"/>
      <c r="IL364" s="837"/>
      <c r="IM364" s="837"/>
      <c r="IN364" s="837"/>
      <c r="IO364" s="837"/>
      <c r="IP364" s="837"/>
      <c r="IQ364" s="837"/>
      <c r="IR364" s="837"/>
      <c r="IS364" s="837"/>
      <c r="IT364" s="837"/>
      <c r="IU364" s="837"/>
      <c r="IV364" s="837"/>
      <c r="IW364" s="837"/>
      <c r="IX364" s="837"/>
      <c r="IY364" s="837"/>
      <c r="IZ364" s="838"/>
    </row>
    <row r="365" spans="1:260" ht="15.75" thickBot="1" x14ac:dyDescent="0.3">
      <c r="A365" s="839"/>
      <c r="B365" s="840"/>
      <c r="C365" s="840"/>
      <c r="D365" s="840"/>
      <c r="E365" s="840"/>
      <c r="F365" s="840"/>
      <c r="G365" s="840"/>
      <c r="H365" s="840"/>
      <c r="I365" s="840"/>
      <c r="J365" s="840"/>
      <c r="K365" s="840"/>
      <c r="L365" s="840"/>
      <c r="M365" s="840"/>
      <c r="N365" s="840"/>
      <c r="O365" s="840"/>
      <c r="P365" s="840"/>
      <c r="Q365" s="840"/>
      <c r="R365" s="840"/>
      <c r="S365" s="840"/>
      <c r="T365" s="840"/>
      <c r="U365" s="840"/>
      <c r="V365" s="840"/>
      <c r="W365" s="840"/>
      <c r="X365" s="840"/>
      <c r="Y365" s="840"/>
      <c r="Z365" s="841"/>
      <c r="AA365" s="839"/>
      <c r="AB365" s="840"/>
      <c r="AC365" s="840"/>
      <c r="AD365" s="840"/>
      <c r="AE365" s="840"/>
      <c r="AF365" s="840"/>
      <c r="AG365" s="840"/>
      <c r="AH365" s="840"/>
      <c r="AI365" s="840"/>
      <c r="AJ365" s="840"/>
      <c r="AK365" s="840"/>
      <c r="AL365" s="840"/>
      <c r="AM365" s="840"/>
      <c r="AN365" s="840"/>
      <c r="AO365" s="840"/>
      <c r="AP365" s="840"/>
      <c r="AQ365" s="840"/>
      <c r="AR365" s="840"/>
      <c r="AS365" s="840"/>
      <c r="AT365" s="840"/>
      <c r="AU365" s="840"/>
      <c r="AV365" s="840"/>
      <c r="AW365" s="840"/>
      <c r="AX365" s="840"/>
      <c r="AY365" s="840"/>
      <c r="AZ365" s="841"/>
      <c r="BA365" s="839"/>
      <c r="BB365" s="840"/>
      <c r="BC365" s="840"/>
      <c r="BD365" s="840"/>
      <c r="BE365" s="840"/>
      <c r="BF365" s="840"/>
      <c r="BG365" s="840"/>
      <c r="BH365" s="840"/>
      <c r="BI365" s="840"/>
      <c r="BJ365" s="840"/>
      <c r="BK365" s="840"/>
      <c r="BL365" s="840"/>
      <c r="BM365" s="840"/>
      <c r="BN365" s="840"/>
      <c r="BO365" s="840"/>
      <c r="BP365" s="840"/>
      <c r="BQ365" s="840"/>
      <c r="BR365" s="840"/>
      <c r="BS365" s="840"/>
      <c r="BT365" s="840"/>
      <c r="BU365" s="840"/>
      <c r="BV365" s="840"/>
      <c r="BW365" s="840"/>
      <c r="BX365" s="840"/>
      <c r="BY365" s="840"/>
      <c r="BZ365" s="841"/>
      <c r="CA365" s="839"/>
      <c r="CB365" s="840"/>
      <c r="CC365" s="840"/>
      <c r="CD365" s="840"/>
      <c r="CE365" s="840"/>
      <c r="CF365" s="840"/>
      <c r="CG365" s="840"/>
      <c r="CH365" s="840"/>
      <c r="CI365" s="840"/>
      <c r="CJ365" s="840"/>
      <c r="CK365" s="840"/>
      <c r="CL365" s="840"/>
      <c r="CM365" s="840"/>
      <c r="CN365" s="840"/>
      <c r="CO365" s="840"/>
      <c r="CP365" s="840"/>
      <c r="CQ365" s="840"/>
      <c r="CR365" s="840"/>
      <c r="CS365" s="840"/>
      <c r="CT365" s="840"/>
      <c r="CU365" s="840"/>
      <c r="CV365" s="840"/>
      <c r="CW365" s="840"/>
      <c r="CX365" s="840"/>
      <c r="CY365" s="840"/>
      <c r="CZ365" s="841"/>
      <c r="DA365" s="839"/>
      <c r="DB365" s="840"/>
      <c r="DC365" s="840"/>
      <c r="DD365" s="840"/>
      <c r="DE365" s="840"/>
      <c r="DF365" s="840"/>
      <c r="DG365" s="840"/>
      <c r="DH365" s="840"/>
      <c r="DI365" s="840"/>
      <c r="DJ365" s="840"/>
      <c r="DK365" s="840"/>
      <c r="DL365" s="840"/>
      <c r="DM365" s="840"/>
      <c r="DN365" s="840"/>
      <c r="DO365" s="840"/>
      <c r="DP365" s="840"/>
      <c r="DQ365" s="840"/>
      <c r="DR365" s="840"/>
      <c r="DS365" s="840"/>
      <c r="DT365" s="840"/>
      <c r="DU365" s="840"/>
      <c r="DV365" s="840"/>
      <c r="DW365" s="840"/>
      <c r="DX365" s="840"/>
      <c r="DY365" s="840"/>
      <c r="DZ365" s="841"/>
      <c r="EA365" s="839"/>
      <c r="EB365" s="840"/>
      <c r="EC365" s="840"/>
      <c r="ED365" s="840"/>
      <c r="EE365" s="840"/>
      <c r="EF365" s="840"/>
      <c r="EG365" s="840"/>
      <c r="EH365" s="840"/>
      <c r="EI365" s="840"/>
      <c r="EJ365" s="840"/>
      <c r="EK365" s="840"/>
      <c r="EL365" s="840"/>
      <c r="EM365" s="840"/>
      <c r="EN365" s="840"/>
      <c r="EO365" s="840"/>
      <c r="EP365" s="840"/>
      <c r="EQ365" s="840"/>
      <c r="ER365" s="840"/>
      <c r="ES365" s="840"/>
      <c r="ET365" s="840"/>
      <c r="EU365" s="840"/>
      <c r="EV365" s="840"/>
      <c r="EW365" s="840"/>
      <c r="EX365" s="840"/>
      <c r="EY365" s="840"/>
      <c r="EZ365" s="841"/>
      <c r="FA365" s="839"/>
      <c r="FB365" s="840"/>
      <c r="FC365" s="840"/>
      <c r="FD365" s="840"/>
      <c r="FE365" s="840"/>
      <c r="FF365" s="840"/>
      <c r="FG365" s="840"/>
      <c r="FH365" s="840"/>
      <c r="FI365" s="840"/>
      <c r="FJ365" s="840"/>
      <c r="FK365" s="840"/>
      <c r="FL365" s="840"/>
      <c r="FM365" s="840"/>
      <c r="FN365" s="840"/>
      <c r="FO365" s="840"/>
      <c r="FP365" s="840"/>
      <c r="FQ365" s="840"/>
      <c r="FR365" s="840"/>
      <c r="FS365" s="840"/>
      <c r="FT365" s="840"/>
      <c r="FU365" s="840"/>
      <c r="FV365" s="840"/>
      <c r="FW365" s="840"/>
      <c r="FX365" s="840"/>
      <c r="FY365" s="840"/>
      <c r="FZ365" s="841"/>
      <c r="GA365" s="839"/>
      <c r="GB365" s="840"/>
      <c r="GC365" s="840"/>
      <c r="GD365" s="840"/>
      <c r="GE365" s="840"/>
      <c r="GF365" s="840"/>
      <c r="GG365" s="840"/>
      <c r="GH365" s="840"/>
      <c r="GI365" s="840"/>
      <c r="GJ365" s="840"/>
      <c r="GK365" s="840"/>
      <c r="GL365" s="840"/>
      <c r="GM365" s="840"/>
      <c r="GN365" s="840"/>
      <c r="GO365" s="840"/>
      <c r="GP365" s="840"/>
      <c r="GQ365" s="840"/>
      <c r="GR365" s="840"/>
      <c r="GS365" s="840"/>
      <c r="GT365" s="840"/>
      <c r="GU365" s="840"/>
      <c r="GV365" s="840"/>
      <c r="GW365" s="840"/>
      <c r="GX365" s="840"/>
      <c r="GY365" s="840"/>
      <c r="GZ365" s="841"/>
      <c r="HA365" s="839"/>
      <c r="HB365" s="840"/>
      <c r="HC365" s="840"/>
      <c r="HD365" s="840"/>
      <c r="HE365" s="840"/>
      <c r="HF365" s="840"/>
      <c r="HG365" s="840"/>
      <c r="HH365" s="840"/>
      <c r="HI365" s="840"/>
      <c r="HJ365" s="840"/>
      <c r="HK365" s="840"/>
      <c r="HL365" s="840"/>
      <c r="HM365" s="840"/>
      <c r="HN365" s="840"/>
      <c r="HO365" s="840"/>
      <c r="HP365" s="840"/>
      <c r="HQ365" s="840"/>
      <c r="HR365" s="840"/>
      <c r="HS365" s="840"/>
      <c r="HT365" s="840"/>
      <c r="HU365" s="840"/>
      <c r="HV365" s="840"/>
      <c r="HW365" s="840"/>
      <c r="HX365" s="840"/>
      <c r="HY365" s="840"/>
      <c r="HZ365" s="841"/>
      <c r="IA365" s="839"/>
      <c r="IB365" s="840"/>
      <c r="IC365" s="840"/>
      <c r="ID365" s="840"/>
      <c r="IE365" s="840"/>
      <c r="IF365" s="840"/>
      <c r="IG365" s="840"/>
      <c r="IH365" s="840"/>
      <c r="II365" s="840"/>
      <c r="IJ365" s="840"/>
      <c r="IK365" s="840"/>
      <c r="IL365" s="840"/>
      <c r="IM365" s="840"/>
      <c r="IN365" s="840"/>
      <c r="IO365" s="840"/>
      <c r="IP365" s="840"/>
      <c r="IQ365" s="840"/>
      <c r="IR365" s="840"/>
      <c r="IS365" s="840"/>
      <c r="IT365" s="840"/>
      <c r="IU365" s="840"/>
      <c r="IV365" s="840"/>
      <c r="IW365" s="840"/>
      <c r="IX365" s="840"/>
      <c r="IY365" s="840"/>
      <c r="IZ365" s="841"/>
    </row>
    <row r="366" spans="1:260" x14ac:dyDescent="0.25">
      <c r="AA366" s="518"/>
      <c r="AB366" s="518"/>
      <c r="AC366" s="518"/>
      <c r="AD366" s="518"/>
      <c r="AE366" s="518"/>
      <c r="AF366" s="518"/>
      <c r="AG366" s="518"/>
      <c r="AH366" s="518"/>
      <c r="AI366" s="518"/>
      <c r="AJ366" s="518"/>
      <c r="AK366" s="518"/>
      <c r="AL366" s="518"/>
      <c r="AM366" s="518"/>
      <c r="AN366" s="518"/>
      <c r="AO366" s="518"/>
      <c r="AP366" s="518"/>
      <c r="AQ366" s="518"/>
      <c r="AR366" s="518"/>
      <c r="AS366" s="518"/>
      <c r="AT366" s="518"/>
      <c r="AU366" s="518"/>
      <c r="AV366" s="518"/>
      <c r="AW366" s="518"/>
    </row>
    <row r="367" spans="1:260" x14ac:dyDescent="0.25">
      <c r="AA367" s="518"/>
      <c r="AB367" s="518"/>
      <c r="AC367" s="518"/>
      <c r="AD367" s="518"/>
      <c r="AE367" s="518"/>
      <c r="AF367" s="518"/>
      <c r="AG367" s="518"/>
      <c r="AH367" s="518"/>
      <c r="AI367" s="518"/>
      <c r="AJ367" s="518"/>
      <c r="AK367" s="518"/>
      <c r="AL367" s="518"/>
      <c r="AM367" s="518"/>
      <c r="AN367" s="518"/>
      <c r="AO367" s="518"/>
      <c r="AP367" s="518"/>
      <c r="AQ367" s="518"/>
      <c r="AR367" s="518"/>
      <c r="AS367" s="518"/>
      <c r="AT367" s="518"/>
      <c r="AU367" s="518"/>
      <c r="AV367" s="518"/>
      <c r="AW367" s="518"/>
    </row>
    <row r="368" spans="1:260" x14ac:dyDescent="0.25">
      <c r="A368" s="529"/>
      <c r="B368" s="529"/>
      <c r="C368" s="529"/>
      <c r="D368" s="529"/>
      <c r="E368" s="529"/>
      <c r="F368" s="529"/>
      <c r="G368" s="529"/>
      <c r="H368" s="529"/>
      <c r="I368" s="529"/>
      <c r="J368" s="529">
        <v>18</v>
      </c>
      <c r="K368" s="529">
        <v>19</v>
      </c>
      <c r="L368" s="529">
        <v>20</v>
      </c>
      <c r="M368" s="529">
        <v>21</v>
      </c>
      <c r="N368" s="529">
        <v>22</v>
      </c>
      <c r="O368" s="529">
        <v>23</v>
      </c>
      <c r="P368" s="529">
        <v>24</v>
      </c>
      <c r="Q368" s="529">
        <v>25</v>
      </c>
      <c r="R368" s="529">
        <v>26</v>
      </c>
      <c r="S368" s="529">
        <v>27</v>
      </c>
      <c r="T368" s="529">
        <v>28</v>
      </c>
      <c r="U368" s="529">
        <v>29</v>
      </c>
      <c r="V368" s="529">
        <v>30</v>
      </c>
      <c r="W368" s="529"/>
      <c r="X368" s="529"/>
      <c r="Y368" s="529">
        <f>IFERROR(IF(COUNTIF(Pedidos!$J:$J,Q$2)&gt;A368-1,MATCH(Q$2,Pedidos!$J:$J,0),""),"")</f>
        <v>22</v>
      </c>
      <c r="Z368" s="529">
        <f>IFERROR(IF(Y368="",0,COUNTIF(Pedidos!$J:$J,Procesos!Q$2)),"")</f>
        <v>1</v>
      </c>
      <c r="AA368" s="529"/>
      <c r="AB368" s="529"/>
      <c r="AC368" s="529"/>
      <c r="AD368" s="529"/>
      <c r="AE368" s="529"/>
      <c r="AF368" s="529"/>
      <c r="AG368" s="529"/>
      <c r="AH368" s="529"/>
      <c r="AI368" s="529"/>
      <c r="AJ368" s="529">
        <v>18</v>
      </c>
      <c r="AK368" s="529">
        <v>19</v>
      </c>
      <c r="AL368" s="529">
        <v>20</v>
      </c>
      <c r="AM368" s="529">
        <v>21</v>
      </c>
      <c r="AN368" s="529">
        <v>22</v>
      </c>
      <c r="AO368" s="529">
        <v>23</v>
      </c>
      <c r="AP368" s="529">
        <v>24</v>
      </c>
      <c r="AQ368" s="529">
        <v>25</v>
      </c>
      <c r="AR368" s="529">
        <v>26</v>
      </c>
      <c r="AS368" s="529">
        <v>27</v>
      </c>
      <c r="AT368" s="529">
        <v>28</v>
      </c>
      <c r="AU368" s="529">
        <v>29</v>
      </c>
      <c r="AV368" s="529">
        <v>30</v>
      </c>
      <c r="AW368" s="529"/>
      <c r="AX368" s="529"/>
      <c r="AY368" s="529">
        <f>IFERROR(IF(COUNTIF(Pedidos!$J:$J,AQ$2)&gt;AA368-1,MATCH(AQ$2,Pedidos!$J:$J,0),""),"")</f>
        <v>30</v>
      </c>
      <c r="AZ368" s="529">
        <f>IFERROR(IF(AY368="",0,COUNTIF(Pedidos!$J:$J,Procesos!AQ$2)),"")</f>
        <v>4</v>
      </c>
      <c r="BA368" s="529"/>
      <c r="BB368" s="529"/>
      <c r="BC368" s="529"/>
      <c r="BD368" s="529"/>
      <c r="BE368" s="529"/>
      <c r="BF368" s="529"/>
      <c r="BG368" s="529"/>
      <c r="BH368" s="529"/>
      <c r="BI368" s="529"/>
      <c r="BJ368" s="529">
        <v>18</v>
      </c>
      <c r="BK368" s="529">
        <v>19</v>
      </c>
      <c r="BL368" s="529">
        <v>20</v>
      </c>
      <c r="BM368" s="529">
        <v>21</v>
      </c>
      <c r="BN368" s="529">
        <v>22</v>
      </c>
      <c r="BO368" s="529">
        <v>23</v>
      </c>
      <c r="BP368" s="529">
        <v>24</v>
      </c>
      <c r="BQ368" s="529">
        <v>25</v>
      </c>
      <c r="BR368" s="529">
        <v>26</v>
      </c>
      <c r="BS368" s="529">
        <v>27</v>
      </c>
      <c r="BT368" s="529">
        <v>28</v>
      </c>
      <c r="BU368" s="529">
        <v>29</v>
      </c>
      <c r="BV368" s="529">
        <v>30</v>
      </c>
      <c r="BW368" s="529"/>
      <c r="BX368" s="529"/>
      <c r="BY368" s="529" t="str">
        <f>IFERROR(IF(COUNTIF(Pedidos!$J:$J,BQ$2)&gt;BA368-1,MATCH(BQ$2,Pedidos!$J:$J,0),""),"")</f>
        <v/>
      </c>
      <c r="BZ368" s="529">
        <f>IFERROR(IF(BY368="",0,COUNTIF(Pedidos!$J:$J,Procesos!BQ$2)),"")</f>
        <v>0</v>
      </c>
      <c r="CA368" s="529"/>
      <c r="CB368" s="529"/>
      <c r="CC368" s="529"/>
      <c r="CD368" s="529"/>
      <c r="CE368" s="529"/>
      <c r="CF368" s="529"/>
      <c r="CG368" s="529"/>
      <c r="CH368" s="529"/>
      <c r="CI368" s="529"/>
      <c r="CJ368" s="529">
        <v>18</v>
      </c>
      <c r="CK368" s="529">
        <v>19</v>
      </c>
      <c r="CL368" s="529">
        <v>20</v>
      </c>
      <c r="CM368" s="529">
        <v>21</v>
      </c>
      <c r="CN368" s="529">
        <v>22</v>
      </c>
      <c r="CO368" s="529">
        <v>23</v>
      </c>
      <c r="CP368" s="529">
        <v>24</v>
      </c>
      <c r="CQ368" s="529">
        <v>25</v>
      </c>
      <c r="CR368" s="529">
        <v>26</v>
      </c>
      <c r="CS368" s="529">
        <v>27</v>
      </c>
      <c r="CT368" s="529">
        <v>28</v>
      </c>
      <c r="CU368" s="529">
        <v>29</v>
      </c>
      <c r="CV368" s="529">
        <v>30</v>
      </c>
      <c r="CW368" s="529"/>
      <c r="CX368" s="529"/>
      <c r="CY368" s="529" t="str">
        <f>IFERROR(IF(COUNTIF(Pedidos!$J:$J,CQ$2)&gt;CA368-1,MATCH(CQ$2,Pedidos!$J:$J,0),""),"")</f>
        <v/>
      </c>
      <c r="CZ368" s="529">
        <f>IFERROR(IF(CY368="",0,COUNTIF(Pedidos!$J:$J,Procesos!CQ$2)),"")</f>
        <v>0</v>
      </c>
      <c r="DA368" s="529"/>
      <c r="DB368" s="529"/>
      <c r="DC368" s="529"/>
      <c r="DD368" s="529"/>
      <c r="DE368" s="529"/>
      <c r="DF368" s="529"/>
      <c r="DG368" s="529"/>
      <c r="DH368" s="529"/>
      <c r="DI368" s="529"/>
      <c r="DJ368" s="529">
        <v>18</v>
      </c>
      <c r="DK368" s="529">
        <v>19</v>
      </c>
      <c r="DL368" s="529">
        <v>20</v>
      </c>
      <c r="DM368" s="529">
        <v>21</v>
      </c>
      <c r="DN368" s="529">
        <v>22</v>
      </c>
      <c r="DO368" s="529">
        <v>23</v>
      </c>
      <c r="DP368" s="529">
        <v>24</v>
      </c>
      <c r="DQ368" s="529">
        <v>25</v>
      </c>
      <c r="DR368" s="529">
        <v>26</v>
      </c>
      <c r="DS368" s="529">
        <v>27</v>
      </c>
      <c r="DT368" s="529">
        <v>28</v>
      </c>
      <c r="DU368" s="529">
        <v>29</v>
      </c>
      <c r="DV368" s="529">
        <v>30</v>
      </c>
      <c r="DW368" s="529"/>
      <c r="DX368" s="529"/>
      <c r="DY368" s="529" t="str">
        <f>IFERROR(IF(COUNTIF(Pedidos!$J:$J,DQ$2)&gt;DA368-1,MATCH(DQ$2,Pedidos!$J:$J,0),""),"")</f>
        <v/>
      </c>
      <c r="DZ368" s="529">
        <f>IFERROR(IF(DY368="",0,COUNTIF(Pedidos!$J:$J,Procesos!DQ$2)),"")</f>
        <v>0</v>
      </c>
      <c r="EA368" s="529"/>
      <c r="EB368" s="529"/>
      <c r="EC368" s="529"/>
      <c r="ED368" s="529"/>
      <c r="EE368" s="529"/>
      <c r="EF368" s="529"/>
      <c r="EG368" s="529"/>
      <c r="EH368" s="529"/>
      <c r="EI368" s="529"/>
      <c r="EJ368" s="529">
        <v>18</v>
      </c>
      <c r="EK368" s="529">
        <v>19</v>
      </c>
      <c r="EL368" s="529">
        <v>20</v>
      </c>
      <c r="EM368" s="529">
        <v>21</v>
      </c>
      <c r="EN368" s="529">
        <v>22</v>
      </c>
      <c r="EO368" s="529">
        <v>23</v>
      </c>
      <c r="EP368" s="529">
        <v>24</v>
      </c>
      <c r="EQ368" s="529">
        <v>25</v>
      </c>
      <c r="ER368" s="529">
        <v>26</v>
      </c>
      <c r="ES368" s="529">
        <v>27</v>
      </c>
      <c r="ET368" s="529">
        <v>28</v>
      </c>
      <c r="EU368" s="529">
        <v>29</v>
      </c>
      <c r="EV368" s="529">
        <v>30</v>
      </c>
      <c r="EW368" s="529"/>
      <c r="EX368" s="529"/>
      <c r="EY368" s="529" t="str">
        <f>IFERROR(IF(COUNTIF(Pedidos!$J:$J,EQ$2)&gt;EA368-1,MATCH(EQ$2,Pedidos!$J:$J,0),""),"")</f>
        <v/>
      </c>
      <c r="EZ368" s="529">
        <f>IFERROR(IF(EY368="",0,COUNTIF(Pedidos!$J:$J,Procesos!EQ$2)),"")</f>
        <v>0</v>
      </c>
      <c r="FA368" s="529"/>
      <c r="FB368" s="529"/>
      <c r="FC368" s="529"/>
      <c r="FD368" s="529"/>
      <c r="FE368" s="529"/>
      <c r="FF368" s="529"/>
      <c r="FG368" s="529"/>
      <c r="FH368" s="529"/>
      <c r="FI368" s="529"/>
      <c r="FJ368" s="529">
        <v>18</v>
      </c>
      <c r="FK368" s="529">
        <v>19</v>
      </c>
      <c r="FL368" s="529">
        <v>20</v>
      </c>
      <c r="FM368" s="529">
        <v>21</v>
      </c>
      <c r="FN368" s="529">
        <v>22</v>
      </c>
      <c r="FO368" s="529">
        <v>23</v>
      </c>
      <c r="FP368" s="529">
        <v>24</v>
      </c>
      <c r="FQ368" s="529">
        <v>25</v>
      </c>
      <c r="FR368" s="529">
        <v>26</v>
      </c>
      <c r="FS368" s="529">
        <v>27</v>
      </c>
      <c r="FT368" s="529">
        <v>28</v>
      </c>
      <c r="FU368" s="529">
        <v>29</v>
      </c>
      <c r="FV368" s="529">
        <v>30</v>
      </c>
      <c r="FW368" s="529"/>
      <c r="FX368" s="529"/>
      <c r="FY368" s="529" t="str">
        <f>IFERROR(IF(COUNTIF(Pedidos!$J:$J,FQ$2)&gt;FA368-1,MATCH(FQ$2,Pedidos!$J:$J,0),""),"")</f>
        <v/>
      </c>
      <c r="FZ368" s="529">
        <f>IFERROR(IF(FY368="",0,COUNTIF(Pedidos!$J:$J,Procesos!FQ$2)),"")</f>
        <v>0</v>
      </c>
      <c r="GA368" s="529"/>
      <c r="GB368" s="529"/>
      <c r="GC368" s="529"/>
      <c r="GD368" s="529"/>
      <c r="GE368" s="529"/>
      <c r="GF368" s="529"/>
      <c r="GG368" s="529"/>
      <c r="GH368" s="529"/>
      <c r="GI368" s="529"/>
      <c r="GJ368" s="529">
        <v>18</v>
      </c>
      <c r="GK368" s="529">
        <v>19</v>
      </c>
      <c r="GL368" s="529">
        <v>20</v>
      </c>
      <c r="GM368" s="529">
        <v>21</v>
      </c>
      <c r="GN368" s="529">
        <v>22</v>
      </c>
      <c r="GO368" s="529">
        <v>23</v>
      </c>
      <c r="GP368" s="529">
        <v>24</v>
      </c>
      <c r="GQ368" s="529">
        <v>25</v>
      </c>
      <c r="GR368" s="529">
        <v>26</v>
      </c>
      <c r="GS368" s="529">
        <v>27</v>
      </c>
      <c r="GT368" s="529">
        <v>28</v>
      </c>
      <c r="GU368" s="529">
        <v>29</v>
      </c>
      <c r="GV368" s="529">
        <v>30</v>
      </c>
      <c r="GW368" s="529"/>
      <c r="GX368" s="529"/>
      <c r="GY368" s="529" t="str">
        <f>IFERROR(IF(COUNTIF(Pedidos!$J:$J,GQ$2)&gt;GA368-1,MATCH(GQ$2,Pedidos!$J:$J,0),""),"")</f>
        <v/>
      </c>
      <c r="GZ368" s="529">
        <f>IFERROR(IF(GY368="",0,COUNTIF(Pedidos!$J:$J,Procesos!GQ$2)),"")</f>
        <v>0</v>
      </c>
      <c r="HA368" s="529"/>
      <c r="HB368" s="529"/>
      <c r="HC368" s="529"/>
      <c r="HD368" s="529"/>
      <c r="HE368" s="529"/>
      <c r="HF368" s="529"/>
      <c r="HG368" s="529"/>
      <c r="HH368" s="529"/>
      <c r="HI368" s="529"/>
      <c r="HJ368" s="529">
        <v>18</v>
      </c>
      <c r="HK368" s="529">
        <v>19</v>
      </c>
      <c r="HL368" s="529">
        <v>20</v>
      </c>
      <c r="HM368" s="529">
        <v>21</v>
      </c>
      <c r="HN368" s="529">
        <v>22</v>
      </c>
      <c r="HO368" s="529">
        <v>23</v>
      </c>
      <c r="HP368" s="529">
        <v>24</v>
      </c>
      <c r="HQ368" s="529">
        <v>25</v>
      </c>
      <c r="HR368" s="529">
        <v>26</v>
      </c>
      <c r="HS368" s="529">
        <v>27</v>
      </c>
      <c r="HT368" s="529">
        <v>28</v>
      </c>
      <c r="HU368" s="529">
        <v>29</v>
      </c>
      <c r="HV368" s="529">
        <v>30</v>
      </c>
      <c r="HW368" s="529"/>
      <c r="HX368" s="529"/>
      <c r="HY368" s="529" t="str">
        <f>IFERROR(IF(COUNTIF(Pedidos!$J:$J,HQ$2)&gt;HA368-1,MATCH(HQ$2,Pedidos!$J:$J,0),""),"")</f>
        <v/>
      </c>
      <c r="HZ368" s="529">
        <f>IFERROR(IF(HY368="",0,COUNTIF(Pedidos!$J:$J,Procesos!HQ$2)),"")</f>
        <v>0</v>
      </c>
      <c r="IA368" s="529"/>
      <c r="IB368" s="529"/>
      <c r="IC368" s="529"/>
      <c r="ID368" s="529"/>
      <c r="IE368" s="529"/>
      <c r="IF368" s="529"/>
      <c r="IG368" s="529"/>
      <c r="IH368" s="529"/>
      <c r="II368" s="529"/>
      <c r="IJ368" s="529">
        <v>18</v>
      </c>
      <c r="IK368" s="529">
        <v>19</v>
      </c>
      <c r="IL368" s="529">
        <v>20</v>
      </c>
      <c r="IM368" s="529">
        <v>21</v>
      </c>
      <c r="IN368" s="529">
        <v>22</v>
      </c>
      <c r="IO368" s="529">
        <v>23</v>
      </c>
      <c r="IP368" s="529">
        <v>24</v>
      </c>
      <c r="IQ368" s="529">
        <v>25</v>
      </c>
      <c r="IR368" s="529">
        <v>26</v>
      </c>
      <c r="IS368" s="529">
        <v>27</v>
      </c>
      <c r="IT368" s="529">
        <v>28</v>
      </c>
      <c r="IU368" s="529">
        <v>29</v>
      </c>
      <c r="IV368" s="529">
        <v>30</v>
      </c>
      <c r="IW368" s="529"/>
      <c r="IX368" s="529"/>
      <c r="IY368" s="529" t="str">
        <f>IFERROR(IF(COUNTIF(Pedidos!$J:$J,IQ$2)&gt;IA368-1,MATCH(IQ$2,Pedidos!$J:$J,0),""),"")</f>
        <v/>
      </c>
      <c r="IZ368" s="529">
        <f>IFERROR(IF(IY368="",0,COUNTIF(Pedidos!$J:$J,Procesos!IQ$2)),"")</f>
        <v>0</v>
      </c>
    </row>
    <row r="369" spans="1:260" ht="15.75" thickBot="1" x14ac:dyDescent="0.3">
      <c r="A369" s="529">
        <v>17</v>
      </c>
      <c r="B369" s="529"/>
      <c r="C369" s="529"/>
      <c r="D369" s="529"/>
      <c r="E369" s="529"/>
      <c r="F369" s="529"/>
      <c r="G369" s="529"/>
      <c r="H369" s="529"/>
      <c r="I369" s="529"/>
      <c r="J369" s="529">
        <v>18</v>
      </c>
      <c r="K369" s="529">
        <v>19</v>
      </c>
      <c r="L369" s="529">
        <v>20</v>
      </c>
      <c r="M369" s="529">
        <v>21</v>
      </c>
      <c r="N369" s="529">
        <v>22</v>
      </c>
      <c r="O369" s="529">
        <v>23</v>
      </c>
      <c r="P369" s="529">
        <v>24</v>
      </c>
      <c r="Q369" s="529">
        <v>25</v>
      </c>
      <c r="R369" s="529">
        <v>26</v>
      </c>
      <c r="S369" s="529">
        <v>27</v>
      </c>
      <c r="T369" s="529">
        <v>28</v>
      </c>
      <c r="U369" s="529">
        <v>29</v>
      </c>
      <c r="V369" s="529">
        <v>30</v>
      </c>
      <c r="W369" s="529"/>
      <c r="X369" s="529"/>
      <c r="Y369" s="529" t="str">
        <f>IFERROR(IF(COUNTIF(Pedidos!$J:$J,Q$2)&gt;A369-1,MATCH(Q$2,Pedidos!$J:$J,0),""),"")</f>
        <v/>
      </c>
      <c r="Z369" s="529">
        <f>IFERROR(IF(Y369="",0,COUNTIF(Pedidos!$J:$J,Procesos!Q$2)),"")</f>
        <v>0</v>
      </c>
      <c r="AA369" s="529">
        <v>17</v>
      </c>
      <c r="AB369" s="529"/>
      <c r="AC369" s="529"/>
      <c r="AD369" s="529"/>
      <c r="AE369" s="529"/>
      <c r="AF369" s="529"/>
      <c r="AG369" s="529"/>
      <c r="AH369" s="529"/>
      <c r="AI369" s="529"/>
      <c r="AJ369" s="529">
        <v>18</v>
      </c>
      <c r="AK369" s="529">
        <v>19</v>
      </c>
      <c r="AL369" s="529">
        <v>20</v>
      </c>
      <c r="AM369" s="529">
        <v>21</v>
      </c>
      <c r="AN369" s="529">
        <v>22</v>
      </c>
      <c r="AO369" s="529">
        <v>23</v>
      </c>
      <c r="AP369" s="529">
        <v>24</v>
      </c>
      <c r="AQ369" s="529">
        <v>25</v>
      </c>
      <c r="AR369" s="529">
        <v>26</v>
      </c>
      <c r="AS369" s="529">
        <v>27</v>
      </c>
      <c r="AT369" s="529">
        <v>28</v>
      </c>
      <c r="AU369" s="529">
        <v>29</v>
      </c>
      <c r="AV369" s="529">
        <v>30</v>
      </c>
      <c r="AW369" s="529"/>
      <c r="AX369" s="529"/>
      <c r="AY369" s="529" t="str">
        <f>IFERROR(IF(COUNTIF(Pedidos!$J:$J,AQ$2)&gt;AA369-1,MATCH(AQ$2,Pedidos!$J:$J,0),""),"")</f>
        <v/>
      </c>
      <c r="AZ369" s="529">
        <f>IFERROR(IF(AY369="",0,COUNTIF(Pedidos!$J:$J,Procesos!AQ$2)),"")</f>
        <v>0</v>
      </c>
      <c r="BA369" s="529">
        <v>17</v>
      </c>
      <c r="BB369" s="529"/>
      <c r="BC369" s="529"/>
      <c r="BD369" s="529"/>
      <c r="BE369" s="529"/>
      <c r="BF369" s="529"/>
      <c r="BG369" s="529"/>
      <c r="BH369" s="529"/>
      <c r="BI369" s="529"/>
      <c r="BJ369" s="529">
        <v>18</v>
      </c>
      <c r="BK369" s="529">
        <v>19</v>
      </c>
      <c r="BL369" s="529">
        <v>20</v>
      </c>
      <c r="BM369" s="529">
        <v>21</v>
      </c>
      <c r="BN369" s="529">
        <v>22</v>
      </c>
      <c r="BO369" s="529">
        <v>23</v>
      </c>
      <c r="BP369" s="529">
        <v>24</v>
      </c>
      <c r="BQ369" s="529">
        <v>25</v>
      </c>
      <c r="BR369" s="529">
        <v>26</v>
      </c>
      <c r="BS369" s="529">
        <v>27</v>
      </c>
      <c r="BT369" s="529">
        <v>28</v>
      </c>
      <c r="BU369" s="529">
        <v>29</v>
      </c>
      <c r="BV369" s="529">
        <v>30</v>
      </c>
      <c r="BW369" s="529"/>
      <c r="BX369" s="529"/>
      <c r="BY369" s="529" t="str">
        <f>IFERROR(IF(COUNTIF(Pedidos!$J:$J,BQ$2)&gt;BA369-1,MATCH(BQ$2,Pedidos!$J:$J,0),""),"")</f>
        <v/>
      </c>
      <c r="BZ369" s="529">
        <f>IFERROR(IF(BY369="",0,COUNTIF(Pedidos!$J:$J,Procesos!BQ$2)),"")</f>
        <v>0</v>
      </c>
      <c r="CA369" s="529">
        <v>17</v>
      </c>
      <c r="CB369" s="529"/>
      <c r="CC369" s="529"/>
      <c r="CD369" s="529"/>
      <c r="CE369" s="529"/>
      <c r="CF369" s="529"/>
      <c r="CG369" s="529"/>
      <c r="CH369" s="529"/>
      <c r="CI369" s="529"/>
      <c r="CJ369" s="529">
        <v>18</v>
      </c>
      <c r="CK369" s="529">
        <v>19</v>
      </c>
      <c r="CL369" s="529">
        <v>20</v>
      </c>
      <c r="CM369" s="529">
        <v>21</v>
      </c>
      <c r="CN369" s="529">
        <v>22</v>
      </c>
      <c r="CO369" s="529">
        <v>23</v>
      </c>
      <c r="CP369" s="529">
        <v>24</v>
      </c>
      <c r="CQ369" s="529">
        <v>25</v>
      </c>
      <c r="CR369" s="529">
        <v>26</v>
      </c>
      <c r="CS369" s="529">
        <v>27</v>
      </c>
      <c r="CT369" s="529">
        <v>28</v>
      </c>
      <c r="CU369" s="529">
        <v>29</v>
      </c>
      <c r="CV369" s="529">
        <v>30</v>
      </c>
      <c r="CW369" s="529"/>
      <c r="CX369" s="529"/>
      <c r="CY369" s="529" t="str">
        <f>IFERROR(IF(COUNTIF(Pedidos!$J:$J,CQ$2)&gt;CA369-1,MATCH(CQ$2,Pedidos!$J:$J,0),""),"")</f>
        <v/>
      </c>
      <c r="CZ369" s="529">
        <f>IFERROR(IF(CY369="",0,COUNTIF(Pedidos!$J:$J,Procesos!CQ$2)),"")</f>
        <v>0</v>
      </c>
      <c r="DA369" s="529">
        <v>17</v>
      </c>
      <c r="DB369" s="529"/>
      <c r="DC369" s="529"/>
      <c r="DD369" s="529"/>
      <c r="DE369" s="529"/>
      <c r="DF369" s="529"/>
      <c r="DG369" s="529"/>
      <c r="DH369" s="529"/>
      <c r="DI369" s="529"/>
      <c r="DJ369" s="529">
        <v>18</v>
      </c>
      <c r="DK369" s="529">
        <v>19</v>
      </c>
      <c r="DL369" s="529">
        <v>20</v>
      </c>
      <c r="DM369" s="529">
        <v>21</v>
      </c>
      <c r="DN369" s="529">
        <v>22</v>
      </c>
      <c r="DO369" s="529">
        <v>23</v>
      </c>
      <c r="DP369" s="529">
        <v>24</v>
      </c>
      <c r="DQ369" s="529">
        <v>25</v>
      </c>
      <c r="DR369" s="529">
        <v>26</v>
      </c>
      <c r="DS369" s="529">
        <v>27</v>
      </c>
      <c r="DT369" s="529">
        <v>28</v>
      </c>
      <c r="DU369" s="529">
        <v>29</v>
      </c>
      <c r="DV369" s="529">
        <v>30</v>
      </c>
      <c r="DW369" s="529"/>
      <c r="DX369" s="529"/>
      <c r="DY369" s="529" t="str">
        <f>IFERROR(IF(COUNTIF(Pedidos!$J:$J,DQ$2)&gt;DA369-1,MATCH(DQ$2,Pedidos!$J:$J,0),""),"")</f>
        <v/>
      </c>
      <c r="DZ369" s="529">
        <f>IFERROR(IF(DY369="",0,COUNTIF(Pedidos!$J:$J,Procesos!DQ$2)),"")</f>
        <v>0</v>
      </c>
      <c r="EA369" s="529">
        <v>17</v>
      </c>
      <c r="EB369" s="529"/>
      <c r="EC369" s="529"/>
      <c r="ED369" s="529"/>
      <c r="EE369" s="529"/>
      <c r="EF369" s="529"/>
      <c r="EG369" s="529"/>
      <c r="EH369" s="529"/>
      <c r="EI369" s="529"/>
      <c r="EJ369" s="529">
        <v>18</v>
      </c>
      <c r="EK369" s="529">
        <v>19</v>
      </c>
      <c r="EL369" s="529">
        <v>20</v>
      </c>
      <c r="EM369" s="529">
        <v>21</v>
      </c>
      <c r="EN369" s="529">
        <v>22</v>
      </c>
      <c r="EO369" s="529">
        <v>23</v>
      </c>
      <c r="EP369" s="529">
        <v>24</v>
      </c>
      <c r="EQ369" s="529">
        <v>25</v>
      </c>
      <c r="ER369" s="529">
        <v>26</v>
      </c>
      <c r="ES369" s="529">
        <v>27</v>
      </c>
      <c r="ET369" s="529">
        <v>28</v>
      </c>
      <c r="EU369" s="529">
        <v>29</v>
      </c>
      <c r="EV369" s="529">
        <v>30</v>
      </c>
      <c r="EW369" s="529"/>
      <c r="EX369" s="529"/>
      <c r="EY369" s="529" t="str">
        <f>IFERROR(IF(COUNTIF(Pedidos!$J:$J,EQ$2)&gt;EA369-1,MATCH(EQ$2,Pedidos!$J:$J,0),""),"")</f>
        <v/>
      </c>
      <c r="EZ369" s="529">
        <f>IFERROR(IF(EY369="",0,COUNTIF(Pedidos!$J:$J,Procesos!EQ$2)),"")</f>
        <v>0</v>
      </c>
      <c r="FA369" s="529">
        <v>17</v>
      </c>
      <c r="FB369" s="529"/>
      <c r="FC369" s="529"/>
      <c r="FD369" s="529"/>
      <c r="FE369" s="529"/>
      <c r="FF369" s="529"/>
      <c r="FG369" s="529"/>
      <c r="FH369" s="529"/>
      <c r="FI369" s="529"/>
      <c r="FJ369" s="529">
        <v>18</v>
      </c>
      <c r="FK369" s="529">
        <v>19</v>
      </c>
      <c r="FL369" s="529">
        <v>20</v>
      </c>
      <c r="FM369" s="529">
        <v>21</v>
      </c>
      <c r="FN369" s="529">
        <v>22</v>
      </c>
      <c r="FO369" s="529">
        <v>23</v>
      </c>
      <c r="FP369" s="529">
        <v>24</v>
      </c>
      <c r="FQ369" s="529">
        <v>25</v>
      </c>
      <c r="FR369" s="529">
        <v>26</v>
      </c>
      <c r="FS369" s="529">
        <v>27</v>
      </c>
      <c r="FT369" s="529">
        <v>28</v>
      </c>
      <c r="FU369" s="529">
        <v>29</v>
      </c>
      <c r="FV369" s="529">
        <v>30</v>
      </c>
      <c r="FW369" s="529"/>
      <c r="FX369" s="529"/>
      <c r="FY369" s="529" t="str">
        <f>IFERROR(IF(COUNTIF(Pedidos!$J:$J,FQ$2)&gt;FA369-1,MATCH(FQ$2,Pedidos!$J:$J,0),""),"")</f>
        <v/>
      </c>
      <c r="FZ369" s="529">
        <f>IFERROR(IF(FY369="",0,COUNTIF(Pedidos!$J:$J,Procesos!FQ$2)),"")</f>
        <v>0</v>
      </c>
      <c r="GA369" s="529">
        <v>17</v>
      </c>
      <c r="GB369" s="529"/>
      <c r="GC369" s="529"/>
      <c r="GD369" s="529"/>
      <c r="GE369" s="529"/>
      <c r="GF369" s="529"/>
      <c r="GG369" s="529"/>
      <c r="GH369" s="529"/>
      <c r="GI369" s="529"/>
      <c r="GJ369" s="529">
        <v>18</v>
      </c>
      <c r="GK369" s="529">
        <v>19</v>
      </c>
      <c r="GL369" s="529">
        <v>20</v>
      </c>
      <c r="GM369" s="529">
        <v>21</v>
      </c>
      <c r="GN369" s="529">
        <v>22</v>
      </c>
      <c r="GO369" s="529">
        <v>23</v>
      </c>
      <c r="GP369" s="529">
        <v>24</v>
      </c>
      <c r="GQ369" s="529">
        <v>25</v>
      </c>
      <c r="GR369" s="529">
        <v>26</v>
      </c>
      <c r="GS369" s="529">
        <v>27</v>
      </c>
      <c r="GT369" s="529">
        <v>28</v>
      </c>
      <c r="GU369" s="529">
        <v>29</v>
      </c>
      <c r="GV369" s="529">
        <v>30</v>
      </c>
      <c r="GW369" s="529"/>
      <c r="GX369" s="529"/>
      <c r="GY369" s="529" t="str">
        <f>IFERROR(IF(COUNTIF(Pedidos!$J:$J,GQ$2)&gt;GA369-1,MATCH(GQ$2,Pedidos!$J:$J,0),""),"")</f>
        <v/>
      </c>
      <c r="GZ369" s="529">
        <f>IFERROR(IF(GY369="",0,COUNTIF(Pedidos!$J:$J,Procesos!GQ$2)),"")</f>
        <v>0</v>
      </c>
      <c r="HA369" s="529">
        <v>17</v>
      </c>
      <c r="HB369" s="529"/>
      <c r="HC369" s="529"/>
      <c r="HD369" s="529"/>
      <c r="HE369" s="529"/>
      <c r="HF369" s="529"/>
      <c r="HG369" s="529"/>
      <c r="HH369" s="529"/>
      <c r="HI369" s="529"/>
      <c r="HJ369" s="529">
        <v>18</v>
      </c>
      <c r="HK369" s="529">
        <v>19</v>
      </c>
      <c r="HL369" s="529">
        <v>20</v>
      </c>
      <c r="HM369" s="529">
        <v>21</v>
      </c>
      <c r="HN369" s="529">
        <v>22</v>
      </c>
      <c r="HO369" s="529">
        <v>23</v>
      </c>
      <c r="HP369" s="529">
        <v>24</v>
      </c>
      <c r="HQ369" s="529">
        <v>25</v>
      </c>
      <c r="HR369" s="529">
        <v>26</v>
      </c>
      <c r="HS369" s="529">
        <v>27</v>
      </c>
      <c r="HT369" s="529">
        <v>28</v>
      </c>
      <c r="HU369" s="529">
        <v>29</v>
      </c>
      <c r="HV369" s="529">
        <v>30</v>
      </c>
      <c r="HW369" s="529"/>
      <c r="HX369" s="529"/>
      <c r="HY369" s="529" t="str">
        <f>IFERROR(IF(COUNTIF(Pedidos!$J:$J,HQ$2)&gt;HA369-1,MATCH(HQ$2,Pedidos!$J:$J,0),""),"")</f>
        <v/>
      </c>
      <c r="HZ369" s="529">
        <f>IFERROR(IF(HY369="",0,COUNTIF(Pedidos!$J:$J,Procesos!HQ$2)),"")</f>
        <v>0</v>
      </c>
      <c r="IA369" s="529">
        <v>17</v>
      </c>
      <c r="IB369" s="529"/>
      <c r="IC369" s="529"/>
      <c r="ID369" s="529"/>
      <c r="IE369" s="529"/>
      <c r="IF369" s="529"/>
      <c r="IG369" s="529"/>
      <c r="IH369" s="529"/>
      <c r="II369" s="529"/>
      <c r="IJ369" s="529">
        <v>18</v>
      </c>
      <c r="IK369" s="529">
        <v>19</v>
      </c>
      <c r="IL369" s="529">
        <v>20</v>
      </c>
      <c r="IM369" s="529">
        <v>21</v>
      </c>
      <c r="IN369" s="529">
        <v>22</v>
      </c>
      <c r="IO369" s="529">
        <v>23</v>
      </c>
      <c r="IP369" s="529">
        <v>24</v>
      </c>
      <c r="IQ369" s="529">
        <v>25</v>
      </c>
      <c r="IR369" s="529">
        <v>26</v>
      </c>
      <c r="IS369" s="529">
        <v>27</v>
      </c>
      <c r="IT369" s="529">
        <v>28</v>
      </c>
      <c r="IU369" s="529">
        <v>29</v>
      </c>
      <c r="IV369" s="529">
        <v>30</v>
      </c>
      <c r="IW369" s="529"/>
      <c r="IX369" s="529"/>
      <c r="IY369" s="529" t="str">
        <f>IFERROR(IF(COUNTIF(Pedidos!$J:$J,IQ$2)&gt;IA369-1,MATCH(IQ$2,Pedidos!$J:$J,0),""),"")</f>
        <v/>
      </c>
      <c r="IZ369" s="529">
        <f>IFERROR(IF(IY369="",0,COUNTIF(Pedidos!$J:$J,Procesos!IQ$2)),"")</f>
        <v>0</v>
      </c>
    </row>
    <row r="370" spans="1:260" x14ac:dyDescent="0.25">
      <c r="A370" s="815" t="str">
        <f>IF(Z369&gt;=A369,Q$2 &amp;"     ITEM # "&amp;A369,"")</f>
        <v/>
      </c>
      <c r="B370" s="816"/>
      <c r="C370" s="816"/>
      <c r="D370" s="816"/>
      <c r="E370" s="816"/>
      <c r="F370" s="816"/>
      <c r="G370" s="816"/>
      <c r="H370" s="816"/>
      <c r="I370" s="817"/>
      <c r="J370" s="818" t="str">
        <f>IF(Z369&gt;=A369,$J$6,"")</f>
        <v/>
      </c>
      <c r="K370" s="816"/>
      <c r="L370" s="816"/>
      <c r="M370" s="816"/>
      <c r="N370" s="816"/>
      <c r="O370" s="816"/>
      <c r="P370" s="816"/>
      <c r="Q370" s="816"/>
      <c r="R370" s="816"/>
      <c r="S370" s="816"/>
      <c r="T370" s="816"/>
      <c r="U370" s="816"/>
      <c r="V370" s="816"/>
      <c r="W370" s="816"/>
      <c r="X370" s="816"/>
      <c r="Y370" s="816"/>
      <c r="Z370" s="819"/>
      <c r="AA370" s="815" t="str">
        <f>IF(AZ369&gt;=AA369,AQ$2 &amp;"     ITEM # "&amp;AA369,"")</f>
        <v/>
      </c>
      <c r="AB370" s="816"/>
      <c r="AC370" s="816"/>
      <c r="AD370" s="816"/>
      <c r="AE370" s="816"/>
      <c r="AF370" s="816"/>
      <c r="AG370" s="816"/>
      <c r="AH370" s="816"/>
      <c r="AI370" s="817"/>
      <c r="AJ370" s="818" t="str">
        <f>IF(AZ369&gt;=AA369,$J$6,"")</f>
        <v/>
      </c>
      <c r="AK370" s="816"/>
      <c r="AL370" s="816"/>
      <c r="AM370" s="816"/>
      <c r="AN370" s="816"/>
      <c r="AO370" s="816"/>
      <c r="AP370" s="816"/>
      <c r="AQ370" s="816"/>
      <c r="AR370" s="816"/>
      <c r="AS370" s="816"/>
      <c r="AT370" s="816"/>
      <c r="AU370" s="816"/>
      <c r="AV370" s="816"/>
      <c r="AW370" s="816"/>
      <c r="AX370" s="816"/>
      <c r="AY370" s="816"/>
      <c r="AZ370" s="819"/>
      <c r="BA370" s="815" t="str">
        <f>IF(BZ369&gt;=BA369,BQ$2 &amp;"     ITEM # "&amp;BA369,"")</f>
        <v/>
      </c>
      <c r="BB370" s="816"/>
      <c r="BC370" s="816"/>
      <c r="BD370" s="816"/>
      <c r="BE370" s="816"/>
      <c r="BF370" s="816"/>
      <c r="BG370" s="816"/>
      <c r="BH370" s="816"/>
      <c r="BI370" s="817"/>
      <c r="BJ370" s="818" t="str">
        <f>IF(BZ369&gt;=BA369,$J$6,"")</f>
        <v/>
      </c>
      <c r="BK370" s="816"/>
      <c r="BL370" s="816"/>
      <c r="BM370" s="816"/>
      <c r="BN370" s="816"/>
      <c r="BO370" s="816"/>
      <c r="BP370" s="816"/>
      <c r="BQ370" s="816"/>
      <c r="BR370" s="816"/>
      <c r="BS370" s="816"/>
      <c r="BT370" s="816"/>
      <c r="BU370" s="816"/>
      <c r="BV370" s="816"/>
      <c r="BW370" s="816"/>
      <c r="BX370" s="816"/>
      <c r="BY370" s="816"/>
      <c r="BZ370" s="819"/>
      <c r="CA370" s="815" t="str">
        <f>IF(CZ369&gt;=CA369,CQ$2 &amp;"     ITEM # "&amp;CA369,"")</f>
        <v/>
      </c>
      <c r="CB370" s="816"/>
      <c r="CC370" s="816"/>
      <c r="CD370" s="816"/>
      <c r="CE370" s="816"/>
      <c r="CF370" s="816"/>
      <c r="CG370" s="816"/>
      <c r="CH370" s="816"/>
      <c r="CI370" s="817"/>
      <c r="CJ370" s="818" t="str">
        <f>IF(CZ369&gt;=CA369,$J$6,"")</f>
        <v/>
      </c>
      <c r="CK370" s="816"/>
      <c r="CL370" s="816"/>
      <c r="CM370" s="816"/>
      <c r="CN370" s="816"/>
      <c r="CO370" s="816"/>
      <c r="CP370" s="816"/>
      <c r="CQ370" s="816"/>
      <c r="CR370" s="816"/>
      <c r="CS370" s="816"/>
      <c r="CT370" s="816"/>
      <c r="CU370" s="816"/>
      <c r="CV370" s="816"/>
      <c r="CW370" s="816"/>
      <c r="CX370" s="816"/>
      <c r="CY370" s="816"/>
      <c r="CZ370" s="819"/>
      <c r="DA370" s="815" t="str">
        <f>IF(DZ369&gt;=DA369,DQ$2 &amp;"     ITEM # "&amp;DA369,"")</f>
        <v/>
      </c>
      <c r="DB370" s="816"/>
      <c r="DC370" s="816"/>
      <c r="DD370" s="816"/>
      <c r="DE370" s="816"/>
      <c r="DF370" s="816"/>
      <c r="DG370" s="816"/>
      <c r="DH370" s="816"/>
      <c r="DI370" s="817"/>
      <c r="DJ370" s="818" t="str">
        <f>IF(DZ369&gt;=DA369,$J$6,"")</f>
        <v/>
      </c>
      <c r="DK370" s="816"/>
      <c r="DL370" s="816"/>
      <c r="DM370" s="816"/>
      <c r="DN370" s="816"/>
      <c r="DO370" s="816"/>
      <c r="DP370" s="816"/>
      <c r="DQ370" s="816"/>
      <c r="DR370" s="816"/>
      <c r="DS370" s="816"/>
      <c r="DT370" s="816"/>
      <c r="DU370" s="816"/>
      <c r="DV370" s="816"/>
      <c r="DW370" s="816"/>
      <c r="DX370" s="816"/>
      <c r="DY370" s="816"/>
      <c r="DZ370" s="819"/>
      <c r="EA370" s="815" t="str">
        <f>IF(EZ369&gt;=EA369,EQ$2 &amp;"     ITEM # "&amp;EA369,"")</f>
        <v/>
      </c>
      <c r="EB370" s="816"/>
      <c r="EC370" s="816"/>
      <c r="ED370" s="816"/>
      <c r="EE370" s="816"/>
      <c r="EF370" s="816"/>
      <c r="EG370" s="816"/>
      <c r="EH370" s="816"/>
      <c r="EI370" s="817"/>
      <c r="EJ370" s="818" t="str">
        <f>IF(EZ369&gt;=EA369,$J$6,"")</f>
        <v/>
      </c>
      <c r="EK370" s="816"/>
      <c r="EL370" s="816"/>
      <c r="EM370" s="816"/>
      <c r="EN370" s="816"/>
      <c r="EO370" s="816"/>
      <c r="EP370" s="816"/>
      <c r="EQ370" s="816"/>
      <c r="ER370" s="816"/>
      <c r="ES370" s="816"/>
      <c r="ET370" s="816"/>
      <c r="EU370" s="816"/>
      <c r="EV370" s="816"/>
      <c r="EW370" s="816"/>
      <c r="EX370" s="816"/>
      <c r="EY370" s="816"/>
      <c r="EZ370" s="819"/>
      <c r="FA370" s="815" t="str">
        <f>IF(FZ369&gt;=FA369,FQ$2 &amp;"     ITEM # "&amp;FA369,"")</f>
        <v/>
      </c>
      <c r="FB370" s="816"/>
      <c r="FC370" s="816"/>
      <c r="FD370" s="816"/>
      <c r="FE370" s="816"/>
      <c r="FF370" s="816"/>
      <c r="FG370" s="816"/>
      <c r="FH370" s="816"/>
      <c r="FI370" s="817"/>
      <c r="FJ370" s="818" t="str">
        <f>IF(FZ369&gt;=FA369,$J$6,"")</f>
        <v/>
      </c>
      <c r="FK370" s="816"/>
      <c r="FL370" s="816"/>
      <c r="FM370" s="816"/>
      <c r="FN370" s="816"/>
      <c r="FO370" s="816"/>
      <c r="FP370" s="816"/>
      <c r="FQ370" s="816"/>
      <c r="FR370" s="816"/>
      <c r="FS370" s="816"/>
      <c r="FT370" s="816"/>
      <c r="FU370" s="816"/>
      <c r="FV370" s="816"/>
      <c r="FW370" s="816"/>
      <c r="FX370" s="816"/>
      <c r="FY370" s="816"/>
      <c r="FZ370" s="819"/>
      <c r="GA370" s="815" t="str">
        <f>IF(GZ369&gt;=GA369,GQ$2 &amp;"     ITEM # "&amp;GA369,"")</f>
        <v/>
      </c>
      <c r="GB370" s="816"/>
      <c r="GC370" s="816"/>
      <c r="GD370" s="816"/>
      <c r="GE370" s="816"/>
      <c r="GF370" s="816"/>
      <c r="GG370" s="816"/>
      <c r="GH370" s="816"/>
      <c r="GI370" s="817"/>
      <c r="GJ370" s="818" t="str">
        <f>IF(GZ369&gt;=GA369,$J$6,"")</f>
        <v/>
      </c>
      <c r="GK370" s="816"/>
      <c r="GL370" s="816"/>
      <c r="GM370" s="816"/>
      <c r="GN370" s="816"/>
      <c r="GO370" s="816"/>
      <c r="GP370" s="816"/>
      <c r="GQ370" s="816"/>
      <c r="GR370" s="816"/>
      <c r="GS370" s="816"/>
      <c r="GT370" s="816"/>
      <c r="GU370" s="816"/>
      <c r="GV370" s="816"/>
      <c r="GW370" s="816"/>
      <c r="GX370" s="816"/>
      <c r="GY370" s="816"/>
      <c r="GZ370" s="819"/>
      <c r="HA370" s="815" t="str">
        <f>IF(HZ369&gt;=HA369,HQ$2 &amp;"     ITEM # "&amp;HA369,"")</f>
        <v/>
      </c>
      <c r="HB370" s="816"/>
      <c r="HC370" s="816"/>
      <c r="HD370" s="816"/>
      <c r="HE370" s="816"/>
      <c r="HF370" s="816"/>
      <c r="HG370" s="816"/>
      <c r="HH370" s="816"/>
      <c r="HI370" s="817"/>
      <c r="HJ370" s="818" t="str">
        <f>IF(HZ369&gt;=HA369,$J$6,"")</f>
        <v/>
      </c>
      <c r="HK370" s="816"/>
      <c r="HL370" s="816"/>
      <c r="HM370" s="816"/>
      <c r="HN370" s="816"/>
      <c r="HO370" s="816"/>
      <c r="HP370" s="816"/>
      <c r="HQ370" s="816"/>
      <c r="HR370" s="816"/>
      <c r="HS370" s="816"/>
      <c r="HT370" s="816"/>
      <c r="HU370" s="816"/>
      <c r="HV370" s="816"/>
      <c r="HW370" s="816"/>
      <c r="HX370" s="816"/>
      <c r="HY370" s="816"/>
      <c r="HZ370" s="819"/>
      <c r="IA370" s="815" t="str">
        <f>IF(IZ369&gt;=IA369,IQ$2 &amp;"     ITEM # "&amp;IA369,"")</f>
        <v/>
      </c>
      <c r="IB370" s="816"/>
      <c r="IC370" s="816"/>
      <c r="ID370" s="816"/>
      <c r="IE370" s="816"/>
      <c r="IF370" s="816"/>
      <c r="IG370" s="816"/>
      <c r="IH370" s="816"/>
      <c r="II370" s="817"/>
      <c r="IJ370" s="818" t="str">
        <f>IF(IZ369&gt;=IA369,$J$6,"")</f>
        <v/>
      </c>
      <c r="IK370" s="816"/>
      <c r="IL370" s="816"/>
      <c r="IM370" s="816"/>
      <c r="IN370" s="816"/>
      <c r="IO370" s="816"/>
      <c r="IP370" s="816"/>
      <c r="IQ370" s="816"/>
      <c r="IR370" s="816"/>
      <c r="IS370" s="816"/>
      <c r="IT370" s="816"/>
      <c r="IU370" s="816"/>
      <c r="IV370" s="816"/>
      <c r="IW370" s="816"/>
      <c r="IX370" s="816"/>
      <c r="IY370" s="816"/>
      <c r="IZ370" s="819"/>
    </row>
    <row r="371" spans="1:260" x14ac:dyDescent="0.25">
      <c r="A371" s="848" t="str">
        <f>IFERROR(INDEX(Lista_Pedidos,Procesos!Y369+A369-1,5),"")</f>
        <v/>
      </c>
      <c r="B371" s="843"/>
      <c r="C371" s="843"/>
      <c r="D371" s="843"/>
      <c r="E371" s="843"/>
      <c r="F371" s="843"/>
      <c r="G371" s="843"/>
      <c r="H371" s="843"/>
      <c r="I371" s="844"/>
      <c r="J371" s="842" t="str">
        <f>IF(Z369&gt;=A369,$J$7,"")</f>
        <v/>
      </c>
      <c r="K371" s="843"/>
      <c r="L371" s="844"/>
      <c r="M371" s="842" t="str">
        <f>IF(Z369&gt;=A369,$M$7,"")</f>
        <v/>
      </c>
      <c r="N371" s="843"/>
      <c r="O371" s="844"/>
      <c r="P371" s="842" t="str">
        <f>IF(Z369&gt;=A369,$P$7,"")</f>
        <v/>
      </c>
      <c r="Q371" s="843"/>
      <c r="R371" s="843"/>
      <c r="S371" s="843"/>
      <c r="T371" s="843"/>
      <c r="U371" s="844"/>
      <c r="V371" s="834" t="str">
        <f>IF(Z369&gt;=A369,$V$7,"")</f>
        <v/>
      </c>
      <c r="W371" s="842" t="str">
        <f>IF(Z369&gt;=A369,$W$7,"")</f>
        <v/>
      </c>
      <c r="X371" s="843"/>
      <c r="Y371" s="843"/>
      <c r="Z371" s="850"/>
      <c r="AA371" s="848" t="str">
        <f>IFERROR(INDEX(Lista_Pedidos,Procesos!AY369+AA369-1,5),"")</f>
        <v/>
      </c>
      <c r="AB371" s="843"/>
      <c r="AC371" s="843"/>
      <c r="AD371" s="843"/>
      <c r="AE371" s="843"/>
      <c r="AF371" s="843"/>
      <c r="AG371" s="843"/>
      <c r="AH371" s="843"/>
      <c r="AI371" s="844"/>
      <c r="AJ371" s="842" t="str">
        <f>IF(AZ369&gt;=AA369,$J$7,"")</f>
        <v/>
      </c>
      <c r="AK371" s="843"/>
      <c r="AL371" s="844"/>
      <c r="AM371" s="842" t="str">
        <f>IF(AZ369&gt;=AA369,$M$7,"")</f>
        <v/>
      </c>
      <c r="AN371" s="843"/>
      <c r="AO371" s="844"/>
      <c r="AP371" s="842" t="str">
        <f>IF(AZ369&gt;=AA369,$P$7,"")</f>
        <v/>
      </c>
      <c r="AQ371" s="843"/>
      <c r="AR371" s="843"/>
      <c r="AS371" s="843"/>
      <c r="AT371" s="843"/>
      <c r="AU371" s="844"/>
      <c r="AV371" s="834" t="str">
        <f>IF(AZ369&gt;=AA369,$V$7,"")</f>
        <v/>
      </c>
      <c r="AW371" s="842" t="str">
        <f>IF(AZ369&gt;=AA369,$W$7,"")</f>
        <v/>
      </c>
      <c r="AX371" s="843"/>
      <c r="AY371" s="843"/>
      <c r="AZ371" s="850"/>
      <c r="BA371" s="848" t="str">
        <f>IFERROR(INDEX(Lista_Pedidos,Procesos!BY369+BA369-1,5),"")</f>
        <v/>
      </c>
      <c r="BB371" s="843"/>
      <c r="BC371" s="843"/>
      <c r="BD371" s="843"/>
      <c r="BE371" s="843"/>
      <c r="BF371" s="843"/>
      <c r="BG371" s="843"/>
      <c r="BH371" s="843"/>
      <c r="BI371" s="844"/>
      <c r="BJ371" s="842" t="str">
        <f>IF(BZ369&gt;=BA369,$J$7,"")</f>
        <v/>
      </c>
      <c r="BK371" s="843"/>
      <c r="BL371" s="844"/>
      <c r="BM371" s="842" t="str">
        <f>IF(BZ369&gt;=BA369,$M$7,"")</f>
        <v/>
      </c>
      <c r="BN371" s="843"/>
      <c r="BO371" s="844"/>
      <c r="BP371" s="842" t="str">
        <f>IF(BZ369&gt;=BA369,$P$7,"")</f>
        <v/>
      </c>
      <c r="BQ371" s="843"/>
      <c r="BR371" s="843"/>
      <c r="BS371" s="843"/>
      <c r="BT371" s="843"/>
      <c r="BU371" s="844"/>
      <c r="BV371" s="834" t="str">
        <f>IF(BZ369&gt;=BA369,$V$7,"")</f>
        <v/>
      </c>
      <c r="BW371" s="842" t="str">
        <f>IF(BZ369&gt;=BA369,$W$7,"")</f>
        <v/>
      </c>
      <c r="BX371" s="843"/>
      <c r="BY371" s="843"/>
      <c r="BZ371" s="850"/>
      <c r="CA371" s="848" t="str">
        <f>IFERROR(INDEX(Lista_Pedidos,Procesos!CY369+CA369-1,5),"")</f>
        <v/>
      </c>
      <c r="CB371" s="843"/>
      <c r="CC371" s="843"/>
      <c r="CD371" s="843"/>
      <c r="CE371" s="843"/>
      <c r="CF371" s="843"/>
      <c r="CG371" s="843"/>
      <c r="CH371" s="843"/>
      <c r="CI371" s="844"/>
      <c r="CJ371" s="842" t="str">
        <f>IF(CZ369&gt;=CA369,$J$7,"")</f>
        <v/>
      </c>
      <c r="CK371" s="843"/>
      <c r="CL371" s="844"/>
      <c r="CM371" s="842" t="str">
        <f>IF(CZ369&gt;=CA369,$M$7,"")</f>
        <v/>
      </c>
      <c r="CN371" s="843"/>
      <c r="CO371" s="844"/>
      <c r="CP371" s="842" t="str">
        <f>IF(CZ369&gt;=CA369,$P$7,"")</f>
        <v/>
      </c>
      <c r="CQ371" s="843"/>
      <c r="CR371" s="843"/>
      <c r="CS371" s="843"/>
      <c r="CT371" s="843"/>
      <c r="CU371" s="844"/>
      <c r="CV371" s="834" t="str">
        <f>IF(CZ369&gt;=CA369,$V$7,"")</f>
        <v/>
      </c>
      <c r="CW371" s="842" t="str">
        <f>IF(CZ369&gt;=CA369,$W$7,"")</f>
        <v/>
      </c>
      <c r="CX371" s="843"/>
      <c r="CY371" s="843"/>
      <c r="CZ371" s="850"/>
      <c r="DA371" s="848" t="str">
        <f>IFERROR(INDEX(Lista_Pedidos,Procesos!DY369+DA369-1,5),"")</f>
        <v/>
      </c>
      <c r="DB371" s="843"/>
      <c r="DC371" s="843"/>
      <c r="DD371" s="843"/>
      <c r="DE371" s="843"/>
      <c r="DF371" s="843"/>
      <c r="DG371" s="843"/>
      <c r="DH371" s="843"/>
      <c r="DI371" s="844"/>
      <c r="DJ371" s="842" t="str">
        <f>IF(DZ369&gt;=DA369,$J$7,"")</f>
        <v/>
      </c>
      <c r="DK371" s="843"/>
      <c r="DL371" s="844"/>
      <c r="DM371" s="842" t="str">
        <f>IF(DZ369&gt;=DA369,$M$7,"")</f>
        <v/>
      </c>
      <c r="DN371" s="843"/>
      <c r="DO371" s="844"/>
      <c r="DP371" s="842" t="str">
        <f>IF(DZ369&gt;=DA369,$P$7,"")</f>
        <v/>
      </c>
      <c r="DQ371" s="843"/>
      <c r="DR371" s="843"/>
      <c r="DS371" s="843"/>
      <c r="DT371" s="843"/>
      <c r="DU371" s="844"/>
      <c r="DV371" s="834" t="str">
        <f>IF(DZ369&gt;=DA369,$V$7,"")</f>
        <v/>
      </c>
      <c r="DW371" s="842" t="str">
        <f>IF(DZ369&gt;=DA369,$W$7,"")</f>
        <v/>
      </c>
      <c r="DX371" s="843"/>
      <c r="DY371" s="843"/>
      <c r="DZ371" s="850"/>
      <c r="EA371" s="848" t="str">
        <f>IFERROR(INDEX(Lista_Pedidos,Procesos!EY369+EA369-1,5),"")</f>
        <v/>
      </c>
      <c r="EB371" s="843"/>
      <c r="EC371" s="843"/>
      <c r="ED371" s="843"/>
      <c r="EE371" s="843"/>
      <c r="EF371" s="843"/>
      <c r="EG371" s="843"/>
      <c r="EH371" s="843"/>
      <c r="EI371" s="844"/>
      <c r="EJ371" s="842" t="str">
        <f>IF(EZ369&gt;=EA369,$J$7,"")</f>
        <v/>
      </c>
      <c r="EK371" s="843"/>
      <c r="EL371" s="844"/>
      <c r="EM371" s="842" t="str">
        <f>IF(EZ369&gt;=EA369,$M$7,"")</f>
        <v/>
      </c>
      <c r="EN371" s="843"/>
      <c r="EO371" s="844"/>
      <c r="EP371" s="842" t="str">
        <f>IF(EZ369&gt;=EA369,$P$7,"")</f>
        <v/>
      </c>
      <c r="EQ371" s="843"/>
      <c r="ER371" s="843"/>
      <c r="ES371" s="843"/>
      <c r="ET371" s="843"/>
      <c r="EU371" s="844"/>
      <c r="EV371" s="834" t="str">
        <f>IF(EZ369&gt;=EA369,$V$7,"")</f>
        <v/>
      </c>
      <c r="EW371" s="842" t="str">
        <f>IF(EZ369&gt;=EA369,$W$7,"")</f>
        <v/>
      </c>
      <c r="EX371" s="843"/>
      <c r="EY371" s="843"/>
      <c r="EZ371" s="850"/>
      <c r="FA371" s="848" t="str">
        <f>IFERROR(INDEX(Lista_Pedidos,Procesos!FY369+FA369-1,5),"")</f>
        <v/>
      </c>
      <c r="FB371" s="843"/>
      <c r="FC371" s="843"/>
      <c r="FD371" s="843"/>
      <c r="FE371" s="843"/>
      <c r="FF371" s="843"/>
      <c r="FG371" s="843"/>
      <c r="FH371" s="843"/>
      <c r="FI371" s="844"/>
      <c r="FJ371" s="842" t="str">
        <f>IF(FZ369&gt;=FA369,$J$7,"")</f>
        <v/>
      </c>
      <c r="FK371" s="843"/>
      <c r="FL371" s="844"/>
      <c r="FM371" s="842" t="str">
        <f>IF(FZ369&gt;=FA369,$M$7,"")</f>
        <v/>
      </c>
      <c r="FN371" s="843"/>
      <c r="FO371" s="844"/>
      <c r="FP371" s="842" t="str">
        <f>IF(FZ369&gt;=FA369,$P$7,"")</f>
        <v/>
      </c>
      <c r="FQ371" s="843"/>
      <c r="FR371" s="843"/>
      <c r="FS371" s="843"/>
      <c r="FT371" s="843"/>
      <c r="FU371" s="844"/>
      <c r="FV371" s="834" t="str">
        <f>IF(FZ369&gt;=FA369,$V$7,"")</f>
        <v/>
      </c>
      <c r="FW371" s="842" t="str">
        <f>IF(FZ369&gt;=FA369,$W$7,"")</f>
        <v/>
      </c>
      <c r="FX371" s="843"/>
      <c r="FY371" s="843"/>
      <c r="FZ371" s="850"/>
      <c r="GA371" s="848" t="str">
        <f>IFERROR(INDEX(Lista_Pedidos,Procesos!GY369+GA369-1,5),"")</f>
        <v/>
      </c>
      <c r="GB371" s="843"/>
      <c r="GC371" s="843"/>
      <c r="GD371" s="843"/>
      <c r="GE371" s="843"/>
      <c r="GF371" s="843"/>
      <c r="GG371" s="843"/>
      <c r="GH371" s="843"/>
      <c r="GI371" s="844"/>
      <c r="GJ371" s="842" t="str">
        <f>IF(GZ369&gt;=GA369,$J$7,"")</f>
        <v/>
      </c>
      <c r="GK371" s="843"/>
      <c r="GL371" s="844"/>
      <c r="GM371" s="842" t="str">
        <f>IF(GZ369&gt;=GA369,$M$7,"")</f>
        <v/>
      </c>
      <c r="GN371" s="843"/>
      <c r="GO371" s="844"/>
      <c r="GP371" s="842" t="str">
        <f>IF(GZ369&gt;=GA369,$P$7,"")</f>
        <v/>
      </c>
      <c r="GQ371" s="843"/>
      <c r="GR371" s="843"/>
      <c r="GS371" s="843"/>
      <c r="GT371" s="843"/>
      <c r="GU371" s="844"/>
      <c r="GV371" s="834" t="str">
        <f>IF(GZ369&gt;=GA369,$V$7,"")</f>
        <v/>
      </c>
      <c r="GW371" s="842" t="str">
        <f>IF(GZ369&gt;=GA369,$W$7,"")</f>
        <v/>
      </c>
      <c r="GX371" s="843"/>
      <c r="GY371" s="843"/>
      <c r="GZ371" s="850"/>
      <c r="HA371" s="848" t="str">
        <f>IFERROR(INDEX(Lista_Pedidos,Procesos!HY369+HA369-1,5),"")</f>
        <v/>
      </c>
      <c r="HB371" s="843"/>
      <c r="HC371" s="843"/>
      <c r="HD371" s="843"/>
      <c r="HE371" s="843"/>
      <c r="HF371" s="843"/>
      <c r="HG371" s="843"/>
      <c r="HH371" s="843"/>
      <c r="HI371" s="844"/>
      <c r="HJ371" s="842" t="str">
        <f>IF(HZ369&gt;=HA369,$J$7,"")</f>
        <v/>
      </c>
      <c r="HK371" s="843"/>
      <c r="HL371" s="844"/>
      <c r="HM371" s="842" t="str">
        <f>IF(HZ369&gt;=HA369,$M$7,"")</f>
        <v/>
      </c>
      <c r="HN371" s="843"/>
      <c r="HO371" s="844"/>
      <c r="HP371" s="842" t="str">
        <f>IF(HZ369&gt;=HA369,$P$7,"")</f>
        <v/>
      </c>
      <c r="HQ371" s="843"/>
      <c r="HR371" s="843"/>
      <c r="HS371" s="843"/>
      <c r="HT371" s="843"/>
      <c r="HU371" s="844"/>
      <c r="HV371" s="834" t="str">
        <f>IF(HZ369&gt;=HA369,$V$7,"")</f>
        <v/>
      </c>
      <c r="HW371" s="842" t="str">
        <f>IF(HZ369&gt;=HA369,$W$7,"")</f>
        <v/>
      </c>
      <c r="HX371" s="843"/>
      <c r="HY371" s="843"/>
      <c r="HZ371" s="850"/>
      <c r="IA371" s="848" t="str">
        <f>IFERROR(INDEX(Lista_Pedidos,Procesos!IY369+IA369-1,5),"")</f>
        <v/>
      </c>
      <c r="IB371" s="843"/>
      <c r="IC371" s="843"/>
      <c r="ID371" s="843"/>
      <c r="IE371" s="843"/>
      <c r="IF371" s="843"/>
      <c r="IG371" s="843"/>
      <c r="IH371" s="843"/>
      <c r="II371" s="844"/>
      <c r="IJ371" s="842" t="str">
        <f>IF(IZ369&gt;=IA369,$J$7,"")</f>
        <v/>
      </c>
      <c r="IK371" s="843"/>
      <c r="IL371" s="844"/>
      <c r="IM371" s="842" t="str">
        <f>IF(IZ369&gt;=IA369,$M$7,"")</f>
        <v/>
      </c>
      <c r="IN371" s="843"/>
      <c r="IO371" s="844"/>
      <c r="IP371" s="842" t="str">
        <f>IF(IZ369&gt;=IA369,$P$7,"")</f>
        <v/>
      </c>
      <c r="IQ371" s="843"/>
      <c r="IR371" s="843"/>
      <c r="IS371" s="843"/>
      <c r="IT371" s="843"/>
      <c r="IU371" s="844"/>
      <c r="IV371" s="834" t="str">
        <f>IF(IZ369&gt;=IA369,$V$7,"")</f>
        <v/>
      </c>
      <c r="IW371" s="842" t="str">
        <f>IF(IZ369&gt;=IA369,$W$7,"")</f>
        <v/>
      </c>
      <c r="IX371" s="843"/>
      <c r="IY371" s="843"/>
      <c r="IZ371" s="850"/>
    </row>
    <row r="372" spans="1:260" x14ac:dyDescent="0.25">
      <c r="A372" s="849"/>
      <c r="B372" s="846"/>
      <c r="C372" s="846"/>
      <c r="D372" s="846"/>
      <c r="E372" s="846"/>
      <c r="F372" s="846"/>
      <c r="G372" s="846"/>
      <c r="H372" s="846"/>
      <c r="I372" s="847"/>
      <c r="J372" s="845"/>
      <c r="K372" s="846"/>
      <c r="L372" s="847"/>
      <c r="M372" s="845"/>
      <c r="N372" s="846"/>
      <c r="O372" s="847"/>
      <c r="P372" s="845"/>
      <c r="Q372" s="846"/>
      <c r="R372" s="846"/>
      <c r="S372" s="846"/>
      <c r="T372" s="846"/>
      <c r="U372" s="847"/>
      <c r="V372" s="835"/>
      <c r="W372" s="845"/>
      <c r="X372" s="846"/>
      <c r="Y372" s="846"/>
      <c r="Z372" s="851"/>
      <c r="AA372" s="849"/>
      <c r="AB372" s="846"/>
      <c r="AC372" s="846"/>
      <c r="AD372" s="846"/>
      <c r="AE372" s="846"/>
      <c r="AF372" s="846"/>
      <c r="AG372" s="846"/>
      <c r="AH372" s="846"/>
      <c r="AI372" s="847"/>
      <c r="AJ372" s="845"/>
      <c r="AK372" s="846"/>
      <c r="AL372" s="847"/>
      <c r="AM372" s="845"/>
      <c r="AN372" s="846"/>
      <c r="AO372" s="847"/>
      <c r="AP372" s="845"/>
      <c r="AQ372" s="846"/>
      <c r="AR372" s="846"/>
      <c r="AS372" s="846"/>
      <c r="AT372" s="846"/>
      <c r="AU372" s="847"/>
      <c r="AV372" s="835"/>
      <c r="AW372" s="845"/>
      <c r="AX372" s="846"/>
      <c r="AY372" s="846"/>
      <c r="AZ372" s="851"/>
      <c r="BA372" s="849"/>
      <c r="BB372" s="846"/>
      <c r="BC372" s="846"/>
      <c r="BD372" s="846"/>
      <c r="BE372" s="846"/>
      <c r="BF372" s="846"/>
      <c r="BG372" s="846"/>
      <c r="BH372" s="846"/>
      <c r="BI372" s="847"/>
      <c r="BJ372" s="845"/>
      <c r="BK372" s="846"/>
      <c r="BL372" s="847"/>
      <c r="BM372" s="845"/>
      <c r="BN372" s="846"/>
      <c r="BO372" s="847"/>
      <c r="BP372" s="845"/>
      <c r="BQ372" s="846"/>
      <c r="BR372" s="846"/>
      <c r="BS372" s="846"/>
      <c r="BT372" s="846"/>
      <c r="BU372" s="847"/>
      <c r="BV372" s="835"/>
      <c r="BW372" s="845"/>
      <c r="BX372" s="846"/>
      <c r="BY372" s="846"/>
      <c r="BZ372" s="851"/>
      <c r="CA372" s="849"/>
      <c r="CB372" s="846"/>
      <c r="CC372" s="846"/>
      <c r="CD372" s="846"/>
      <c r="CE372" s="846"/>
      <c r="CF372" s="846"/>
      <c r="CG372" s="846"/>
      <c r="CH372" s="846"/>
      <c r="CI372" s="847"/>
      <c r="CJ372" s="845"/>
      <c r="CK372" s="846"/>
      <c r="CL372" s="847"/>
      <c r="CM372" s="845"/>
      <c r="CN372" s="846"/>
      <c r="CO372" s="847"/>
      <c r="CP372" s="845"/>
      <c r="CQ372" s="846"/>
      <c r="CR372" s="846"/>
      <c r="CS372" s="846"/>
      <c r="CT372" s="846"/>
      <c r="CU372" s="847"/>
      <c r="CV372" s="835"/>
      <c r="CW372" s="845"/>
      <c r="CX372" s="846"/>
      <c r="CY372" s="846"/>
      <c r="CZ372" s="851"/>
      <c r="DA372" s="849"/>
      <c r="DB372" s="846"/>
      <c r="DC372" s="846"/>
      <c r="DD372" s="846"/>
      <c r="DE372" s="846"/>
      <c r="DF372" s="846"/>
      <c r="DG372" s="846"/>
      <c r="DH372" s="846"/>
      <c r="DI372" s="847"/>
      <c r="DJ372" s="845"/>
      <c r="DK372" s="846"/>
      <c r="DL372" s="847"/>
      <c r="DM372" s="845"/>
      <c r="DN372" s="846"/>
      <c r="DO372" s="847"/>
      <c r="DP372" s="845"/>
      <c r="DQ372" s="846"/>
      <c r="DR372" s="846"/>
      <c r="DS372" s="846"/>
      <c r="DT372" s="846"/>
      <c r="DU372" s="847"/>
      <c r="DV372" s="835"/>
      <c r="DW372" s="845"/>
      <c r="DX372" s="846"/>
      <c r="DY372" s="846"/>
      <c r="DZ372" s="851"/>
      <c r="EA372" s="849"/>
      <c r="EB372" s="846"/>
      <c r="EC372" s="846"/>
      <c r="ED372" s="846"/>
      <c r="EE372" s="846"/>
      <c r="EF372" s="846"/>
      <c r="EG372" s="846"/>
      <c r="EH372" s="846"/>
      <c r="EI372" s="847"/>
      <c r="EJ372" s="845"/>
      <c r="EK372" s="846"/>
      <c r="EL372" s="847"/>
      <c r="EM372" s="845"/>
      <c r="EN372" s="846"/>
      <c r="EO372" s="847"/>
      <c r="EP372" s="845"/>
      <c r="EQ372" s="846"/>
      <c r="ER372" s="846"/>
      <c r="ES372" s="846"/>
      <c r="ET372" s="846"/>
      <c r="EU372" s="847"/>
      <c r="EV372" s="835"/>
      <c r="EW372" s="845"/>
      <c r="EX372" s="846"/>
      <c r="EY372" s="846"/>
      <c r="EZ372" s="851"/>
      <c r="FA372" s="849"/>
      <c r="FB372" s="846"/>
      <c r="FC372" s="846"/>
      <c r="FD372" s="846"/>
      <c r="FE372" s="846"/>
      <c r="FF372" s="846"/>
      <c r="FG372" s="846"/>
      <c r="FH372" s="846"/>
      <c r="FI372" s="847"/>
      <c r="FJ372" s="845"/>
      <c r="FK372" s="846"/>
      <c r="FL372" s="847"/>
      <c r="FM372" s="845"/>
      <c r="FN372" s="846"/>
      <c r="FO372" s="847"/>
      <c r="FP372" s="845"/>
      <c r="FQ372" s="846"/>
      <c r="FR372" s="846"/>
      <c r="FS372" s="846"/>
      <c r="FT372" s="846"/>
      <c r="FU372" s="847"/>
      <c r="FV372" s="835"/>
      <c r="FW372" s="845"/>
      <c r="FX372" s="846"/>
      <c r="FY372" s="846"/>
      <c r="FZ372" s="851"/>
      <c r="GA372" s="849"/>
      <c r="GB372" s="846"/>
      <c r="GC372" s="846"/>
      <c r="GD372" s="846"/>
      <c r="GE372" s="846"/>
      <c r="GF372" s="846"/>
      <c r="GG372" s="846"/>
      <c r="GH372" s="846"/>
      <c r="GI372" s="847"/>
      <c r="GJ372" s="845"/>
      <c r="GK372" s="846"/>
      <c r="GL372" s="847"/>
      <c r="GM372" s="845"/>
      <c r="GN372" s="846"/>
      <c r="GO372" s="847"/>
      <c r="GP372" s="845"/>
      <c r="GQ372" s="846"/>
      <c r="GR372" s="846"/>
      <c r="GS372" s="846"/>
      <c r="GT372" s="846"/>
      <c r="GU372" s="847"/>
      <c r="GV372" s="835"/>
      <c r="GW372" s="845"/>
      <c r="GX372" s="846"/>
      <c r="GY372" s="846"/>
      <c r="GZ372" s="851"/>
      <c r="HA372" s="849"/>
      <c r="HB372" s="846"/>
      <c r="HC372" s="846"/>
      <c r="HD372" s="846"/>
      <c r="HE372" s="846"/>
      <c r="HF372" s="846"/>
      <c r="HG372" s="846"/>
      <c r="HH372" s="846"/>
      <c r="HI372" s="847"/>
      <c r="HJ372" s="845"/>
      <c r="HK372" s="846"/>
      <c r="HL372" s="847"/>
      <c r="HM372" s="845"/>
      <c r="HN372" s="846"/>
      <c r="HO372" s="847"/>
      <c r="HP372" s="845"/>
      <c r="HQ372" s="846"/>
      <c r="HR372" s="846"/>
      <c r="HS372" s="846"/>
      <c r="HT372" s="846"/>
      <c r="HU372" s="847"/>
      <c r="HV372" s="835"/>
      <c r="HW372" s="845"/>
      <c r="HX372" s="846"/>
      <c r="HY372" s="846"/>
      <c r="HZ372" s="851"/>
      <c r="IA372" s="849"/>
      <c r="IB372" s="846"/>
      <c r="IC372" s="846"/>
      <c r="ID372" s="846"/>
      <c r="IE372" s="846"/>
      <c r="IF372" s="846"/>
      <c r="IG372" s="846"/>
      <c r="IH372" s="846"/>
      <c r="II372" s="847"/>
      <c r="IJ372" s="845"/>
      <c r="IK372" s="846"/>
      <c r="IL372" s="847"/>
      <c r="IM372" s="845"/>
      <c r="IN372" s="846"/>
      <c r="IO372" s="847"/>
      <c r="IP372" s="845"/>
      <c r="IQ372" s="846"/>
      <c r="IR372" s="846"/>
      <c r="IS372" s="846"/>
      <c r="IT372" s="846"/>
      <c r="IU372" s="847"/>
      <c r="IV372" s="835"/>
      <c r="IW372" s="845"/>
      <c r="IX372" s="846"/>
      <c r="IY372" s="846"/>
      <c r="IZ372" s="851"/>
    </row>
    <row r="373" spans="1:260" ht="15" customHeight="1" x14ac:dyDescent="0.25">
      <c r="A373" s="858" t="str">
        <f>IF(Z369&gt;=A369,$A$9,"")</f>
        <v/>
      </c>
      <c r="B373" s="806"/>
      <c r="C373" s="806"/>
      <c r="D373" s="806"/>
      <c r="E373" s="852"/>
      <c r="F373" s="805" t="str">
        <f>IF(Z369&gt;=A369,$F$9,"")</f>
        <v/>
      </c>
      <c r="G373" s="806"/>
      <c r="H373" s="806"/>
      <c r="I373" s="852"/>
      <c r="J373" s="811" t="str">
        <f>IF(Z369&gt;=A369,$J$9,"")</f>
        <v/>
      </c>
      <c r="K373" s="803" t="str">
        <f>IF(Z369&gt;=A369,$K$9,"")</f>
        <v/>
      </c>
      <c r="L373" s="803" t="str">
        <f>IF(Z369&gt;=A369,$L$9,"")</f>
        <v/>
      </c>
      <c r="M373" s="803" t="str">
        <f>IF(Z369&gt;=A369,$M$9,"")</f>
        <v/>
      </c>
      <c r="N373" s="803" t="str">
        <f>IF(Z369&gt;=A369,$N$9,"")</f>
        <v/>
      </c>
      <c r="O373" s="803" t="str">
        <f>IF(Z369&gt;=A369,$O$9,"")</f>
        <v/>
      </c>
      <c r="P373" s="803" t="str">
        <f>IF(Z369&gt;=A369,$P$9,"")</f>
        <v/>
      </c>
      <c r="Q373" s="803" t="str">
        <f>IF(Z369&gt;=A369,$Q$9,"")</f>
        <v/>
      </c>
      <c r="R373" s="803" t="str">
        <f>IF(Z369&gt;=A369,$R$9,"")</f>
        <v/>
      </c>
      <c r="S373" s="803" t="str">
        <f>IF(Z369&gt;=A369,$S$9,"")</f>
        <v/>
      </c>
      <c r="T373" s="803" t="str">
        <f>IF(Z369&gt;=A369,$T$9,"")</f>
        <v/>
      </c>
      <c r="U373" s="803" t="str">
        <f>IF(Z369&gt;=A369,$U$9,"")</f>
        <v/>
      </c>
      <c r="V373" s="803" t="str">
        <f>IF(Z369&gt;=A369,$V$9,"")</f>
        <v/>
      </c>
      <c r="W373" s="805" t="str">
        <f>IF(Z369&gt;=A369,$W$9,"")</f>
        <v/>
      </c>
      <c r="X373" s="806"/>
      <c r="Y373" s="806"/>
      <c r="Z373" s="807"/>
      <c r="AA373" s="858" t="str">
        <f>IF(AZ369&gt;=AA369,$A$9,"")</f>
        <v/>
      </c>
      <c r="AB373" s="806"/>
      <c r="AC373" s="806"/>
      <c r="AD373" s="806"/>
      <c r="AE373" s="852"/>
      <c r="AF373" s="805" t="str">
        <f>IF(AZ369&gt;=AA369,$F$9,"")</f>
        <v/>
      </c>
      <c r="AG373" s="806"/>
      <c r="AH373" s="806"/>
      <c r="AI373" s="852"/>
      <c r="AJ373" s="811" t="str">
        <f>IF(AZ369&gt;=AA369,$J$9,"")</f>
        <v/>
      </c>
      <c r="AK373" s="803" t="str">
        <f>IF(AZ369&gt;=AA369,$K$9,"")</f>
        <v/>
      </c>
      <c r="AL373" s="803" t="str">
        <f>IF(AZ369&gt;=AA369,$L$9,"")</f>
        <v/>
      </c>
      <c r="AM373" s="803" t="str">
        <f>IF(AZ369&gt;=AA369,$M$9,"")</f>
        <v/>
      </c>
      <c r="AN373" s="803" t="str">
        <f>IF(AZ369&gt;=AA369,$N$9,"")</f>
        <v/>
      </c>
      <c r="AO373" s="803" t="str">
        <f>IF(AZ369&gt;=AA369,$O$9,"")</f>
        <v/>
      </c>
      <c r="AP373" s="803" t="str">
        <f>IF(AZ369&gt;=AA369,$P$9,"")</f>
        <v/>
      </c>
      <c r="AQ373" s="803" t="str">
        <f>IF(AZ369&gt;=AA369,$Q$9,"")</f>
        <v/>
      </c>
      <c r="AR373" s="803" t="str">
        <f>IF(AZ369&gt;=AA369,$R$9,"")</f>
        <v/>
      </c>
      <c r="AS373" s="803" t="str">
        <f>IF(AZ369&gt;=AA369,$S$9,"")</f>
        <v/>
      </c>
      <c r="AT373" s="803" t="str">
        <f>IF(AZ369&gt;=AA369,$T$9,"")</f>
        <v/>
      </c>
      <c r="AU373" s="803" t="str">
        <f>IF(AZ369&gt;=AA369,$U$9,"")</f>
        <v/>
      </c>
      <c r="AV373" s="803" t="str">
        <f>IF(AZ369&gt;=AA369,$V$9,"")</f>
        <v/>
      </c>
      <c r="AW373" s="805" t="str">
        <f>IF(AZ369&gt;=AA369,$W$9,"")</f>
        <v/>
      </c>
      <c r="AX373" s="806"/>
      <c r="AY373" s="806"/>
      <c r="AZ373" s="807"/>
      <c r="BA373" s="858" t="str">
        <f>IF(BZ369&gt;=BA369,$A$9,"")</f>
        <v/>
      </c>
      <c r="BB373" s="806"/>
      <c r="BC373" s="806"/>
      <c r="BD373" s="806"/>
      <c r="BE373" s="852"/>
      <c r="BF373" s="805" t="str">
        <f>IF(BZ369&gt;=BA369,$F$9,"")</f>
        <v/>
      </c>
      <c r="BG373" s="806"/>
      <c r="BH373" s="806"/>
      <c r="BI373" s="852"/>
      <c r="BJ373" s="811" t="str">
        <f>IF(BZ369&gt;=BA369,$J$9,"")</f>
        <v/>
      </c>
      <c r="BK373" s="803" t="str">
        <f>IF(BZ369&gt;=BA369,$K$9,"")</f>
        <v/>
      </c>
      <c r="BL373" s="803" t="str">
        <f>IF(BZ369&gt;=BA369,$L$9,"")</f>
        <v/>
      </c>
      <c r="BM373" s="803" t="str">
        <f>IF(BZ369&gt;=BA369,$M$9,"")</f>
        <v/>
      </c>
      <c r="BN373" s="803" t="str">
        <f>IF(BZ369&gt;=BA369,$N$9,"")</f>
        <v/>
      </c>
      <c r="BO373" s="803" t="str">
        <f>IF(BZ369&gt;=BA369,$O$9,"")</f>
        <v/>
      </c>
      <c r="BP373" s="803" t="str">
        <f>IF(BZ369&gt;=BA369,$P$9,"")</f>
        <v/>
      </c>
      <c r="BQ373" s="803" t="str">
        <f>IF(BZ369&gt;=BA369,$Q$9,"")</f>
        <v/>
      </c>
      <c r="BR373" s="803" t="str">
        <f>IF(BZ369&gt;=BA369,$R$9,"")</f>
        <v/>
      </c>
      <c r="BS373" s="803" t="str">
        <f>IF(BZ369&gt;=BA369,$S$9,"")</f>
        <v/>
      </c>
      <c r="BT373" s="803" t="str">
        <f>IF(BZ369&gt;=BA369,$T$9,"")</f>
        <v/>
      </c>
      <c r="BU373" s="803" t="str">
        <f>IF(BZ369&gt;=BA369,$U$9,"")</f>
        <v/>
      </c>
      <c r="BV373" s="803" t="str">
        <f>IF(BZ369&gt;=BA369,$V$9,"")</f>
        <v/>
      </c>
      <c r="BW373" s="805" t="str">
        <f>IF(BZ369&gt;=BA369,$W$9,"")</f>
        <v/>
      </c>
      <c r="BX373" s="806"/>
      <c r="BY373" s="806"/>
      <c r="BZ373" s="807"/>
      <c r="CA373" s="858" t="str">
        <f>IF(CZ369&gt;=CA369,$A$9,"")</f>
        <v/>
      </c>
      <c r="CB373" s="806"/>
      <c r="CC373" s="806"/>
      <c r="CD373" s="806"/>
      <c r="CE373" s="852"/>
      <c r="CF373" s="805" t="str">
        <f>IF(CZ369&gt;=CA369,$F$9,"")</f>
        <v/>
      </c>
      <c r="CG373" s="806"/>
      <c r="CH373" s="806"/>
      <c r="CI373" s="852"/>
      <c r="CJ373" s="811" t="str">
        <f>IF(CZ369&gt;=CA369,$J$9,"")</f>
        <v/>
      </c>
      <c r="CK373" s="803" t="str">
        <f>IF(CZ369&gt;=CA369,$K$9,"")</f>
        <v/>
      </c>
      <c r="CL373" s="803" t="str">
        <f>IF(CZ369&gt;=CA369,$L$9,"")</f>
        <v/>
      </c>
      <c r="CM373" s="803" t="str">
        <f>IF(CZ369&gt;=CA369,$M$9,"")</f>
        <v/>
      </c>
      <c r="CN373" s="803" t="str">
        <f>IF(CZ369&gt;=CA369,$N$9,"")</f>
        <v/>
      </c>
      <c r="CO373" s="803" t="str">
        <f>IF(CZ369&gt;=CA369,$O$9,"")</f>
        <v/>
      </c>
      <c r="CP373" s="803" t="str">
        <f>IF(CZ369&gt;=CA369,$P$9,"")</f>
        <v/>
      </c>
      <c r="CQ373" s="803" t="str">
        <f>IF(CZ369&gt;=CA369,$Q$9,"")</f>
        <v/>
      </c>
      <c r="CR373" s="803" t="str">
        <f>IF(CZ369&gt;=CA369,$R$9,"")</f>
        <v/>
      </c>
      <c r="CS373" s="803" t="str">
        <f>IF(CZ369&gt;=CA369,$S$9,"")</f>
        <v/>
      </c>
      <c r="CT373" s="803" t="str">
        <f>IF(CZ369&gt;=CA369,$T$9,"")</f>
        <v/>
      </c>
      <c r="CU373" s="803" t="str">
        <f>IF(CZ369&gt;=CA369,$U$9,"")</f>
        <v/>
      </c>
      <c r="CV373" s="803" t="str">
        <f>IF(CZ369&gt;=CA369,$V$9,"")</f>
        <v/>
      </c>
      <c r="CW373" s="805" t="str">
        <f>IF(CZ369&gt;=CA369,$W$9,"")</f>
        <v/>
      </c>
      <c r="CX373" s="806"/>
      <c r="CY373" s="806"/>
      <c r="CZ373" s="807"/>
      <c r="DA373" s="858" t="str">
        <f>IF(DZ369&gt;=DA369,$A$9,"")</f>
        <v/>
      </c>
      <c r="DB373" s="806"/>
      <c r="DC373" s="806"/>
      <c r="DD373" s="806"/>
      <c r="DE373" s="852"/>
      <c r="DF373" s="805" t="str">
        <f>IF(DZ369&gt;=DA369,$F$9,"")</f>
        <v/>
      </c>
      <c r="DG373" s="806"/>
      <c r="DH373" s="806"/>
      <c r="DI373" s="852"/>
      <c r="DJ373" s="811" t="str">
        <f>IF(DZ369&gt;=DA369,$J$9,"")</f>
        <v/>
      </c>
      <c r="DK373" s="803" t="str">
        <f>IF(DZ369&gt;=DA369,$K$9,"")</f>
        <v/>
      </c>
      <c r="DL373" s="803" t="str">
        <f>IF(DZ369&gt;=DA369,$L$9,"")</f>
        <v/>
      </c>
      <c r="DM373" s="803" t="str">
        <f>IF(DZ369&gt;=DA369,$M$9,"")</f>
        <v/>
      </c>
      <c r="DN373" s="803" t="str">
        <f>IF(DZ369&gt;=DA369,$N$9,"")</f>
        <v/>
      </c>
      <c r="DO373" s="803" t="str">
        <f>IF(DZ369&gt;=DA369,$O$9,"")</f>
        <v/>
      </c>
      <c r="DP373" s="803" t="str">
        <f>IF(DZ369&gt;=DA369,$P$9,"")</f>
        <v/>
      </c>
      <c r="DQ373" s="803" t="str">
        <f>IF(DZ369&gt;=DA369,$Q$9,"")</f>
        <v/>
      </c>
      <c r="DR373" s="803" t="str">
        <f>IF(DZ369&gt;=DA369,$R$9,"")</f>
        <v/>
      </c>
      <c r="DS373" s="803" t="str">
        <f>IF(DZ369&gt;=DA369,$S$9,"")</f>
        <v/>
      </c>
      <c r="DT373" s="803" t="str">
        <f>IF(DZ369&gt;=DA369,$T$9,"")</f>
        <v/>
      </c>
      <c r="DU373" s="803" t="str">
        <f>IF(DZ369&gt;=DA369,$U$9,"")</f>
        <v/>
      </c>
      <c r="DV373" s="803" t="str">
        <f>IF(DZ369&gt;=DA369,$V$9,"")</f>
        <v/>
      </c>
      <c r="DW373" s="805" t="str">
        <f>IF(DZ369&gt;=DA369,$W$9,"")</f>
        <v/>
      </c>
      <c r="DX373" s="806"/>
      <c r="DY373" s="806"/>
      <c r="DZ373" s="807"/>
      <c r="EA373" s="858" t="str">
        <f>IF(EZ369&gt;=EA369,$A$9,"")</f>
        <v/>
      </c>
      <c r="EB373" s="806"/>
      <c r="EC373" s="806"/>
      <c r="ED373" s="806"/>
      <c r="EE373" s="852"/>
      <c r="EF373" s="805" t="str">
        <f>IF(EZ369&gt;=EA369,$F$9,"")</f>
        <v/>
      </c>
      <c r="EG373" s="806"/>
      <c r="EH373" s="806"/>
      <c r="EI373" s="852"/>
      <c r="EJ373" s="811" t="str">
        <f>IF(EZ369&gt;=EA369,$J$9,"")</f>
        <v/>
      </c>
      <c r="EK373" s="803" t="str">
        <f>IF(EZ369&gt;=EA369,$K$9,"")</f>
        <v/>
      </c>
      <c r="EL373" s="803" t="str">
        <f>IF(EZ369&gt;=EA369,$L$9,"")</f>
        <v/>
      </c>
      <c r="EM373" s="803" t="str">
        <f>IF(EZ369&gt;=EA369,$M$9,"")</f>
        <v/>
      </c>
      <c r="EN373" s="803" t="str">
        <f>IF(EZ369&gt;=EA369,$N$9,"")</f>
        <v/>
      </c>
      <c r="EO373" s="803" t="str">
        <f>IF(EZ369&gt;=EA369,$O$9,"")</f>
        <v/>
      </c>
      <c r="EP373" s="803" t="str">
        <f>IF(EZ369&gt;=EA369,$P$9,"")</f>
        <v/>
      </c>
      <c r="EQ373" s="803" t="str">
        <f>IF(EZ369&gt;=EA369,$Q$9,"")</f>
        <v/>
      </c>
      <c r="ER373" s="803" t="str">
        <f>IF(EZ369&gt;=EA369,$R$9,"")</f>
        <v/>
      </c>
      <c r="ES373" s="803" t="str">
        <f>IF(EZ369&gt;=EA369,$S$9,"")</f>
        <v/>
      </c>
      <c r="ET373" s="803" t="str">
        <f>IF(EZ369&gt;=EA369,$T$9,"")</f>
        <v/>
      </c>
      <c r="EU373" s="803" t="str">
        <f>IF(EZ369&gt;=EA369,$U$9,"")</f>
        <v/>
      </c>
      <c r="EV373" s="803" t="str">
        <f>IF(EZ369&gt;=EA369,$V$9,"")</f>
        <v/>
      </c>
      <c r="EW373" s="805" t="str">
        <f>IF(EZ369&gt;=EA369,$W$9,"")</f>
        <v/>
      </c>
      <c r="EX373" s="806"/>
      <c r="EY373" s="806"/>
      <c r="EZ373" s="807"/>
      <c r="FA373" s="858" t="str">
        <f>IF(FZ369&gt;=FA369,$A$9,"")</f>
        <v/>
      </c>
      <c r="FB373" s="806"/>
      <c r="FC373" s="806"/>
      <c r="FD373" s="806"/>
      <c r="FE373" s="852"/>
      <c r="FF373" s="805" t="str">
        <f>IF(FZ369&gt;=FA369,$F$9,"")</f>
        <v/>
      </c>
      <c r="FG373" s="806"/>
      <c r="FH373" s="806"/>
      <c r="FI373" s="852"/>
      <c r="FJ373" s="811" t="str">
        <f>IF(FZ369&gt;=FA369,$J$9,"")</f>
        <v/>
      </c>
      <c r="FK373" s="803" t="str">
        <f>IF(FZ369&gt;=FA369,$K$9,"")</f>
        <v/>
      </c>
      <c r="FL373" s="803" t="str">
        <f>IF(FZ369&gt;=FA369,$L$9,"")</f>
        <v/>
      </c>
      <c r="FM373" s="803" t="str">
        <f>IF(FZ369&gt;=FA369,$M$9,"")</f>
        <v/>
      </c>
      <c r="FN373" s="803" t="str">
        <f>IF(FZ369&gt;=FA369,$N$9,"")</f>
        <v/>
      </c>
      <c r="FO373" s="803" t="str">
        <f>IF(FZ369&gt;=FA369,$O$9,"")</f>
        <v/>
      </c>
      <c r="FP373" s="803" t="str">
        <f>IF(FZ369&gt;=FA369,$P$9,"")</f>
        <v/>
      </c>
      <c r="FQ373" s="803" t="str">
        <f>IF(FZ369&gt;=FA369,$Q$9,"")</f>
        <v/>
      </c>
      <c r="FR373" s="803" t="str">
        <f>IF(FZ369&gt;=FA369,$R$9,"")</f>
        <v/>
      </c>
      <c r="FS373" s="803" t="str">
        <f>IF(FZ369&gt;=FA369,$S$9,"")</f>
        <v/>
      </c>
      <c r="FT373" s="803" t="str">
        <f>IF(FZ369&gt;=FA369,$T$9,"")</f>
        <v/>
      </c>
      <c r="FU373" s="803" t="str">
        <f>IF(FZ369&gt;=FA369,$U$9,"")</f>
        <v/>
      </c>
      <c r="FV373" s="803" t="str">
        <f>IF(FZ369&gt;=FA369,$V$9,"")</f>
        <v/>
      </c>
      <c r="FW373" s="805" t="str">
        <f>IF(FZ369&gt;=FA369,$W$9,"")</f>
        <v/>
      </c>
      <c r="FX373" s="806"/>
      <c r="FY373" s="806"/>
      <c r="FZ373" s="807"/>
      <c r="GA373" s="858" t="str">
        <f>IF(GZ369&gt;=GA369,$A$9,"")</f>
        <v/>
      </c>
      <c r="GB373" s="806"/>
      <c r="GC373" s="806"/>
      <c r="GD373" s="806"/>
      <c r="GE373" s="852"/>
      <c r="GF373" s="805" t="str">
        <f>IF(GZ369&gt;=GA369,$F$9,"")</f>
        <v/>
      </c>
      <c r="GG373" s="806"/>
      <c r="GH373" s="806"/>
      <c r="GI373" s="852"/>
      <c r="GJ373" s="811" t="str">
        <f>IF(GZ369&gt;=GA369,$J$9,"")</f>
        <v/>
      </c>
      <c r="GK373" s="803" t="str">
        <f>IF(GZ369&gt;=GA369,$K$9,"")</f>
        <v/>
      </c>
      <c r="GL373" s="803" t="str">
        <f>IF(GZ369&gt;=GA369,$L$9,"")</f>
        <v/>
      </c>
      <c r="GM373" s="803" t="str">
        <f>IF(GZ369&gt;=GA369,$M$9,"")</f>
        <v/>
      </c>
      <c r="GN373" s="803" t="str">
        <f>IF(GZ369&gt;=GA369,$N$9,"")</f>
        <v/>
      </c>
      <c r="GO373" s="803" t="str">
        <f>IF(GZ369&gt;=GA369,$O$9,"")</f>
        <v/>
      </c>
      <c r="GP373" s="803" t="str">
        <f>IF(GZ369&gt;=GA369,$P$9,"")</f>
        <v/>
      </c>
      <c r="GQ373" s="803" t="str">
        <f>IF(GZ369&gt;=GA369,$Q$9,"")</f>
        <v/>
      </c>
      <c r="GR373" s="803" t="str">
        <f>IF(GZ369&gt;=GA369,$R$9,"")</f>
        <v/>
      </c>
      <c r="GS373" s="803" t="str">
        <f>IF(GZ369&gt;=GA369,$S$9,"")</f>
        <v/>
      </c>
      <c r="GT373" s="803" t="str">
        <f>IF(GZ369&gt;=GA369,$T$9,"")</f>
        <v/>
      </c>
      <c r="GU373" s="803" t="str">
        <f>IF(GZ369&gt;=GA369,$U$9,"")</f>
        <v/>
      </c>
      <c r="GV373" s="803" t="str">
        <f>IF(GZ369&gt;=GA369,$V$9,"")</f>
        <v/>
      </c>
      <c r="GW373" s="805" t="str">
        <f>IF(GZ369&gt;=GA369,$W$9,"")</f>
        <v/>
      </c>
      <c r="GX373" s="806"/>
      <c r="GY373" s="806"/>
      <c r="GZ373" s="807"/>
      <c r="HA373" s="858" t="str">
        <f>IF(HZ369&gt;=HA369,$A$9,"")</f>
        <v/>
      </c>
      <c r="HB373" s="806"/>
      <c r="HC373" s="806"/>
      <c r="HD373" s="806"/>
      <c r="HE373" s="852"/>
      <c r="HF373" s="805" t="str">
        <f>IF(HZ369&gt;=HA369,$F$9,"")</f>
        <v/>
      </c>
      <c r="HG373" s="806"/>
      <c r="HH373" s="806"/>
      <c r="HI373" s="852"/>
      <c r="HJ373" s="811" t="str">
        <f>IF(HZ369&gt;=HA369,$J$9,"")</f>
        <v/>
      </c>
      <c r="HK373" s="803" t="str">
        <f>IF(HZ369&gt;=HA369,$K$9,"")</f>
        <v/>
      </c>
      <c r="HL373" s="803" t="str">
        <f>IF(HZ369&gt;=HA369,$L$9,"")</f>
        <v/>
      </c>
      <c r="HM373" s="803" t="str">
        <f>IF(HZ369&gt;=HA369,$M$9,"")</f>
        <v/>
      </c>
      <c r="HN373" s="803" t="str">
        <f>IF(HZ369&gt;=HA369,$N$9,"")</f>
        <v/>
      </c>
      <c r="HO373" s="803" t="str">
        <f>IF(HZ369&gt;=HA369,$O$9,"")</f>
        <v/>
      </c>
      <c r="HP373" s="803" t="str">
        <f>IF(HZ369&gt;=HA369,$P$9,"")</f>
        <v/>
      </c>
      <c r="HQ373" s="803" t="str">
        <f>IF(HZ369&gt;=HA369,$Q$9,"")</f>
        <v/>
      </c>
      <c r="HR373" s="803" t="str">
        <f>IF(HZ369&gt;=HA369,$R$9,"")</f>
        <v/>
      </c>
      <c r="HS373" s="803" t="str">
        <f>IF(HZ369&gt;=HA369,$S$9,"")</f>
        <v/>
      </c>
      <c r="HT373" s="803" t="str">
        <f>IF(HZ369&gt;=HA369,$T$9,"")</f>
        <v/>
      </c>
      <c r="HU373" s="803" t="str">
        <f>IF(HZ369&gt;=HA369,$U$9,"")</f>
        <v/>
      </c>
      <c r="HV373" s="803" t="str">
        <f>IF(HZ369&gt;=HA369,$V$9,"")</f>
        <v/>
      </c>
      <c r="HW373" s="805" t="str">
        <f>IF(HZ369&gt;=HA369,$W$9,"")</f>
        <v/>
      </c>
      <c r="HX373" s="806"/>
      <c r="HY373" s="806"/>
      <c r="HZ373" s="807"/>
      <c r="IA373" s="858" t="str">
        <f>IF(IZ369&gt;=IA369,$A$9,"")</f>
        <v/>
      </c>
      <c r="IB373" s="806"/>
      <c r="IC373" s="806"/>
      <c r="ID373" s="806"/>
      <c r="IE373" s="852"/>
      <c r="IF373" s="805" t="str">
        <f>IF(IZ369&gt;=IA369,$F$9,"")</f>
        <v/>
      </c>
      <c r="IG373" s="806"/>
      <c r="IH373" s="806"/>
      <c r="II373" s="852"/>
      <c r="IJ373" s="811" t="str">
        <f>IF(IZ369&gt;=IA369,$J$9,"")</f>
        <v/>
      </c>
      <c r="IK373" s="803" t="str">
        <f>IF(IZ369&gt;=IA369,$K$9,"")</f>
        <v/>
      </c>
      <c r="IL373" s="803" t="str">
        <f>IF(IZ369&gt;=IA369,$L$9,"")</f>
        <v/>
      </c>
      <c r="IM373" s="803" t="str">
        <f>IF(IZ369&gt;=IA369,$M$9,"")</f>
        <v/>
      </c>
      <c r="IN373" s="803" t="str">
        <f>IF(IZ369&gt;=IA369,$N$9,"")</f>
        <v/>
      </c>
      <c r="IO373" s="803" t="str">
        <f>IF(IZ369&gt;=IA369,$O$9,"")</f>
        <v/>
      </c>
      <c r="IP373" s="803" t="str">
        <f>IF(IZ369&gt;=IA369,$P$9,"")</f>
        <v/>
      </c>
      <c r="IQ373" s="803" t="str">
        <f>IF(IZ369&gt;=IA369,$Q$9,"")</f>
        <v/>
      </c>
      <c r="IR373" s="803" t="str">
        <f>IF(IZ369&gt;=IA369,$R$9,"")</f>
        <v/>
      </c>
      <c r="IS373" s="803" t="str">
        <f>IF(IZ369&gt;=IA369,$S$9,"")</f>
        <v/>
      </c>
      <c r="IT373" s="803" t="str">
        <f>IF(IZ369&gt;=IA369,$T$9,"")</f>
        <v/>
      </c>
      <c r="IU373" s="803" t="str">
        <f>IF(IZ369&gt;=IA369,$U$9,"")</f>
        <v/>
      </c>
      <c r="IV373" s="803" t="str">
        <f>IF(IZ369&gt;=IA369,$V$9,"")</f>
        <v/>
      </c>
      <c r="IW373" s="805" t="str">
        <f>IF(IZ369&gt;=IA369,$W$9,"")</f>
        <v/>
      </c>
      <c r="IX373" s="806"/>
      <c r="IY373" s="806"/>
      <c r="IZ373" s="807"/>
    </row>
    <row r="374" spans="1:260" x14ac:dyDescent="0.25">
      <c r="A374" s="859"/>
      <c r="B374" s="809"/>
      <c r="C374" s="809"/>
      <c r="D374" s="809"/>
      <c r="E374" s="853"/>
      <c r="F374" s="808"/>
      <c r="G374" s="809"/>
      <c r="H374" s="809"/>
      <c r="I374" s="853"/>
      <c r="J374" s="812"/>
      <c r="K374" s="804"/>
      <c r="L374" s="804"/>
      <c r="M374" s="804"/>
      <c r="N374" s="804"/>
      <c r="O374" s="804"/>
      <c r="P374" s="804"/>
      <c r="Q374" s="804"/>
      <c r="R374" s="804"/>
      <c r="S374" s="804"/>
      <c r="T374" s="804"/>
      <c r="U374" s="804"/>
      <c r="V374" s="804"/>
      <c r="W374" s="808"/>
      <c r="X374" s="809"/>
      <c r="Y374" s="809"/>
      <c r="Z374" s="810"/>
      <c r="AA374" s="859"/>
      <c r="AB374" s="809"/>
      <c r="AC374" s="809"/>
      <c r="AD374" s="809"/>
      <c r="AE374" s="853"/>
      <c r="AF374" s="808"/>
      <c r="AG374" s="809"/>
      <c r="AH374" s="809"/>
      <c r="AI374" s="853"/>
      <c r="AJ374" s="812"/>
      <c r="AK374" s="804"/>
      <c r="AL374" s="804"/>
      <c r="AM374" s="804"/>
      <c r="AN374" s="804"/>
      <c r="AO374" s="804"/>
      <c r="AP374" s="804"/>
      <c r="AQ374" s="804"/>
      <c r="AR374" s="804"/>
      <c r="AS374" s="804"/>
      <c r="AT374" s="804"/>
      <c r="AU374" s="804"/>
      <c r="AV374" s="804"/>
      <c r="AW374" s="808"/>
      <c r="AX374" s="809"/>
      <c r="AY374" s="809"/>
      <c r="AZ374" s="810"/>
      <c r="BA374" s="859"/>
      <c r="BB374" s="809"/>
      <c r="BC374" s="809"/>
      <c r="BD374" s="809"/>
      <c r="BE374" s="853"/>
      <c r="BF374" s="808"/>
      <c r="BG374" s="809"/>
      <c r="BH374" s="809"/>
      <c r="BI374" s="853"/>
      <c r="BJ374" s="812"/>
      <c r="BK374" s="804"/>
      <c r="BL374" s="804"/>
      <c r="BM374" s="804"/>
      <c r="BN374" s="804"/>
      <c r="BO374" s="804"/>
      <c r="BP374" s="804"/>
      <c r="BQ374" s="804"/>
      <c r="BR374" s="804"/>
      <c r="BS374" s="804"/>
      <c r="BT374" s="804"/>
      <c r="BU374" s="804"/>
      <c r="BV374" s="804"/>
      <c r="BW374" s="808"/>
      <c r="BX374" s="809"/>
      <c r="BY374" s="809"/>
      <c r="BZ374" s="810"/>
      <c r="CA374" s="859"/>
      <c r="CB374" s="809"/>
      <c r="CC374" s="809"/>
      <c r="CD374" s="809"/>
      <c r="CE374" s="853"/>
      <c r="CF374" s="808"/>
      <c r="CG374" s="809"/>
      <c r="CH374" s="809"/>
      <c r="CI374" s="853"/>
      <c r="CJ374" s="812"/>
      <c r="CK374" s="804"/>
      <c r="CL374" s="804"/>
      <c r="CM374" s="804"/>
      <c r="CN374" s="804"/>
      <c r="CO374" s="804"/>
      <c r="CP374" s="804"/>
      <c r="CQ374" s="804"/>
      <c r="CR374" s="804"/>
      <c r="CS374" s="804"/>
      <c r="CT374" s="804"/>
      <c r="CU374" s="804"/>
      <c r="CV374" s="804"/>
      <c r="CW374" s="808"/>
      <c r="CX374" s="809"/>
      <c r="CY374" s="809"/>
      <c r="CZ374" s="810"/>
      <c r="DA374" s="859"/>
      <c r="DB374" s="809"/>
      <c r="DC374" s="809"/>
      <c r="DD374" s="809"/>
      <c r="DE374" s="853"/>
      <c r="DF374" s="808"/>
      <c r="DG374" s="809"/>
      <c r="DH374" s="809"/>
      <c r="DI374" s="853"/>
      <c r="DJ374" s="812"/>
      <c r="DK374" s="804"/>
      <c r="DL374" s="804"/>
      <c r="DM374" s="804"/>
      <c r="DN374" s="804"/>
      <c r="DO374" s="804"/>
      <c r="DP374" s="804"/>
      <c r="DQ374" s="804"/>
      <c r="DR374" s="804"/>
      <c r="DS374" s="804"/>
      <c r="DT374" s="804"/>
      <c r="DU374" s="804"/>
      <c r="DV374" s="804"/>
      <c r="DW374" s="808"/>
      <c r="DX374" s="809"/>
      <c r="DY374" s="809"/>
      <c r="DZ374" s="810"/>
      <c r="EA374" s="859"/>
      <c r="EB374" s="809"/>
      <c r="EC374" s="809"/>
      <c r="ED374" s="809"/>
      <c r="EE374" s="853"/>
      <c r="EF374" s="808"/>
      <c r="EG374" s="809"/>
      <c r="EH374" s="809"/>
      <c r="EI374" s="853"/>
      <c r="EJ374" s="812"/>
      <c r="EK374" s="804"/>
      <c r="EL374" s="804"/>
      <c r="EM374" s="804"/>
      <c r="EN374" s="804"/>
      <c r="EO374" s="804"/>
      <c r="EP374" s="804"/>
      <c r="EQ374" s="804"/>
      <c r="ER374" s="804"/>
      <c r="ES374" s="804"/>
      <c r="ET374" s="804"/>
      <c r="EU374" s="804"/>
      <c r="EV374" s="804"/>
      <c r="EW374" s="808"/>
      <c r="EX374" s="809"/>
      <c r="EY374" s="809"/>
      <c r="EZ374" s="810"/>
      <c r="FA374" s="859"/>
      <c r="FB374" s="809"/>
      <c r="FC374" s="809"/>
      <c r="FD374" s="809"/>
      <c r="FE374" s="853"/>
      <c r="FF374" s="808"/>
      <c r="FG374" s="809"/>
      <c r="FH374" s="809"/>
      <c r="FI374" s="853"/>
      <c r="FJ374" s="812"/>
      <c r="FK374" s="804"/>
      <c r="FL374" s="804"/>
      <c r="FM374" s="804"/>
      <c r="FN374" s="804"/>
      <c r="FO374" s="804"/>
      <c r="FP374" s="804"/>
      <c r="FQ374" s="804"/>
      <c r="FR374" s="804"/>
      <c r="FS374" s="804"/>
      <c r="FT374" s="804"/>
      <c r="FU374" s="804"/>
      <c r="FV374" s="804"/>
      <c r="FW374" s="808"/>
      <c r="FX374" s="809"/>
      <c r="FY374" s="809"/>
      <c r="FZ374" s="810"/>
      <c r="GA374" s="859"/>
      <c r="GB374" s="809"/>
      <c r="GC374" s="809"/>
      <c r="GD374" s="809"/>
      <c r="GE374" s="853"/>
      <c r="GF374" s="808"/>
      <c r="GG374" s="809"/>
      <c r="GH374" s="809"/>
      <c r="GI374" s="853"/>
      <c r="GJ374" s="812"/>
      <c r="GK374" s="804"/>
      <c r="GL374" s="804"/>
      <c r="GM374" s="804"/>
      <c r="GN374" s="804"/>
      <c r="GO374" s="804"/>
      <c r="GP374" s="804"/>
      <c r="GQ374" s="804"/>
      <c r="GR374" s="804"/>
      <c r="GS374" s="804"/>
      <c r="GT374" s="804"/>
      <c r="GU374" s="804"/>
      <c r="GV374" s="804"/>
      <c r="GW374" s="808"/>
      <c r="GX374" s="809"/>
      <c r="GY374" s="809"/>
      <c r="GZ374" s="810"/>
      <c r="HA374" s="859"/>
      <c r="HB374" s="809"/>
      <c r="HC374" s="809"/>
      <c r="HD374" s="809"/>
      <c r="HE374" s="853"/>
      <c r="HF374" s="808"/>
      <c r="HG374" s="809"/>
      <c r="HH374" s="809"/>
      <c r="HI374" s="853"/>
      <c r="HJ374" s="812"/>
      <c r="HK374" s="804"/>
      <c r="HL374" s="804"/>
      <c r="HM374" s="804"/>
      <c r="HN374" s="804"/>
      <c r="HO374" s="804"/>
      <c r="HP374" s="804"/>
      <c r="HQ374" s="804"/>
      <c r="HR374" s="804"/>
      <c r="HS374" s="804"/>
      <c r="HT374" s="804"/>
      <c r="HU374" s="804"/>
      <c r="HV374" s="804"/>
      <c r="HW374" s="808"/>
      <c r="HX374" s="809"/>
      <c r="HY374" s="809"/>
      <c r="HZ374" s="810"/>
      <c r="IA374" s="859"/>
      <c r="IB374" s="809"/>
      <c r="IC374" s="809"/>
      <c r="ID374" s="809"/>
      <c r="IE374" s="853"/>
      <c r="IF374" s="808"/>
      <c r="IG374" s="809"/>
      <c r="IH374" s="809"/>
      <c r="II374" s="853"/>
      <c r="IJ374" s="812"/>
      <c r="IK374" s="804"/>
      <c r="IL374" s="804"/>
      <c r="IM374" s="804"/>
      <c r="IN374" s="804"/>
      <c r="IO374" s="804"/>
      <c r="IP374" s="804"/>
      <c r="IQ374" s="804"/>
      <c r="IR374" s="804"/>
      <c r="IS374" s="804"/>
      <c r="IT374" s="804"/>
      <c r="IU374" s="804"/>
      <c r="IV374" s="804"/>
      <c r="IW374" s="808"/>
      <c r="IX374" s="809"/>
      <c r="IY374" s="809"/>
      <c r="IZ374" s="810"/>
    </row>
    <row r="375" spans="1:260" x14ac:dyDescent="0.25">
      <c r="A375" s="854" t="str">
        <f>IFERROR(INDEX(Lista_Pedidos,Procesos!Y369+A369-1,3),"")</f>
        <v/>
      </c>
      <c r="B375" s="855"/>
      <c r="C375" s="855"/>
      <c r="D375" s="855"/>
      <c r="E375" s="856"/>
      <c r="F375" s="857" t="str">
        <f>IF(Z369&gt;A369-1,E$11,"")</f>
        <v/>
      </c>
      <c r="G375" s="855"/>
      <c r="H375" s="855"/>
      <c r="I375" s="856"/>
      <c r="J375" s="526" t="str">
        <f>IFERROR(IF(IF(Z369&gt;A369-1,INDEX(Lista_Pedidos,Y369+A369-1,J369),"")=0,"",IF(Z369&gt;A369-1,INDEX(Lista_Pedidos,Y369+A369-1,J369),"")),"")</f>
        <v/>
      </c>
      <c r="K375" s="526" t="str">
        <f>IFERROR(IF(IF(Z369&gt;A369-1,INDEX(Lista_Pedidos,Y369+A369-1,K369),"")=0,"",IF(Z369&gt;A369-1,INDEX(Lista_Pedidos,Y369+A369-1,K369),"")),"")</f>
        <v/>
      </c>
      <c r="L375" s="526" t="str">
        <f>IFERROR(IF(IF(Z369&gt;A369-1,INDEX(Lista_Pedidos,Y369+A369-1,L369),"")=0,"",IF(Z369&gt;A369-1,INDEX(Lista_Pedidos,Y369+A369-1,L369),"")),"")</f>
        <v/>
      </c>
      <c r="M375" s="526" t="str">
        <f>IFERROR(IF(IF(Z369&gt;A369-1,INDEX(Lista_Pedidos,Y369+A369-1,M369),"")=0,"",IF(Z369&gt;A369-1,INDEX(Lista_Pedidos,Y369+A369-1,M369),"")),"")</f>
        <v/>
      </c>
      <c r="N375" s="526" t="str">
        <f>IFERROR(IF(IF(Z369&gt;A369-1,INDEX(Lista_Pedidos,Y369+A369-1,N369),"")=0,"",IF(Z369&gt;A369-1,INDEX(Lista_Pedidos,Y369+A369-1,N369),"")),"")</f>
        <v/>
      </c>
      <c r="O375" s="526" t="str">
        <f>IFERROR(IF(IF(Z369&gt;A369-1,INDEX(Lista_Pedidos,Y369+A369-1,O369),"")=0,"",IF(Z369&gt;A369-1,INDEX(Lista_Pedidos,Y369+A369-1,O369),"")),"")</f>
        <v/>
      </c>
      <c r="P375" s="526" t="str">
        <f>IFERROR(IF(IF(Z369&gt;A369-1,INDEX(Lista_Pedidos,Y369+A369-1,P369),"")=0,"",IF(Z369&gt;A369-1,INDEX(Lista_Pedidos,Y369+A369-1,P369),"")),"")</f>
        <v/>
      </c>
      <c r="Q375" s="526" t="str">
        <f>IFERROR(IF(IF(Z369&gt;A369-1,INDEX(Lista_Pedidos,Y369+A369-1,Q369),"")=0,"",IF(Z369&gt;A369-1,INDEX(Lista_Pedidos,Y369+A369-1,Q369),"")),"")</f>
        <v/>
      </c>
      <c r="R375" s="526" t="str">
        <f>IFERROR(IF(IF(Z369&gt;A369-1,INDEX(Lista_Pedidos,Y369+A369-1,R369),"")=0,"",IF(Z369&gt;A369-1,INDEX(Lista_Pedidos,Y369+A369-1,R369),"")),"")</f>
        <v/>
      </c>
      <c r="S375" s="526" t="str">
        <f>IFERROR(IF(IF(Z369&gt;A369-1,INDEX(Lista_Pedidos,Y369+A369-1,S369),"")=0,"",IF(Z369&gt;A369-1,INDEX(Lista_Pedidos,Y369+A369-1,S369),"")),"")</f>
        <v/>
      </c>
      <c r="T375" s="526" t="str">
        <f>IFERROR(IF(IF(Z369&gt;A369-1,INDEX(Lista_Pedidos,Y369+A369-1,T369),"")=0,"",IF(Z369&gt;A369-1,INDEX(Lista_Pedidos,Y369+A369-1,T369),"")),"")</f>
        <v/>
      </c>
      <c r="U375" s="526" t="str">
        <f>IFERROR(IF(IF(Z369&gt;A369-1,INDEX(Lista_Pedidos,Y369+A369-1,U369),"")=0,"",IF(Z369&gt;A369-1,INDEX(Lista_Pedidos,Y369+A369-1,U369),"")),"")</f>
        <v/>
      </c>
      <c r="V375" s="526" t="str">
        <f>IFERROR(IF(IF(Z369&gt;A369-1,INDEX(Lista_Pedidos,Y369+A369-1,V369),"")=0,"",IF(Z369&gt;A369-1,INDEX(Lista_Pedidos,Y369+A369-1,V369),"")),"")</f>
        <v/>
      </c>
      <c r="W375" s="857" t="str">
        <f>IF(SUM(J375:V375)&gt;1,SUM(J375:V375),"")</f>
        <v/>
      </c>
      <c r="X375" s="855"/>
      <c r="Y375" s="855"/>
      <c r="Z375" s="860"/>
      <c r="AA375" s="854" t="str">
        <f>IFERROR(INDEX(Lista_Pedidos,Procesos!AY369+AA369-1,3),"")</f>
        <v/>
      </c>
      <c r="AB375" s="855"/>
      <c r="AC375" s="855"/>
      <c r="AD375" s="855"/>
      <c r="AE375" s="856"/>
      <c r="AF375" s="857" t="str">
        <f>IF(AZ369&gt;AA369-1,AE$11,"")</f>
        <v/>
      </c>
      <c r="AG375" s="855"/>
      <c r="AH375" s="855"/>
      <c r="AI375" s="856"/>
      <c r="AJ375" s="526" t="str">
        <f>IFERROR(IF(IF(AZ369&gt;AA369-1,INDEX(Lista_Pedidos,AY369+AA369-1,AJ369),"")=0,"",IF(AZ369&gt;AA369-1,INDEX(Lista_Pedidos,AY369+AA369-1,AJ369),"")),"")</f>
        <v/>
      </c>
      <c r="AK375" s="526" t="str">
        <f>IFERROR(IF(IF(AZ369&gt;AA369-1,INDEX(Lista_Pedidos,AY369+AA369-1,AK369),"")=0,"",IF(AZ369&gt;AA369-1,INDEX(Lista_Pedidos,AY369+AA369-1,AK369),"")),"")</f>
        <v/>
      </c>
      <c r="AL375" s="526" t="str">
        <f>IFERROR(IF(IF(AZ369&gt;AA369-1,INDEX(Lista_Pedidos,AY369+AA369-1,AL369),"")=0,"",IF(AZ369&gt;AA369-1,INDEX(Lista_Pedidos,AY369+AA369-1,AL369),"")),"")</f>
        <v/>
      </c>
      <c r="AM375" s="526" t="str">
        <f>IFERROR(IF(IF(AZ369&gt;AA369-1,INDEX(Lista_Pedidos,AY369+AA369-1,AM369),"")=0,"",IF(AZ369&gt;AA369-1,INDEX(Lista_Pedidos,AY369+AA369-1,AM369),"")),"")</f>
        <v/>
      </c>
      <c r="AN375" s="526" t="str">
        <f>IFERROR(IF(IF(AZ369&gt;AA369-1,INDEX(Lista_Pedidos,AY369+AA369-1,AN369),"")=0,"",IF(AZ369&gt;AA369-1,INDEX(Lista_Pedidos,AY369+AA369-1,AN369),"")),"")</f>
        <v/>
      </c>
      <c r="AO375" s="526" t="str">
        <f>IFERROR(IF(IF(AZ369&gt;AA369-1,INDEX(Lista_Pedidos,AY369+AA369-1,AO369),"")=0,"",IF(AZ369&gt;AA369-1,INDEX(Lista_Pedidos,AY369+AA369-1,AO369),"")),"")</f>
        <v/>
      </c>
      <c r="AP375" s="526" t="str">
        <f>IFERROR(IF(IF(AZ369&gt;AA369-1,INDEX(Lista_Pedidos,AY369+AA369-1,AP369),"")=0,"",IF(AZ369&gt;AA369-1,INDEX(Lista_Pedidos,AY369+AA369-1,AP369),"")),"")</f>
        <v/>
      </c>
      <c r="AQ375" s="526" t="str">
        <f>IFERROR(IF(IF(AZ369&gt;AA369-1,INDEX(Lista_Pedidos,AY369+AA369-1,AQ369),"")=0,"",IF(AZ369&gt;AA369-1,INDEX(Lista_Pedidos,AY369+AA369-1,AQ369),"")),"")</f>
        <v/>
      </c>
      <c r="AR375" s="526" t="str">
        <f>IFERROR(IF(IF(AZ369&gt;AA369-1,INDEX(Lista_Pedidos,AY369+AA369-1,AR369),"")=0,"",IF(AZ369&gt;AA369-1,INDEX(Lista_Pedidos,AY369+AA369-1,AR369),"")),"")</f>
        <v/>
      </c>
      <c r="AS375" s="526" t="str">
        <f>IFERROR(IF(IF(AZ369&gt;AA369-1,INDEX(Lista_Pedidos,AY369+AA369-1,AS369),"")=0,"",IF(AZ369&gt;AA369-1,INDEX(Lista_Pedidos,AY369+AA369-1,AS369),"")),"")</f>
        <v/>
      </c>
      <c r="AT375" s="526" t="str">
        <f>IFERROR(IF(IF(AZ369&gt;AA369-1,INDEX(Lista_Pedidos,AY369+AA369-1,AT369),"")=0,"",IF(AZ369&gt;AA369-1,INDEX(Lista_Pedidos,AY369+AA369-1,AT369),"")),"")</f>
        <v/>
      </c>
      <c r="AU375" s="526" t="str">
        <f>IFERROR(IF(IF(AZ369&gt;AA369-1,INDEX(Lista_Pedidos,AY369+AA369-1,AU369),"")=0,"",IF(AZ369&gt;AA369-1,INDEX(Lista_Pedidos,AY369+AA369-1,AU369),"")),"")</f>
        <v/>
      </c>
      <c r="AV375" s="526" t="str">
        <f>IFERROR(IF(IF(AZ369&gt;AA369-1,INDEX(Lista_Pedidos,AY369+AA369-1,AV369),"")=0,"",IF(AZ369&gt;AA369-1,INDEX(Lista_Pedidos,AY369+AA369-1,AV369),"")),"")</f>
        <v/>
      </c>
      <c r="AW375" s="857" t="str">
        <f>IF(SUM(AJ375:AV375)&gt;1,SUM(AJ375:AV375),"")</f>
        <v/>
      </c>
      <c r="AX375" s="855"/>
      <c r="AY375" s="855"/>
      <c r="AZ375" s="860"/>
      <c r="BA375" s="854" t="str">
        <f>IFERROR(INDEX(Lista_Pedidos,Procesos!BY369+BA369-1,3),"")</f>
        <v/>
      </c>
      <c r="BB375" s="855"/>
      <c r="BC375" s="855"/>
      <c r="BD375" s="855"/>
      <c r="BE375" s="856"/>
      <c r="BF375" s="857" t="str">
        <f>IF(BZ369&gt;BA369-1,BE$11,"")</f>
        <v/>
      </c>
      <c r="BG375" s="855"/>
      <c r="BH375" s="855"/>
      <c r="BI375" s="856"/>
      <c r="BJ375" s="526" t="str">
        <f>IFERROR(IF(IF(BZ369&gt;BA369-1,INDEX(Lista_Pedidos,BY369+BA369-1,BJ369),"")=0,"",IF(BZ369&gt;BA369-1,INDEX(Lista_Pedidos,BY369+BA369-1,BJ369),"")),"")</f>
        <v/>
      </c>
      <c r="BK375" s="526" t="str">
        <f>IFERROR(IF(IF(BZ369&gt;BA369-1,INDEX(Lista_Pedidos,BY369+BA369-1,BK369),"")=0,"",IF(BZ369&gt;BA369-1,INDEX(Lista_Pedidos,BY369+BA369-1,BK369),"")),"")</f>
        <v/>
      </c>
      <c r="BL375" s="526" t="str">
        <f>IFERROR(IF(IF(BZ369&gt;BA369-1,INDEX(Lista_Pedidos,BY369+BA369-1,BL369),"")=0,"",IF(BZ369&gt;BA369-1,INDEX(Lista_Pedidos,BY369+BA369-1,BL369),"")),"")</f>
        <v/>
      </c>
      <c r="BM375" s="526" t="str">
        <f>IFERROR(IF(IF(BZ369&gt;BA369-1,INDEX(Lista_Pedidos,BY369+BA369-1,BM369),"")=0,"",IF(BZ369&gt;BA369-1,INDEX(Lista_Pedidos,BY369+BA369-1,BM369),"")),"")</f>
        <v/>
      </c>
      <c r="BN375" s="526" t="str">
        <f>IFERROR(IF(IF(BZ369&gt;BA369-1,INDEX(Lista_Pedidos,BY369+BA369-1,BN369),"")=0,"",IF(BZ369&gt;BA369-1,INDEX(Lista_Pedidos,BY369+BA369-1,BN369),"")),"")</f>
        <v/>
      </c>
      <c r="BO375" s="526" t="str">
        <f>IFERROR(IF(IF(BZ369&gt;BA369-1,INDEX(Lista_Pedidos,BY369+BA369-1,BO369),"")=0,"",IF(BZ369&gt;BA369-1,INDEX(Lista_Pedidos,BY369+BA369-1,BO369),"")),"")</f>
        <v/>
      </c>
      <c r="BP375" s="526" t="str">
        <f>IFERROR(IF(IF(BZ369&gt;BA369-1,INDEX(Lista_Pedidos,BY369+BA369-1,BP369),"")=0,"",IF(BZ369&gt;BA369-1,INDEX(Lista_Pedidos,BY369+BA369-1,BP369),"")),"")</f>
        <v/>
      </c>
      <c r="BQ375" s="526" t="str">
        <f>IFERROR(IF(IF(BZ369&gt;BA369-1,INDEX(Lista_Pedidos,BY369+BA369-1,BQ369),"")=0,"",IF(BZ369&gt;BA369-1,INDEX(Lista_Pedidos,BY369+BA369-1,BQ369),"")),"")</f>
        <v/>
      </c>
      <c r="BR375" s="526" t="str">
        <f>IFERROR(IF(IF(BZ369&gt;BA369-1,INDEX(Lista_Pedidos,BY369+BA369-1,BR369),"")=0,"",IF(BZ369&gt;BA369-1,INDEX(Lista_Pedidos,BY369+BA369-1,BR369),"")),"")</f>
        <v/>
      </c>
      <c r="BS375" s="526" t="str">
        <f>IFERROR(IF(IF(BZ369&gt;BA369-1,INDEX(Lista_Pedidos,BY369+BA369-1,BS369),"")=0,"",IF(BZ369&gt;BA369-1,INDEX(Lista_Pedidos,BY369+BA369-1,BS369),"")),"")</f>
        <v/>
      </c>
      <c r="BT375" s="526" t="str">
        <f>IFERROR(IF(IF(BZ369&gt;BA369-1,INDEX(Lista_Pedidos,BY369+BA369-1,BT369),"")=0,"",IF(BZ369&gt;BA369-1,INDEX(Lista_Pedidos,BY369+BA369-1,BT369),"")),"")</f>
        <v/>
      </c>
      <c r="BU375" s="526" t="str">
        <f>IFERROR(IF(IF(BZ369&gt;BA369-1,INDEX(Lista_Pedidos,BY369+BA369-1,BU369),"")=0,"",IF(BZ369&gt;BA369-1,INDEX(Lista_Pedidos,BY369+BA369-1,BU369),"")),"")</f>
        <v/>
      </c>
      <c r="BV375" s="526" t="str">
        <f>IFERROR(IF(IF(BZ369&gt;BA369-1,INDEX(Lista_Pedidos,BY369+BA369-1,BV369),"")=0,"",IF(BZ369&gt;BA369-1,INDEX(Lista_Pedidos,BY369+BA369-1,BV369),"")),"")</f>
        <v/>
      </c>
      <c r="BW375" s="857" t="str">
        <f>IF(SUM(BJ375:BV375)&gt;1,SUM(BJ375:BV375),"")</f>
        <v/>
      </c>
      <c r="BX375" s="855"/>
      <c r="BY375" s="855"/>
      <c r="BZ375" s="860"/>
      <c r="CA375" s="854" t="str">
        <f>IFERROR(INDEX(Lista_Pedidos,Procesos!CY369+CA369-1,3),"")</f>
        <v/>
      </c>
      <c r="CB375" s="855"/>
      <c r="CC375" s="855"/>
      <c r="CD375" s="855"/>
      <c r="CE375" s="856"/>
      <c r="CF375" s="857" t="str">
        <f>IF(CZ369&gt;CA369-1,CE$11,"")</f>
        <v/>
      </c>
      <c r="CG375" s="855"/>
      <c r="CH375" s="855"/>
      <c r="CI375" s="856"/>
      <c r="CJ375" s="526" t="str">
        <f>IFERROR(IF(IF(CZ369&gt;CA369-1,INDEX(Lista_Pedidos,CY369+CA369-1,CJ369),"")=0,"",IF(CZ369&gt;CA369-1,INDEX(Lista_Pedidos,CY369+CA369-1,CJ369),"")),"")</f>
        <v/>
      </c>
      <c r="CK375" s="526" t="str">
        <f>IFERROR(IF(IF(CZ369&gt;CA369-1,INDEX(Lista_Pedidos,CY369+CA369-1,CK369),"")=0,"",IF(CZ369&gt;CA369-1,INDEX(Lista_Pedidos,CY369+CA369-1,CK369),"")),"")</f>
        <v/>
      </c>
      <c r="CL375" s="526" t="str">
        <f>IFERROR(IF(IF(CZ369&gt;CA369-1,INDEX(Lista_Pedidos,CY369+CA369-1,CL369),"")=0,"",IF(CZ369&gt;CA369-1,INDEX(Lista_Pedidos,CY369+CA369-1,CL369),"")),"")</f>
        <v/>
      </c>
      <c r="CM375" s="526" t="str">
        <f>IFERROR(IF(IF(CZ369&gt;CA369-1,INDEX(Lista_Pedidos,CY369+CA369-1,CM369),"")=0,"",IF(CZ369&gt;CA369-1,INDEX(Lista_Pedidos,CY369+CA369-1,CM369),"")),"")</f>
        <v/>
      </c>
      <c r="CN375" s="526" t="str">
        <f>IFERROR(IF(IF(CZ369&gt;CA369-1,INDEX(Lista_Pedidos,CY369+CA369-1,CN369),"")=0,"",IF(CZ369&gt;CA369-1,INDEX(Lista_Pedidos,CY369+CA369-1,CN369),"")),"")</f>
        <v/>
      </c>
      <c r="CO375" s="526" t="str">
        <f>IFERROR(IF(IF(CZ369&gt;CA369-1,INDEX(Lista_Pedidos,CY369+CA369-1,CO369),"")=0,"",IF(CZ369&gt;CA369-1,INDEX(Lista_Pedidos,CY369+CA369-1,CO369),"")),"")</f>
        <v/>
      </c>
      <c r="CP375" s="526" t="str">
        <f>IFERROR(IF(IF(CZ369&gt;CA369-1,INDEX(Lista_Pedidos,CY369+CA369-1,CP369),"")=0,"",IF(CZ369&gt;CA369-1,INDEX(Lista_Pedidos,CY369+CA369-1,CP369),"")),"")</f>
        <v/>
      </c>
      <c r="CQ375" s="526" t="str">
        <f>IFERROR(IF(IF(CZ369&gt;CA369-1,INDEX(Lista_Pedidos,CY369+CA369-1,CQ369),"")=0,"",IF(CZ369&gt;CA369-1,INDEX(Lista_Pedidos,CY369+CA369-1,CQ369),"")),"")</f>
        <v/>
      </c>
      <c r="CR375" s="526" t="str">
        <f>IFERROR(IF(IF(CZ369&gt;CA369-1,INDEX(Lista_Pedidos,CY369+CA369-1,CR369),"")=0,"",IF(CZ369&gt;CA369-1,INDEX(Lista_Pedidos,CY369+CA369-1,CR369),"")),"")</f>
        <v/>
      </c>
      <c r="CS375" s="526" t="str">
        <f>IFERROR(IF(IF(CZ369&gt;CA369-1,INDEX(Lista_Pedidos,CY369+CA369-1,CS369),"")=0,"",IF(CZ369&gt;CA369-1,INDEX(Lista_Pedidos,CY369+CA369-1,CS369),"")),"")</f>
        <v/>
      </c>
      <c r="CT375" s="526" t="str">
        <f>IFERROR(IF(IF(CZ369&gt;CA369-1,INDEX(Lista_Pedidos,CY369+CA369-1,CT369),"")=0,"",IF(CZ369&gt;CA369-1,INDEX(Lista_Pedidos,CY369+CA369-1,CT369),"")),"")</f>
        <v/>
      </c>
      <c r="CU375" s="526" t="str">
        <f>IFERROR(IF(IF(CZ369&gt;CA369-1,INDEX(Lista_Pedidos,CY369+CA369-1,CU369),"")=0,"",IF(CZ369&gt;CA369-1,INDEX(Lista_Pedidos,CY369+CA369-1,CU369),"")),"")</f>
        <v/>
      </c>
      <c r="CV375" s="526" t="str">
        <f>IFERROR(IF(IF(CZ369&gt;CA369-1,INDEX(Lista_Pedidos,CY369+CA369-1,CV369),"")=0,"",IF(CZ369&gt;CA369-1,INDEX(Lista_Pedidos,CY369+CA369-1,CV369),"")),"")</f>
        <v/>
      </c>
      <c r="CW375" s="857" t="str">
        <f>IF(SUM(CJ375:CV375)&gt;1,SUM(CJ375:CV375),"")</f>
        <v/>
      </c>
      <c r="CX375" s="855"/>
      <c r="CY375" s="855"/>
      <c r="CZ375" s="860"/>
      <c r="DA375" s="854" t="str">
        <f>IFERROR(INDEX(Lista_Pedidos,Procesos!DY369+DA369-1,3),"")</f>
        <v/>
      </c>
      <c r="DB375" s="855"/>
      <c r="DC375" s="855"/>
      <c r="DD375" s="855"/>
      <c r="DE375" s="856"/>
      <c r="DF375" s="857" t="str">
        <f>IF(DZ369&gt;DA369-1,DE$11,"")</f>
        <v/>
      </c>
      <c r="DG375" s="855"/>
      <c r="DH375" s="855"/>
      <c r="DI375" s="856"/>
      <c r="DJ375" s="526" t="str">
        <f>IFERROR(IF(IF(DZ369&gt;DA369-1,INDEX(Lista_Pedidos,DY369+DA369-1,DJ369),"")=0,"",IF(DZ369&gt;DA369-1,INDEX(Lista_Pedidos,DY369+DA369-1,DJ369),"")),"")</f>
        <v/>
      </c>
      <c r="DK375" s="526" t="str">
        <f>IFERROR(IF(IF(DZ369&gt;DA369-1,INDEX(Lista_Pedidos,DY369+DA369-1,DK369),"")=0,"",IF(DZ369&gt;DA369-1,INDEX(Lista_Pedidos,DY369+DA369-1,DK369),"")),"")</f>
        <v/>
      </c>
      <c r="DL375" s="526" t="str">
        <f>IFERROR(IF(IF(DZ369&gt;DA369-1,INDEX(Lista_Pedidos,DY369+DA369-1,DL369),"")=0,"",IF(DZ369&gt;DA369-1,INDEX(Lista_Pedidos,DY369+DA369-1,DL369),"")),"")</f>
        <v/>
      </c>
      <c r="DM375" s="526" t="str">
        <f>IFERROR(IF(IF(DZ369&gt;DA369-1,INDEX(Lista_Pedidos,DY369+DA369-1,DM369),"")=0,"",IF(DZ369&gt;DA369-1,INDEX(Lista_Pedidos,DY369+DA369-1,DM369),"")),"")</f>
        <v/>
      </c>
      <c r="DN375" s="526" t="str">
        <f>IFERROR(IF(IF(DZ369&gt;DA369-1,INDEX(Lista_Pedidos,DY369+DA369-1,DN369),"")=0,"",IF(DZ369&gt;DA369-1,INDEX(Lista_Pedidos,DY369+DA369-1,DN369),"")),"")</f>
        <v/>
      </c>
      <c r="DO375" s="526" t="str">
        <f>IFERROR(IF(IF(DZ369&gt;DA369-1,INDEX(Lista_Pedidos,DY369+DA369-1,DO369),"")=0,"",IF(DZ369&gt;DA369-1,INDEX(Lista_Pedidos,DY369+DA369-1,DO369),"")),"")</f>
        <v/>
      </c>
      <c r="DP375" s="526" t="str">
        <f>IFERROR(IF(IF(DZ369&gt;DA369-1,INDEX(Lista_Pedidos,DY369+DA369-1,DP369),"")=0,"",IF(DZ369&gt;DA369-1,INDEX(Lista_Pedidos,DY369+DA369-1,DP369),"")),"")</f>
        <v/>
      </c>
      <c r="DQ375" s="526" t="str">
        <f>IFERROR(IF(IF(DZ369&gt;DA369-1,INDEX(Lista_Pedidos,DY369+DA369-1,DQ369),"")=0,"",IF(DZ369&gt;DA369-1,INDEX(Lista_Pedidos,DY369+DA369-1,DQ369),"")),"")</f>
        <v/>
      </c>
      <c r="DR375" s="526" t="str">
        <f>IFERROR(IF(IF(DZ369&gt;DA369-1,INDEX(Lista_Pedidos,DY369+DA369-1,DR369),"")=0,"",IF(DZ369&gt;DA369-1,INDEX(Lista_Pedidos,DY369+DA369-1,DR369),"")),"")</f>
        <v/>
      </c>
      <c r="DS375" s="526" t="str">
        <f>IFERROR(IF(IF(DZ369&gt;DA369-1,INDEX(Lista_Pedidos,DY369+DA369-1,DS369),"")=0,"",IF(DZ369&gt;DA369-1,INDEX(Lista_Pedidos,DY369+DA369-1,DS369),"")),"")</f>
        <v/>
      </c>
      <c r="DT375" s="526" t="str">
        <f>IFERROR(IF(IF(DZ369&gt;DA369-1,INDEX(Lista_Pedidos,DY369+DA369-1,DT369),"")=0,"",IF(DZ369&gt;DA369-1,INDEX(Lista_Pedidos,DY369+DA369-1,DT369),"")),"")</f>
        <v/>
      </c>
      <c r="DU375" s="526" t="str">
        <f>IFERROR(IF(IF(DZ369&gt;DA369-1,INDEX(Lista_Pedidos,DY369+DA369-1,DU369),"")=0,"",IF(DZ369&gt;DA369-1,INDEX(Lista_Pedidos,DY369+DA369-1,DU369),"")),"")</f>
        <v/>
      </c>
      <c r="DV375" s="526" t="str">
        <f>IFERROR(IF(IF(DZ369&gt;DA369-1,INDEX(Lista_Pedidos,DY369+DA369-1,DV369),"")=0,"",IF(DZ369&gt;DA369-1,INDEX(Lista_Pedidos,DY369+DA369-1,DV369),"")),"")</f>
        <v/>
      </c>
      <c r="DW375" s="857" t="str">
        <f>IF(SUM(DJ375:DV375)&gt;1,SUM(DJ375:DV375),"")</f>
        <v/>
      </c>
      <c r="DX375" s="855"/>
      <c r="DY375" s="855"/>
      <c r="DZ375" s="860"/>
      <c r="EA375" s="854" t="str">
        <f>IFERROR(INDEX(Lista_Pedidos,Procesos!EY369+EA369-1,3),"")</f>
        <v/>
      </c>
      <c r="EB375" s="855"/>
      <c r="EC375" s="855"/>
      <c r="ED375" s="855"/>
      <c r="EE375" s="856"/>
      <c r="EF375" s="857" t="str">
        <f>IF(EZ369&gt;EA369-1,EE$11,"")</f>
        <v/>
      </c>
      <c r="EG375" s="855"/>
      <c r="EH375" s="855"/>
      <c r="EI375" s="856"/>
      <c r="EJ375" s="526" t="str">
        <f>IFERROR(IF(IF(EZ369&gt;EA369-1,INDEX(Lista_Pedidos,EY369+EA369-1,EJ369),"")=0,"",IF(EZ369&gt;EA369-1,INDEX(Lista_Pedidos,EY369+EA369-1,EJ369),"")),"")</f>
        <v/>
      </c>
      <c r="EK375" s="526" t="str">
        <f>IFERROR(IF(IF(EZ369&gt;EA369-1,INDEX(Lista_Pedidos,EY369+EA369-1,EK369),"")=0,"",IF(EZ369&gt;EA369-1,INDEX(Lista_Pedidos,EY369+EA369-1,EK369),"")),"")</f>
        <v/>
      </c>
      <c r="EL375" s="526" t="str">
        <f>IFERROR(IF(IF(EZ369&gt;EA369-1,INDEX(Lista_Pedidos,EY369+EA369-1,EL369),"")=0,"",IF(EZ369&gt;EA369-1,INDEX(Lista_Pedidos,EY369+EA369-1,EL369),"")),"")</f>
        <v/>
      </c>
      <c r="EM375" s="526" t="str">
        <f>IFERROR(IF(IF(EZ369&gt;EA369-1,INDEX(Lista_Pedidos,EY369+EA369-1,EM369),"")=0,"",IF(EZ369&gt;EA369-1,INDEX(Lista_Pedidos,EY369+EA369-1,EM369),"")),"")</f>
        <v/>
      </c>
      <c r="EN375" s="526" t="str">
        <f>IFERROR(IF(IF(EZ369&gt;EA369-1,INDEX(Lista_Pedidos,EY369+EA369-1,EN369),"")=0,"",IF(EZ369&gt;EA369-1,INDEX(Lista_Pedidos,EY369+EA369-1,EN369),"")),"")</f>
        <v/>
      </c>
      <c r="EO375" s="526" t="str">
        <f>IFERROR(IF(IF(EZ369&gt;EA369-1,INDEX(Lista_Pedidos,EY369+EA369-1,EO369),"")=0,"",IF(EZ369&gt;EA369-1,INDEX(Lista_Pedidos,EY369+EA369-1,EO369),"")),"")</f>
        <v/>
      </c>
      <c r="EP375" s="526" t="str">
        <f>IFERROR(IF(IF(EZ369&gt;EA369-1,INDEX(Lista_Pedidos,EY369+EA369-1,EP369),"")=0,"",IF(EZ369&gt;EA369-1,INDEX(Lista_Pedidos,EY369+EA369-1,EP369),"")),"")</f>
        <v/>
      </c>
      <c r="EQ375" s="526" t="str">
        <f>IFERROR(IF(IF(EZ369&gt;EA369-1,INDEX(Lista_Pedidos,EY369+EA369-1,EQ369),"")=0,"",IF(EZ369&gt;EA369-1,INDEX(Lista_Pedidos,EY369+EA369-1,EQ369),"")),"")</f>
        <v/>
      </c>
      <c r="ER375" s="526" t="str">
        <f>IFERROR(IF(IF(EZ369&gt;EA369-1,INDEX(Lista_Pedidos,EY369+EA369-1,ER369),"")=0,"",IF(EZ369&gt;EA369-1,INDEX(Lista_Pedidos,EY369+EA369-1,ER369),"")),"")</f>
        <v/>
      </c>
      <c r="ES375" s="526" t="str">
        <f>IFERROR(IF(IF(EZ369&gt;EA369-1,INDEX(Lista_Pedidos,EY369+EA369-1,ES369),"")=0,"",IF(EZ369&gt;EA369-1,INDEX(Lista_Pedidos,EY369+EA369-1,ES369),"")),"")</f>
        <v/>
      </c>
      <c r="ET375" s="526" t="str">
        <f>IFERROR(IF(IF(EZ369&gt;EA369-1,INDEX(Lista_Pedidos,EY369+EA369-1,ET369),"")=0,"",IF(EZ369&gt;EA369-1,INDEX(Lista_Pedidos,EY369+EA369-1,ET369),"")),"")</f>
        <v/>
      </c>
      <c r="EU375" s="526" t="str">
        <f>IFERROR(IF(IF(EZ369&gt;EA369-1,INDEX(Lista_Pedidos,EY369+EA369-1,EU369),"")=0,"",IF(EZ369&gt;EA369-1,INDEX(Lista_Pedidos,EY369+EA369-1,EU369),"")),"")</f>
        <v/>
      </c>
      <c r="EV375" s="526" t="str">
        <f>IFERROR(IF(IF(EZ369&gt;EA369-1,INDEX(Lista_Pedidos,EY369+EA369-1,EV369),"")=0,"",IF(EZ369&gt;EA369-1,INDEX(Lista_Pedidos,EY369+EA369-1,EV369),"")),"")</f>
        <v/>
      </c>
      <c r="EW375" s="857" t="str">
        <f>IF(SUM(EJ375:EV375)&gt;1,SUM(EJ375:EV375),"")</f>
        <v/>
      </c>
      <c r="EX375" s="855"/>
      <c r="EY375" s="855"/>
      <c r="EZ375" s="860"/>
      <c r="FA375" s="854" t="str">
        <f>IFERROR(INDEX(Lista_Pedidos,Procesos!FY369+FA369-1,3),"")</f>
        <v/>
      </c>
      <c r="FB375" s="855"/>
      <c r="FC375" s="855"/>
      <c r="FD375" s="855"/>
      <c r="FE375" s="856"/>
      <c r="FF375" s="857" t="str">
        <f>IF(FZ369&gt;FA369-1,FE$11,"")</f>
        <v/>
      </c>
      <c r="FG375" s="855"/>
      <c r="FH375" s="855"/>
      <c r="FI375" s="856"/>
      <c r="FJ375" s="526" t="str">
        <f>IFERROR(IF(IF(FZ369&gt;FA369-1,INDEX(Lista_Pedidos,FY369+FA369-1,FJ369),"")=0,"",IF(FZ369&gt;FA369-1,INDEX(Lista_Pedidos,FY369+FA369-1,FJ369),"")),"")</f>
        <v/>
      </c>
      <c r="FK375" s="526" t="str">
        <f>IFERROR(IF(IF(FZ369&gt;FA369-1,INDEX(Lista_Pedidos,FY369+FA369-1,FK369),"")=0,"",IF(FZ369&gt;FA369-1,INDEX(Lista_Pedidos,FY369+FA369-1,FK369),"")),"")</f>
        <v/>
      </c>
      <c r="FL375" s="526" t="str">
        <f>IFERROR(IF(IF(FZ369&gt;FA369-1,INDEX(Lista_Pedidos,FY369+FA369-1,FL369),"")=0,"",IF(FZ369&gt;FA369-1,INDEX(Lista_Pedidos,FY369+FA369-1,FL369),"")),"")</f>
        <v/>
      </c>
      <c r="FM375" s="526" t="str">
        <f>IFERROR(IF(IF(FZ369&gt;FA369-1,INDEX(Lista_Pedidos,FY369+FA369-1,FM369),"")=0,"",IF(FZ369&gt;FA369-1,INDEX(Lista_Pedidos,FY369+FA369-1,FM369),"")),"")</f>
        <v/>
      </c>
      <c r="FN375" s="526" t="str">
        <f>IFERROR(IF(IF(FZ369&gt;FA369-1,INDEX(Lista_Pedidos,FY369+FA369-1,FN369),"")=0,"",IF(FZ369&gt;FA369-1,INDEX(Lista_Pedidos,FY369+FA369-1,FN369),"")),"")</f>
        <v/>
      </c>
      <c r="FO375" s="526" t="str">
        <f>IFERROR(IF(IF(FZ369&gt;FA369-1,INDEX(Lista_Pedidos,FY369+FA369-1,FO369),"")=0,"",IF(FZ369&gt;FA369-1,INDEX(Lista_Pedidos,FY369+FA369-1,FO369),"")),"")</f>
        <v/>
      </c>
      <c r="FP375" s="526" t="str">
        <f>IFERROR(IF(IF(FZ369&gt;FA369-1,INDEX(Lista_Pedidos,FY369+FA369-1,FP369),"")=0,"",IF(FZ369&gt;FA369-1,INDEX(Lista_Pedidos,FY369+FA369-1,FP369),"")),"")</f>
        <v/>
      </c>
      <c r="FQ375" s="526" t="str">
        <f>IFERROR(IF(IF(FZ369&gt;FA369-1,INDEX(Lista_Pedidos,FY369+FA369-1,FQ369),"")=0,"",IF(FZ369&gt;FA369-1,INDEX(Lista_Pedidos,FY369+FA369-1,FQ369),"")),"")</f>
        <v/>
      </c>
      <c r="FR375" s="526" t="str">
        <f>IFERROR(IF(IF(FZ369&gt;FA369-1,INDEX(Lista_Pedidos,FY369+FA369-1,FR369),"")=0,"",IF(FZ369&gt;FA369-1,INDEX(Lista_Pedidos,FY369+FA369-1,FR369),"")),"")</f>
        <v/>
      </c>
      <c r="FS375" s="526" t="str">
        <f>IFERROR(IF(IF(FZ369&gt;FA369-1,INDEX(Lista_Pedidos,FY369+FA369-1,FS369),"")=0,"",IF(FZ369&gt;FA369-1,INDEX(Lista_Pedidos,FY369+FA369-1,FS369),"")),"")</f>
        <v/>
      </c>
      <c r="FT375" s="526" t="str">
        <f>IFERROR(IF(IF(FZ369&gt;FA369-1,INDEX(Lista_Pedidos,FY369+FA369-1,FT369),"")=0,"",IF(FZ369&gt;FA369-1,INDEX(Lista_Pedidos,FY369+FA369-1,FT369),"")),"")</f>
        <v/>
      </c>
      <c r="FU375" s="526" t="str">
        <f>IFERROR(IF(IF(FZ369&gt;FA369-1,INDEX(Lista_Pedidos,FY369+FA369-1,FU369),"")=0,"",IF(FZ369&gt;FA369-1,INDEX(Lista_Pedidos,FY369+FA369-1,FU369),"")),"")</f>
        <v/>
      </c>
      <c r="FV375" s="526" t="str">
        <f>IFERROR(IF(IF(FZ369&gt;FA369-1,INDEX(Lista_Pedidos,FY369+FA369-1,FV369),"")=0,"",IF(FZ369&gt;FA369-1,INDEX(Lista_Pedidos,FY369+FA369-1,FV369),"")),"")</f>
        <v/>
      </c>
      <c r="FW375" s="857" t="str">
        <f>IF(SUM(FJ375:FV375)&gt;1,SUM(FJ375:FV375),"")</f>
        <v/>
      </c>
      <c r="FX375" s="855"/>
      <c r="FY375" s="855"/>
      <c r="FZ375" s="860"/>
      <c r="GA375" s="854" t="str">
        <f>IFERROR(INDEX(Lista_Pedidos,Procesos!GY369+GA369-1,3),"")</f>
        <v/>
      </c>
      <c r="GB375" s="855"/>
      <c r="GC375" s="855"/>
      <c r="GD375" s="855"/>
      <c r="GE375" s="856"/>
      <c r="GF375" s="857" t="str">
        <f>IF(GZ369&gt;GA369-1,GE$11,"")</f>
        <v/>
      </c>
      <c r="GG375" s="855"/>
      <c r="GH375" s="855"/>
      <c r="GI375" s="856"/>
      <c r="GJ375" s="526" t="str">
        <f>IFERROR(IF(IF(GZ369&gt;GA369-1,INDEX(Lista_Pedidos,GY369+GA369-1,GJ369),"")=0,"",IF(GZ369&gt;GA369-1,INDEX(Lista_Pedidos,GY369+GA369-1,GJ369),"")),"")</f>
        <v/>
      </c>
      <c r="GK375" s="526" t="str">
        <f>IFERROR(IF(IF(GZ369&gt;GA369-1,INDEX(Lista_Pedidos,GY369+GA369-1,GK369),"")=0,"",IF(GZ369&gt;GA369-1,INDEX(Lista_Pedidos,GY369+GA369-1,GK369),"")),"")</f>
        <v/>
      </c>
      <c r="GL375" s="526" t="str">
        <f>IFERROR(IF(IF(GZ369&gt;GA369-1,INDEX(Lista_Pedidos,GY369+GA369-1,GL369),"")=0,"",IF(GZ369&gt;GA369-1,INDEX(Lista_Pedidos,GY369+GA369-1,GL369),"")),"")</f>
        <v/>
      </c>
      <c r="GM375" s="526" t="str">
        <f>IFERROR(IF(IF(GZ369&gt;GA369-1,INDEX(Lista_Pedidos,GY369+GA369-1,GM369),"")=0,"",IF(GZ369&gt;GA369-1,INDEX(Lista_Pedidos,GY369+GA369-1,GM369),"")),"")</f>
        <v/>
      </c>
      <c r="GN375" s="526" t="str">
        <f>IFERROR(IF(IF(GZ369&gt;GA369-1,INDEX(Lista_Pedidos,GY369+GA369-1,GN369),"")=0,"",IF(GZ369&gt;GA369-1,INDEX(Lista_Pedidos,GY369+GA369-1,GN369),"")),"")</f>
        <v/>
      </c>
      <c r="GO375" s="526" t="str">
        <f>IFERROR(IF(IF(GZ369&gt;GA369-1,INDEX(Lista_Pedidos,GY369+GA369-1,GO369),"")=0,"",IF(GZ369&gt;GA369-1,INDEX(Lista_Pedidos,GY369+GA369-1,GO369),"")),"")</f>
        <v/>
      </c>
      <c r="GP375" s="526" t="str">
        <f>IFERROR(IF(IF(GZ369&gt;GA369-1,INDEX(Lista_Pedidos,GY369+GA369-1,GP369),"")=0,"",IF(GZ369&gt;GA369-1,INDEX(Lista_Pedidos,GY369+GA369-1,GP369),"")),"")</f>
        <v/>
      </c>
      <c r="GQ375" s="526" t="str">
        <f>IFERROR(IF(IF(GZ369&gt;GA369-1,INDEX(Lista_Pedidos,GY369+GA369-1,GQ369),"")=0,"",IF(GZ369&gt;GA369-1,INDEX(Lista_Pedidos,GY369+GA369-1,GQ369),"")),"")</f>
        <v/>
      </c>
      <c r="GR375" s="526" t="str">
        <f>IFERROR(IF(IF(GZ369&gt;GA369-1,INDEX(Lista_Pedidos,GY369+GA369-1,GR369),"")=0,"",IF(GZ369&gt;GA369-1,INDEX(Lista_Pedidos,GY369+GA369-1,GR369),"")),"")</f>
        <v/>
      </c>
      <c r="GS375" s="526" t="str">
        <f>IFERROR(IF(IF(GZ369&gt;GA369-1,INDEX(Lista_Pedidos,GY369+GA369-1,GS369),"")=0,"",IF(GZ369&gt;GA369-1,INDEX(Lista_Pedidos,GY369+GA369-1,GS369),"")),"")</f>
        <v/>
      </c>
      <c r="GT375" s="526" t="str">
        <f>IFERROR(IF(IF(GZ369&gt;GA369-1,INDEX(Lista_Pedidos,GY369+GA369-1,GT369),"")=0,"",IF(GZ369&gt;GA369-1,INDEX(Lista_Pedidos,GY369+GA369-1,GT369),"")),"")</f>
        <v/>
      </c>
      <c r="GU375" s="526" t="str">
        <f>IFERROR(IF(IF(GZ369&gt;GA369-1,INDEX(Lista_Pedidos,GY369+GA369-1,GU369),"")=0,"",IF(GZ369&gt;GA369-1,INDEX(Lista_Pedidos,GY369+GA369-1,GU369),"")),"")</f>
        <v/>
      </c>
      <c r="GV375" s="526" t="str">
        <f>IFERROR(IF(IF(GZ369&gt;GA369-1,INDEX(Lista_Pedidos,GY369+GA369-1,GV369),"")=0,"",IF(GZ369&gt;GA369-1,INDEX(Lista_Pedidos,GY369+GA369-1,GV369),"")),"")</f>
        <v/>
      </c>
      <c r="GW375" s="857" t="str">
        <f>IF(SUM(GJ375:GV375)&gt;1,SUM(GJ375:GV375),"")</f>
        <v/>
      </c>
      <c r="GX375" s="855"/>
      <c r="GY375" s="855"/>
      <c r="GZ375" s="860"/>
      <c r="HA375" s="854" t="str">
        <f>IFERROR(INDEX(Lista_Pedidos,Procesos!HY369+HA369-1,3),"")</f>
        <v/>
      </c>
      <c r="HB375" s="855"/>
      <c r="HC375" s="855"/>
      <c r="HD375" s="855"/>
      <c r="HE375" s="856"/>
      <c r="HF375" s="857" t="str">
        <f>IF(HZ369&gt;HA369-1,HE$11,"")</f>
        <v/>
      </c>
      <c r="HG375" s="855"/>
      <c r="HH375" s="855"/>
      <c r="HI375" s="856"/>
      <c r="HJ375" s="526" t="str">
        <f>IFERROR(IF(IF(HZ369&gt;HA369-1,INDEX(Lista_Pedidos,HY369+HA369-1,HJ369),"")=0,"",IF(HZ369&gt;HA369-1,INDEX(Lista_Pedidos,HY369+HA369-1,HJ369),"")),"")</f>
        <v/>
      </c>
      <c r="HK375" s="526" t="str">
        <f>IFERROR(IF(IF(HZ369&gt;HA369-1,INDEX(Lista_Pedidos,HY369+HA369-1,HK369),"")=0,"",IF(HZ369&gt;HA369-1,INDEX(Lista_Pedidos,HY369+HA369-1,HK369),"")),"")</f>
        <v/>
      </c>
      <c r="HL375" s="526" t="str">
        <f>IFERROR(IF(IF(HZ369&gt;HA369-1,INDEX(Lista_Pedidos,HY369+HA369-1,HL369),"")=0,"",IF(HZ369&gt;HA369-1,INDEX(Lista_Pedidos,HY369+HA369-1,HL369),"")),"")</f>
        <v/>
      </c>
      <c r="HM375" s="526" t="str">
        <f>IFERROR(IF(IF(HZ369&gt;HA369-1,INDEX(Lista_Pedidos,HY369+HA369-1,HM369),"")=0,"",IF(HZ369&gt;HA369-1,INDEX(Lista_Pedidos,HY369+HA369-1,HM369),"")),"")</f>
        <v/>
      </c>
      <c r="HN375" s="526" t="str">
        <f>IFERROR(IF(IF(HZ369&gt;HA369-1,INDEX(Lista_Pedidos,HY369+HA369-1,HN369),"")=0,"",IF(HZ369&gt;HA369-1,INDEX(Lista_Pedidos,HY369+HA369-1,HN369),"")),"")</f>
        <v/>
      </c>
      <c r="HO375" s="526" t="str">
        <f>IFERROR(IF(IF(HZ369&gt;HA369-1,INDEX(Lista_Pedidos,HY369+HA369-1,HO369),"")=0,"",IF(HZ369&gt;HA369-1,INDEX(Lista_Pedidos,HY369+HA369-1,HO369),"")),"")</f>
        <v/>
      </c>
      <c r="HP375" s="526" t="str">
        <f>IFERROR(IF(IF(HZ369&gt;HA369-1,INDEX(Lista_Pedidos,HY369+HA369-1,HP369),"")=0,"",IF(HZ369&gt;HA369-1,INDEX(Lista_Pedidos,HY369+HA369-1,HP369),"")),"")</f>
        <v/>
      </c>
      <c r="HQ375" s="526" t="str">
        <f>IFERROR(IF(IF(HZ369&gt;HA369-1,INDEX(Lista_Pedidos,HY369+HA369-1,HQ369),"")=0,"",IF(HZ369&gt;HA369-1,INDEX(Lista_Pedidos,HY369+HA369-1,HQ369),"")),"")</f>
        <v/>
      </c>
      <c r="HR375" s="526" t="str">
        <f>IFERROR(IF(IF(HZ369&gt;HA369-1,INDEX(Lista_Pedidos,HY369+HA369-1,HR369),"")=0,"",IF(HZ369&gt;HA369-1,INDEX(Lista_Pedidos,HY369+HA369-1,HR369),"")),"")</f>
        <v/>
      </c>
      <c r="HS375" s="526" t="str">
        <f>IFERROR(IF(IF(HZ369&gt;HA369-1,INDEX(Lista_Pedidos,HY369+HA369-1,HS369),"")=0,"",IF(HZ369&gt;HA369-1,INDEX(Lista_Pedidos,HY369+HA369-1,HS369),"")),"")</f>
        <v/>
      </c>
      <c r="HT375" s="526" t="str">
        <f>IFERROR(IF(IF(HZ369&gt;HA369-1,INDEX(Lista_Pedidos,HY369+HA369-1,HT369),"")=0,"",IF(HZ369&gt;HA369-1,INDEX(Lista_Pedidos,HY369+HA369-1,HT369),"")),"")</f>
        <v/>
      </c>
      <c r="HU375" s="526" t="str">
        <f>IFERROR(IF(IF(HZ369&gt;HA369-1,INDEX(Lista_Pedidos,HY369+HA369-1,HU369),"")=0,"",IF(HZ369&gt;HA369-1,INDEX(Lista_Pedidos,HY369+HA369-1,HU369),"")),"")</f>
        <v/>
      </c>
      <c r="HV375" s="526" t="str">
        <f>IFERROR(IF(IF(HZ369&gt;HA369-1,INDEX(Lista_Pedidos,HY369+HA369-1,HV369),"")=0,"",IF(HZ369&gt;HA369-1,INDEX(Lista_Pedidos,HY369+HA369-1,HV369),"")),"")</f>
        <v/>
      </c>
      <c r="HW375" s="857" t="str">
        <f>IF(SUM(HJ375:HV375)&gt;1,SUM(HJ375:HV375),"")</f>
        <v/>
      </c>
      <c r="HX375" s="855"/>
      <c r="HY375" s="855"/>
      <c r="HZ375" s="860"/>
      <c r="IA375" s="854" t="str">
        <f>IFERROR(INDEX(Lista_Pedidos,Procesos!IY369+IA369-1,3),"")</f>
        <v/>
      </c>
      <c r="IB375" s="855"/>
      <c r="IC375" s="855"/>
      <c r="ID375" s="855"/>
      <c r="IE375" s="856"/>
      <c r="IF375" s="857" t="str">
        <f>IF(IZ369&gt;IA369-1,IE$11,"")</f>
        <v/>
      </c>
      <c r="IG375" s="855"/>
      <c r="IH375" s="855"/>
      <c r="II375" s="856"/>
      <c r="IJ375" s="526" t="str">
        <f>IFERROR(IF(IF(IZ369&gt;IA369-1,INDEX(Lista_Pedidos,IY369+IA369-1,IJ369),"")=0,"",IF(IZ369&gt;IA369-1,INDEX(Lista_Pedidos,IY369+IA369-1,IJ369),"")),"")</f>
        <v/>
      </c>
      <c r="IK375" s="526" t="str">
        <f>IFERROR(IF(IF(IZ369&gt;IA369-1,INDEX(Lista_Pedidos,IY369+IA369-1,IK369),"")=0,"",IF(IZ369&gt;IA369-1,INDEX(Lista_Pedidos,IY369+IA369-1,IK369),"")),"")</f>
        <v/>
      </c>
      <c r="IL375" s="526" t="str">
        <f>IFERROR(IF(IF(IZ369&gt;IA369-1,INDEX(Lista_Pedidos,IY369+IA369-1,IL369),"")=0,"",IF(IZ369&gt;IA369-1,INDEX(Lista_Pedidos,IY369+IA369-1,IL369),"")),"")</f>
        <v/>
      </c>
      <c r="IM375" s="526" t="str">
        <f>IFERROR(IF(IF(IZ369&gt;IA369-1,INDEX(Lista_Pedidos,IY369+IA369-1,IM369),"")=0,"",IF(IZ369&gt;IA369-1,INDEX(Lista_Pedidos,IY369+IA369-1,IM369),"")),"")</f>
        <v/>
      </c>
      <c r="IN375" s="526" t="str">
        <f>IFERROR(IF(IF(IZ369&gt;IA369-1,INDEX(Lista_Pedidos,IY369+IA369-1,IN369),"")=0,"",IF(IZ369&gt;IA369-1,INDEX(Lista_Pedidos,IY369+IA369-1,IN369),"")),"")</f>
        <v/>
      </c>
      <c r="IO375" s="526" t="str">
        <f>IFERROR(IF(IF(IZ369&gt;IA369-1,INDEX(Lista_Pedidos,IY369+IA369-1,IO369),"")=0,"",IF(IZ369&gt;IA369-1,INDEX(Lista_Pedidos,IY369+IA369-1,IO369),"")),"")</f>
        <v/>
      </c>
      <c r="IP375" s="526" t="str">
        <f>IFERROR(IF(IF(IZ369&gt;IA369-1,INDEX(Lista_Pedidos,IY369+IA369-1,IP369),"")=0,"",IF(IZ369&gt;IA369-1,INDEX(Lista_Pedidos,IY369+IA369-1,IP369),"")),"")</f>
        <v/>
      </c>
      <c r="IQ375" s="526" t="str">
        <f>IFERROR(IF(IF(IZ369&gt;IA369-1,INDEX(Lista_Pedidos,IY369+IA369-1,IQ369),"")=0,"",IF(IZ369&gt;IA369-1,INDEX(Lista_Pedidos,IY369+IA369-1,IQ369),"")),"")</f>
        <v/>
      </c>
      <c r="IR375" s="526" t="str">
        <f>IFERROR(IF(IF(IZ369&gt;IA369-1,INDEX(Lista_Pedidos,IY369+IA369-1,IR369),"")=0,"",IF(IZ369&gt;IA369-1,INDEX(Lista_Pedidos,IY369+IA369-1,IR369),"")),"")</f>
        <v/>
      </c>
      <c r="IS375" s="526" t="str">
        <f>IFERROR(IF(IF(IZ369&gt;IA369-1,INDEX(Lista_Pedidos,IY369+IA369-1,IS369),"")=0,"",IF(IZ369&gt;IA369-1,INDEX(Lista_Pedidos,IY369+IA369-1,IS369),"")),"")</f>
        <v/>
      </c>
      <c r="IT375" s="526" t="str">
        <f>IFERROR(IF(IF(IZ369&gt;IA369-1,INDEX(Lista_Pedidos,IY369+IA369-1,IT369),"")=0,"",IF(IZ369&gt;IA369-1,INDEX(Lista_Pedidos,IY369+IA369-1,IT369),"")),"")</f>
        <v/>
      </c>
      <c r="IU375" s="526" t="str">
        <f>IFERROR(IF(IF(IZ369&gt;IA369-1,INDEX(Lista_Pedidos,IY369+IA369-1,IU369),"")=0,"",IF(IZ369&gt;IA369-1,INDEX(Lista_Pedidos,IY369+IA369-1,IU369),"")),"")</f>
        <v/>
      </c>
      <c r="IV375" s="526" t="str">
        <f>IFERROR(IF(IF(IZ369&gt;IA369-1,INDEX(Lista_Pedidos,IY369+IA369-1,IV369),"")=0,"",IF(IZ369&gt;IA369-1,INDEX(Lista_Pedidos,IY369+IA369-1,IV369),"")),"")</f>
        <v/>
      </c>
      <c r="IW375" s="857" t="str">
        <f>IF(SUM(IJ375:IV375)&gt;1,SUM(IJ375:IV375),"")</f>
        <v/>
      </c>
      <c r="IX375" s="855"/>
      <c r="IY375" s="855"/>
      <c r="IZ375" s="860"/>
    </row>
    <row r="376" spans="1:260" x14ac:dyDescent="0.25">
      <c r="A376" s="823"/>
      <c r="B376" s="824"/>
      <c r="C376" s="824"/>
      <c r="D376" s="824"/>
      <c r="E376" s="824"/>
      <c r="F376" s="824"/>
      <c r="G376" s="824"/>
      <c r="H376" s="824"/>
      <c r="I376" s="824"/>
      <c r="J376" s="824"/>
      <c r="K376" s="824"/>
      <c r="L376" s="824"/>
      <c r="M376" s="824"/>
      <c r="N376" s="824"/>
      <c r="O376" s="824"/>
      <c r="P376" s="824"/>
      <c r="Q376" s="824"/>
      <c r="R376" s="824"/>
      <c r="S376" s="824"/>
      <c r="T376" s="824"/>
      <c r="U376" s="824"/>
      <c r="V376" s="824"/>
      <c r="W376" s="824" t="str">
        <f>IFERROR(IF(Z369&gt;A369-1,IF(INDEX(Lista_Pedidos,Y369+A369-1,2)&lt;&gt;"",INDEX(Lista_Pedidos,Y369+A369-1,2),""),""),"")</f>
        <v/>
      </c>
      <c r="X376" s="824"/>
      <c r="Y376" s="824"/>
      <c r="Z376" s="825"/>
      <c r="AA376" s="823"/>
      <c r="AB376" s="824"/>
      <c r="AC376" s="824"/>
      <c r="AD376" s="824"/>
      <c r="AE376" s="824"/>
      <c r="AF376" s="824"/>
      <c r="AG376" s="824"/>
      <c r="AH376" s="824"/>
      <c r="AI376" s="824"/>
      <c r="AJ376" s="824"/>
      <c r="AK376" s="824"/>
      <c r="AL376" s="824"/>
      <c r="AM376" s="824"/>
      <c r="AN376" s="824"/>
      <c r="AO376" s="824"/>
      <c r="AP376" s="824"/>
      <c r="AQ376" s="824"/>
      <c r="AR376" s="824"/>
      <c r="AS376" s="824"/>
      <c r="AT376" s="824"/>
      <c r="AU376" s="824"/>
      <c r="AV376" s="824"/>
      <c r="AW376" s="824" t="str">
        <f>IFERROR(IF(AZ369&gt;AA369-1,IF(INDEX(Lista_Pedidos,AY369+AA369-1,2)&lt;&gt;"",INDEX(Lista_Pedidos,AY369+AA369-1,2),""),""),"")</f>
        <v/>
      </c>
      <c r="AX376" s="824"/>
      <c r="AY376" s="824"/>
      <c r="AZ376" s="825"/>
      <c r="BA376" s="823"/>
      <c r="BB376" s="824"/>
      <c r="BC376" s="824"/>
      <c r="BD376" s="824"/>
      <c r="BE376" s="824"/>
      <c r="BF376" s="824"/>
      <c r="BG376" s="824"/>
      <c r="BH376" s="824"/>
      <c r="BI376" s="824"/>
      <c r="BJ376" s="824"/>
      <c r="BK376" s="824"/>
      <c r="BL376" s="824"/>
      <c r="BM376" s="824"/>
      <c r="BN376" s="824"/>
      <c r="BO376" s="824"/>
      <c r="BP376" s="824"/>
      <c r="BQ376" s="824"/>
      <c r="BR376" s="824"/>
      <c r="BS376" s="824"/>
      <c r="BT376" s="824"/>
      <c r="BU376" s="824"/>
      <c r="BV376" s="824"/>
      <c r="BW376" s="824" t="str">
        <f>IFERROR(IF(BZ369&gt;BA369-1,IF(INDEX(Lista_Pedidos,BY369+BA369-1,2)&lt;&gt;"",INDEX(Lista_Pedidos,BY369+BA369-1,2),""),""),"")</f>
        <v/>
      </c>
      <c r="BX376" s="824"/>
      <c r="BY376" s="824"/>
      <c r="BZ376" s="825"/>
      <c r="CA376" s="823"/>
      <c r="CB376" s="824"/>
      <c r="CC376" s="824"/>
      <c r="CD376" s="824"/>
      <c r="CE376" s="824"/>
      <c r="CF376" s="824"/>
      <c r="CG376" s="824"/>
      <c r="CH376" s="824"/>
      <c r="CI376" s="824"/>
      <c r="CJ376" s="824"/>
      <c r="CK376" s="824"/>
      <c r="CL376" s="824"/>
      <c r="CM376" s="824"/>
      <c r="CN376" s="824"/>
      <c r="CO376" s="824"/>
      <c r="CP376" s="824"/>
      <c r="CQ376" s="824"/>
      <c r="CR376" s="824"/>
      <c r="CS376" s="824"/>
      <c r="CT376" s="824"/>
      <c r="CU376" s="824"/>
      <c r="CV376" s="824"/>
      <c r="CW376" s="824" t="str">
        <f>IFERROR(IF(CZ369&gt;CA369-1,IF(INDEX(Lista_Pedidos,CY369+CA369-1,2)&lt;&gt;"",INDEX(Lista_Pedidos,CY369+CA369-1,2),""),""),"")</f>
        <v/>
      </c>
      <c r="CX376" s="824"/>
      <c r="CY376" s="824"/>
      <c r="CZ376" s="825"/>
      <c r="DA376" s="823"/>
      <c r="DB376" s="824"/>
      <c r="DC376" s="824"/>
      <c r="DD376" s="824"/>
      <c r="DE376" s="824"/>
      <c r="DF376" s="824"/>
      <c r="DG376" s="824"/>
      <c r="DH376" s="824"/>
      <c r="DI376" s="824"/>
      <c r="DJ376" s="824"/>
      <c r="DK376" s="824"/>
      <c r="DL376" s="824"/>
      <c r="DM376" s="824"/>
      <c r="DN376" s="824"/>
      <c r="DO376" s="824"/>
      <c r="DP376" s="824"/>
      <c r="DQ376" s="824"/>
      <c r="DR376" s="824"/>
      <c r="DS376" s="824"/>
      <c r="DT376" s="824"/>
      <c r="DU376" s="824"/>
      <c r="DV376" s="824"/>
      <c r="DW376" s="824" t="str">
        <f>IFERROR(IF(DZ369&gt;DA369-1,IF(INDEX(Lista_Pedidos,DY369+DA369-1,2)&lt;&gt;"",INDEX(Lista_Pedidos,DY369+DA369-1,2),""),""),"")</f>
        <v/>
      </c>
      <c r="DX376" s="824"/>
      <c r="DY376" s="824"/>
      <c r="DZ376" s="825"/>
      <c r="EA376" s="823"/>
      <c r="EB376" s="824"/>
      <c r="EC376" s="824"/>
      <c r="ED376" s="824"/>
      <c r="EE376" s="824"/>
      <c r="EF376" s="824"/>
      <c r="EG376" s="824"/>
      <c r="EH376" s="824"/>
      <c r="EI376" s="824"/>
      <c r="EJ376" s="824"/>
      <c r="EK376" s="824"/>
      <c r="EL376" s="824"/>
      <c r="EM376" s="824"/>
      <c r="EN376" s="824"/>
      <c r="EO376" s="824"/>
      <c r="EP376" s="824"/>
      <c r="EQ376" s="824"/>
      <c r="ER376" s="824"/>
      <c r="ES376" s="824"/>
      <c r="ET376" s="824"/>
      <c r="EU376" s="824"/>
      <c r="EV376" s="824"/>
      <c r="EW376" s="824" t="str">
        <f>IFERROR(IF(EZ369&gt;EA369-1,IF(INDEX(Lista_Pedidos,EY369+EA369-1,2)&lt;&gt;"",INDEX(Lista_Pedidos,EY369+EA369-1,2),""),""),"")</f>
        <v/>
      </c>
      <c r="EX376" s="824"/>
      <c r="EY376" s="824"/>
      <c r="EZ376" s="825"/>
      <c r="FA376" s="823"/>
      <c r="FB376" s="824"/>
      <c r="FC376" s="824"/>
      <c r="FD376" s="824"/>
      <c r="FE376" s="824"/>
      <c r="FF376" s="824"/>
      <c r="FG376" s="824"/>
      <c r="FH376" s="824"/>
      <c r="FI376" s="824"/>
      <c r="FJ376" s="824"/>
      <c r="FK376" s="824"/>
      <c r="FL376" s="824"/>
      <c r="FM376" s="824"/>
      <c r="FN376" s="824"/>
      <c r="FO376" s="824"/>
      <c r="FP376" s="824"/>
      <c r="FQ376" s="824"/>
      <c r="FR376" s="824"/>
      <c r="FS376" s="824"/>
      <c r="FT376" s="824"/>
      <c r="FU376" s="824"/>
      <c r="FV376" s="824"/>
      <c r="FW376" s="824" t="str">
        <f>IFERROR(IF(FZ369&gt;FA369-1,IF(INDEX(Lista_Pedidos,FY369+FA369-1,2)&lt;&gt;"",INDEX(Lista_Pedidos,FY369+FA369-1,2),""),""),"")</f>
        <v/>
      </c>
      <c r="FX376" s="824"/>
      <c r="FY376" s="824"/>
      <c r="FZ376" s="825"/>
      <c r="GA376" s="823"/>
      <c r="GB376" s="824"/>
      <c r="GC376" s="824"/>
      <c r="GD376" s="824"/>
      <c r="GE376" s="824"/>
      <c r="GF376" s="824"/>
      <c r="GG376" s="824"/>
      <c r="GH376" s="824"/>
      <c r="GI376" s="824"/>
      <c r="GJ376" s="824"/>
      <c r="GK376" s="824"/>
      <c r="GL376" s="824"/>
      <c r="GM376" s="824"/>
      <c r="GN376" s="824"/>
      <c r="GO376" s="824"/>
      <c r="GP376" s="824"/>
      <c r="GQ376" s="824"/>
      <c r="GR376" s="824"/>
      <c r="GS376" s="824"/>
      <c r="GT376" s="824"/>
      <c r="GU376" s="824"/>
      <c r="GV376" s="824"/>
      <c r="GW376" s="824" t="str">
        <f>IFERROR(IF(GZ369&gt;GA369-1,IF(INDEX(Lista_Pedidos,GY369+GA369-1,2)&lt;&gt;"",INDEX(Lista_Pedidos,GY369+GA369-1,2),""),""),"")</f>
        <v/>
      </c>
      <c r="GX376" s="824"/>
      <c r="GY376" s="824"/>
      <c r="GZ376" s="825"/>
      <c r="HA376" s="823"/>
      <c r="HB376" s="824"/>
      <c r="HC376" s="824"/>
      <c r="HD376" s="824"/>
      <c r="HE376" s="824"/>
      <c r="HF376" s="824"/>
      <c r="HG376" s="824"/>
      <c r="HH376" s="824"/>
      <c r="HI376" s="824"/>
      <c r="HJ376" s="824"/>
      <c r="HK376" s="824"/>
      <c r="HL376" s="824"/>
      <c r="HM376" s="824"/>
      <c r="HN376" s="824"/>
      <c r="HO376" s="824"/>
      <c r="HP376" s="824"/>
      <c r="HQ376" s="824"/>
      <c r="HR376" s="824"/>
      <c r="HS376" s="824"/>
      <c r="HT376" s="824"/>
      <c r="HU376" s="824"/>
      <c r="HV376" s="824"/>
      <c r="HW376" s="824" t="str">
        <f>IFERROR(IF(HZ369&gt;HA369-1,IF(INDEX(Lista_Pedidos,HY369+HA369-1,2)&lt;&gt;"",INDEX(Lista_Pedidos,HY369+HA369-1,2),""),""),"")</f>
        <v/>
      </c>
      <c r="HX376" s="824"/>
      <c r="HY376" s="824"/>
      <c r="HZ376" s="825"/>
      <c r="IA376" s="823"/>
      <c r="IB376" s="824"/>
      <c r="IC376" s="824"/>
      <c r="ID376" s="824"/>
      <c r="IE376" s="824"/>
      <c r="IF376" s="824"/>
      <c r="IG376" s="824"/>
      <c r="IH376" s="824"/>
      <c r="II376" s="824"/>
      <c r="IJ376" s="824"/>
      <c r="IK376" s="824"/>
      <c r="IL376" s="824"/>
      <c r="IM376" s="824"/>
      <c r="IN376" s="824"/>
      <c r="IO376" s="824"/>
      <c r="IP376" s="824"/>
      <c r="IQ376" s="824"/>
      <c r="IR376" s="824"/>
      <c r="IS376" s="824"/>
      <c r="IT376" s="824"/>
      <c r="IU376" s="824"/>
      <c r="IV376" s="824"/>
      <c r="IW376" s="824" t="str">
        <f>IFERROR(IF(IZ369&gt;IA369-1,IF(INDEX(Lista_Pedidos,IY369+IA369-1,2)&lt;&gt;"",INDEX(Lista_Pedidos,IY369+IA369-1,2),""),""),"")</f>
        <v/>
      </c>
      <c r="IX376" s="824"/>
      <c r="IY376" s="824"/>
      <c r="IZ376" s="825"/>
    </row>
    <row r="377" spans="1:260" x14ac:dyDescent="0.25">
      <c r="A377" s="800" t="str">
        <f>IFERROR(IF(Z369&gt;A369-1,IF(INDEX(Lista_Pedidos,Y369+A369-1,6)&lt;&gt;"","Nombre de la Tela :     "&amp; INDEX(Lista_Pedidos,Y369+A369-1,6),""),""),"")</f>
        <v/>
      </c>
      <c r="B377" s="801"/>
      <c r="C377" s="801"/>
      <c r="D377" s="801"/>
      <c r="E377" s="801"/>
      <c r="F377" s="801"/>
      <c r="G377" s="801"/>
      <c r="H377" s="801"/>
      <c r="I377" s="801"/>
      <c r="J377" s="801"/>
      <c r="K377" s="801"/>
      <c r="L377" s="801"/>
      <c r="M377" s="801"/>
      <c r="N377" s="801"/>
      <c r="O377" s="801"/>
      <c r="P377" s="801"/>
      <c r="Q377" s="801"/>
      <c r="R377" s="801"/>
      <c r="S377" s="801"/>
      <c r="T377" s="801"/>
      <c r="U377" s="801"/>
      <c r="V377" s="801"/>
      <c r="W377" s="826"/>
      <c r="X377" s="826"/>
      <c r="Y377" s="826"/>
      <c r="Z377" s="827"/>
      <c r="AA377" s="800" t="str">
        <f>IFERROR(IF(AZ369&gt;AA369-1,IF(INDEX(Lista_Pedidos,AY369+AA369-1,6)&lt;&gt;"","Nombre de la Tela :     "&amp; INDEX(Lista_Pedidos,AY369+AA369-1,6),""),""),"")</f>
        <v/>
      </c>
      <c r="AB377" s="801"/>
      <c r="AC377" s="801"/>
      <c r="AD377" s="801"/>
      <c r="AE377" s="801"/>
      <c r="AF377" s="801"/>
      <c r="AG377" s="801"/>
      <c r="AH377" s="801"/>
      <c r="AI377" s="801"/>
      <c r="AJ377" s="801"/>
      <c r="AK377" s="801"/>
      <c r="AL377" s="801"/>
      <c r="AM377" s="801"/>
      <c r="AN377" s="801"/>
      <c r="AO377" s="801"/>
      <c r="AP377" s="801"/>
      <c r="AQ377" s="801"/>
      <c r="AR377" s="801"/>
      <c r="AS377" s="801"/>
      <c r="AT377" s="801"/>
      <c r="AU377" s="801"/>
      <c r="AV377" s="801"/>
      <c r="AW377" s="826"/>
      <c r="AX377" s="826"/>
      <c r="AY377" s="826"/>
      <c r="AZ377" s="827"/>
      <c r="BA377" s="800" t="str">
        <f>IFERROR(IF(BZ369&gt;BA369-1,IF(INDEX(Lista_Pedidos,BY369+BA369-1,6)&lt;&gt;"","Nombre de la Tela :     "&amp; INDEX(Lista_Pedidos,BY369+BA369-1,6),""),""),"")</f>
        <v/>
      </c>
      <c r="BB377" s="801"/>
      <c r="BC377" s="801"/>
      <c r="BD377" s="801"/>
      <c r="BE377" s="801"/>
      <c r="BF377" s="801"/>
      <c r="BG377" s="801"/>
      <c r="BH377" s="801"/>
      <c r="BI377" s="801"/>
      <c r="BJ377" s="801"/>
      <c r="BK377" s="801"/>
      <c r="BL377" s="801"/>
      <c r="BM377" s="801"/>
      <c r="BN377" s="801"/>
      <c r="BO377" s="801"/>
      <c r="BP377" s="801"/>
      <c r="BQ377" s="801"/>
      <c r="BR377" s="801"/>
      <c r="BS377" s="801"/>
      <c r="BT377" s="801"/>
      <c r="BU377" s="801"/>
      <c r="BV377" s="801"/>
      <c r="BW377" s="826"/>
      <c r="BX377" s="826"/>
      <c r="BY377" s="826"/>
      <c r="BZ377" s="827"/>
      <c r="CA377" s="800" t="str">
        <f>IFERROR(IF(CZ369&gt;CA369-1,IF(INDEX(Lista_Pedidos,CY369+CA369-1,6)&lt;&gt;"","Nombre de la Tela :     "&amp; INDEX(Lista_Pedidos,CY369+CA369-1,6),""),""),"")</f>
        <v/>
      </c>
      <c r="CB377" s="801"/>
      <c r="CC377" s="801"/>
      <c r="CD377" s="801"/>
      <c r="CE377" s="801"/>
      <c r="CF377" s="801"/>
      <c r="CG377" s="801"/>
      <c r="CH377" s="801"/>
      <c r="CI377" s="801"/>
      <c r="CJ377" s="801"/>
      <c r="CK377" s="801"/>
      <c r="CL377" s="801"/>
      <c r="CM377" s="801"/>
      <c r="CN377" s="801"/>
      <c r="CO377" s="801"/>
      <c r="CP377" s="801"/>
      <c r="CQ377" s="801"/>
      <c r="CR377" s="801"/>
      <c r="CS377" s="801"/>
      <c r="CT377" s="801"/>
      <c r="CU377" s="801"/>
      <c r="CV377" s="801"/>
      <c r="CW377" s="826"/>
      <c r="CX377" s="826"/>
      <c r="CY377" s="826"/>
      <c r="CZ377" s="827"/>
      <c r="DA377" s="800" t="str">
        <f>IFERROR(IF(DZ369&gt;DA369-1,IF(INDEX(Lista_Pedidos,DY369+DA369-1,6)&lt;&gt;"","Nombre de la Tela :     "&amp; INDEX(Lista_Pedidos,DY369+DA369-1,6),""),""),"")</f>
        <v/>
      </c>
      <c r="DB377" s="801"/>
      <c r="DC377" s="801"/>
      <c r="DD377" s="801"/>
      <c r="DE377" s="801"/>
      <c r="DF377" s="801"/>
      <c r="DG377" s="801"/>
      <c r="DH377" s="801"/>
      <c r="DI377" s="801"/>
      <c r="DJ377" s="801"/>
      <c r="DK377" s="801"/>
      <c r="DL377" s="801"/>
      <c r="DM377" s="801"/>
      <c r="DN377" s="801"/>
      <c r="DO377" s="801"/>
      <c r="DP377" s="801"/>
      <c r="DQ377" s="801"/>
      <c r="DR377" s="801"/>
      <c r="DS377" s="801"/>
      <c r="DT377" s="801"/>
      <c r="DU377" s="801"/>
      <c r="DV377" s="801"/>
      <c r="DW377" s="826"/>
      <c r="DX377" s="826"/>
      <c r="DY377" s="826"/>
      <c r="DZ377" s="827"/>
      <c r="EA377" s="800" t="str">
        <f>IFERROR(IF(EZ369&gt;EA369-1,IF(INDEX(Lista_Pedidos,EY369+EA369-1,6)&lt;&gt;"","Nombre de la Tela :     "&amp; INDEX(Lista_Pedidos,EY369+EA369-1,6),""),""),"")</f>
        <v/>
      </c>
      <c r="EB377" s="801"/>
      <c r="EC377" s="801"/>
      <c r="ED377" s="801"/>
      <c r="EE377" s="801"/>
      <c r="EF377" s="801"/>
      <c r="EG377" s="801"/>
      <c r="EH377" s="801"/>
      <c r="EI377" s="801"/>
      <c r="EJ377" s="801"/>
      <c r="EK377" s="801"/>
      <c r="EL377" s="801"/>
      <c r="EM377" s="801"/>
      <c r="EN377" s="801"/>
      <c r="EO377" s="801"/>
      <c r="EP377" s="801"/>
      <c r="EQ377" s="801"/>
      <c r="ER377" s="801"/>
      <c r="ES377" s="801"/>
      <c r="ET377" s="801"/>
      <c r="EU377" s="801"/>
      <c r="EV377" s="801"/>
      <c r="EW377" s="826"/>
      <c r="EX377" s="826"/>
      <c r="EY377" s="826"/>
      <c r="EZ377" s="827"/>
      <c r="FA377" s="800" t="str">
        <f>IFERROR(IF(FZ369&gt;FA369-1,IF(INDEX(Lista_Pedidos,FY369+FA369-1,6)&lt;&gt;"","Nombre de la Tela :     "&amp; INDEX(Lista_Pedidos,FY369+FA369-1,6),""),""),"")</f>
        <v/>
      </c>
      <c r="FB377" s="801"/>
      <c r="FC377" s="801"/>
      <c r="FD377" s="801"/>
      <c r="FE377" s="801"/>
      <c r="FF377" s="801"/>
      <c r="FG377" s="801"/>
      <c r="FH377" s="801"/>
      <c r="FI377" s="801"/>
      <c r="FJ377" s="801"/>
      <c r="FK377" s="801"/>
      <c r="FL377" s="801"/>
      <c r="FM377" s="801"/>
      <c r="FN377" s="801"/>
      <c r="FO377" s="801"/>
      <c r="FP377" s="801"/>
      <c r="FQ377" s="801"/>
      <c r="FR377" s="801"/>
      <c r="FS377" s="801"/>
      <c r="FT377" s="801"/>
      <c r="FU377" s="801"/>
      <c r="FV377" s="801"/>
      <c r="FW377" s="826"/>
      <c r="FX377" s="826"/>
      <c r="FY377" s="826"/>
      <c r="FZ377" s="827"/>
      <c r="GA377" s="800" t="str">
        <f>IFERROR(IF(GZ369&gt;GA369-1,IF(INDEX(Lista_Pedidos,GY369+GA369-1,6)&lt;&gt;"","Nombre de la Tela :     "&amp; INDEX(Lista_Pedidos,GY369+GA369-1,6),""),""),"")</f>
        <v/>
      </c>
      <c r="GB377" s="801"/>
      <c r="GC377" s="801"/>
      <c r="GD377" s="801"/>
      <c r="GE377" s="801"/>
      <c r="GF377" s="801"/>
      <c r="GG377" s="801"/>
      <c r="GH377" s="801"/>
      <c r="GI377" s="801"/>
      <c r="GJ377" s="801"/>
      <c r="GK377" s="801"/>
      <c r="GL377" s="801"/>
      <c r="GM377" s="801"/>
      <c r="GN377" s="801"/>
      <c r="GO377" s="801"/>
      <c r="GP377" s="801"/>
      <c r="GQ377" s="801"/>
      <c r="GR377" s="801"/>
      <c r="GS377" s="801"/>
      <c r="GT377" s="801"/>
      <c r="GU377" s="801"/>
      <c r="GV377" s="801"/>
      <c r="GW377" s="826"/>
      <c r="GX377" s="826"/>
      <c r="GY377" s="826"/>
      <c r="GZ377" s="827"/>
      <c r="HA377" s="800" t="str">
        <f>IFERROR(IF(HZ369&gt;HA369-1,IF(INDEX(Lista_Pedidos,HY369+HA369-1,6)&lt;&gt;"","Nombre de la Tela :     "&amp; INDEX(Lista_Pedidos,HY369+HA369-1,6),""),""),"")</f>
        <v/>
      </c>
      <c r="HB377" s="801"/>
      <c r="HC377" s="801"/>
      <c r="HD377" s="801"/>
      <c r="HE377" s="801"/>
      <c r="HF377" s="801"/>
      <c r="HG377" s="801"/>
      <c r="HH377" s="801"/>
      <c r="HI377" s="801"/>
      <c r="HJ377" s="801"/>
      <c r="HK377" s="801"/>
      <c r="HL377" s="801"/>
      <c r="HM377" s="801"/>
      <c r="HN377" s="801"/>
      <c r="HO377" s="801"/>
      <c r="HP377" s="801"/>
      <c r="HQ377" s="801"/>
      <c r="HR377" s="801"/>
      <c r="HS377" s="801"/>
      <c r="HT377" s="801"/>
      <c r="HU377" s="801"/>
      <c r="HV377" s="801"/>
      <c r="HW377" s="826"/>
      <c r="HX377" s="826"/>
      <c r="HY377" s="826"/>
      <c r="HZ377" s="827"/>
      <c r="IA377" s="800" t="str">
        <f>IFERROR(IF(IZ369&gt;IA369-1,IF(INDEX(Lista_Pedidos,IY369+IA369-1,6)&lt;&gt;"","Nombre de la Tela :     "&amp; INDEX(Lista_Pedidos,IY369+IA369-1,6),""),""),"")</f>
        <v/>
      </c>
      <c r="IB377" s="801"/>
      <c r="IC377" s="801"/>
      <c r="ID377" s="801"/>
      <c r="IE377" s="801"/>
      <c r="IF377" s="801"/>
      <c r="IG377" s="801"/>
      <c r="IH377" s="801"/>
      <c r="II377" s="801"/>
      <c r="IJ377" s="801"/>
      <c r="IK377" s="801"/>
      <c r="IL377" s="801"/>
      <c r="IM377" s="801"/>
      <c r="IN377" s="801"/>
      <c r="IO377" s="801"/>
      <c r="IP377" s="801"/>
      <c r="IQ377" s="801"/>
      <c r="IR377" s="801"/>
      <c r="IS377" s="801"/>
      <c r="IT377" s="801"/>
      <c r="IU377" s="801"/>
      <c r="IV377" s="801"/>
      <c r="IW377" s="826"/>
      <c r="IX377" s="826"/>
      <c r="IY377" s="826"/>
      <c r="IZ377" s="827"/>
    </row>
    <row r="378" spans="1:260" x14ac:dyDescent="0.25">
      <c r="A378" s="800" t="str">
        <f>IFERROR(IF(Z369&gt;A369-1,IF(INDEX(Lista_Pedidos,Y369+A369-1,7)&lt;&gt;"","Hilo :     "&amp; INDEX(Lista_Pedidos,Y369+A369-1,7),""),""),"")</f>
        <v/>
      </c>
      <c r="B378" s="801"/>
      <c r="C378" s="801"/>
      <c r="D378" s="801"/>
      <c r="E378" s="801"/>
      <c r="F378" s="801"/>
      <c r="G378" s="801"/>
      <c r="H378" s="801"/>
      <c r="I378" s="801"/>
      <c r="J378" s="801"/>
      <c r="K378" s="801"/>
      <c r="L378" s="801"/>
      <c r="M378" s="801"/>
      <c r="N378" s="801"/>
      <c r="O378" s="801"/>
      <c r="P378" s="801"/>
      <c r="Q378" s="801"/>
      <c r="R378" s="801"/>
      <c r="S378" s="801"/>
      <c r="T378" s="801"/>
      <c r="U378" s="801"/>
      <c r="V378" s="801"/>
      <c r="W378" s="801"/>
      <c r="X378" s="801"/>
      <c r="Y378" s="801"/>
      <c r="Z378" s="802"/>
      <c r="AA378" s="800" t="str">
        <f>IFERROR(IF(AZ369&gt;AA369-1,IF(INDEX(Lista_Pedidos,AY369+AA369-1,7)&lt;&gt;"","Hilo :     "&amp; INDEX(Lista_Pedidos,AY369+AA369-1,7),""),""),"")</f>
        <v/>
      </c>
      <c r="AB378" s="801"/>
      <c r="AC378" s="801"/>
      <c r="AD378" s="801"/>
      <c r="AE378" s="801"/>
      <c r="AF378" s="801"/>
      <c r="AG378" s="801"/>
      <c r="AH378" s="801"/>
      <c r="AI378" s="801"/>
      <c r="AJ378" s="801"/>
      <c r="AK378" s="801"/>
      <c r="AL378" s="801"/>
      <c r="AM378" s="801"/>
      <c r="AN378" s="801"/>
      <c r="AO378" s="801"/>
      <c r="AP378" s="801"/>
      <c r="AQ378" s="801"/>
      <c r="AR378" s="801"/>
      <c r="AS378" s="801"/>
      <c r="AT378" s="801"/>
      <c r="AU378" s="801"/>
      <c r="AV378" s="801"/>
      <c r="AW378" s="801"/>
      <c r="AX378" s="801"/>
      <c r="AY378" s="801"/>
      <c r="AZ378" s="802"/>
      <c r="BA378" s="800" t="str">
        <f>IFERROR(IF(BZ369&gt;BA369-1,IF(INDEX(Lista_Pedidos,BY369+BA369-1,7)&lt;&gt;"","Hilo :     "&amp; INDEX(Lista_Pedidos,BY369+BA369-1,7),""),""),"")</f>
        <v/>
      </c>
      <c r="BB378" s="801"/>
      <c r="BC378" s="801"/>
      <c r="BD378" s="801"/>
      <c r="BE378" s="801"/>
      <c r="BF378" s="801"/>
      <c r="BG378" s="801"/>
      <c r="BH378" s="801"/>
      <c r="BI378" s="801"/>
      <c r="BJ378" s="801"/>
      <c r="BK378" s="801"/>
      <c r="BL378" s="801"/>
      <c r="BM378" s="801"/>
      <c r="BN378" s="801"/>
      <c r="BO378" s="801"/>
      <c r="BP378" s="801"/>
      <c r="BQ378" s="801"/>
      <c r="BR378" s="801"/>
      <c r="BS378" s="801"/>
      <c r="BT378" s="801"/>
      <c r="BU378" s="801"/>
      <c r="BV378" s="801"/>
      <c r="BW378" s="801"/>
      <c r="BX378" s="801"/>
      <c r="BY378" s="801"/>
      <c r="BZ378" s="802"/>
      <c r="CA378" s="800" t="str">
        <f>IFERROR(IF(CZ369&gt;CA369-1,IF(INDEX(Lista_Pedidos,CY369+CA369-1,7)&lt;&gt;"","Hilo :     "&amp; INDEX(Lista_Pedidos,CY369+CA369-1,7),""),""),"")</f>
        <v/>
      </c>
      <c r="CB378" s="801"/>
      <c r="CC378" s="801"/>
      <c r="CD378" s="801"/>
      <c r="CE378" s="801"/>
      <c r="CF378" s="801"/>
      <c r="CG378" s="801"/>
      <c r="CH378" s="801"/>
      <c r="CI378" s="801"/>
      <c r="CJ378" s="801"/>
      <c r="CK378" s="801"/>
      <c r="CL378" s="801"/>
      <c r="CM378" s="801"/>
      <c r="CN378" s="801"/>
      <c r="CO378" s="801"/>
      <c r="CP378" s="801"/>
      <c r="CQ378" s="801"/>
      <c r="CR378" s="801"/>
      <c r="CS378" s="801"/>
      <c r="CT378" s="801"/>
      <c r="CU378" s="801"/>
      <c r="CV378" s="801"/>
      <c r="CW378" s="801"/>
      <c r="CX378" s="801"/>
      <c r="CY378" s="801"/>
      <c r="CZ378" s="802"/>
      <c r="DA378" s="800" t="str">
        <f>IFERROR(IF(DZ369&gt;DA369-1,IF(INDEX(Lista_Pedidos,DY369+DA369-1,7)&lt;&gt;"","Hilo :     "&amp; INDEX(Lista_Pedidos,DY369+DA369-1,7),""),""),"")</f>
        <v/>
      </c>
      <c r="DB378" s="801"/>
      <c r="DC378" s="801"/>
      <c r="DD378" s="801"/>
      <c r="DE378" s="801"/>
      <c r="DF378" s="801"/>
      <c r="DG378" s="801"/>
      <c r="DH378" s="801"/>
      <c r="DI378" s="801"/>
      <c r="DJ378" s="801"/>
      <c r="DK378" s="801"/>
      <c r="DL378" s="801"/>
      <c r="DM378" s="801"/>
      <c r="DN378" s="801"/>
      <c r="DO378" s="801"/>
      <c r="DP378" s="801"/>
      <c r="DQ378" s="801"/>
      <c r="DR378" s="801"/>
      <c r="DS378" s="801"/>
      <c r="DT378" s="801"/>
      <c r="DU378" s="801"/>
      <c r="DV378" s="801"/>
      <c r="DW378" s="801"/>
      <c r="DX378" s="801"/>
      <c r="DY378" s="801"/>
      <c r="DZ378" s="802"/>
      <c r="EA378" s="800" t="str">
        <f>IFERROR(IF(EZ369&gt;EA369-1,IF(INDEX(Lista_Pedidos,EY369+EA369-1,7)&lt;&gt;"","Hilo :     "&amp; INDEX(Lista_Pedidos,EY369+EA369-1,7),""),""),"")</f>
        <v/>
      </c>
      <c r="EB378" s="801"/>
      <c r="EC378" s="801"/>
      <c r="ED378" s="801"/>
      <c r="EE378" s="801"/>
      <c r="EF378" s="801"/>
      <c r="EG378" s="801"/>
      <c r="EH378" s="801"/>
      <c r="EI378" s="801"/>
      <c r="EJ378" s="801"/>
      <c r="EK378" s="801"/>
      <c r="EL378" s="801"/>
      <c r="EM378" s="801"/>
      <c r="EN378" s="801"/>
      <c r="EO378" s="801"/>
      <c r="EP378" s="801"/>
      <c r="EQ378" s="801"/>
      <c r="ER378" s="801"/>
      <c r="ES378" s="801"/>
      <c r="ET378" s="801"/>
      <c r="EU378" s="801"/>
      <c r="EV378" s="801"/>
      <c r="EW378" s="801"/>
      <c r="EX378" s="801"/>
      <c r="EY378" s="801"/>
      <c r="EZ378" s="802"/>
      <c r="FA378" s="800" t="str">
        <f>IFERROR(IF(FZ369&gt;FA369-1,IF(INDEX(Lista_Pedidos,FY369+FA369-1,7)&lt;&gt;"","Hilo :     "&amp; INDEX(Lista_Pedidos,FY369+FA369-1,7),""),""),"")</f>
        <v/>
      </c>
      <c r="FB378" s="801"/>
      <c r="FC378" s="801"/>
      <c r="FD378" s="801"/>
      <c r="FE378" s="801"/>
      <c r="FF378" s="801"/>
      <c r="FG378" s="801"/>
      <c r="FH378" s="801"/>
      <c r="FI378" s="801"/>
      <c r="FJ378" s="801"/>
      <c r="FK378" s="801"/>
      <c r="FL378" s="801"/>
      <c r="FM378" s="801"/>
      <c r="FN378" s="801"/>
      <c r="FO378" s="801"/>
      <c r="FP378" s="801"/>
      <c r="FQ378" s="801"/>
      <c r="FR378" s="801"/>
      <c r="FS378" s="801"/>
      <c r="FT378" s="801"/>
      <c r="FU378" s="801"/>
      <c r="FV378" s="801"/>
      <c r="FW378" s="801"/>
      <c r="FX378" s="801"/>
      <c r="FY378" s="801"/>
      <c r="FZ378" s="802"/>
      <c r="GA378" s="800" t="str">
        <f>IFERROR(IF(GZ369&gt;GA369-1,IF(INDEX(Lista_Pedidos,GY369+GA369-1,7)&lt;&gt;"","Hilo :     "&amp; INDEX(Lista_Pedidos,GY369+GA369-1,7),""),""),"")</f>
        <v/>
      </c>
      <c r="GB378" s="801"/>
      <c r="GC378" s="801"/>
      <c r="GD378" s="801"/>
      <c r="GE378" s="801"/>
      <c r="GF378" s="801"/>
      <c r="GG378" s="801"/>
      <c r="GH378" s="801"/>
      <c r="GI378" s="801"/>
      <c r="GJ378" s="801"/>
      <c r="GK378" s="801"/>
      <c r="GL378" s="801"/>
      <c r="GM378" s="801"/>
      <c r="GN378" s="801"/>
      <c r="GO378" s="801"/>
      <c r="GP378" s="801"/>
      <c r="GQ378" s="801"/>
      <c r="GR378" s="801"/>
      <c r="GS378" s="801"/>
      <c r="GT378" s="801"/>
      <c r="GU378" s="801"/>
      <c r="GV378" s="801"/>
      <c r="GW378" s="801"/>
      <c r="GX378" s="801"/>
      <c r="GY378" s="801"/>
      <c r="GZ378" s="802"/>
      <c r="HA378" s="800" t="str">
        <f>IFERROR(IF(HZ369&gt;HA369-1,IF(INDEX(Lista_Pedidos,HY369+HA369-1,7)&lt;&gt;"","Hilo :     "&amp; INDEX(Lista_Pedidos,HY369+HA369-1,7),""),""),"")</f>
        <v/>
      </c>
      <c r="HB378" s="801"/>
      <c r="HC378" s="801"/>
      <c r="HD378" s="801"/>
      <c r="HE378" s="801"/>
      <c r="HF378" s="801"/>
      <c r="HG378" s="801"/>
      <c r="HH378" s="801"/>
      <c r="HI378" s="801"/>
      <c r="HJ378" s="801"/>
      <c r="HK378" s="801"/>
      <c r="HL378" s="801"/>
      <c r="HM378" s="801"/>
      <c r="HN378" s="801"/>
      <c r="HO378" s="801"/>
      <c r="HP378" s="801"/>
      <c r="HQ378" s="801"/>
      <c r="HR378" s="801"/>
      <c r="HS378" s="801"/>
      <c r="HT378" s="801"/>
      <c r="HU378" s="801"/>
      <c r="HV378" s="801"/>
      <c r="HW378" s="801"/>
      <c r="HX378" s="801"/>
      <c r="HY378" s="801"/>
      <c r="HZ378" s="802"/>
      <c r="IA378" s="800" t="str">
        <f>IFERROR(IF(IZ369&gt;IA369-1,IF(INDEX(Lista_Pedidos,IY369+IA369-1,7)&lt;&gt;"","Hilo :     "&amp; INDEX(Lista_Pedidos,IY369+IA369-1,7),""),""),"")</f>
        <v/>
      </c>
      <c r="IB378" s="801"/>
      <c r="IC378" s="801"/>
      <c r="ID378" s="801"/>
      <c r="IE378" s="801"/>
      <c r="IF378" s="801"/>
      <c r="IG378" s="801"/>
      <c r="IH378" s="801"/>
      <c r="II378" s="801"/>
      <c r="IJ378" s="801"/>
      <c r="IK378" s="801"/>
      <c r="IL378" s="801"/>
      <c r="IM378" s="801"/>
      <c r="IN378" s="801"/>
      <c r="IO378" s="801"/>
      <c r="IP378" s="801"/>
      <c r="IQ378" s="801"/>
      <c r="IR378" s="801"/>
      <c r="IS378" s="801"/>
      <c r="IT378" s="801"/>
      <c r="IU378" s="801"/>
      <c r="IV378" s="801"/>
      <c r="IW378" s="801"/>
      <c r="IX378" s="801"/>
      <c r="IY378" s="801"/>
      <c r="IZ378" s="802"/>
    </row>
    <row r="379" spans="1:260" x14ac:dyDescent="0.25">
      <c r="A379" s="800" t="str">
        <f>IFERROR(IF(Z369&gt;A369-1,IF(INDEX(Lista_Pedidos,Y369+A369-1,8)&lt;&gt;"","Forro :     "&amp; INDEX(Lista_Pedidos,Y369+A369-1,8),""),""),"")</f>
        <v/>
      </c>
      <c r="B379" s="801"/>
      <c r="C379" s="801"/>
      <c r="D379" s="801"/>
      <c r="E379" s="801"/>
      <c r="F379" s="801"/>
      <c r="G379" s="801"/>
      <c r="H379" s="801"/>
      <c r="I379" s="801"/>
      <c r="J379" s="801"/>
      <c r="K379" s="801"/>
      <c r="L379" s="801"/>
      <c r="M379" s="801"/>
      <c r="N379" s="801"/>
      <c r="O379" s="801"/>
      <c r="P379" s="801"/>
      <c r="Q379" s="801"/>
      <c r="R379" s="801"/>
      <c r="S379" s="801"/>
      <c r="T379" s="801"/>
      <c r="U379" s="801"/>
      <c r="V379" s="801"/>
      <c r="W379" s="801"/>
      <c r="X379" s="801"/>
      <c r="Y379" s="801"/>
      <c r="Z379" s="802"/>
      <c r="AA379" s="800" t="str">
        <f>IFERROR(IF(AZ369&gt;AA369-1,IF(INDEX(Lista_Pedidos,AY369+AA369-1,8)&lt;&gt;"","Forro :     "&amp; INDEX(Lista_Pedidos,AY369+AA369-1,8),""),""),"")</f>
        <v/>
      </c>
      <c r="AB379" s="801"/>
      <c r="AC379" s="801"/>
      <c r="AD379" s="801"/>
      <c r="AE379" s="801"/>
      <c r="AF379" s="801"/>
      <c r="AG379" s="801"/>
      <c r="AH379" s="801"/>
      <c r="AI379" s="801"/>
      <c r="AJ379" s="801"/>
      <c r="AK379" s="801"/>
      <c r="AL379" s="801"/>
      <c r="AM379" s="801"/>
      <c r="AN379" s="801"/>
      <c r="AO379" s="801"/>
      <c r="AP379" s="801"/>
      <c r="AQ379" s="801"/>
      <c r="AR379" s="801"/>
      <c r="AS379" s="801"/>
      <c r="AT379" s="801"/>
      <c r="AU379" s="801"/>
      <c r="AV379" s="801"/>
      <c r="AW379" s="801"/>
      <c r="AX379" s="801"/>
      <c r="AY379" s="801"/>
      <c r="AZ379" s="802"/>
      <c r="BA379" s="800" t="str">
        <f>IFERROR(IF(BZ369&gt;BA369-1,IF(INDEX(Lista_Pedidos,BY369+BA369-1,8)&lt;&gt;"","Forro :     "&amp; INDEX(Lista_Pedidos,BY369+BA369-1,8),""),""),"")</f>
        <v/>
      </c>
      <c r="BB379" s="801"/>
      <c r="BC379" s="801"/>
      <c r="BD379" s="801"/>
      <c r="BE379" s="801"/>
      <c r="BF379" s="801"/>
      <c r="BG379" s="801"/>
      <c r="BH379" s="801"/>
      <c r="BI379" s="801"/>
      <c r="BJ379" s="801"/>
      <c r="BK379" s="801"/>
      <c r="BL379" s="801"/>
      <c r="BM379" s="801"/>
      <c r="BN379" s="801"/>
      <c r="BO379" s="801"/>
      <c r="BP379" s="801"/>
      <c r="BQ379" s="801"/>
      <c r="BR379" s="801"/>
      <c r="BS379" s="801"/>
      <c r="BT379" s="801"/>
      <c r="BU379" s="801"/>
      <c r="BV379" s="801"/>
      <c r="BW379" s="801"/>
      <c r="BX379" s="801"/>
      <c r="BY379" s="801"/>
      <c r="BZ379" s="802"/>
      <c r="CA379" s="800" t="str">
        <f>IFERROR(IF(CZ369&gt;CA369-1,IF(INDEX(Lista_Pedidos,CY369+CA369-1,8)&lt;&gt;"","Forro :     "&amp; INDEX(Lista_Pedidos,CY369+CA369-1,8),""),""),"")</f>
        <v/>
      </c>
      <c r="CB379" s="801"/>
      <c r="CC379" s="801"/>
      <c r="CD379" s="801"/>
      <c r="CE379" s="801"/>
      <c r="CF379" s="801"/>
      <c r="CG379" s="801"/>
      <c r="CH379" s="801"/>
      <c r="CI379" s="801"/>
      <c r="CJ379" s="801"/>
      <c r="CK379" s="801"/>
      <c r="CL379" s="801"/>
      <c r="CM379" s="801"/>
      <c r="CN379" s="801"/>
      <c r="CO379" s="801"/>
      <c r="CP379" s="801"/>
      <c r="CQ379" s="801"/>
      <c r="CR379" s="801"/>
      <c r="CS379" s="801"/>
      <c r="CT379" s="801"/>
      <c r="CU379" s="801"/>
      <c r="CV379" s="801"/>
      <c r="CW379" s="801"/>
      <c r="CX379" s="801"/>
      <c r="CY379" s="801"/>
      <c r="CZ379" s="802"/>
      <c r="DA379" s="800" t="str">
        <f>IFERROR(IF(DZ369&gt;DA369-1,IF(INDEX(Lista_Pedidos,DY369+DA369-1,8)&lt;&gt;"","Forro :     "&amp; INDEX(Lista_Pedidos,DY369+DA369-1,8),""),""),"")</f>
        <v/>
      </c>
      <c r="DB379" s="801"/>
      <c r="DC379" s="801"/>
      <c r="DD379" s="801"/>
      <c r="DE379" s="801"/>
      <c r="DF379" s="801"/>
      <c r="DG379" s="801"/>
      <c r="DH379" s="801"/>
      <c r="DI379" s="801"/>
      <c r="DJ379" s="801"/>
      <c r="DK379" s="801"/>
      <c r="DL379" s="801"/>
      <c r="DM379" s="801"/>
      <c r="DN379" s="801"/>
      <c r="DO379" s="801"/>
      <c r="DP379" s="801"/>
      <c r="DQ379" s="801"/>
      <c r="DR379" s="801"/>
      <c r="DS379" s="801"/>
      <c r="DT379" s="801"/>
      <c r="DU379" s="801"/>
      <c r="DV379" s="801"/>
      <c r="DW379" s="801"/>
      <c r="DX379" s="801"/>
      <c r="DY379" s="801"/>
      <c r="DZ379" s="802"/>
      <c r="EA379" s="800" t="str">
        <f>IFERROR(IF(EZ369&gt;EA369-1,IF(INDEX(Lista_Pedidos,EY369+EA369-1,8)&lt;&gt;"","Forro :     "&amp; INDEX(Lista_Pedidos,EY369+EA369-1,8),""),""),"")</f>
        <v/>
      </c>
      <c r="EB379" s="801"/>
      <c r="EC379" s="801"/>
      <c r="ED379" s="801"/>
      <c r="EE379" s="801"/>
      <c r="EF379" s="801"/>
      <c r="EG379" s="801"/>
      <c r="EH379" s="801"/>
      <c r="EI379" s="801"/>
      <c r="EJ379" s="801"/>
      <c r="EK379" s="801"/>
      <c r="EL379" s="801"/>
      <c r="EM379" s="801"/>
      <c r="EN379" s="801"/>
      <c r="EO379" s="801"/>
      <c r="EP379" s="801"/>
      <c r="EQ379" s="801"/>
      <c r="ER379" s="801"/>
      <c r="ES379" s="801"/>
      <c r="ET379" s="801"/>
      <c r="EU379" s="801"/>
      <c r="EV379" s="801"/>
      <c r="EW379" s="801"/>
      <c r="EX379" s="801"/>
      <c r="EY379" s="801"/>
      <c r="EZ379" s="802"/>
      <c r="FA379" s="800" t="str">
        <f>IFERROR(IF(FZ369&gt;FA369-1,IF(INDEX(Lista_Pedidos,FY369+FA369-1,8)&lt;&gt;"","Forro :     "&amp; INDEX(Lista_Pedidos,FY369+FA369-1,8),""),""),"")</f>
        <v/>
      </c>
      <c r="FB379" s="801"/>
      <c r="FC379" s="801"/>
      <c r="FD379" s="801"/>
      <c r="FE379" s="801"/>
      <c r="FF379" s="801"/>
      <c r="FG379" s="801"/>
      <c r="FH379" s="801"/>
      <c r="FI379" s="801"/>
      <c r="FJ379" s="801"/>
      <c r="FK379" s="801"/>
      <c r="FL379" s="801"/>
      <c r="FM379" s="801"/>
      <c r="FN379" s="801"/>
      <c r="FO379" s="801"/>
      <c r="FP379" s="801"/>
      <c r="FQ379" s="801"/>
      <c r="FR379" s="801"/>
      <c r="FS379" s="801"/>
      <c r="FT379" s="801"/>
      <c r="FU379" s="801"/>
      <c r="FV379" s="801"/>
      <c r="FW379" s="801"/>
      <c r="FX379" s="801"/>
      <c r="FY379" s="801"/>
      <c r="FZ379" s="802"/>
      <c r="GA379" s="800" t="str">
        <f>IFERROR(IF(GZ369&gt;GA369-1,IF(INDEX(Lista_Pedidos,GY369+GA369-1,8)&lt;&gt;"","Forro :     "&amp; INDEX(Lista_Pedidos,GY369+GA369-1,8),""),""),"")</f>
        <v/>
      </c>
      <c r="GB379" s="801"/>
      <c r="GC379" s="801"/>
      <c r="GD379" s="801"/>
      <c r="GE379" s="801"/>
      <c r="GF379" s="801"/>
      <c r="GG379" s="801"/>
      <c r="GH379" s="801"/>
      <c r="GI379" s="801"/>
      <c r="GJ379" s="801"/>
      <c r="GK379" s="801"/>
      <c r="GL379" s="801"/>
      <c r="GM379" s="801"/>
      <c r="GN379" s="801"/>
      <c r="GO379" s="801"/>
      <c r="GP379" s="801"/>
      <c r="GQ379" s="801"/>
      <c r="GR379" s="801"/>
      <c r="GS379" s="801"/>
      <c r="GT379" s="801"/>
      <c r="GU379" s="801"/>
      <c r="GV379" s="801"/>
      <c r="GW379" s="801"/>
      <c r="GX379" s="801"/>
      <c r="GY379" s="801"/>
      <c r="GZ379" s="802"/>
      <c r="HA379" s="800" t="str">
        <f>IFERROR(IF(HZ369&gt;HA369-1,IF(INDEX(Lista_Pedidos,HY369+HA369-1,8)&lt;&gt;"","Forro :     "&amp; INDEX(Lista_Pedidos,HY369+HA369-1,8),""),""),"")</f>
        <v/>
      </c>
      <c r="HB379" s="801"/>
      <c r="HC379" s="801"/>
      <c r="HD379" s="801"/>
      <c r="HE379" s="801"/>
      <c r="HF379" s="801"/>
      <c r="HG379" s="801"/>
      <c r="HH379" s="801"/>
      <c r="HI379" s="801"/>
      <c r="HJ379" s="801"/>
      <c r="HK379" s="801"/>
      <c r="HL379" s="801"/>
      <c r="HM379" s="801"/>
      <c r="HN379" s="801"/>
      <c r="HO379" s="801"/>
      <c r="HP379" s="801"/>
      <c r="HQ379" s="801"/>
      <c r="HR379" s="801"/>
      <c r="HS379" s="801"/>
      <c r="HT379" s="801"/>
      <c r="HU379" s="801"/>
      <c r="HV379" s="801"/>
      <c r="HW379" s="801"/>
      <c r="HX379" s="801"/>
      <c r="HY379" s="801"/>
      <c r="HZ379" s="802"/>
      <c r="IA379" s="800" t="str">
        <f>IFERROR(IF(IZ369&gt;IA369-1,IF(INDEX(Lista_Pedidos,IY369+IA369-1,8)&lt;&gt;"","Forro :     "&amp; INDEX(Lista_Pedidos,IY369+IA369-1,8),""),""),"")</f>
        <v/>
      </c>
      <c r="IB379" s="801"/>
      <c r="IC379" s="801"/>
      <c r="ID379" s="801"/>
      <c r="IE379" s="801"/>
      <c r="IF379" s="801"/>
      <c r="IG379" s="801"/>
      <c r="IH379" s="801"/>
      <c r="II379" s="801"/>
      <c r="IJ379" s="801"/>
      <c r="IK379" s="801"/>
      <c r="IL379" s="801"/>
      <c r="IM379" s="801"/>
      <c r="IN379" s="801"/>
      <c r="IO379" s="801"/>
      <c r="IP379" s="801"/>
      <c r="IQ379" s="801"/>
      <c r="IR379" s="801"/>
      <c r="IS379" s="801"/>
      <c r="IT379" s="801"/>
      <c r="IU379" s="801"/>
      <c r="IV379" s="801"/>
      <c r="IW379" s="801"/>
      <c r="IX379" s="801"/>
      <c r="IY379" s="801"/>
      <c r="IZ379" s="802"/>
    </row>
    <row r="380" spans="1:260" x14ac:dyDescent="0.25">
      <c r="A380" s="800" t="str">
        <f>IF(A$5="Cliente Especial : NEON",IF(Z369&gt;A369-1,"Neon :      Si",""),"")</f>
        <v/>
      </c>
      <c r="B380" s="801"/>
      <c r="C380" s="801"/>
      <c r="D380" s="801"/>
      <c r="E380" s="801"/>
      <c r="F380" s="801"/>
      <c r="G380" s="801"/>
      <c r="H380" s="801"/>
      <c r="I380" s="801"/>
      <c r="J380" s="801"/>
      <c r="K380" s="801"/>
      <c r="L380" s="801"/>
      <c r="M380" s="801"/>
      <c r="N380" s="801"/>
      <c r="O380" s="801"/>
      <c r="P380" s="801"/>
      <c r="Q380" s="801"/>
      <c r="R380" s="801"/>
      <c r="S380" s="801"/>
      <c r="T380" s="801"/>
      <c r="U380" s="801"/>
      <c r="V380" s="801"/>
      <c r="W380" s="801"/>
      <c r="X380" s="801"/>
      <c r="Y380" s="801"/>
      <c r="Z380" s="802"/>
      <c r="AA380" s="800" t="str">
        <f>IF(AA$5="Cliente Especial : NEON",IF(AZ369&gt;AA369-1,"Neon :      Si",""),"")</f>
        <v/>
      </c>
      <c r="AB380" s="801"/>
      <c r="AC380" s="801"/>
      <c r="AD380" s="801"/>
      <c r="AE380" s="801"/>
      <c r="AF380" s="801"/>
      <c r="AG380" s="801"/>
      <c r="AH380" s="801"/>
      <c r="AI380" s="801"/>
      <c r="AJ380" s="801"/>
      <c r="AK380" s="801"/>
      <c r="AL380" s="801"/>
      <c r="AM380" s="801"/>
      <c r="AN380" s="801"/>
      <c r="AO380" s="801"/>
      <c r="AP380" s="801"/>
      <c r="AQ380" s="801"/>
      <c r="AR380" s="801"/>
      <c r="AS380" s="801"/>
      <c r="AT380" s="801"/>
      <c r="AU380" s="801"/>
      <c r="AV380" s="801"/>
      <c r="AW380" s="801"/>
      <c r="AX380" s="801"/>
      <c r="AY380" s="801"/>
      <c r="AZ380" s="802"/>
      <c r="BA380" s="800" t="str">
        <f>IF(BA$5="Cliente Especial : NEON",IF(BZ369&gt;BA369-1,"Neon :      Si",""),"")</f>
        <v/>
      </c>
      <c r="BB380" s="801"/>
      <c r="BC380" s="801"/>
      <c r="BD380" s="801"/>
      <c r="BE380" s="801"/>
      <c r="BF380" s="801"/>
      <c r="BG380" s="801"/>
      <c r="BH380" s="801"/>
      <c r="BI380" s="801"/>
      <c r="BJ380" s="801"/>
      <c r="BK380" s="801"/>
      <c r="BL380" s="801"/>
      <c r="BM380" s="801"/>
      <c r="BN380" s="801"/>
      <c r="BO380" s="801"/>
      <c r="BP380" s="801"/>
      <c r="BQ380" s="801"/>
      <c r="BR380" s="801"/>
      <c r="BS380" s="801"/>
      <c r="BT380" s="801"/>
      <c r="BU380" s="801"/>
      <c r="BV380" s="801"/>
      <c r="BW380" s="801"/>
      <c r="BX380" s="801"/>
      <c r="BY380" s="801"/>
      <c r="BZ380" s="802"/>
      <c r="CA380" s="800" t="str">
        <f>IF(CA$5="Cliente Especial : NEON",IF(CZ369&gt;CA369-1,"Neon :      Si",""),"")</f>
        <v/>
      </c>
      <c r="CB380" s="801"/>
      <c r="CC380" s="801"/>
      <c r="CD380" s="801"/>
      <c r="CE380" s="801"/>
      <c r="CF380" s="801"/>
      <c r="CG380" s="801"/>
      <c r="CH380" s="801"/>
      <c r="CI380" s="801"/>
      <c r="CJ380" s="801"/>
      <c r="CK380" s="801"/>
      <c r="CL380" s="801"/>
      <c r="CM380" s="801"/>
      <c r="CN380" s="801"/>
      <c r="CO380" s="801"/>
      <c r="CP380" s="801"/>
      <c r="CQ380" s="801"/>
      <c r="CR380" s="801"/>
      <c r="CS380" s="801"/>
      <c r="CT380" s="801"/>
      <c r="CU380" s="801"/>
      <c r="CV380" s="801"/>
      <c r="CW380" s="801"/>
      <c r="CX380" s="801"/>
      <c r="CY380" s="801"/>
      <c r="CZ380" s="802"/>
      <c r="DA380" s="800" t="str">
        <f>IF(DA$5="Cliente Especial : NEON",IF(DZ369&gt;DA369-1,"Neon :      Si",""),"")</f>
        <v/>
      </c>
      <c r="DB380" s="801"/>
      <c r="DC380" s="801"/>
      <c r="DD380" s="801"/>
      <c r="DE380" s="801"/>
      <c r="DF380" s="801"/>
      <c r="DG380" s="801"/>
      <c r="DH380" s="801"/>
      <c r="DI380" s="801"/>
      <c r="DJ380" s="801"/>
      <c r="DK380" s="801"/>
      <c r="DL380" s="801"/>
      <c r="DM380" s="801"/>
      <c r="DN380" s="801"/>
      <c r="DO380" s="801"/>
      <c r="DP380" s="801"/>
      <c r="DQ380" s="801"/>
      <c r="DR380" s="801"/>
      <c r="DS380" s="801"/>
      <c r="DT380" s="801"/>
      <c r="DU380" s="801"/>
      <c r="DV380" s="801"/>
      <c r="DW380" s="801"/>
      <c r="DX380" s="801"/>
      <c r="DY380" s="801"/>
      <c r="DZ380" s="802"/>
      <c r="EA380" s="800" t="str">
        <f>IF(EA$5="Cliente Especial : NEON",IF(EZ369&gt;EA369-1,"Neon :      Si",""),"")</f>
        <v/>
      </c>
      <c r="EB380" s="801"/>
      <c r="EC380" s="801"/>
      <c r="ED380" s="801"/>
      <c r="EE380" s="801"/>
      <c r="EF380" s="801"/>
      <c r="EG380" s="801"/>
      <c r="EH380" s="801"/>
      <c r="EI380" s="801"/>
      <c r="EJ380" s="801"/>
      <c r="EK380" s="801"/>
      <c r="EL380" s="801"/>
      <c r="EM380" s="801"/>
      <c r="EN380" s="801"/>
      <c r="EO380" s="801"/>
      <c r="EP380" s="801"/>
      <c r="EQ380" s="801"/>
      <c r="ER380" s="801"/>
      <c r="ES380" s="801"/>
      <c r="ET380" s="801"/>
      <c r="EU380" s="801"/>
      <c r="EV380" s="801"/>
      <c r="EW380" s="801"/>
      <c r="EX380" s="801"/>
      <c r="EY380" s="801"/>
      <c r="EZ380" s="802"/>
      <c r="FA380" s="800" t="str">
        <f>IF(FA$5="Cliente Especial : NEON",IF(FZ369&gt;FA369-1,"Neon :      Si",""),"")</f>
        <v/>
      </c>
      <c r="FB380" s="801"/>
      <c r="FC380" s="801"/>
      <c r="FD380" s="801"/>
      <c r="FE380" s="801"/>
      <c r="FF380" s="801"/>
      <c r="FG380" s="801"/>
      <c r="FH380" s="801"/>
      <c r="FI380" s="801"/>
      <c r="FJ380" s="801"/>
      <c r="FK380" s="801"/>
      <c r="FL380" s="801"/>
      <c r="FM380" s="801"/>
      <c r="FN380" s="801"/>
      <c r="FO380" s="801"/>
      <c r="FP380" s="801"/>
      <c r="FQ380" s="801"/>
      <c r="FR380" s="801"/>
      <c r="FS380" s="801"/>
      <c r="FT380" s="801"/>
      <c r="FU380" s="801"/>
      <c r="FV380" s="801"/>
      <c r="FW380" s="801"/>
      <c r="FX380" s="801"/>
      <c r="FY380" s="801"/>
      <c r="FZ380" s="802"/>
      <c r="GA380" s="800" t="str">
        <f>IF(GA$5="Cliente Especial : NEON",IF(GZ369&gt;GA369-1,"Neon :      Si",""),"")</f>
        <v/>
      </c>
      <c r="GB380" s="801"/>
      <c r="GC380" s="801"/>
      <c r="GD380" s="801"/>
      <c r="GE380" s="801"/>
      <c r="GF380" s="801"/>
      <c r="GG380" s="801"/>
      <c r="GH380" s="801"/>
      <c r="GI380" s="801"/>
      <c r="GJ380" s="801"/>
      <c r="GK380" s="801"/>
      <c r="GL380" s="801"/>
      <c r="GM380" s="801"/>
      <c r="GN380" s="801"/>
      <c r="GO380" s="801"/>
      <c r="GP380" s="801"/>
      <c r="GQ380" s="801"/>
      <c r="GR380" s="801"/>
      <c r="GS380" s="801"/>
      <c r="GT380" s="801"/>
      <c r="GU380" s="801"/>
      <c r="GV380" s="801"/>
      <c r="GW380" s="801"/>
      <c r="GX380" s="801"/>
      <c r="GY380" s="801"/>
      <c r="GZ380" s="802"/>
      <c r="HA380" s="800" t="str">
        <f>IF(HA$5="Cliente Especial : NEON",IF(HZ369&gt;HA369-1,"Neon :      Si",""),"")</f>
        <v/>
      </c>
      <c r="HB380" s="801"/>
      <c r="HC380" s="801"/>
      <c r="HD380" s="801"/>
      <c r="HE380" s="801"/>
      <c r="HF380" s="801"/>
      <c r="HG380" s="801"/>
      <c r="HH380" s="801"/>
      <c r="HI380" s="801"/>
      <c r="HJ380" s="801"/>
      <c r="HK380" s="801"/>
      <c r="HL380" s="801"/>
      <c r="HM380" s="801"/>
      <c r="HN380" s="801"/>
      <c r="HO380" s="801"/>
      <c r="HP380" s="801"/>
      <c r="HQ380" s="801"/>
      <c r="HR380" s="801"/>
      <c r="HS380" s="801"/>
      <c r="HT380" s="801"/>
      <c r="HU380" s="801"/>
      <c r="HV380" s="801"/>
      <c r="HW380" s="801"/>
      <c r="HX380" s="801"/>
      <c r="HY380" s="801"/>
      <c r="HZ380" s="802"/>
      <c r="IA380" s="800" t="str">
        <f>IF(IA$5="Cliente Especial : NEON",IF(IZ369&gt;IA369-1,"Neon :      Si",""),"")</f>
        <v/>
      </c>
      <c r="IB380" s="801"/>
      <c r="IC380" s="801"/>
      <c r="ID380" s="801"/>
      <c r="IE380" s="801"/>
      <c r="IF380" s="801"/>
      <c r="IG380" s="801"/>
      <c r="IH380" s="801"/>
      <c r="II380" s="801"/>
      <c r="IJ380" s="801"/>
      <c r="IK380" s="801"/>
      <c r="IL380" s="801"/>
      <c r="IM380" s="801"/>
      <c r="IN380" s="801"/>
      <c r="IO380" s="801"/>
      <c r="IP380" s="801"/>
      <c r="IQ380" s="801"/>
      <c r="IR380" s="801"/>
      <c r="IS380" s="801"/>
      <c r="IT380" s="801"/>
      <c r="IU380" s="801"/>
      <c r="IV380" s="801"/>
      <c r="IW380" s="801"/>
      <c r="IX380" s="801"/>
      <c r="IY380" s="801"/>
      <c r="IZ380" s="802"/>
    </row>
    <row r="381" spans="1:260" x14ac:dyDescent="0.25">
      <c r="A381" s="800" t="str">
        <f>IFERROR(IF(Z369&gt;A369-1,IF(INDEX(Pedidos!J:AZ,Y369+A369-1,9)&lt;&gt;"","Cierre :     "&amp; INDEX(Pedidos!J:AZ,Y369+A369-1,9),""),""),"")</f>
        <v/>
      </c>
      <c r="B381" s="801"/>
      <c r="C381" s="801"/>
      <c r="D381" s="801"/>
      <c r="E381" s="801"/>
      <c r="F381" s="801"/>
      <c r="G381" s="801"/>
      <c r="H381" s="801"/>
      <c r="I381" s="801"/>
      <c r="J381" s="801"/>
      <c r="K381" s="801"/>
      <c r="L381" s="801"/>
      <c r="M381" s="801"/>
      <c r="N381" s="801"/>
      <c r="O381" s="801"/>
      <c r="P381" s="801"/>
      <c r="Q381" s="801"/>
      <c r="R381" s="801"/>
      <c r="S381" s="801"/>
      <c r="T381" s="801"/>
      <c r="U381" s="801"/>
      <c r="V381" s="801"/>
      <c r="W381" s="801"/>
      <c r="X381" s="801"/>
      <c r="Y381" s="801"/>
      <c r="Z381" s="802"/>
      <c r="AA381" s="800" t="str">
        <f>IFERROR(IF(AZ369&gt;AA369-1,IF(INDEX(Pedidos!AJ:BZ,AY369+AA369-1,9)&lt;&gt;"","Cierre :     "&amp; INDEX(Pedidos!AJ:BZ,AY369+AA369-1,9),""),""),"")</f>
        <v/>
      </c>
      <c r="AB381" s="801"/>
      <c r="AC381" s="801"/>
      <c r="AD381" s="801"/>
      <c r="AE381" s="801"/>
      <c r="AF381" s="801"/>
      <c r="AG381" s="801"/>
      <c r="AH381" s="801"/>
      <c r="AI381" s="801"/>
      <c r="AJ381" s="801"/>
      <c r="AK381" s="801"/>
      <c r="AL381" s="801"/>
      <c r="AM381" s="801"/>
      <c r="AN381" s="801"/>
      <c r="AO381" s="801"/>
      <c r="AP381" s="801"/>
      <c r="AQ381" s="801"/>
      <c r="AR381" s="801"/>
      <c r="AS381" s="801"/>
      <c r="AT381" s="801"/>
      <c r="AU381" s="801"/>
      <c r="AV381" s="801"/>
      <c r="AW381" s="801"/>
      <c r="AX381" s="801"/>
      <c r="AY381" s="801"/>
      <c r="AZ381" s="802"/>
      <c r="BA381" s="800" t="str">
        <f>IFERROR(IF(BZ369&gt;BA369-1,IF(INDEX(Pedidos!BJ:CZ,BY369+BA369-1,9)&lt;&gt;"","Cierre :     "&amp; INDEX(Pedidos!BJ:CZ,BY369+BA369-1,9),""),""),"")</f>
        <v/>
      </c>
      <c r="BB381" s="801"/>
      <c r="BC381" s="801"/>
      <c r="BD381" s="801"/>
      <c r="BE381" s="801"/>
      <c r="BF381" s="801"/>
      <c r="BG381" s="801"/>
      <c r="BH381" s="801"/>
      <c r="BI381" s="801"/>
      <c r="BJ381" s="801"/>
      <c r="BK381" s="801"/>
      <c r="BL381" s="801"/>
      <c r="BM381" s="801"/>
      <c r="BN381" s="801"/>
      <c r="BO381" s="801"/>
      <c r="BP381" s="801"/>
      <c r="BQ381" s="801"/>
      <c r="BR381" s="801"/>
      <c r="BS381" s="801"/>
      <c r="BT381" s="801"/>
      <c r="BU381" s="801"/>
      <c r="BV381" s="801"/>
      <c r="BW381" s="801"/>
      <c r="BX381" s="801"/>
      <c r="BY381" s="801"/>
      <c r="BZ381" s="802"/>
      <c r="CA381" s="800" t="str">
        <f>IFERROR(IF(CZ369&gt;CA369-1,IF(INDEX(Pedidos!CJ:DZ,CY369+CA369-1,9)&lt;&gt;"","Cierre :     "&amp; INDEX(Pedidos!CJ:DZ,CY369+CA369-1,9),""),""),"")</f>
        <v/>
      </c>
      <c r="CB381" s="801"/>
      <c r="CC381" s="801"/>
      <c r="CD381" s="801"/>
      <c r="CE381" s="801"/>
      <c r="CF381" s="801"/>
      <c r="CG381" s="801"/>
      <c r="CH381" s="801"/>
      <c r="CI381" s="801"/>
      <c r="CJ381" s="801"/>
      <c r="CK381" s="801"/>
      <c r="CL381" s="801"/>
      <c r="CM381" s="801"/>
      <c r="CN381" s="801"/>
      <c r="CO381" s="801"/>
      <c r="CP381" s="801"/>
      <c r="CQ381" s="801"/>
      <c r="CR381" s="801"/>
      <c r="CS381" s="801"/>
      <c r="CT381" s="801"/>
      <c r="CU381" s="801"/>
      <c r="CV381" s="801"/>
      <c r="CW381" s="801"/>
      <c r="CX381" s="801"/>
      <c r="CY381" s="801"/>
      <c r="CZ381" s="802"/>
      <c r="DA381" s="800" t="str">
        <f>IFERROR(IF(DZ369&gt;DA369-1,IF(INDEX(Pedidos!DJ:EZ,DY369+DA369-1,9)&lt;&gt;"","Cierre :     "&amp; INDEX(Pedidos!DJ:EZ,DY369+DA369-1,9),""),""),"")</f>
        <v/>
      </c>
      <c r="DB381" s="801"/>
      <c r="DC381" s="801"/>
      <c r="DD381" s="801"/>
      <c r="DE381" s="801"/>
      <c r="DF381" s="801"/>
      <c r="DG381" s="801"/>
      <c r="DH381" s="801"/>
      <c r="DI381" s="801"/>
      <c r="DJ381" s="801"/>
      <c r="DK381" s="801"/>
      <c r="DL381" s="801"/>
      <c r="DM381" s="801"/>
      <c r="DN381" s="801"/>
      <c r="DO381" s="801"/>
      <c r="DP381" s="801"/>
      <c r="DQ381" s="801"/>
      <c r="DR381" s="801"/>
      <c r="DS381" s="801"/>
      <c r="DT381" s="801"/>
      <c r="DU381" s="801"/>
      <c r="DV381" s="801"/>
      <c r="DW381" s="801"/>
      <c r="DX381" s="801"/>
      <c r="DY381" s="801"/>
      <c r="DZ381" s="802"/>
      <c r="EA381" s="800" t="str">
        <f>IFERROR(IF(EZ369&gt;EA369-1,IF(INDEX(Pedidos!EJ:FZ,EY369+EA369-1,9)&lt;&gt;"","Cierre :     "&amp; INDEX(Pedidos!EJ:FZ,EY369+EA369-1,9),""),""),"")</f>
        <v/>
      </c>
      <c r="EB381" s="801"/>
      <c r="EC381" s="801"/>
      <c r="ED381" s="801"/>
      <c r="EE381" s="801"/>
      <c r="EF381" s="801"/>
      <c r="EG381" s="801"/>
      <c r="EH381" s="801"/>
      <c r="EI381" s="801"/>
      <c r="EJ381" s="801"/>
      <c r="EK381" s="801"/>
      <c r="EL381" s="801"/>
      <c r="EM381" s="801"/>
      <c r="EN381" s="801"/>
      <c r="EO381" s="801"/>
      <c r="EP381" s="801"/>
      <c r="EQ381" s="801"/>
      <c r="ER381" s="801"/>
      <c r="ES381" s="801"/>
      <c r="ET381" s="801"/>
      <c r="EU381" s="801"/>
      <c r="EV381" s="801"/>
      <c r="EW381" s="801"/>
      <c r="EX381" s="801"/>
      <c r="EY381" s="801"/>
      <c r="EZ381" s="802"/>
      <c r="FA381" s="800" t="str">
        <f>IFERROR(IF(FZ369&gt;FA369-1,IF(INDEX(Pedidos!FJ:GZ,FY369+FA369-1,9)&lt;&gt;"","Cierre :     "&amp; INDEX(Pedidos!FJ:GZ,FY369+FA369-1,9),""),""),"")</f>
        <v/>
      </c>
      <c r="FB381" s="801"/>
      <c r="FC381" s="801"/>
      <c r="FD381" s="801"/>
      <c r="FE381" s="801"/>
      <c r="FF381" s="801"/>
      <c r="FG381" s="801"/>
      <c r="FH381" s="801"/>
      <c r="FI381" s="801"/>
      <c r="FJ381" s="801"/>
      <c r="FK381" s="801"/>
      <c r="FL381" s="801"/>
      <c r="FM381" s="801"/>
      <c r="FN381" s="801"/>
      <c r="FO381" s="801"/>
      <c r="FP381" s="801"/>
      <c r="FQ381" s="801"/>
      <c r="FR381" s="801"/>
      <c r="FS381" s="801"/>
      <c r="FT381" s="801"/>
      <c r="FU381" s="801"/>
      <c r="FV381" s="801"/>
      <c r="FW381" s="801"/>
      <c r="FX381" s="801"/>
      <c r="FY381" s="801"/>
      <c r="FZ381" s="802"/>
      <c r="GA381" s="800" t="str">
        <f>IFERROR(IF(GZ369&gt;GA369-1,IF(INDEX(Pedidos!GJ:HZ,GY369+GA369-1,9)&lt;&gt;"","Cierre :     "&amp; INDEX(Pedidos!GJ:HZ,GY369+GA369-1,9),""),""),"")</f>
        <v/>
      </c>
      <c r="GB381" s="801"/>
      <c r="GC381" s="801"/>
      <c r="GD381" s="801"/>
      <c r="GE381" s="801"/>
      <c r="GF381" s="801"/>
      <c r="GG381" s="801"/>
      <c r="GH381" s="801"/>
      <c r="GI381" s="801"/>
      <c r="GJ381" s="801"/>
      <c r="GK381" s="801"/>
      <c r="GL381" s="801"/>
      <c r="GM381" s="801"/>
      <c r="GN381" s="801"/>
      <c r="GO381" s="801"/>
      <c r="GP381" s="801"/>
      <c r="GQ381" s="801"/>
      <c r="GR381" s="801"/>
      <c r="GS381" s="801"/>
      <c r="GT381" s="801"/>
      <c r="GU381" s="801"/>
      <c r="GV381" s="801"/>
      <c r="GW381" s="801"/>
      <c r="GX381" s="801"/>
      <c r="GY381" s="801"/>
      <c r="GZ381" s="802"/>
      <c r="HA381" s="800" t="str">
        <f>IFERROR(IF(HZ369&gt;HA369-1,IF(INDEX(Pedidos!HJ:IZ,HY369+HA369-1,9)&lt;&gt;"","Cierre :     "&amp; INDEX(Pedidos!HJ:IZ,HY369+HA369-1,9),""),""),"")</f>
        <v/>
      </c>
      <c r="HB381" s="801"/>
      <c r="HC381" s="801"/>
      <c r="HD381" s="801"/>
      <c r="HE381" s="801"/>
      <c r="HF381" s="801"/>
      <c r="HG381" s="801"/>
      <c r="HH381" s="801"/>
      <c r="HI381" s="801"/>
      <c r="HJ381" s="801"/>
      <c r="HK381" s="801"/>
      <c r="HL381" s="801"/>
      <c r="HM381" s="801"/>
      <c r="HN381" s="801"/>
      <c r="HO381" s="801"/>
      <c r="HP381" s="801"/>
      <c r="HQ381" s="801"/>
      <c r="HR381" s="801"/>
      <c r="HS381" s="801"/>
      <c r="HT381" s="801"/>
      <c r="HU381" s="801"/>
      <c r="HV381" s="801"/>
      <c r="HW381" s="801"/>
      <c r="HX381" s="801"/>
      <c r="HY381" s="801"/>
      <c r="HZ381" s="802"/>
      <c r="IA381" s="800" t="str">
        <f>IFERROR(IF(IZ369&gt;IA369-1,IF(INDEX(Pedidos!IJ:JZ,IY369+IA369-1,9)&lt;&gt;"","Cierre :     "&amp; INDEX(Pedidos!IJ:JZ,IY369+IA369-1,9),""),""),"")</f>
        <v/>
      </c>
      <c r="IB381" s="801"/>
      <c r="IC381" s="801"/>
      <c r="ID381" s="801"/>
      <c r="IE381" s="801"/>
      <c r="IF381" s="801"/>
      <c r="IG381" s="801"/>
      <c r="IH381" s="801"/>
      <c r="II381" s="801"/>
      <c r="IJ381" s="801"/>
      <c r="IK381" s="801"/>
      <c r="IL381" s="801"/>
      <c r="IM381" s="801"/>
      <c r="IN381" s="801"/>
      <c r="IO381" s="801"/>
      <c r="IP381" s="801"/>
      <c r="IQ381" s="801"/>
      <c r="IR381" s="801"/>
      <c r="IS381" s="801"/>
      <c r="IT381" s="801"/>
      <c r="IU381" s="801"/>
      <c r="IV381" s="801"/>
      <c r="IW381" s="801"/>
      <c r="IX381" s="801"/>
      <c r="IY381" s="801"/>
      <c r="IZ381" s="802"/>
    </row>
    <row r="382" spans="1:260" x14ac:dyDescent="0.25">
      <c r="A382" s="800" t="str">
        <f>IFERROR(IF(Z369&gt;A369-1,IF(INDEX(Pedidos!J:AZ,Y369+A369-1,11)&lt;&gt;"","Cordon :     "&amp; INDEX(Pedidos!J:AZ,Y369+A369-1,11),""),""),"")</f>
        <v/>
      </c>
      <c r="B382" s="801"/>
      <c r="C382" s="801"/>
      <c r="D382" s="801"/>
      <c r="E382" s="801"/>
      <c r="F382" s="801"/>
      <c r="G382" s="801"/>
      <c r="H382" s="801"/>
      <c r="I382" s="801"/>
      <c r="J382" s="801"/>
      <c r="K382" s="801"/>
      <c r="L382" s="801"/>
      <c r="M382" s="801"/>
      <c r="N382" s="801"/>
      <c r="O382" s="801"/>
      <c r="P382" s="801"/>
      <c r="Q382" s="801"/>
      <c r="R382" s="801"/>
      <c r="S382" s="801"/>
      <c r="T382" s="801"/>
      <c r="U382" s="801"/>
      <c r="V382" s="801"/>
      <c r="W382" s="801"/>
      <c r="X382" s="801"/>
      <c r="Y382" s="801"/>
      <c r="Z382" s="802"/>
      <c r="AA382" s="800" t="str">
        <f>IFERROR(IF(AZ369&gt;AA369-1,IF(INDEX(Pedidos!AJ:BZ,AY369+AA369-1,11)&lt;&gt;"","Cordon :     "&amp; INDEX(Pedidos!AJ:BZ,AY369+AA369-1,11),""),""),"")</f>
        <v/>
      </c>
      <c r="AB382" s="801"/>
      <c r="AC382" s="801"/>
      <c r="AD382" s="801"/>
      <c r="AE382" s="801"/>
      <c r="AF382" s="801"/>
      <c r="AG382" s="801"/>
      <c r="AH382" s="801"/>
      <c r="AI382" s="801"/>
      <c r="AJ382" s="801"/>
      <c r="AK382" s="801"/>
      <c r="AL382" s="801"/>
      <c r="AM382" s="801"/>
      <c r="AN382" s="801"/>
      <c r="AO382" s="801"/>
      <c r="AP382" s="801"/>
      <c r="AQ382" s="801"/>
      <c r="AR382" s="801"/>
      <c r="AS382" s="801"/>
      <c r="AT382" s="801"/>
      <c r="AU382" s="801"/>
      <c r="AV382" s="801"/>
      <c r="AW382" s="801"/>
      <c r="AX382" s="801"/>
      <c r="AY382" s="801"/>
      <c r="AZ382" s="802"/>
      <c r="BA382" s="800" t="str">
        <f>IFERROR(IF(BZ369&gt;BA369-1,IF(INDEX(Pedidos!BJ:CZ,BY369+BA369-1,11)&lt;&gt;"","Cordon :     "&amp; INDEX(Pedidos!BJ:CZ,BY369+BA369-1,11),""),""),"")</f>
        <v/>
      </c>
      <c r="BB382" s="801"/>
      <c r="BC382" s="801"/>
      <c r="BD382" s="801"/>
      <c r="BE382" s="801"/>
      <c r="BF382" s="801"/>
      <c r="BG382" s="801"/>
      <c r="BH382" s="801"/>
      <c r="BI382" s="801"/>
      <c r="BJ382" s="801"/>
      <c r="BK382" s="801"/>
      <c r="BL382" s="801"/>
      <c r="BM382" s="801"/>
      <c r="BN382" s="801"/>
      <c r="BO382" s="801"/>
      <c r="BP382" s="801"/>
      <c r="BQ382" s="801"/>
      <c r="BR382" s="801"/>
      <c r="BS382" s="801"/>
      <c r="BT382" s="801"/>
      <c r="BU382" s="801"/>
      <c r="BV382" s="801"/>
      <c r="BW382" s="801"/>
      <c r="BX382" s="801"/>
      <c r="BY382" s="801"/>
      <c r="BZ382" s="802"/>
      <c r="CA382" s="800" t="str">
        <f>IFERROR(IF(CZ369&gt;CA369-1,IF(INDEX(Pedidos!CJ:DZ,CY369+CA369-1,11)&lt;&gt;"","Cordon :     "&amp; INDEX(Pedidos!CJ:DZ,CY369+CA369-1,11),""),""),"")</f>
        <v/>
      </c>
      <c r="CB382" s="801"/>
      <c r="CC382" s="801"/>
      <c r="CD382" s="801"/>
      <c r="CE382" s="801"/>
      <c r="CF382" s="801"/>
      <c r="CG382" s="801"/>
      <c r="CH382" s="801"/>
      <c r="CI382" s="801"/>
      <c r="CJ382" s="801"/>
      <c r="CK382" s="801"/>
      <c r="CL382" s="801"/>
      <c r="CM382" s="801"/>
      <c r="CN382" s="801"/>
      <c r="CO382" s="801"/>
      <c r="CP382" s="801"/>
      <c r="CQ382" s="801"/>
      <c r="CR382" s="801"/>
      <c r="CS382" s="801"/>
      <c r="CT382" s="801"/>
      <c r="CU382" s="801"/>
      <c r="CV382" s="801"/>
      <c r="CW382" s="801"/>
      <c r="CX382" s="801"/>
      <c r="CY382" s="801"/>
      <c r="CZ382" s="802"/>
      <c r="DA382" s="800" t="str">
        <f>IFERROR(IF(DZ369&gt;DA369-1,IF(INDEX(Pedidos!DJ:EZ,DY369+DA369-1,11)&lt;&gt;"","Cordon :     "&amp; INDEX(Pedidos!DJ:EZ,DY369+DA369-1,11),""),""),"")</f>
        <v/>
      </c>
      <c r="DB382" s="801"/>
      <c r="DC382" s="801"/>
      <c r="DD382" s="801"/>
      <c r="DE382" s="801"/>
      <c r="DF382" s="801"/>
      <c r="DG382" s="801"/>
      <c r="DH382" s="801"/>
      <c r="DI382" s="801"/>
      <c r="DJ382" s="801"/>
      <c r="DK382" s="801"/>
      <c r="DL382" s="801"/>
      <c r="DM382" s="801"/>
      <c r="DN382" s="801"/>
      <c r="DO382" s="801"/>
      <c r="DP382" s="801"/>
      <c r="DQ382" s="801"/>
      <c r="DR382" s="801"/>
      <c r="DS382" s="801"/>
      <c r="DT382" s="801"/>
      <c r="DU382" s="801"/>
      <c r="DV382" s="801"/>
      <c r="DW382" s="801"/>
      <c r="DX382" s="801"/>
      <c r="DY382" s="801"/>
      <c r="DZ382" s="802"/>
      <c r="EA382" s="800" t="str">
        <f>IFERROR(IF(EZ369&gt;EA369-1,IF(INDEX(Pedidos!EJ:FZ,EY369+EA369-1,11)&lt;&gt;"","Cordon :     "&amp; INDEX(Pedidos!EJ:FZ,EY369+EA369-1,11),""),""),"")</f>
        <v/>
      </c>
      <c r="EB382" s="801"/>
      <c r="EC382" s="801"/>
      <c r="ED382" s="801"/>
      <c r="EE382" s="801"/>
      <c r="EF382" s="801"/>
      <c r="EG382" s="801"/>
      <c r="EH382" s="801"/>
      <c r="EI382" s="801"/>
      <c r="EJ382" s="801"/>
      <c r="EK382" s="801"/>
      <c r="EL382" s="801"/>
      <c r="EM382" s="801"/>
      <c r="EN382" s="801"/>
      <c r="EO382" s="801"/>
      <c r="EP382" s="801"/>
      <c r="EQ382" s="801"/>
      <c r="ER382" s="801"/>
      <c r="ES382" s="801"/>
      <c r="ET382" s="801"/>
      <c r="EU382" s="801"/>
      <c r="EV382" s="801"/>
      <c r="EW382" s="801"/>
      <c r="EX382" s="801"/>
      <c r="EY382" s="801"/>
      <c r="EZ382" s="802"/>
      <c r="FA382" s="800" t="str">
        <f>IFERROR(IF(FZ369&gt;FA369-1,IF(INDEX(Pedidos!FJ:GZ,FY369+FA369-1,11)&lt;&gt;"","Cordon :     "&amp; INDEX(Pedidos!FJ:GZ,FY369+FA369-1,11),""),""),"")</f>
        <v/>
      </c>
      <c r="FB382" s="801"/>
      <c r="FC382" s="801"/>
      <c r="FD382" s="801"/>
      <c r="FE382" s="801"/>
      <c r="FF382" s="801"/>
      <c r="FG382" s="801"/>
      <c r="FH382" s="801"/>
      <c r="FI382" s="801"/>
      <c r="FJ382" s="801"/>
      <c r="FK382" s="801"/>
      <c r="FL382" s="801"/>
      <c r="FM382" s="801"/>
      <c r="FN382" s="801"/>
      <c r="FO382" s="801"/>
      <c r="FP382" s="801"/>
      <c r="FQ382" s="801"/>
      <c r="FR382" s="801"/>
      <c r="FS382" s="801"/>
      <c r="FT382" s="801"/>
      <c r="FU382" s="801"/>
      <c r="FV382" s="801"/>
      <c r="FW382" s="801"/>
      <c r="FX382" s="801"/>
      <c r="FY382" s="801"/>
      <c r="FZ382" s="802"/>
      <c r="GA382" s="800" t="str">
        <f>IFERROR(IF(GZ369&gt;GA369-1,IF(INDEX(Pedidos!GJ:HZ,GY369+GA369-1,11)&lt;&gt;"","Cordon :     "&amp; INDEX(Pedidos!GJ:HZ,GY369+GA369-1,11),""),""),"")</f>
        <v/>
      </c>
      <c r="GB382" s="801"/>
      <c r="GC382" s="801"/>
      <c r="GD382" s="801"/>
      <c r="GE382" s="801"/>
      <c r="GF382" s="801"/>
      <c r="GG382" s="801"/>
      <c r="GH382" s="801"/>
      <c r="GI382" s="801"/>
      <c r="GJ382" s="801"/>
      <c r="GK382" s="801"/>
      <c r="GL382" s="801"/>
      <c r="GM382" s="801"/>
      <c r="GN382" s="801"/>
      <c r="GO382" s="801"/>
      <c r="GP382" s="801"/>
      <c r="GQ382" s="801"/>
      <c r="GR382" s="801"/>
      <c r="GS382" s="801"/>
      <c r="GT382" s="801"/>
      <c r="GU382" s="801"/>
      <c r="GV382" s="801"/>
      <c r="GW382" s="801"/>
      <c r="GX382" s="801"/>
      <c r="GY382" s="801"/>
      <c r="GZ382" s="802"/>
      <c r="HA382" s="800" t="str">
        <f>IFERROR(IF(HZ369&gt;HA369-1,IF(INDEX(Pedidos!HJ:IZ,HY369+HA369-1,11)&lt;&gt;"","Cordon :     "&amp; INDEX(Pedidos!HJ:IZ,HY369+HA369-1,11),""),""),"")</f>
        <v/>
      </c>
      <c r="HB382" s="801"/>
      <c r="HC382" s="801"/>
      <c r="HD382" s="801"/>
      <c r="HE382" s="801"/>
      <c r="HF382" s="801"/>
      <c r="HG382" s="801"/>
      <c r="HH382" s="801"/>
      <c r="HI382" s="801"/>
      <c r="HJ382" s="801"/>
      <c r="HK382" s="801"/>
      <c r="HL382" s="801"/>
      <c r="HM382" s="801"/>
      <c r="HN382" s="801"/>
      <c r="HO382" s="801"/>
      <c r="HP382" s="801"/>
      <c r="HQ382" s="801"/>
      <c r="HR382" s="801"/>
      <c r="HS382" s="801"/>
      <c r="HT382" s="801"/>
      <c r="HU382" s="801"/>
      <c r="HV382" s="801"/>
      <c r="HW382" s="801"/>
      <c r="HX382" s="801"/>
      <c r="HY382" s="801"/>
      <c r="HZ382" s="802"/>
      <c r="IA382" s="800" t="str">
        <f>IFERROR(IF(IZ369&gt;IA369-1,IF(INDEX(Pedidos!IJ:JZ,IY369+IA369-1,11)&lt;&gt;"","Cordon :     "&amp; INDEX(Pedidos!IJ:JZ,IY369+IA369-1,11),""),""),"")</f>
        <v/>
      </c>
      <c r="IB382" s="801"/>
      <c r="IC382" s="801"/>
      <c r="ID382" s="801"/>
      <c r="IE382" s="801"/>
      <c r="IF382" s="801"/>
      <c r="IG382" s="801"/>
      <c r="IH382" s="801"/>
      <c r="II382" s="801"/>
      <c r="IJ382" s="801"/>
      <c r="IK382" s="801"/>
      <c r="IL382" s="801"/>
      <c r="IM382" s="801"/>
      <c r="IN382" s="801"/>
      <c r="IO382" s="801"/>
      <c r="IP382" s="801"/>
      <c r="IQ382" s="801"/>
      <c r="IR382" s="801"/>
      <c r="IS382" s="801"/>
      <c r="IT382" s="801"/>
      <c r="IU382" s="801"/>
      <c r="IV382" s="801"/>
      <c r="IW382" s="801"/>
      <c r="IX382" s="801"/>
      <c r="IY382" s="801"/>
      <c r="IZ382" s="802"/>
    </row>
    <row r="383" spans="1:260" x14ac:dyDescent="0.25">
      <c r="A383" s="800" t="str">
        <f>IFERROR(IF(Z369&gt;A369-1,IF(INDEX(Pedidos!J:AZ,Y369+A369-1,12)&lt;&gt;"","Color Cordon :     "&amp; INDEX(Pedidos!J:AZ,Y369+A369-1,12),""),""),"")</f>
        <v/>
      </c>
      <c r="B383" s="801"/>
      <c r="C383" s="801"/>
      <c r="D383" s="801"/>
      <c r="E383" s="801"/>
      <c r="F383" s="801"/>
      <c r="G383" s="801"/>
      <c r="H383" s="801"/>
      <c r="I383" s="801"/>
      <c r="J383" s="801"/>
      <c r="K383" s="801"/>
      <c r="L383" s="801"/>
      <c r="M383" s="801"/>
      <c r="N383" s="801"/>
      <c r="O383" s="801"/>
      <c r="P383" s="801"/>
      <c r="Q383" s="801"/>
      <c r="R383" s="801"/>
      <c r="S383" s="801"/>
      <c r="T383" s="801"/>
      <c r="U383" s="801"/>
      <c r="V383" s="801"/>
      <c r="W383" s="801"/>
      <c r="X383" s="801"/>
      <c r="Y383" s="801"/>
      <c r="Z383" s="802"/>
      <c r="AA383" s="800" t="str">
        <f>IFERROR(IF(AZ369&gt;AA369-1,IF(INDEX(Pedidos!AJ:BZ,AY369+AA369-1,12)&lt;&gt;"","Color Cordon :     "&amp; INDEX(Pedidos!AJ:BZ,AY369+AA369-1,12),""),""),"")</f>
        <v/>
      </c>
      <c r="AB383" s="801"/>
      <c r="AC383" s="801"/>
      <c r="AD383" s="801"/>
      <c r="AE383" s="801"/>
      <c r="AF383" s="801"/>
      <c r="AG383" s="801"/>
      <c r="AH383" s="801"/>
      <c r="AI383" s="801"/>
      <c r="AJ383" s="801"/>
      <c r="AK383" s="801"/>
      <c r="AL383" s="801"/>
      <c r="AM383" s="801"/>
      <c r="AN383" s="801"/>
      <c r="AO383" s="801"/>
      <c r="AP383" s="801"/>
      <c r="AQ383" s="801"/>
      <c r="AR383" s="801"/>
      <c r="AS383" s="801"/>
      <c r="AT383" s="801"/>
      <c r="AU383" s="801"/>
      <c r="AV383" s="801"/>
      <c r="AW383" s="801"/>
      <c r="AX383" s="801"/>
      <c r="AY383" s="801"/>
      <c r="AZ383" s="802"/>
      <c r="BA383" s="800" t="str">
        <f>IFERROR(IF(BZ369&gt;BA369-1,IF(INDEX(Pedidos!BJ:CZ,BY369+BA369-1,12)&lt;&gt;"","Color Cordon :     "&amp; INDEX(Pedidos!BJ:CZ,BY369+BA369-1,12),""),""),"")</f>
        <v/>
      </c>
      <c r="BB383" s="801"/>
      <c r="BC383" s="801"/>
      <c r="BD383" s="801"/>
      <c r="BE383" s="801"/>
      <c r="BF383" s="801"/>
      <c r="BG383" s="801"/>
      <c r="BH383" s="801"/>
      <c r="BI383" s="801"/>
      <c r="BJ383" s="801"/>
      <c r="BK383" s="801"/>
      <c r="BL383" s="801"/>
      <c r="BM383" s="801"/>
      <c r="BN383" s="801"/>
      <c r="BO383" s="801"/>
      <c r="BP383" s="801"/>
      <c r="BQ383" s="801"/>
      <c r="BR383" s="801"/>
      <c r="BS383" s="801"/>
      <c r="BT383" s="801"/>
      <c r="BU383" s="801"/>
      <c r="BV383" s="801"/>
      <c r="BW383" s="801"/>
      <c r="BX383" s="801"/>
      <c r="BY383" s="801"/>
      <c r="BZ383" s="802"/>
      <c r="CA383" s="800" t="str">
        <f>IFERROR(IF(CZ369&gt;CA369-1,IF(INDEX(Pedidos!CJ:DZ,CY369+CA369-1,12)&lt;&gt;"","Color Cordon :     "&amp; INDEX(Pedidos!CJ:DZ,CY369+CA369-1,12),""),""),"")</f>
        <v/>
      </c>
      <c r="CB383" s="801"/>
      <c r="CC383" s="801"/>
      <c r="CD383" s="801"/>
      <c r="CE383" s="801"/>
      <c r="CF383" s="801"/>
      <c r="CG383" s="801"/>
      <c r="CH383" s="801"/>
      <c r="CI383" s="801"/>
      <c r="CJ383" s="801"/>
      <c r="CK383" s="801"/>
      <c r="CL383" s="801"/>
      <c r="CM383" s="801"/>
      <c r="CN383" s="801"/>
      <c r="CO383" s="801"/>
      <c r="CP383" s="801"/>
      <c r="CQ383" s="801"/>
      <c r="CR383" s="801"/>
      <c r="CS383" s="801"/>
      <c r="CT383" s="801"/>
      <c r="CU383" s="801"/>
      <c r="CV383" s="801"/>
      <c r="CW383" s="801"/>
      <c r="CX383" s="801"/>
      <c r="CY383" s="801"/>
      <c r="CZ383" s="802"/>
      <c r="DA383" s="800" t="str">
        <f>IFERROR(IF(DZ369&gt;DA369-1,IF(INDEX(Pedidos!DJ:EZ,DY369+DA369-1,12)&lt;&gt;"","Color Cordon :     "&amp; INDEX(Pedidos!DJ:EZ,DY369+DA369-1,12),""),""),"")</f>
        <v/>
      </c>
      <c r="DB383" s="801"/>
      <c r="DC383" s="801"/>
      <c r="DD383" s="801"/>
      <c r="DE383" s="801"/>
      <c r="DF383" s="801"/>
      <c r="DG383" s="801"/>
      <c r="DH383" s="801"/>
      <c r="DI383" s="801"/>
      <c r="DJ383" s="801"/>
      <c r="DK383" s="801"/>
      <c r="DL383" s="801"/>
      <c r="DM383" s="801"/>
      <c r="DN383" s="801"/>
      <c r="DO383" s="801"/>
      <c r="DP383" s="801"/>
      <c r="DQ383" s="801"/>
      <c r="DR383" s="801"/>
      <c r="DS383" s="801"/>
      <c r="DT383" s="801"/>
      <c r="DU383" s="801"/>
      <c r="DV383" s="801"/>
      <c r="DW383" s="801"/>
      <c r="DX383" s="801"/>
      <c r="DY383" s="801"/>
      <c r="DZ383" s="802"/>
      <c r="EA383" s="800" t="str">
        <f>IFERROR(IF(EZ369&gt;EA369-1,IF(INDEX(Pedidos!EJ:FZ,EY369+EA369-1,12)&lt;&gt;"","Color Cordon :     "&amp; INDEX(Pedidos!EJ:FZ,EY369+EA369-1,12),""),""),"")</f>
        <v/>
      </c>
      <c r="EB383" s="801"/>
      <c r="EC383" s="801"/>
      <c r="ED383" s="801"/>
      <c r="EE383" s="801"/>
      <c r="EF383" s="801"/>
      <c r="EG383" s="801"/>
      <c r="EH383" s="801"/>
      <c r="EI383" s="801"/>
      <c r="EJ383" s="801"/>
      <c r="EK383" s="801"/>
      <c r="EL383" s="801"/>
      <c r="EM383" s="801"/>
      <c r="EN383" s="801"/>
      <c r="EO383" s="801"/>
      <c r="EP383" s="801"/>
      <c r="EQ383" s="801"/>
      <c r="ER383" s="801"/>
      <c r="ES383" s="801"/>
      <c r="ET383" s="801"/>
      <c r="EU383" s="801"/>
      <c r="EV383" s="801"/>
      <c r="EW383" s="801"/>
      <c r="EX383" s="801"/>
      <c r="EY383" s="801"/>
      <c r="EZ383" s="802"/>
      <c r="FA383" s="800" t="str">
        <f>IFERROR(IF(FZ369&gt;FA369-1,IF(INDEX(Pedidos!FJ:GZ,FY369+FA369-1,12)&lt;&gt;"","Color Cordon :     "&amp; INDEX(Pedidos!FJ:GZ,FY369+FA369-1,12),""),""),"")</f>
        <v/>
      </c>
      <c r="FB383" s="801"/>
      <c r="FC383" s="801"/>
      <c r="FD383" s="801"/>
      <c r="FE383" s="801"/>
      <c r="FF383" s="801"/>
      <c r="FG383" s="801"/>
      <c r="FH383" s="801"/>
      <c r="FI383" s="801"/>
      <c r="FJ383" s="801"/>
      <c r="FK383" s="801"/>
      <c r="FL383" s="801"/>
      <c r="FM383" s="801"/>
      <c r="FN383" s="801"/>
      <c r="FO383" s="801"/>
      <c r="FP383" s="801"/>
      <c r="FQ383" s="801"/>
      <c r="FR383" s="801"/>
      <c r="FS383" s="801"/>
      <c r="FT383" s="801"/>
      <c r="FU383" s="801"/>
      <c r="FV383" s="801"/>
      <c r="FW383" s="801"/>
      <c r="FX383" s="801"/>
      <c r="FY383" s="801"/>
      <c r="FZ383" s="802"/>
      <c r="GA383" s="800" t="str">
        <f>IFERROR(IF(GZ369&gt;GA369-1,IF(INDEX(Pedidos!GJ:HZ,GY369+GA369-1,12)&lt;&gt;"","Color Cordon :     "&amp; INDEX(Pedidos!GJ:HZ,GY369+GA369-1,12),""),""),"")</f>
        <v/>
      </c>
      <c r="GB383" s="801"/>
      <c r="GC383" s="801"/>
      <c r="GD383" s="801"/>
      <c r="GE383" s="801"/>
      <c r="GF383" s="801"/>
      <c r="GG383" s="801"/>
      <c r="GH383" s="801"/>
      <c r="GI383" s="801"/>
      <c r="GJ383" s="801"/>
      <c r="GK383" s="801"/>
      <c r="GL383" s="801"/>
      <c r="GM383" s="801"/>
      <c r="GN383" s="801"/>
      <c r="GO383" s="801"/>
      <c r="GP383" s="801"/>
      <c r="GQ383" s="801"/>
      <c r="GR383" s="801"/>
      <c r="GS383" s="801"/>
      <c r="GT383" s="801"/>
      <c r="GU383" s="801"/>
      <c r="GV383" s="801"/>
      <c r="GW383" s="801"/>
      <c r="GX383" s="801"/>
      <c r="GY383" s="801"/>
      <c r="GZ383" s="802"/>
      <c r="HA383" s="800" t="str">
        <f>IFERROR(IF(HZ369&gt;HA369-1,IF(INDEX(Pedidos!HJ:IZ,HY369+HA369-1,12)&lt;&gt;"","Color Cordon :     "&amp; INDEX(Pedidos!HJ:IZ,HY369+HA369-1,12),""),""),"")</f>
        <v/>
      </c>
      <c r="HB383" s="801"/>
      <c r="HC383" s="801"/>
      <c r="HD383" s="801"/>
      <c r="HE383" s="801"/>
      <c r="HF383" s="801"/>
      <c r="HG383" s="801"/>
      <c r="HH383" s="801"/>
      <c r="HI383" s="801"/>
      <c r="HJ383" s="801"/>
      <c r="HK383" s="801"/>
      <c r="HL383" s="801"/>
      <c r="HM383" s="801"/>
      <c r="HN383" s="801"/>
      <c r="HO383" s="801"/>
      <c r="HP383" s="801"/>
      <c r="HQ383" s="801"/>
      <c r="HR383" s="801"/>
      <c r="HS383" s="801"/>
      <c r="HT383" s="801"/>
      <c r="HU383" s="801"/>
      <c r="HV383" s="801"/>
      <c r="HW383" s="801"/>
      <c r="HX383" s="801"/>
      <c r="HY383" s="801"/>
      <c r="HZ383" s="802"/>
      <c r="IA383" s="800" t="str">
        <f>IFERROR(IF(IZ369&gt;IA369-1,IF(INDEX(Pedidos!IJ:JZ,IY369+IA369-1,12)&lt;&gt;"","Color Cordon :     "&amp; INDEX(Pedidos!IJ:JZ,IY369+IA369-1,12),""),""),"")</f>
        <v/>
      </c>
      <c r="IB383" s="801"/>
      <c r="IC383" s="801"/>
      <c r="ID383" s="801"/>
      <c r="IE383" s="801"/>
      <c r="IF383" s="801"/>
      <c r="IG383" s="801"/>
      <c r="IH383" s="801"/>
      <c r="II383" s="801"/>
      <c r="IJ383" s="801"/>
      <c r="IK383" s="801"/>
      <c r="IL383" s="801"/>
      <c r="IM383" s="801"/>
      <c r="IN383" s="801"/>
      <c r="IO383" s="801"/>
      <c r="IP383" s="801"/>
      <c r="IQ383" s="801"/>
      <c r="IR383" s="801"/>
      <c r="IS383" s="801"/>
      <c r="IT383" s="801"/>
      <c r="IU383" s="801"/>
      <c r="IV383" s="801"/>
      <c r="IW383" s="801"/>
      <c r="IX383" s="801"/>
      <c r="IY383" s="801"/>
      <c r="IZ383" s="802"/>
    </row>
    <row r="384" spans="1:260" x14ac:dyDescent="0.25">
      <c r="A384" s="800"/>
      <c r="B384" s="801"/>
      <c r="C384" s="801"/>
      <c r="D384" s="801"/>
      <c r="E384" s="801"/>
      <c r="F384" s="801"/>
      <c r="G384" s="801"/>
      <c r="H384" s="801"/>
      <c r="I384" s="801"/>
      <c r="J384" s="801"/>
      <c r="K384" s="801"/>
      <c r="L384" s="801"/>
      <c r="M384" s="801"/>
      <c r="N384" s="801"/>
      <c r="O384" s="801"/>
      <c r="P384" s="801"/>
      <c r="Q384" s="801"/>
      <c r="R384" s="801"/>
      <c r="S384" s="801"/>
      <c r="T384" s="801"/>
      <c r="U384" s="801"/>
      <c r="V384" s="801"/>
      <c r="W384" s="801"/>
      <c r="X384" s="801"/>
      <c r="Y384" s="801"/>
      <c r="Z384" s="802"/>
      <c r="AA384" s="800"/>
      <c r="AB384" s="801"/>
      <c r="AC384" s="801"/>
      <c r="AD384" s="801"/>
      <c r="AE384" s="801"/>
      <c r="AF384" s="801"/>
      <c r="AG384" s="801"/>
      <c r="AH384" s="801"/>
      <c r="AI384" s="801"/>
      <c r="AJ384" s="801"/>
      <c r="AK384" s="801"/>
      <c r="AL384" s="801"/>
      <c r="AM384" s="801"/>
      <c r="AN384" s="801"/>
      <c r="AO384" s="801"/>
      <c r="AP384" s="801"/>
      <c r="AQ384" s="801"/>
      <c r="AR384" s="801"/>
      <c r="AS384" s="801"/>
      <c r="AT384" s="801"/>
      <c r="AU384" s="801"/>
      <c r="AV384" s="801"/>
      <c r="AW384" s="801"/>
      <c r="AX384" s="801"/>
      <c r="AY384" s="801"/>
      <c r="AZ384" s="802"/>
      <c r="BA384" s="800"/>
      <c r="BB384" s="801"/>
      <c r="BC384" s="801"/>
      <c r="BD384" s="801"/>
      <c r="BE384" s="801"/>
      <c r="BF384" s="801"/>
      <c r="BG384" s="801"/>
      <c r="BH384" s="801"/>
      <c r="BI384" s="801"/>
      <c r="BJ384" s="801"/>
      <c r="BK384" s="801"/>
      <c r="BL384" s="801"/>
      <c r="BM384" s="801"/>
      <c r="BN384" s="801"/>
      <c r="BO384" s="801"/>
      <c r="BP384" s="801"/>
      <c r="BQ384" s="801"/>
      <c r="BR384" s="801"/>
      <c r="BS384" s="801"/>
      <c r="BT384" s="801"/>
      <c r="BU384" s="801"/>
      <c r="BV384" s="801"/>
      <c r="BW384" s="801"/>
      <c r="BX384" s="801"/>
      <c r="BY384" s="801"/>
      <c r="BZ384" s="802"/>
      <c r="CA384" s="800"/>
      <c r="CB384" s="801"/>
      <c r="CC384" s="801"/>
      <c r="CD384" s="801"/>
      <c r="CE384" s="801"/>
      <c r="CF384" s="801"/>
      <c r="CG384" s="801"/>
      <c r="CH384" s="801"/>
      <c r="CI384" s="801"/>
      <c r="CJ384" s="801"/>
      <c r="CK384" s="801"/>
      <c r="CL384" s="801"/>
      <c r="CM384" s="801"/>
      <c r="CN384" s="801"/>
      <c r="CO384" s="801"/>
      <c r="CP384" s="801"/>
      <c r="CQ384" s="801"/>
      <c r="CR384" s="801"/>
      <c r="CS384" s="801"/>
      <c r="CT384" s="801"/>
      <c r="CU384" s="801"/>
      <c r="CV384" s="801"/>
      <c r="CW384" s="801"/>
      <c r="CX384" s="801"/>
      <c r="CY384" s="801"/>
      <c r="CZ384" s="802"/>
      <c r="DA384" s="800"/>
      <c r="DB384" s="801"/>
      <c r="DC384" s="801"/>
      <c r="DD384" s="801"/>
      <c r="DE384" s="801"/>
      <c r="DF384" s="801"/>
      <c r="DG384" s="801"/>
      <c r="DH384" s="801"/>
      <c r="DI384" s="801"/>
      <c r="DJ384" s="801"/>
      <c r="DK384" s="801"/>
      <c r="DL384" s="801"/>
      <c r="DM384" s="801"/>
      <c r="DN384" s="801"/>
      <c r="DO384" s="801"/>
      <c r="DP384" s="801"/>
      <c r="DQ384" s="801"/>
      <c r="DR384" s="801"/>
      <c r="DS384" s="801"/>
      <c r="DT384" s="801"/>
      <c r="DU384" s="801"/>
      <c r="DV384" s="801"/>
      <c r="DW384" s="801"/>
      <c r="DX384" s="801"/>
      <c r="DY384" s="801"/>
      <c r="DZ384" s="802"/>
      <c r="EA384" s="800"/>
      <c r="EB384" s="801"/>
      <c r="EC384" s="801"/>
      <c r="ED384" s="801"/>
      <c r="EE384" s="801"/>
      <c r="EF384" s="801"/>
      <c r="EG384" s="801"/>
      <c r="EH384" s="801"/>
      <c r="EI384" s="801"/>
      <c r="EJ384" s="801"/>
      <c r="EK384" s="801"/>
      <c r="EL384" s="801"/>
      <c r="EM384" s="801"/>
      <c r="EN384" s="801"/>
      <c r="EO384" s="801"/>
      <c r="EP384" s="801"/>
      <c r="EQ384" s="801"/>
      <c r="ER384" s="801"/>
      <c r="ES384" s="801"/>
      <c r="ET384" s="801"/>
      <c r="EU384" s="801"/>
      <c r="EV384" s="801"/>
      <c r="EW384" s="801"/>
      <c r="EX384" s="801"/>
      <c r="EY384" s="801"/>
      <c r="EZ384" s="802"/>
      <c r="FA384" s="800"/>
      <c r="FB384" s="801"/>
      <c r="FC384" s="801"/>
      <c r="FD384" s="801"/>
      <c r="FE384" s="801"/>
      <c r="FF384" s="801"/>
      <c r="FG384" s="801"/>
      <c r="FH384" s="801"/>
      <c r="FI384" s="801"/>
      <c r="FJ384" s="801"/>
      <c r="FK384" s="801"/>
      <c r="FL384" s="801"/>
      <c r="FM384" s="801"/>
      <c r="FN384" s="801"/>
      <c r="FO384" s="801"/>
      <c r="FP384" s="801"/>
      <c r="FQ384" s="801"/>
      <c r="FR384" s="801"/>
      <c r="FS384" s="801"/>
      <c r="FT384" s="801"/>
      <c r="FU384" s="801"/>
      <c r="FV384" s="801"/>
      <c r="FW384" s="801"/>
      <c r="FX384" s="801"/>
      <c r="FY384" s="801"/>
      <c r="FZ384" s="802"/>
      <c r="GA384" s="800"/>
      <c r="GB384" s="801"/>
      <c r="GC384" s="801"/>
      <c r="GD384" s="801"/>
      <c r="GE384" s="801"/>
      <c r="GF384" s="801"/>
      <c r="GG384" s="801"/>
      <c r="GH384" s="801"/>
      <c r="GI384" s="801"/>
      <c r="GJ384" s="801"/>
      <c r="GK384" s="801"/>
      <c r="GL384" s="801"/>
      <c r="GM384" s="801"/>
      <c r="GN384" s="801"/>
      <c r="GO384" s="801"/>
      <c r="GP384" s="801"/>
      <c r="GQ384" s="801"/>
      <c r="GR384" s="801"/>
      <c r="GS384" s="801"/>
      <c r="GT384" s="801"/>
      <c r="GU384" s="801"/>
      <c r="GV384" s="801"/>
      <c r="GW384" s="801"/>
      <c r="GX384" s="801"/>
      <c r="GY384" s="801"/>
      <c r="GZ384" s="802"/>
      <c r="HA384" s="800"/>
      <c r="HB384" s="801"/>
      <c r="HC384" s="801"/>
      <c r="HD384" s="801"/>
      <c r="HE384" s="801"/>
      <c r="HF384" s="801"/>
      <c r="HG384" s="801"/>
      <c r="HH384" s="801"/>
      <c r="HI384" s="801"/>
      <c r="HJ384" s="801"/>
      <c r="HK384" s="801"/>
      <c r="HL384" s="801"/>
      <c r="HM384" s="801"/>
      <c r="HN384" s="801"/>
      <c r="HO384" s="801"/>
      <c r="HP384" s="801"/>
      <c r="HQ384" s="801"/>
      <c r="HR384" s="801"/>
      <c r="HS384" s="801"/>
      <c r="HT384" s="801"/>
      <c r="HU384" s="801"/>
      <c r="HV384" s="801"/>
      <c r="HW384" s="801"/>
      <c r="HX384" s="801"/>
      <c r="HY384" s="801"/>
      <c r="HZ384" s="802"/>
      <c r="IA384" s="800"/>
      <c r="IB384" s="801"/>
      <c r="IC384" s="801"/>
      <c r="ID384" s="801"/>
      <c r="IE384" s="801"/>
      <c r="IF384" s="801"/>
      <c r="IG384" s="801"/>
      <c r="IH384" s="801"/>
      <c r="II384" s="801"/>
      <c r="IJ384" s="801"/>
      <c r="IK384" s="801"/>
      <c r="IL384" s="801"/>
      <c r="IM384" s="801"/>
      <c r="IN384" s="801"/>
      <c r="IO384" s="801"/>
      <c r="IP384" s="801"/>
      <c r="IQ384" s="801"/>
      <c r="IR384" s="801"/>
      <c r="IS384" s="801"/>
      <c r="IT384" s="801"/>
      <c r="IU384" s="801"/>
      <c r="IV384" s="801"/>
      <c r="IW384" s="801"/>
      <c r="IX384" s="801"/>
      <c r="IY384" s="801"/>
      <c r="IZ384" s="802"/>
    </row>
    <row r="385" spans="1:260" x14ac:dyDescent="0.25">
      <c r="A385" s="800"/>
      <c r="B385" s="801"/>
      <c r="C385" s="801"/>
      <c r="D385" s="801"/>
      <c r="E385" s="801"/>
      <c r="F385" s="801"/>
      <c r="G385" s="801"/>
      <c r="H385" s="801"/>
      <c r="I385" s="801"/>
      <c r="J385" s="801"/>
      <c r="K385" s="801"/>
      <c r="L385" s="801"/>
      <c r="M385" s="801"/>
      <c r="N385" s="801"/>
      <c r="O385" s="801"/>
      <c r="P385" s="801"/>
      <c r="Q385" s="801"/>
      <c r="R385" s="801"/>
      <c r="S385" s="801"/>
      <c r="T385" s="801"/>
      <c r="U385" s="801"/>
      <c r="V385" s="801"/>
      <c r="W385" s="801"/>
      <c r="X385" s="801"/>
      <c r="Y385" s="801"/>
      <c r="Z385" s="802"/>
      <c r="AA385" s="800"/>
      <c r="AB385" s="801"/>
      <c r="AC385" s="801"/>
      <c r="AD385" s="801"/>
      <c r="AE385" s="801"/>
      <c r="AF385" s="801"/>
      <c r="AG385" s="801"/>
      <c r="AH385" s="801"/>
      <c r="AI385" s="801"/>
      <c r="AJ385" s="801"/>
      <c r="AK385" s="801"/>
      <c r="AL385" s="801"/>
      <c r="AM385" s="801"/>
      <c r="AN385" s="801"/>
      <c r="AO385" s="801"/>
      <c r="AP385" s="801"/>
      <c r="AQ385" s="801"/>
      <c r="AR385" s="801"/>
      <c r="AS385" s="801"/>
      <c r="AT385" s="801"/>
      <c r="AU385" s="801"/>
      <c r="AV385" s="801"/>
      <c r="AW385" s="801"/>
      <c r="AX385" s="801"/>
      <c r="AY385" s="801"/>
      <c r="AZ385" s="802"/>
      <c r="BA385" s="800"/>
      <c r="BB385" s="801"/>
      <c r="BC385" s="801"/>
      <c r="BD385" s="801"/>
      <c r="BE385" s="801"/>
      <c r="BF385" s="801"/>
      <c r="BG385" s="801"/>
      <c r="BH385" s="801"/>
      <c r="BI385" s="801"/>
      <c r="BJ385" s="801"/>
      <c r="BK385" s="801"/>
      <c r="BL385" s="801"/>
      <c r="BM385" s="801"/>
      <c r="BN385" s="801"/>
      <c r="BO385" s="801"/>
      <c r="BP385" s="801"/>
      <c r="BQ385" s="801"/>
      <c r="BR385" s="801"/>
      <c r="BS385" s="801"/>
      <c r="BT385" s="801"/>
      <c r="BU385" s="801"/>
      <c r="BV385" s="801"/>
      <c r="BW385" s="801"/>
      <c r="BX385" s="801"/>
      <c r="BY385" s="801"/>
      <c r="BZ385" s="802"/>
      <c r="CA385" s="800"/>
      <c r="CB385" s="801"/>
      <c r="CC385" s="801"/>
      <c r="CD385" s="801"/>
      <c r="CE385" s="801"/>
      <c r="CF385" s="801"/>
      <c r="CG385" s="801"/>
      <c r="CH385" s="801"/>
      <c r="CI385" s="801"/>
      <c r="CJ385" s="801"/>
      <c r="CK385" s="801"/>
      <c r="CL385" s="801"/>
      <c r="CM385" s="801"/>
      <c r="CN385" s="801"/>
      <c r="CO385" s="801"/>
      <c r="CP385" s="801"/>
      <c r="CQ385" s="801"/>
      <c r="CR385" s="801"/>
      <c r="CS385" s="801"/>
      <c r="CT385" s="801"/>
      <c r="CU385" s="801"/>
      <c r="CV385" s="801"/>
      <c r="CW385" s="801"/>
      <c r="CX385" s="801"/>
      <c r="CY385" s="801"/>
      <c r="CZ385" s="802"/>
      <c r="DA385" s="800"/>
      <c r="DB385" s="801"/>
      <c r="DC385" s="801"/>
      <c r="DD385" s="801"/>
      <c r="DE385" s="801"/>
      <c r="DF385" s="801"/>
      <c r="DG385" s="801"/>
      <c r="DH385" s="801"/>
      <c r="DI385" s="801"/>
      <c r="DJ385" s="801"/>
      <c r="DK385" s="801"/>
      <c r="DL385" s="801"/>
      <c r="DM385" s="801"/>
      <c r="DN385" s="801"/>
      <c r="DO385" s="801"/>
      <c r="DP385" s="801"/>
      <c r="DQ385" s="801"/>
      <c r="DR385" s="801"/>
      <c r="DS385" s="801"/>
      <c r="DT385" s="801"/>
      <c r="DU385" s="801"/>
      <c r="DV385" s="801"/>
      <c r="DW385" s="801"/>
      <c r="DX385" s="801"/>
      <c r="DY385" s="801"/>
      <c r="DZ385" s="802"/>
      <c r="EA385" s="800"/>
      <c r="EB385" s="801"/>
      <c r="EC385" s="801"/>
      <c r="ED385" s="801"/>
      <c r="EE385" s="801"/>
      <c r="EF385" s="801"/>
      <c r="EG385" s="801"/>
      <c r="EH385" s="801"/>
      <c r="EI385" s="801"/>
      <c r="EJ385" s="801"/>
      <c r="EK385" s="801"/>
      <c r="EL385" s="801"/>
      <c r="EM385" s="801"/>
      <c r="EN385" s="801"/>
      <c r="EO385" s="801"/>
      <c r="EP385" s="801"/>
      <c r="EQ385" s="801"/>
      <c r="ER385" s="801"/>
      <c r="ES385" s="801"/>
      <c r="ET385" s="801"/>
      <c r="EU385" s="801"/>
      <c r="EV385" s="801"/>
      <c r="EW385" s="801"/>
      <c r="EX385" s="801"/>
      <c r="EY385" s="801"/>
      <c r="EZ385" s="802"/>
      <c r="FA385" s="800"/>
      <c r="FB385" s="801"/>
      <c r="FC385" s="801"/>
      <c r="FD385" s="801"/>
      <c r="FE385" s="801"/>
      <c r="FF385" s="801"/>
      <c r="FG385" s="801"/>
      <c r="FH385" s="801"/>
      <c r="FI385" s="801"/>
      <c r="FJ385" s="801"/>
      <c r="FK385" s="801"/>
      <c r="FL385" s="801"/>
      <c r="FM385" s="801"/>
      <c r="FN385" s="801"/>
      <c r="FO385" s="801"/>
      <c r="FP385" s="801"/>
      <c r="FQ385" s="801"/>
      <c r="FR385" s="801"/>
      <c r="FS385" s="801"/>
      <c r="FT385" s="801"/>
      <c r="FU385" s="801"/>
      <c r="FV385" s="801"/>
      <c r="FW385" s="801"/>
      <c r="FX385" s="801"/>
      <c r="FY385" s="801"/>
      <c r="FZ385" s="802"/>
      <c r="GA385" s="800"/>
      <c r="GB385" s="801"/>
      <c r="GC385" s="801"/>
      <c r="GD385" s="801"/>
      <c r="GE385" s="801"/>
      <c r="GF385" s="801"/>
      <c r="GG385" s="801"/>
      <c r="GH385" s="801"/>
      <c r="GI385" s="801"/>
      <c r="GJ385" s="801"/>
      <c r="GK385" s="801"/>
      <c r="GL385" s="801"/>
      <c r="GM385" s="801"/>
      <c r="GN385" s="801"/>
      <c r="GO385" s="801"/>
      <c r="GP385" s="801"/>
      <c r="GQ385" s="801"/>
      <c r="GR385" s="801"/>
      <c r="GS385" s="801"/>
      <c r="GT385" s="801"/>
      <c r="GU385" s="801"/>
      <c r="GV385" s="801"/>
      <c r="GW385" s="801"/>
      <c r="GX385" s="801"/>
      <c r="GY385" s="801"/>
      <c r="GZ385" s="802"/>
      <c r="HA385" s="800"/>
      <c r="HB385" s="801"/>
      <c r="HC385" s="801"/>
      <c r="HD385" s="801"/>
      <c r="HE385" s="801"/>
      <c r="HF385" s="801"/>
      <c r="HG385" s="801"/>
      <c r="HH385" s="801"/>
      <c r="HI385" s="801"/>
      <c r="HJ385" s="801"/>
      <c r="HK385" s="801"/>
      <c r="HL385" s="801"/>
      <c r="HM385" s="801"/>
      <c r="HN385" s="801"/>
      <c r="HO385" s="801"/>
      <c r="HP385" s="801"/>
      <c r="HQ385" s="801"/>
      <c r="HR385" s="801"/>
      <c r="HS385" s="801"/>
      <c r="HT385" s="801"/>
      <c r="HU385" s="801"/>
      <c r="HV385" s="801"/>
      <c r="HW385" s="801"/>
      <c r="HX385" s="801"/>
      <c r="HY385" s="801"/>
      <c r="HZ385" s="802"/>
      <c r="IA385" s="800"/>
      <c r="IB385" s="801"/>
      <c r="IC385" s="801"/>
      <c r="ID385" s="801"/>
      <c r="IE385" s="801"/>
      <c r="IF385" s="801"/>
      <c r="IG385" s="801"/>
      <c r="IH385" s="801"/>
      <c r="II385" s="801"/>
      <c r="IJ385" s="801"/>
      <c r="IK385" s="801"/>
      <c r="IL385" s="801"/>
      <c r="IM385" s="801"/>
      <c r="IN385" s="801"/>
      <c r="IO385" s="801"/>
      <c r="IP385" s="801"/>
      <c r="IQ385" s="801"/>
      <c r="IR385" s="801"/>
      <c r="IS385" s="801"/>
      <c r="IT385" s="801"/>
      <c r="IU385" s="801"/>
      <c r="IV385" s="801"/>
      <c r="IW385" s="801"/>
      <c r="IX385" s="801"/>
      <c r="IY385" s="801"/>
      <c r="IZ385" s="802"/>
    </row>
    <row r="386" spans="1:260" x14ac:dyDescent="0.25">
      <c r="A386" s="800" t="str">
        <f>IFERROR(IF(Z369&gt;A369-1,IF(INDEX(Pedidos!J:AZ,Y369+A369-1,31)&lt;&gt;"","Nombres :     "&amp; INDEX(Pedidos!J:AZ,Y369+A369-1,31),""),""),"")</f>
        <v/>
      </c>
      <c r="B386" s="801"/>
      <c r="C386" s="801"/>
      <c r="D386" s="801"/>
      <c r="E386" s="801"/>
      <c r="F386" s="801"/>
      <c r="G386" s="801"/>
      <c r="H386" s="801"/>
      <c r="I386" s="801"/>
      <c r="J386" s="801"/>
      <c r="K386" s="801"/>
      <c r="L386" s="801"/>
      <c r="M386" s="801"/>
      <c r="N386" s="801"/>
      <c r="O386" s="801"/>
      <c r="P386" s="801"/>
      <c r="Q386" s="801"/>
      <c r="R386" s="801"/>
      <c r="S386" s="801"/>
      <c r="T386" s="801"/>
      <c r="U386" s="801"/>
      <c r="V386" s="801"/>
      <c r="W386" s="801"/>
      <c r="X386" s="801"/>
      <c r="Y386" s="801"/>
      <c r="Z386" s="802"/>
      <c r="AA386" s="800" t="str">
        <f>IFERROR(IF(AZ369&gt;AA369-1,IF(INDEX(Pedidos!AJ:BZ,AY369+AA369-1,31)&lt;&gt;"","Nombres :     "&amp; INDEX(Pedidos!AJ:BZ,AY369+AA369-1,31),""),""),"")</f>
        <v/>
      </c>
      <c r="AB386" s="801"/>
      <c r="AC386" s="801"/>
      <c r="AD386" s="801"/>
      <c r="AE386" s="801"/>
      <c r="AF386" s="801"/>
      <c r="AG386" s="801"/>
      <c r="AH386" s="801"/>
      <c r="AI386" s="801"/>
      <c r="AJ386" s="801"/>
      <c r="AK386" s="801"/>
      <c r="AL386" s="801"/>
      <c r="AM386" s="801"/>
      <c r="AN386" s="801"/>
      <c r="AO386" s="801"/>
      <c r="AP386" s="801"/>
      <c r="AQ386" s="801"/>
      <c r="AR386" s="801"/>
      <c r="AS386" s="801"/>
      <c r="AT386" s="801"/>
      <c r="AU386" s="801"/>
      <c r="AV386" s="801"/>
      <c r="AW386" s="801"/>
      <c r="AX386" s="801"/>
      <c r="AY386" s="801"/>
      <c r="AZ386" s="802"/>
      <c r="BA386" s="800" t="str">
        <f>IFERROR(IF(BZ369&gt;BA369-1,IF(INDEX(Pedidos!BJ:CZ,BY369+BA369-1,31)&lt;&gt;"","Nombres :     "&amp; INDEX(Pedidos!BJ:CZ,BY369+BA369-1,31),""),""),"")</f>
        <v/>
      </c>
      <c r="BB386" s="801"/>
      <c r="BC386" s="801"/>
      <c r="BD386" s="801"/>
      <c r="BE386" s="801"/>
      <c r="BF386" s="801"/>
      <c r="BG386" s="801"/>
      <c r="BH386" s="801"/>
      <c r="BI386" s="801"/>
      <c r="BJ386" s="801"/>
      <c r="BK386" s="801"/>
      <c r="BL386" s="801"/>
      <c r="BM386" s="801"/>
      <c r="BN386" s="801"/>
      <c r="BO386" s="801"/>
      <c r="BP386" s="801"/>
      <c r="BQ386" s="801"/>
      <c r="BR386" s="801"/>
      <c r="BS386" s="801"/>
      <c r="BT386" s="801"/>
      <c r="BU386" s="801"/>
      <c r="BV386" s="801"/>
      <c r="BW386" s="801"/>
      <c r="BX386" s="801"/>
      <c r="BY386" s="801"/>
      <c r="BZ386" s="802"/>
      <c r="CA386" s="800" t="str">
        <f>IFERROR(IF(CZ369&gt;CA369-1,IF(INDEX(Pedidos!CJ:DZ,CY369+CA369-1,31)&lt;&gt;"","Nombres :     "&amp; INDEX(Pedidos!CJ:DZ,CY369+CA369-1,31),""),""),"")</f>
        <v/>
      </c>
      <c r="CB386" s="801"/>
      <c r="CC386" s="801"/>
      <c r="CD386" s="801"/>
      <c r="CE386" s="801"/>
      <c r="CF386" s="801"/>
      <c r="CG386" s="801"/>
      <c r="CH386" s="801"/>
      <c r="CI386" s="801"/>
      <c r="CJ386" s="801"/>
      <c r="CK386" s="801"/>
      <c r="CL386" s="801"/>
      <c r="CM386" s="801"/>
      <c r="CN386" s="801"/>
      <c r="CO386" s="801"/>
      <c r="CP386" s="801"/>
      <c r="CQ386" s="801"/>
      <c r="CR386" s="801"/>
      <c r="CS386" s="801"/>
      <c r="CT386" s="801"/>
      <c r="CU386" s="801"/>
      <c r="CV386" s="801"/>
      <c r="CW386" s="801"/>
      <c r="CX386" s="801"/>
      <c r="CY386" s="801"/>
      <c r="CZ386" s="802"/>
      <c r="DA386" s="800" t="str">
        <f>IFERROR(IF(DZ369&gt;DA369-1,IF(INDEX(Pedidos!DJ:EZ,DY369+DA369-1,31)&lt;&gt;"","Nombres :     "&amp; INDEX(Pedidos!DJ:EZ,DY369+DA369-1,31),""),""),"")</f>
        <v/>
      </c>
      <c r="DB386" s="801"/>
      <c r="DC386" s="801"/>
      <c r="DD386" s="801"/>
      <c r="DE386" s="801"/>
      <c r="DF386" s="801"/>
      <c r="DG386" s="801"/>
      <c r="DH386" s="801"/>
      <c r="DI386" s="801"/>
      <c r="DJ386" s="801"/>
      <c r="DK386" s="801"/>
      <c r="DL386" s="801"/>
      <c r="DM386" s="801"/>
      <c r="DN386" s="801"/>
      <c r="DO386" s="801"/>
      <c r="DP386" s="801"/>
      <c r="DQ386" s="801"/>
      <c r="DR386" s="801"/>
      <c r="DS386" s="801"/>
      <c r="DT386" s="801"/>
      <c r="DU386" s="801"/>
      <c r="DV386" s="801"/>
      <c r="DW386" s="801"/>
      <c r="DX386" s="801"/>
      <c r="DY386" s="801"/>
      <c r="DZ386" s="802"/>
      <c r="EA386" s="800" t="str">
        <f>IFERROR(IF(EZ369&gt;EA369-1,IF(INDEX(Pedidos!EJ:FZ,EY369+EA369-1,31)&lt;&gt;"","Nombres :     "&amp; INDEX(Pedidos!EJ:FZ,EY369+EA369-1,31),""),""),"")</f>
        <v/>
      </c>
      <c r="EB386" s="801"/>
      <c r="EC386" s="801"/>
      <c r="ED386" s="801"/>
      <c r="EE386" s="801"/>
      <c r="EF386" s="801"/>
      <c r="EG386" s="801"/>
      <c r="EH386" s="801"/>
      <c r="EI386" s="801"/>
      <c r="EJ386" s="801"/>
      <c r="EK386" s="801"/>
      <c r="EL386" s="801"/>
      <c r="EM386" s="801"/>
      <c r="EN386" s="801"/>
      <c r="EO386" s="801"/>
      <c r="EP386" s="801"/>
      <c r="EQ386" s="801"/>
      <c r="ER386" s="801"/>
      <c r="ES386" s="801"/>
      <c r="ET386" s="801"/>
      <c r="EU386" s="801"/>
      <c r="EV386" s="801"/>
      <c r="EW386" s="801"/>
      <c r="EX386" s="801"/>
      <c r="EY386" s="801"/>
      <c r="EZ386" s="802"/>
      <c r="FA386" s="800" t="str">
        <f>IFERROR(IF(FZ369&gt;FA369-1,IF(INDEX(Pedidos!FJ:GZ,FY369+FA369-1,31)&lt;&gt;"","Nombres :     "&amp; INDEX(Pedidos!FJ:GZ,FY369+FA369-1,31),""),""),"")</f>
        <v/>
      </c>
      <c r="FB386" s="801"/>
      <c r="FC386" s="801"/>
      <c r="FD386" s="801"/>
      <c r="FE386" s="801"/>
      <c r="FF386" s="801"/>
      <c r="FG386" s="801"/>
      <c r="FH386" s="801"/>
      <c r="FI386" s="801"/>
      <c r="FJ386" s="801"/>
      <c r="FK386" s="801"/>
      <c r="FL386" s="801"/>
      <c r="FM386" s="801"/>
      <c r="FN386" s="801"/>
      <c r="FO386" s="801"/>
      <c r="FP386" s="801"/>
      <c r="FQ386" s="801"/>
      <c r="FR386" s="801"/>
      <c r="FS386" s="801"/>
      <c r="FT386" s="801"/>
      <c r="FU386" s="801"/>
      <c r="FV386" s="801"/>
      <c r="FW386" s="801"/>
      <c r="FX386" s="801"/>
      <c r="FY386" s="801"/>
      <c r="FZ386" s="802"/>
      <c r="GA386" s="800" t="str">
        <f>IFERROR(IF(GZ369&gt;GA369-1,IF(INDEX(Pedidos!GJ:HZ,GY369+GA369-1,31)&lt;&gt;"","Nombres :     "&amp; INDEX(Pedidos!GJ:HZ,GY369+GA369-1,31),""),""),"")</f>
        <v/>
      </c>
      <c r="GB386" s="801"/>
      <c r="GC386" s="801"/>
      <c r="GD386" s="801"/>
      <c r="GE386" s="801"/>
      <c r="GF386" s="801"/>
      <c r="GG386" s="801"/>
      <c r="GH386" s="801"/>
      <c r="GI386" s="801"/>
      <c r="GJ386" s="801"/>
      <c r="GK386" s="801"/>
      <c r="GL386" s="801"/>
      <c r="GM386" s="801"/>
      <c r="GN386" s="801"/>
      <c r="GO386" s="801"/>
      <c r="GP386" s="801"/>
      <c r="GQ386" s="801"/>
      <c r="GR386" s="801"/>
      <c r="GS386" s="801"/>
      <c r="GT386" s="801"/>
      <c r="GU386" s="801"/>
      <c r="GV386" s="801"/>
      <c r="GW386" s="801"/>
      <c r="GX386" s="801"/>
      <c r="GY386" s="801"/>
      <c r="GZ386" s="802"/>
      <c r="HA386" s="800" t="str">
        <f>IFERROR(IF(HZ369&gt;HA369-1,IF(INDEX(Pedidos!HJ:IZ,HY369+HA369-1,31)&lt;&gt;"","Nombres :     "&amp; INDEX(Pedidos!HJ:IZ,HY369+HA369-1,31),""),""),"")</f>
        <v/>
      </c>
      <c r="HB386" s="801"/>
      <c r="HC386" s="801"/>
      <c r="HD386" s="801"/>
      <c r="HE386" s="801"/>
      <c r="HF386" s="801"/>
      <c r="HG386" s="801"/>
      <c r="HH386" s="801"/>
      <c r="HI386" s="801"/>
      <c r="HJ386" s="801"/>
      <c r="HK386" s="801"/>
      <c r="HL386" s="801"/>
      <c r="HM386" s="801"/>
      <c r="HN386" s="801"/>
      <c r="HO386" s="801"/>
      <c r="HP386" s="801"/>
      <c r="HQ386" s="801"/>
      <c r="HR386" s="801"/>
      <c r="HS386" s="801"/>
      <c r="HT386" s="801"/>
      <c r="HU386" s="801"/>
      <c r="HV386" s="801"/>
      <c r="HW386" s="801"/>
      <c r="HX386" s="801"/>
      <c r="HY386" s="801"/>
      <c r="HZ386" s="802"/>
      <c r="IA386" s="800" t="str">
        <f>IFERROR(IF(IZ369&gt;IA369-1,IF(INDEX(Pedidos!IJ:JZ,IY369+IA369-1,31)&lt;&gt;"","Nombres :     "&amp; INDEX(Pedidos!IJ:JZ,IY369+IA369-1,31),""),""),"")</f>
        <v/>
      </c>
      <c r="IB386" s="801"/>
      <c r="IC386" s="801"/>
      <c r="ID386" s="801"/>
      <c r="IE386" s="801"/>
      <c r="IF386" s="801"/>
      <c r="IG386" s="801"/>
      <c r="IH386" s="801"/>
      <c r="II386" s="801"/>
      <c r="IJ386" s="801"/>
      <c r="IK386" s="801"/>
      <c r="IL386" s="801"/>
      <c r="IM386" s="801"/>
      <c r="IN386" s="801"/>
      <c r="IO386" s="801"/>
      <c r="IP386" s="801"/>
      <c r="IQ386" s="801"/>
      <c r="IR386" s="801"/>
      <c r="IS386" s="801"/>
      <c r="IT386" s="801"/>
      <c r="IU386" s="801"/>
      <c r="IV386" s="801"/>
      <c r="IW386" s="801"/>
      <c r="IX386" s="801"/>
      <c r="IY386" s="801"/>
      <c r="IZ386" s="802"/>
    </row>
    <row r="387" spans="1:260" x14ac:dyDescent="0.25">
      <c r="A387" s="820" t="str">
        <f>IFERROR(IF(Z369&gt;A369-1,IF(INDEX(Pedidos!J:AZ,Y369+A369-1,32)&lt;&gt;"","Localización de los Nombres :     "&amp; INDEX(Pedidos!J:AZ,Y369+A369-1,32),""),""),"")</f>
        <v/>
      </c>
      <c r="B387" s="821"/>
      <c r="C387" s="821"/>
      <c r="D387" s="821"/>
      <c r="E387" s="821"/>
      <c r="F387" s="821"/>
      <c r="G387" s="821"/>
      <c r="H387" s="821"/>
      <c r="I387" s="821"/>
      <c r="J387" s="821"/>
      <c r="K387" s="821"/>
      <c r="L387" s="821"/>
      <c r="M387" s="821"/>
      <c r="N387" s="821"/>
      <c r="O387" s="821"/>
      <c r="P387" s="821"/>
      <c r="Q387" s="821"/>
      <c r="R387" s="821"/>
      <c r="S387" s="821"/>
      <c r="T387" s="821"/>
      <c r="U387" s="821"/>
      <c r="V387" s="821"/>
      <c r="W387" s="821"/>
      <c r="X387" s="821"/>
      <c r="Y387" s="821"/>
      <c r="Z387" s="822"/>
      <c r="AA387" s="820" t="str">
        <f>IFERROR(IF(AZ369&gt;AA369-1,IF(INDEX(Pedidos!AJ:BZ,AY369+AA369-1,32)&lt;&gt;"","Localización de los Nombres :     "&amp; INDEX(Pedidos!AJ:BZ,AY369+AA369-1,32),""),""),"")</f>
        <v/>
      </c>
      <c r="AB387" s="821"/>
      <c r="AC387" s="821"/>
      <c r="AD387" s="821"/>
      <c r="AE387" s="821"/>
      <c r="AF387" s="821"/>
      <c r="AG387" s="821"/>
      <c r="AH387" s="821"/>
      <c r="AI387" s="821"/>
      <c r="AJ387" s="821"/>
      <c r="AK387" s="821"/>
      <c r="AL387" s="821"/>
      <c r="AM387" s="821"/>
      <c r="AN387" s="821"/>
      <c r="AO387" s="821"/>
      <c r="AP387" s="821"/>
      <c r="AQ387" s="821"/>
      <c r="AR387" s="821"/>
      <c r="AS387" s="821"/>
      <c r="AT387" s="821"/>
      <c r="AU387" s="821"/>
      <c r="AV387" s="821"/>
      <c r="AW387" s="821"/>
      <c r="AX387" s="821"/>
      <c r="AY387" s="821"/>
      <c r="AZ387" s="822"/>
      <c r="BA387" s="820" t="str">
        <f>IFERROR(IF(BZ369&gt;BA369-1,IF(INDEX(Pedidos!BJ:CZ,BY369+BA369-1,32)&lt;&gt;"","Localización de los Nombres :     "&amp; INDEX(Pedidos!BJ:CZ,BY369+BA369-1,32),""),""),"")</f>
        <v/>
      </c>
      <c r="BB387" s="821"/>
      <c r="BC387" s="821"/>
      <c r="BD387" s="821"/>
      <c r="BE387" s="821"/>
      <c r="BF387" s="821"/>
      <c r="BG387" s="821"/>
      <c r="BH387" s="821"/>
      <c r="BI387" s="821"/>
      <c r="BJ387" s="821"/>
      <c r="BK387" s="821"/>
      <c r="BL387" s="821"/>
      <c r="BM387" s="821"/>
      <c r="BN387" s="821"/>
      <c r="BO387" s="821"/>
      <c r="BP387" s="821"/>
      <c r="BQ387" s="821"/>
      <c r="BR387" s="821"/>
      <c r="BS387" s="821"/>
      <c r="BT387" s="821"/>
      <c r="BU387" s="821"/>
      <c r="BV387" s="821"/>
      <c r="BW387" s="821"/>
      <c r="BX387" s="821"/>
      <c r="BY387" s="821"/>
      <c r="BZ387" s="822"/>
      <c r="CA387" s="820" t="str">
        <f>IFERROR(IF(CZ369&gt;CA369-1,IF(INDEX(Pedidos!CJ:DZ,CY369+CA369-1,32)&lt;&gt;"","Localización de los Nombres :     "&amp; INDEX(Pedidos!CJ:DZ,CY369+CA369-1,32),""),""),"")</f>
        <v/>
      </c>
      <c r="CB387" s="821"/>
      <c r="CC387" s="821"/>
      <c r="CD387" s="821"/>
      <c r="CE387" s="821"/>
      <c r="CF387" s="821"/>
      <c r="CG387" s="821"/>
      <c r="CH387" s="821"/>
      <c r="CI387" s="821"/>
      <c r="CJ387" s="821"/>
      <c r="CK387" s="821"/>
      <c r="CL387" s="821"/>
      <c r="CM387" s="821"/>
      <c r="CN387" s="821"/>
      <c r="CO387" s="821"/>
      <c r="CP387" s="821"/>
      <c r="CQ387" s="821"/>
      <c r="CR387" s="821"/>
      <c r="CS387" s="821"/>
      <c r="CT387" s="821"/>
      <c r="CU387" s="821"/>
      <c r="CV387" s="821"/>
      <c r="CW387" s="821"/>
      <c r="CX387" s="821"/>
      <c r="CY387" s="821"/>
      <c r="CZ387" s="822"/>
      <c r="DA387" s="820" t="str">
        <f>IFERROR(IF(DZ369&gt;DA369-1,IF(INDEX(Pedidos!DJ:EZ,DY369+DA369-1,32)&lt;&gt;"","Localización de los Nombres :     "&amp; INDEX(Pedidos!DJ:EZ,DY369+DA369-1,32),""),""),"")</f>
        <v/>
      </c>
      <c r="DB387" s="821"/>
      <c r="DC387" s="821"/>
      <c r="DD387" s="821"/>
      <c r="DE387" s="821"/>
      <c r="DF387" s="821"/>
      <c r="DG387" s="821"/>
      <c r="DH387" s="821"/>
      <c r="DI387" s="821"/>
      <c r="DJ387" s="821"/>
      <c r="DK387" s="821"/>
      <c r="DL387" s="821"/>
      <c r="DM387" s="821"/>
      <c r="DN387" s="821"/>
      <c r="DO387" s="821"/>
      <c r="DP387" s="821"/>
      <c r="DQ387" s="821"/>
      <c r="DR387" s="821"/>
      <c r="DS387" s="821"/>
      <c r="DT387" s="821"/>
      <c r="DU387" s="821"/>
      <c r="DV387" s="821"/>
      <c r="DW387" s="821"/>
      <c r="DX387" s="821"/>
      <c r="DY387" s="821"/>
      <c r="DZ387" s="822"/>
      <c r="EA387" s="820" t="str">
        <f>IFERROR(IF(EZ369&gt;EA369-1,IF(INDEX(Pedidos!EJ:FZ,EY369+EA369-1,32)&lt;&gt;"","Localización de los Nombres :     "&amp; INDEX(Pedidos!EJ:FZ,EY369+EA369-1,32),""),""),"")</f>
        <v/>
      </c>
      <c r="EB387" s="821"/>
      <c r="EC387" s="821"/>
      <c r="ED387" s="821"/>
      <c r="EE387" s="821"/>
      <c r="EF387" s="821"/>
      <c r="EG387" s="821"/>
      <c r="EH387" s="821"/>
      <c r="EI387" s="821"/>
      <c r="EJ387" s="821"/>
      <c r="EK387" s="821"/>
      <c r="EL387" s="821"/>
      <c r="EM387" s="821"/>
      <c r="EN387" s="821"/>
      <c r="EO387" s="821"/>
      <c r="EP387" s="821"/>
      <c r="EQ387" s="821"/>
      <c r="ER387" s="821"/>
      <c r="ES387" s="821"/>
      <c r="ET387" s="821"/>
      <c r="EU387" s="821"/>
      <c r="EV387" s="821"/>
      <c r="EW387" s="821"/>
      <c r="EX387" s="821"/>
      <c r="EY387" s="821"/>
      <c r="EZ387" s="822"/>
      <c r="FA387" s="820" t="str">
        <f>IFERROR(IF(FZ369&gt;FA369-1,IF(INDEX(Pedidos!FJ:GZ,FY369+FA369-1,32)&lt;&gt;"","Localización de los Nombres :     "&amp; INDEX(Pedidos!FJ:GZ,FY369+FA369-1,32),""),""),"")</f>
        <v/>
      </c>
      <c r="FB387" s="821"/>
      <c r="FC387" s="821"/>
      <c r="FD387" s="821"/>
      <c r="FE387" s="821"/>
      <c r="FF387" s="821"/>
      <c r="FG387" s="821"/>
      <c r="FH387" s="821"/>
      <c r="FI387" s="821"/>
      <c r="FJ387" s="821"/>
      <c r="FK387" s="821"/>
      <c r="FL387" s="821"/>
      <c r="FM387" s="821"/>
      <c r="FN387" s="821"/>
      <c r="FO387" s="821"/>
      <c r="FP387" s="821"/>
      <c r="FQ387" s="821"/>
      <c r="FR387" s="821"/>
      <c r="FS387" s="821"/>
      <c r="FT387" s="821"/>
      <c r="FU387" s="821"/>
      <c r="FV387" s="821"/>
      <c r="FW387" s="821"/>
      <c r="FX387" s="821"/>
      <c r="FY387" s="821"/>
      <c r="FZ387" s="822"/>
      <c r="GA387" s="820" t="str">
        <f>IFERROR(IF(GZ369&gt;GA369-1,IF(INDEX(Pedidos!GJ:HZ,GY369+GA369-1,32)&lt;&gt;"","Localización de los Nombres :     "&amp; INDEX(Pedidos!GJ:HZ,GY369+GA369-1,32),""),""),"")</f>
        <v/>
      </c>
      <c r="GB387" s="821"/>
      <c r="GC387" s="821"/>
      <c r="GD387" s="821"/>
      <c r="GE387" s="821"/>
      <c r="GF387" s="821"/>
      <c r="GG387" s="821"/>
      <c r="GH387" s="821"/>
      <c r="GI387" s="821"/>
      <c r="GJ387" s="821"/>
      <c r="GK387" s="821"/>
      <c r="GL387" s="821"/>
      <c r="GM387" s="821"/>
      <c r="GN387" s="821"/>
      <c r="GO387" s="821"/>
      <c r="GP387" s="821"/>
      <c r="GQ387" s="821"/>
      <c r="GR387" s="821"/>
      <c r="GS387" s="821"/>
      <c r="GT387" s="821"/>
      <c r="GU387" s="821"/>
      <c r="GV387" s="821"/>
      <c r="GW387" s="821"/>
      <c r="GX387" s="821"/>
      <c r="GY387" s="821"/>
      <c r="GZ387" s="822"/>
      <c r="HA387" s="820" t="str">
        <f>IFERROR(IF(HZ369&gt;HA369-1,IF(INDEX(Pedidos!HJ:IZ,HY369+HA369-1,32)&lt;&gt;"","Localización de los Nombres :     "&amp; INDEX(Pedidos!HJ:IZ,HY369+HA369-1,32),""),""),"")</f>
        <v/>
      </c>
      <c r="HB387" s="821"/>
      <c r="HC387" s="821"/>
      <c r="HD387" s="821"/>
      <c r="HE387" s="821"/>
      <c r="HF387" s="821"/>
      <c r="HG387" s="821"/>
      <c r="HH387" s="821"/>
      <c r="HI387" s="821"/>
      <c r="HJ387" s="821"/>
      <c r="HK387" s="821"/>
      <c r="HL387" s="821"/>
      <c r="HM387" s="821"/>
      <c r="HN387" s="821"/>
      <c r="HO387" s="821"/>
      <c r="HP387" s="821"/>
      <c r="HQ387" s="821"/>
      <c r="HR387" s="821"/>
      <c r="HS387" s="821"/>
      <c r="HT387" s="821"/>
      <c r="HU387" s="821"/>
      <c r="HV387" s="821"/>
      <c r="HW387" s="821"/>
      <c r="HX387" s="821"/>
      <c r="HY387" s="821"/>
      <c r="HZ387" s="822"/>
      <c r="IA387" s="820" t="str">
        <f>IFERROR(IF(IZ369&gt;IA369-1,IF(INDEX(Pedidos!IJ:JZ,IY369+IA369-1,32)&lt;&gt;"","Localización de los Nombres :     "&amp; INDEX(Pedidos!IJ:JZ,IY369+IA369-1,32),""),""),"")</f>
        <v/>
      </c>
      <c r="IB387" s="821"/>
      <c r="IC387" s="821"/>
      <c r="ID387" s="821"/>
      <c r="IE387" s="821"/>
      <c r="IF387" s="821"/>
      <c r="IG387" s="821"/>
      <c r="IH387" s="821"/>
      <c r="II387" s="821"/>
      <c r="IJ387" s="821"/>
      <c r="IK387" s="821"/>
      <c r="IL387" s="821"/>
      <c r="IM387" s="821"/>
      <c r="IN387" s="821"/>
      <c r="IO387" s="821"/>
      <c r="IP387" s="821"/>
      <c r="IQ387" s="821"/>
      <c r="IR387" s="821"/>
      <c r="IS387" s="821"/>
      <c r="IT387" s="821"/>
      <c r="IU387" s="821"/>
      <c r="IV387" s="821"/>
      <c r="IW387" s="821"/>
      <c r="IX387" s="821"/>
      <c r="IY387" s="821"/>
      <c r="IZ387" s="822"/>
    </row>
    <row r="388" spans="1:260" x14ac:dyDescent="0.25">
      <c r="A388" s="836" t="str">
        <f>IFERROR(IF(Z369&gt;A369-1,IF(INDEX(Pedidos!J:AZ,Y369+A369-1,37)&lt;&gt;"","Otras Instrucciones Especiales :     "&amp; INDEX(Pedidos!J:AZ,Y369+A369-1,37),""),""),"")</f>
        <v/>
      </c>
      <c r="B388" s="837"/>
      <c r="C388" s="837"/>
      <c r="D388" s="837"/>
      <c r="E388" s="837"/>
      <c r="F388" s="837"/>
      <c r="G388" s="837"/>
      <c r="H388" s="837"/>
      <c r="I388" s="837"/>
      <c r="J388" s="837"/>
      <c r="K388" s="837"/>
      <c r="L388" s="837"/>
      <c r="M388" s="837"/>
      <c r="N388" s="837"/>
      <c r="O388" s="837"/>
      <c r="P388" s="837"/>
      <c r="Q388" s="837"/>
      <c r="R388" s="837"/>
      <c r="S388" s="837"/>
      <c r="T388" s="837"/>
      <c r="U388" s="837"/>
      <c r="V388" s="837"/>
      <c r="W388" s="837"/>
      <c r="X388" s="837"/>
      <c r="Y388" s="837"/>
      <c r="Z388" s="838"/>
      <c r="AA388" s="836" t="str">
        <f>IFERROR(IF(AZ369&gt;AA369-1,IF(INDEX(Pedidos!AJ:BZ,AY369+AA369-1,37)&lt;&gt;"","Otras Instrucciones Especiales :     "&amp; INDEX(Pedidos!AJ:BZ,AY369+AA369-1,37),""),""),"")</f>
        <v/>
      </c>
      <c r="AB388" s="837"/>
      <c r="AC388" s="837"/>
      <c r="AD388" s="837"/>
      <c r="AE388" s="837"/>
      <c r="AF388" s="837"/>
      <c r="AG388" s="837"/>
      <c r="AH388" s="837"/>
      <c r="AI388" s="837"/>
      <c r="AJ388" s="837"/>
      <c r="AK388" s="837"/>
      <c r="AL388" s="837"/>
      <c r="AM388" s="837"/>
      <c r="AN388" s="837"/>
      <c r="AO388" s="837"/>
      <c r="AP388" s="837"/>
      <c r="AQ388" s="837"/>
      <c r="AR388" s="837"/>
      <c r="AS388" s="837"/>
      <c r="AT388" s="837"/>
      <c r="AU388" s="837"/>
      <c r="AV388" s="837"/>
      <c r="AW388" s="837"/>
      <c r="AX388" s="837"/>
      <c r="AY388" s="837"/>
      <c r="AZ388" s="838"/>
      <c r="BA388" s="836" t="str">
        <f>IFERROR(IF(BZ369&gt;BA369-1,IF(INDEX(Pedidos!BJ:CZ,BY369+BA369-1,37)&lt;&gt;"","Otras Instrucciones Especiales :     "&amp; INDEX(Pedidos!BJ:CZ,BY369+BA369-1,37),""),""),"")</f>
        <v/>
      </c>
      <c r="BB388" s="837"/>
      <c r="BC388" s="837"/>
      <c r="BD388" s="837"/>
      <c r="BE388" s="837"/>
      <c r="BF388" s="837"/>
      <c r="BG388" s="837"/>
      <c r="BH388" s="837"/>
      <c r="BI388" s="837"/>
      <c r="BJ388" s="837"/>
      <c r="BK388" s="837"/>
      <c r="BL388" s="837"/>
      <c r="BM388" s="837"/>
      <c r="BN388" s="837"/>
      <c r="BO388" s="837"/>
      <c r="BP388" s="837"/>
      <c r="BQ388" s="837"/>
      <c r="BR388" s="837"/>
      <c r="BS388" s="837"/>
      <c r="BT388" s="837"/>
      <c r="BU388" s="837"/>
      <c r="BV388" s="837"/>
      <c r="BW388" s="837"/>
      <c r="BX388" s="837"/>
      <c r="BY388" s="837"/>
      <c r="BZ388" s="838"/>
      <c r="CA388" s="836" t="str">
        <f>IFERROR(IF(CZ369&gt;CA369-1,IF(INDEX(Pedidos!CJ:DZ,CY369+CA369-1,37)&lt;&gt;"","Otras Instrucciones Especiales :     "&amp; INDEX(Pedidos!CJ:DZ,CY369+CA369-1,37),""),""),"")</f>
        <v/>
      </c>
      <c r="CB388" s="837"/>
      <c r="CC388" s="837"/>
      <c r="CD388" s="837"/>
      <c r="CE388" s="837"/>
      <c r="CF388" s="837"/>
      <c r="CG388" s="837"/>
      <c r="CH388" s="837"/>
      <c r="CI388" s="837"/>
      <c r="CJ388" s="837"/>
      <c r="CK388" s="837"/>
      <c r="CL388" s="837"/>
      <c r="CM388" s="837"/>
      <c r="CN388" s="837"/>
      <c r="CO388" s="837"/>
      <c r="CP388" s="837"/>
      <c r="CQ388" s="837"/>
      <c r="CR388" s="837"/>
      <c r="CS388" s="837"/>
      <c r="CT388" s="837"/>
      <c r="CU388" s="837"/>
      <c r="CV388" s="837"/>
      <c r="CW388" s="837"/>
      <c r="CX388" s="837"/>
      <c r="CY388" s="837"/>
      <c r="CZ388" s="838"/>
      <c r="DA388" s="836" t="str">
        <f>IFERROR(IF(DZ369&gt;DA369-1,IF(INDEX(Pedidos!DJ:EZ,DY369+DA369-1,37)&lt;&gt;"","Otras Instrucciones Especiales :     "&amp; INDEX(Pedidos!DJ:EZ,DY369+DA369-1,37),""),""),"")</f>
        <v/>
      </c>
      <c r="DB388" s="837"/>
      <c r="DC388" s="837"/>
      <c r="DD388" s="837"/>
      <c r="DE388" s="837"/>
      <c r="DF388" s="837"/>
      <c r="DG388" s="837"/>
      <c r="DH388" s="837"/>
      <c r="DI388" s="837"/>
      <c r="DJ388" s="837"/>
      <c r="DK388" s="837"/>
      <c r="DL388" s="837"/>
      <c r="DM388" s="837"/>
      <c r="DN388" s="837"/>
      <c r="DO388" s="837"/>
      <c r="DP388" s="837"/>
      <c r="DQ388" s="837"/>
      <c r="DR388" s="837"/>
      <c r="DS388" s="837"/>
      <c r="DT388" s="837"/>
      <c r="DU388" s="837"/>
      <c r="DV388" s="837"/>
      <c r="DW388" s="837"/>
      <c r="DX388" s="837"/>
      <c r="DY388" s="837"/>
      <c r="DZ388" s="838"/>
      <c r="EA388" s="836" t="str">
        <f>IFERROR(IF(EZ369&gt;EA369-1,IF(INDEX(Pedidos!EJ:FZ,EY369+EA369-1,37)&lt;&gt;"","Otras Instrucciones Especiales :     "&amp; INDEX(Pedidos!EJ:FZ,EY369+EA369-1,37),""),""),"")</f>
        <v/>
      </c>
      <c r="EB388" s="837"/>
      <c r="EC388" s="837"/>
      <c r="ED388" s="837"/>
      <c r="EE388" s="837"/>
      <c r="EF388" s="837"/>
      <c r="EG388" s="837"/>
      <c r="EH388" s="837"/>
      <c r="EI388" s="837"/>
      <c r="EJ388" s="837"/>
      <c r="EK388" s="837"/>
      <c r="EL388" s="837"/>
      <c r="EM388" s="837"/>
      <c r="EN388" s="837"/>
      <c r="EO388" s="837"/>
      <c r="EP388" s="837"/>
      <c r="EQ388" s="837"/>
      <c r="ER388" s="837"/>
      <c r="ES388" s="837"/>
      <c r="ET388" s="837"/>
      <c r="EU388" s="837"/>
      <c r="EV388" s="837"/>
      <c r="EW388" s="837"/>
      <c r="EX388" s="837"/>
      <c r="EY388" s="837"/>
      <c r="EZ388" s="838"/>
      <c r="FA388" s="836" t="str">
        <f>IFERROR(IF(FZ369&gt;FA369-1,IF(INDEX(Pedidos!FJ:GZ,FY369+FA369-1,37)&lt;&gt;"","Otras Instrucciones Especiales :     "&amp; INDEX(Pedidos!FJ:GZ,FY369+FA369-1,37),""),""),"")</f>
        <v/>
      </c>
      <c r="FB388" s="837"/>
      <c r="FC388" s="837"/>
      <c r="FD388" s="837"/>
      <c r="FE388" s="837"/>
      <c r="FF388" s="837"/>
      <c r="FG388" s="837"/>
      <c r="FH388" s="837"/>
      <c r="FI388" s="837"/>
      <c r="FJ388" s="837"/>
      <c r="FK388" s="837"/>
      <c r="FL388" s="837"/>
      <c r="FM388" s="837"/>
      <c r="FN388" s="837"/>
      <c r="FO388" s="837"/>
      <c r="FP388" s="837"/>
      <c r="FQ388" s="837"/>
      <c r="FR388" s="837"/>
      <c r="FS388" s="837"/>
      <c r="FT388" s="837"/>
      <c r="FU388" s="837"/>
      <c r="FV388" s="837"/>
      <c r="FW388" s="837"/>
      <c r="FX388" s="837"/>
      <c r="FY388" s="837"/>
      <c r="FZ388" s="838"/>
      <c r="GA388" s="836" t="str">
        <f>IFERROR(IF(GZ369&gt;GA369-1,IF(INDEX(Pedidos!GJ:HZ,GY369+GA369-1,37)&lt;&gt;"","Otras Instrucciones Especiales :     "&amp; INDEX(Pedidos!GJ:HZ,GY369+GA369-1,37),""),""),"")</f>
        <v/>
      </c>
      <c r="GB388" s="837"/>
      <c r="GC388" s="837"/>
      <c r="GD388" s="837"/>
      <c r="GE388" s="837"/>
      <c r="GF388" s="837"/>
      <c r="GG388" s="837"/>
      <c r="GH388" s="837"/>
      <c r="GI388" s="837"/>
      <c r="GJ388" s="837"/>
      <c r="GK388" s="837"/>
      <c r="GL388" s="837"/>
      <c r="GM388" s="837"/>
      <c r="GN388" s="837"/>
      <c r="GO388" s="837"/>
      <c r="GP388" s="837"/>
      <c r="GQ388" s="837"/>
      <c r="GR388" s="837"/>
      <c r="GS388" s="837"/>
      <c r="GT388" s="837"/>
      <c r="GU388" s="837"/>
      <c r="GV388" s="837"/>
      <c r="GW388" s="837"/>
      <c r="GX388" s="837"/>
      <c r="GY388" s="837"/>
      <c r="GZ388" s="838"/>
      <c r="HA388" s="836" t="str">
        <f>IFERROR(IF(HZ369&gt;HA369-1,IF(INDEX(Pedidos!HJ:IZ,HY369+HA369-1,37)&lt;&gt;"","Otras Instrucciones Especiales :     "&amp; INDEX(Pedidos!HJ:IZ,HY369+HA369-1,37),""),""),"")</f>
        <v/>
      </c>
      <c r="HB388" s="837"/>
      <c r="HC388" s="837"/>
      <c r="HD388" s="837"/>
      <c r="HE388" s="837"/>
      <c r="HF388" s="837"/>
      <c r="HG388" s="837"/>
      <c r="HH388" s="837"/>
      <c r="HI388" s="837"/>
      <c r="HJ388" s="837"/>
      <c r="HK388" s="837"/>
      <c r="HL388" s="837"/>
      <c r="HM388" s="837"/>
      <c r="HN388" s="837"/>
      <c r="HO388" s="837"/>
      <c r="HP388" s="837"/>
      <c r="HQ388" s="837"/>
      <c r="HR388" s="837"/>
      <c r="HS388" s="837"/>
      <c r="HT388" s="837"/>
      <c r="HU388" s="837"/>
      <c r="HV388" s="837"/>
      <c r="HW388" s="837"/>
      <c r="HX388" s="837"/>
      <c r="HY388" s="837"/>
      <c r="HZ388" s="838"/>
      <c r="IA388" s="836" t="str">
        <f>IFERROR(IF(IZ369&gt;IA369-1,IF(INDEX(Pedidos!IJ:JZ,IY369+IA369-1,37)&lt;&gt;"","Otras Instrucciones Especiales :     "&amp; INDEX(Pedidos!IJ:JZ,IY369+IA369-1,37),""),""),"")</f>
        <v/>
      </c>
      <c r="IB388" s="837"/>
      <c r="IC388" s="837"/>
      <c r="ID388" s="837"/>
      <c r="IE388" s="837"/>
      <c r="IF388" s="837"/>
      <c r="IG388" s="837"/>
      <c r="IH388" s="837"/>
      <c r="II388" s="837"/>
      <c r="IJ388" s="837"/>
      <c r="IK388" s="837"/>
      <c r="IL388" s="837"/>
      <c r="IM388" s="837"/>
      <c r="IN388" s="837"/>
      <c r="IO388" s="837"/>
      <c r="IP388" s="837"/>
      <c r="IQ388" s="837"/>
      <c r="IR388" s="837"/>
      <c r="IS388" s="837"/>
      <c r="IT388" s="837"/>
      <c r="IU388" s="837"/>
      <c r="IV388" s="837"/>
      <c r="IW388" s="837"/>
      <c r="IX388" s="837"/>
      <c r="IY388" s="837"/>
      <c r="IZ388" s="838"/>
    </row>
    <row r="389" spans="1:260" ht="15.75" thickBot="1" x14ac:dyDescent="0.3">
      <c r="A389" s="839"/>
      <c r="B389" s="840"/>
      <c r="C389" s="840"/>
      <c r="D389" s="840"/>
      <c r="E389" s="840"/>
      <c r="F389" s="840"/>
      <c r="G389" s="840"/>
      <c r="H389" s="840"/>
      <c r="I389" s="840"/>
      <c r="J389" s="840"/>
      <c r="K389" s="840"/>
      <c r="L389" s="840"/>
      <c r="M389" s="840"/>
      <c r="N389" s="840"/>
      <c r="O389" s="840"/>
      <c r="P389" s="840"/>
      <c r="Q389" s="840"/>
      <c r="R389" s="840"/>
      <c r="S389" s="840"/>
      <c r="T389" s="840"/>
      <c r="U389" s="840"/>
      <c r="V389" s="840"/>
      <c r="W389" s="840"/>
      <c r="X389" s="840"/>
      <c r="Y389" s="840"/>
      <c r="Z389" s="841"/>
      <c r="AA389" s="839"/>
      <c r="AB389" s="840"/>
      <c r="AC389" s="840"/>
      <c r="AD389" s="840"/>
      <c r="AE389" s="840"/>
      <c r="AF389" s="840"/>
      <c r="AG389" s="840"/>
      <c r="AH389" s="840"/>
      <c r="AI389" s="840"/>
      <c r="AJ389" s="840"/>
      <c r="AK389" s="840"/>
      <c r="AL389" s="840"/>
      <c r="AM389" s="840"/>
      <c r="AN389" s="840"/>
      <c r="AO389" s="840"/>
      <c r="AP389" s="840"/>
      <c r="AQ389" s="840"/>
      <c r="AR389" s="840"/>
      <c r="AS389" s="840"/>
      <c r="AT389" s="840"/>
      <c r="AU389" s="840"/>
      <c r="AV389" s="840"/>
      <c r="AW389" s="840"/>
      <c r="AX389" s="840"/>
      <c r="AY389" s="840"/>
      <c r="AZ389" s="841"/>
      <c r="BA389" s="839"/>
      <c r="BB389" s="840"/>
      <c r="BC389" s="840"/>
      <c r="BD389" s="840"/>
      <c r="BE389" s="840"/>
      <c r="BF389" s="840"/>
      <c r="BG389" s="840"/>
      <c r="BH389" s="840"/>
      <c r="BI389" s="840"/>
      <c r="BJ389" s="840"/>
      <c r="BK389" s="840"/>
      <c r="BL389" s="840"/>
      <c r="BM389" s="840"/>
      <c r="BN389" s="840"/>
      <c r="BO389" s="840"/>
      <c r="BP389" s="840"/>
      <c r="BQ389" s="840"/>
      <c r="BR389" s="840"/>
      <c r="BS389" s="840"/>
      <c r="BT389" s="840"/>
      <c r="BU389" s="840"/>
      <c r="BV389" s="840"/>
      <c r="BW389" s="840"/>
      <c r="BX389" s="840"/>
      <c r="BY389" s="840"/>
      <c r="BZ389" s="841"/>
      <c r="CA389" s="839"/>
      <c r="CB389" s="840"/>
      <c r="CC389" s="840"/>
      <c r="CD389" s="840"/>
      <c r="CE389" s="840"/>
      <c r="CF389" s="840"/>
      <c r="CG389" s="840"/>
      <c r="CH389" s="840"/>
      <c r="CI389" s="840"/>
      <c r="CJ389" s="840"/>
      <c r="CK389" s="840"/>
      <c r="CL389" s="840"/>
      <c r="CM389" s="840"/>
      <c r="CN389" s="840"/>
      <c r="CO389" s="840"/>
      <c r="CP389" s="840"/>
      <c r="CQ389" s="840"/>
      <c r="CR389" s="840"/>
      <c r="CS389" s="840"/>
      <c r="CT389" s="840"/>
      <c r="CU389" s="840"/>
      <c r="CV389" s="840"/>
      <c r="CW389" s="840"/>
      <c r="CX389" s="840"/>
      <c r="CY389" s="840"/>
      <c r="CZ389" s="841"/>
      <c r="DA389" s="839"/>
      <c r="DB389" s="840"/>
      <c r="DC389" s="840"/>
      <c r="DD389" s="840"/>
      <c r="DE389" s="840"/>
      <c r="DF389" s="840"/>
      <c r="DG389" s="840"/>
      <c r="DH389" s="840"/>
      <c r="DI389" s="840"/>
      <c r="DJ389" s="840"/>
      <c r="DK389" s="840"/>
      <c r="DL389" s="840"/>
      <c r="DM389" s="840"/>
      <c r="DN389" s="840"/>
      <c r="DO389" s="840"/>
      <c r="DP389" s="840"/>
      <c r="DQ389" s="840"/>
      <c r="DR389" s="840"/>
      <c r="DS389" s="840"/>
      <c r="DT389" s="840"/>
      <c r="DU389" s="840"/>
      <c r="DV389" s="840"/>
      <c r="DW389" s="840"/>
      <c r="DX389" s="840"/>
      <c r="DY389" s="840"/>
      <c r="DZ389" s="841"/>
      <c r="EA389" s="839"/>
      <c r="EB389" s="840"/>
      <c r="EC389" s="840"/>
      <c r="ED389" s="840"/>
      <c r="EE389" s="840"/>
      <c r="EF389" s="840"/>
      <c r="EG389" s="840"/>
      <c r="EH389" s="840"/>
      <c r="EI389" s="840"/>
      <c r="EJ389" s="840"/>
      <c r="EK389" s="840"/>
      <c r="EL389" s="840"/>
      <c r="EM389" s="840"/>
      <c r="EN389" s="840"/>
      <c r="EO389" s="840"/>
      <c r="EP389" s="840"/>
      <c r="EQ389" s="840"/>
      <c r="ER389" s="840"/>
      <c r="ES389" s="840"/>
      <c r="ET389" s="840"/>
      <c r="EU389" s="840"/>
      <c r="EV389" s="840"/>
      <c r="EW389" s="840"/>
      <c r="EX389" s="840"/>
      <c r="EY389" s="840"/>
      <c r="EZ389" s="841"/>
      <c r="FA389" s="839"/>
      <c r="FB389" s="840"/>
      <c r="FC389" s="840"/>
      <c r="FD389" s="840"/>
      <c r="FE389" s="840"/>
      <c r="FF389" s="840"/>
      <c r="FG389" s="840"/>
      <c r="FH389" s="840"/>
      <c r="FI389" s="840"/>
      <c r="FJ389" s="840"/>
      <c r="FK389" s="840"/>
      <c r="FL389" s="840"/>
      <c r="FM389" s="840"/>
      <c r="FN389" s="840"/>
      <c r="FO389" s="840"/>
      <c r="FP389" s="840"/>
      <c r="FQ389" s="840"/>
      <c r="FR389" s="840"/>
      <c r="FS389" s="840"/>
      <c r="FT389" s="840"/>
      <c r="FU389" s="840"/>
      <c r="FV389" s="840"/>
      <c r="FW389" s="840"/>
      <c r="FX389" s="840"/>
      <c r="FY389" s="840"/>
      <c r="FZ389" s="841"/>
      <c r="GA389" s="839"/>
      <c r="GB389" s="840"/>
      <c r="GC389" s="840"/>
      <c r="GD389" s="840"/>
      <c r="GE389" s="840"/>
      <c r="GF389" s="840"/>
      <c r="GG389" s="840"/>
      <c r="GH389" s="840"/>
      <c r="GI389" s="840"/>
      <c r="GJ389" s="840"/>
      <c r="GK389" s="840"/>
      <c r="GL389" s="840"/>
      <c r="GM389" s="840"/>
      <c r="GN389" s="840"/>
      <c r="GO389" s="840"/>
      <c r="GP389" s="840"/>
      <c r="GQ389" s="840"/>
      <c r="GR389" s="840"/>
      <c r="GS389" s="840"/>
      <c r="GT389" s="840"/>
      <c r="GU389" s="840"/>
      <c r="GV389" s="840"/>
      <c r="GW389" s="840"/>
      <c r="GX389" s="840"/>
      <c r="GY389" s="840"/>
      <c r="GZ389" s="841"/>
      <c r="HA389" s="839"/>
      <c r="HB389" s="840"/>
      <c r="HC389" s="840"/>
      <c r="HD389" s="840"/>
      <c r="HE389" s="840"/>
      <c r="HF389" s="840"/>
      <c r="HG389" s="840"/>
      <c r="HH389" s="840"/>
      <c r="HI389" s="840"/>
      <c r="HJ389" s="840"/>
      <c r="HK389" s="840"/>
      <c r="HL389" s="840"/>
      <c r="HM389" s="840"/>
      <c r="HN389" s="840"/>
      <c r="HO389" s="840"/>
      <c r="HP389" s="840"/>
      <c r="HQ389" s="840"/>
      <c r="HR389" s="840"/>
      <c r="HS389" s="840"/>
      <c r="HT389" s="840"/>
      <c r="HU389" s="840"/>
      <c r="HV389" s="840"/>
      <c r="HW389" s="840"/>
      <c r="HX389" s="840"/>
      <c r="HY389" s="840"/>
      <c r="HZ389" s="841"/>
      <c r="IA389" s="839"/>
      <c r="IB389" s="840"/>
      <c r="IC389" s="840"/>
      <c r="ID389" s="840"/>
      <c r="IE389" s="840"/>
      <c r="IF389" s="840"/>
      <c r="IG389" s="840"/>
      <c r="IH389" s="840"/>
      <c r="II389" s="840"/>
      <c r="IJ389" s="840"/>
      <c r="IK389" s="840"/>
      <c r="IL389" s="840"/>
      <c r="IM389" s="840"/>
      <c r="IN389" s="840"/>
      <c r="IO389" s="840"/>
      <c r="IP389" s="840"/>
      <c r="IQ389" s="840"/>
      <c r="IR389" s="840"/>
      <c r="IS389" s="840"/>
      <c r="IT389" s="840"/>
      <c r="IU389" s="840"/>
      <c r="IV389" s="840"/>
      <c r="IW389" s="840"/>
      <c r="IX389" s="840"/>
      <c r="IY389" s="840"/>
      <c r="IZ389" s="841"/>
    </row>
    <row r="390" spans="1:260" x14ac:dyDescent="0.25">
      <c r="AA390" s="518"/>
      <c r="AB390" s="518"/>
      <c r="AC390" s="518"/>
      <c r="AD390" s="518"/>
      <c r="AE390" s="518"/>
      <c r="AF390" s="518"/>
      <c r="AG390" s="518"/>
      <c r="AH390" s="518"/>
      <c r="AI390" s="518"/>
      <c r="AJ390" s="518"/>
      <c r="AK390" s="518"/>
      <c r="AL390" s="518"/>
      <c r="AM390" s="518"/>
      <c r="AN390" s="518"/>
      <c r="AO390" s="518"/>
      <c r="AP390" s="518"/>
      <c r="AQ390" s="518"/>
      <c r="AR390" s="518"/>
      <c r="AS390" s="518"/>
      <c r="AT390" s="518"/>
      <c r="AU390" s="518"/>
      <c r="AV390" s="518"/>
      <c r="AW390" s="518"/>
    </row>
    <row r="391" spans="1:260" ht="15.75" thickBot="1" x14ac:dyDescent="0.3">
      <c r="A391" s="529">
        <v>18</v>
      </c>
      <c r="B391" s="529"/>
      <c r="C391" s="529"/>
      <c r="D391" s="529"/>
      <c r="E391" s="529"/>
      <c r="F391" s="529"/>
      <c r="G391" s="529"/>
      <c r="H391" s="529"/>
      <c r="I391" s="529"/>
      <c r="J391" s="529">
        <v>18</v>
      </c>
      <c r="K391" s="529">
        <v>19</v>
      </c>
      <c r="L391" s="529">
        <v>20</v>
      </c>
      <c r="M391" s="529">
        <v>21</v>
      </c>
      <c r="N391" s="529">
        <v>22</v>
      </c>
      <c r="O391" s="529">
        <v>23</v>
      </c>
      <c r="P391" s="529">
        <v>24</v>
      </c>
      <c r="Q391" s="529">
        <v>25</v>
      </c>
      <c r="R391" s="529">
        <v>26</v>
      </c>
      <c r="S391" s="529">
        <v>27</v>
      </c>
      <c r="T391" s="529">
        <v>28</v>
      </c>
      <c r="U391" s="529">
        <v>29</v>
      </c>
      <c r="V391" s="529">
        <v>30</v>
      </c>
      <c r="W391" s="529"/>
      <c r="X391" s="529"/>
      <c r="Y391" s="529" t="str">
        <f>IFERROR(IF(COUNTIF(Pedidos!$J:$J,Q$2)&gt;A391-1,MATCH(Q$2,Pedidos!$J:$J,0),""),"")</f>
        <v/>
      </c>
      <c r="Z391" s="529">
        <f>IFERROR(IF(Y391="",0,COUNTIF(Pedidos!$J:$J,Procesos!Q$2)),"")</f>
        <v>0</v>
      </c>
      <c r="AA391" s="529">
        <v>18</v>
      </c>
      <c r="AB391" s="529"/>
      <c r="AC391" s="529"/>
      <c r="AD391" s="529"/>
      <c r="AE391" s="529"/>
      <c r="AF391" s="529"/>
      <c r="AG391" s="529"/>
      <c r="AH391" s="529"/>
      <c r="AI391" s="529"/>
      <c r="AJ391" s="529">
        <v>18</v>
      </c>
      <c r="AK391" s="529">
        <v>19</v>
      </c>
      <c r="AL391" s="529">
        <v>20</v>
      </c>
      <c r="AM391" s="529">
        <v>21</v>
      </c>
      <c r="AN391" s="529">
        <v>22</v>
      </c>
      <c r="AO391" s="529">
        <v>23</v>
      </c>
      <c r="AP391" s="529">
        <v>24</v>
      </c>
      <c r="AQ391" s="529">
        <v>25</v>
      </c>
      <c r="AR391" s="529">
        <v>26</v>
      </c>
      <c r="AS391" s="529">
        <v>27</v>
      </c>
      <c r="AT391" s="529">
        <v>28</v>
      </c>
      <c r="AU391" s="529">
        <v>29</v>
      </c>
      <c r="AV391" s="529">
        <v>30</v>
      </c>
      <c r="AW391" s="529"/>
      <c r="AX391" s="529"/>
      <c r="AY391" s="529" t="str">
        <f>IFERROR(IF(COUNTIF(Pedidos!$J:$J,AQ$2)&gt;AA391-1,MATCH(AQ$2,Pedidos!$J:$J,0),""),"")</f>
        <v/>
      </c>
      <c r="AZ391" s="529">
        <f>IFERROR(IF(AY391="",0,COUNTIF(Pedidos!$J:$J,Procesos!AQ$2)),"")</f>
        <v>0</v>
      </c>
      <c r="BA391" s="529">
        <v>18</v>
      </c>
      <c r="BB391" s="529"/>
      <c r="BC391" s="529"/>
      <c r="BD391" s="529"/>
      <c r="BE391" s="529"/>
      <c r="BF391" s="529"/>
      <c r="BG391" s="529"/>
      <c r="BH391" s="529"/>
      <c r="BI391" s="529"/>
      <c r="BJ391" s="529">
        <v>18</v>
      </c>
      <c r="BK391" s="529">
        <v>19</v>
      </c>
      <c r="BL391" s="529">
        <v>20</v>
      </c>
      <c r="BM391" s="529">
        <v>21</v>
      </c>
      <c r="BN391" s="529">
        <v>22</v>
      </c>
      <c r="BO391" s="529">
        <v>23</v>
      </c>
      <c r="BP391" s="529">
        <v>24</v>
      </c>
      <c r="BQ391" s="529">
        <v>25</v>
      </c>
      <c r="BR391" s="529">
        <v>26</v>
      </c>
      <c r="BS391" s="529">
        <v>27</v>
      </c>
      <c r="BT391" s="529">
        <v>28</v>
      </c>
      <c r="BU391" s="529">
        <v>29</v>
      </c>
      <c r="BV391" s="529">
        <v>30</v>
      </c>
      <c r="BW391" s="529"/>
      <c r="BX391" s="529"/>
      <c r="BY391" s="529" t="str">
        <f>IFERROR(IF(COUNTIF(Pedidos!$J:$J,BQ$2)&gt;BA391-1,MATCH(BQ$2,Pedidos!$J:$J,0),""),"")</f>
        <v/>
      </c>
      <c r="BZ391" s="529">
        <f>IFERROR(IF(BY391="",0,COUNTIF(Pedidos!$J:$J,Procesos!BQ$2)),"")</f>
        <v>0</v>
      </c>
      <c r="CA391" s="529">
        <v>18</v>
      </c>
      <c r="CB391" s="529"/>
      <c r="CC391" s="529"/>
      <c r="CD391" s="529"/>
      <c r="CE391" s="529"/>
      <c r="CF391" s="529"/>
      <c r="CG391" s="529"/>
      <c r="CH391" s="529"/>
      <c r="CI391" s="529"/>
      <c r="CJ391" s="529">
        <v>18</v>
      </c>
      <c r="CK391" s="529">
        <v>19</v>
      </c>
      <c r="CL391" s="529">
        <v>20</v>
      </c>
      <c r="CM391" s="529">
        <v>21</v>
      </c>
      <c r="CN391" s="529">
        <v>22</v>
      </c>
      <c r="CO391" s="529">
        <v>23</v>
      </c>
      <c r="CP391" s="529">
        <v>24</v>
      </c>
      <c r="CQ391" s="529">
        <v>25</v>
      </c>
      <c r="CR391" s="529">
        <v>26</v>
      </c>
      <c r="CS391" s="529">
        <v>27</v>
      </c>
      <c r="CT391" s="529">
        <v>28</v>
      </c>
      <c r="CU391" s="529">
        <v>29</v>
      </c>
      <c r="CV391" s="529">
        <v>30</v>
      </c>
      <c r="CW391" s="529"/>
      <c r="CX391" s="529"/>
      <c r="CY391" s="529" t="str">
        <f>IFERROR(IF(COUNTIF(Pedidos!$J:$J,CQ$2)&gt;CA391-1,MATCH(CQ$2,Pedidos!$J:$J,0),""),"")</f>
        <v/>
      </c>
      <c r="CZ391" s="529">
        <f>IFERROR(IF(CY391="",0,COUNTIF(Pedidos!$J:$J,Procesos!CQ$2)),"")</f>
        <v>0</v>
      </c>
      <c r="DA391" s="529">
        <v>18</v>
      </c>
      <c r="DB391" s="529"/>
      <c r="DC391" s="529"/>
      <c r="DD391" s="529"/>
      <c r="DE391" s="529"/>
      <c r="DF391" s="529"/>
      <c r="DG391" s="529"/>
      <c r="DH391" s="529"/>
      <c r="DI391" s="529"/>
      <c r="DJ391" s="529">
        <v>18</v>
      </c>
      <c r="DK391" s="529">
        <v>19</v>
      </c>
      <c r="DL391" s="529">
        <v>20</v>
      </c>
      <c r="DM391" s="529">
        <v>21</v>
      </c>
      <c r="DN391" s="529">
        <v>22</v>
      </c>
      <c r="DO391" s="529">
        <v>23</v>
      </c>
      <c r="DP391" s="529">
        <v>24</v>
      </c>
      <c r="DQ391" s="529">
        <v>25</v>
      </c>
      <c r="DR391" s="529">
        <v>26</v>
      </c>
      <c r="DS391" s="529">
        <v>27</v>
      </c>
      <c r="DT391" s="529">
        <v>28</v>
      </c>
      <c r="DU391" s="529">
        <v>29</v>
      </c>
      <c r="DV391" s="529">
        <v>30</v>
      </c>
      <c r="DW391" s="529"/>
      <c r="DX391" s="529"/>
      <c r="DY391" s="529" t="str">
        <f>IFERROR(IF(COUNTIF(Pedidos!$J:$J,DQ$2)&gt;DA391-1,MATCH(DQ$2,Pedidos!$J:$J,0),""),"")</f>
        <v/>
      </c>
      <c r="DZ391" s="529">
        <f>IFERROR(IF(DY391="",0,COUNTIF(Pedidos!$J:$J,Procesos!DQ$2)),"")</f>
        <v>0</v>
      </c>
      <c r="EA391" s="529">
        <v>18</v>
      </c>
      <c r="EB391" s="529"/>
      <c r="EC391" s="529"/>
      <c r="ED391" s="529"/>
      <c r="EE391" s="529"/>
      <c r="EF391" s="529"/>
      <c r="EG391" s="529"/>
      <c r="EH391" s="529"/>
      <c r="EI391" s="529"/>
      <c r="EJ391" s="529">
        <v>18</v>
      </c>
      <c r="EK391" s="529">
        <v>19</v>
      </c>
      <c r="EL391" s="529">
        <v>20</v>
      </c>
      <c r="EM391" s="529">
        <v>21</v>
      </c>
      <c r="EN391" s="529">
        <v>22</v>
      </c>
      <c r="EO391" s="529">
        <v>23</v>
      </c>
      <c r="EP391" s="529">
        <v>24</v>
      </c>
      <c r="EQ391" s="529">
        <v>25</v>
      </c>
      <c r="ER391" s="529">
        <v>26</v>
      </c>
      <c r="ES391" s="529">
        <v>27</v>
      </c>
      <c r="ET391" s="529">
        <v>28</v>
      </c>
      <c r="EU391" s="529">
        <v>29</v>
      </c>
      <c r="EV391" s="529">
        <v>30</v>
      </c>
      <c r="EW391" s="529"/>
      <c r="EX391" s="529"/>
      <c r="EY391" s="529" t="str">
        <f>IFERROR(IF(COUNTIF(Pedidos!$J:$J,EQ$2)&gt;EA391-1,MATCH(EQ$2,Pedidos!$J:$J,0),""),"")</f>
        <v/>
      </c>
      <c r="EZ391" s="529">
        <f>IFERROR(IF(EY391="",0,COUNTIF(Pedidos!$J:$J,Procesos!EQ$2)),"")</f>
        <v>0</v>
      </c>
      <c r="FA391" s="529">
        <v>18</v>
      </c>
      <c r="FB391" s="529"/>
      <c r="FC391" s="529"/>
      <c r="FD391" s="529"/>
      <c r="FE391" s="529"/>
      <c r="FF391" s="529"/>
      <c r="FG391" s="529"/>
      <c r="FH391" s="529"/>
      <c r="FI391" s="529"/>
      <c r="FJ391" s="529">
        <v>18</v>
      </c>
      <c r="FK391" s="529">
        <v>19</v>
      </c>
      <c r="FL391" s="529">
        <v>20</v>
      </c>
      <c r="FM391" s="529">
        <v>21</v>
      </c>
      <c r="FN391" s="529">
        <v>22</v>
      </c>
      <c r="FO391" s="529">
        <v>23</v>
      </c>
      <c r="FP391" s="529">
        <v>24</v>
      </c>
      <c r="FQ391" s="529">
        <v>25</v>
      </c>
      <c r="FR391" s="529">
        <v>26</v>
      </c>
      <c r="FS391" s="529">
        <v>27</v>
      </c>
      <c r="FT391" s="529">
        <v>28</v>
      </c>
      <c r="FU391" s="529">
        <v>29</v>
      </c>
      <c r="FV391" s="529">
        <v>30</v>
      </c>
      <c r="FW391" s="529"/>
      <c r="FX391" s="529"/>
      <c r="FY391" s="529" t="str">
        <f>IFERROR(IF(COUNTIF(Pedidos!$J:$J,FQ$2)&gt;FA391-1,MATCH(FQ$2,Pedidos!$J:$J,0),""),"")</f>
        <v/>
      </c>
      <c r="FZ391" s="529">
        <f>IFERROR(IF(FY391="",0,COUNTIF(Pedidos!$J:$J,Procesos!FQ$2)),"")</f>
        <v>0</v>
      </c>
      <c r="GA391" s="529">
        <v>18</v>
      </c>
      <c r="GB391" s="529"/>
      <c r="GC391" s="529"/>
      <c r="GD391" s="529"/>
      <c r="GE391" s="529"/>
      <c r="GF391" s="529"/>
      <c r="GG391" s="529"/>
      <c r="GH391" s="529"/>
      <c r="GI391" s="529"/>
      <c r="GJ391" s="529">
        <v>18</v>
      </c>
      <c r="GK391" s="529">
        <v>19</v>
      </c>
      <c r="GL391" s="529">
        <v>20</v>
      </c>
      <c r="GM391" s="529">
        <v>21</v>
      </c>
      <c r="GN391" s="529">
        <v>22</v>
      </c>
      <c r="GO391" s="529">
        <v>23</v>
      </c>
      <c r="GP391" s="529">
        <v>24</v>
      </c>
      <c r="GQ391" s="529">
        <v>25</v>
      </c>
      <c r="GR391" s="529">
        <v>26</v>
      </c>
      <c r="GS391" s="529">
        <v>27</v>
      </c>
      <c r="GT391" s="529">
        <v>28</v>
      </c>
      <c r="GU391" s="529">
        <v>29</v>
      </c>
      <c r="GV391" s="529">
        <v>30</v>
      </c>
      <c r="GW391" s="529"/>
      <c r="GX391" s="529"/>
      <c r="GY391" s="529" t="str">
        <f>IFERROR(IF(COUNTIF(Pedidos!$J:$J,GQ$2)&gt;GA391-1,MATCH(GQ$2,Pedidos!$J:$J,0),""),"")</f>
        <v/>
      </c>
      <c r="GZ391" s="529">
        <f>IFERROR(IF(GY391="",0,COUNTIF(Pedidos!$J:$J,Procesos!GQ$2)),"")</f>
        <v>0</v>
      </c>
      <c r="HA391" s="529">
        <v>18</v>
      </c>
      <c r="HB391" s="529"/>
      <c r="HC391" s="529"/>
      <c r="HD391" s="529"/>
      <c r="HE391" s="529"/>
      <c r="HF391" s="529"/>
      <c r="HG391" s="529"/>
      <c r="HH391" s="529"/>
      <c r="HI391" s="529"/>
      <c r="HJ391" s="529">
        <v>18</v>
      </c>
      <c r="HK391" s="529">
        <v>19</v>
      </c>
      <c r="HL391" s="529">
        <v>20</v>
      </c>
      <c r="HM391" s="529">
        <v>21</v>
      </c>
      <c r="HN391" s="529">
        <v>22</v>
      </c>
      <c r="HO391" s="529">
        <v>23</v>
      </c>
      <c r="HP391" s="529">
        <v>24</v>
      </c>
      <c r="HQ391" s="529">
        <v>25</v>
      </c>
      <c r="HR391" s="529">
        <v>26</v>
      </c>
      <c r="HS391" s="529">
        <v>27</v>
      </c>
      <c r="HT391" s="529">
        <v>28</v>
      </c>
      <c r="HU391" s="529">
        <v>29</v>
      </c>
      <c r="HV391" s="529">
        <v>30</v>
      </c>
      <c r="HW391" s="529"/>
      <c r="HX391" s="529"/>
      <c r="HY391" s="529" t="str">
        <f>IFERROR(IF(COUNTIF(Pedidos!$J:$J,HQ$2)&gt;HA391-1,MATCH(HQ$2,Pedidos!$J:$J,0),""),"")</f>
        <v/>
      </c>
      <c r="HZ391" s="529">
        <f>IFERROR(IF(HY391="",0,COUNTIF(Pedidos!$J:$J,Procesos!HQ$2)),"")</f>
        <v>0</v>
      </c>
      <c r="IA391" s="529">
        <v>18</v>
      </c>
      <c r="IB391" s="529"/>
      <c r="IC391" s="529"/>
      <c r="ID391" s="529"/>
      <c r="IE391" s="529"/>
      <c r="IF391" s="529"/>
      <c r="IG391" s="529"/>
      <c r="IH391" s="529"/>
      <c r="II391" s="529"/>
      <c r="IJ391" s="529">
        <v>18</v>
      </c>
      <c r="IK391" s="529">
        <v>19</v>
      </c>
      <c r="IL391" s="529">
        <v>20</v>
      </c>
      <c r="IM391" s="529">
        <v>21</v>
      </c>
      <c r="IN391" s="529">
        <v>22</v>
      </c>
      <c r="IO391" s="529">
        <v>23</v>
      </c>
      <c r="IP391" s="529">
        <v>24</v>
      </c>
      <c r="IQ391" s="529">
        <v>25</v>
      </c>
      <c r="IR391" s="529">
        <v>26</v>
      </c>
      <c r="IS391" s="529">
        <v>27</v>
      </c>
      <c r="IT391" s="529">
        <v>28</v>
      </c>
      <c r="IU391" s="529">
        <v>29</v>
      </c>
      <c r="IV391" s="529">
        <v>30</v>
      </c>
      <c r="IW391" s="529"/>
      <c r="IX391" s="529"/>
      <c r="IY391" s="529" t="str">
        <f>IFERROR(IF(COUNTIF(Pedidos!$J:$J,IQ$2)&gt;IA391-1,MATCH(IQ$2,Pedidos!$J:$J,0),""),"")</f>
        <v/>
      </c>
      <c r="IZ391" s="529">
        <f>IFERROR(IF(IY391="",0,COUNTIF(Pedidos!$J:$J,Procesos!IQ$2)),"")</f>
        <v>0</v>
      </c>
    </row>
    <row r="392" spans="1:260" x14ac:dyDescent="0.25">
      <c r="A392" s="815" t="str">
        <f>IF(Z391&gt;=A391,Q$2 &amp;"     ITEM # "&amp;A391,"")</f>
        <v/>
      </c>
      <c r="B392" s="816"/>
      <c r="C392" s="816"/>
      <c r="D392" s="816"/>
      <c r="E392" s="816"/>
      <c r="F392" s="816"/>
      <c r="G392" s="816"/>
      <c r="H392" s="816"/>
      <c r="I392" s="817"/>
      <c r="J392" s="818" t="str">
        <f>IF(Z391&gt;=A391,$J$6,"")</f>
        <v/>
      </c>
      <c r="K392" s="816"/>
      <c r="L392" s="816"/>
      <c r="M392" s="816"/>
      <c r="N392" s="816"/>
      <c r="O392" s="816"/>
      <c r="P392" s="816"/>
      <c r="Q392" s="816"/>
      <c r="R392" s="816"/>
      <c r="S392" s="816"/>
      <c r="T392" s="816"/>
      <c r="U392" s="816"/>
      <c r="V392" s="816"/>
      <c r="W392" s="816"/>
      <c r="X392" s="816"/>
      <c r="Y392" s="816"/>
      <c r="Z392" s="819"/>
      <c r="AA392" s="815" t="str">
        <f>IF(AZ391&gt;=AA391,AQ$2 &amp;"     ITEM # "&amp;AA391,"")</f>
        <v/>
      </c>
      <c r="AB392" s="816"/>
      <c r="AC392" s="816"/>
      <c r="AD392" s="816"/>
      <c r="AE392" s="816"/>
      <c r="AF392" s="816"/>
      <c r="AG392" s="816"/>
      <c r="AH392" s="816"/>
      <c r="AI392" s="817"/>
      <c r="AJ392" s="818" t="str">
        <f>IF(AZ391&gt;=AA391,$J$6,"")</f>
        <v/>
      </c>
      <c r="AK392" s="816"/>
      <c r="AL392" s="816"/>
      <c r="AM392" s="816"/>
      <c r="AN392" s="816"/>
      <c r="AO392" s="816"/>
      <c r="AP392" s="816"/>
      <c r="AQ392" s="816"/>
      <c r="AR392" s="816"/>
      <c r="AS392" s="816"/>
      <c r="AT392" s="816"/>
      <c r="AU392" s="816"/>
      <c r="AV392" s="816"/>
      <c r="AW392" s="816"/>
      <c r="AX392" s="816"/>
      <c r="AY392" s="816"/>
      <c r="AZ392" s="819"/>
      <c r="BA392" s="815" t="str">
        <f>IF(BZ391&gt;=BA391,BQ$2 &amp;"     ITEM # "&amp;BA391,"")</f>
        <v/>
      </c>
      <c r="BB392" s="816"/>
      <c r="BC392" s="816"/>
      <c r="BD392" s="816"/>
      <c r="BE392" s="816"/>
      <c r="BF392" s="816"/>
      <c r="BG392" s="816"/>
      <c r="BH392" s="816"/>
      <c r="BI392" s="817"/>
      <c r="BJ392" s="818" t="str">
        <f>IF(BZ391&gt;=BA391,$J$6,"")</f>
        <v/>
      </c>
      <c r="BK392" s="816"/>
      <c r="BL392" s="816"/>
      <c r="BM392" s="816"/>
      <c r="BN392" s="816"/>
      <c r="BO392" s="816"/>
      <c r="BP392" s="816"/>
      <c r="BQ392" s="816"/>
      <c r="BR392" s="816"/>
      <c r="BS392" s="816"/>
      <c r="BT392" s="816"/>
      <c r="BU392" s="816"/>
      <c r="BV392" s="816"/>
      <c r="BW392" s="816"/>
      <c r="BX392" s="816"/>
      <c r="BY392" s="816"/>
      <c r="BZ392" s="819"/>
      <c r="CA392" s="815" t="str">
        <f>IF(CZ391&gt;=CA391,CQ$2 &amp;"     ITEM # "&amp;CA391,"")</f>
        <v/>
      </c>
      <c r="CB392" s="816"/>
      <c r="CC392" s="816"/>
      <c r="CD392" s="816"/>
      <c r="CE392" s="816"/>
      <c r="CF392" s="816"/>
      <c r="CG392" s="816"/>
      <c r="CH392" s="816"/>
      <c r="CI392" s="817"/>
      <c r="CJ392" s="818" t="str">
        <f>IF(CZ391&gt;=CA391,$J$6,"")</f>
        <v/>
      </c>
      <c r="CK392" s="816"/>
      <c r="CL392" s="816"/>
      <c r="CM392" s="816"/>
      <c r="CN392" s="816"/>
      <c r="CO392" s="816"/>
      <c r="CP392" s="816"/>
      <c r="CQ392" s="816"/>
      <c r="CR392" s="816"/>
      <c r="CS392" s="816"/>
      <c r="CT392" s="816"/>
      <c r="CU392" s="816"/>
      <c r="CV392" s="816"/>
      <c r="CW392" s="816"/>
      <c r="CX392" s="816"/>
      <c r="CY392" s="816"/>
      <c r="CZ392" s="819"/>
      <c r="DA392" s="815" t="str">
        <f>IF(DZ391&gt;=DA391,DQ$2 &amp;"     ITEM # "&amp;DA391,"")</f>
        <v/>
      </c>
      <c r="DB392" s="816"/>
      <c r="DC392" s="816"/>
      <c r="DD392" s="816"/>
      <c r="DE392" s="816"/>
      <c r="DF392" s="816"/>
      <c r="DG392" s="816"/>
      <c r="DH392" s="816"/>
      <c r="DI392" s="817"/>
      <c r="DJ392" s="818" t="str">
        <f>IF(DZ391&gt;=DA391,$J$6,"")</f>
        <v/>
      </c>
      <c r="DK392" s="816"/>
      <c r="DL392" s="816"/>
      <c r="DM392" s="816"/>
      <c r="DN392" s="816"/>
      <c r="DO392" s="816"/>
      <c r="DP392" s="816"/>
      <c r="DQ392" s="816"/>
      <c r="DR392" s="816"/>
      <c r="DS392" s="816"/>
      <c r="DT392" s="816"/>
      <c r="DU392" s="816"/>
      <c r="DV392" s="816"/>
      <c r="DW392" s="816"/>
      <c r="DX392" s="816"/>
      <c r="DY392" s="816"/>
      <c r="DZ392" s="819"/>
      <c r="EA392" s="815" t="str">
        <f>IF(EZ391&gt;=EA391,EQ$2 &amp;"     ITEM # "&amp;EA391,"")</f>
        <v/>
      </c>
      <c r="EB392" s="816"/>
      <c r="EC392" s="816"/>
      <c r="ED392" s="816"/>
      <c r="EE392" s="816"/>
      <c r="EF392" s="816"/>
      <c r="EG392" s="816"/>
      <c r="EH392" s="816"/>
      <c r="EI392" s="817"/>
      <c r="EJ392" s="818" t="str">
        <f>IF(EZ391&gt;=EA391,$J$6,"")</f>
        <v/>
      </c>
      <c r="EK392" s="816"/>
      <c r="EL392" s="816"/>
      <c r="EM392" s="816"/>
      <c r="EN392" s="816"/>
      <c r="EO392" s="816"/>
      <c r="EP392" s="816"/>
      <c r="EQ392" s="816"/>
      <c r="ER392" s="816"/>
      <c r="ES392" s="816"/>
      <c r="ET392" s="816"/>
      <c r="EU392" s="816"/>
      <c r="EV392" s="816"/>
      <c r="EW392" s="816"/>
      <c r="EX392" s="816"/>
      <c r="EY392" s="816"/>
      <c r="EZ392" s="819"/>
      <c r="FA392" s="815" t="str">
        <f>IF(FZ391&gt;=FA391,FQ$2 &amp;"     ITEM # "&amp;FA391,"")</f>
        <v/>
      </c>
      <c r="FB392" s="816"/>
      <c r="FC392" s="816"/>
      <c r="FD392" s="816"/>
      <c r="FE392" s="816"/>
      <c r="FF392" s="816"/>
      <c r="FG392" s="816"/>
      <c r="FH392" s="816"/>
      <c r="FI392" s="817"/>
      <c r="FJ392" s="818" t="str">
        <f>IF(FZ391&gt;=FA391,$J$6,"")</f>
        <v/>
      </c>
      <c r="FK392" s="816"/>
      <c r="FL392" s="816"/>
      <c r="FM392" s="816"/>
      <c r="FN392" s="816"/>
      <c r="FO392" s="816"/>
      <c r="FP392" s="816"/>
      <c r="FQ392" s="816"/>
      <c r="FR392" s="816"/>
      <c r="FS392" s="816"/>
      <c r="FT392" s="816"/>
      <c r="FU392" s="816"/>
      <c r="FV392" s="816"/>
      <c r="FW392" s="816"/>
      <c r="FX392" s="816"/>
      <c r="FY392" s="816"/>
      <c r="FZ392" s="819"/>
      <c r="GA392" s="815" t="str">
        <f>IF(GZ391&gt;=GA391,GQ$2 &amp;"     ITEM # "&amp;GA391,"")</f>
        <v/>
      </c>
      <c r="GB392" s="816"/>
      <c r="GC392" s="816"/>
      <c r="GD392" s="816"/>
      <c r="GE392" s="816"/>
      <c r="GF392" s="816"/>
      <c r="GG392" s="816"/>
      <c r="GH392" s="816"/>
      <c r="GI392" s="817"/>
      <c r="GJ392" s="818" t="str">
        <f>IF(GZ391&gt;=GA391,$J$6,"")</f>
        <v/>
      </c>
      <c r="GK392" s="816"/>
      <c r="GL392" s="816"/>
      <c r="GM392" s="816"/>
      <c r="GN392" s="816"/>
      <c r="GO392" s="816"/>
      <c r="GP392" s="816"/>
      <c r="GQ392" s="816"/>
      <c r="GR392" s="816"/>
      <c r="GS392" s="816"/>
      <c r="GT392" s="816"/>
      <c r="GU392" s="816"/>
      <c r="GV392" s="816"/>
      <c r="GW392" s="816"/>
      <c r="GX392" s="816"/>
      <c r="GY392" s="816"/>
      <c r="GZ392" s="819"/>
      <c r="HA392" s="815" t="str">
        <f>IF(HZ391&gt;=HA391,HQ$2 &amp;"     ITEM # "&amp;HA391,"")</f>
        <v/>
      </c>
      <c r="HB392" s="816"/>
      <c r="HC392" s="816"/>
      <c r="HD392" s="816"/>
      <c r="HE392" s="816"/>
      <c r="HF392" s="816"/>
      <c r="HG392" s="816"/>
      <c r="HH392" s="816"/>
      <c r="HI392" s="817"/>
      <c r="HJ392" s="818" t="str">
        <f>IF(HZ391&gt;=HA391,$J$6,"")</f>
        <v/>
      </c>
      <c r="HK392" s="816"/>
      <c r="HL392" s="816"/>
      <c r="HM392" s="816"/>
      <c r="HN392" s="816"/>
      <c r="HO392" s="816"/>
      <c r="HP392" s="816"/>
      <c r="HQ392" s="816"/>
      <c r="HR392" s="816"/>
      <c r="HS392" s="816"/>
      <c r="HT392" s="816"/>
      <c r="HU392" s="816"/>
      <c r="HV392" s="816"/>
      <c r="HW392" s="816"/>
      <c r="HX392" s="816"/>
      <c r="HY392" s="816"/>
      <c r="HZ392" s="819"/>
      <c r="IA392" s="815" t="str">
        <f>IF(IZ391&gt;=IA391,IQ$2 &amp;"     ITEM # "&amp;IA391,"")</f>
        <v/>
      </c>
      <c r="IB392" s="816"/>
      <c r="IC392" s="816"/>
      <c r="ID392" s="816"/>
      <c r="IE392" s="816"/>
      <c r="IF392" s="816"/>
      <c r="IG392" s="816"/>
      <c r="IH392" s="816"/>
      <c r="II392" s="817"/>
      <c r="IJ392" s="818" t="str">
        <f>IF(IZ391&gt;=IA391,$J$6,"")</f>
        <v/>
      </c>
      <c r="IK392" s="816"/>
      <c r="IL392" s="816"/>
      <c r="IM392" s="816"/>
      <c r="IN392" s="816"/>
      <c r="IO392" s="816"/>
      <c r="IP392" s="816"/>
      <c r="IQ392" s="816"/>
      <c r="IR392" s="816"/>
      <c r="IS392" s="816"/>
      <c r="IT392" s="816"/>
      <c r="IU392" s="816"/>
      <c r="IV392" s="816"/>
      <c r="IW392" s="816"/>
      <c r="IX392" s="816"/>
      <c r="IY392" s="816"/>
      <c r="IZ392" s="819"/>
    </row>
    <row r="393" spans="1:260" x14ac:dyDescent="0.25">
      <c r="A393" s="848" t="str">
        <f>IFERROR(INDEX(Lista_Pedidos,Procesos!Y391+A391-1,5),"")</f>
        <v/>
      </c>
      <c r="B393" s="843"/>
      <c r="C393" s="843"/>
      <c r="D393" s="843"/>
      <c r="E393" s="843"/>
      <c r="F393" s="843"/>
      <c r="G393" s="843"/>
      <c r="H393" s="843"/>
      <c r="I393" s="844"/>
      <c r="J393" s="842" t="str">
        <f>IF(Z391&gt;=A391,$J$7,"")</f>
        <v/>
      </c>
      <c r="K393" s="843"/>
      <c r="L393" s="844"/>
      <c r="M393" s="842" t="str">
        <f>IF(Z391&gt;=A391,$M$7,"")</f>
        <v/>
      </c>
      <c r="N393" s="843"/>
      <c r="O393" s="844"/>
      <c r="P393" s="842" t="str">
        <f>IF(Z391&gt;=A391,$P$7,"")</f>
        <v/>
      </c>
      <c r="Q393" s="843"/>
      <c r="R393" s="843"/>
      <c r="S393" s="843"/>
      <c r="T393" s="843"/>
      <c r="U393" s="844"/>
      <c r="V393" s="834" t="str">
        <f>IF(Z391&gt;=A391,$V$7,"")</f>
        <v/>
      </c>
      <c r="W393" s="842" t="str">
        <f>IF(Z391&gt;=A391,$W$7,"")</f>
        <v/>
      </c>
      <c r="X393" s="843"/>
      <c r="Y393" s="843"/>
      <c r="Z393" s="850"/>
      <c r="AA393" s="848" t="str">
        <f>IFERROR(INDEX(Lista_Pedidos,Procesos!AY391+AA391-1,5),"")</f>
        <v/>
      </c>
      <c r="AB393" s="843"/>
      <c r="AC393" s="843"/>
      <c r="AD393" s="843"/>
      <c r="AE393" s="843"/>
      <c r="AF393" s="843"/>
      <c r="AG393" s="843"/>
      <c r="AH393" s="843"/>
      <c r="AI393" s="844"/>
      <c r="AJ393" s="842" t="str">
        <f>IF(AZ391&gt;=AA391,$J$7,"")</f>
        <v/>
      </c>
      <c r="AK393" s="843"/>
      <c r="AL393" s="844"/>
      <c r="AM393" s="842" t="str">
        <f>IF(AZ391&gt;=AA391,$M$7,"")</f>
        <v/>
      </c>
      <c r="AN393" s="843"/>
      <c r="AO393" s="844"/>
      <c r="AP393" s="842" t="str">
        <f>IF(AZ391&gt;=AA391,$P$7,"")</f>
        <v/>
      </c>
      <c r="AQ393" s="843"/>
      <c r="AR393" s="843"/>
      <c r="AS393" s="843"/>
      <c r="AT393" s="843"/>
      <c r="AU393" s="844"/>
      <c r="AV393" s="834" t="str">
        <f>IF(AZ391&gt;=AA391,$V$7,"")</f>
        <v/>
      </c>
      <c r="AW393" s="842" t="str">
        <f>IF(AZ391&gt;=AA391,$W$7,"")</f>
        <v/>
      </c>
      <c r="AX393" s="843"/>
      <c r="AY393" s="843"/>
      <c r="AZ393" s="850"/>
      <c r="BA393" s="848" t="str">
        <f>IFERROR(INDEX(Lista_Pedidos,Procesos!BY391+BA391-1,5),"")</f>
        <v/>
      </c>
      <c r="BB393" s="843"/>
      <c r="BC393" s="843"/>
      <c r="BD393" s="843"/>
      <c r="BE393" s="843"/>
      <c r="BF393" s="843"/>
      <c r="BG393" s="843"/>
      <c r="BH393" s="843"/>
      <c r="BI393" s="844"/>
      <c r="BJ393" s="842" t="str">
        <f>IF(BZ391&gt;=BA391,$J$7,"")</f>
        <v/>
      </c>
      <c r="BK393" s="843"/>
      <c r="BL393" s="844"/>
      <c r="BM393" s="842" t="str">
        <f>IF(BZ391&gt;=BA391,$M$7,"")</f>
        <v/>
      </c>
      <c r="BN393" s="843"/>
      <c r="BO393" s="844"/>
      <c r="BP393" s="842" t="str">
        <f>IF(BZ391&gt;=BA391,$P$7,"")</f>
        <v/>
      </c>
      <c r="BQ393" s="843"/>
      <c r="BR393" s="843"/>
      <c r="BS393" s="843"/>
      <c r="BT393" s="843"/>
      <c r="BU393" s="844"/>
      <c r="BV393" s="834" t="str">
        <f>IF(BZ391&gt;=BA391,$V$7,"")</f>
        <v/>
      </c>
      <c r="BW393" s="842" t="str">
        <f>IF(BZ391&gt;=BA391,$W$7,"")</f>
        <v/>
      </c>
      <c r="BX393" s="843"/>
      <c r="BY393" s="843"/>
      <c r="BZ393" s="850"/>
      <c r="CA393" s="848" t="str">
        <f>IFERROR(INDEX(Lista_Pedidos,Procesos!CY391+CA391-1,5),"")</f>
        <v/>
      </c>
      <c r="CB393" s="843"/>
      <c r="CC393" s="843"/>
      <c r="CD393" s="843"/>
      <c r="CE393" s="843"/>
      <c r="CF393" s="843"/>
      <c r="CG393" s="843"/>
      <c r="CH393" s="843"/>
      <c r="CI393" s="844"/>
      <c r="CJ393" s="842" t="str">
        <f>IF(CZ391&gt;=CA391,$J$7,"")</f>
        <v/>
      </c>
      <c r="CK393" s="843"/>
      <c r="CL393" s="844"/>
      <c r="CM393" s="842" t="str">
        <f>IF(CZ391&gt;=CA391,$M$7,"")</f>
        <v/>
      </c>
      <c r="CN393" s="843"/>
      <c r="CO393" s="844"/>
      <c r="CP393" s="842" t="str">
        <f>IF(CZ391&gt;=CA391,$P$7,"")</f>
        <v/>
      </c>
      <c r="CQ393" s="843"/>
      <c r="CR393" s="843"/>
      <c r="CS393" s="843"/>
      <c r="CT393" s="843"/>
      <c r="CU393" s="844"/>
      <c r="CV393" s="834" t="str">
        <f>IF(CZ391&gt;=CA391,$V$7,"")</f>
        <v/>
      </c>
      <c r="CW393" s="842" t="str">
        <f>IF(CZ391&gt;=CA391,$W$7,"")</f>
        <v/>
      </c>
      <c r="CX393" s="843"/>
      <c r="CY393" s="843"/>
      <c r="CZ393" s="850"/>
      <c r="DA393" s="848" t="str">
        <f>IFERROR(INDEX(Lista_Pedidos,Procesos!DY391+DA391-1,5),"")</f>
        <v/>
      </c>
      <c r="DB393" s="843"/>
      <c r="DC393" s="843"/>
      <c r="DD393" s="843"/>
      <c r="DE393" s="843"/>
      <c r="DF393" s="843"/>
      <c r="DG393" s="843"/>
      <c r="DH393" s="843"/>
      <c r="DI393" s="844"/>
      <c r="DJ393" s="842" t="str">
        <f>IF(DZ391&gt;=DA391,$J$7,"")</f>
        <v/>
      </c>
      <c r="DK393" s="843"/>
      <c r="DL393" s="844"/>
      <c r="DM393" s="842" t="str">
        <f>IF(DZ391&gt;=DA391,$M$7,"")</f>
        <v/>
      </c>
      <c r="DN393" s="843"/>
      <c r="DO393" s="844"/>
      <c r="DP393" s="842" t="str">
        <f>IF(DZ391&gt;=DA391,$P$7,"")</f>
        <v/>
      </c>
      <c r="DQ393" s="843"/>
      <c r="DR393" s="843"/>
      <c r="DS393" s="843"/>
      <c r="DT393" s="843"/>
      <c r="DU393" s="844"/>
      <c r="DV393" s="834" t="str">
        <f>IF(DZ391&gt;=DA391,$V$7,"")</f>
        <v/>
      </c>
      <c r="DW393" s="842" t="str">
        <f>IF(DZ391&gt;=DA391,$W$7,"")</f>
        <v/>
      </c>
      <c r="DX393" s="843"/>
      <c r="DY393" s="843"/>
      <c r="DZ393" s="850"/>
      <c r="EA393" s="848" t="str">
        <f>IFERROR(INDEX(Lista_Pedidos,Procesos!EY391+EA391-1,5),"")</f>
        <v/>
      </c>
      <c r="EB393" s="843"/>
      <c r="EC393" s="843"/>
      <c r="ED393" s="843"/>
      <c r="EE393" s="843"/>
      <c r="EF393" s="843"/>
      <c r="EG393" s="843"/>
      <c r="EH393" s="843"/>
      <c r="EI393" s="844"/>
      <c r="EJ393" s="842" t="str">
        <f>IF(EZ391&gt;=EA391,$J$7,"")</f>
        <v/>
      </c>
      <c r="EK393" s="843"/>
      <c r="EL393" s="844"/>
      <c r="EM393" s="842" t="str">
        <f>IF(EZ391&gt;=EA391,$M$7,"")</f>
        <v/>
      </c>
      <c r="EN393" s="843"/>
      <c r="EO393" s="844"/>
      <c r="EP393" s="842" t="str">
        <f>IF(EZ391&gt;=EA391,$P$7,"")</f>
        <v/>
      </c>
      <c r="EQ393" s="843"/>
      <c r="ER393" s="843"/>
      <c r="ES393" s="843"/>
      <c r="ET393" s="843"/>
      <c r="EU393" s="844"/>
      <c r="EV393" s="834" t="str">
        <f>IF(EZ391&gt;=EA391,$V$7,"")</f>
        <v/>
      </c>
      <c r="EW393" s="842" t="str">
        <f>IF(EZ391&gt;=EA391,$W$7,"")</f>
        <v/>
      </c>
      <c r="EX393" s="843"/>
      <c r="EY393" s="843"/>
      <c r="EZ393" s="850"/>
      <c r="FA393" s="848" t="str">
        <f>IFERROR(INDEX(Lista_Pedidos,Procesos!FY391+FA391-1,5),"")</f>
        <v/>
      </c>
      <c r="FB393" s="843"/>
      <c r="FC393" s="843"/>
      <c r="FD393" s="843"/>
      <c r="FE393" s="843"/>
      <c r="FF393" s="843"/>
      <c r="FG393" s="843"/>
      <c r="FH393" s="843"/>
      <c r="FI393" s="844"/>
      <c r="FJ393" s="842" t="str">
        <f>IF(FZ391&gt;=FA391,$J$7,"")</f>
        <v/>
      </c>
      <c r="FK393" s="843"/>
      <c r="FL393" s="844"/>
      <c r="FM393" s="842" t="str">
        <f>IF(FZ391&gt;=FA391,$M$7,"")</f>
        <v/>
      </c>
      <c r="FN393" s="843"/>
      <c r="FO393" s="844"/>
      <c r="FP393" s="842" t="str">
        <f>IF(FZ391&gt;=FA391,$P$7,"")</f>
        <v/>
      </c>
      <c r="FQ393" s="843"/>
      <c r="FR393" s="843"/>
      <c r="FS393" s="843"/>
      <c r="FT393" s="843"/>
      <c r="FU393" s="844"/>
      <c r="FV393" s="834" t="str">
        <f>IF(FZ391&gt;=FA391,$V$7,"")</f>
        <v/>
      </c>
      <c r="FW393" s="842" t="str">
        <f>IF(FZ391&gt;=FA391,$W$7,"")</f>
        <v/>
      </c>
      <c r="FX393" s="843"/>
      <c r="FY393" s="843"/>
      <c r="FZ393" s="850"/>
      <c r="GA393" s="848" t="str">
        <f>IFERROR(INDEX(Lista_Pedidos,Procesos!GY391+GA391-1,5),"")</f>
        <v/>
      </c>
      <c r="GB393" s="843"/>
      <c r="GC393" s="843"/>
      <c r="GD393" s="843"/>
      <c r="GE393" s="843"/>
      <c r="GF393" s="843"/>
      <c r="GG393" s="843"/>
      <c r="GH393" s="843"/>
      <c r="GI393" s="844"/>
      <c r="GJ393" s="842" t="str">
        <f>IF(GZ391&gt;=GA391,$J$7,"")</f>
        <v/>
      </c>
      <c r="GK393" s="843"/>
      <c r="GL393" s="844"/>
      <c r="GM393" s="842" t="str">
        <f>IF(GZ391&gt;=GA391,$M$7,"")</f>
        <v/>
      </c>
      <c r="GN393" s="843"/>
      <c r="GO393" s="844"/>
      <c r="GP393" s="842" t="str">
        <f>IF(GZ391&gt;=GA391,$P$7,"")</f>
        <v/>
      </c>
      <c r="GQ393" s="843"/>
      <c r="GR393" s="843"/>
      <c r="GS393" s="843"/>
      <c r="GT393" s="843"/>
      <c r="GU393" s="844"/>
      <c r="GV393" s="834" t="str">
        <f>IF(GZ391&gt;=GA391,$V$7,"")</f>
        <v/>
      </c>
      <c r="GW393" s="842" t="str">
        <f>IF(GZ391&gt;=GA391,$W$7,"")</f>
        <v/>
      </c>
      <c r="GX393" s="843"/>
      <c r="GY393" s="843"/>
      <c r="GZ393" s="850"/>
      <c r="HA393" s="848" t="str">
        <f>IFERROR(INDEX(Lista_Pedidos,Procesos!HY391+HA391-1,5),"")</f>
        <v/>
      </c>
      <c r="HB393" s="843"/>
      <c r="HC393" s="843"/>
      <c r="HD393" s="843"/>
      <c r="HE393" s="843"/>
      <c r="HF393" s="843"/>
      <c r="HG393" s="843"/>
      <c r="HH393" s="843"/>
      <c r="HI393" s="844"/>
      <c r="HJ393" s="842" t="str">
        <f>IF(HZ391&gt;=HA391,$J$7,"")</f>
        <v/>
      </c>
      <c r="HK393" s="843"/>
      <c r="HL393" s="844"/>
      <c r="HM393" s="842" t="str">
        <f>IF(HZ391&gt;=HA391,$M$7,"")</f>
        <v/>
      </c>
      <c r="HN393" s="843"/>
      <c r="HO393" s="844"/>
      <c r="HP393" s="842" t="str">
        <f>IF(HZ391&gt;=HA391,$P$7,"")</f>
        <v/>
      </c>
      <c r="HQ393" s="843"/>
      <c r="HR393" s="843"/>
      <c r="HS393" s="843"/>
      <c r="HT393" s="843"/>
      <c r="HU393" s="844"/>
      <c r="HV393" s="834" t="str">
        <f>IF(HZ391&gt;=HA391,$V$7,"")</f>
        <v/>
      </c>
      <c r="HW393" s="842" t="str">
        <f>IF(HZ391&gt;=HA391,$W$7,"")</f>
        <v/>
      </c>
      <c r="HX393" s="843"/>
      <c r="HY393" s="843"/>
      <c r="HZ393" s="850"/>
      <c r="IA393" s="848" t="str">
        <f>IFERROR(INDEX(Lista_Pedidos,Procesos!IY391+IA391-1,5),"")</f>
        <v/>
      </c>
      <c r="IB393" s="843"/>
      <c r="IC393" s="843"/>
      <c r="ID393" s="843"/>
      <c r="IE393" s="843"/>
      <c r="IF393" s="843"/>
      <c r="IG393" s="843"/>
      <c r="IH393" s="843"/>
      <c r="II393" s="844"/>
      <c r="IJ393" s="842" t="str">
        <f>IF(IZ391&gt;=IA391,$J$7,"")</f>
        <v/>
      </c>
      <c r="IK393" s="843"/>
      <c r="IL393" s="844"/>
      <c r="IM393" s="842" t="str">
        <f>IF(IZ391&gt;=IA391,$M$7,"")</f>
        <v/>
      </c>
      <c r="IN393" s="843"/>
      <c r="IO393" s="844"/>
      <c r="IP393" s="842" t="str">
        <f>IF(IZ391&gt;=IA391,$P$7,"")</f>
        <v/>
      </c>
      <c r="IQ393" s="843"/>
      <c r="IR393" s="843"/>
      <c r="IS393" s="843"/>
      <c r="IT393" s="843"/>
      <c r="IU393" s="844"/>
      <c r="IV393" s="834" t="str">
        <f>IF(IZ391&gt;=IA391,$V$7,"")</f>
        <v/>
      </c>
      <c r="IW393" s="842" t="str">
        <f>IF(IZ391&gt;=IA391,$W$7,"")</f>
        <v/>
      </c>
      <c r="IX393" s="843"/>
      <c r="IY393" s="843"/>
      <c r="IZ393" s="850"/>
    </row>
    <row r="394" spans="1:260" x14ac:dyDescent="0.25">
      <c r="A394" s="849"/>
      <c r="B394" s="846"/>
      <c r="C394" s="846"/>
      <c r="D394" s="846"/>
      <c r="E394" s="846"/>
      <c r="F394" s="846"/>
      <c r="G394" s="846"/>
      <c r="H394" s="846"/>
      <c r="I394" s="847"/>
      <c r="J394" s="845"/>
      <c r="K394" s="846"/>
      <c r="L394" s="847"/>
      <c r="M394" s="845"/>
      <c r="N394" s="846"/>
      <c r="O394" s="847"/>
      <c r="P394" s="845"/>
      <c r="Q394" s="846"/>
      <c r="R394" s="846"/>
      <c r="S394" s="846"/>
      <c r="T394" s="846"/>
      <c r="U394" s="847"/>
      <c r="V394" s="835"/>
      <c r="W394" s="845"/>
      <c r="X394" s="846"/>
      <c r="Y394" s="846"/>
      <c r="Z394" s="851"/>
      <c r="AA394" s="849"/>
      <c r="AB394" s="846"/>
      <c r="AC394" s="846"/>
      <c r="AD394" s="846"/>
      <c r="AE394" s="846"/>
      <c r="AF394" s="846"/>
      <c r="AG394" s="846"/>
      <c r="AH394" s="846"/>
      <c r="AI394" s="847"/>
      <c r="AJ394" s="845"/>
      <c r="AK394" s="846"/>
      <c r="AL394" s="847"/>
      <c r="AM394" s="845"/>
      <c r="AN394" s="846"/>
      <c r="AO394" s="847"/>
      <c r="AP394" s="845"/>
      <c r="AQ394" s="846"/>
      <c r="AR394" s="846"/>
      <c r="AS394" s="846"/>
      <c r="AT394" s="846"/>
      <c r="AU394" s="847"/>
      <c r="AV394" s="835"/>
      <c r="AW394" s="845"/>
      <c r="AX394" s="846"/>
      <c r="AY394" s="846"/>
      <c r="AZ394" s="851"/>
      <c r="BA394" s="849"/>
      <c r="BB394" s="846"/>
      <c r="BC394" s="846"/>
      <c r="BD394" s="846"/>
      <c r="BE394" s="846"/>
      <c r="BF394" s="846"/>
      <c r="BG394" s="846"/>
      <c r="BH394" s="846"/>
      <c r="BI394" s="847"/>
      <c r="BJ394" s="845"/>
      <c r="BK394" s="846"/>
      <c r="BL394" s="847"/>
      <c r="BM394" s="845"/>
      <c r="BN394" s="846"/>
      <c r="BO394" s="847"/>
      <c r="BP394" s="845"/>
      <c r="BQ394" s="846"/>
      <c r="BR394" s="846"/>
      <c r="BS394" s="846"/>
      <c r="BT394" s="846"/>
      <c r="BU394" s="847"/>
      <c r="BV394" s="835"/>
      <c r="BW394" s="845"/>
      <c r="BX394" s="846"/>
      <c r="BY394" s="846"/>
      <c r="BZ394" s="851"/>
      <c r="CA394" s="849"/>
      <c r="CB394" s="846"/>
      <c r="CC394" s="846"/>
      <c r="CD394" s="846"/>
      <c r="CE394" s="846"/>
      <c r="CF394" s="846"/>
      <c r="CG394" s="846"/>
      <c r="CH394" s="846"/>
      <c r="CI394" s="847"/>
      <c r="CJ394" s="845"/>
      <c r="CK394" s="846"/>
      <c r="CL394" s="847"/>
      <c r="CM394" s="845"/>
      <c r="CN394" s="846"/>
      <c r="CO394" s="847"/>
      <c r="CP394" s="845"/>
      <c r="CQ394" s="846"/>
      <c r="CR394" s="846"/>
      <c r="CS394" s="846"/>
      <c r="CT394" s="846"/>
      <c r="CU394" s="847"/>
      <c r="CV394" s="835"/>
      <c r="CW394" s="845"/>
      <c r="CX394" s="846"/>
      <c r="CY394" s="846"/>
      <c r="CZ394" s="851"/>
      <c r="DA394" s="849"/>
      <c r="DB394" s="846"/>
      <c r="DC394" s="846"/>
      <c r="DD394" s="846"/>
      <c r="DE394" s="846"/>
      <c r="DF394" s="846"/>
      <c r="DG394" s="846"/>
      <c r="DH394" s="846"/>
      <c r="DI394" s="847"/>
      <c r="DJ394" s="845"/>
      <c r="DK394" s="846"/>
      <c r="DL394" s="847"/>
      <c r="DM394" s="845"/>
      <c r="DN394" s="846"/>
      <c r="DO394" s="847"/>
      <c r="DP394" s="845"/>
      <c r="DQ394" s="846"/>
      <c r="DR394" s="846"/>
      <c r="DS394" s="846"/>
      <c r="DT394" s="846"/>
      <c r="DU394" s="847"/>
      <c r="DV394" s="835"/>
      <c r="DW394" s="845"/>
      <c r="DX394" s="846"/>
      <c r="DY394" s="846"/>
      <c r="DZ394" s="851"/>
      <c r="EA394" s="849"/>
      <c r="EB394" s="846"/>
      <c r="EC394" s="846"/>
      <c r="ED394" s="846"/>
      <c r="EE394" s="846"/>
      <c r="EF394" s="846"/>
      <c r="EG394" s="846"/>
      <c r="EH394" s="846"/>
      <c r="EI394" s="847"/>
      <c r="EJ394" s="845"/>
      <c r="EK394" s="846"/>
      <c r="EL394" s="847"/>
      <c r="EM394" s="845"/>
      <c r="EN394" s="846"/>
      <c r="EO394" s="847"/>
      <c r="EP394" s="845"/>
      <c r="EQ394" s="846"/>
      <c r="ER394" s="846"/>
      <c r="ES394" s="846"/>
      <c r="ET394" s="846"/>
      <c r="EU394" s="847"/>
      <c r="EV394" s="835"/>
      <c r="EW394" s="845"/>
      <c r="EX394" s="846"/>
      <c r="EY394" s="846"/>
      <c r="EZ394" s="851"/>
      <c r="FA394" s="849"/>
      <c r="FB394" s="846"/>
      <c r="FC394" s="846"/>
      <c r="FD394" s="846"/>
      <c r="FE394" s="846"/>
      <c r="FF394" s="846"/>
      <c r="FG394" s="846"/>
      <c r="FH394" s="846"/>
      <c r="FI394" s="847"/>
      <c r="FJ394" s="845"/>
      <c r="FK394" s="846"/>
      <c r="FL394" s="847"/>
      <c r="FM394" s="845"/>
      <c r="FN394" s="846"/>
      <c r="FO394" s="847"/>
      <c r="FP394" s="845"/>
      <c r="FQ394" s="846"/>
      <c r="FR394" s="846"/>
      <c r="FS394" s="846"/>
      <c r="FT394" s="846"/>
      <c r="FU394" s="847"/>
      <c r="FV394" s="835"/>
      <c r="FW394" s="845"/>
      <c r="FX394" s="846"/>
      <c r="FY394" s="846"/>
      <c r="FZ394" s="851"/>
      <c r="GA394" s="849"/>
      <c r="GB394" s="846"/>
      <c r="GC394" s="846"/>
      <c r="GD394" s="846"/>
      <c r="GE394" s="846"/>
      <c r="GF394" s="846"/>
      <c r="GG394" s="846"/>
      <c r="GH394" s="846"/>
      <c r="GI394" s="847"/>
      <c r="GJ394" s="845"/>
      <c r="GK394" s="846"/>
      <c r="GL394" s="847"/>
      <c r="GM394" s="845"/>
      <c r="GN394" s="846"/>
      <c r="GO394" s="847"/>
      <c r="GP394" s="845"/>
      <c r="GQ394" s="846"/>
      <c r="GR394" s="846"/>
      <c r="GS394" s="846"/>
      <c r="GT394" s="846"/>
      <c r="GU394" s="847"/>
      <c r="GV394" s="835"/>
      <c r="GW394" s="845"/>
      <c r="GX394" s="846"/>
      <c r="GY394" s="846"/>
      <c r="GZ394" s="851"/>
      <c r="HA394" s="849"/>
      <c r="HB394" s="846"/>
      <c r="HC394" s="846"/>
      <c r="HD394" s="846"/>
      <c r="HE394" s="846"/>
      <c r="HF394" s="846"/>
      <c r="HG394" s="846"/>
      <c r="HH394" s="846"/>
      <c r="HI394" s="847"/>
      <c r="HJ394" s="845"/>
      <c r="HK394" s="846"/>
      <c r="HL394" s="847"/>
      <c r="HM394" s="845"/>
      <c r="HN394" s="846"/>
      <c r="HO394" s="847"/>
      <c r="HP394" s="845"/>
      <c r="HQ394" s="846"/>
      <c r="HR394" s="846"/>
      <c r="HS394" s="846"/>
      <c r="HT394" s="846"/>
      <c r="HU394" s="847"/>
      <c r="HV394" s="835"/>
      <c r="HW394" s="845"/>
      <c r="HX394" s="846"/>
      <c r="HY394" s="846"/>
      <c r="HZ394" s="851"/>
      <c r="IA394" s="849"/>
      <c r="IB394" s="846"/>
      <c r="IC394" s="846"/>
      <c r="ID394" s="846"/>
      <c r="IE394" s="846"/>
      <c r="IF394" s="846"/>
      <c r="IG394" s="846"/>
      <c r="IH394" s="846"/>
      <c r="II394" s="847"/>
      <c r="IJ394" s="845"/>
      <c r="IK394" s="846"/>
      <c r="IL394" s="847"/>
      <c r="IM394" s="845"/>
      <c r="IN394" s="846"/>
      <c r="IO394" s="847"/>
      <c r="IP394" s="845"/>
      <c r="IQ394" s="846"/>
      <c r="IR394" s="846"/>
      <c r="IS394" s="846"/>
      <c r="IT394" s="846"/>
      <c r="IU394" s="847"/>
      <c r="IV394" s="835"/>
      <c r="IW394" s="845"/>
      <c r="IX394" s="846"/>
      <c r="IY394" s="846"/>
      <c r="IZ394" s="851"/>
    </row>
    <row r="395" spans="1:260" ht="15" customHeight="1" x14ac:dyDescent="0.25">
      <c r="A395" s="858" t="str">
        <f>IF(Z391&gt;=A391,$A$9,"")</f>
        <v/>
      </c>
      <c r="B395" s="806"/>
      <c r="C395" s="806"/>
      <c r="D395" s="806"/>
      <c r="E395" s="852"/>
      <c r="F395" s="805" t="str">
        <f>IF(Z391&gt;=A391,$F$9,"")</f>
        <v/>
      </c>
      <c r="G395" s="806"/>
      <c r="H395" s="806"/>
      <c r="I395" s="852"/>
      <c r="J395" s="811" t="str">
        <f>IF(Z391&gt;=A391,$J$9,"")</f>
        <v/>
      </c>
      <c r="K395" s="803" t="str">
        <f>IF(Z391&gt;=A391,$K$9,"")</f>
        <v/>
      </c>
      <c r="L395" s="803" t="str">
        <f>IF(Z391&gt;=A391,$L$9,"")</f>
        <v/>
      </c>
      <c r="M395" s="803" t="str">
        <f>IF(Z391&gt;=A391,$M$9,"")</f>
        <v/>
      </c>
      <c r="N395" s="803" t="str">
        <f>IF(Z391&gt;=A391,$N$9,"")</f>
        <v/>
      </c>
      <c r="O395" s="803" t="str">
        <f>IF(Z391&gt;=A391,$O$9,"")</f>
        <v/>
      </c>
      <c r="P395" s="803" t="str">
        <f>IF(Z391&gt;=A391,$P$9,"")</f>
        <v/>
      </c>
      <c r="Q395" s="803" t="str">
        <f>IF(Z391&gt;=A391,$Q$9,"")</f>
        <v/>
      </c>
      <c r="R395" s="803" t="str">
        <f>IF(Z391&gt;=A391,$R$9,"")</f>
        <v/>
      </c>
      <c r="S395" s="803" t="str">
        <f>IF(Z391&gt;=A391,$S$9,"")</f>
        <v/>
      </c>
      <c r="T395" s="803" t="str">
        <f>IF(Z391&gt;=A391,$T$9,"")</f>
        <v/>
      </c>
      <c r="U395" s="803" t="str">
        <f>IF(Z391&gt;=A391,$U$9,"")</f>
        <v/>
      </c>
      <c r="V395" s="803" t="str">
        <f>IF(Z391&gt;=A391,$V$9,"")</f>
        <v/>
      </c>
      <c r="W395" s="805" t="str">
        <f>IF(Z391&gt;=A391,$W$9,"")</f>
        <v/>
      </c>
      <c r="X395" s="806"/>
      <c r="Y395" s="806"/>
      <c r="Z395" s="807"/>
      <c r="AA395" s="858" t="str">
        <f>IF(AZ391&gt;=AA391,$A$9,"")</f>
        <v/>
      </c>
      <c r="AB395" s="806"/>
      <c r="AC395" s="806"/>
      <c r="AD395" s="806"/>
      <c r="AE395" s="852"/>
      <c r="AF395" s="805" t="str">
        <f>IF(AZ391&gt;=AA391,$F$9,"")</f>
        <v/>
      </c>
      <c r="AG395" s="806"/>
      <c r="AH395" s="806"/>
      <c r="AI395" s="852"/>
      <c r="AJ395" s="811" t="str">
        <f>IF(AZ391&gt;=AA391,$J$9,"")</f>
        <v/>
      </c>
      <c r="AK395" s="803" t="str">
        <f>IF(AZ391&gt;=AA391,$K$9,"")</f>
        <v/>
      </c>
      <c r="AL395" s="803" t="str">
        <f>IF(AZ391&gt;=AA391,$L$9,"")</f>
        <v/>
      </c>
      <c r="AM395" s="803" t="str">
        <f>IF(AZ391&gt;=AA391,$M$9,"")</f>
        <v/>
      </c>
      <c r="AN395" s="803" t="str">
        <f>IF(AZ391&gt;=AA391,$N$9,"")</f>
        <v/>
      </c>
      <c r="AO395" s="803" t="str">
        <f>IF(AZ391&gt;=AA391,$O$9,"")</f>
        <v/>
      </c>
      <c r="AP395" s="803" t="str">
        <f>IF(AZ391&gt;=AA391,$P$9,"")</f>
        <v/>
      </c>
      <c r="AQ395" s="803" t="str">
        <f>IF(AZ391&gt;=AA391,$Q$9,"")</f>
        <v/>
      </c>
      <c r="AR395" s="803" t="str">
        <f>IF(AZ391&gt;=AA391,$R$9,"")</f>
        <v/>
      </c>
      <c r="AS395" s="803" t="str">
        <f>IF(AZ391&gt;=AA391,$S$9,"")</f>
        <v/>
      </c>
      <c r="AT395" s="803" t="str">
        <f>IF(AZ391&gt;=AA391,$T$9,"")</f>
        <v/>
      </c>
      <c r="AU395" s="803" t="str">
        <f>IF(AZ391&gt;=AA391,$U$9,"")</f>
        <v/>
      </c>
      <c r="AV395" s="803" t="str">
        <f>IF(AZ391&gt;=AA391,$V$9,"")</f>
        <v/>
      </c>
      <c r="AW395" s="805" t="str">
        <f>IF(AZ391&gt;=AA391,$W$9,"")</f>
        <v/>
      </c>
      <c r="AX395" s="806"/>
      <c r="AY395" s="806"/>
      <c r="AZ395" s="807"/>
      <c r="BA395" s="858" t="str">
        <f>IF(BZ391&gt;=BA391,$A$9,"")</f>
        <v/>
      </c>
      <c r="BB395" s="806"/>
      <c r="BC395" s="806"/>
      <c r="BD395" s="806"/>
      <c r="BE395" s="852"/>
      <c r="BF395" s="805" t="str">
        <f>IF(BZ391&gt;=BA391,$F$9,"")</f>
        <v/>
      </c>
      <c r="BG395" s="806"/>
      <c r="BH395" s="806"/>
      <c r="BI395" s="852"/>
      <c r="BJ395" s="811" t="str">
        <f>IF(BZ391&gt;=BA391,$J$9,"")</f>
        <v/>
      </c>
      <c r="BK395" s="803" t="str">
        <f>IF(BZ391&gt;=BA391,$K$9,"")</f>
        <v/>
      </c>
      <c r="BL395" s="803" t="str">
        <f>IF(BZ391&gt;=BA391,$L$9,"")</f>
        <v/>
      </c>
      <c r="BM395" s="803" t="str">
        <f>IF(BZ391&gt;=BA391,$M$9,"")</f>
        <v/>
      </c>
      <c r="BN395" s="803" t="str">
        <f>IF(BZ391&gt;=BA391,$N$9,"")</f>
        <v/>
      </c>
      <c r="BO395" s="803" t="str">
        <f>IF(BZ391&gt;=BA391,$O$9,"")</f>
        <v/>
      </c>
      <c r="BP395" s="803" t="str">
        <f>IF(BZ391&gt;=BA391,$P$9,"")</f>
        <v/>
      </c>
      <c r="BQ395" s="803" t="str">
        <f>IF(BZ391&gt;=BA391,$Q$9,"")</f>
        <v/>
      </c>
      <c r="BR395" s="803" t="str">
        <f>IF(BZ391&gt;=BA391,$R$9,"")</f>
        <v/>
      </c>
      <c r="BS395" s="803" t="str">
        <f>IF(BZ391&gt;=BA391,$S$9,"")</f>
        <v/>
      </c>
      <c r="BT395" s="803" t="str">
        <f>IF(BZ391&gt;=BA391,$T$9,"")</f>
        <v/>
      </c>
      <c r="BU395" s="803" t="str">
        <f>IF(BZ391&gt;=BA391,$U$9,"")</f>
        <v/>
      </c>
      <c r="BV395" s="803" t="str">
        <f>IF(BZ391&gt;=BA391,$V$9,"")</f>
        <v/>
      </c>
      <c r="BW395" s="805" t="str">
        <f>IF(BZ391&gt;=BA391,$W$9,"")</f>
        <v/>
      </c>
      <c r="BX395" s="806"/>
      <c r="BY395" s="806"/>
      <c r="BZ395" s="807"/>
      <c r="CA395" s="858" t="str">
        <f>IF(CZ391&gt;=CA391,$A$9,"")</f>
        <v/>
      </c>
      <c r="CB395" s="806"/>
      <c r="CC395" s="806"/>
      <c r="CD395" s="806"/>
      <c r="CE395" s="852"/>
      <c r="CF395" s="805" t="str">
        <f>IF(CZ391&gt;=CA391,$F$9,"")</f>
        <v/>
      </c>
      <c r="CG395" s="806"/>
      <c r="CH395" s="806"/>
      <c r="CI395" s="852"/>
      <c r="CJ395" s="811" t="str">
        <f>IF(CZ391&gt;=CA391,$J$9,"")</f>
        <v/>
      </c>
      <c r="CK395" s="803" t="str">
        <f>IF(CZ391&gt;=CA391,$K$9,"")</f>
        <v/>
      </c>
      <c r="CL395" s="803" t="str">
        <f>IF(CZ391&gt;=CA391,$L$9,"")</f>
        <v/>
      </c>
      <c r="CM395" s="803" t="str">
        <f>IF(CZ391&gt;=CA391,$M$9,"")</f>
        <v/>
      </c>
      <c r="CN395" s="803" t="str">
        <f>IF(CZ391&gt;=CA391,$N$9,"")</f>
        <v/>
      </c>
      <c r="CO395" s="803" t="str">
        <f>IF(CZ391&gt;=CA391,$O$9,"")</f>
        <v/>
      </c>
      <c r="CP395" s="803" t="str">
        <f>IF(CZ391&gt;=CA391,$P$9,"")</f>
        <v/>
      </c>
      <c r="CQ395" s="803" t="str">
        <f>IF(CZ391&gt;=CA391,$Q$9,"")</f>
        <v/>
      </c>
      <c r="CR395" s="803" t="str">
        <f>IF(CZ391&gt;=CA391,$R$9,"")</f>
        <v/>
      </c>
      <c r="CS395" s="803" t="str">
        <f>IF(CZ391&gt;=CA391,$S$9,"")</f>
        <v/>
      </c>
      <c r="CT395" s="803" t="str">
        <f>IF(CZ391&gt;=CA391,$T$9,"")</f>
        <v/>
      </c>
      <c r="CU395" s="803" t="str">
        <f>IF(CZ391&gt;=CA391,$U$9,"")</f>
        <v/>
      </c>
      <c r="CV395" s="803" t="str">
        <f>IF(CZ391&gt;=CA391,$V$9,"")</f>
        <v/>
      </c>
      <c r="CW395" s="805" t="str">
        <f>IF(CZ391&gt;=CA391,$W$9,"")</f>
        <v/>
      </c>
      <c r="CX395" s="806"/>
      <c r="CY395" s="806"/>
      <c r="CZ395" s="807"/>
      <c r="DA395" s="858" t="str">
        <f>IF(DZ391&gt;=DA391,$A$9,"")</f>
        <v/>
      </c>
      <c r="DB395" s="806"/>
      <c r="DC395" s="806"/>
      <c r="DD395" s="806"/>
      <c r="DE395" s="852"/>
      <c r="DF395" s="805" t="str">
        <f>IF(DZ391&gt;=DA391,$F$9,"")</f>
        <v/>
      </c>
      <c r="DG395" s="806"/>
      <c r="DH395" s="806"/>
      <c r="DI395" s="852"/>
      <c r="DJ395" s="811" t="str">
        <f>IF(DZ391&gt;=DA391,$J$9,"")</f>
        <v/>
      </c>
      <c r="DK395" s="803" t="str">
        <f>IF(DZ391&gt;=DA391,$K$9,"")</f>
        <v/>
      </c>
      <c r="DL395" s="803" t="str">
        <f>IF(DZ391&gt;=DA391,$L$9,"")</f>
        <v/>
      </c>
      <c r="DM395" s="803" t="str">
        <f>IF(DZ391&gt;=DA391,$M$9,"")</f>
        <v/>
      </c>
      <c r="DN395" s="803" t="str">
        <f>IF(DZ391&gt;=DA391,$N$9,"")</f>
        <v/>
      </c>
      <c r="DO395" s="803" t="str">
        <f>IF(DZ391&gt;=DA391,$O$9,"")</f>
        <v/>
      </c>
      <c r="DP395" s="803" t="str">
        <f>IF(DZ391&gt;=DA391,$P$9,"")</f>
        <v/>
      </c>
      <c r="DQ395" s="803" t="str">
        <f>IF(DZ391&gt;=DA391,$Q$9,"")</f>
        <v/>
      </c>
      <c r="DR395" s="803" t="str">
        <f>IF(DZ391&gt;=DA391,$R$9,"")</f>
        <v/>
      </c>
      <c r="DS395" s="803" t="str">
        <f>IF(DZ391&gt;=DA391,$S$9,"")</f>
        <v/>
      </c>
      <c r="DT395" s="803" t="str">
        <f>IF(DZ391&gt;=DA391,$T$9,"")</f>
        <v/>
      </c>
      <c r="DU395" s="803" t="str">
        <f>IF(DZ391&gt;=DA391,$U$9,"")</f>
        <v/>
      </c>
      <c r="DV395" s="803" t="str">
        <f>IF(DZ391&gt;=DA391,$V$9,"")</f>
        <v/>
      </c>
      <c r="DW395" s="805" t="str">
        <f>IF(DZ391&gt;=DA391,$W$9,"")</f>
        <v/>
      </c>
      <c r="DX395" s="806"/>
      <c r="DY395" s="806"/>
      <c r="DZ395" s="807"/>
      <c r="EA395" s="858" t="str">
        <f>IF(EZ391&gt;=EA391,$A$9,"")</f>
        <v/>
      </c>
      <c r="EB395" s="806"/>
      <c r="EC395" s="806"/>
      <c r="ED395" s="806"/>
      <c r="EE395" s="852"/>
      <c r="EF395" s="805" t="str">
        <f>IF(EZ391&gt;=EA391,$F$9,"")</f>
        <v/>
      </c>
      <c r="EG395" s="806"/>
      <c r="EH395" s="806"/>
      <c r="EI395" s="852"/>
      <c r="EJ395" s="811" t="str">
        <f>IF(EZ391&gt;=EA391,$J$9,"")</f>
        <v/>
      </c>
      <c r="EK395" s="803" t="str">
        <f>IF(EZ391&gt;=EA391,$K$9,"")</f>
        <v/>
      </c>
      <c r="EL395" s="803" t="str">
        <f>IF(EZ391&gt;=EA391,$L$9,"")</f>
        <v/>
      </c>
      <c r="EM395" s="803" t="str">
        <f>IF(EZ391&gt;=EA391,$M$9,"")</f>
        <v/>
      </c>
      <c r="EN395" s="803" t="str">
        <f>IF(EZ391&gt;=EA391,$N$9,"")</f>
        <v/>
      </c>
      <c r="EO395" s="803" t="str">
        <f>IF(EZ391&gt;=EA391,$O$9,"")</f>
        <v/>
      </c>
      <c r="EP395" s="803" t="str">
        <f>IF(EZ391&gt;=EA391,$P$9,"")</f>
        <v/>
      </c>
      <c r="EQ395" s="803" t="str">
        <f>IF(EZ391&gt;=EA391,$Q$9,"")</f>
        <v/>
      </c>
      <c r="ER395" s="803" t="str">
        <f>IF(EZ391&gt;=EA391,$R$9,"")</f>
        <v/>
      </c>
      <c r="ES395" s="803" t="str">
        <f>IF(EZ391&gt;=EA391,$S$9,"")</f>
        <v/>
      </c>
      <c r="ET395" s="803" t="str">
        <f>IF(EZ391&gt;=EA391,$T$9,"")</f>
        <v/>
      </c>
      <c r="EU395" s="803" t="str">
        <f>IF(EZ391&gt;=EA391,$U$9,"")</f>
        <v/>
      </c>
      <c r="EV395" s="803" t="str">
        <f>IF(EZ391&gt;=EA391,$V$9,"")</f>
        <v/>
      </c>
      <c r="EW395" s="805" t="str">
        <f>IF(EZ391&gt;=EA391,$W$9,"")</f>
        <v/>
      </c>
      <c r="EX395" s="806"/>
      <c r="EY395" s="806"/>
      <c r="EZ395" s="807"/>
      <c r="FA395" s="858" t="str">
        <f>IF(FZ391&gt;=FA391,$A$9,"")</f>
        <v/>
      </c>
      <c r="FB395" s="806"/>
      <c r="FC395" s="806"/>
      <c r="FD395" s="806"/>
      <c r="FE395" s="852"/>
      <c r="FF395" s="805" t="str">
        <f>IF(FZ391&gt;=FA391,$F$9,"")</f>
        <v/>
      </c>
      <c r="FG395" s="806"/>
      <c r="FH395" s="806"/>
      <c r="FI395" s="852"/>
      <c r="FJ395" s="811" t="str">
        <f>IF(FZ391&gt;=FA391,$J$9,"")</f>
        <v/>
      </c>
      <c r="FK395" s="803" t="str">
        <f>IF(FZ391&gt;=FA391,$K$9,"")</f>
        <v/>
      </c>
      <c r="FL395" s="803" t="str">
        <f>IF(FZ391&gt;=FA391,$L$9,"")</f>
        <v/>
      </c>
      <c r="FM395" s="803" t="str">
        <f>IF(FZ391&gt;=FA391,$M$9,"")</f>
        <v/>
      </c>
      <c r="FN395" s="803" t="str">
        <f>IF(FZ391&gt;=FA391,$N$9,"")</f>
        <v/>
      </c>
      <c r="FO395" s="803" t="str">
        <f>IF(FZ391&gt;=FA391,$O$9,"")</f>
        <v/>
      </c>
      <c r="FP395" s="803" t="str">
        <f>IF(FZ391&gt;=FA391,$P$9,"")</f>
        <v/>
      </c>
      <c r="FQ395" s="803" t="str">
        <f>IF(FZ391&gt;=FA391,$Q$9,"")</f>
        <v/>
      </c>
      <c r="FR395" s="803" t="str">
        <f>IF(FZ391&gt;=FA391,$R$9,"")</f>
        <v/>
      </c>
      <c r="FS395" s="803" t="str">
        <f>IF(FZ391&gt;=FA391,$S$9,"")</f>
        <v/>
      </c>
      <c r="FT395" s="803" t="str">
        <f>IF(FZ391&gt;=FA391,$T$9,"")</f>
        <v/>
      </c>
      <c r="FU395" s="803" t="str">
        <f>IF(FZ391&gt;=FA391,$U$9,"")</f>
        <v/>
      </c>
      <c r="FV395" s="803" t="str">
        <f>IF(FZ391&gt;=FA391,$V$9,"")</f>
        <v/>
      </c>
      <c r="FW395" s="805" t="str">
        <f>IF(FZ391&gt;=FA391,$W$9,"")</f>
        <v/>
      </c>
      <c r="FX395" s="806"/>
      <c r="FY395" s="806"/>
      <c r="FZ395" s="807"/>
      <c r="GA395" s="858" t="str">
        <f>IF(GZ391&gt;=GA391,$A$9,"")</f>
        <v/>
      </c>
      <c r="GB395" s="806"/>
      <c r="GC395" s="806"/>
      <c r="GD395" s="806"/>
      <c r="GE395" s="852"/>
      <c r="GF395" s="805" t="str">
        <f>IF(GZ391&gt;=GA391,$F$9,"")</f>
        <v/>
      </c>
      <c r="GG395" s="806"/>
      <c r="GH395" s="806"/>
      <c r="GI395" s="852"/>
      <c r="GJ395" s="811" t="str">
        <f>IF(GZ391&gt;=GA391,$J$9,"")</f>
        <v/>
      </c>
      <c r="GK395" s="803" t="str">
        <f>IF(GZ391&gt;=GA391,$K$9,"")</f>
        <v/>
      </c>
      <c r="GL395" s="803" t="str">
        <f>IF(GZ391&gt;=GA391,$L$9,"")</f>
        <v/>
      </c>
      <c r="GM395" s="803" t="str">
        <f>IF(GZ391&gt;=GA391,$M$9,"")</f>
        <v/>
      </c>
      <c r="GN395" s="803" t="str">
        <f>IF(GZ391&gt;=GA391,$N$9,"")</f>
        <v/>
      </c>
      <c r="GO395" s="803" t="str">
        <f>IF(GZ391&gt;=GA391,$O$9,"")</f>
        <v/>
      </c>
      <c r="GP395" s="803" t="str">
        <f>IF(GZ391&gt;=GA391,$P$9,"")</f>
        <v/>
      </c>
      <c r="GQ395" s="803" t="str">
        <f>IF(GZ391&gt;=GA391,$Q$9,"")</f>
        <v/>
      </c>
      <c r="GR395" s="803" t="str">
        <f>IF(GZ391&gt;=GA391,$R$9,"")</f>
        <v/>
      </c>
      <c r="GS395" s="803" t="str">
        <f>IF(GZ391&gt;=GA391,$S$9,"")</f>
        <v/>
      </c>
      <c r="GT395" s="803" t="str">
        <f>IF(GZ391&gt;=GA391,$T$9,"")</f>
        <v/>
      </c>
      <c r="GU395" s="803" t="str">
        <f>IF(GZ391&gt;=GA391,$U$9,"")</f>
        <v/>
      </c>
      <c r="GV395" s="803" t="str">
        <f>IF(GZ391&gt;=GA391,$V$9,"")</f>
        <v/>
      </c>
      <c r="GW395" s="805" t="str">
        <f>IF(GZ391&gt;=GA391,$W$9,"")</f>
        <v/>
      </c>
      <c r="GX395" s="806"/>
      <c r="GY395" s="806"/>
      <c r="GZ395" s="807"/>
      <c r="HA395" s="858" t="str">
        <f>IF(HZ391&gt;=HA391,$A$9,"")</f>
        <v/>
      </c>
      <c r="HB395" s="806"/>
      <c r="HC395" s="806"/>
      <c r="HD395" s="806"/>
      <c r="HE395" s="852"/>
      <c r="HF395" s="805" t="str">
        <f>IF(HZ391&gt;=HA391,$F$9,"")</f>
        <v/>
      </c>
      <c r="HG395" s="806"/>
      <c r="HH395" s="806"/>
      <c r="HI395" s="852"/>
      <c r="HJ395" s="811" t="str">
        <f>IF(HZ391&gt;=HA391,$J$9,"")</f>
        <v/>
      </c>
      <c r="HK395" s="803" t="str">
        <f>IF(HZ391&gt;=HA391,$K$9,"")</f>
        <v/>
      </c>
      <c r="HL395" s="803" t="str">
        <f>IF(HZ391&gt;=HA391,$L$9,"")</f>
        <v/>
      </c>
      <c r="HM395" s="803" t="str">
        <f>IF(HZ391&gt;=HA391,$M$9,"")</f>
        <v/>
      </c>
      <c r="HN395" s="803" t="str">
        <f>IF(HZ391&gt;=HA391,$N$9,"")</f>
        <v/>
      </c>
      <c r="HO395" s="803" t="str">
        <f>IF(HZ391&gt;=HA391,$O$9,"")</f>
        <v/>
      </c>
      <c r="HP395" s="803" t="str">
        <f>IF(HZ391&gt;=HA391,$P$9,"")</f>
        <v/>
      </c>
      <c r="HQ395" s="803" t="str">
        <f>IF(HZ391&gt;=HA391,$Q$9,"")</f>
        <v/>
      </c>
      <c r="HR395" s="803" t="str">
        <f>IF(HZ391&gt;=HA391,$R$9,"")</f>
        <v/>
      </c>
      <c r="HS395" s="803" t="str">
        <f>IF(HZ391&gt;=HA391,$S$9,"")</f>
        <v/>
      </c>
      <c r="HT395" s="803" t="str">
        <f>IF(HZ391&gt;=HA391,$T$9,"")</f>
        <v/>
      </c>
      <c r="HU395" s="803" t="str">
        <f>IF(HZ391&gt;=HA391,$U$9,"")</f>
        <v/>
      </c>
      <c r="HV395" s="803" t="str">
        <f>IF(HZ391&gt;=HA391,$V$9,"")</f>
        <v/>
      </c>
      <c r="HW395" s="805" t="str">
        <f>IF(HZ391&gt;=HA391,$W$9,"")</f>
        <v/>
      </c>
      <c r="HX395" s="806"/>
      <c r="HY395" s="806"/>
      <c r="HZ395" s="807"/>
      <c r="IA395" s="858" t="str">
        <f>IF(IZ391&gt;=IA391,$A$9,"")</f>
        <v/>
      </c>
      <c r="IB395" s="806"/>
      <c r="IC395" s="806"/>
      <c r="ID395" s="806"/>
      <c r="IE395" s="852"/>
      <c r="IF395" s="805" t="str">
        <f>IF(IZ391&gt;=IA391,$F$9,"")</f>
        <v/>
      </c>
      <c r="IG395" s="806"/>
      <c r="IH395" s="806"/>
      <c r="II395" s="852"/>
      <c r="IJ395" s="811" t="str">
        <f>IF(IZ391&gt;=IA391,$J$9,"")</f>
        <v/>
      </c>
      <c r="IK395" s="803" t="str">
        <f>IF(IZ391&gt;=IA391,$K$9,"")</f>
        <v/>
      </c>
      <c r="IL395" s="803" t="str">
        <f>IF(IZ391&gt;=IA391,$L$9,"")</f>
        <v/>
      </c>
      <c r="IM395" s="803" t="str">
        <f>IF(IZ391&gt;=IA391,$M$9,"")</f>
        <v/>
      </c>
      <c r="IN395" s="803" t="str">
        <f>IF(IZ391&gt;=IA391,$N$9,"")</f>
        <v/>
      </c>
      <c r="IO395" s="803" t="str">
        <f>IF(IZ391&gt;=IA391,$O$9,"")</f>
        <v/>
      </c>
      <c r="IP395" s="803" t="str">
        <f>IF(IZ391&gt;=IA391,$P$9,"")</f>
        <v/>
      </c>
      <c r="IQ395" s="803" t="str">
        <f>IF(IZ391&gt;=IA391,$Q$9,"")</f>
        <v/>
      </c>
      <c r="IR395" s="803" t="str">
        <f>IF(IZ391&gt;=IA391,$R$9,"")</f>
        <v/>
      </c>
      <c r="IS395" s="803" t="str">
        <f>IF(IZ391&gt;=IA391,$S$9,"")</f>
        <v/>
      </c>
      <c r="IT395" s="803" t="str">
        <f>IF(IZ391&gt;=IA391,$T$9,"")</f>
        <v/>
      </c>
      <c r="IU395" s="803" t="str">
        <f>IF(IZ391&gt;=IA391,$U$9,"")</f>
        <v/>
      </c>
      <c r="IV395" s="803" t="str">
        <f>IF(IZ391&gt;=IA391,$V$9,"")</f>
        <v/>
      </c>
      <c r="IW395" s="805" t="str">
        <f>IF(IZ391&gt;=IA391,$W$9,"")</f>
        <v/>
      </c>
      <c r="IX395" s="806"/>
      <c r="IY395" s="806"/>
      <c r="IZ395" s="807"/>
    </row>
    <row r="396" spans="1:260" x14ac:dyDescent="0.25">
      <c r="A396" s="859"/>
      <c r="B396" s="809"/>
      <c r="C396" s="809"/>
      <c r="D396" s="809"/>
      <c r="E396" s="853"/>
      <c r="F396" s="808"/>
      <c r="G396" s="809"/>
      <c r="H396" s="809"/>
      <c r="I396" s="853"/>
      <c r="J396" s="812"/>
      <c r="K396" s="804"/>
      <c r="L396" s="804"/>
      <c r="M396" s="804"/>
      <c r="N396" s="804"/>
      <c r="O396" s="804"/>
      <c r="P396" s="804"/>
      <c r="Q396" s="804"/>
      <c r="R396" s="804"/>
      <c r="S396" s="804"/>
      <c r="T396" s="804"/>
      <c r="U396" s="804"/>
      <c r="V396" s="804"/>
      <c r="W396" s="808"/>
      <c r="X396" s="809"/>
      <c r="Y396" s="809"/>
      <c r="Z396" s="810"/>
      <c r="AA396" s="859"/>
      <c r="AB396" s="809"/>
      <c r="AC396" s="809"/>
      <c r="AD396" s="809"/>
      <c r="AE396" s="853"/>
      <c r="AF396" s="808"/>
      <c r="AG396" s="809"/>
      <c r="AH396" s="809"/>
      <c r="AI396" s="853"/>
      <c r="AJ396" s="812"/>
      <c r="AK396" s="804"/>
      <c r="AL396" s="804"/>
      <c r="AM396" s="804"/>
      <c r="AN396" s="804"/>
      <c r="AO396" s="804"/>
      <c r="AP396" s="804"/>
      <c r="AQ396" s="804"/>
      <c r="AR396" s="804"/>
      <c r="AS396" s="804"/>
      <c r="AT396" s="804"/>
      <c r="AU396" s="804"/>
      <c r="AV396" s="804"/>
      <c r="AW396" s="808"/>
      <c r="AX396" s="809"/>
      <c r="AY396" s="809"/>
      <c r="AZ396" s="810"/>
      <c r="BA396" s="859"/>
      <c r="BB396" s="809"/>
      <c r="BC396" s="809"/>
      <c r="BD396" s="809"/>
      <c r="BE396" s="853"/>
      <c r="BF396" s="808"/>
      <c r="BG396" s="809"/>
      <c r="BH396" s="809"/>
      <c r="BI396" s="853"/>
      <c r="BJ396" s="812"/>
      <c r="BK396" s="804"/>
      <c r="BL396" s="804"/>
      <c r="BM396" s="804"/>
      <c r="BN396" s="804"/>
      <c r="BO396" s="804"/>
      <c r="BP396" s="804"/>
      <c r="BQ396" s="804"/>
      <c r="BR396" s="804"/>
      <c r="BS396" s="804"/>
      <c r="BT396" s="804"/>
      <c r="BU396" s="804"/>
      <c r="BV396" s="804"/>
      <c r="BW396" s="808"/>
      <c r="BX396" s="809"/>
      <c r="BY396" s="809"/>
      <c r="BZ396" s="810"/>
      <c r="CA396" s="859"/>
      <c r="CB396" s="809"/>
      <c r="CC396" s="809"/>
      <c r="CD396" s="809"/>
      <c r="CE396" s="853"/>
      <c r="CF396" s="808"/>
      <c r="CG396" s="809"/>
      <c r="CH396" s="809"/>
      <c r="CI396" s="853"/>
      <c r="CJ396" s="812"/>
      <c r="CK396" s="804"/>
      <c r="CL396" s="804"/>
      <c r="CM396" s="804"/>
      <c r="CN396" s="804"/>
      <c r="CO396" s="804"/>
      <c r="CP396" s="804"/>
      <c r="CQ396" s="804"/>
      <c r="CR396" s="804"/>
      <c r="CS396" s="804"/>
      <c r="CT396" s="804"/>
      <c r="CU396" s="804"/>
      <c r="CV396" s="804"/>
      <c r="CW396" s="808"/>
      <c r="CX396" s="809"/>
      <c r="CY396" s="809"/>
      <c r="CZ396" s="810"/>
      <c r="DA396" s="859"/>
      <c r="DB396" s="809"/>
      <c r="DC396" s="809"/>
      <c r="DD396" s="809"/>
      <c r="DE396" s="853"/>
      <c r="DF396" s="808"/>
      <c r="DG396" s="809"/>
      <c r="DH396" s="809"/>
      <c r="DI396" s="853"/>
      <c r="DJ396" s="812"/>
      <c r="DK396" s="804"/>
      <c r="DL396" s="804"/>
      <c r="DM396" s="804"/>
      <c r="DN396" s="804"/>
      <c r="DO396" s="804"/>
      <c r="DP396" s="804"/>
      <c r="DQ396" s="804"/>
      <c r="DR396" s="804"/>
      <c r="DS396" s="804"/>
      <c r="DT396" s="804"/>
      <c r="DU396" s="804"/>
      <c r="DV396" s="804"/>
      <c r="DW396" s="808"/>
      <c r="DX396" s="809"/>
      <c r="DY396" s="809"/>
      <c r="DZ396" s="810"/>
      <c r="EA396" s="859"/>
      <c r="EB396" s="809"/>
      <c r="EC396" s="809"/>
      <c r="ED396" s="809"/>
      <c r="EE396" s="853"/>
      <c r="EF396" s="808"/>
      <c r="EG396" s="809"/>
      <c r="EH396" s="809"/>
      <c r="EI396" s="853"/>
      <c r="EJ396" s="812"/>
      <c r="EK396" s="804"/>
      <c r="EL396" s="804"/>
      <c r="EM396" s="804"/>
      <c r="EN396" s="804"/>
      <c r="EO396" s="804"/>
      <c r="EP396" s="804"/>
      <c r="EQ396" s="804"/>
      <c r="ER396" s="804"/>
      <c r="ES396" s="804"/>
      <c r="ET396" s="804"/>
      <c r="EU396" s="804"/>
      <c r="EV396" s="804"/>
      <c r="EW396" s="808"/>
      <c r="EX396" s="809"/>
      <c r="EY396" s="809"/>
      <c r="EZ396" s="810"/>
      <c r="FA396" s="859"/>
      <c r="FB396" s="809"/>
      <c r="FC396" s="809"/>
      <c r="FD396" s="809"/>
      <c r="FE396" s="853"/>
      <c r="FF396" s="808"/>
      <c r="FG396" s="809"/>
      <c r="FH396" s="809"/>
      <c r="FI396" s="853"/>
      <c r="FJ396" s="812"/>
      <c r="FK396" s="804"/>
      <c r="FL396" s="804"/>
      <c r="FM396" s="804"/>
      <c r="FN396" s="804"/>
      <c r="FO396" s="804"/>
      <c r="FP396" s="804"/>
      <c r="FQ396" s="804"/>
      <c r="FR396" s="804"/>
      <c r="FS396" s="804"/>
      <c r="FT396" s="804"/>
      <c r="FU396" s="804"/>
      <c r="FV396" s="804"/>
      <c r="FW396" s="808"/>
      <c r="FX396" s="809"/>
      <c r="FY396" s="809"/>
      <c r="FZ396" s="810"/>
      <c r="GA396" s="859"/>
      <c r="GB396" s="809"/>
      <c r="GC396" s="809"/>
      <c r="GD396" s="809"/>
      <c r="GE396" s="853"/>
      <c r="GF396" s="808"/>
      <c r="GG396" s="809"/>
      <c r="GH396" s="809"/>
      <c r="GI396" s="853"/>
      <c r="GJ396" s="812"/>
      <c r="GK396" s="804"/>
      <c r="GL396" s="804"/>
      <c r="GM396" s="804"/>
      <c r="GN396" s="804"/>
      <c r="GO396" s="804"/>
      <c r="GP396" s="804"/>
      <c r="GQ396" s="804"/>
      <c r="GR396" s="804"/>
      <c r="GS396" s="804"/>
      <c r="GT396" s="804"/>
      <c r="GU396" s="804"/>
      <c r="GV396" s="804"/>
      <c r="GW396" s="808"/>
      <c r="GX396" s="809"/>
      <c r="GY396" s="809"/>
      <c r="GZ396" s="810"/>
      <c r="HA396" s="859"/>
      <c r="HB396" s="809"/>
      <c r="HC396" s="809"/>
      <c r="HD396" s="809"/>
      <c r="HE396" s="853"/>
      <c r="HF396" s="808"/>
      <c r="HG396" s="809"/>
      <c r="HH396" s="809"/>
      <c r="HI396" s="853"/>
      <c r="HJ396" s="812"/>
      <c r="HK396" s="804"/>
      <c r="HL396" s="804"/>
      <c r="HM396" s="804"/>
      <c r="HN396" s="804"/>
      <c r="HO396" s="804"/>
      <c r="HP396" s="804"/>
      <c r="HQ396" s="804"/>
      <c r="HR396" s="804"/>
      <c r="HS396" s="804"/>
      <c r="HT396" s="804"/>
      <c r="HU396" s="804"/>
      <c r="HV396" s="804"/>
      <c r="HW396" s="808"/>
      <c r="HX396" s="809"/>
      <c r="HY396" s="809"/>
      <c r="HZ396" s="810"/>
      <c r="IA396" s="859"/>
      <c r="IB396" s="809"/>
      <c r="IC396" s="809"/>
      <c r="ID396" s="809"/>
      <c r="IE396" s="853"/>
      <c r="IF396" s="808"/>
      <c r="IG396" s="809"/>
      <c r="IH396" s="809"/>
      <c r="II396" s="853"/>
      <c r="IJ396" s="812"/>
      <c r="IK396" s="804"/>
      <c r="IL396" s="804"/>
      <c r="IM396" s="804"/>
      <c r="IN396" s="804"/>
      <c r="IO396" s="804"/>
      <c r="IP396" s="804"/>
      <c r="IQ396" s="804"/>
      <c r="IR396" s="804"/>
      <c r="IS396" s="804"/>
      <c r="IT396" s="804"/>
      <c r="IU396" s="804"/>
      <c r="IV396" s="804"/>
      <c r="IW396" s="808"/>
      <c r="IX396" s="809"/>
      <c r="IY396" s="809"/>
      <c r="IZ396" s="810"/>
    </row>
    <row r="397" spans="1:260" x14ac:dyDescent="0.25">
      <c r="A397" s="854" t="str">
        <f>IFERROR(INDEX(Lista_Pedidos,Procesos!Y391+A391-1,3),"")</f>
        <v/>
      </c>
      <c r="B397" s="855"/>
      <c r="C397" s="855"/>
      <c r="D397" s="855"/>
      <c r="E397" s="856"/>
      <c r="F397" s="857" t="str">
        <f>IF(Z391&gt;A391-1,E$11,"")</f>
        <v/>
      </c>
      <c r="G397" s="855"/>
      <c r="H397" s="855"/>
      <c r="I397" s="856"/>
      <c r="J397" s="526" t="str">
        <f>IFERROR(IF(IF(Z391&gt;A391-1,INDEX(Lista_Pedidos,Y391+A391-1,J391),"")=0,"",IF(Z391&gt;A391-1,INDEX(Lista_Pedidos,Y391+A391-1,J391),"")),"")</f>
        <v/>
      </c>
      <c r="K397" s="526" t="str">
        <f>IFERROR(IF(IF(Z391&gt;A391-1,INDEX(Lista_Pedidos,Y391+A391-1,K391),"")=0,"",IF(Z391&gt;A391-1,INDEX(Lista_Pedidos,Y391+A391-1,K391),"")),"")</f>
        <v/>
      </c>
      <c r="L397" s="526" t="str">
        <f>IFERROR(IF(IF(Z391&gt;A391-1,INDEX(Lista_Pedidos,Y391+A391-1,L391),"")=0,"",IF(Z391&gt;A391-1,INDEX(Lista_Pedidos,Y391+A391-1,L391),"")),"")</f>
        <v/>
      </c>
      <c r="M397" s="526" t="str">
        <f>IFERROR(IF(IF(Z391&gt;A391-1,INDEX(Lista_Pedidos,Y391+A391-1,M391),"")=0,"",IF(Z391&gt;A391-1,INDEX(Lista_Pedidos,Y391+A391-1,M391),"")),"")</f>
        <v/>
      </c>
      <c r="N397" s="526" t="str">
        <f>IFERROR(IF(IF(Z391&gt;A391-1,INDEX(Lista_Pedidos,Y391+A391-1,N391),"")=0,"",IF(Z391&gt;A391-1,INDEX(Lista_Pedidos,Y391+A391-1,N391),"")),"")</f>
        <v/>
      </c>
      <c r="O397" s="526" t="str">
        <f>IFERROR(IF(IF(Z391&gt;A391-1,INDEX(Lista_Pedidos,Y391+A391-1,O391),"")=0,"",IF(Z391&gt;A391-1,INDEX(Lista_Pedidos,Y391+A391-1,O391),"")),"")</f>
        <v/>
      </c>
      <c r="P397" s="526" t="str">
        <f>IFERROR(IF(IF(Z391&gt;A391-1,INDEX(Lista_Pedidos,Y391+A391-1,P391),"")=0,"",IF(Z391&gt;A391-1,INDEX(Lista_Pedidos,Y391+A391-1,P391),"")),"")</f>
        <v/>
      </c>
      <c r="Q397" s="526" t="str">
        <f>IFERROR(IF(IF(Z391&gt;A391-1,INDEX(Lista_Pedidos,Y391+A391-1,Q391),"")=0,"",IF(Z391&gt;A391-1,INDEX(Lista_Pedidos,Y391+A391-1,Q391),"")),"")</f>
        <v/>
      </c>
      <c r="R397" s="526" t="str">
        <f>IFERROR(IF(IF(Z391&gt;A391-1,INDEX(Lista_Pedidos,Y391+A391-1,R391),"")=0,"",IF(Z391&gt;A391-1,INDEX(Lista_Pedidos,Y391+A391-1,R391),"")),"")</f>
        <v/>
      </c>
      <c r="S397" s="526" t="str">
        <f>IFERROR(IF(IF(Z391&gt;A391-1,INDEX(Lista_Pedidos,Y391+A391-1,S391),"")=0,"",IF(Z391&gt;A391-1,INDEX(Lista_Pedidos,Y391+A391-1,S391),"")),"")</f>
        <v/>
      </c>
      <c r="T397" s="526" t="str">
        <f>IFERROR(IF(IF(Z391&gt;A391-1,INDEX(Lista_Pedidos,Y391+A391-1,T391),"")=0,"",IF(Z391&gt;A391-1,INDEX(Lista_Pedidos,Y391+A391-1,T391),"")),"")</f>
        <v/>
      </c>
      <c r="U397" s="526" t="str">
        <f>IFERROR(IF(IF(Z391&gt;A391-1,INDEX(Lista_Pedidos,Y391+A391-1,U391),"")=0,"",IF(Z391&gt;A391-1,INDEX(Lista_Pedidos,Y391+A391-1,U391),"")),"")</f>
        <v/>
      </c>
      <c r="V397" s="526" t="str">
        <f>IFERROR(IF(IF(Z391&gt;A391-1,INDEX(Lista_Pedidos,Y391+A391-1,V391),"")=0,"",IF(Z391&gt;A391-1,INDEX(Lista_Pedidos,Y391+A391-1,V391),"")),"")</f>
        <v/>
      </c>
      <c r="W397" s="857" t="str">
        <f>IF(SUM(J397:V397)&gt;1,SUM(J397:V397),"")</f>
        <v/>
      </c>
      <c r="X397" s="855"/>
      <c r="Y397" s="855"/>
      <c r="Z397" s="860"/>
      <c r="AA397" s="854" t="str">
        <f>IFERROR(INDEX(Lista_Pedidos,Procesos!AY391+AA391-1,3),"")</f>
        <v/>
      </c>
      <c r="AB397" s="855"/>
      <c r="AC397" s="855"/>
      <c r="AD397" s="855"/>
      <c r="AE397" s="856"/>
      <c r="AF397" s="857" t="str">
        <f>IF(AZ391&gt;AA391-1,AE$11,"")</f>
        <v/>
      </c>
      <c r="AG397" s="855"/>
      <c r="AH397" s="855"/>
      <c r="AI397" s="856"/>
      <c r="AJ397" s="526" t="str">
        <f>IFERROR(IF(IF(AZ391&gt;AA391-1,INDEX(Lista_Pedidos,AY391+AA391-1,AJ391),"")=0,"",IF(AZ391&gt;AA391-1,INDEX(Lista_Pedidos,AY391+AA391-1,AJ391),"")),"")</f>
        <v/>
      </c>
      <c r="AK397" s="526" t="str">
        <f>IFERROR(IF(IF(AZ391&gt;AA391-1,INDEX(Lista_Pedidos,AY391+AA391-1,AK391),"")=0,"",IF(AZ391&gt;AA391-1,INDEX(Lista_Pedidos,AY391+AA391-1,AK391),"")),"")</f>
        <v/>
      </c>
      <c r="AL397" s="526" t="str">
        <f>IFERROR(IF(IF(AZ391&gt;AA391-1,INDEX(Lista_Pedidos,AY391+AA391-1,AL391),"")=0,"",IF(AZ391&gt;AA391-1,INDEX(Lista_Pedidos,AY391+AA391-1,AL391),"")),"")</f>
        <v/>
      </c>
      <c r="AM397" s="526" t="str">
        <f>IFERROR(IF(IF(AZ391&gt;AA391-1,INDEX(Lista_Pedidos,AY391+AA391-1,AM391),"")=0,"",IF(AZ391&gt;AA391-1,INDEX(Lista_Pedidos,AY391+AA391-1,AM391),"")),"")</f>
        <v/>
      </c>
      <c r="AN397" s="526" t="str">
        <f>IFERROR(IF(IF(AZ391&gt;AA391-1,INDEX(Lista_Pedidos,AY391+AA391-1,AN391),"")=0,"",IF(AZ391&gt;AA391-1,INDEX(Lista_Pedidos,AY391+AA391-1,AN391),"")),"")</f>
        <v/>
      </c>
      <c r="AO397" s="526" t="str">
        <f>IFERROR(IF(IF(AZ391&gt;AA391-1,INDEX(Lista_Pedidos,AY391+AA391-1,AO391),"")=0,"",IF(AZ391&gt;AA391-1,INDEX(Lista_Pedidos,AY391+AA391-1,AO391),"")),"")</f>
        <v/>
      </c>
      <c r="AP397" s="526" t="str">
        <f>IFERROR(IF(IF(AZ391&gt;AA391-1,INDEX(Lista_Pedidos,AY391+AA391-1,AP391),"")=0,"",IF(AZ391&gt;AA391-1,INDEX(Lista_Pedidos,AY391+AA391-1,AP391),"")),"")</f>
        <v/>
      </c>
      <c r="AQ397" s="526" t="str">
        <f>IFERROR(IF(IF(AZ391&gt;AA391-1,INDEX(Lista_Pedidos,AY391+AA391-1,AQ391),"")=0,"",IF(AZ391&gt;AA391-1,INDEX(Lista_Pedidos,AY391+AA391-1,AQ391),"")),"")</f>
        <v/>
      </c>
      <c r="AR397" s="526" t="str">
        <f>IFERROR(IF(IF(AZ391&gt;AA391-1,INDEX(Lista_Pedidos,AY391+AA391-1,AR391),"")=0,"",IF(AZ391&gt;AA391-1,INDEX(Lista_Pedidos,AY391+AA391-1,AR391),"")),"")</f>
        <v/>
      </c>
      <c r="AS397" s="526" t="str">
        <f>IFERROR(IF(IF(AZ391&gt;AA391-1,INDEX(Lista_Pedidos,AY391+AA391-1,AS391),"")=0,"",IF(AZ391&gt;AA391-1,INDEX(Lista_Pedidos,AY391+AA391-1,AS391),"")),"")</f>
        <v/>
      </c>
      <c r="AT397" s="526" t="str">
        <f>IFERROR(IF(IF(AZ391&gt;AA391-1,INDEX(Lista_Pedidos,AY391+AA391-1,AT391),"")=0,"",IF(AZ391&gt;AA391-1,INDEX(Lista_Pedidos,AY391+AA391-1,AT391),"")),"")</f>
        <v/>
      </c>
      <c r="AU397" s="526" t="str">
        <f>IFERROR(IF(IF(AZ391&gt;AA391-1,INDEX(Lista_Pedidos,AY391+AA391-1,AU391),"")=0,"",IF(AZ391&gt;AA391-1,INDEX(Lista_Pedidos,AY391+AA391-1,AU391),"")),"")</f>
        <v/>
      </c>
      <c r="AV397" s="526" t="str">
        <f>IFERROR(IF(IF(AZ391&gt;AA391-1,INDEX(Lista_Pedidos,AY391+AA391-1,AV391),"")=0,"",IF(AZ391&gt;AA391-1,INDEX(Lista_Pedidos,AY391+AA391-1,AV391),"")),"")</f>
        <v/>
      </c>
      <c r="AW397" s="857" t="str">
        <f>IF(SUM(AJ397:AV397)&gt;1,SUM(AJ397:AV397),"")</f>
        <v/>
      </c>
      <c r="AX397" s="855"/>
      <c r="AY397" s="855"/>
      <c r="AZ397" s="860"/>
      <c r="BA397" s="854" t="str">
        <f>IFERROR(INDEX(Lista_Pedidos,Procesos!BY391+BA391-1,3),"")</f>
        <v/>
      </c>
      <c r="BB397" s="855"/>
      <c r="BC397" s="855"/>
      <c r="BD397" s="855"/>
      <c r="BE397" s="856"/>
      <c r="BF397" s="857" t="str">
        <f>IF(BZ391&gt;BA391-1,BE$11,"")</f>
        <v/>
      </c>
      <c r="BG397" s="855"/>
      <c r="BH397" s="855"/>
      <c r="BI397" s="856"/>
      <c r="BJ397" s="526" t="str">
        <f>IFERROR(IF(IF(BZ391&gt;BA391-1,INDEX(Lista_Pedidos,BY391+BA391-1,BJ391),"")=0,"",IF(BZ391&gt;BA391-1,INDEX(Lista_Pedidos,BY391+BA391-1,BJ391),"")),"")</f>
        <v/>
      </c>
      <c r="BK397" s="526" t="str">
        <f>IFERROR(IF(IF(BZ391&gt;BA391-1,INDEX(Lista_Pedidos,BY391+BA391-1,BK391),"")=0,"",IF(BZ391&gt;BA391-1,INDEX(Lista_Pedidos,BY391+BA391-1,BK391),"")),"")</f>
        <v/>
      </c>
      <c r="BL397" s="526" t="str">
        <f>IFERROR(IF(IF(BZ391&gt;BA391-1,INDEX(Lista_Pedidos,BY391+BA391-1,BL391),"")=0,"",IF(BZ391&gt;BA391-1,INDEX(Lista_Pedidos,BY391+BA391-1,BL391),"")),"")</f>
        <v/>
      </c>
      <c r="BM397" s="526" t="str">
        <f>IFERROR(IF(IF(BZ391&gt;BA391-1,INDEX(Lista_Pedidos,BY391+BA391-1,BM391),"")=0,"",IF(BZ391&gt;BA391-1,INDEX(Lista_Pedidos,BY391+BA391-1,BM391),"")),"")</f>
        <v/>
      </c>
      <c r="BN397" s="526" t="str">
        <f>IFERROR(IF(IF(BZ391&gt;BA391-1,INDEX(Lista_Pedidos,BY391+BA391-1,BN391),"")=0,"",IF(BZ391&gt;BA391-1,INDEX(Lista_Pedidos,BY391+BA391-1,BN391),"")),"")</f>
        <v/>
      </c>
      <c r="BO397" s="526" t="str">
        <f>IFERROR(IF(IF(BZ391&gt;BA391-1,INDEX(Lista_Pedidos,BY391+BA391-1,BO391),"")=0,"",IF(BZ391&gt;BA391-1,INDEX(Lista_Pedidos,BY391+BA391-1,BO391),"")),"")</f>
        <v/>
      </c>
      <c r="BP397" s="526" t="str">
        <f>IFERROR(IF(IF(BZ391&gt;BA391-1,INDEX(Lista_Pedidos,BY391+BA391-1,BP391),"")=0,"",IF(BZ391&gt;BA391-1,INDEX(Lista_Pedidos,BY391+BA391-1,BP391),"")),"")</f>
        <v/>
      </c>
      <c r="BQ397" s="526" t="str">
        <f>IFERROR(IF(IF(BZ391&gt;BA391-1,INDEX(Lista_Pedidos,BY391+BA391-1,BQ391),"")=0,"",IF(BZ391&gt;BA391-1,INDEX(Lista_Pedidos,BY391+BA391-1,BQ391),"")),"")</f>
        <v/>
      </c>
      <c r="BR397" s="526" t="str">
        <f>IFERROR(IF(IF(BZ391&gt;BA391-1,INDEX(Lista_Pedidos,BY391+BA391-1,BR391),"")=0,"",IF(BZ391&gt;BA391-1,INDEX(Lista_Pedidos,BY391+BA391-1,BR391),"")),"")</f>
        <v/>
      </c>
      <c r="BS397" s="526" t="str">
        <f>IFERROR(IF(IF(BZ391&gt;BA391-1,INDEX(Lista_Pedidos,BY391+BA391-1,BS391),"")=0,"",IF(BZ391&gt;BA391-1,INDEX(Lista_Pedidos,BY391+BA391-1,BS391),"")),"")</f>
        <v/>
      </c>
      <c r="BT397" s="526" t="str">
        <f>IFERROR(IF(IF(BZ391&gt;BA391-1,INDEX(Lista_Pedidos,BY391+BA391-1,BT391),"")=0,"",IF(BZ391&gt;BA391-1,INDEX(Lista_Pedidos,BY391+BA391-1,BT391),"")),"")</f>
        <v/>
      </c>
      <c r="BU397" s="526" t="str">
        <f>IFERROR(IF(IF(BZ391&gt;BA391-1,INDEX(Lista_Pedidos,BY391+BA391-1,BU391),"")=0,"",IF(BZ391&gt;BA391-1,INDEX(Lista_Pedidos,BY391+BA391-1,BU391),"")),"")</f>
        <v/>
      </c>
      <c r="BV397" s="526" t="str">
        <f>IFERROR(IF(IF(BZ391&gt;BA391-1,INDEX(Lista_Pedidos,BY391+BA391-1,BV391),"")=0,"",IF(BZ391&gt;BA391-1,INDEX(Lista_Pedidos,BY391+BA391-1,BV391),"")),"")</f>
        <v/>
      </c>
      <c r="BW397" s="857" t="str">
        <f>IF(SUM(BJ397:BV397)&gt;1,SUM(BJ397:BV397),"")</f>
        <v/>
      </c>
      <c r="BX397" s="855"/>
      <c r="BY397" s="855"/>
      <c r="BZ397" s="860"/>
      <c r="CA397" s="854" t="str">
        <f>IFERROR(INDEX(Lista_Pedidos,Procesos!CY391+CA391-1,3),"")</f>
        <v/>
      </c>
      <c r="CB397" s="855"/>
      <c r="CC397" s="855"/>
      <c r="CD397" s="855"/>
      <c r="CE397" s="856"/>
      <c r="CF397" s="857" t="str">
        <f>IF(CZ391&gt;CA391-1,CE$11,"")</f>
        <v/>
      </c>
      <c r="CG397" s="855"/>
      <c r="CH397" s="855"/>
      <c r="CI397" s="856"/>
      <c r="CJ397" s="526" t="str">
        <f>IFERROR(IF(IF(CZ391&gt;CA391-1,INDEX(Lista_Pedidos,CY391+CA391-1,CJ391),"")=0,"",IF(CZ391&gt;CA391-1,INDEX(Lista_Pedidos,CY391+CA391-1,CJ391),"")),"")</f>
        <v/>
      </c>
      <c r="CK397" s="526" t="str">
        <f>IFERROR(IF(IF(CZ391&gt;CA391-1,INDEX(Lista_Pedidos,CY391+CA391-1,CK391),"")=0,"",IF(CZ391&gt;CA391-1,INDEX(Lista_Pedidos,CY391+CA391-1,CK391),"")),"")</f>
        <v/>
      </c>
      <c r="CL397" s="526" t="str">
        <f>IFERROR(IF(IF(CZ391&gt;CA391-1,INDEX(Lista_Pedidos,CY391+CA391-1,CL391),"")=0,"",IF(CZ391&gt;CA391-1,INDEX(Lista_Pedidos,CY391+CA391-1,CL391),"")),"")</f>
        <v/>
      </c>
      <c r="CM397" s="526" t="str">
        <f>IFERROR(IF(IF(CZ391&gt;CA391-1,INDEX(Lista_Pedidos,CY391+CA391-1,CM391),"")=0,"",IF(CZ391&gt;CA391-1,INDEX(Lista_Pedidos,CY391+CA391-1,CM391),"")),"")</f>
        <v/>
      </c>
      <c r="CN397" s="526" t="str">
        <f>IFERROR(IF(IF(CZ391&gt;CA391-1,INDEX(Lista_Pedidos,CY391+CA391-1,CN391),"")=0,"",IF(CZ391&gt;CA391-1,INDEX(Lista_Pedidos,CY391+CA391-1,CN391),"")),"")</f>
        <v/>
      </c>
      <c r="CO397" s="526" t="str">
        <f>IFERROR(IF(IF(CZ391&gt;CA391-1,INDEX(Lista_Pedidos,CY391+CA391-1,CO391),"")=0,"",IF(CZ391&gt;CA391-1,INDEX(Lista_Pedidos,CY391+CA391-1,CO391),"")),"")</f>
        <v/>
      </c>
      <c r="CP397" s="526" t="str">
        <f>IFERROR(IF(IF(CZ391&gt;CA391-1,INDEX(Lista_Pedidos,CY391+CA391-1,CP391),"")=0,"",IF(CZ391&gt;CA391-1,INDEX(Lista_Pedidos,CY391+CA391-1,CP391),"")),"")</f>
        <v/>
      </c>
      <c r="CQ397" s="526" t="str">
        <f>IFERROR(IF(IF(CZ391&gt;CA391-1,INDEX(Lista_Pedidos,CY391+CA391-1,CQ391),"")=0,"",IF(CZ391&gt;CA391-1,INDEX(Lista_Pedidos,CY391+CA391-1,CQ391),"")),"")</f>
        <v/>
      </c>
      <c r="CR397" s="526" t="str">
        <f>IFERROR(IF(IF(CZ391&gt;CA391-1,INDEX(Lista_Pedidos,CY391+CA391-1,CR391),"")=0,"",IF(CZ391&gt;CA391-1,INDEX(Lista_Pedidos,CY391+CA391-1,CR391),"")),"")</f>
        <v/>
      </c>
      <c r="CS397" s="526" t="str">
        <f>IFERROR(IF(IF(CZ391&gt;CA391-1,INDEX(Lista_Pedidos,CY391+CA391-1,CS391),"")=0,"",IF(CZ391&gt;CA391-1,INDEX(Lista_Pedidos,CY391+CA391-1,CS391),"")),"")</f>
        <v/>
      </c>
      <c r="CT397" s="526" t="str">
        <f>IFERROR(IF(IF(CZ391&gt;CA391-1,INDEX(Lista_Pedidos,CY391+CA391-1,CT391),"")=0,"",IF(CZ391&gt;CA391-1,INDEX(Lista_Pedidos,CY391+CA391-1,CT391),"")),"")</f>
        <v/>
      </c>
      <c r="CU397" s="526" t="str">
        <f>IFERROR(IF(IF(CZ391&gt;CA391-1,INDEX(Lista_Pedidos,CY391+CA391-1,CU391),"")=0,"",IF(CZ391&gt;CA391-1,INDEX(Lista_Pedidos,CY391+CA391-1,CU391),"")),"")</f>
        <v/>
      </c>
      <c r="CV397" s="526" t="str">
        <f>IFERROR(IF(IF(CZ391&gt;CA391-1,INDEX(Lista_Pedidos,CY391+CA391-1,CV391),"")=0,"",IF(CZ391&gt;CA391-1,INDEX(Lista_Pedidos,CY391+CA391-1,CV391),"")),"")</f>
        <v/>
      </c>
      <c r="CW397" s="857" t="str">
        <f>IF(SUM(CJ397:CV397)&gt;1,SUM(CJ397:CV397),"")</f>
        <v/>
      </c>
      <c r="CX397" s="855"/>
      <c r="CY397" s="855"/>
      <c r="CZ397" s="860"/>
      <c r="DA397" s="854" t="str">
        <f>IFERROR(INDEX(Lista_Pedidos,Procesos!DY391+DA391-1,3),"")</f>
        <v/>
      </c>
      <c r="DB397" s="855"/>
      <c r="DC397" s="855"/>
      <c r="DD397" s="855"/>
      <c r="DE397" s="856"/>
      <c r="DF397" s="857" t="str">
        <f>IF(DZ391&gt;DA391-1,DE$11,"")</f>
        <v/>
      </c>
      <c r="DG397" s="855"/>
      <c r="DH397" s="855"/>
      <c r="DI397" s="856"/>
      <c r="DJ397" s="526" t="str">
        <f>IFERROR(IF(IF(DZ391&gt;DA391-1,INDEX(Lista_Pedidos,DY391+DA391-1,DJ391),"")=0,"",IF(DZ391&gt;DA391-1,INDEX(Lista_Pedidos,DY391+DA391-1,DJ391),"")),"")</f>
        <v/>
      </c>
      <c r="DK397" s="526" t="str">
        <f>IFERROR(IF(IF(DZ391&gt;DA391-1,INDEX(Lista_Pedidos,DY391+DA391-1,DK391),"")=0,"",IF(DZ391&gt;DA391-1,INDEX(Lista_Pedidos,DY391+DA391-1,DK391),"")),"")</f>
        <v/>
      </c>
      <c r="DL397" s="526" t="str">
        <f>IFERROR(IF(IF(DZ391&gt;DA391-1,INDEX(Lista_Pedidos,DY391+DA391-1,DL391),"")=0,"",IF(DZ391&gt;DA391-1,INDEX(Lista_Pedidos,DY391+DA391-1,DL391),"")),"")</f>
        <v/>
      </c>
      <c r="DM397" s="526" t="str">
        <f>IFERROR(IF(IF(DZ391&gt;DA391-1,INDEX(Lista_Pedidos,DY391+DA391-1,DM391),"")=0,"",IF(DZ391&gt;DA391-1,INDEX(Lista_Pedidos,DY391+DA391-1,DM391),"")),"")</f>
        <v/>
      </c>
      <c r="DN397" s="526" t="str">
        <f>IFERROR(IF(IF(DZ391&gt;DA391-1,INDEX(Lista_Pedidos,DY391+DA391-1,DN391),"")=0,"",IF(DZ391&gt;DA391-1,INDEX(Lista_Pedidos,DY391+DA391-1,DN391),"")),"")</f>
        <v/>
      </c>
      <c r="DO397" s="526" t="str">
        <f>IFERROR(IF(IF(DZ391&gt;DA391-1,INDEX(Lista_Pedidos,DY391+DA391-1,DO391),"")=0,"",IF(DZ391&gt;DA391-1,INDEX(Lista_Pedidos,DY391+DA391-1,DO391),"")),"")</f>
        <v/>
      </c>
      <c r="DP397" s="526" t="str">
        <f>IFERROR(IF(IF(DZ391&gt;DA391-1,INDEX(Lista_Pedidos,DY391+DA391-1,DP391),"")=0,"",IF(DZ391&gt;DA391-1,INDEX(Lista_Pedidos,DY391+DA391-1,DP391),"")),"")</f>
        <v/>
      </c>
      <c r="DQ397" s="526" t="str">
        <f>IFERROR(IF(IF(DZ391&gt;DA391-1,INDEX(Lista_Pedidos,DY391+DA391-1,DQ391),"")=0,"",IF(DZ391&gt;DA391-1,INDEX(Lista_Pedidos,DY391+DA391-1,DQ391),"")),"")</f>
        <v/>
      </c>
      <c r="DR397" s="526" t="str">
        <f>IFERROR(IF(IF(DZ391&gt;DA391-1,INDEX(Lista_Pedidos,DY391+DA391-1,DR391),"")=0,"",IF(DZ391&gt;DA391-1,INDEX(Lista_Pedidos,DY391+DA391-1,DR391),"")),"")</f>
        <v/>
      </c>
      <c r="DS397" s="526" t="str">
        <f>IFERROR(IF(IF(DZ391&gt;DA391-1,INDEX(Lista_Pedidos,DY391+DA391-1,DS391),"")=0,"",IF(DZ391&gt;DA391-1,INDEX(Lista_Pedidos,DY391+DA391-1,DS391),"")),"")</f>
        <v/>
      </c>
      <c r="DT397" s="526" t="str">
        <f>IFERROR(IF(IF(DZ391&gt;DA391-1,INDEX(Lista_Pedidos,DY391+DA391-1,DT391),"")=0,"",IF(DZ391&gt;DA391-1,INDEX(Lista_Pedidos,DY391+DA391-1,DT391),"")),"")</f>
        <v/>
      </c>
      <c r="DU397" s="526" t="str">
        <f>IFERROR(IF(IF(DZ391&gt;DA391-1,INDEX(Lista_Pedidos,DY391+DA391-1,DU391),"")=0,"",IF(DZ391&gt;DA391-1,INDEX(Lista_Pedidos,DY391+DA391-1,DU391),"")),"")</f>
        <v/>
      </c>
      <c r="DV397" s="526" t="str">
        <f>IFERROR(IF(IF(DZ391&gt;DA391-1,INDEX(Lista_Pedidos,DY391+DA391-1,DV391),"")=0,"",IF(DZ391&gt;DA391-1,INDEX(Lista_Pedidos,DY391+DA391-1,DV391),"")),"")</f>
        <v/>
      </c>
      <c r="DW397" s="857" t="str">
        <f>IF(SUM(DJ397:DV397)&gt;1,SUM(DJ397:DV397),"")</f>
        <v/>
      </c>
      <c r="DX397" s="855"/>
      <c r="DY397" s="855"/>
      <c r="DZ397" s="860"/>
      <c r="EA397" s="854" t="str">
        <f>IFERROR(INDEX(Lista_Pedidos,Procesos!EY391+EA391-1,3),"")</f>
        <v/>
      </c>
      <c r="EB397" s="855"/>
      <c r="EC397" s="855"/>
      <c r="ED397" s="855"/>
      <c r="EE397" s="856"/>
      <c r="EF397" s="857" t="str">
        <f>IF(EZ391&gt;EA391-1,EE$11,"")</f>
        <v/>
      </c>
      <c r="EG397" s="855"/>
      <c r="EH397" s="855"/>
      <c r="EI397" s="856"/>
      <c r="EJ397" s="526" t="str">
        <f>IFERROR(IF(IF(EZ391&gt;EA391-1,INDEX(Lista_Pedidos,EY391+EA391-1,EJ391),"")=0,"",IF(EZ391&gt;EA391-1,INDEX(Lista_Pedidos,EY391+EA391-1,EJ391),"")),"")</f>
        <v/>
      </c>
      <c r="EK397" s="526" t="str">
        <f>IFERROR(IF(IF(EZ391&gt;EA391-1,INDEX(Lista_Pedidos,EY391+EA391-1,EK391),"")=0,"",IF(EZ391&gt;EA391-1,INDEX(Lista_Pedidos,EY391+EA391-1,EK391),"")),"")</f>
        <v/>
      </c>
      <c r="EL397" s="526" t="str">
        <f>IFERROR(IF(IF(EZ391&gt;EA391-1,INDEX(Lista_Pedidos,EY391+EA391-1,EL391),"")=0,"",IF(EZ391&gt;EA391-1,INDEX(Lista_Pedidos,EY391+EA391-1,EL391),"")),"")</f>
        <v/>
      </c>
      <c r="EM397" s="526" t="str">
        <f>IFERROR(IF(IF(EZ391&gt;EA391-1,INDEX(Lista_Pedidos,EY391+EA391-1,EM391),"")=0,"",IF(EZ391&gt;EA391-1,INDEX(Lista_Pedidos,EY391+EA391-1,EM391),"")),"")</f>
        <v/>
      </c>
      <c r="EN397" s="526" t="str">
        <f>IFERROR(IF(IF(EZ391&gt;EA391-1,INDEX(Lista_Pedidos,EY391+EA391-1,EN391),"")=0,"",IF(EZ391&gt;EA391-1,INDEX(Lista_Pedidos,EY391+EA391-1,EN391),"")),"")</f>
        <v/>
      </c>
      <c r="EO397" s="526" t="str">
        <f>IFERROR(IF(IF(EZ391&gt;EA391-1,INDEX(Lista_Pedidos,EY391+EA391-1,EO391),"")=0,"",IF(EZ391&gt;EA391-1,INDEX(Lista_Pedidos,EY391+EA391-1,EO391),"")),"")</f>
        <v/>
      </c>
      <c r="EP397" s="526" t="str">
        <f>IFERROR(IF(IF(EZ391&gt;EA391-1,INDEX(Lista_Pedidos,EY391+EA391-1,EP391),"")=0,"",IF(EZ391&gt;EA391-1,INDEX(Lista_Pedidos,EY391+EA391-1,EP391),"")),"")</f>
        <v/>
      </c>
      <c r="EQ397" s="526" t="str">
        <f>IFERROR(IF(IF(EZ391&gt;EA391-1,INDEX(Lista_Pedidos,EY391+EA391-1,EQ391),"")=0,"",IF(EZ391&gt;EA391-1,INDEX(Lista_Pedidos,EY391+EA391-1,EQ391),"")),"")</f>
        <v/>
      </c>
      <c r="ER397" s="526" t="str">
        <f>IFERROR(IF(IF(EZ391&gt;EA391-1,INDEX(Lista_Pedidos,EY391+EA391-1,ER391),"")=0,"",IF(EZ391&gt;EA391-1,INDEX(Lista_Pedidos,EY391+EA391-1,ER391),"")),"")</f>
        <v/>
      </c>
      <c r="ES397" s="526" t="str">
        <f>IFERROR(IF(IF(EZ391&gt;EA391-1,INDEX(Lista_Pedidos,EY391+EA391-1,ES391),"")=0,"",IF(EZ391&gt;EA391-1,INDEX(Lista_Pedidos,EY391+EA391-1,ES391),"")),"")</f>
        <v/>
      </c>
      <c r="ET397" s="526" t="str">
        <f>IFERROR(IF(IF(EZ391&gt;EA391-1,INDEX(Lista_Pedidos,EY391+EA391-1,ET391),"")=0,"",IF(EZ391&gt;EA391-1,INDEX(Lista_Pedidos,EY391+EA391-1,ET391),"")),"")</f>
        <v/>
      </c>
      <c r="EU397" s="526" t="str">
        <f>IFERROR(IF(IF(EZ391&gt;EA391-1,INDEX(Lista_Pedidos,EY391+EA391-1,EU391),"")=0,"",IF(EZ391&gt;EA391-1,INDEX(Lista_Pedidos,EY391+EA391-1,EU391),"")),"")</f>
        <v/>
      </c>
      <c r="EV397" s="526" t="str">
        <f>IFERROR(IF(IF(EZ391&gt;EA391-1,INDEX(Lista_Pedidos,EY391+EA391-1,EV391),"")=0,"",IF(EZ391&gt;EA391-1,INDEX(Lista_Pedidos,EY391+EA391-1,EV391),"")),"")</f>
        <v/>
      </c>
      <c r="EW397" s="857" t="str">
        <f>IF(SUM(EJ397:EV397)&gt;1,SUM(EJ397:EV397),"")</f>
        <v/>
      </c>
      <c r="EX397" s="855"/>
      <c r="EY397" s="855"/>
      <c r="EZ397" s="860"/>
      <c r="FA397" s="854" t="str">
        <f>IFERROR(INDEX(Lista_Pedidos,Procesos!FY391+FA391-1,3),"")</f>
        <v/>
      </c>
      <c r="FB397" s="855"/>
      <c r="FC397" s="855"/>
      <c r="FD397" s="855"/>
      <c r="FE397" s="856"/>
      <c r="FF397" s="857" t="str">
        <f>IF(FZ391&gt;FA391-1,FE$11,"")</f>
        <v/>
      </c>
      <c r="FG397" s="855"/>
      <c r="FH397" s="855"/>
      <c r="FI397" s="856"/>
      <c r="FJ397" s="526" t="str">
        <f>IFERROR(IF(IF(FZ391&gt;FA391-1,INDEX(Lista_Pedidos,FY391+FA391-1,FJ391),"")=0,"",IF(FZ391&gt;FA391-1,INDEX(Lista_Pedidos,FY391+FA391-1,FJ391),"")),"")</f>
        <v/>
      </c>
      <c r="FK397" s="526" t="str">
        <f>IFERROR(IF(IF(FZ391&gt;FA391-1,INDEX(Lista_Pedidos,FY391+FA391-1,FK391),"")=0,"",IF(FZ391&gt;FA391-1,INDEX(Lista_Pedidos,FY391+FA391-1,FK391),"")),"")</f>
        <v/>
      </c>
      <c r="FL397" s="526" t="str">
        <f>IFERROR(IF(IF(FZ391&gt;FA391-1,INDEX(Lista_Pedidos,FY391+FA391-1,FL391),"")=0,"",IF(FZ391&gt;FA391-1,INDEX(Lista_Pedidos,FY391+FA391-1,FL391),"")),"")</f>
        <v/>
      </c>
      <c r="FM397" s="526" t="str">
        <f>IFERROR(IF(IF(FZ391&gt;FA391-1,INDEX(Lista_Pedidos,FY391+FA391-1,FM391),"")=0,"",IF(FZ391&gt;FA391-1,INDEX(Lista_Pedidos,FY391+FA391-1,FM391),"")),"")</f>
        <v/>
      </c>
      <c r="FN397" s="526" t="str">
        <f>IFERROR(IF(IF(FZ391&gt;FA391-1,INDEX(Lista_Pedidos,FY391+FA391-1,FN391),"")=0,"",IF(FZ391&gt;FA391-1,INDEX(Lista_Pedidos,FY391+FA391-1,FN391),"")),"")</f>
        <v/>
      </c>
      <c r="FO397" s="526" t="str">
        <f>IFERROR(IF(IF(FZ391&gt;FA391-1,INDEX(Lista_Pedidos,FY391+FA391-1,FO391),"")=0,"",IF(FZ391&gt;FA391-1,INDEX(Lista_Pedidos,FY391+FA391-1,FO391),"")),"")</f>
        <v/>
      </c>
      <c r="FP397" s="526" t="str">
        <f>IFERROR(IF(IF(FZ391&gt;FA391-1,INDEX(Lista_Pedidos,FY391+FA391-1,FP391),"")=0,"",IF(FZ391&gt;FA391-1,INDEX(Lista_Pedidos,FY391+FA391-1,FP391),"")),"")</f>
        <v/>
      </c>
      <c r="FQ397" s="526" t="str">
        <f>IFERROR(IF(IF(FZ391&gt;FA391-1,INDEX(Lista_Pedidos,FY391+FA391-1,FQ391),"")=0,"",IF(FZ391&gt;FA391-1,INDEX(Lista_Pedidos,FY391+FA391-1,FQ391),"")),"")</f>
        <v/>
      </c>
      <c r="FR397" s="526" t="str">
        <f>IFERROR(IF(IF(FZ391&gt;FA391-1,INDEX(Lista_Pedidos,FY391+FA391-1,FR391),"")=0,"",IF(FZ391&gt;FA391-1,INDEX(Lista_Pedidos,FY391+FA391-1,FR391),"")),"")</f>
        <v/>
      </c>
      <c r="FS397" s="526" t="str">
        <f>IFERROR(IF(IF(FZ391&gt;FA391-1,INDEX(Lista_Pedidos,FY391+FA391-1,FS391),"")=0,"",IF(FZ391&gt;FA391-1,INDEX(Lista_Pedidos,FY391+FA391-1,FS391),"")),"")</f>
        <v/>
      </c>
      <c r="FT397" s="526" t="str">
        <f>IFERROR(IF(IF(FZ391&gt;FA391-1,INDEX(Lista_Pedidos,FY391+FA391-1,FT391),"")=0,"",IF(FZ391&gt;FA391-1,INDEX(Lista_Pedidos,FY391+FA391-1,FT391),"")),"")</f>
        <v/>
      </c>
      <c r="FU397" s="526" t="str">
        <f>IFERROR(IF(IF(FZ391&gt;FA391-1,INDEX(Lista_Pedidos,FY391+FA391-1,FU391),"")=0,"",IF(FZ391&gt;FA391-1,INDEX(Lista_Pedidos,FY391+FA391-1,FU391),"")),"")</f>
        <v/>
      </c>
      <c r="FV397" s="526" t="str">
        <f>IFERROR(IF(IF(FZ391&gt;FA391-1,INDEX(Lista_Pedidos,FY391+FA391-1,FV391),"")=0,"",IF(FZ391&gt;FA391-1,INDEX(Lista_Pedidos,FY391+FA391-1,FV391),"")),"")</f>
        <v/>
      </c>
      <c r="FW397" s="857" t="str">
        <f>IF(SUM(FJ397:FV397)&gt;1,SUM(FJ397:FV397),"")</f>
        <v/>
      </c>
      <c r="FX397" s="855"/>
      <c r="FY397" s="855"/>
      <c r="FZ397" s="860"/>
      <c r="GA397" s="854" t="str">
        <f>IFERROR(INDEX(Lista_Pedidos,Procesos!GY391+GA391-1,3),"")</f>
        <v/>
      </c>
      <c r="GB397" s="855"/>
      <c r="GC397" s="855"/>
      <c r="GD397" s="855"/>
      <c r="GE397" s="856"/>
      <c r="GF397" s="857" t="str">
        <f>IF(GZ391&gt;GA391-1,GE$11,"")</f>
        <v/>
      </c>
      <c r="GG397" s="855"/>
      <c r="GH397" s="855"/>
      <c r="GI397" s="856"/>
      <c r="GJ397" s="526" t="str">
        <f>IFERROR(IF(IF(GZ391&gt;GA391-1,INDEX(Lista_Pedidos,GY391+GA391-1,GJ391),"")=0,"",IF(GZ391&gt;GA391-1,INDEX(Lista_Pedidos,GY391+GA391-1,GJ391),"")),"")</f>
        <v/>
      </c>
      <c r="GK397" s="526" t="str">
        <f>IFERROR(IF(IF(GZ391&gt;GA391-1,INDEX(Lista_Pedidos,GY391+GA391-1,GK391),"")=0,"",IF(GZ391&gt;GA391-1,INDEX(Lista_Pedidos,GY391+GA391-1,GK391),"")),"")</f>
        <v/>
      </c>
      <c r="GL397" s="526" t="str">
        <f>IFERROR(IF(IF(GZ391&gt;GA391-1,INDEX(Lista_Pedidos,GY391+GA391-1,GL391),"")=0,"",IF(GZ391&gt;GA391-1,INDEX(Lista_Pedidos,GY391+GA391-1,GL391),"")),"")</f>
        <v/>
      </c>
      <c r="GM397" s="526" t="str">
        <f>IFERROR(IF(IF(GZ391&gt;GA391-1,INDEX(Lista_Pedidos,GY391+GA391-1,GM391),"")=0,"",IF(GZ391&gt;GA391-1,INDEX(Lista_Pedidos,GY391+GA391-1,GM391),"")),"")</f>
        <v/>
      </c>
      <c r="GN397" s="526" t="str">
        <f>IFERROR(IF(IF(GZ391&gt;GA391-1,INDEX(Lista_Pedidos,GY391+GA391-1,GN391),"")=0,"",IF(GZ391&gt;GA391-1,INDEX(Lista_Pedidos,GY391+GA391-1,GN391),"")),"")</f>
        <v/>
      </c>
      <c r="GO397" s="526" t="str">
        <f>IFERROR(IF(IF(GZ391&gt;GA391-1,INDEX(Lista_Pedidos,GY391+GA391-1,GO391),"")=0,"",IF(GZ391&gt;GA391-1,INDEX(Lista_Pedidos,GY391+GA391-1,GO391),"")),"")</f>
        <v/>
      </c>
      <c r="GP397" s="526" t="str">
        <f>IFERROR(IF(IF(GZ391&gt;GA391-1,INDEX(Lista_Pedidos,GY391+GA391-1,GP391),"")=0,"",IF(GZ391&gt;GA391-1,INDEX(Lista_Pedidos,GY391+GA391-1,GP391),"")),"")</f>
        <v/>
      </c>
      <c r="GQ397" s="526" t="str">
        <f>IFERROR(IF(IF(GZ391&gt;GA391-1,INDEX(Lista_Pedidos,GY391+GA391-1,GQ391),"")=0,"",IF(GZ391&gt;GA391-1,INDEX(Lista_Pedidos,GY391+GA391-1,GQ391),"")),"")</f>
        <v/>
      </c>
      <c r="GR397" s="526" t="str">
        <f>IFERROR(IF(IF(GZ391&gt;GA391-1,INDEX(Lista_Pedidos,GY391+GA391-1,GR391),"")=0,"",IF(GZ391&gt;GA391-1,INDEX(Lista_Pedidos,GY391+GA391-1,GR391),"")),"")</f>
        <v/>
      </c>
      <c r="GS397" s="526" t="str">
        <f>IFERROR(IF(IF(GZ391&gt;GA391-1,INDEX(Lista_Pedidos,GY391+GA391-1,GS391),"")=0,"",IF(GZ391&gt;GA391-1,INDEX(Lista_Pedidos,GY391+GA391-1,GS391),"")),"")</f>
        <v/>
      </c>
      <c r="GT397" s="526" t="str">
        <f>IFERROR(IF(IF(GZ391&gt;GA391-1,INDEX(Lista_Pedidos,GY391+GA391-1,GT391),"")=0,"",IF(GZ391&gt;GA391-1,INDEX(Lista_Pedidos,GY391+GA391-1,GT391),"")),"")</f>
        <v/>
      </c>
      <c r="GU397" s="526" t="str">
        <f>IFERROR(IF(IF(GZ391&gt;GA391-1,INDEX(Lista_Pedidos,GY391+GA391-1,GU391),"")=0,"",IF(GZ391&gt;GA391-1,INDEX(Lista_Pedidos,GY391+GA391-1,GU391),"")),"")</f>
        <v/>
      </c>
      <c r="GV397" s="526" t="str">
        <f>IFERROR(IF(IF(GZ391&gt;GA391-1,INDEX(Lista_Pedidos,GY391+GA391-1,GV391),"")=0,"",IF(GZ391&gt;GA391-1,INDEX(Lista_Pedidos,GY391+GA391-1,GV391),"")),"")</f>
        <v/>
      </c>
      <c r="GW397" s="857" t="str">
        <f>IF(SUM(GJ397:GV397)&gt;1,SUM(GJ397:GV397),"")</f>
        <v/>
      </c>
      <c r="GX397" s="855"/>
      <c r="GY397" s="855"/>
      <c r="GZ397" s="860"/>
      <c r="HA397" s="854" t="str">
        <f>IFERROR(INDEX(Lista_Pedidos,Procesos!HY391+HA391-1,3),"")</f>
        <v/>
      </c>
      <c r="HB397" s="855"/>
      <c r="HC397" s="855"/>
      <c r="HD397" s="855"/>
      <c r="HE397" s="856"/>
      <c r="HF397" s="857" t="str">
        <f>IF(HZ391&gt;HA391-1,HE$11,"")</f>
        <v/>
      </c>
      <c r="HG397" s="855"/>
      <c r="HH397" s="855"/>
      <c r="HI397" s="856"/>
      <c r="HJ397" s="526" t="str">
        <f>IFERROR(IF(IF(HZ391&gt;HA391-1,INDEX(Lista_Pedidos,HY391+HA391-1,HJ391),"")=0,"",IF(HZ391&gt;HA391-1,INDEX(Lista_Pedidos,HY391+HA391-1,HJ391),"")),"")</f>
        <v/>
      </c>
      <c r="HK397" s="526" t="str">
        <f>IFERROR(IF(IF(HZ391&gt;HA391-1,INDEX(Lista_Pedidos,HY391+HA391-1,HK391),"")=0,"",IF(HZ391&gt;HA391-1,INDEX(Lista_Pedidos,HY391+HA391-1,HK391),"")),"")</f>
        <v/>
      </c>
      <c r="HL397" s="526" t="str">
        <f>IFERROR(IF(IF(HZ391&gt;HA391-1,INDEX(Lista_Pedidos,HY391+HA391-1,HL391),"")=0,"",IF(HZ391&gt;HA391-1,INDEX(Lista_Pedidos,HY391+HA391-1,HL391),"")),"")</f>
        <v/>
      </c>
      <c r="HM397" s="526" t="str">
        <f>IFERROR(IF(IF(HZ391&gt;HA391-1,INDEX(Lista_Pedidos,HY391+HA391-1,HM391),"")=0,"",IF(HZ391&gt;HA391-1,INDEX(Lista_Pedidos,HY391+HA391-1,HM391),"")),"")</f>
        <v/>
      </c>
      <c r="HN397" s="526" t="str">
        <f>IFERROR(IF(IF(HZ391&gt;HA391-1,INDEX(Lista_Pedidos,HY391+HA391-1,HN391),"")=0,"",IF(HZ391&gt;HA391-1,INDEX(Lista_Pedidos,HY391+HA391-1,HN391),"")),"")</f>
        <v/>
      </c>
      <c r="HO397" s="526" t="str">
        <f>IFERROR(IF(IF(HZ391&gt;HA391-1,INDEX(Lista_Pedidos,HY391+HA391-1,HO391),"")=0,"",IF(HZ391&gt;HA391-1,INDEX(Lista_Pedidos,HY391+HA391-1,HO391),"")),"")</f>
        <v/>
      </c>
      <c r="HP397" s="526" t="str">
        <f>IFERROR(IF(IF(HZ391&gt;HA391-1,INDEX(Lista_Pedidos,HY391+HA391-1,HP391),"")=0,"",IF(HZ391&gt;HA391-1,INDEX(Lista_Pedidos,HY391+HA391-1,HP391),"")),"")</f>
        <v/>
      </c>
      <c r="HQ397" s="526" t="str">
        <f>IFERROR(IF(IF(HZ391&gt;HA391-1,INDEX(Lista_Pedidos,HY391+HA391-1,HQ391),"")=0,"",IF(HZ391&gt;HA391-1,INDEX(Lista_Pedidos,HY391+HA391-1,HQ391),"")),"")</f>
        <v/>
      </c>
      <c r="HR397" s="526" t="str">
        <f>IFERROR(IF(IF(HZ391&gt;HA391-1,INDEX(Lista_Pedidos,HY391+HA391-1,HR391),"")=0,"",IF(HZ391&gt;HA391-1,INDEX(Lista_Pedidos,HY391+HA391-1,HR391),"")),"")</f>
        <v/>
      </c>
      <c r="HS397" s="526" t="str">
        <f>IFERROR(IF(IF(HZ391&gt;HA391-1,INDEX(Lista_Pedidos,HY391+HA391-1,HS391),"")=0,"",IF(HZ391&gt;HA391-1,INDEX(Lista_Pedidos,HY391+HA391-1,HS391),"")),"")</f>
        <v/>
      </c>
      <c r="HT397" s="526" t="str">
        <f>IFERROR(IF(IF(HZ391&gt;HA391-1,INDEX(Lista_Pedidos,HY391+HA391-1,HT391),"")=0,"",IF(HZ391&gt;HA391-1,INDEX(Lista_Pedidos,HY391+HA391-1,HT391),"")),"")</f>
        <v/>
      </c>
      <c r="HU397" s="526" t="str">
        <f>IFERROR(IF(IF(HZ391&gt;HA391-1,INDEX(Lista_Pedidos,HY391+HA391-1,HU391),"")=0,"",IF(HZ391&gt;HA391-1,INDEX(Lista_Pedidos,HY391+HA391-1,HU391),"")),"")</f>
        <v/>
      </c>
      <c r="HV397" s="526" t="str">
        <f>IFERROR(IF(IF(HZ391&gt;HA391-1,INDEX(Lista_Pedidos,HY391+HA391-1,HV391),"")=0,"",IF(HZ391&gt;HA391-1,INDEX(Lista_Pedidos,HY391+HA391-1,HV391),"")),"")</f>
        <v/>
      </c>
      <c r="HW397" s="857" t="str">
        <f>IF(SUM(HJ397:HV397)&gt;1,SUM(HJ397:HV397),"")</f>
        <v/>
      </c>
      <c r="HX397" s="855"/>
      <c r="HY397" s="855"/>
      <c r="HZ397" s="860"/>
      <c r="IA397" s="854" t="str">
        <f>IFERROR(INDEX(Lista_Pedidos,Procesos!IY391+IA391-1,3),"")</f>
        <v/>
      </c>
      <c r="IB397" s="855"/>
      <c r="IC397" s="855"/>
      <c r="ID397" s="855"/>
      <c r="IE397" s="856"/>
      <c r="IF397" s="857" t="str">
        <f>IF(IZ391&gt;IA391-1,IE$11,"")</f>
        <v/>
      </c>
      <c r="IG397" s="855"/>
      <c r="IH397" s="855"/>
      <c r="II397" s="856"/>
      <c r="IJ397" s="526" t="str">
        <f>IFERROR(IF(IF(IZ391&gt;IA391-1,INDEX(Lista_Pedidos,IY391+IA391-1,IJ391),"")=0,"",IF(IZ391&gt;IA391-1,INDEX(Lista_Pedidos,IY391+IA391-1,IJ391),"")),"")</f>
        <v/>
      </c>
      <c r="IK397" s="526" t="str">
        <f>IFERROR(IF(IF(IZ391&gt;IA391-1,INDEX(Lista_Pedidos,IY391+IA391-1,IK391),"")=0,"",IF(IZ391&gt;IA391-1,INDEX(Lista_Pedidos,IY391+IA391-1,IK391),"")),"")</f>
        <v/>
      </c>
      <c r="IL397" s="526" t="str">
        <f>IFERROR(IF(IF(IZ391&gt;IA391-1,INDEX(Lista_Pedidos,IY391+IA391-1,IL391),"")=0,"",IF(IZ391&gt;IA391-1,INDEX(Lista_Pedidos,IY391+IA391-1,IL391),"")),"")</f>
        <v/>
      </c>
      <c r="IM397" s="526" t="str">
        <f>IFERROR(IF(IF(IZ391&gt;IA391-1,INDEX(Lista_Pedidos,IY391+IA391-1,IM391),"")=0,"",IF(IZ391&gt;IA391-1,INDEX(Lista_Pedidos,IY391+IA391-1,IM391),"")),"")</f>
        <v/>
      </c>
      <c r="IN397" s="526" t="str">
        <f>IFERROR(IF(IF(IZ391&gt;IA391-1,INDEX(Lista_Pedidos,IY391+IA391-1,IN391),"")=0,"",IF(IZ391&gt;IA391-1,INDEX(Lista_Pedidos,IY391+IA391-1,IN391),"")),"")</f>
        <v/>
      </c>
      <c r="IO397" s="526" t="str">
        <f>IFERROR(IF(IF(IZ391&gt;IA391-1,INDEX(Lista_Pedidos,IY391+IA391-1,IO391),"")=0,"",IF(IZ391&gt;IA391-1,INDEX(Lista_Pedidos,IY391+IA391-1,IO391),"")),"")</f>
        <v/>
      </c>
      <c r="IP397" s="526" t="str">
        <f>IFERROR(IF(IF(IZ391&gt;IA391-1,INDEX(Lista_Pedidos,IY391+IA391-1,IP391),"")=0,"",IF(IZ391&gt;IA391-1,INDEX(Lista_Pedidos,IY391+IA391-1,IP391),"")),"")</f>
        <v/>
      </c>
      <c r="IQ397" s="526" t="str">
        <f>IFERROR(IF(IF(IZ391&gt;IA391-1,INDEX(Lista_Pedidos,IY391+IA391-1,IQ391),"")=0,"",IF(IZ391&gt;IA391-1,INDEX(Lista_Pedidos,IY391+IA391-1,IQ391),"")),"")</f>
        <v/>
      </c>
      <c r="IR397" s="526" t="str">
        <f>IFERROR(IF(IF(IZ391&gt;IA391-1,INDEX(Lista_Pedidos,IY391+IA391-1,IR391),"")=0,"",IF(IZ391&gt;IA391-1,INDEX(Lista_Pedidos,IY391+IA391-1,IR391),"")),"")</f>
        <v/>
      </c>
      <c r="IS397" s="526" t="str">
        <f>IFERROR(IF(IF(IZ391&gt;IA391-1,INDEX(Lista_Pedidos,IY391+IA391-1,IS391),"")=0,"",IF(IZ391&gt;IA391-1,INDEX(Lista_Pedidos,IY391+IA391-1,IS391),"")),"")</f>
        <v/>
      </c>
      <c r="IT397" s="526" t="str">
        <f>IFERROR(IF(IF(IZ391&gt;IA391-1,INDEX(Lista_Pedidos,IY391+IA391-1,IT391),"")=0,"",IF(IZ391&gt;IA391-1,INDEX(Lista_Pedidos,IY391+IA391-1,IT391),"")),"")</f>
        <v/>
      </c>
      <c r="IU397" s="526" t="str">
        <f>IFERROR(IF(IF(IZ391&gt;IA391-1,INDEX(Lista_Pedidos,IY391+IA391-1,IU391),"")=0,"",IF(IZ391&gt;IA391-1,INDEX(Lista_Pedidos,IY391+IA391-1,IU391),"")),"")</f>
        <v/>
      </c>
      <c r="IV397" s="526" t="str">
        <f>IFERROR(IF(IF(IZ391&gt;IA391-1,INDEX(Lista_Pedidos,IY391+IA391-1,IV391),"")=0,"",IF(IZ391&gt;IA391-1,INDEX(Lista_Pedidos,IY391+IA391-1,IV391),"")),"")</f>
        <v/>
      </c>
      <c r="IW397" s="857" t="str">
        <f>IF(SUM(IJ397:IV397)&gt;1,SUM(IJ397:IV397),"")</f>
        <v/>
      </c>
      <c r="IX397" s="855"/>
      <c r="IY397" s="855"/>
      <c r="IZ397" s="860"/>
    </row>
    <row r="398" spans="1:260" x14ac:dyDescent="0.25">
      <c r="A398" s="823"/>
      <c r="B398" s="824"/>
      <c r="C398" s="824"/>
      <c r="D398" s="824"/>
      <c r="E398" s="824"/>
      <c r="F398" s="824"/>
      <c r="G398" s="824"/>
      <c r="H398" s="824"/>
      <c r="I398" s="824"/>
      <c r="J398" s="824"/>
      <c r="K398" s="824"/>
      <c r="L398" s="824"/>
      <c r="M398" s="824"/>
      <c r="N398" s="824"/>
      <c r="O398" s="824"/>
      <c r="P398" s="824"/>
      <c r="Q398" s="824"/>
      <c r="R398" s="824"/>
      <c r="S398" s="824"/>
      <c r="T398" s="824"/>
      <c r="U398" s="824"/>
      <c r="V398" s="824"/>
      <c r="W398" s="824" t="str">
        <f>IFERROR(IF(Z391&gt;A391-1,IF(INDEX(Lista_Pedidos,Y391+A391-1,2)&lt;&gt;"",INDEX(Lista_Pedidos,Y391+A391-1,2),""),""),"")</f>
        <v/>
      </c>
      <c r="X398" s="824"/>
      <c r="Y398" s="824"/>
      <c r="Z398" s="825"/>
      <c r="AA398" s="823"/>
      <c r="AB398" s="824"/>
      <c r="AC398" s="824"/>
      <c r="AD398" s="824"/>
      <c r="AE398" s="824"/>
      <c r="AF398" s="824"/>
      <c r="AG398" s="824"/>
      <c r="AH398" s="824"/>
      <c r="AI398" s="824"/>
      <c r="AJ398" s="824"/>
      <c r="AK398" s="824"/>
      <c r="AL398" s="824"/>
      <c r="AM398" s="824"/>
      <c r="AN398" s="824"/>
      <c r="AO398" s="824"/>
      <c r="AP398" s="824"/>
      <c r="AQ398" s="824"/>
      <c r="AR398" s="824"/>
      <c r="AS398" s="824"/>
      <c r="AT398" s="824"/>
      <c r="AU398" s="824"/>
      <c r="AV398" s="824"/>
      <c r="AW398" s="824" t="str">
        <f>IFERROR(IF(AZ391&gt;AA391-1,IF(INDEX(Lista_Pedidos,AY391+AA391-1,2)&lt;&gt;"",INDEX(Lista_Pedidos,AY391+AA391-1,2),""),""),"")</f>
        <v/>
      </c>
      <c r="AX398" s="824"/>
      <c r="AY398" s="824"/>
      <c r="AZ398" s="825"/>
      <c r="BA398" s="823"/>
      <c r="BB398" s="824"/>
      <c r="BC398" s="824"/>
      <c r="BD398" s="824"/>
      <c r="BE398" s="824"/>
      <c r="BF398" s="824"/>
      <c r="BG398" s="824"/>
      <c r="BH398" s="824"/>
      <c r="BI398" s="824"/>
      <c r="BJ398" s="824"/>
      <c r="BK398" s="824"/>
      <c r="BL398" s="824"/>
      <c r="BM398" s="824"/>
      <c r="BN398" s="824"/>
      <c r="BO398" s="824"/>
      <c r="BP398" s="824"/>
      <c r="BQ398" s="824"/>
      <c r="BR398" s="824"/>
      <c r="BS398" s="824"/>
      <c r="BT398" s="824"/>
      <c r="BU398" s="824"/>
      <c r="BV398" s="824"/>
      <c r="BW398" s="824" t="str">
        <f>IFERROR(IF(BZ391&gt;BA391-1,IF(INDEX(Lista_Pedidos,BY391+BA391-1,2)&lt;&gt;"",INDEX(Lista_Pedidos,BY391+BA391-1,2),""),""),"")</f>
        <v/>
      </c>
      <c r="BX398" s="824"/>
      <c r="BY398" s="824"/>
      <c r="BZ398" s="825"/>
      <c r="CA398" s="823"/>
      <c r="CB398" s="824"/>
      <c r="CC398" s="824"/>
      <c r="CD398" s="824"/>
      <c r="CE398" s="824"/>
      <c r="CF398" s="824"/>
      <c r="CG398" s="824"/>
      <c r="CH398" s="824"/>
      <c r="CI398" s="824"/>
      <c r="CJ398" s="824"/>
      <c r="CK398" s="824"/>
      <c r="CL398" s="824"/>
      <c r="CM398" s="824"/>
      <c r="CN398" s="824"/>
      <c r="CO398" s="824"/>
      <c r="CP398" s="824"/>
      <c r="CQ398" s="824"/>
      <c r="CR398" s="824"/>
      <c r="CS398" s="824"/>
      <c r="CT398" s="824"/>
      <c r="CU398" s="824"/>
      <c r="CV398" s="824"/>
      <c r="CW398" s="824" t="str">
        <f>IFERROR(IF(CZ391&gt;CA391-1,IF(INDEX(Lista_Pedidos,CY391+CA391-1,2)&lt;&gt;"",INDEX(Lista_Pedidos,CY391+CA391-1,2),""),""),"")</f>
        <v/>
      </c>
      <c r="CX398" s="824"/>
      <c r="CY398" s="824"/>
      <c r="CZ398" s="825"/>
      <c r="DA398" s="823"/>
      <c r="DB398" s="824"/>
      <c r="DC398" s="824"/>
      <c r="DD398" s="824"/>
      <c r="DE398" s="824"/>
      <c r="DF398" s="824"/>
      <c r="DG398" s="824"/>
      <c r="DH398" s="824"/>
      <c r="DI398" s="824"/>
      <c r="DJ398" s="824"/>
      <c r="DK398" s="824"/>
      <c r="DL398" s="824"/>
      <c r="DM398" s="824"/>
      <c r="DN398" s="824"/>
      <c r="DO398" s="824"/>
      <c r="DP398" s="824"/>
      <c r="DQ398" s="824"/>
      <c r="DR398" s="824"/>
      <c r="DS398" s="824"/>
      <c r="DT398" s="824"/>
      <c r="DU398" s="824"/>
      <c r="DV398" s="824"/>
      <c r="DW398" s="824" t="str">
        <f>IFERROR(IF(DZ391&gt;DA391-1,IF(INDEX(Lista_Pedidos,DY391+DA391-1,2)&lt;&gt;"",INDEX(Lista_Pedidos,DY391+DA391-1,2),""),""),"")</f>
        <v/>
      </c>
      <c r="DX398" s="824"/>
      <c r="DY398" s="824"/>
      <c r="DZ398" s="825"/>
      <c r="EA398" s="823"/>
      <c r="EB398" s="824"/>
      <c r="EC398" s="824"/>
      <c r="ED398" s="824"/>
      <c r="EE398" s="824"/>
      <c r="EF398" s="824"/>
      <c r="EG398" s="824"/>
      <c r="EH398" s="824"/>
      <c r="EI398" s="824"/>
      <c r="EJ398" s="824"/>
      <c r="EK398" s="824"/>
      <c r="EL398" s="824"/>
      <c r="EM398" s="824"/>
      <c r="EN398" s="824"/>
      <c r="EO398" s="824"/>
      <c r="EP398" s="824"/>
      <c r="EQ398" s="824"/>
      <c r="ER398" s="824"/>
      <c r="ES398" s="824"/>
      <c r="ET398" s="824"/>
      <c r="EU398" s="824"/>
      <c r="EV398" s="824"/>
      <c r="EW398" s="824" t="str">
        <f>IFERROR(IF(EZ391&gt;EA391-1,IF(INDEX(Lista_Pedidos,EY391+EA391-1,2)&lt;&gt;"",INDEX(Lista_Pedidos,EY391+EA391-1,2),""),""),"")</f>
        <v/>
      </c>
      <c r="EX398" s="824"/>
      <c r="EY398" s="824"/>
      <c r="EZ398" s="825"/>
      <c r="FA398" s="823"/>
      <c r="FB398" s="824"/>
      <c r="FC398" s="824"/>
      <c r="FD398" s="824"/>
      <c r="FE398" s="824"/>
      <c r="FF398" s="824"/>
      <c r="FG398" s="824"/>
      <c r="FH398" s="824"/>
      <c r="FI398" s="824"/>
      <c r="FJ398" s="824"/>
      <c r="FK398" s="824"/>
      <c r="FL398" s="824"/>
      <c r="FM398" s="824"/>
      <c r="FN398" s="824"/>
      <c r="FO398" s="824"/>
      <c r="FP398" s="824"/>
      <c r="FQ398" s="824"/>
      <c r="FR398" s="824"/>
      <c r="FS398" s="824"/>
      <c r="FT398" s="824"/>
      <c r="FU398" s="824"/>
      <c r="FV398" s="824"/>
      <c r="FW398" s="824" t="str">
        <f>IFERROR(IF(FZ391&gt;FA391-1,IF(INDEX(Lista_Pedidos,FY391+FA391-1,2)&lt;&gt;"",INDEX(Lista_Pedidos,FY391+FA391-1,2),""),""),"")</f>
        <v/>
      </c>
      <c r="FX398" s="824"/>
      <c r="FY398" s="824"/>
      <c r="FZ398" s="825"/>
      <c r="GA398" s="823"/>
      <c r="GB398" s="824"/>
      <c r="GC398" s="824"/>
      <c r="GD398" s="824"/>
      <c r="GE398" s="824"/>
      <c r="GF398" s="824"/>
      <c r="GG398" s="824"/>
      <c r="GH398" s="824"/>
      <c r="GI398" s="824"/>
      <c r="GJ398" s="824"/>
      <c r="GK398" s="824"/>
      <c r="GL398" s="824"/>
      <c r="GM398" s="824"/>
      <c r="GN398" s="824"/>
      <c r="GO398" s="824"/>
      <c r="GP398" s="824"/>
      <c r="GQ398" s="824"/>
      <c r="GR398" s="824"/>
      <c r="GS398" s="824"/>
      <c r="GT398" s="824"/>
      <c r="GU398" s="824"/>
      <c r="GV398" s="824"/>
      <c r="GW398" s="824" t="str">
        <f>IFERROR(IF(GZ391&gt;GA391-1,IF(INDEX(Lista_Pedidos,GY391+GA391-1,2)&lt;&gt;"",INDEX(Lista_Pedidos,GY391+GA391-1,2),""),""),"")</f>
        <v/>
      </c>
      <c r="GX398" s="824"/>
      <c r="GY398" s="824"/>
      <c r="GZ398" s="825"/>
      <c r="HA398" s="823"/>
      <c r="HB398" s="824"/>
      <c r="HC398" s="824"/>
      <c r="HD398" s="824"/>
      <c r="HE398" s="824"/>
      <c r="HF398" s="824"/>
      <c r="HG398" s="824"/>
      <c r="HH398" s="824"/>
      <c r="HI398" s="824"/>
      <c r="HJ398" s="824"/>
      <c r="HK398" s="824"/>
      <c r="HL398" s="824"/>
      <c r="HM398" s="824"/>
      <c r="HN398" s="824"/>
      <c r="HO398" s="824"/>
      <c r="HP398" s="824"/>
      <c r="HQ398" s="824"/>
      <c r="HR398" s="824"/>
      <c r="HS398" s="824"/>
      <c r="HT398" s="824"/>
      <c r="HU398" s="824"/>
      <c r="HV398" s="824"/>
      <c r="HW398" s="824" t="str">
        <f>IFERROR(IF(HZ391&gt;HA391-1,IF(INDEX(Lista_Pedidos,HY391+HA391-1,2)&lt;&gt;"",INDEX(Lista_Pedidos,HY391+HA391-1,2),""),""),"")</f>
        <v/>
      </c>
      <c r="HX398" s="824"/>
      <c r="HY398" s="824"/>
      <c r="HZ398" s="825"/>
      <c r="IA398" s="823"/>
      <c r="IB398" s="824"/>
      <c r="IC398" s="824"/>
      <c r="ID398" s="824"/>
      <c r="IE398" s="824"/>
      <c r="IF398" s="824"/>
      <c r="IG398" s="824"/>
      <c r="IH398" s="824"/>
      <c r="II398" s="824"/>
      <c r="IJ398" s="824"/>
      <c r="IK398" s="824"/>
      <c r="IL398" s="824"/>
      <c r="IM398" s="824"/>
      <c r="IN398" s="824"/>
      <c r="IO398" s="824"/>
      <c r="IP398" s="824"/>
      <c r="IQ398" s="824"/>
      <c r="IR398" s="824"/>
      <c r="IS398" s="824"/>
      <c r="IT398" s="824"/>
      <c r="IU398" s="824"/>
      <c r="IV398" s="824"/>
      <c r="IW398" s="824" t="str">
        <f>IFERROR(IF(IZ391&gt;IA391-1,IF(INDEX(Lista_Pedidos,IY391+IA391-1,2)&lt;&gt;"",INDEX(Lista_Pedidos,IY391+IA391-1,2),""),""),"")</f>
        <v/>
      </c>
      <c r="IX398" s="824"/>
      <c r="IY398" s="824"/>
      <c r="IZ398" s="825"/>
    </row>
    <row r="399" spans="1:260" x14ac:dyDescent="0.25">
      <c r="A399" s="800" t="str">
        <f>IFERROR(IF(Z391&gt;A391-1,IF(INDEX(Lista_Pedidos,Y391+A391-1,6)&lt;&gt;"","Nombre de la Tela :     "&amp; INDEX(Lista_Pedidos,Y391+A391-1,6),""),""),"")</f>
        <v/>
      </c>
      <c r="B399" s="801"/>
      <c r="C399" s="801"/>
      <c r="D399" s="801"/>
      <c r="E399" s="801"/>
      <c r="F399" s="801"/>
      <c r="G399" s="801"/>
      <c r="H399" s="801"/>
      <c r="I399" s="801"/>
      <c r="J399" s="801"/>
      <c r="K399" s="801"/>
      <c r="L399" s="801"/>
      <c r="M399" s="801"/>
      <c r="N399" s="801"/>
      <c r="O399" s="801"/>
      <c r="P399" s="801"/>
      <c r="Q399" s="801"/>
      <c r="R399" s="801"/>
      <c r="S399" s="801"/>
      <c r="T399" s="801"/>
      <c r="U399" s="801"/>
      <c r="V399" s="801"/>
      <c r="W399" s="826"/>
      <c r="X399" s="826"/>
      <c r="Y399" s="826"/>
      <c r="Z399" s="827"/>
      <c r="AA399" s="800" t="str">
        <f>IFERROR(IF(AZ391&gt;AA391-1,IF(INDEX(Lista_Pedidos,AY391+AA391-1,6)&lt;&gt;"","Nombre de la Tela :     "&amp; INDEX(Lista_Pedidos,AY391+AA391-1,6),""),""),"")</f>
        <v/>
      </c>
      <c r="AB399" s="801"/>
      <c r="AC399" s="801"/>
      <c r="AD399" s="801"/>
      <c r="AE399" s="801"/>
      <c r="AF399" s="801"/>
      <c r="AG399" s="801"/>
      <c r="AH399" s="801"/>
      <c r="AI399" s="801"/>
      <c r="AJ399" s="801"/>
      <c r="AK399" s="801"/>
      <c r="AL399" s="801"/>
      <c r="AM399" s="801"/>
      <c r="AN399" s="801"/>
      <c r="AO399" s="801"/>
      <c r="AP399" s="801"/>
      <c r="AQ399" s="801"/>
      <c r="AR399" s="801"/>
      <c r="AS399" s="801"/>
      <c r="AT399" s="801"/>
      <c r="AU399" s="801"/>
      <c r="AV399" s="801"/>
      <c r="AW399" s="826"/>
      <c r="AX399" s="826"/>
      <c r="AY399" s="826"/>
      <c r="AZ399" s="827"/>
      <c r="BA399" s="800" t="str">
        <f>IFERROR(IF(BZ391&gt;BA391-1,IF(INDEX(Lista_Pedidos,BY391+BA391-1,6)&lt;&gt;"","Nombre de la Tela :     "&amp; INDEX(Lista_Pedidos,BY391+BA391-1,6),""),""),"")</f>
        <v/>
      </c>
      <c r="BB399" s="801"/>
      <c r="BC399" s="801"/>
      <c r="BD399" s="801"/>
      <c r="BE399" s="801"/>
      <c r="BF399" s="801"/>
      <c r="BG399" s="801"/>
      <c r="BH399" s="801"/>
      <c r="BI399" s="801"/>
      <c r="BJ399" s="801"/>
      <c r="BK399" s="801"/>
      <c r="BL399" s="801"/>
      <c r="BM399" s="801"/>
      <c r="BN399" s="801"/>
      <c r="BO399" s="801"/>
      <c r="BP399" s="801"/>
      <c r="BQ399" s="801"/>
      <c r="BR399" s="801"/>
      <c r="BS399" s="801"/>
      <c r="BT399" s="801"/>
      <c r="BU399" s="801"/>
      <c r="BV399" s="801"/>
      <c r="BW399" s="826"/>
      <c r="BX399" s="826"/>
      <c r="BY399" s="826"/>
      <c r="BZ399" s="827"/>
      <c r="CA399" s="800" t="str">
        <f>IFERROR(IF(CZ391&gt;CA391-1,IF(INDEX(Lista_Pedidos,CY391+CA391-1,6)&lt;&gt;"","Nombre de la Tela :     "&amp; INDEX(Lista_Pedidos,CY391+CA391-1,6),""),""),"")</f>
        <v/>
      </c>
      <c r="CB399" s="801"/>
      <c r="CC399" s="801"/>
      <c r="CD399" s="801"/>
      <c r="CE399" s="801"/>
      <c r="CF399" s="801"/>
      <c r="CG399" s="801"/>
      <c r="CH399" s="801"/>
      <c r="CI399" s="801"/>
      <c r="CJ399" s="801"/>
      <c r="CK399" s="801"/>
      <c r="CL399" s="801"/>
      <c r="CM399" s="801"/>
      <c r="CN399" s="801"/>
      <c r="CO399" s="801"/>
      <c r="CP399" s="801"/>
      <c r="CQ399" s="801"/>
      <c r="CR399" s="801"/>
      <c r="CS399" s="801"/>
      <c r="CT399" s="801"/>
      <c r="CU399" s="801"/>
      <c r="CV399" s="801"/>
      <c r="CW399" s="826"/>
      <c r="CX399" s="826"/>
      <c r="CY399" s="826"/>
      <c r="CZ399" s="827"/>
      <c r="DA399" s="800" t="str">
        <f>IFERROR(IF(DZ391&gt;DA391-1,IF(INDEX(Lista_Pedidos,DY391+DA391-1,6)&lt;&gt;"","Nombre de la Tela :     "&amp; INDEX(Lista_Pedidos,DY391+DA391-1,6),""),""),"")</f>
        <v/>
      </c>
      <c r="DB399" s="801"/>
      <c r="DC399" s="801"/>
      <c r="DD399" s="801"/>
      <c r="DE399" s="801"/>
      <c r="DF399" s="801"/>
      <c r="DG399" s="801"/>
      <c r="DH399" s="801"/>
      <c r="DI399" s="801"/>
      <c r="DJ399" s="801"/>
      <c r="DK399" s="801"/>
      <c r="DL399" s="801"/>
      <c r="DM399" s="801"/>
      <c r="DN399" s="801"/>
      <c r="DO399" s="801"/>
      <c r="DP399" s="801"/>
      <c r="DQ399" s="801"/>
      <c r="DR399" s="801"/>
      <c r="DS399" s="801"/>
      <c r="DT399" s="801"/>
      <c r="DU399" s="801"/>
      <c r="DV399" s="801"/>
      <c r="DW399" s="826"/>
      <c r="DX399" s="826"/>
      <c r="DY399" s="826"/>
      <c r="DZ399" s="827"/>
      <c r="EA399" s="800" t="str">
        <f>IFERROR(IF(EZ391&gt;EA391-1,IF(INDEX(Lista_Pedidos,EY391+EA391-1,6)&lt;&gt;"","Nombre de la Tela :     "&amp; INDEX(Lista_Pedidos,EY391+EA391-1,6),""),""),"")</f>
        <v/>
      </c>
      <c r="EB399" s="801"/>
      <c r="EC399" s="801"/>
      <c r="ED399" s="801"/>
      <c r="EE399" s="801"/>
      <c r="EF399" s="801"/>
      <c r="EG399" s="801"/>
      <c r="EH399" s="801"/>
      <c r="EI399" s="801"/>
      <c r="EJ399" s="801"/>
      <c r="EK399" s="801"/>
      <c r="EL399" s="801"/>
      <c r="EM399" s="801"/>
      <c r="EN399" s="801"/>
      <c r="EO399" s="801"/>
      <c r="EP399" s="801"/>
      <c r="EQ399" s="801"/>
      <c r="ER399" s="801"/>
      <c r="ES399" s="801"/>
      <c r="ET399" s="801"/>
      <c r="EU399" s="801"/>
      <c r="EV399" s="801"/>
      <c r="EW399" s="826"/>
      <c r="EX399" s="826"/>
      <c r="EY399" s="826"/>
      <c r="EZ399" s="827"/>
      <c r="FA399" s="800" t="str">
        <f>IFERROR(IF(FZ391&gt;FA391-1,IF(INDEX(Lista_Pedidos,FY391+FA391-1,6)&lt;&gt;"","Nombre de la Tela :     "&amp; INDEX(Lista_Pedidos,FY391+FA391-1,6),""),""),"")</f>
        <v/>
      </c>
      <c r="FB399" s="801"/>
      <c r="FC399" s="801"/>
      <c r="FD399" s="801"/>
      <c r="FE399" s="801"/>
      <c r="FF399" s="801"/>
      <c r="FG399" s="801"/>
      <c r="FH399" s="801"/>
      <c r="FI399" s="801"/>
      <c r="FJ399" s="801"/>
      <c r="FK399" s="801"/>
      <c r="FL399" s="801"/>
      <c r="FM399" s="801"/>
      <c r="FN399" s="801"/>
      <c r="FO399" s="801"/>
      <c r="FP399" s="801"/>
      <c r="FQ399" s="801"/>
      <c r="FR399" s="801"/>
      <c r="FS399" s="801"/>
      <c r="FT399" s="801"/>
      <c r="FU399" s="801"/>
      <c r="FV399" s="801"/>
      <c r="FW399" s="826"/>
      <c r="FX399" s="826"/>
      <c r="FY399" s="826"/>
      <c r="FZ399" s="827"/>
      <c r="GA399" s="800" t="str">
        <f>IFERROR(IF(GZ391&gt;GA391-1,IF(INDEX(Lista_Pedidos,GY391+GA391-1,6)&lt;&gt;"","Nombre de la Tela :     "&amp; INDEX(Lista_Pedidos,GY391+GA391-1,6),""),""),"")</f>
        <v/>
      </c>
      <c r="GB399" s="801"/>
      <c r="GC399" s="801"/>
      <c r="GD399" s="801"/>
      <c r="GE399" s="801"/>
      <c r="GF399" s="801"/>
      <c r="GG399" s="801"/>
      <c r="GH399" s="801"/>
      <c r="GI399" s="801"/>
      <c r="GJ399" s="801"/>
      <c r="GK399" s="801"/>
      <c r="GL399" s="801"/>
      <c r="GM399" s="801"/>
      <c r="GN399" s="801"/>
      <c r="GO399" s="801"/>
      <c r="GP399" s="801"/>
      <c r="GQ399" s="801"/>
      <c r="GR399" s="801"/>
      <c r="GS399" s="801"/>
      <c r="GT399" s="801"/>
      <c r="GU399" s="801"/>
      <c r="GV399" s="801"/>
      <c r="GW399" s="826"/>
      <c r="GX399" s="826"/>
      <c r="GY399" s="826"/>
      <c r="GZ399" s="827"/>
      <c r="HA399" s="800" t="str">
        <f>IFERROR(IF(HZ391&gt;HA391-1,IF(INDEX(Lista_Pedidos,HY391+HA391-1,6)&lt;&gt;"","Nombre de la Tela :     "&amp; INDEX(Lista_Pedidos,HY391+HA391-1,6),""),""),"")</f>
        <v/>
      </c>
      <c r="HB399" s="801"/>
      <c r="HC399" s="801"/>
      <c r="HD399" s="801"/>
      <c r="HE399" s="801"/>
      <c r="HF399" s="801"/>
      <c r="HG399" s="801"/>
      <c r="HH399" s="801"/>
      <c r="HI399" s="801"/>
      <c r="HJ399" s="801"/>
      <c r="HK399" s="801"/>
      <c r="HL399" s="801"/>
      <c r="HM399" s="801"/>
      <c r="HN399" s="801"/>
      <c r="HO399" s="801"/>
      <c r="HP399" s="801"/>
      <c r="HQ399" s="801"/>
      <c r="HR399" s="801"/>
      <c r="HS399" s="801"/>
      <c r="HT399" s="801"/>
      <c r="HU399" s="801"/>
      <c r="HV399" s="801"/>
      <c r="HW399" s="826"/>
      <c r="HX399" s="826"/>
      <c r="HY399" s="826"/>
      <c r="HZ399" s="827"/>
      <c r="IA399" s="800" t="str">
        <f>IFERROR(IF(IZ391&gt;IA391-1,IF(INDEX(Lista_Pedidos,IY391+IA391-1,6)&lt;&gt;"","Nombre de la Tela :     "&amp; INDEX(Lista_Pedidos,IY391+IA391-1,6),""),""),"")</f>
        <v/>
      </c>
      <c r="IB399" s="801"/>
      <c r="IC399" s="801"/>
      <c r="ID399" s="801"/>
      <c r="IE399" s="801"/>
      <c r="IF399" s="801"/>
      <c r="IG399" s="801"/>
      <c r="IH399" s="801"/>
      <c r="II399" s="801"/>
      <c r="IJ399" s="801"/>
      <c r="IK399" s="801"/>
      <c r="IL399" s="801"/>
      <c r="IM399" s="801"/>
      <c r="IN399" s="801"/>
      <c r="IO399" s="801"/>
      <c r="IP399" s="801"/>
      <c r="IQ399" s="801"/>
      <c r="IR399" s="801"/>
      <c r="IS399" s="801"/>
      <c r="IT399" s="801"/>
      <c r="IU399" s="801"/>
      <c r="IV399" s="801"/>
      <c r="IW399" s="826"/>
      <c r="IX399" s="826"/>
      <c r="IY399" s="826"/>
      <c r="IZ399" s="827"/>
    </row>
    <row r="400" spans="1:260" x14ac:dyDescent="0.25">
      <c r="A400" s="800" t="str">
        <f>IFERROR(IF(Z391&gt;A391-1,IF(INDEX(Lista_Pedidos,Y391+A391-1,7)&lt;&gt;"","Hilo :     "&amp; INDEX(Lista_Pedidos,Y391+A391-1,7),""),""),"")</f>
        <v/>
      </c>
      <c r="B400" s="801"/>
      <c r="C400" s="801"/>
      <c r="D400" s="801"/>
      <c r="E400" s="801"/>
      <c r="F400" s="801"/>
      <c r="G400" s="801"/>
      <c r="H400" s="801"/>
      <c r="I400" s="801"/>
      <c r="J400" s="801"/>
      <c r="K400" s="801"/>
      <c r="L400" s="801"/>
      <c r="M400" s="801"/>
      <c r="N400" s="801"/>
      <c r="O400" s="801"/>
      <c r="P400" s="801"/>
      <c r="Q400" s="801"/>
      <c r="R400" s="801"/>
      <c r="S400" s="801"/>
      <c r="T400" s="801"/>
      <c r="U400" s="801"/>
      <c r="V400" s="801"/>
      <c r="W400" s="801"/>
      <c r="X400" s="801"/>
      <c r="Y400" s="801"/>
      <c r="Z400" s="802"/>
      <c r="AA400" s="800" t="str">
        <f>IFERROR(IF(AZ391&gt;AA391-1,IF(INDEX(Lista_Pedidos,AY391+AA391-1,7)&lt;&gt;"","Hilo :     "&amp; INDEX(Lista_Pedidos,AY391+AA391-1,7),""),""),"")</f>
        <v/>
      </c>
      <c r="AB400" s="801"/>
      <c r="AC400" s="801"/>
      <c r="AD400" s="801"/>
      <c r="AE400" s="801"/>
      <c r="AF400" s="801"/>
      <c r="AG400" s="801"/>
      <c r="AH400" s="801"/>
      <c r="AI400" s="801"/>
      <c r="AJ400" s="801"/>
      <c r="AK400" s="801"/>
      <c r="AL400" s="801"/>
      <c r="AM400" s="801"/>
      <c r="AN400" s="801"/>
      <c r="AO400" s="801"/>
      <c r="AP400" s="801"/>
      <c r="AQ400" s="801"/>
      <c r="AR400" s="801"/>
      <c r="AS400" s="801"/>
      <c r="AT400" s="801"/>
      <c r="AU400" s="801"/>
      <c r="AV400" s="801"/>
      <c r="AW400" s="801"/>
      <c r="AX400" s="801"/>
      <c r="AY400" s="801"/>
      <c r="AZ400" s="802"/>
      <c r="BA400" s="800" t="str">
        <f>IFERROR(IF(BZ391&gt;BA391-1,IF(INDEX(Lista_Pedidos,BY391+BA391-1,7)&lt;&gt;"","Hilo :     "&amp; INDEX(Lista_Pedidos,BY391+BA391-1,7),""),""),"")</f>
        <v/>
      </c>
      <c r="BB400" s="801"/>
      <c r="BC400" s="801"/>
      <c r="BD400" s="801"/>
      <c r="BE400" s="801"/>
      <c r="BF400" s="801"/>
      <c r="BG400" s="801"/>
      <c r="BH400" s="801"/>
      <c r="BI400" s="801"/>
      <c r="BJ400" s="801"/>
      <c r="BK400" s="801"/>
      <c r="BL400" s="801"/>
      <c r="BM400" s="801"/>
      <c r="BN400" s="801"/>
      <c r="BO400" s="801"/>
      <c r="BP400" s="801"/>
      <c r="BQ400" s="801"/>
      <c r="BR400" s="801"/>
      <c r="BS400" s="801"/>
      <c r="BT400" s="801"/>
      <c r="BU400" s="801"/>
      <c r="BV400" s="801"/>
      <c r="BW400" s="801"/>
      <c r="BX400" s="801"/>
      <c r="BY400" s="801"/>
      <c r="BZ400" s="802"/>
      <c r="CA400" s="800" t="str">
        <f>IFERROR(IF(CZ391&gt;CA391-1,IF(INDEX(Lista_Pedidos,CY391+CA391-1,7)&lt;&gt;"","Hilo :     "&amp; INDEX(Lista_Pedidos,CY391+CA391-1,7),""),""),"")</f>
        <v/>
      </c>
      <c r="CB400" s="801"/>
      <c r="CC400" s="801"/>
      <c r="CD400" s="801"/>
      <c r="CE400" s="801"/>
      <c r="CF400" s="801"/>
      <c r="CG400" s="801"/>
      <c r="CH400" s="801"/>
      <c r="CI400" s="801"/>
      <c r="CJ400" s="801"/>
      <c r="CK400" s="801"/>
      <c r="CL400" s="801"/>
      <c r="CM400" s="801"/>
      <c r="CN400" s="801"/>
      <c r="CO400" s="801"/>
      <c r="CP400" s="801"/>
      <c r="CQ400" s="801"/>
      <c r="CR400" s="801"/>
      <c r="CS400" s="801"/>
      <c r="CT400" s="801"/>
      <c r="CU400" s="801"/>
      <c r="CV400" s="801"/>
      <c r="CW400" s="801"/>
      <c r="CX400" s="801"/>
      <c r="CY400" s="801"/>
      <c r="CZ400" s="802"/>
      <c r="DA400" s="800" t="str">
        <f>IFERROR(IF(DZ391&gt;DA391-1,IF(INDEX(Lista_Pedidos,DY391+DA391-1,7)&lt;&gt;"","Hilo :     "&amp; INDEX(Lista_Pedidos,DY391+DA391-1,7),""),""),"")</f>
        <v/>
      </c>
      <c r="DB400" s="801"/>
      <c r="DC400" s="801"/>
      <c r="DD400" s="801"/>
      <c r="DE400" s="801"/>
      <c r="DF400" s="801"/>
      <c r="DG400" s="801"/>
      <c r="DH400" s="801"/>
      <c r="DI400" s="801"/>
      <c r="DJ400" s="801"/>
      <c r="DK400" s="801"/>
      <c r="DL400" s="801"/>
      <c r="DM400" s="801"/>
      <c r="DN400" s="801"/>
      <c r="DO400" s="801"/>
      <c r="DP400" s="801"/>
      <c r="DQ400" s="801"/>
      <c r="DR400" s="801"/>
      <c r="DS400" s="801"/>
      <c r="DT400" s="801"/>
      <c r="DU400" s="801"/>
      <c r="DV400" s="801"/>
      <c r="DW400" s="801"/>
      <c r="DX400" s="801"/>
      <c r="DY400" s="801"/>
      <c r="DZ400" s="802"/>
      <c r="EA400" s="800" t="str">
        <f>IFERROR(IF(EZ391&gt;EA391-1,IF(INDEX(Lista_Pedidos,EY391+EA391-1,7)&lt;&gt;"","Hilo :     "&amp; INDEX(Lista_Pedidos,EY391+EA391-1,7),""),""),"")</f>
        <v/>
      </c>
      <c r="EB400" s="801"/>
      <c r="EC400" s="801"/>
      <c r="ED400" s="801"/>
      <c r="EE400" s="801"/>
      <c r="EF400" s="801"/>
      <c r="EG400" s="801"/>
      <c r="EH400" s="801"/>
      <c r="EI400" s="801"/>
      <c r="EJ400" s="801"/>
      <c r="EK400" s="801"/>
      <c r="EL400" s="801"/>
      <c r="EM400" s="801"/>
      <c r="EN400" s="801"/>
      <c r="EO400" s="801"/>
      <c r="EP400" s="801"/>
      <c r="EQ400" s="801"/>
      <c r="ER400" s="801"/>
      <c r="ES400" s="801"/>
      <c r="ET400" s="801"/>
      <c r="EU400" s="801"/>
      <c r="EV400" s="801"/>
      <c r="EW400" s="801"/>
      <c r="EX400" s="801"/>
      <c r="EY400" s="801"/>
      <c r="EZ400" s="802"/>
      <c r="FA400" s="800" t="str">
        <f>IFERROR(IF(FZ391&gt;FA391-1,IF(INDEX(Lista_Pedidos,FY391+FA391-1,7)&lt;&gt;"","Hilo :     "&amp; INDEX(Lista_Pedidos,FY391+FA391-1,7),""),""),"")</f>
        <v/>
      </c>
      <c r="FB400" s="801"/>
      <c r="FC400" s="801"/>
      <c r="FD400" s="801"/>
      <c r="FE400" s="801"/>
      <c r="FF400" s="801"/>
      <c r="FG400" s="801"/>
      <c r="FH400" s="801"/>
      <c r="FI400" s="801"/>
      <c r="FJ400" s="801"/>
      <c r="FK400" s="801"/>
      <c r="FL400" s="801"/>
      <c r="FM400" s="801"/>
      <c r="FN400" s="801"/>
      <c r="FO400" s="801"/>
      <c r="FP400" s="801"/>
      <c r="FQ400" s="801"/>
      <c r="FR400" s="801"/>
      <c r="FS400" s="801"/>
      <c r="FT400" s="801"/>
      <c r="FU400" s="801"/>
      <c r="FV400" s="801"/>
      <c r="FW400" s="801"/>
      <c r="FX400" s="801"/>
      <c r="FY400" s="801"/>
      <c r="FZ400" s="802"/>
      <c r="GA400" s="800" t="str">
        <f>IFERROR(IF(GZ391&gt;GA391-1,IF(INDEX(Lista_Pedidos,GY391+GA391-1,7)&lt;&gt;"","Hilo :     "&amp; INDEX(Lista_Pedidos,GY391+GA391-1,7),""),""),"")</f>
        <v/>
      </c>
      <c r="GB400" s="801"/>
      <c r="GC400" s="801"/>
      <c r="GD400" s="801"/>
      <c r="GE400" s="801"/>
      <c r="GF400" s="801"/>
      <c r="GG400" s="801"/>
      <c r="GH400" s="801"/>
      <c r="GI400" s="801"/>
      <c r="GJ400" s="801"/>
      <c r="GK400" s="801"/>
      <c r="GL400" s="801"/>
      <c r="GM400" s="801"/>
      <c r="GN400" s="801"/>
      <c r="GO400" s="801"/>
      <c r="GP400" s="801"/>
      <c r="GQ400" s="801"/>
      <c r="GR400" s="801"/>
      <c r="GS400" s="801"/>
      <c r="GT400" s="801"/>
      <c r="GU400" s="801"/>
      <c r="GV400" s="801"/>
      <c r="GW400" s="801"/>
      <c r="GX400" s="801"/>
      <c r="GY400" s="801"/>
      <c r="GZ400" s="802"/>
      <c r="HA400" s="800" t="str">
        <f>IFERROR(IF(HZ391&gt;HA391-1,IF(INDEX(Lista_Pedidos,HY391+HA391-1,7)&lt;&gt;"","Hilo :     "&amp; INDEX(Lista_Pedidos,HY391+HA391-1,7),""),""),"")</f>
        <v/>
      </c>
      <c r="HB400" s="801"/>
      <c r="HC400" s="801"/>
      <c r="HD400" s="801"/>
      <c r="HE400" s="801"/>
      <c r="HF400" s="801"/>
      <c r="HG400" s="801"/>
      <c r="HH400" s="801"/>
      <c r="HI400" s="801"/>
      <c r="HJ400" s="801"/>
      <c r="HK400" s="801"/>
      <c r="HL400" s="801"/>
      <c r="HM400" s="801"/>
      <c r="HN400" s="801"/>
      <c r="HO400" s="801"/>
      <c r="HP400" s="801"/>
      <c r="HQ400" s="801"/>
      <c r="HR400" s="801"/>
      <c r="HS400" s="801"/>
      <c r="HT400" s="801"/>
      <c r="HU400" s="801"/>
      <c r="HV400" s="801"/>
      <c r="HW400" s="801"/>
      <c r="HX400" s="801"/>
      <c r="HY400" s="801"/>
      <c r="HZ400" s="802"/>
      <c r="IA400" s="800" t="str">
        <f>IFERROR(IF(IZ391&gt;IA391-1,IF(INDEX(Lista_Pedidos,IY391+IA391-1,7)&lt;&gt;"","Hilo :     "&amp; INDEX(Lista_Pedidos,IY391+IA391-1,7),""),""),"")</f>
        <v/>
      </c>
      <c r="IB400" s="801"/>
      <c r="IC400" s="801"/>
      <c r="ID400" s="801"/>
      <c r="IE400" s="801"/>
      <c r="IF400" s="801"/>
      <c r="IG400" s="801"/>
      <c r="IH400" s="801"/>
      <c r="II400" s="801"/>
      <c r="IJ400" s="801"/>
      <c r="IK400" s="801"/>
      <c r="IL400" s="801"/>
      <c r="IM400" s="801"/>
      <c r="IN400" s="801"/>
      <c r="IO400" s="801"/>
      <c r="IP400" s="801"/>
      <c r="IQ400" s="801"/>
      <c r="IR400" s="801"/>
      <c r="IS400" s="801"/>
      <c r="IT400" s="801"/>
      <c r="IU400" s="801"/>
      <c r="IV400" s="801"/>
      <c r="IW400" s="801"/>
      <c r="IX400" s="801"/>
      <c r="IY400" s="801"/>
      <c r="IZ400" s="802"/>
    </row>
    <row r="401" spans="1:260" x14ac:dyDescent="0.25">
      <c r="A401" s="800" t="str">
        <f>IFERROR(IF(Z391&gt;A391-1,IF(INDEX(Lista_Pedidos,Y391+A391-1,8)&lt;&gt;"","Forro :     "&amp; INDEX(Lista_Pedidos,Y391+A391-1,8),""),""),"")</f>
        <v/>
      </c>
      <c r="B401" s="801"/>
      <c r="C401" s="801"/>
      <c r="D401" s="801"/>
      <c r="E401" s="801"/>
      <c r="F401" s="801"/>
      <c r="G401" s="801"/>
      <c r="H401" s="801"/>
      <c r="I401" s="801"/>
      <c r="J401" s="801"/>
      <c r="K401" s="801"/>
      <c r="L401" s="801"/>
      <c r="M401" s="801"/>
      <c r="N401" s="801"/>
      <c r="O401" s="801"/>
      <c r="P401" s="801"/>
      <c r="Q401" s="801"/>
      <c r="R401" s="801"/>
      <c r="S401" s="801"/>
      <c r="T401" s="801"/>
      <c r="U401" s="801"/>
      <c r="V401" s="801"/>
      <c r="W401" s="801"/>
      <c r="X401" s="801"/>
      <c r="Y401" s="801"/>
      <c r="Z401" s="802"/>
      <c r="AA401" s="800" t="str">
        <f>IFERROR(IF(AZ391&gt;AA391-1,IF(INDEX(Lista_Pedidos,AY391+AA391-1,8)&lt;&gt;"","Forro :     "&amp; INDEX(Lista_Pedidos,AY391+AA391-1,8),""),""),"")</f>
        <v/>
      </c>
      <c r="AB401" s="801"/>
      <c r="AC401" s="801"/>
      <c r="AD401" s="801"/>
      <c r="AE401" s="801"/>
      <c r="AF401" s="801"/>
      <c r="AG401" s="801"/>
      <c r="AH401" s="801"/>
      <c r="AI401" s="801"/>
      <c r="AJ401" s="801"/>
      <c r="AK401" s="801"/>
      <c r="AL401" s="801"/>
      <c r="AM401" s="801"/>
      <c r="AN401" s="801"/>
      <c r="AO401" s="801"/>
      <c r="AP401" s="801"/>
      <c r="AQ401" s="801"/>
      <c r="AR401" s="801"/>
      <c r="AS401" s="801"/>
      <c r="AT401" s="801"/>
      <c r="AU401" s="801"/>
      <c r="AV401" s="801"/>
      <c r="AW401" s="801"/>
      <c r="AX401" s="801"/>
      <c r="AY401" s="801"/>
      <c r="AZ401" s="802"/>
      <c r="BA401" s="800" t="str">
        <f>IFERROR(IF(BZ391&gt;BA391-1,IF(INDEX(Lista_Pedidos,BY391+BA391-1,8)&lt;&gt;"","Forro :     "&amp; INDEX(Lista_Pedidos,BY391+BA391-1,8),""),""),"")</f>
        <v/>
      </c>
      <c r="BB401" s="801"/>
      <c r="BC401" s="801"/>
      <c r="BD401" s="801"/>
      <c r="BE401" s="801"/>
      <c r="BF401" s="801"/>
      <c r="BG401" s="801"/>
      <c r="BH401" s="801"/>
      <c r="BI401" s="801"/>
      <c r="BJ401" s="801"/>
      <c r="BK401" s="801"/>
      <c r="BL401" s="801"/>
      <c r="BM401" s="801"/>
      <c r="BN401" s="801"/>
      <c r="BO401" s="801"/>
      <c r="BP401" s="801"/>
      <c r="BQ401" s="801"/>
      <c r="BR401" s="801"/>
      <c r="BS401" s="801"/>
      <c r="BT401" s="801"/>
      <c r="BU401" s="801"/>
      <c r="BV401" s="801"/>
      <c r="BW401" s="801"/>
      <c r="BX401" s="801"/>
      <c r="BY401" s="801"/>
      <c r="BZ401" s="802"/>
      <c r="CA401" s="800" t="str">
        <f>IFERROR(IF(CZ391&gt;CA391-1,IF(INDEX(Lista_Pedidos,CY391+CA391-1,8)&lt;&gt;"","Forro :     "&amp; INDEX(Lista_Pedidos,CY391+CA391-1,8),""),""),"")</f>
        <v/>
      </c>
      <c r="CB401" s="801"/>
      <c r="CC401" s="801"/>
      <c r="CD401" s="801"/>
      <c r="CE401" s="801"/>
      <c r="CF401" s="801"/>
      <c r="CG401" s="801"/>
      <c r="CH401" s="801"/>
      <c r="CI401" s="801"/>
      <c r="CJ401" s="801"/>
      <c r="CK401" s="801"/>
      <c r="CL401" s="801"/>
      <c r="CM401" s="801"/>
      <c r="CN401" s="801"/>
      <c r="CO401" s="801"/>
      <c r="CP401" s="801"/>
      <c r="CQ401" s="801"/>
      <c r="CR401" s="801"/>
      <c r="CS401" s="801"/>
      <c r="CT401" s="801"/>
      <c r="CU401" s="801"/>
      <c r="CV401" s="801"/>
      <c r="CW401" s="801"/>
      <c r="CX401" s="801"/>
      <c r="CY401" s="801"/>
      <c r="CZ401" s="802"/>
      <c r="DA401" s="800" t="str">
        <f>IFERROR(IF(DZ391&gt;DA391-1,IF(INDEX(Lista_Pedidos,DY391+DA391-1,8)&lt;&gt;"","Forro :     "&amp; INDEX(Lista_Pedidos,DY391+DA391-1,8),""),""),"")</f>
        <v/>
      </c>
      <c r="DB401" s="801"/>
      <c r="DC401" s="801"/>
      <c r="DD401" s="801"/>
      <c r="DE401" s="801"/>
      <c r="DF401" s="801"/>
      <c r="DG401" s="801"/>
      <c r="DH401" s="801"/>
      <c r="DI401" s="801"/>
      <c r="DJ401" s="801"/>
      <c r="DK401" s="801"/>
      <c r="DL401" s="801"/>
      <c r="DM401" s="801"/>
      <c r="DN401" s="801"/>
      <c r="DO401" s="801"/>
      <c r="DP401" s="801"/>
      <c r="DQ401" s="801"/>
      <c r="DR401" s="801"/>
      <c r="DS401" s="801"/>
      <c r="DT401" s="801"/>
      <c r="DU401" s="801"/>
      <c r="DV401" s="801"/>
      <c r="DW401" s="801"/>
      <c r="DX401" s="801"/>
      <c r="DY401" s="801"/>
      <c r="DZ401" s="802"/>
      <c r="EA401" s="800" t="str">
        <f>IFERROR(IF(EZ391&gt;EA391-1,IF(INDEX(Lista_Pedidos,EY391+EA391-1,8)&lt;&gt;"","Forro :     "&amp; INDEX(Lista_Pedidos,EY391+EA391-1,8),""),""),"")</f>
        <v/>
      </c>
      <c r="EB401" s="801"/>
      <c r="EC401" s="801"/>
      <c r="ED401" s="801"/>
      <c r="EE401" s="801"/>
      <c r="EF401" s="801"/>
      <c r="EG401" s="801"/>
      <c r="EH401" s="801"/>
      <c r="EI401" s="801"/>
      <c r="EJ401" s="801"/>
      <c r="EK401" s="801"/>
      <c r="EL401" s="801"/>
      <c r="EM401" s="801"/>
      <c r="EN401" s="801"/>
      <c r="EO401" s="801"/>
      <c r="EP401" s="801"/>
      <c r="EQ401" s="801"/>
      <c r="ER401" s="801"/>
      <c r="ES401" s="801"/>
      <c r="ET401" s="801"/>
      <c r="EU401" s="801"/>
      <c r="EV401" s="801"/>
      <c r="EW401" s="801"/>
      <c r="EX401" s="801"/>
      <c r="EY401" s="801"/>
      <c r="EZ401" s="802"/>
      <c r="FA401" s="800" t="str">
        <f>IFERROR(IF(FZ391&gt;FA391-1,IF(INDEX(Lista_Pedidos,FY391+FA391-1,8)&lt;&gt;"","Forro :     "&amp; INDEX(Lista_Pedidos,FY391+FA391-1,8),""),""),"")</f>
        <v/>
      </c>
      <c r="FB401" s="801"/>
      <c r="FC401" s="801"/>
      <c r="FD401" s="801"/>
      <c r="FE401" s="801"/>
      <c r="FF401" s="801"/>
      <c r="FG401" s="801"/>
      <c r="FH401" s="801"/>
      <c r="FI401" s="801"/>
      <c r="FJ401" s="801"/>
      <c r="FK401" s="801"/>
      <c r="FL401" s="801"/>
      <c r="FM401" s="801"/>
      <c r="FN401" s="801"/>
      <c r="FO401" s="801"/>
      <c r="FP401" s="801"/>
      <c r="FQ401" s="801"/>
      <c r="FR401" s="801"/>
      <c r="FS401" s="801"/>
      <c r="FT401" s="801"/>
      <c r="FU401" s="801"/>
      <c r="FV401" s="801"/>
      <c r="FW401" s="801"/>
      <c r="FX401" s="801"/>
      <c r="FY401" s="801"/>
      <c r="FZ401" s="802"/>
      <c r="GA401" s="800" t="str">
        <f>IFERROR(IF(GZ391&gt;GA391-1,IF(INDEX(Lista_Pedidos,GY391+GA391-1,8)&lt;&gt;"","Forro :     "&amp; INDEX(Lista_Pedidos,GY391+GA391-1,8),""),""),"")</f>
        <v/>
      </c>
      <c r="GB401" s="801"/>
      <c r="GC401" s="801"/>
      <c r="GD401" s="801"/>
      <c r="GE401" s="801"/>
      <c r="GF401" s="801"/>
      <c r="GG401" s="801"/>
      <c r="GH401" s="801"/>
      <c r="GI401" s="801"/>
      <c r="GJ401" s="801"/>
      <c r="GK401" s="801"/>
      <c r="GL401" s="801"/>
      <c r="GM401" s="801"/>
      <c r="GN401" s="801"/>
      <c r="GO401" s="801"/>
      <c r="GP401" s="801"/>
      <c r="GQ401" s="801"/>
      <c r="GR401" s="801"/>
      <c r="GS401" s="801"/>
      <c r="GT401" s="801"/>
      <c r="GU401" s="801"/>
      <c r="GV401" s="801"/>
      <c r="GW401" s="801"/>
      <c r="GX401" s="801"/>
      <c r="GY401" s="801"/>
      <c r="GZ401" s="802"/>
      <c r="HA401" s="800" t="str">
        <f>IFERROR(IF(HZ391&gt;HA391-1,IF(INDEX(Lista_Pedidos,HY391+HA391-1,8)&lt;&gt;"","Forro :     "&amp; INDEX(Lista_Pedidos,HY391+HA391-1,8),""),""),"")</f>
        <v/>
      </c>
      <c r="HB401" s="801"/>
      <c r="HC401" s="801"/>
      <c r="HD401" s="801"/>
      <c r="HE401" s="801"/>
      <c r="HF401" s="801"/>
      <c r="HG401" s="801"/>
      <c r="HH401" s="801"/>
      <c r="HI401" s="801"/>
      <c r="HJ401" s="801"/>
      <c r="HK401" s="801"/>
      <c r="HL401" s="801"/>
      <c r="HM401" s="801"/>
      <c r="HN401" s="801"/>
      <c r="HO401" s="801"/>
      <c r="HP401" s="801"/>
      <c r="HQ401" s="801"/>
      <c r="HR401" s="801"/>
      <c r="HS401" s="801"/>
      <c r="HT401" s="801"/>
      <c r="HU401" s="801"/>
      <c r="HV401" s="801"/>
      <c r="HW401" s="801"/>
      <c r="HX401" s="801"/>
      <c r="HY401" s="801"/>
      <c r="HZ401" s="802"/>
      <c r="IA401" s="800" t="str">
        <f>IFERROR(IF(IZ391&gt;IA391-1,IF(INDEX(Lista_Pedidos,IY391+IA391-1,8)&lt;&gt;"","Forro :     "&amp; INDEX(Lista_Pedidos,IY391+IA391-1,8),""),""),"")</f>
        <v/>
      </c>
      <c r="IB401" s="801"/>
      <c r="IC401" s="801"/>
      <c r="ID401" s="801"/>
      <c r="IE401" s="801"/>
      <c r="IF401" s="801"/>
      <c r="IG401" s="801"/>
      <c r="IH401" s="801"/>
      <c r="II401" s="801"/>
      <c r="IJ401" s="801"/>
      <c r="IK401" s="801"/>
      <c r="IL401" s="801"/>
      <c r="IM401" s="801"/>
      <c r="IN401" s="801"/>
      <c r="IO401" s="801"/>
      <c r="IP401" s="801"/>
      <c r="IQ401" s="801"/>
      <c r="IR401" s="801"/>
      <c r="IS401" s="801"/>
      <c r="IT401" s="801"/>
      <c r="IU401" s="801"/>
      <c r="IV401" s="801"/>
      <c r="IW401" s="801"/>
      <c r="IX401" s="801"/>
      <c r="IY401" s="801"/>
      <c r="IZ401" s="802"/>
    </row>
    <row r="402" spans="1:260" x14ac:dyDescent="0.25">
      <c r="A402" s="800" t="str">
        <f>IF(A$5="Cliente Especial : NEON",IF(Z391&gt;A391-1,"Neon :      Si",""),"")</f>
        <v/>
      </c>
      <c r="B402" s="801"/>
      <c r="C402" s="801"/>
      <c r="D402" s="801"/>
      <c r="E402" s="801"/>
      <c r="F402" s="801"/>
      <c r="G402" s="801"/>
      <c r="H402" s="801"/>
      <c r="I402" s="801"/>
      <c r="J402" s="801"/>
      <c r="K402" s="801"/>
      <c r="L402" s="801"/>
      <c r="M402" s="801"/>
      <c r="N402" s="801"/>
      <c r="O402" s="801"/>
      <c r="P402" s="801"/>
      <c r="Q402" s="801"/>
      <c r="R402" s="801"/>
      <c r="S402" s="801"/>
      <c r="T402" s="801"/>
      <c r="U402" s="801"/>
      <c r="V402" s="801"/>
      <c r="W402" s="801"/>
      <c r="X402" s="801"/>
      <c r="Y402" s="801"/>
      <c r="Z402" s="802"/>
      <c r="AA402" s="800" t="str">
        <f>IF(AA$5="Cliente Especial : NEON",IF(AZ391&gt;AA391-1,"Neon :      Si",""),"")</f>
        <v/>
      </c>
      <c r="AB402" s="801"/>
      <c r="AC402" s="801"/>
      <c r="AD402" s="801"/>
      <c r="AE402" s="801"/>
      <c r="AF402" s="801"/>
      <c r="AG402" s="801"/>
      <c r="AH402" s="801"/>
      <c r="AI402" s="801"/>
      <c r="AJ402" s="801"/>
      <c r="AK402" s="801"/>
      <c r="AL402" s="801"/>
      <c r="AM402" s="801"/>
      <c r="AN402" s="801"/>
      <c r="AO402" s="801"/>
      <c r="AP402" s="801"/>
      <c r="AQ402" s="801"/>
      <c r="AR402" s="801"/>
      <c r="AS402" s="801"/>
      <c r="AT402" s="801"/>
      <c r="AU402" s="801"/>
      <c r="AV402" s="801"/>
      <c r="AW402" s="801"/>
      <c r="AX402" s="801"/>
      <c r="AY402" s="801"/>
      <c r="AZ402" s="802"/>
      <c r="BA402" s="800" t="str">
        <f>IF(BA$5="Cliente Especial : NEON",IF(BZ391&gt;BA391-1,"Neon :      Si",""),"")</f>
        <v/>
      </c>
      <c r="BB402" s="801"/>
      <c r="BC402" s="801"/>
      <c r="BD402" s="801"/>
      <c r="BE402" s="801"/>
      <c r="BF402" s="801"/>
      <c r="BG402" s="801"/>
      <c r="BH402" s="801"/>
      <c r="BI402" s="801"/>
      <c r="BJ402" s="801"/>
      <c r="BK402" s="801"/>
      <c r="BL402" s="801"/>
      <c r="BM402" s="801"/>
      <c r="BN402" s="801"/>
      <c r="BO402" s="801"/>
      <c r="BP402" s="801"/>
      <c r="BQ402" s="801"/>
      <c r="BR402" s="801"/>
      <c r="BS402" s="801"/>
      <c r="BT402" s="801"/>
      <c r="BU402" s="801"/>
      <c r="BV402" s="801"/>
      <c r="BW402" s="801"/>
      <c r="BX402" s="801"/>
      <c r="BY402" s="801"/>
      <c r="BZ402" s="802"/>
      <c r="CA402" s="800" t="str">
        <f>IF(CA$5="Cliente Especial : NEON",IF(CZ391&gt;CA391-1,"Neon :      Si",""),"")</f>
        <v/>
      </c>
      <c r="CB402" s="801"/>
      <c r="CC402" s="801"/>
      <c r="CD402" s="801"/>
      <c r="CE402" s="801"/>
      <c r="CF402" s="801"/>
      <c r="CG402" s="801"/>
      <c r="CH402" s="801"/>
      <c r="CI402" s="801"/>
      <c r="CJ402" s="801"/>
      <c r="CK402" s="801"/>
      <c r="CL402" s="801"/>
      <c r="CM402" s="801"/>
      <c r="CN402" s="801"/>
      <c r="CO402" s="801"/>
      <c r="CP402" s="801"/>
      <c r="CQ402" s="801"/>
      <c r="CR402" s="801"/>
      <c r="CS402" s="801"/>
      <c r="CT402" s="801"/>
      <c r="CU402" s="801"/>
      <c r="CV402" s="801"/>
      <c r="CW402" s="801"/>
      <c r="CX402" s="801"/>
      <c r="CY402" s="801"/>
      <c r="CZ402" s="802"/>
      <c r="DA402" s="800" t="str">
        <f>IF(DA$5="Cliente Especial : NEON",IF(DZ391&gt;DA391-1,"Neon :      Si",""),"")</f>
        <v/>
      </c>
      <c r="DB402" s="801"/>
      <c r="DC402" s="801"/>
      <c r="DD402" s="801"/>
      <c r="DE402" s="801"/>
      <c r="DF402" s="801"/>
      <c r="DG402" s="801"/>
      <c r="DH402" s="801"/>
      <c r="DI402" s="801"/>
      <c r="DJ402" s="801"/>
      <c r="DK402" s="801"/>
      <c r="DL402" s="801"/>
      <c r="DM402" s="801"/>
      <c r="DN402" s="801"/>
      <c r="DO402" s="801"/>
      <c r="DP402" s="801"/>
      <c r="DQ402" s="801"/>
      <c r="DR402" s="801"/>
      <c r="DS402" s="801"/>
      <c r="DT402" s="801"/>
      <c r="DU402" s="801"/>
      <c r="DV402" s="801"/>
      <c r="DW402" s="801"/>
      <c r="DX402" s="801"/>
      <c r="DY402" s="801"/>
      <c r="DZ402" s="802"/>
      <c r="EA402" s="800" t="str">
        <f>IF(EA$5="Cliente Especial : NEON",IF(EZ391&gt;EA391-1,"Neon :      Si",""),"")</f>
        <v/>
      </c>
      <c r="EB402" s="801"/>
      <c r="EC402" s="801"/>
      <c r="ED402" s="801"/>
      <c r="EE402" s="801"/>
      <c r="EF402" s="801"/>
      <c r="EG402" s="801"/>
      <c r="EH402" s="801"/>
      <c r="EI402" s="801"/>
      <c r="EJ402" s="801"/>
      <c r="EK402" s="801"/>
      <c r="EL402" s="801"/>
      <c r="EM402" s="801"/>
      <c r="EN402" s="801"/>
      <c r="EO402" s="801"/>
      <c r="EP402" s="801"/>
      <c r="EQ402" s="801"/>
      <c r="ER402" s="801"/>
      <c r="ES402" s="801"/>
      <c r="ET402" s="801"/>
      <c r="EU402" s="801"/>
      <c r="EV402" s="801"/>
      <c r="EW402" s="801"/>
      <c r="EX402" s="801"/>
      <c r="EY402" s="801"/>
      <c r="EZ402" s="802"/>
      <c r="FA402" s="800" t="str">
        <f>IF(FA$5="Cliente Especial : NEON",IF(FZ391&gt;FA391-1,"Neon :      Si",""),"")</f>
        <v/>
      </c>
      <c r="FB402" s="801"/>
      <c r="FC402" s="801"/>
      <c r="FD402" s="801"/>
      <c r="FE402" s="801"/>
      <c r="FF402" s="801"/>
      <c r="FG402" s="801"/>
      <c r="FH402" s="801"/>
      <c r="FI402" s="801"/>
      <c r="FJ402" s="801"/>
      <c r="FK402" s="801"/>
      <c r="FL402" s="801"/>
      <c r="FM402" s="801"/>
      <c r="FN402" s="801"/>
      <c r="FO402" s="801"/>
      <c r="FP402" s="801"/>
      <c r="FQ402" s="801"/>
      <c r="FR402" s="801"/>
      <c r="FS402" s="801"/>
      <c r="FT402" s="801"/>
      <c r="FU402" s="801"/>
      <c r="FV402" s="801"/>
      <c r="FW402" s="801"/>
      <c r="FX402" s="801"/>
      <c r="FY402" s="801"/>
      <c r="FZ402" s="802"/>
      <c r="GA402" s="800" t="str">
        <f>IF(GA$5="Cliente Especial : NEON",IF(GZ391&gt;GA391-1,"Neon :      Si",""),"")</f>
        <v/>
      </c>
      <c r="GB402" s="801"/>
      <c r="GC402" s="801"/>
      <c r="GD402" s="801"/>
      <c r="GE402" s="801"/>
      <c r="GF402" s="801"/>
      <c r="GG402" s="801"/>
      <c r="GH402" s="801"/>
      <c r="GI402" s="801"/>
      <c r="GJ402" s="801"/>
      <c r="GK402" s="801"/>
      <c r="GL402" s="801"/>
      <c r="GM402" s="801"/>
      <c r="GN402" s="801"/>
      <c r="GO402" s="801"/>
      <c r="GP402" s="801"/>
      <c r="GQ402" s="801"/>
      <c r="GR402" s="801"/>
      <c r="GS402" s="801"/>
      <c r="GT402" s="801"/>
      <c r="GU402" s="801"/>
      <c r="GV402" s="801"/>
      <c r="GW402" s="801"/>
      <c r="GX402" s="801"/>
      <c r="GY402" s="801"/>
      <c r="GZ402" s="802"/>
      <c r="HA402" s="800" t="str">
        <f>IF(HA$5="Cliente Especial : NEON",IF(HZ391&gt;HA391-1,"Neon :      Si",""),"")</f>
        <v/>
      </c>
      <c r="HB402" s="801"/>
      <c r="HC402" s="801"/>
      <c r="HD402" s="801"/>
      <c r="HE402" s="801"/>
      <c r="HF402" s="801"/>
      <c r="HG402" s="801"/>
      <c r="HH402" s="801"/>
      <c r="HI402" s="801"/>
      <c r="HJ402" s="801"/>
      <c r="HK402" s="801"/>
      <c r="HL402" s="801"/>
      <c r="HM402" s="801"/>
      <c r="HN402" s="801"/>
      <c r="HO402" s="801"/>
      <c r="HP402" s="801"/>
      <c r="HQ402" s="801"/>
      <c r="HR402" s="801"/>
      <c r="HS402" s="801"/>
      <c r="HT402" s="801"/>
      <c r="HU402" s="801"/>
      <c r="HV402" s="801"/>
      <c r="HW402" s="801"/>
      <c r="HX402" s="801"/>
      <c r="HY402" s="801"/>
      <c r="HZ402" s="802"/>
      <c r="IA402" s="800" t="str">
        <f>IF(IA$5="Cliente Especial : NEON",IF(IZ391&gt;IA391-1,"Neon :      Si",""),"")</f>
        <v/>
      </c>
      <c r="IB402" s="801"/>
      <c r="IC402" s="801"/>
      <c r="ID402" s="801"/>
      <c r="IE402" s="801"/>
      <c r="IF402" s="801"/>
      <c r="IG402" s="801"/>
      <c r="IH402" s="801"/>
      <c r="II402" s="801"/>
      <c r="IJ402" s="801"/>
      <c r="IK402" s="801"/>
      <c r="IL402" s="801"/>
      <c r="IM402" s="801"/>
      <c r="IN402" s="801"/>
      <c r="IO402" s="801"/>
      <c r="IP402" s="801"/>
      <c r="IQ402" s="801"/>
      <c r="IR402" s="801"/>
      <c r="IS402" s="801"/>
      <c r="IT402" s="801"/>
      <c r="IU402" s="801"/>
      <c r="IV402" s="801"/>
      <c r="IW402" s="801"/>
      <c r="IX402" s="801"/>
      <c r="IY402" s="801"/>
      <c r="IZ402" s="802"/>
    </row>
    <row r="403" spans="1:260" x14ac:dyDescent="0.25">
      <c r="A403" s="800" t="str">
        <f>IFERROR(IF(Z391&gt;A391-1,IF(INDEX(Pedidos!J:AZ,Y391+A391-1,9)&lt;&gt;"","Cierre :     "&amp; INDEX(Pedidos!J:AZ,Y391+A391-1,9),""),""),"")</f>
        <v/>
      </c>
      <c r="B403" s="801"/>
      <c r="C403" s="801"/>
      <c r="D403" s="801"/>
      <c r="E403" s="801"/>
      <c r="F403" s="801"/>
      <c r="G403" s="801"/>
      <c r="H403" s="801"/>
      <c r="I403" s="801"/>
      <c r="J403" s="801"/>
      <c r="K403" s="801"/>
      <c r="L403" s="801"/>
      <c r="M403" s="801"/>
      <c r="N403" s="801"/>
      <c r="O403" s="801"/>
      <c r="P403" s="801"/>
      <c r="Q403" s="801"/>
      <c r="R403" s="801"/>
      <c r="S403" s="801"/>
      <c r="T403" s="801"/>
      <c r="U403" s="801"/>
      <c r="V403" s="801"/>
      <c r="W403" s="801"/>
      <c r="X403" s="801"/>
      <c r="Y403" s="801"/>
      <c r="Z403" s="802"/>
      <c r="AA403" s="800" t="str">
        <f>IFERROR(IF(AZ391&gt;AA391-1,IF(INDEX(Pedidos!AJ:BZ,AY391+AA391-1,9)&lt;&gt;"","Cierre :     "&amp; INDEX(Pedidos!AJ:BZ,AY391+AA391-1,9),""),""),"")</f>
        <v/>
      </c>
      <c r="AB403" s="801"/>
      <c r="AC403" s="801"/>
      <c r="AD403" s="801"/>
      <c r="AE403" s="801"/>
      <c r="AF403" s="801"/>
      <c r="AG403" s="801"/>
      <c r="AH403" s="801"/>
      <c r="AI403" s="801"/>
      <c r="AJ403" s="801"/>
      <c r="AK403" s="801"/>
      <c r="AL403" s="801"/>
      <c r="AM403" s="801"/>
      <c r="AN403" s="801"/>
      <c r="AO403" s="801"/>
      <c r="AP403" s="801"/>
      <c r="AQ403" s="801"/>
      <c r="AR403" s="801"/>
      <c r="AS403" s="801"/>
      <c r="AT403" s="801"/>
      <c r="AU403" s="801"/>
      <c r="AV403" s="801"/>
      <c r="AW403" s="801"/>
      <c r="AX403" s="801"/>
      <c r="AY403" s="801"/>
      <c r="AZ403" s="802"/>
      <c r="BA403" s="800" t="str">
        <f>IFERROR(IF(BZ391&gt;BA391-1,IF(INDEX(Pedidos!BJ:CZ,BY391+BA391-1,9)&lt;&gt;"","Cierre :     "&amp; INDEX(Pedidos!BJ:CZ,BY391+BA391-1,9),""),""),"")</f>
        <v/>
      </c>
      <c r="BB403" s="801"/>
      <c r="BC403" s="801"/>
      <c r="BD403" s="801"/>
      <c r="BE403" s="801"/>
      <c r="BF403" s="801"/>
      <c r="BG403" s="801"/>
      <c r="BH403" s="801"/>
      <c r="BI403" s="801"/>
      <c r="BJ403" s="801"/>
      <c r="BK403" s="801"/>
      <c r="BL403" s="801"/>
      <c r="BM403" s="801"/>
      <c r="BN403" s="801"/>
      <c r="BO403" s="801"/>
      <c r="BP403" s="801"/>
      <c r="BQ403" s="801"/>
      <c r="BR403" s="801"/>
      <c r="BS403" s="801"/>
      <c r="BT403" s="801"/>
      <c r="BU403" s="801"/>
      <c r="BV403" s="801"/>
      <c r="BW403" s="801"/>
      <c r="BX403" s="801"/>
      <c r="BY403" s="801"/>
      <c r="BZ403" s="802"/>
      <c r="CA403" s="800" t="str">
        <f>IFERROR(IF(CZ391&gt;CA391-1,IF(INDEX(Pedidos!CJ:DZ,CY391+CA391-1,9)&lt;&gt;"","Cierre :     "&amp; INDEX(Pedidos!CJ:DZ,CY391+CA391-1,9),""),""),"")</f>
        <v/>
      </c>
      <c r="CB403" s="801"/>
      <c r="CC403" s="801"/>
      <c r="CD403" s="801"/>
      <c r="CE403" s="801"/>
      <c r="CF403" s="801"/>
      <c r="CG403" s="801"/>
      <c r="CH403" s="801"/>
      <c r="CI403" s="801"/>
      <c r="CJ403" s="801"/>
      <c r="CK403" s="801"/>
      <c r="CL403" s="801"/>
      <c r="CM403" s="801"/>
      <c r="CN403" s="801"/>
      <c r="CO403" s="801"/>
      <c r="CP403" s="801"/>
      <c r="CQ403" s="801"/>
      <c r="CR403" s="801"/>
      <c r="CS403" s="801"/>
      <c r="CT403" s="801"/>
      <c r="CU403" s="801"/>
      <c r="CV403" s="801"/>
      <c r="CW403" s="801"/>
      <c r="CX403" s="801"/>
      <c r="CY403" s="801"/>
      <c r="CZ403" s="802"/>
      <c r="DA403" s="800" t="str">
        <f>IFERROR(IF(DZ391&gt;DA391-1,IF(INDEX(Pedidos!DJ:EZ,DY391+DA391-1,9)&lt;&gt;"","Cierre :     "&amp; INDEX(Pedidos!DJ:EZ,DY391+DA391-1,9),""),""),"")</f>
        <v/>
      </c>
      <c r="DB403" s="801"/>
      <c r="DC403" s="801"/>
      <c r="DD403" s="801"/>
      <c r="DE403" s="801"/>
      <c r="DF403" s="801"/>
      <c r="DG403" s="801"/>
      <c r="DH403" s="801"/>
      <c r="DI403" s="801"/>
      <c r="DJ403" s="801"/>
      <c r="DK403" s="801"/>
      <c r="DL403" s="801"/>
      <c r="DM403" s="801"/>
      <c r="DN403" s="801"/>
      <c r="DO403" s="801"/>
      <c r="DP403" s="801"/>
      <c r="DQ403" s="801"/>
      <c r="DR403" s="801"/>
      <c r="DS403" s="801"/>
      <c r="DT403" s="801"/>
      <c r="DU403" s="801"/>
      <c r="DV403" s="801"/>
      <c r="DW403" s="801"/>
      <c r="DX403" s="801"/>
      <c r="DY403" s="801"/>
      <c r="DZ403" s="802"/>
      <c r="EA403" s="800" t="str">
        <f>IFERROR(IF(EZ391&gt;EA391-1,IF(INDEX(Pedidos!EJ:FZ,EY391+EA391-1,9)&lt;&gt;"","Cierre :     "&amp; INDEX(Pedidos!EJ:FZ,EY391+EA391-1,9),""),""),"")</f>
        <v/>
      </c>
      <c r="EB403" s="801"/>
      <c r="EC403" s="801"/>
      <c r="ED403" s="801"/>
      <c r="EE403" s="801"/>
      <c r="EF403" s="801"/>
      <c r="EG403" s="801"/>
      <c r="EH403" s="801"/>
      <c r="EI403" s="801"/>
      <c r="EJ403" s="801"/>
      <c r="EK403" s="801"/>
      <c r="EL403" s="801"/>
      <c r="EM403" s="801"/>
      <c r="EN403" s="801"/>
      <c r="EO403" s="801"/>
      <c r="EP403" s="801"/>
      <c r="EQ403" s="801"/>
      <c r="ER403" s="801"/>
      <c r="ES403" s="801"/>
      <c r="ET403" s="801"/>
      <c r="EU403" s="801"/>
      <c r="EV403" s="801"/>
      <c r="EW403" s="801"/>
      <c r="EX403" s="801"/>
      <c r="EY403" s="801"/>
      <c r="EZ403" s="802"/>
      <c r="FA403" s="800" t="str">
        <f>IFERROR(IF(FZ391&gt;FA391-1,IF(INDEX(Pedidos!FJ:GZ,FY391+FA391-1,9)&lt;&gt;"","Cierre :     "&amp; INDEX(Pedidos!FJ:GZ,FY391+FA391-1,9),""),""),"")</f>
        <v/>
      </c>
      <c r="FB403" s="801"/>
      <c r="FC403" s="801"/>
      <c r="FD403" s="801"/>
      <c r="FE403" s="801"/>
      <c r="FF403" s="801"/>
      <c r="FG403" s="801"/>
      <c r="FH403" s="801"/>
      <c r="FI403" s="801"/>
      <c r="FJ403" s="801"/>
      <c r="FK403" s="801"/>
      <c r="FL403" s="801"/>
      <c r="FM403" s="801"/>
      <c r="FN403" s="801"/>
      <c r="FO403" s="801"/>
      <c r="FP403" s="801"/>
      <c r="FQ403" s="801"/>
      <c r="FR403" s="801"/>
      <c r="FS403" s="801"/>
      <c r="FT403" s="801"/>
      <c r="FU403" s="801"/>
      <c r="FV403" s="801"/>
      <c r="FW403" s="801"/>
      <c r="FX403" s="801"/>
      <c r="FY403" s="801"/>
      <c r="FZ403" s="802"/>
      <c r="GA403" s="800" t="str">
        <f>IFERROR(IF(GZ391&gt;GA391-1,IF(INDEX(Pedidos!GJ:HZ,GY391+GA391-1,9)&lt;&gt;"","Cierre :     "&amp; INDEX(Pedidos!GJ:HZ,GY391+GA391-1,9),""),""),"")</f>
        <v/>
      </c>
      <c r="GB403" s="801"/>
      <c r="GC403" s="801"/>
      <c r="GD403" s="801"/>
      <c r="GE403" s="801"/>
      <c r="GF403" s="801"/>
      <c r="GG403" s="801"/>
      <c r="GH403" s="801"/>
      <c r="GI403" s="801"/>
      <c r="GJ403" s="801"/>
      <c r="GK403" s="801"/>
      <c r="GL403" s="801"/>
      <c r="GM403" s="801"/>
      <c r="GN403" s="801"/>
      <c r="GO403" s="801"/>
      <c r="GP403" s="801"/>
      <c r="GQ403" s="801"/>
      <c r="GR403" s="801"/>
      <c r="GS403" s="801"/>
      <c r="GT403" s="801"/>
      <c r="GU403" s="801"/>
      <c r="GV403" s="801"/>
      <c r="GW403" s="801"/>
      <c r="GX403" s="801"/>
      <c r="GY403" s="801"/>
      <c r="GZ403" s="802"/>
      <c r="HA403" s="800" t="str">
        <f>IFERROR(IF(HZ391&gt;HA391-1,IF(INDEX(Pedidos!HJ:IZ,HY391+HA391-1,9)&lt;&gt;"","Cierre :     "&amp; INDEX(Pedidos!HJ:IZ,HY391+HA391-1,9),""),""),"")</f>
        <v/>
      </c>
      <c r="HB403" s="801"/>
      <c r="HC403" s="801"/>
      <c r="HD403" s="801"/>
      <c r="HE403" s="801"/>
      <c r="HF403" s="801"/>
      <c r="HG403" s="801"/>
      <c r="HH403" s="801"/>
      <c r="HI403" s="801"/>
      <c r="HJ403" s="801"/>
      <c r="HK403" s="801"/>
      <c r="HL403" s="801"/>
      <c r="HM403" s="801"/>
      <c r="HN403" s="801"/>
      <c r="HO403" s="801"/>
      <c r="HP403" s="801"/>
      <c r="HQ403" s="801"/>
      <c r="HR403" s="801"/>
      <c r="HS403" s="801"/>
      <c r="HT403" s="801"/>
      <c r="HU403" s="801"/>
      <c r="HV403" s="801"/>
      <c r="HW403" s="801"/>
      <c r="HX403" s="801"/>
      <c r="HY403" s="801"/>
      <c r="HZ403" s="802"/>
      <c r="IA403" s="800" t="str">
        <f>IFERROR(IF(IZ391&gt;IA391-1,IF(INDEX(Pedidos!IJ:JZ,IY391+IA391-1,9)&lt;&gt;"","Cierre :     "&amp; INDEX(Pedidos!IJ:JZ,IY391+IA391-1,9),""),""),"")</f>
        <v/>
      </c>
      <c r="IB403" s="801"/>
      <c r="IC403" s="801"/>
      <c r="ID403" s="801"/>
      <c r="IE403" s="801"/>
      <c r="IF403" s="801"/>
      <c r="IG403" s="801"/>
      <c r="IH403" s="801"/>
      <c r="II403" s="801"/>
      <c r="IJ403" s="801"/>
      <c r="IK403" s="801"/>
      <c r="IL403" s="801"/>
      <c r="IM403" s="801"/>
      <c r="IN403" s="801"/>
      <c r="IO403" s="801"/>
      <c r="IP403" s="801"/>
      <c r="IQ403" s="801"/>
      <c r="IR403" s="801"/>
      <c r="IS403" s="801"/>
      <c r="IT403" s="801"/>
      <c r="IU403" s="801"/>
      <c r="IV403" s="801"/>
      <c r="IW403" s="801"/>
      <c r="IX403" s="801"/>
      <c r="IY403" s="801"/>
      <c r="IZ403" s="802"/>
    </row>
    <row r="404" spans="1:260" x14ac:dyDescent="0.25">
      <c r="A404" s="800" t="str">
        <f>IFERROR(IF(Z391&gt;A391-1,IF(INDEX(Pedidos!J:AZ,Y391+A391-1,11)&lt;&gt;"","Cordon :     "&amp; INDEX(Pedidos!J:AZ,Y391+A391-1,11),""),""),"")</f>
        <v/>
      </c>
      <c r="B404" s="801"/>
      <c r="C404" s="801"/>
      <c r="D404" s="801"/>
      <c r="E404" s="801"/>
      <c r="F404" s="801"/>
      <c r="G404" s="801"/>
      <c r="H404" s="801"/>
      <c r="I404" s="801"/>
      <c r="J404" s="801"/>
      <c r="K404" s="801"/>
      <c r="L404" s="801"/>
      <c r="M404" s="801"/>
      <c r="N404" s="801"/>
      <c r="O404" s="801"/>
      <c r="P404" s="801"/>
      <c r="Q404" s="801"/>
      <c r="R404" s="801"/>
      <c r="S404" s="801"/>
      <c r="T404" s="801"/>
      <c r="U404" s="801"/>
      <c r="V404" s="801"/>
      <c r="W404" s="801"/>
      <c r="X404" s="801"/>
      <c r="Y404" s="801"/>
      <c r="Z404" s="802"/>
      <c r="AA404" s="800" t="str">
        <f>IFERROR(IF(AZ391&gt;AA391-1,IF(INDEX(Pedidos!AJ:BZ,AY391+AA391-1,11)&lt;&gt;"","Cordon :     "&amp; INDEX(Pedidos!AJ:BZ,AY391+AA391-1,11),""),""),"")</f>
        <v/>
      </c>
      <c r="AB404" s="801"/>
      <c r="AC404" s="801"/>
      <c r="AD404" s="801"/>
      <c r="AE404" s="801"/>
      <c r="AF404" s="801"/>
      <c r="AG404" s="801"/>
      <c r="AH404" s="801"/>
      <c r="AI404" s="801"/>
      <c r="AJ404" s="801"/>
      <c r="AK404" s="801"/>
      <c r="AL404" s="801"/>
      <c r="AM404" s="801"/>
      <c r="AN404" s="801"/>
      <c r="AO404" s="801"/>
      <c r="AP404" s="801"/>
      <c r="AQ404" s="801"/>
      <c r="AR404" s="801"/>
      <c r="AS404" s="801"/>
      <c r="AT404" s="801"/>
      <c r="AU404" s="801"/>
      <c r="AV404" s="801"/>
      <c r="AW404" s="801"/>
      <c r="AX404" s="801"/>
      <c r="AY404" s="801"/>
      <c r="AZ404" s="802"/>
      <c r="BA404" s="800" t="str">
        <f>IFERROR(IF(BZ391&gt;BA391-1,IF(INDEX(Pedidos!BJ:CZ,BY391+BA391-1,11)&lt;&gt;"","Cordon :     "&amp; INDEX(Pedidos!BJ:CZ,BY391+BA391-1,11),""),""),"")</f>
        <v/>
      </c>
      <c r="BB404" s="801"/>
      <c r="BC404" s="801"/>
      <c r="BD404" s="801"/>
      <c r="BE404" s="801"/>
      <c r="BF404" s="801"/>
      <c r="BG404" s="801"/>
      <c r="BH404" s="801"/>
      <c r="BI404" s="801"/>
      <c r="BJ404" s="801"/>
      <c r="BK404" s="801"/>
      <c r="BL404" s="801"/>
      <c r="BM404" s="801"/>
      <c r="BN404" s="801"/>
      <c r="BO404" s="801"/>
      <c r="BP404" s="801"/>
      <c r="BQ404" s="801"/>
      <c r="BR404" s="801"/>
      <c r="BS404" s="801"/>
      <c r="BT404" s="801"/>
      <c r="BU404" s="801"/>
      <c r="BV404" s="801"/>
      <c r="BW404" s="801"/>
      <c r="BX404" s="801"/>
      <c r="BY404" s="801"/>
      <c r="BZ404" s="802"/>
      <c r="CA404" s="800" t="str">
        <f>IFERROR(IF(CZ391&gt;CA391-1,IF(INDEX(Pedidos!CJ:DZ,CY391+CA391-1,11)&lt;&gt;"","Cordon :     "&amp; INDEX(Pedidos!CJ:DZ,CY391+CA391-1,11),""),""),"")</f>
        <v/>
      </c>
      <c r="CB404" s="801"/>
      <c r="CC404" s="801"/>
      <c r="CD404" s="801"/>
      <c r="CE404" s="801"/>
      <c r="CF404" s="801"/>
      <c r="CG404" s="801"/>
      <c r="CH404" s="801"/>
      <c r="CI404" s="801"/>
      <c r="CJ404" s="801"/>
      <c r="CK404" s="801"/>
      <c r="CL404" s="801"/>
      <c r="CM404" s="801"/>
      <c r="CN404" s="801"/>
      <c r="CO404" s="801"/>
      <c r="CP404" s="801"/>
      <c r="CQ404" s="801"/>
      <c r="CR404" s="801"/>
      <c r="CS404" s="801"/>
      <c r="CT404" s="801"/>
      <c r="CU404" s="801"/>
      <c r="CV404" s="801"/>
      <c r="CW404" s="801"/>
      <c r="CX404" s="801"/>
      <c r="CY404" s="801"/>
      <c r="CZ404" s="802"/>
      <c r="DA404" s="800" t="str">
        <f>IFERROR(IF(DZ391&gt;DA391-1,IF(INDEX(Pedidos!DJ:EZ,DY391+DA391-1,11)&lt;&gt;"","Cordon :     "&amp; INDEX(Pedidos!DJ:EZ,DY391+DA391-1,11),""),""),"")</f>
        <v/>
      </c>
      <c r="DB404" s="801"/>
      <c r="DC404" s="801"/>
      <c r="DD404" s="801"/>
      <c r="DE404" s="801"/>
      <c r="DF404" s="801"/>
      <c r="DG404" s="801"/>
      <c r="DH404" s="801"/>
      <c r="DI404" s="801"/>
      <c r="DJ404" s="801"/>
      <c r="DK404" s="801"/>
      <c r="DL404" s="801"/>
      <c r="DM404" s="801"/>
      <c r="DN404" s="801"/>
      <c r="DO404" s="801"/>
      <c r="DP404" s="801"/>
      <c r="DQ404" s="801"/>
      <c r="DR404" s="801"/>
      <c r="DS404" s="801"/>
      <c r="DT404" s="801"/>
      <c r="DU404" s="801"/>
      <c r="DV404" s="801"/>
      <c r="DW404" s="801"/>
      <c r="DX404" s="801"/>
      <c r="DY404" s="801"/>
      <c r="DZ404" s="802"/>
      <c r="EA404" s="800" t="str">
        <f>IFERROR(IF(EZ391&gt;EA391-1,IF(INDEX(Pedidos!EJ:FZ,EY391+EA391-1,11)&lt;&gt;"","Cordon :     "&amp; INDEX(Pedidos!EJ:FZ,EY391+EA391-1,11),""),""),"")</f>
        <v/>
      </c>
      <c r="EB404" s="801"/>
      <c r="EC404" s="801"/>
      <c r="ED404" s="801"/>
      <c r="EE404" s="801"/>
      <c r="EF404" s="801"/>
      <c r="EG404" s="801"/>
      <c r="EH404" s="801"/>
      <c r="EI404" s="801"/>
      <c r="EJ404" s="801"/>
      <c r="EK404" s="801"/>
      <c r="EL404" s="801"/>
      <c r="EM404" s="801"/>
      <c r="EN404" s="801"/>
      <c r="EO404" s="801"/>
      <c r="EP404" s="801"/>
      <c r="EQ404" s="801"/>
      <c r="ER404" s="801"/>
      <c r="ES404" s="801"/>
      <c r="ET404" s="801"/>
      <c r="EU404" s="801"/>
      <c r="EV404" s="801"/>
      <c r="EW404" s="801"/>
      <c r="EX404" s="801"/>
      <c r="EY404" s="801"/>
      <c r="EZ404" s="802"/>
      <c r="FA404" s="800" t="str">
        <f>IFERROR(IF(FZ391&gt;FA391-1,IF(INDEX(Pedidos!FJ:GZ,FY391+FA391-1,11)&lt;&gt;"","Cordon :     "&amp; INDEX(Pedidos!FJ:GZ,FY391+FA391-1,11),""),""),"")</f>
        <v/>
      </c>
      <c r="FB404" s="801"/>
      <c r="FC404" s="801"/>
      <c r="FD404" s="801"/>
      <c r="FE404" s="801"/>
      <c r="FF404" s="801"/>
      <c r="FG404" s="801"/>
      <c r="FH404" s="801"/>
      <c r="FI404" s="801"/>
      <c r="FJ404" s="801"/>
      <c r="FK404" s="801"/>
      <c r="FL404" s="801"/>
      <c r="FM404" s="801"/>
      <c r="FN404" s="801"/>
      <c r="FO404" s="801"/>
      <c r="FP404" s="801"/>
      <c r="FQ404" s="801"/>
      <c r="FR404" s="801"/>
      <c r="FS404" s="801"/>
      <c r="FT404" s="801"/>
      <c r="FU404" s="801"/>
      <c r="FV404" s="801"/>
      <c r="FW404" s="801"/>
      <c r="FX404" s="801"/>
      <c r="FY404" s="801"/>
      <c r="FZ404" s="802"/>
      <c r="GA404" s="800" t="str">
        <f>IFERROR(IF(GZ391&gt;GA391-1,IF(INDEX(Pedidos!GJ:HZ,GY391+GA391-1,11)&lt;&gt;"","Cordon :     "&amp; INDEX(Pedidos!GJ:HZ,GY391+GA391-1,11),""),""),"")</f>
        <v/>
      </c>
      <c r="GB404" s="801"/>
      <c r="GC404" s="801"/>
      <c r="GD404" s="801"/>
      <c r="GE404" s="801"/>
      <c r="GF404" s="801"/>
      <c r="GG404" s="801"/>
      <c r="GH404" s="801"/>
      <c r="GI404" s="801"/>
      <c r="GJ404" s="801"/>
      <c r="GK404" s="801"/>
      <c r="GL404" s="801"/>
      <c r="GM404" s="801"/>
      <c r="GN404" s="801"/>
      <c r="GO404" s="801"/>
      <c r="GP404" s="801"/>
      <c r="GQ404" s="801"/>
      <c r="GR404" s="801"/>
      <c r="GS404" s="801"/>
      <c r="GT404" s="801"/>
      <c r="GU404" s="801"/>
      <c r="GV404" s="801"/>
      <c r="GW404" s="801"/>
      <c r="GX404" s="801"/>
      <c r="GY404" s="801"/>
      <c r="GZ404" s="802"/>
      <c r="HA404" s="800" t="str">
        <f>IFERROR(IF(HZ391&gt;HA391-1,IF(INDEX(Pedidos!HJ:IZ,HY391+HA391-1,11)&lt;&gt;"","Cordon :     "&amp; INDEX(Pedidos!HJ:IZ,HY391+HA391-1,11),""),""),"")</f>
        <v/>
      </c>
      <c r="HB404" s="801"/>
      <c r="HC404" s="801"/>
      <c r="HD404" s="801"/>
      <c r="HE404" s="801"/>
      <c r="HF404" s="801"/>
      <c r="HG404" s="801"/>
      <c r="HH404" s="801"/>
      <c r="HI404" s="801"/>
      <c r="HJ404" s="801"/>
      <c r="HK404" s="801"/>
      <c r="HL404" s="801"/>
      <c r="HM404" s="801"/>
      <c r="HN404" s="801"/>
      <c r="HO404" s="801"/>
      <c r="HP404" s="801"/>
      <c r="HQ404" s="801"/>
      <c r="HR404" s="801"/>
      <c r="HS404" s="801"/>
      <c r="HT404" s="801"/>
      <c r="HU404" s="801"/>
      <c r="HV404" s="801"/>
      <c r="HW404" s="801"/>
      <c r="HX404" s="801"/>
      <c r="HY404" s="801"/>
      <c r="HZ404" s="802"/>
      <c r="IA404" s="800" t="str">
        <f>IFERROR(IF(IZ391&gt;IA391-1,IF(INDEX(Pedidos!IJ:JZ,IY391+IA391-1,11)&lt;&gt;"","Cordon :     "&amp; INDEX(Pedidos!IJ:JZ,IY391+IA391-1,11),""),""),"")</f>
        <v/>
      </c>
      <c r="IB404" s="801"/>
      <c r="IC404" s="801"/>
      <c r="ID404" s="801"/>
      <c r="IE404" s="801"/>
      <c r="IF404" s="801"/>
      <c r="IG404" s="801"/>
      <c r="IH404" s="801"/>
      <c r="II404" s="801"/>
      <c r="IJ404" s="801"/>
      <c r="IK404" s="801"/>
      <c r="IL404" s="801"/>
      <c r="IM404" s="801"/>
      <c r="IN404" s="801"/>
      <c r="IO404" s="801"/>
      <c r="IP404" s="801"/>
      <c r="IQ404" s="801"/>
      <c r="IR404" s="801"/>
      <c r="IS404" s="801"/>
      <c r="IT404" s="801"/>
      <c r="IU404" s="801"/>
      <c r="IV404" s="801"/>
      <c r="IW404" s="801"/>
      <c r="IX404" s="801"/>
      <c r="IY404" s="801"/>
      <c r="IZ404" s="802"/>
    </row>
    <row r="405" spans="1:260" x14ac:dyDescent="0.25">
      <c r="A405" s="800" t="str">
        <f>IFERROR(IF(Z391&gt;A391-1,IF(INDEX(Pedidos!J:AZ,Y391+A391-1,12)&lt;&gt;"","Color Cordon :     "&amp; INDEX(Pedidos!J:AZ,Y391+A391-1,12),""),""),"")</f>
        <v/>
      </c>
      <c r="B405" s="801"/>
      <c r="C405" s="801"/>
      <c r="D405" s="801"/>
      <c r="E405" s="801"/>
      <c r="F405" s="801"/>
      <c r="G405" s="801"/>
      <c r="H405" s="801"/>
      <c r="I405" s="801"/>
      <c r="J405" s="801"/>
      <c r="K405" s="801"/>
      <c r="L405" s="801"/>
      <c r="M405" s="801"/>
      <c r="N405" s="801"/>
      <c r="O405" s="801"/>
      <c r="P405" s="801"/>
      <c r="Q405" s="801"/>
      <c r="R405" s="801"/>
      <c r="S405" s="801"/>
      <c r="T405" s="801"/>
      <c r="U405" s="801"/>
      <c r="V405" s="801"/>
      <c r="W405" s="801"/>
      <c r="X405" s="801"/>
      <c r="Y405" s="801"/>
      <c r="Z405" s="802"/>
      <c r="AA405" s="800" t="str">
        <f>IFERROR(IF(AZ391&gt;AA391-1,IF(INDEX(Pedidos!AJ:BZ,AY391+AA391-1,12)&lt;&gt;"","Color Cordon :     "&amp; INDEX(Pedidos!AJ:BZ,AY391+AA391-1,12),""),""),"")</f>
        <v/>
      </c>
      <c r="AB405" s="801"/>
      <c r="AC405" s="801"/>
      <c r="AD405" s="801"/>
      <c r="AE405" s="801"/>
      <c r="AF405" s="801"/>
      <c r="AG405" s="801"/>
      <c r="AH405" s="801"/>
      <c r="AI405" s="801"/>
      <c r="AJ405" s="801"/>
      <c r="AK405" s="801"/>
      <c r="AL405" s="801"/>
      <c r="AM405" s="801"/>
      <c r="AN405" s="801"/>
      <c r="AO405" s="801"/>
      <c r="AP405" s="801"/>
      <c r="AQ405" s="801"/>
      <c r="AR405" s="801"/>
      <c r="AS405" s="801"/>
      <c r="AT405" s="801"/>
      <c r="AU405" s="801"/>
      <c r="AV405" s="801"/>
      <c r="AW405" s="801"/>
      <c r="AX405" s="801"/>
      <c r="AY405" s="801"/>
      <c r="AZ405" s="802"/>
      <c r="BA405" s="800" t="str">
        <f>IFERROR(IF(BZ391&gt;BA391-1,IF(INDEX(Pedidos!BJ:CZ,BY391+BA391-1,12)&lt;&gt;"","Color Cordon :     "&amp; INDEX(Pedidos!BJ:CZ,BY391+BA391-1,12),""),""),"")</f>
        <v/>
      </c>
      <c r="BB405" s="801"/>
      <c r="BC405" s="801"/>
      <c r="BD405" s="801"/>
      <c r="BE405" s="801"/>
      <c r="BF405" s="801"/>
      <c r="BG405" s="801"/>
      <c r="BH405" s="801"/>
      <c r="BI405" s="801"/>
      <c r="BJ405" s="801"/>
      <c r="BK405" s="801"/>
      <c r="BL405" s="801"/>
      <c r="BM405" s="801"/>
      <c r="BN405" s="801"/>
      <c r="BO405" s="801"/>
      <c r="BP405" s="801"/>
      <c r="BQ405" s="801"/>
      <c r="BR405" s="801"/>
      <c r="BS405" s="801"/>
      <c r="BT405" s="801"/>
      <c r="BU405" s="801"/>
      <c r="BV405" s="801"/>
      <c r="BW405" s="801"/>
      <c r="BX405" s="801"/>
      <c r="BY405" s="801"/>
      <c r="BZ405" s="802"/>
      <c r="CA405" s="800" t="str">
        <f>IFERROR(IF(CZ391&gt;CA391-1,IF(INDEX(Pedidos!CJ:DZ,CY391+CA391-1,12)&lt;&gt;"","Color Cordon :     "&amp; INDEX(Pedidos!CJ:DZ,CY391+CA391-1,12),""),""),"")</f>
        <v/>
      </c>
      <c r="CB405" s="801"/>
      <c r="CC405" s="801"/>
      <c r="CD405" s="801"/>
      <c r="CE405" s="801"/>
      <c r="CF405" s="801"/>
      <c r="CG405" s="801"/>
      <c r="CH405" s="801"/>
      <c r="CI405" s="801"/>
      <c r="CJ405" s="801"/>
      <c r="CK405" s="801"/>
      <c r="CL405" s="801"/>
      <c r="CM405" s="801"/>
      <c r="CN405" s="801"/>
      <c r="CO405" s="801"/>
      <c r="CP405" s="801"/>
      <c r="CQ405" s="801"/>
      <c r="CR405" s="801"/>
      <c r="CS405" s="801"/>
      <c r="CT405" s="801"/>
      <c r="CU405" s="801"/>
      <c r="CV405" s="801"/>
      <c r="CW405" s="801"/>
      <c r="CX405" s="801"/>
      <c r="CY405" s="801"/>
      <c r="CZ405" s="802"/>
      <c r="DA405" s="800" t="str">
        <f>IFERROR(IF(DZ391&gt;DA391-1,IF(INDEX(Pedidos!DJ:EZ,DY391+DA391-1,12)&lt;&gt;"","Color Cordon :     "&amp; INDEX(Pedidos!DJ:EZ,DY391+DA391-1,12),""),""),"")</f>
        <v/>
      </c>
      <c r="DB405" s="801"/>
      <c r="DC405" s="801"/>
      <c r="DD405" s="801"/>
      <c r="DE405" s="801"/>
      <c r="DF405" s="801"/>
      <c r="DG405" s="801"/>
      <c r="DH405" s="801"/>
      <c r="DI405" s="801"/>
      <c r="DJ405" s="801"/>
      <c r="DK405" s="801"/>
      <c r="DL405" s="801"/>
      <c r="DM405" s="801"/>
      <c r="DN405" s="801"/>
      <c r="DO405" s="801"/>
      <c r="DP405" s="801"/>
      <c r="DQ405" s="801"/>
      <c r="DR405" s="801"/>
      <c r="DS405" s="801"/>
      <c r="DT405" s="801"/>
      <c r="DU405" s="801"/>
      <c r="DV405" s="801"/>
      <c r="DW405" s="801"/>
      <c r="DX405" s="801"/>
      <c r="DY405" s="801"/>
      <c r="DZ405" s="802"/>
      <c r="EA405" s="800" t="str">
        <f>IFERROR(IF(EZ391&gt;EA391-1,IF(INDEX(Pedidos!EJ:FZ,EY391+EA391-1,12)&lt;&gt;"","Color Cordon :     "&amp; INDEX(Pedidos!EJ:FZ,EY391+EA391-1,12),""),""),"")</f>
        <v/>
      </c>
      <c r="EB405" s="801"/>
      <c r="EC405" s="801"/>
      <c r="ED405" s="801"/>
      <c r="EE405" s="801"/>
      <c r="EF405" s="801"/>
      <c r="EG405" s="801"/>
      <c r="EH405" s="801"/>
      <c r="EI405" s="801"/>
      <c r="EJ405" s="801"/>
      <c r="EK405" s="801"/>
      <c r="EL405" s="801"/>
      <c r="EM405" s="801"/>
      <c r="EN405" s="801"/>
      <c r="EO405" s="801"/>
      <c r="EP405" s="801"/>
      <c r="EQ405" s="801"/>
      <c r="ER405" s="801"/>
      <c r="ES405" s="801"/>
      <c r="ET405" s="801"/>
      <c r="EU405" s="801"/>
      <c r="EV405" s="801"/>
      <c r="EW405" s="801"/>
      <c r="EX405" s="801"/>
      <c r="EY405" s="801"/>
      <c r="EZ405" s="802"/>
      <c r="FA405" s="800" t="str">
        <f>IFERROR(IF(FZ391&gt;FA391-1,IF(INDEX(Pedidos!FJ:GZ,FY391+FA391-1,12)&lt;&gt;"","Color Cordon :     "&amp; INDEX(Pedidos!FJ:GZ,FY391+FA391-1,12),""),""),"")</f>
        <v/>
      </c>
      <c r="FB405" s="801"/>
      <c r="FC405" s="801"/>
      <c r="FD405" s="801"/>
      <c r="FE405" s="801"/>
      <c r="FF405" s="801"/>
      <c r="FG405" s="801"/>
      <c r="FH405" s="801"/>
      <c r="FI405" s="801"/>
      <c r="FJ405" s="801"/>
      <c r="FK405" s="801"/>
      <c r="FL405" s="801"/>
      <c r="FM405" s="801"/>
      <c r="FN405" s="801"/>
      <c r="FO405" s="801"/>
      <c r="FP405" s="801"/>
      <c r="FQ405" s="801"/>
      <c r="FR405" s="801"/>
      <c r="FS405" s="801"/>
      <c r="FT405" s="801"/>
      <c r="FU405" s="801"/>
      <c r="FV405" s="801"/>
      <c r="FW405" s="801"/>
      <c r="FX405" s="801"/>
      <c r="FY405" s="801"/>
      <c r="FZ405" s="802"/>
      <c r="GA405" s="800" t="str">
        <f>IFERROR(IF(GZ391&gt;GA391-1,IF(INDEX(Pedidos!GJ:HZ,GY391+GA391-1,12)&lt;&gt;"","Color Cordon :     "&amp; INDEX(Pedidos!GJ:HZ,GY391+GA391-1,12),""),""),"")</f>
        <v/>
      </c>
      <c r="GB405" s="801"/>
      <c r="GC405" s="801"/>
      <c r="GD405" s="801"/>
      <c r="GE405" s="801"/>
      <c r="GF405" s="801"/>
      <c r="GG405" s="801"/>
      <c r="GH405" s="801"/>
      <c r="GI405" s="801"/>
      <c r="GJ405" s="801"/>
      <c r="GK405" s="801"/>
      <c r="GL405" s="801"/>
      <c r="GM405" s="801"/>
      <c r="GN405" s="801"/>
      <c r="GO405" s="801"/>
      <c r="GP405" s="801"/>
      <c r="GQ405" s="801"/>
      <c r="GR405" s="801"/>
      <c r="GS405" s="801"/>
      <c r="GT405" s="801"/>
      <c r="GU405" s="801"/>
      <c r="GV405" s="801"/>
      <c r="GW405" s="801"/>
      <c r="GX405" s="801"/>
      <c r="GY405" s="801"/>
      <c r="GZ405" s="802"/>
      <c r="HA405" s="800" t="str">
        <f>IFERROR(IF(HZ391&gt;HA391-1,IF(INDEX(Pedidos!HJ:IZ,HY391+HA391-1,12)&lt;&gt;"","Color Cordon :     "&amp; INDEX(Pedidos!HJ:IZ,HY391+HA391-1,12),""),""),"")</f>
        <v/>
      </c>
      <c r="HB405" s="801"/>
      <c r="HC405" s="801"/>
      <c r="HD405" s="801"/>
      <c r="HE405" s="801"/>
      <c r="HF405" s="801"/>
      <c r="HG405" s="801"/>
      <c r="HH405" s="801"/>
      <c r="HI405" s="801"/>
      <c r="HJ405" s="801"/>
      <c r="HK405" s="801"/>
      <c r="HL405" s="801"/>
      <c r="HM405" s="801"/>
      <c r="HN405" s="801"/>
      <c r="HO405" s="801"/>
      <c r="HP405" s="801"/>
      <c r="HQ405" s="801"/>
      <c r="HR405" s="801"/>
      <c r="HS405" s="801"/>
      <c r="HT405" s="801"/>
      <c r="HU405" s="801"/>
      <c r="HV405" s="801"/>
      <c r="HW405" s="801"/>
      <c r="HX405" s="801"/>
      <c r="HY405" s="801"/>
      <c r="HZ405" s="802"/>
      <c r="IA405" s="800" t="str">
        <f>IFERROR(IF(IZ391&gt;IA391-1,IF(INDEX(Pedidos!IJ:JZ,IY391+IA391-1,12)&lt;&gt;"","Color Cordon :     "&amp; INDEX(Pedidos!IJ:JZ,IY391+IA391-1,12),""),""),"")</f>
        <v/>
      </c>
      <c r="IB405" s="801"/>
      <c r="IC405" s="801"/>
      <c r="ID405" s="801"/>
      <c r="IE405" s="801"/>
      <c r="IF405" s="801"/>
      <c r="IG405" s="801"/>
      <c r="IH405" s="801"/>
      <c r="II405" s="801"/>
      <c r="IJ405" s="801"/>
      <c r="IK405" s="801"/>
      <c r="IL405" s="801"/>
      <c r="IM405" s="801"/>
      <c r="IN405" s="801"/>
      <c r="IO405" s="801"/>
      <c r="IP405" s="801"/>
      <c r="IQ405" s="801"/>
      <c r="IR405" s="801"/>
      <c r="IS405" s="801"/>
      <c r="IT405" s="801"/>
      <c r="IU405" s="801"/>
      <c r="IV405" s="801"/>
      <c r="IW405" s="801"/>
      <c r="IX405" s="801"/>
      <c r="IY405" s="801"/>
      <c r="IZ405" s="802"/>
    </row>
    <row r="406" spans="1:260" x14ac:dyDescent="0.25">
      <c r="A406" s="800"/>
      <c r="B406" s="801"/>
      <c r="C406" s="801"/>
      <c r="D406" s="801"/>
      <c r="E406" s="801"/>
      <c r="F406" s="801"/>
      <c r="G406" s="801"/>
      <c r="H406" s="801"/>
      <c r="I406" s="801"/>
      <c r="J406" s="801"/>
      <c r="K406" s="801"/>
      <c r="L406" s="801"/>
      <c r="M406" s="801"/>
      <c r="N406" s="801"/>
      <c r="O406" s="801"/>
      <c r="P406" s="801"/>
      <c r="Q406" s="801"/>
      <c r="R406" s="801"/>
      <c r="S406" s="801"/>
      <c r="T406" s="801"/>
      <c r="U406" s="801"/>
      <c r="V406" s="801"/>
      <c r="W406" s="801"/>
      <c r="X406" s="801"/>
      <c r="Y406" s="801"/>
      <c r="Z406" s="802"/>
      <c r="AA406" s="800"/>
      <c r="AB406" s="801"/>
      <c r="AC406" s="801"/>
      <c r="AD406" s="801"/>
      <c r="AE406" s="801"/>
      <c r="AF406" s="801"/>
      <c r="AG406" s="801"/>
      <c r="AH406" s="801"/>
      <c r="AI406" s="801"/>
      <c r="AJ406" s="801"/>
      <c r="AK406" s="801"/>
      <c r="AL406" s="801"/>
      <c r="AM406" s="801"/>
      <c r="AN406" s="801"/>
      <c r="AO406" s="801"/>
      <c r="AP406" s="801"/>
      <c r="AQ406" s="801"/>
      <c r="AR406" s="801"/>
      <c r="AS406" s="801"/>
      <c r="AT406" s="801"/>
      <c r="AU406" s="801"/>
      <c r="AV406" s="801"/>
      <c r="AW406" s="801"/>
      <c r="AX406" s="801"/>
      <c r="AY406" s="801"/>
      <c r="AZ406" s="802"/>
      <c r="BA406" s="800"/>
      <c r="BB406" s="801"/>
      <c r="BC406" s="801"/>
      <c r="BD406" s="801"/>
      <c r="BE406" s="801"/>
      <c r="BF406" s="801"/>
      <c r="BG406" s="801"/>
      <c r="BH406" s="801"/>
      <c r="BI406" s="801"/>
      <c r="BJ406" s="801"/>
      <c r="BK406" s="801"/>
      <c r="BL406" s="801"/>
      <c r="BM406" s="801"/>
      <c r="BN406" s="801"/>
      <c r="BO406" s="801"/>
      <c r="BP406" s="801"/>
      <c r="BQ406" s="801"/>
      <c r="BR406" s="801"/>
      <c r="BS406" s="801"/>
      <c r="BT406" s="801"/>
      <c r="BU406" s="801"/>
      <c r="BV406" s="801"/>
      <c r="BW406" s="801"/>
      <c r="BX406" s="801"/>
      <c r="BY406" s="801"/>
      <c r="BZ406" s="802"/>
      <c r="CA406" s="800"/>
      <c r="CB406" s="801"/>
      <c r="CC406" s="801"/>
      <c r="CD406" s="801"/>
      <c r="CE406" s="801"/>
      <c r="CF406" s="801"/>
      <c r="CG406" s="801"/>
      <c r="CH406" s="801"/>
      <c r="CI406" s="801"/>
      <c r="CJ406" s="801"/>
      <c r="CK406" s="801"/>
      <c r="CL406" s="801"/>
      <c r="CM406" s="801"/>
      <c r="CN406" s="801"/>
      <c r="CO406" s="801"/>
      <c r="CP406" s="801"/>
      <c r="CQ406" s="801"/>
      <c r="CR406" s="801"/>
      <c r="CS406" s="801"/>
      <c r="CT406" s="801"/>
      <c r="CU406" s="801"/>
      <c r="CV406" s="801"/>
      <c r="CW406" s="801"/>
      <c r="CX406" s="801"/>
      <c r="CY406" s="801"/>
      <c r="CZ406" s="802"/>
      <c r="DA406" s="800"/>
      <c r="DB406" s="801"/>
      <c r="DC406" s="801"/>
      <c r="DD406" s="801"/>
      <c r="DE406" s="801"/>
      <c r="DF406" s="801"/>
      <c r="DG406" s="801"/>
      <c r="DH406" s="801"/>
      <c r="DI406" s="801"/>
      <c r="DJ406" s="801"/>
      <c r="DK406" s="801"/>
      <c r="DL406" s="801"/>
      <c r="DM406" s="801"/>
      <c r="DN406" s="801"/>
      <c r="DO406" s="801"/>
      <c r="DP406" s="801"/>
      <c r="DQ406" s="801"/>
      <c r="DR406" s="801"/>
      <c r="DS406" s="801"/>
      <c r="DT406" s="801"/>
      <c r="DU406" s="801"/>
      <c r="DV406" s="801"/>
      <c r="DW406" s="801"/>
      <c r="DX406" s="801"/>
      <c r="DY406" s="801"/>
      <c r="DZ406" s="802"/>
      <c r="EA406" s="800"/>
      <c r="EB406" s="801"/>
      <c r="EC406" s="801"/>
      <c r="ED406" s="801"/>
      <c r="EE406" s="801"/>
      <c r="EF406" s="801"/>
      <c r="EG406" s="801"/>
      <c r="EH406" s="801"/>
      <c r="EI406" s="801"/>
      <c r="EJ406" s="801"/>
      <c r="EK406" s="801"/>
      <c r="EL406" s="801"/>
      <c r="EM406" s="801"/>
      <c r="EN406" s="801"/>
      <c r="EO406" s="801"/>
      <c r="EP406" s="801"/>
      <c r="EQ406" s="801"/>
      <c r="ER406" s="801"/>
      <c r="ES406" s="801"/>
      <c r="ET406" s="801"/>
      <c r="EU406" s="801"/>
      <c r="EV406" s="801"/>
      <c r="EW406" s="801"/>
      <c r="EX406" s="801"/>
      <c r="EY406" s="801"/>
      <c r="EZ406" s="802"/>
      <c r="FA406" s="800"/>
      <c r="FB406" s="801"/>
      <c r="FC406" s="801"/>
      <c r="FD406" s="801"/>
      <c r="FE406" s="801"/>
      <c r="FF406" s="801"/>
      <c r="FG406" s="801"/>
      <c r="FH406" s="801"/>
      <c r="FI406" s="801"/>
      <c r="FJ406" s="801"/>
      <c r="FK406" s="801"/>
      <c r="FL406" s="801"/>
      <c r="FM406" s="801"/>
      <c r="FN406" s="801"/>
      <c r="FO406" s="801"/>
      <c r="FP406" s="801"/>
      <c r="FQ406" s="801"/>
      <c r="FR406" s="801"/>
      <c r="FS406" s="801"/>
      <c r="FT406" s="801"/>
      <c r="FU406" s="801"/>
      <c r="FV406" s="801"/>
      <c r="FW406" s="801"/>
      <c r="FX406" s="801"/>
      <c r="FY406" s="801"/>
      <c r="FZ406" s="802"/>
      <c r="GA406" s="800"/>
      <c r="GB406" s="801"/>
      <c r="GC406" s="801"/>
      <c r="GD406" s="801"/>
      <c r="GE406" s="801"/>
      <c r="GF406" s="801"/>
      <c r="GG406" s="801"/>
      <c r="GH406" s="801"/>
      <c r="GI406" s="801"/>
      <c r="GJ406" s="801"/>
      <c r="GK406" s="801"/>
      <c r="GL406" s="801"/>
      <c r="GM406" s="801"/>
      <c r="GN406" s="801"/>
      <c r="GO406" s="801"/>
      <c r="GP406" s="801"/>
      <c r="GQ406" s="801"/>
      <c r="GR406" s="801"/>
      <c r="GS406" s="801"/>
      <c r="GT406" s="801"/>
      <c r="GU406" s="801"/>
      <c r="GV406" s="801"/>
      <c r="GW406" s="801"/>
      <c r="GX406" s="801"/>
      <c r="GY406" s="801"/>
      <c r="GZ406" s="802"/>
      <c r="HA406" s="800"/>
      <c r="HB406" s="801"/>
      <c r="HC406" s="801"/>
      <c r="HD406" s="801"/>
      <c r="HE406" s="801"/>
      <c r="HF406" s="801"/>
      <c r="HG406" s="801"/>
      <c r="HH406" s="801"/>
      <c r="HI406" s="801"/>
      <c r="HJ406" s="801"/>
      <c r="HK406" s="801"/>
      <c r="HL406" s="801"/>
      <c r="HM406" s="801"/>
      <c r="HN406" s="801"/>
      <c r="HO406" s="801"/>
      <c r="HP406" s="801"/>
      <c r="HQ406" s="801"/>
      <c r="HR406" s="801"/>
      <c r="HS406" s="801"/>
      <c r="HT406" s="801"/>
      <c r="HU406" s="801"/>
      <c r="HV406" s="801"/>
      <c r="HW406" s="801"/>
      <c r="HX406" s="801"/>
      <c r="HY406" s="801"/>
      <c r="HZ406" s="802"/>
      <c r="IA406" s="800"/>
      <c r="IB406" s="801"/>
      <c r="IC406" s="801"/>
      <c r="ID406" s="801"/>
      <c r="IE406" s="801"/>
      <c r="IF406" s="801"/>
      <c r="IG406" s="801"/>
      <c r="IH406" s="801"/>
      <c r="II406" s="801"/>
      <c r="IJ406" s="801"/>
      <c r="IK406" s="801"/>
      <c r="IL406" s="801"/>
      <c r="IM406" s="801"/>
      <c r="IN406" s="801"/>
      <c r="IO406" s="801"/>
      <c r="IP406" s="801"/>
      <c r="IQ406" s="801"/>
      <c r="IR406" s="801"/>
      <c r="IS406" s="801"/>
      <c r="IT406" s="801"/>
      <c r="IU406" s="801"/>
      <c r="IV406" s="801"/>
      <c r="IW406" s="801"/>
      <c r="IX406" s="801"/>
      <c r="IY406" s="801"/>
      <c r="IZ406" s="802"/>
    </row>
    <row r="407" spans="1:260" x14ac:dyDescent="0.25">
      <c r="A407" s="800"/>
      <c r="B407" s="801"/>
      <c r="C407" s="801"/>
      <c r="D407" s="801"/>
      <c r="E407" s="801"/>
      <c r="F407" s="801"/>
      <c r="G407" s="801"/>
      <c r="H407" s="801"/>
      <c r="I407" s="801"/>
      <c r="J407" s="801"/>
      <c r="K407" s="801"/>
      <c r="L407" s="801"/>
      <c r="M407" s="801"/>
      <c r="N407" s="801"/>
      <c r="O407" s="801"/>
      <c r="P407" s="801"/>
      <c r="Q407" s="801"/>
      <c r="R407" s="801"/>
      <c r="S407" s="801"/>
      <c r="T407" s="801"/>
      <c r="U407" s="801"/>
      <c r="V407" s="801"/>
      <c r="W407" s="801"/>
      <c r="X407" s="801"/>
      <c r="Y407" s="801"/>
      <c r="Z407" s="802"/>
      <c r="AA407" s="800"/>
      <c r="AB407" s="801"/>
      <c r="AC407" s="801"/>
      <c r="AD407" s="801"/>
      <c r="AE407" s="801"/>
      <c r="AF407" s="801"/>
      <c r="AG407" s="801"/>
      <c r="AH407" s="801"/>
      <c r="AI407" s="801"/>
      <c r="AJ407" s="801"/>
      <c r="AK407" s="801"/>
      <c r="AL407" s="801"/>
      <c r="AM407" s="801"/>
      <c r="AN407" s="801"/>
      <c r="AO407" s="801"/>
      <c r="AP407" s="801"/>
      <c r="AQ407" s="801"/>
      <c r="AR407" s="801"/>
      <c r="AS407" s="801"/>
      <c r="AT407" s="801"/>
      <c r="AU407" s="801"/>
      <c r="AV407" s="801"/>
      <c r="AW407" s="801"/>
      <c r="AX407" s="801"/>
      <c r="AY407" s="801"/>
      <c r="AZ407" s="802"/>
      <c r="BA407" s="800"/>
      <c r="BB407" s="801"/>
      <c r="BC407" s="801"/>
      <c r="BD407" s="801"/>
      <c r="BE407" s="801"/>
      <c r="BF407" s="801"/>
      <c r="BG407" s="801"/>
      <c r="BH407" s="801"/>
      <c r="BI407" s="801"/>
      <c r="BJ407" s="801"/>
      <c r="BK407" s="801"/>
      <c r="BL407" s="801"/>
      <c r="BM407" s="801"/>
      <c r="BN407" s="801"/>
      <c r="BO407" s="801"/>
      <c r="BP407" s="801"/>
      <c r="BQ407" s="801"/>
      <c r="BR407" s="801"/>
      <c r="BS407" s="801"/>
      <c r="BT407" s="801"/>
      <c r="BU407" s="801"/>
      <c r="BV407" s="801"/>
      <c r="BW407" s="801"/>
      <c r="BX407" s="801"/>
      <c r="BY407" s="801"/>
      <c r="BZ407" s="802"/>
      <c r="CA407" s="800"/>
      <c r="CB407" s="801"/>
      <c r="CC407" s="801"/>
      <c r="CD407" s="801"/>
      <c r="CE407" s="801"/>
      <c r="CF407" s="801"/>
      <c r="CG407" s="801"/>
      <c r="CH407" s="801"/>
      <c r="CI407" s="801"/>
      <c r="CJ407" s="801"/>
      <c r="CK407" s="801"/>
      <c r="CL407" s="801"/>
      <c r="CM407" s="801"/>
      <c r="CN407" s="801"/>
      <c r="CO407" s="801"/>
      <c r="CP407" s="801"/>
      <c r="CQ407" s="801"/>
      <c r="CR407" s="801"/>
      <c r="CS407" s="801"/>
      <c r="CT407" s="801"/>
      <c r="CU407" s="801"/>
      <c r="CV407" s="801"/>
      <c r="CW407" s="801"/>
      <c r="CX407" s="801"/>
      <c r="CY407" s="801"/>
      <c r="CZ407" s="802"/>
      <c r="DA407" s="800"/>
      <c r="DB407" s="801"/>
      <c r="DC407" s="801"/>
      <c r="DD407" s="801"/>
      <c r="DE407" s="801"/>
      <c r="DF407" s="801"/>
      <c r="DG407" s="801"/>
      <c r="DH407" s="801"/>
      <c r="DI407" s="801"/>
      <c r="DJ407" s="801"/>
      <c r="DK407" s="801"/>
      <c r="DL407" s="801"/>
      <c r="DM407" s="801"/>
      <c r="DN407" s="801"/>
      <c r="DO407" s="801"/>
      <c r="DP407" s="801"/>
      <c r="DQ407" s="801"/>
      <c r="DR407" s="801"/>
      <c r="DS407" s="801"/>
      <c r="DT407" s="801"/>
      <c r="DU407" s="801"/>
      <c r="DV407" s="801"/>
      <c r="DW407" s="801"/>
      <c r="DX407" s="801"/>
      <c r="DY407" s="801"/>
      <c r="DZ407" s="802"/>
      <c r="EA407" s="800"/>
      <c r="EB407" s="801"/>
      <c r="EC407" s="801"/>
      <c r="ED407" s="801"/>
      <c r="EE407" s="801"/>
      <c r="EF407" s="801"/>
      <c r="EG407" s="801"/>
      <c r="EH407" s="801"/>
      <c r="EI407" s="801"/>
      <c r="EJ407" s="801"/>
      <c r="EK407" s="801"/>
      <c r="EL407" s="801"/>
      <c r="EM407" s="801"/>
      <c r="EN407" s="801"/>
      <c r="EO407" s="801"/>
      <c r="EP407" s="801"/>
      <c r="EQ407" s="801"/>
      <c r="ER407" s="801"/>
      <c r="ES407" s="801"/>
      <c r="ET407" s="801"/>
      <c r="EU407" s="801"/>
      <c r="EV407" s="801"/>
      <c r="EW407" s="801"/>
      <c r="EX407" s="801"/>
      <c r="EY407" s="801"/>
      <c r="EZ407" s="802"/>
      <c r="FA407" s="800"/>
      <c r="FB407" s="801"/>
      <c r="FC407" s="801"/>
      <c r="FD407" s="801"/>
      <c r="FE407" s="801"/>
      <c r="FF407" s="801"/>
      <c r="FG407" s="801"/>
      <c r="FH407" s="801"/>
      <c r="FI407" s="801"/>
      <c r="FJ407" s="801"/>
      <c r="FK407" s="801"/>
      <c r="FL407" s="801"/>
      <c r="FM407" s="801"/>
      <c r="FN407" s="801"/>
      <c r="FO407" s="801"/>
      <c r="FP407" s="801"/>
      <c r="FQ407" s="801"/>
      <c r="FR407" s="801"/>
      <c r="FS407" s="801"/>
      <c r="FT407" s="801"/>
      <c r="FU407" s="801"/>
      <c r="FV407" s="801"/>
      <c r="FW407" s="801"/>
      <c r="FX407" s="801"/>
      <c r="FY407" s="801"/>
      <c r="FZ407" s="802"/>
      <c r="GA407" s="800"/>
      <c r="GB407" s="801"/>
      <c r="GC407" s="801"/>
      <c r="GD407" s="801"/>
      <c r="GE407" s="801"/>
      <c r="GF407" s="801"/>
      <c r="GG407" s="801"/>
      <c r="GH407" s="801"/>
      <c r="GI407" s="801"/>
      <c r="GJ407" s="801"/>
      <c r="GK407" s="801"/>
      <c r="GL407" s="801"/>
      <c r="GM407" s="801"/>
      <c r="GN407" s="801"/>
      <c r="GO407" s="801"/>
      <c r="GP407" s="801"/>
      <c r="GQ407" s="801"/>
      <c r="GR407" s="801"/>
      <c r="GS407" s="801"/>
      <c r="GT407" s="801"/>
      <c r="GU407" s="801"/>
      <c r="GV407" s="801"/>
      <c r="GW407" s="801"/>
      <c r="GX407" s="801"/>
      <c r="GY407" s="801"/>
      <c r="GZ407" s="802"/>
      <c r="HA407" s="800"/>
      <c r="HB407" s="801"/>
      <c r="HC407" s="801"/>
      <c r="HD407" s="801"/>
      <c r="HE407" s="801"/>
      <c r="HF407" s="801"/>
      <c r="HG407" s="801"/>
      <c r="HH407" s="801"/>
      <c r="HI407" s="801"/>
      <c r="HJ407" s="801"/>
      <c r="HK407" s="801"/>
      <c r="HL407" s="801"/>
      <c r="HM407" s="801"/>
      <c r="HN407" s="801"/>
      <c r="HO407" s="801"/>
      <c r="HP407" s="801"/>
      <c r="HQ407" s="801"/>
      <c r="HR407" s="801"/>
      <c r="HS407" s="801"/>
      <c r="HT407" s="801"/>
      <c r="HU407" s="801"/>
      <c r="HV407" s="801"/>
      <c r="HW407" s="801"/>
      <c r="HX407" s="801"/>
      <c r="HY407" s="801"/>
      <c r="HZ407" s="802"/>
      <c r="IA407" s="800"/>
      <c r="IB407" s="801"/>
      <c r="IC407" s="801"/>
      <c r="ID407" s="801"/>
      <c r="IE407" s="801"/>
      <c r="IF407" s="801"/>
      <c r="IG407" s="801"/>
      <c r="IH407" s="801"/>
      <c r="II407" s="801"/>
      <c r="IJ407" s="801"/>
      <c r="IK407" s="801"/>
      <c r="IL407" s="801"/>
      <c r="IM407" s="801"/>
      <c r="IN407" s="801"/>
      <c r="IO407" s="801"/>
      <c r="IP407" s="801"/>
      <c r="IQ407" s="801"/>
      <c r="IR407" s="801"/>
      <c r="IS407" s="801"/>
      <c r="IT407" s="801"/>
      <c r="IU407" s="801"/>
      <c r="IV407" s="801"/>
      <c r="IW407" s="801"/>
      <c r="IX407" s="801"/>
      <c r="IY407" s="801"/>
      <c r="IZ407" s="802"/>
    </row>
    <row r="408" spans="1:260" x14ac:dyDescent="0.25">
      <c r="A408" s="800" t="str">
        <f>IFERROR(IF(Z391&gt;A391-1,IF(INDEX(Pedidos!J:AZ,Y391+A391-1,31)&lt;&gt;"","Nombres :     "&amp; INDEX(Pedidos!J:AZ,Y391+A391-1,31),""),""),"")</f>
        <v/>
      </c>
      <c r="B408" s="801"/>
      <c r="C408" s="801"/>
      <c r="D408" s="801"/>
      <c r="E408" s="801"/>
      <c r="F408" s="801"/>
      <c r="G408" s="801"/>
      <c r="H408" s="801"/>
      <c r="I408" s="801"/>
      <c r="J408" s="801"/>
      <c r="K408" s="801"/>
      <c r="L408" s="801"/>
      <c r="M408" s="801"/>
      <c r="N408" s="801"/>
      <c r="O408" s="801"/>
      <c r="P408" s="801"/>
      <c r="Q408" s="801"/>
      <c r="R408" s="801"/>
      <c r="S408" s="801"/>
      <c r="T408" s="801"/>
      <c r="U408" s="801"/>
      <c r="V408" s="801"/>
      <c r="W408" s="801"/>
      <c r="X408" s="801"/>
      <c r="Y408" s="801"/>
      <c r="Z408" s="802"/>
      <c r="AA408" s="800" t="str">
        <f>IFERROR(IF(AZ391&gt;AA391-1,IF(INDEX(Pedidos!AJ:BZ,AY391+AA391-1,31)&lt;&gt;"","Nombres :     "&amp; INDEX(Pedidos!AJ:BZ,AY391+AA391-1,31),""),""),"")</f>
        <v/>
      </c>
      <c r="AB408" s="801"/>
      <c r="AC408" s="801"/>
      <c r="AD408" s="801"/>
      <c r="AE408" s="801"/>
      <c r="AF408" s="801"/>
      <c r="AG408" s="801"/>
      <c r="AH408" s="801"/>
      <c r="AI408" s="801"/>
      <c r="AJ408" s="801"/>
      <c r="AK408" s="801"/>
      <c r="AL408" s="801"/>
      <c r="AM408" s="801"/>
      <c r="AN408" s="801"/>
      <c r="AO408" s="801"/>
      <c r="AP408" s="801"/>
      <c r="AQ408" s="801"/>
      <c r="AR408" s="801"/>
      <c r="AS408" s="801"/>
      <c r="AT408" s="801"/>
      <c r="AU408" s="801"/>
      <c r="AV408" s="801"/>
      <c r="AW408" s="801"/>
      <c r="AX408" s="801"/>
      <c r="AY408" s="801"/>
      <c r="AZ408" s="802"/>
      <c r="BA408" s="800" t="str">
        <f>IFERROR(IF(BZ391&gt;BA391-1,IF(INDEX(Pedidos!BJ:CZ,BY391+BA391-1,31)&lt;&gt;"","Nombres :     "&amp; INDEX(Pedidos!BJ:CZ,BY391+BA391-1,31),""),""),"")</f>
        <v/>
      </c>
      <c r="BB408" s="801"/>
      <c r="BC408" s="801"/>
      <c r="BD408" s="801"/>
      <c r="BE408" s="801"/>
      <c r="BF408" s="801"/>
      <c r="BG408" s="801"/>
      <c r="BH408" s="801"/>
      <c r="BI408" s="801"/>
      <c r="BJ408" s="801"/>
      <c r="BK408" s="801"/>
      <c r="BL408" s="801"/>
      <c r="BM408" s="801"/>
      <c r="BN408" s="801"/>
      <c r="BO408" s="801"/>
      <c r="BP408" s="801"/>
      <c r="BQ408" s="801"/>
      <c r="BR408" s="801"/>
      <c r="BS408" s="801"/>
      <c r="BT408" s="801"/>
      <c r="BU408" s="801"/>
      <c r="BV408" s="801"/>
      <c r="BW408" s="801"/>
      <c r="BX408" s="801"/>
      <c r="BY408" s="801"/>
      <c r="BZ408" s="802"/>
      <c r="CA408" s="800" t="str">
        <f>IFERROR(IF(CZ391&gt;CA391-1,IF(INDEX(Pedidos!CJ:DZ,CY391+CA391-1,31)&lt;&gt;"","Nombres :     "&amp; INDEX(Pedidos!CJ:DZ,CY391+CA391-1,31),""),""),"")</f>
        <v/>
      </c>
      <c r="CB408" s="801"/>
      <c r="CC408" s="801"/>
      <c r="CD408" s="801"/>
      <c r="CE408" s="801"/>
      <c r="CF408" s="801"/>
      <c r="CG408" s="801"/>
      <c r="CH408" s="801"/>
      <c r="CI408" s="801"/>
      <c r="CJ408" s="801"/>
      <c r="CK408" s="801"/>
      <c r="CL408" s="801"/>
      <c r="CM408" s="801"/>
      <c r="CN408" s="801"/>
      <c r="CO408" s="801"/>
      <c r="CP408" s="801"/>
      <c r="CQ408" s="801"/>
      <c r="CR408" s="801"/>
      <c r="CS408" s="801"/>
      <c r="CT408" s="801"/>
      <c r="CU408" s="801"/>
      <c r="CV408" s="801"/>
      <c r="CW408" s="801"/>
      <c r="CX408" s="801"/>
      <c r="CY408" s="801"/>
      <c r="CZ408" s="802"/>
      <c r="DA408" s="800" t="str">
        <f>IFERROR(IF(DZ391&gt;DA391-1,IF(INDEX(Pedidos!DJ:EZ,DY391+DA391-1,31)&lt;&gt;"","Nombres :     "&amp; INDEX(Pedidos!DJ:EZ,DY391+DA391-1,31),""),""),"")</f>
        <v/>
      </c>
      <c r="DB408" s="801"/>
      <c r="DC408" s="801"/>
      <c r="DD408" s="801"/>
      <c r="DE408" s="801"/>
      <c r="DF408" s="801"/>
      <c r="DG408" s="801"/>
      <c r="DH408" s="801"/>
      <c r="DI408" s="801"/>
      <c r="DJ408" s="801"/>
      <c r="DK408" s="801"/>
      <c r="DL408" s="801"/>
      <c r="DM408" s="801"/>
      <c r="DN408" s="801"/>
      <c r="DO408" s="801"/>
      <c r="DP408" s="801"/>
      <c r="DQ408" s="801"/>
      <c r="DR408" s="801"/>
      <c r="DS408" s="801"/>
      <c r="DT408" s="801"/>
      <c r="DU408" s="801"/>
      <c r="DV408" s="801"/>
      <c r="DW408" s="801"/>
      <c r="DX408" s="801"/>
      <c r="DY408" s="801"/>
      <c r="DZ408" s="802"/>
      <c r="EA408" s="800" t="str">
        <f>IFERROR(IF(EZ391&gt;EA391-1,IF(INDEX(Pedidos!EJ:FZ,EY391+EA391-1,31)&lt;&gt;"","Nombres :     "&amp; INDEX(Pedidos!EJ:FZ,EY391+EA391-1,31),""),""),"")</f>
        <v/>
      </c>
      <c r="EB408" s="801"/>
      <c r="EC408" s="801"/>
      <c r="ED408" s="801"/>
      <c r="EE408" s="801"/>
      <c r="EF408" s="801"/>
      <c r="EG408" s="801"/>
      <c r="EH408" s="801"/>
      <c r="EI408" s="801"/>
      <c r="EJ408" s="801"/>
      <c r="EK408" s="801"/>
      <c r="EL408" s="801"/>
      <c r="EM408" s="801"/>
      <c r="EN408" s="801"/>
      <c r="EO408" s="801"/>
      <c r="EP408" s="801"/>
      <c r="EQ408" s="801"/>
      <c r="ER408" s="801"/>
      <c r="ES408" s="801"/>
      <c r="ET408" s="801"/>
      <c r="EU408" s="801"/>
      <c r="EV408" s="801"/>
      <c r="EW408" s="801"/>
      <c r="EX408" s="801"/>
      <c r="EY408" s="801"/>
      <c r="EZ408" s="802"/>
      <c r="FA408" s="800" t="str">
        <f>IFERROR(IF(FZ391&gt;FA391-1,IF(INDEX(Pedidos!FJ:GZ,FY391+FA391-1,31)&lt;&gt;"","Nombres :     "&amp; INDEX(Pedidos!FJ:GZ,FY391+FA391-1,31),""),""),"")</f>
        <v/>
      </c>
      <c r="FB408" s="801"/>
      <c r="FC408" s="801"/>
      <c r="FD408" s="801"/>
      <c r="FE408" s="801"/>
      <c r="FF408" s="801"/>
      <c r="FG408" s="801"/>
      <c r="FH408" s="801"/>
      <c r="FI408" s="801"/>
      <c r="FJ408" s="801"/>
      <c r="FK408" s="801"/>
      <c r="FL408" s="801"/>
      <c r="FM408" s="801"/>
      <c r="FN408" s="801"/>
      <c r="FO408" s="801"/>
      <c r="FP408" s="801"/>
      <c r="FQ408" s="801"/>
      <c r="FR408" s="801"/>
      <c r="FS408" s="801"/>
      <c r="FT408" s="801"/>
      <c r="FU408" s="801"/>
      <c r="FV408" s="801"/>
      <c r="FW408" s="801"/>
      <c r="FX408" s="801"/>
      <c r="FY408" s="801"/>
      <c r="FZ408" s="802"/>
      <c r="GA408" s="800" t="str">
        <f>IFERROR(IF(GZ391&gt;GA391-1,IF(INDEX(Pedidos!GJ:HZ,GY391+GA391-1,31)&lt;&gt;"","Nombres :     "&amp; INDEX(Pedidos!GJ:HZ,GY391+GA391-1,31),""),""),"")</f>
        <v/>
      </c>
      <c r="GB408" s="801"/>
      <c r="GC408" s="801"/>
      <c r="GD408" s="801"/>
      <c r="GE408" s="801"/>
      <c r="GF408" s="801"/>
      <c r="GG408" s="801"/>
      <c r="GH408" s="801"/>
      <c r="GI408" s="801"/>
      <c r="GJ408" s="801"/>
      <c r="GK408" s="801"/>
      <c r="GL408" s="801"/>
      <c r="GM408" s="801"/>
      <c r="GN408" s="801"/>
      <c r="GO408" s="801"/>
      <c r="GP408" s="801"/>
      <c r="GQ408" s="801"/>
      <c r="GR408" s="801"/>
      <c r="GS408" s="801"/>
      <c r="GT408" s="801"/>
      <c r="GU408" s="801"/>
      <c r="GV408" s="801"/>
      <c r="GW408" s="801"/>
      <c r="GX408" s="801"/>
      <c r="GY408" s="801"/>
      <c r="GZ408" s="802"/>
      <c r="HA408" s="800" t="str">
        <f>IFERROR(IF(HZ391&gt;HA391-1,IF(INDEX(Pedidos!HJ:IZ,HY391+HA391-1,31)&lt;&gt;"","Nombres :     "&amp; INDEX(Pedidos!HJ:IZ,HY391+HA391-1,31),""),""),"")</f>
        <v/>
      </c>
      <c r="HB408" s="801"/>
      <c r="HC408" s="801"/>
      <c r="HD408" s="801"/>
      <c r="HE408" s="801"/>
      <c r="HF408" s="801"/>
      <c r="HG408" s="801"/>
      <c r="HH408" s="801"/>
      <c r="HI408" s="801"/>
      <c r="HJ408" s="801"/>
      <c r="HK408" s="801"/>
      <c r="HL408" s="801"/>
      <c r="HM408" s="801"/>
      <c r="HN408" s="801"/>
      <c r="HO408" s="801"/>
      <c r="HP408" s="801"/>
      <c r="HQ408" s="801"/>
      <c r="HR408" s="801"/>
      <c r="HS408" s="801"/>
      <c r="HT408" s="801"/>
      <c r="HU408" s="801"/>
      <c r="HV408" s="801"/>
      <c r="HW408" s="801"/>
      <c r="HX408" s="801"/>
      <c r="HY408" s="801"/>
      <c r="HZ408" s="802"/>
      <c r="IA408" s="800" t="str">
        <f>IFERROR(IF(IZ391&gt;IA391-1,IF(INDEX(Pedidos!IJ:JZ,IY391+IA391-1,31)&lt;&gt;"","Nombres :     "&amp; INDEX(Pedidos!IJ:JZ,IY391+IA391-1,31),""),""),"")</f>
        <v/>
      </c>
      <c r="IB408" s="801"/>
      <c r="IC408" s="801"/>
      <c r="ID408" s="801"/>
      <c r="IE408" s="801"/>
      <c r="IF408" s="801"/>
      <c r="IG408" s="801"/>
      <c r="IH408" s="801"/>
      <c r="II408" s="801"/>
      <c r="IJ408" s="801"/>
      <c r="IK408" s="801"/>
      <c r="IL408" s="801"/>
      <c r="IM408" s="801"/>
      <c r="IN408" s="801"/>
      <c r="IO408" s="801"/>
      <c r="IP408" s="801"/>
      <c r="IQ408" s="801"/>
      <c r="IR408" s="801"/>
      <c r="IS408" s="801"/>
      <c r="IT408" s="801"/>
      <c r="IU408" s="801"/>
      <c r="IV408" s="801"/>
      <c r="IW408" s="801"/>
      <c r="IX408" s="801"/>
      <c r="IY408" s="801"/>
      <c r="IZ408" s="802"/>
    </row>
    <row r="409" spans="1:260" x14ac:dyDescent="0.25">
      <c r="A409" s="820" t="str">
        <f>IFERROR(IF(Z391&gt;A391-1,IF(INDEX(Pedidos!J:AZ,Y391+A391-1,32)&lt;&gt;"","Localización de los Nombres :     "&amp; INDEX(Pedidos!J:AZ,Y391+A391-1,32),""),""),"")</f>
        <v/>
      </c>
      <c r="B409" s="821"/>
      <c r="C409" s="821"/>
      <c r="D409" s="821"/>
      <c r="E409" s="821"/>
      <c r="F409" s="821"/>
      <c r="G409" s="821"/>
      <c r="H409" s="821"/>
      <c r="I409" s="821"/>
      <c r="J409" s="821"/>
      <c r="K409" s="821"/>
      <c r="L409" s="821"/>
      <c r="M409" s="821"/>
      <c r="N409" s="821"/>
      <c r="O409" s="821"/>
      <c r="P409" s="821"/>
      <c r="Q409" s="821"/>
      <c r="R409" s="821"/>
      <c r="S409" s="821"/>
      <c r="T409" s="821"/>
      <c r="U409" s="821"/>
      <c r="V409" s="821"/>
      <c r="W409" s="821"/>
      <c r="X409" s="821"/>
      <c r="Y409" s="821"/>
      <c r="Z409" s="822"/>
      <c r="AA409" s="820" t="str">
        <f>IFERROR(IF(AZ391&gt;AA391-1,IF(INDEX(Pedidos!AJ:BZ,AY391+AA391-1,32)&lt;&gt;"","Localización de los Nombres :     "&amp; INDEX(Pedidos!AJ:BZ,AY391+AA391-1,32),""),""),"")</f>
        <v/>
      </c>
      <c r="AB409" s="821"/>
      <c r="AC409" s="821"/>
      <c r="AD409" s="821"/>
      <c r="AE409" s="821"/>
      <c r="AF409" s="821"/>
      <c r="AG409" s="821"/>
      <c r="AH409" s="821"/>
      <c r="AI409" s="821"/>
      <c r="AJ409" s="821"/>
      <c r="AK409" s="821"/>
      <c r="AL409" s="821"/>
      <c r="AM409" s="821"/>
      <c r="AN409" s="821"/>
      <c r="AO409" s="821"/>
      <c r="AP409" s="821"/>
      <c r="AQ409" s="821"/>
      <c r="AR409" s="821"/>
      <c r="AS409" s="821"/>
      <c r="AT409" s="821"/>
      <c r="AU409" s="821"/>
      <c r="AV409" s="821"/>
      <c r="AW409" s="821"/>
      <c r="AX409" s="821"/>
      <c r="AY409" s="821"/>
      <c r="AZ409" s="822"/>
      <c r="BA409" s="820" t="str">
        <f>IFERROR(IF(BZ391&gt;BA391-1,IF(INDEX(Pedidos!BJ:CZ,BY391+BA391-1,32)&lt;&gt;"","Localización de los Nombres :     "&amp; INDEX(Pedidos!BJ:CZ,BY391+BA391-1,32),""),""),"")</f>
        <v/>
      </c>
      <c r="BB409" s="821"/>
      <c r="BC409" s="821"/>
      <c r="BD409" s="821"/>
      <c r="BE409" s="821"/>
      <c r="BF409" s="821"/>
      <c r="BG409" s="821"/>
      <c r="BH409" s="821"/>
      <c r="BI409" s="821"/>
      <c r="BJ409" s="821"/>
      <c r="BK409" s="821"/>
      <c r="BL409" s="821"/>
      <c r="BM409" s="821"/>
      <c r="BN409" s="821"/>
      <c r="BO409" s="821"/>
      <c r="BP409" s="821"/>
      <c r="BQ409" s="821"/>
      <c r="BR409" s="821"/>
      <c r="BS409" s="821"/>
      <c r="BT409" s="821"/>
      <c r="BU409" s="821"/>
      <c r="BV409" s="821"/>
      <c r="BW409" s="821"/>
      <c r="BX409" s="821"/>
      <c r="BY409" s="821"/>
      <c r="BZ409" s="822"/>
      <c r="CA409" s="820" t="str">
        <f>IFERROR(IF(CZ391&gt;CA391-1,IF(INDEX(Pedidos!CJ:DZ,CY391+CA391-1,32)&lt;&gt;"","Localización de los Nombres :     "&amp; INDEX(Pedidos!CJ:DZ,CY391+CA391-1,32),""),""),"")</f>
        <v/>
      </c>
      <c r="CB409" s="821"/>
      <c r="CC409" s="821"/>
      <c r="CD409" s="821"/>
      <c r="CE409" s="821"/>
      <c r="CF409" s="821"/>
      <c r="CG409" s="821"/>
      <c r="CH409" s="821"/>
      <c r="CI409" s="821"/>
      <c r="CJ409" s="821"/>
      <c r="CK409" s="821"/>
      <c r="CL409" s="821"/>
      <c r="CM409" s="821"/>
      <c r="CN409" s="821"/>
      <c r="CO409" s="821"/>
      <c r="CP409" s="821"/>
      <c r="CQ409" s="821"/>
      <c r="CR409" s="821"/>
      <c r="CS409" s="821"/>
      <c r="CT409" s="821"/>
      <c r="CU409" s="821"/>
      <c r="CV409" s="821"/>
      <c r="CW409" s="821"/>
      <c r="CX409" s="821"/>
      <c r="CY409" s="821"/>
      <c r="CZ409" s="822"/>
      <c r="DA409" s="820" t="str">
        <f>IFERROR(IF(DZ391&gt;DA391-1,IF(INDEX(Pedidos!DJ:EZ,DY391+DA391-1,32)&lt;&gt;"","Localización de los Nombres :     "&amp; INDEX(Pedidos!DJ:EZ,DY391+DA391-1,32),""),""),"")</f>
        <v/>
      </c>
      <c r="DB409" s="821"/>
      <c r="DC409" s="821"/>
      <c r="DD409" s="821"/>
      <c r="DE409" s="821"/>
      <c r="DF409" s="821"/>
      <c r="DG409" s="821"/>
      <c r="DH409" s="821"/>
      <c r="DI409" s="821"/>
      <c r="DJ409" s="821"/>
      <c r="DK409" s="821"/>
      <c r="DL409" s="821"/>
      <c r="DM409" s="821"/>
      <c r="DN409" s="821"/>
      <c r="DO409" s="821"/>
      <c r="DP409" s="821"/>
      <c r="DQ409" s="821"/>
      <c r="DR409" s="821"/>
      <c r="DS409" s="821"/>
      <c r="DT409" s="821"/>
      <c r="DU409" s="821"/>
      <c r="DV409" s="821"/>
      <c r="DW409" s="821"/>
      <c r="DX409" s="821"/>
      <c r="DY409" s="821"/>
      <c r="DZ409" s="822"/>
      <c r="EA409" s="820" t="str">
        <f>IFERROR(IF(EZ391&gt;EA391-1,IF(INDEX(Pedidos!EJ:FZ,EY391+EA391-1,32)&lt;&gt;"","Localización de los Nombres :     "&amp; INDEX(Pedidos!EJ:FZ,EY391+EA391-1,32),""),""),"")</f>
        <v/>
      </c>
      <c r="EB409" s="821"/>
      <c r="EC409" s="821"/>
      <c r="ED409" s="821"/>
      <c r="EE409" s="821"/>
      <c r="EF409" s="821"/>
      <c r="EG409" s="821"/>
      <c r="EH409" s="821"/>
      <c r="EI409" s="821"/>
      <c r="EJ409" s="821"/>
      <c r="EK409" s="821"/>
      <c r="EL409" s="821"/>
      <c r="EM409" s="821"/>
      <c r="EN409" s="821"/>
      <c r="EO409" s="821"/>
      <c r="EP409" s="821"/>
      <c r="EQ409" s="821"/>
      <c r="ER409" s="821"/>
      <c r="ES409" s="821"/>
      <c r="ET409" s="821"/>
      <c r="EU409" s="821"/>
      <c r="EV409" s="821"/>
      <c r="EW409" s="821"/>
      <c r="EX409" s="821"/>
      <c r="EY409" s="821"/>
      <c r="EZ409" s="822"/>
      <c r="FA409" s="820" t="str">
        <f>IFERROR(IF(FZ391&gt;FA391-1,IF(INDEX(Pedidos!FJ:GZ,FY391+FA391-1,32)&lt;&gt;"","Localización de los Nombres :     "&amp; INDEX(Pedidos!FJ:GZ,FY391+FA391-1,32),""),""),"")</f>
        <v/>
      </c>
      <c r="FB409" s="821"/>
      <c r="FC409" s="821"/>
      <c r="FD409" s="821"/>
      <c r="FE409" s="821"/>
      <c r="FF409" s="821"/>
      <c r="FG409" s="821"/>
      <c r="FH409" s="821"/>
      <c r="FI409" s="821"/>
      <c r="FJ409" s="821"/>
      <c r="FK409" s="821"/>
      <c r="FL409" s="821"/>
      <c r="FM409" s="821"/>
      <c r="FN409" s="821"/>
      <c r="FO409" s="821"/>
      <c r="FP409" s="821"/>
      <c r="FQ409" s="821"/>
      <c r="FR409" s="821"/>
      <c r="FS409" s="821"/>
      <c r="FT409" s="821"/>
      <c r="FU409" s="821"/>
      <c r="FV409" s="821"/>
      <c r="FW409" s="821"/>
      <c r="FX409" s="821"/>
      <c r="FY409" s="821"/>
      <c r="FZ409" s="822"/>
      <c r="GA409" s="820" t="str">
        <f>IFERROR(IF(GZ391&gt;GA391-1,IF(INDEX(Pedidos!GJ:HZ,GY391+GA391-1,32)&lt;&gt;"","Localización de los Nombres :     "&amp; INDEX(Pedidos!GJ:HZ,GY391+GA391-1,32),""),""),"")</f>
        <v/>
      </c>
      <c r="GB409" s="821"/>
      <c r="GC409" s="821"/>
      <c r="GD409" s="821"/>
      <c r="GE409" s="821"/>
      <c r="GF409" s="821"/>
      <c r="GG409" s="821"/>
      <c r="GH409" s="821"/>
      <c r="GI409" s="821"/>
      <c r="GJ409" s="821"/>
      <c r="GK409" s="821"/>
      <c r="GL409" s="821"/>
      <c r="GM409" s="821"/>
      <c r="GN409" s="821"/>
      <c r="GO409" s="821"/>
      <c r="GP409" s="821"/>
      <c r="GQ409" s="821"/>
      <c r="GR409" s="821"/>
      <c r="GS409" s="821"/>
      <c r="GT409" s="821"/>
      <c r="GU409" s="821"/>
      <c r="GV409" s="821"/>
      <c r="GW409" s="821"/>
      <c r="GX409" s="821"/>
      <c r="GY409" s="821"/>
      <c r="GZ409" s="822"/>
      <c r="HA409" s="820" t="str">
        <f>IFERROR(IF(HZ391&gt;HA391-1,IF(INDEX(Pedidos!HJ:IZ,HY391+HA391-1,32)&lt;&gt;"","Localización de los Nombres :     "&amp; INDEX(Pedidos!HJ:IZ,HY391+HA391-1,32),""),""),"")</f>
        <v/>
      </c>
      <c r="HB409" s="821"/>
      <c r="HC409" s="821"/>
      <c r="HD409" s="821"/>
      <c r="HE409" s="821"/>
      <c r="HF409" s="821"/>
      <c r="HG409" s="821"/>
      <c r="HH409" s="821"/>
      <c r="HI409" s="821"/>
      <c r="HJ409" s="821"/>
      <c r="HK409" s="821"/>
      <c r="HL409" s="821"/>
      <c r="HM409" s="821"/>
      <c r="HN409" s="821"/>
      <c r="HO409" s="821"/>
      <c r="HP409" s="821"/>
      <c r="HQ409" s="821"/>
      <c r="HR409" s="821"/>
      <c r="HS409" s="821"/>
      <c r="HT409" s="821"/>
      <c r="HU409" s="821"/>
      <c r="HV409" s="821"/>
      <c r="HW409" s="821"/>
      <c r="HX409" s="821"/>
      <c r="HY409" s="821"/>
      <c r="HZ409" s="822"/>
      <c r="IA409" s="820" t="str">
        <f>IFERROR(IF(IZ391&gt;IA391-1,IF(INDEX(Pedidos!IJ:JZ,IY391+IA391-1,32)&lt;&gt;"","Localización de los Nombres :     "&amp; INDEX(Pedidos!IJ:JZ,IY391+IA391-1,32),""),""),"")</f>
        <v/>
      </c>
      <c r="IB409" s="821"/>
      <c r="IC409" s="821"/>
      <c r="ID409" s="821"/>
      <c r="IE409" s="821"/>
      <c r="IF409" s="821"/>
      <c r="IG409" s="821"/>
      <c r="IH409" s="821"/>
      <c r="II409" s="821"/>
      <c r="IJ409" s="821"/>
      <c r="IK409" s="821"/>
      <c r="IL409" s="821"/>
      <c r="IM409" s="821"/>
      <c r="IN409" s="821"/>
      <c r="IO409" s="821"/>
      <c r="IP409" s="821"/>
      <c r="IQ409" s="821"/>
      <c r="IR409" s="821"/>
      <c r="IS409" s="821"/>
      <c r="IT409" s="821"/>
      <c r="IU409" s="821"/>
      <c r="IV409" s="821"/>
      <c r="IW409" s="821"/>
      <c r="IX409" s="821"/>
      <c r="IY409" s="821"/>
      <c r="IZ409" s="822"/>
    </row>
    <row r="410" spans="1:260" x14ac:dyDescent="0.25">
      <c r="A410" s="836" t="str">
        <f>IFERROR(IF(Z391&gt;A391-1,IF(INDEX(Pedidos!J:AZ,Y391+A391-1,37)&lt;&gt;"","Otras Instrucciones Especiales :     "&amp; INDEX(Pedidos!J:AZ,Y391+A391-1,37),""),""),"")</f>
        <v/>
      </c>
      <c r="B410" s="837"/>
      <c r="C410" s="837"/>
      <c r="D410" s="837"/>
      <c r="E410" s="837"/>
      <c r="F410" s="837"/>
      <c r="G410" s="837"/>
      <c r="H410" s="837"/>
      <c r="I410" s="837"/>
      <c r="J410" s="837"/>
      <c r="K410" s="837"/>
      <c r="L410" s="837"/>
      <c r="M410" s="837"/>
      <c r="N410" s="837"/>
      <c r="O410" s="837"/>
      <c r="P410" s="837"/>
      <c r="Q410" s="837"/>
      <c r="R410" s="837"/>
      <c r="S410" s="837"/>
      <c r="T410" s="837"/>
      <c r="U410" s="837"/>
      <c r="V410" s="837"/>
      <c r="W410" s="837"/>
      <c r="X410" s="837"/>
      <c r="Y410" s="837"/>
      <c r="Z410" s="838"/>
      <c r="AA410" s="836" t="str">
        <f>IFERROR(IF(AZ391&gt;AA391-1,IF(INDEX(Pedidos!AJ:BZ,AY391+AA391-1,37)&lt;&gt;"","Otras Instrucciones Especiales :     "&amp; INDEX(Pedidos!AJ:BZ,AY391+AA391-1,37),""),""),"")</f>
        <v/>
      </c>
      <c r="AB410" s="837"/>
      <c r="AC410" s="837"/>
      <c r="AD410" s="837"/>
      <c r="AE410" s="837"/>
      <c r="AF410" s="837"/>
      <c r="AG410" s="837"/>
      <c r="AH410" s="837"/>
      <c r="AI410" s="837"/>
      <c r="AJ410" s="837"/>
      <c r="AK410" s="837"/>
      <c r="AL410" s="837"/>
      <c r="AM410" s="837"/>
      <c r="AN410" s="837"/>
      <c r="AO410" s="837"/>
      <c r="AP410" s="837"/>
      <c r="AQ410" s="837"/>
      <c r="AR410" s="837"/>
      <c r="AS410" s="837"/>
      <c r="AT410" s="837"/>
      <c r="AU410" s="837"/>
      <c r="AV410" s="837"/>
      <c r="AW410" s="837"/>
      <c r="AX410" s="837"/>
      <c r="AY410" s="837"/>
      <c r="AZ410" s="838"/>
      <c r="BA410" s="836" t="str">
        <f>IFERROR(IF(BZ391&gt;BA391-1,IF(INDEX(Pedidos!BJ:CZ,BY391+BA391-1,37)&lt;&gt;"","Otras Instrucciones Especiales :     "&amp; INDEX(Pedidos!BJ:CZ,BY391+BA391-1,37),""),""),"")</f>
        <v/>
      </c>
      <c r="BB410" s="837"/>
      <c r="BC410" s="837"/>
      <c r="BD410" s="837"/>
      <c r="BE410" s="837"/>
      <c r="BF410" s="837"/>
      <c r="BG410" s="837"/>
      <c r="BH410" s="837"/>
      <c r="BI410" s="837"/>
      <c r="BJ410" s="837"/>
      <c r="BK410" s="837"/>
      <c r="BL410" s="837"/>
      <c r="BM410" s="837"/>
      <c r="BN410" s="837"/>
      <c r="BO410" s="837"/>
      <c r="BP410" s="837"/>
      <c r="BQ410" s="837"/>
      <c r="BR410" s="837"/>
      <c r="BS410" s="837"/>
      <c r="BT410" s="837"/>
      <c r="BU410" s="837"/>
      <c r="BV410" s="837"/>
      <c r="BW410" s="837"/>
      <c r="BX410" s="837"/>
      <c r="BY410" s="837"/>
      <c r="BZ410" s="838"/>
      <c r="CA410" s="836" t="str">
        <f>IFERROR(IF(CZ391&gt;CA391-1,IF(INDEX(Pedidos!CJ:DZ,CY391+CA391-1,37)&lt;&gt;"","Otras Instrucciones Especiales :     "&amp; INDEX(Pedidos!CJ:DZ,CY391+CA391-1,37),""),""),"")</f>
        <v/>
      </c>
      <c r="CB410" s="837"/>
      <c r="CC410" s="837"/>
      <c r="CD410" s="837"/>
      <c r="CE410" s="837"/>
      <c r="CF410" s="837"/>
      <c r="CG410" s="837"/>
      <c r="CH410" s="837"/>
      <c r="CI410" s="837"/>
      <c r="CJ410" s="837"/>
      <c r="CK410" s="837"/>
      <c r="CL410" s="837"/>
      <c r="CM410" s="837"/>
      <c r="CN410" s="837"/>
      <c r="CO410" s="837"/>
      <c r="CP410" s="837"/>
      <c r="CQ410" s="837"/>
      <c r="CR410" s="837"/>
      <c r="CS410" s="837"/>
      <c r="CT410" s="837"/>
      <c r="CU410" s="837"/>
      <c r="CV410" s="837"/>
      <c r="CW410" s="837"/>
      <c r="CX410" s="837"/>
      <c r="CY410" s="837"/>
      <c r="CZ410" s="838"/>
      <c r="DA410" s="836" t="str">
        <f>IFERROR(IF(DZ391&gt;DA391-1,IF(INDEX(Pedidos!DJ:EZ,DY391+DA391-1,37)&lt;&gt;"","Otras Instrucciones Especiales :     "&amp; INDEX(Pedidos!DJ:EZ,DY391+DA391-1,37),""),""),"")</f>
        <v/>
      </c>
      <c r="DB410" s="837"/>
      <c r="DC410" s="837"/>
      <c r="DD410" s="837"/>
      <c r="DE410" s="837"/>
      <c r="DF410" s="837"/>
      <c r="DG410" s="837"/>
      <c r="DH410" s="837"/>
      <c r="DI410" s="837"/>
      <c r="DJ410" s="837"/>
      <c r="DK410" s="837"/>
      <c r="DL410" s="837"/>
      <c r="DM410" s="837"/>
      <c r="DN410" s="837"/>
      <c r="DO410" s="837"/>
      <c r="DP410" s="837"/>
      <c r="DQ410" s="837"/>
      <c r="DR410" s="837"/>
      <c r="DS410" s="837"/>
      <c r="DT410" s="837"/>
      <c r="DU410" s="837"/>
      <c r="DV410" s="837"/>
      <c r="DW410" s="837"/>
      <c r="DX410" s="837"/>
      <c r="DY410" s="837"/>
      <c r="DZ410" s="838"/>
      <c r="EA410" s="836" t="str">
        <f>IFERROR(IF(EZ391&gt;EA391-1,IF(INDEX(Pedidos!EJ:FZ,EY391+EA391-1,37)&lt;&gt;"","Otras Instrucciones Especiales :     "&amp; INDEX(Pedidos!EJ:FZ,EY391+EA391-1,37),""),""),"")</f>
        <v/>
      </c>
      <c r="EB410" s="837"/>
      <c r="EC410" s="837"/>
      <c r="ED410" s="837"/>
      <c r="EE410" s="837"/>
      <c r="EF410" s="837"/>
      <c r="EG410" s="837"/>
      <c r="EH410" s="837"/>
      <c r="EI410" s="837"/>
      <c r="EJ410" s="837"/>
      <c r="EK410" s="837"/>
      <c r="EL410" s="837"/>
      <c r="EM410" s="837"/>
      <c r="EN410" s="837"/>
      <c r="EO410" s="837"/>
      <c r="EP410" s="837"/>
      <c r="EQ410" s="837"/>
      <c r="ER410" s="837"/>
      <c r="ES410" s="837"/>
      <c r="ET410" s="837"/>
      <c r="EU410" s="837"/>
      <c r="EV410" s="837"/>
      <c r="EW410" s="837"/>
      <c r="EX410" s="837"/>
      <c r="EY410" s="837"/>
      <c r="EZ410" s="838"/>
      <c r="FA410" s="836" t="str">
        <f>IFERROR(IF(FZ391&gt;FA391-1,IF(INDEX(Pedidos!FJ:GZ,FY391+FA391-1,37)&lt;&gt;"","Otras Instrucciones Especiales :     "&amp; INDEX(Pedidos!FJ:GZ,FY391+FA391-1,37),""),""),"")</f>
        <v/>
      </c>
      <c r="FB410" s="837"/>
      <c r="FC410" s="837"/>
      <c r="FD410" s="837"/>
      <c r="FE410" s="837"/>
      <c r="FF410" s="837"/>
      <c r="FG410" s="837"/>
      <c r="FH410" s="837"/>
      <c r="FI410" s="837"/>
      <c r="FJ410" s="837"/>
      <c r="FK410" s="837"/>
      <c r="FL410" s="837"/>
      <c r="FM410" s="837"/>
      <c r="FN410" s="837"/>
      <c r="FO410" s="837"/>
      <c r="FP410" s="837"/>
      <c r="FQ410" s="837"/>
      <c r="FR410" s="837"/>
      <c r="FS410" s="837"/>
      <c r="FT410" s="837"/>
      <c r="FU410" s="837"/>
      <c r="FV410" s="837"/>
      <c r="FW410" s="837"/>
      <c r="FX410" s="837"/>
      <c r="FY410" s="837"/>
      <c r="FZ410" s="838"/>
      <c r="GA410" s="836" t="str">
        <f>IFERROR(IF(GZ391&gt;GA391-1,IF(INDEX(Pedidos!GJ:HZ,GY391+GA391-1,37)&lt;&gt;"","Otras Instrucciones Especiales :     "&amp; INDEX(Pedidos!GJ:HZ,GY391+GA391-1,37),""),""),"")</f>
        <v/>
      </c>
      <c r="GB410" s="837"/>
      <c r="GC410" s="837"/>
      <c r="GD410" s="837"/>
      <c r="GE410" s="837"/>
      <c r="GF410" s="837"/>
      <c r="GG410" s="837"/>
      <c r="GH410" s="837"/>
      <c r="GI410" s="837"/>
      <c r="GJ410" s="837"/>
      <c r="GK410" s="837"/>
      <c r="GL410" s="837"/>
      <c r="GM410" s="837"/>
      <c r="GN410" s="837"/>
      <c r="GO410" s="837"/>
      <c r="GP410" s="837"/>
      <c r="GQ410" s="837"/>
      <c r="GR410" s="837"/>
      <c r="GS410" s="837"/>
      <c r="GT410" s="837"/>
      <c r="GU410" s="837"/>
      <c r="GV410" s="837"/>
      <c r="GW410" s="837"/>
      <c r="GX410" s="837"/>
      <c r="GY410" s="837"/>
      <c r="GZ410" s="838"/>
      <c r="HA410" s="836" t="str">
        <f>IFERROR(IF(HZ391&gt;HA391-1,IF(INDEX(Pedidos!HJ:IZ,HY391+HA391-1,37)&lt;&gt;"","Otras Instrucciones Especiales :     "&amp; INDEX(Pedidos!HJ:IZ,HY391+HA391-1,37),""),""),"")</f>
        <v/>
      </c>
      <c r="HB410" s="837"/>
      <c r="HC410" s="837"/>
      <c r="HD410" s="837"/>
      <c r="HE410" s="837"/>
      <c r="HF410" s="837"/>
      <c r="HG410" s="837"/>
      <c r="HH410" s="837"/>
      <c r="HI410" s="837"/>
      <c r="HJ410" s="837"/>
      <c r="HK410" s="837"/>
      <c r="HL410" s="837"/>
      <c r="HM410" s="837"/>
      <c r="HN410" s="837"/>
      <c r="HO410" s="837"/>
      <c r="HP410" s="837"/>
      <c r="HQ410" s="837"/>
      <c r="HR410" s="837"/>
      <c r="HS410" s="837"/>
      <c r="HT410" s="837"/>
      <c r="HU410" s="837"/>
      <c r="HV410" s="837"/>
      <c r="HW410" s="837"/>
      <c r="HX410" s="837"/>
      <c r="HY410" s="837"/>
      <c r="HZ410" s="838"/>
      <c r="IA410" s="836" t="str">
        <f>IFERROR(IF(IZ391&gt;IA391-1,IF(INDEX(Pedidos!IJ:JZ,IY391+IA391-1,37)&lt;&gt;"","Otras Instrucciones Especiales :     "&amp; INDEX(Pedidos!IJ:JZ,IY391+IA391-1,37),""),""),"")</f>
        <v/>
      </c>
      <c r="IB410" s="837"/>
      <c r="IC410" s="837"/>
      <c r="ID410" s="837"/>
      <c r="IE410" s="837"/>
      <c r="IF410" s="837"/>
      <c r="IG410" s="837"/>
      <c r="IH410" s="837"/>
      <c r="II410" s="837"/>
      <c r="IJ410" s="837"/>
      <c r="IK410" s="837"/>
      <c r="IL410" s="837"/>
      <c r="IM410" s="837"/>
      <c r="IN410" s="837"/>
      <c r="IO410" s="837"/>
      <c r="IP410" s="837"/>
      <c r="IQ410" s="837"/>
      <c r="IR410" s="837"/>
      <c r="IS410" s="837"/>
      <c r="IT410" s="837"/>
      <c r="IU410" s="837"/>
      <c r="IV410" s="837"/>
      <c r="IW410" s="837"/>
      <c r="IX410" s="837"/>
      <c r="IY410" s="837"/>
      <c r="IZ410" s="838"/>
    </row>
    <row r="411" spans="1:260" ht="15.75" thickBot="1" x14ac:dyDescent="0.3">
      <c r="A411" s="839"/>
      <c r="B411" s="840"/>
      <c r="C411" s="840"/>
      <c r="D411" s="840"/>
      <c r="E411" s="840"/>
      <c r="F411" s="840"/>
      <c r="G411" s="840"/>
      <c r="H411" s="840"/>
      <c r="I411" s="840"/>
      <c r="J411" s="840"/>
      <c r="K411" s="840"/>
      <c r="L411" s="840"/>
      <c r="M411" s="840"/>
      <c r="N411" s="840"/>
      <c r="O411" s="840"/>
      <c r="P411" s="840"/>
      <c r="Q411" s="840"/>
      <c r="R411" s="840"/>
      <c r="S411" s="840"/>
      <c r="T411" s="840"/>
      <c r="U411" s="840"/>
      <c r="V411" s="840"/>
      <c r="W411" s="840"/>
      <c r="X411" s="840"/>
      <c r="Y411" s="840"/>
      <c r="Z411" s="841"/>
      <c r="AA411" s="839"/>
      <c r="AB411" s="840"/>
      <c r="AC411" s="840"/>
      <c r="AD411" s="840"/>
      <c r="AE411" s="840"/>
      <c r="AF411" s="840"/>
      <c r="AG411" s="840"/>
      <c r="AH411" s="840"/>
      <c r="AI411" s="840"/>
      <c r="AJ411" s="840"/>
      <c r="AK411" s="840"/>
      <c r="AL411" s="840"/>
      <c r="AM411" s="840"/>
      <c r="AN411" s="840"/>
      <c r="AO411" s="840"/>
      <c r="AP411" s="840"/>
      <c r="AQ411" s="840"/>
      <c r="AR411" s="840"/>
      <c r="AS411" s="840"/>
      <c r="AT411" s="840"/>
      <c r="AU411" s="840"/>
      <c r="AV411" s="840"/>
      <c r="AW411" s="840"/>
      <c r="AX411" s="840"/>
      <c r="AY411" s="840"/>
      <c r="AZ411" s="841"/>
      <c r="BA411" s="839"/>
      <c r="BB411" s="840"/>
      <c r="BC411" s="840"/>
      <c r="BD411" s="840"/>
      <c r="BE411" s="840"/>
      <c r="BF411" s="840"/>
      <c r="BG411" s="840"/>
      <c r="BH411" s="840"/>
      <c r="BI411" s="840"/>
      <c r="BJ411" s="840"/>
      <c r="BK411" s="840"/>
      <c r="BL411" s="840"/>
      <c r="BM411" s="840"/>
      <c r="BN411" s="840"/>
      <c r="BO411" s="840"/>
      <c r="BP411" s="840"/>
      <c r="BQ411" s="840"/>
      <c r="BR411" s="840"/>
      <c r="BS411" s="840"/>
      <c r="BT411" s="840"/>
      <c r="BU411" s="840"/>
      <c r="BV411" s="840"/>
      <c r="BW411" s="840"/>
      <c r="BX411" s="840"/>
      <c r="BY411" s="840"/>
      <c r="BZ411" s="841"/>
      <c r="CA411" s="839"/>
      <c r="CB411" s="840"/>
      <c r="CC411" s="840"/>
      <c r="CD411" s="840"/>
      <c r="CE411" s="840"/>
      <c r="CF411" s="840"/>
      <c r="CG411" s="840"/>
      <c r="CH411" s="840"/>
      <c r="CI411" s="840"/>
      <c r="CJ411" s="840"/>
      <c r="CK411" s="840"/>
      <c r="CL411" s="840"/>
      <c r="CM411" s="840"/>
      <c r="CN411" s="840"/>
      <c r="CO411" s="840"/>
      <c r="CP411" s="840"/>
      <c r="CQ411" s="840"/>
      <c r="CR411" s="840"/>
      <c r="CS411" s="840"/>
      <c r="CT411" s="840"/>
      <c r="CU411" s="840"/>
      <c r="CV411" s="840"/>
      <c r="CW411" s="840"/>
      <c r="CX411" s="840"/>
      <c r="CY411" s="840"/>
      <c r="CZ411" s="841"/>
      <c r="DA411" s="839"/>
      <c r="DB411" s="840"/>
      <c r="DC411" s="840"/>
      <c r="DD411" s="840"/>
      <c r="DE411" s="840"/>
      <c r="DF411" s="840"/>
      <c r="DG411" s="840"/>
      <c r="DH411" s="840"/>
      <c r="DI411" s="840"/>
      <c r="DJ411" s="840"/>
      <c r="DK411" s="840"/>
      <c r="DL411" s="840"/>
      <c r="DM411" s="840"/>
      <c r="DN411" s="840"/>
      <c r="DO411" s="840"/>
      <c r="DP411" s="840"/>
      <c r="DQ411" s="840"/>
      <c r="DR411" s="840"/>
      <c r="DS411" s="840"/>
      <c r="DT411" s="840"/>
      <c r="DU411" s="840"/>
      <c r="DV411" s="840"/>
      <c r="DW411" s="840"/>
      <c r="DX411" s="840"/>
      <c r="DY411" s="840"/>
      <c r="DZ411" s="841"/>
      <c r="EA411" s="839"/>
      <c r="EB411" s="840"/>
      <c r="EC411" s="840"/>
      <c r="ED411" s="840"/>
      <c r="EE411" s="840"/>
      <c r="EF411" s="840"/>
      <c r="EG411" s="840"/>
      <c r="EH411" s="840"/>
      <c r="EI411" s="840"/>
      <c r="EJ411" s="840"/>
      <c r="EK411" s="840"/>
      <c r="EL411" s="840"/>
      <c r="EM411" s="840"/>
      <c r="EN411" s="840"/>
      <c r="EO411" s="840"/>
      <c r="EP411" s="840"/>
      <c r="EQ411" s="840"/>
      <c r="ER411" s="840"/>
      <c r="ES411" s="840"/>
      <c r="ET411" s="840"/>
      <c r="EU411" s="840"/>
      <c r="EV411" s="840"/>
      <c r="EW411" s="840"/>
      <c r="EX411" s="840"/>
      <c r="EY411" s="840"/>
      <c r="EZ411" s="841"/>
      <c r="FA411" s="839"/>
      <c r="FB411" s="840"/>
      <c r="FC411" s="840"/>
      <c r="FD411" s="840"/>
      <c r="FE411" s="840"/>
      <c r="FF411" s="840"/>
      <c r="FG411" s="840"/>
      <c r="FH411" s="840"/>
      <c r="FI411" s="840"/>
      <c r="FJ411" s="840"/>
      <c r="FK411" s="840"/>
      <c r="FL411" s="840"/>
      <c r="FM411" s="840"/>
      <c r="FN411" s="840"/>
      <c r="FO411" s="840"/>
      <c r="FP411" s="840"/>
      <c r="FQ411" s="840"/>
      <c r="FR411" s="840"/>
      <c r="FS411" s="840"/>
      <c r="FT411" s="840"/>
      <c r="FU411" s="840"/>
      <c r="FV411" s="840"/>
      <c r="FW411" s="840"/>
      <c r="FX411" s="840"/>
      <c r="FY411" s="840"/>
      <c r="FZ411" s="841"/>
      <c r="GA411" s="839"/>
      <c r="GB411" s="840"/>
      <c r="GC411" s="840"/>
      <c r="GD411" s="840"/>
      <c r="GE411" s="840"/>
      <c r="GF411" s="840"/>
      <c r="GG411" s="840"/>
      <c r="GH411" s="840"/>
      <c r="GI411" s="840"/>
      <c r="GJ411" s="840"/>
      <c r="GK411" s="840"/>
      <c r="GL411" s="840"/>
      <c r="GM411" s="840"/>
      <c r="GN411" s="840"/>
      <c r="GO411" s="840"/>
      <c r="GP411" s="840"/>
      <c r="GQ411" s="840"/>
      <c r="GR411" s="840"/>
      <c r="GS411" s="840"/>
      <c r="GT411" s="840"/>
      <c r="GU411" s="840"/>
      <c r="GV411" s="840"/>
      <c r="GW411" s="840"/>
      <c r="GX411" s="840"/>
      <c r="GY411" s="840"/>
      <c r="GZ411" s="841"/>
      <c r="HA411" s="839"/>
      <c r="HB411" s="840"/>
      <c r="HC411" s="840"/>
      <c r="HD411" s="840"/>
      <c r="HE411" s="840"/>
      <c r="HF411" s="840"/>
      <c r="HG411" s="840"/>
      <c r="HH411" s="840"/>
      <c r="HI411" s="840"/>
      <c r="HJ411" s="840"/>
      <c r="HK411" s="840"/>
      <c r="HL411" s="840"/>
      <c r="HM411" s="840"/>
      <c r="HN411" s="840"/>
      <c r="HO411" s="840"/>
      <c r="HP411" s="840"/>
      <c r="HQ411" s="840"/>
      <c r="HR411" s="840"/>
      <c r="HS411" s="840"/>
      <c r="HT411" s="840"/>
      <c r="HU411" s="840"/>
      <c r="HV411" s="840"/>
      <c r="HW411" s="840"/>
      <c r="HX411" s="840"/>
      <c r="HY411" s="840"/>
      <c r="HZ411" s="841"/>
      <c r="IA411" s="839"/>
      <c r="IB411" s="840"/>
      <c r="IC411" s="840"/>
      <c r="ID411" s="840"/>
      <c r="IE411" s="840"/>
      <c r="IF411" s="840"/>
      <c r="IG411" s="840"/>
      <c r="IH411" s="840"/>
      <c r="II411" s="840"/>
      <c r="IJ411" s="840"/>
      <c r="IK411" s="840"/>
      <c r="IL411" s="840"/>
      <c r="IM411" s="840"/>
      <c r="IN411" s="840"/>
      <c r="IO411" s="840"/>
      <c r="IP411" s="840"/>
      <c r="IQ411" s="840"/>
      <c r="IR411" s="840"/>
      <c r="IS411" s="840"/>
      <c r="IT411" s="840"/>
      <c r="IU411" s="840"/>
      <c r="IV411" s="840"/>
      <c r="IW411" s="840"/>
      <c r="IX411" s="840"/>
      <c r="IY411" s="840"/>
      <c r="IZ411" s="841"/>
    </row>
    <row r="412" spans="1:260" x14ac:dyDescent="0.25">
      <c r="AA412" s="518"/>
      <c r="AB412" s="518"/>
      <c r="AC412" s="518"/>
      <c r="AD412" s="518"/>
      <c r="AE412" s="518"/>
      <c r="AF412" s="518"/>
      <c r="AG412" s="518"/>
      <c r="AH412" s="518"/>
      <c r="AI412" s="518"/>
      <c r="AJ412" s="518"/>
      <c r="AK412" s="518"/>
      <c r="AL412" s="518"/>
      <c r="AM412" s="518"/>
      <c r="AN412" s="518"/>
      <c r="AO412" s="518"/>
      <c r="AP412" s="518"/>
      <c r="AQ412" s="518"/>
      <c r="AR412" s="518"/>
      <c r="AS412" s="518"/>
      <c r="AT412" s="518"/>
      <c r="AU412" s="518"/>
      <c r="AV412" s="518"/>
      <c r="AW412" s="518"/>
    </row>
    <row r="413" spans="1:260" x14ac:dyDescent="0.25">
      <c r="AA413" s="518"/>
      <c r="AB413" s="518"/>
      <c r="AC413" s="518"/>
      <c r="AD413" s="518"/>
      <c r="AE413" s="518"/>
      <c r="AF413" s="518"/>
      <c r="AG413" s="518"/>
      <c r="AH413" s="518"/>
      <c r="AI413" s="518"/>
      <c r="AJ413" s="518"/>
      <c r="AK413" s="518"/>
      <c r="AL413" s="518"/>
      <c r="AM413" s="518"/>
      <c r="AN413" s="518"/>
      <c r="AO413" s="518"/>
      <c r="AP413" s="518"/>
      <c r="AQ413" s="518"/>
      <c r="AR413" s="518"/>
      <c r="AS413" s="518"/>
      <c r="AT413" s="518"/>
      <c r="AU413" s="518"/>
      <c r="AV413" s="518"/>
      <c r="AW413" s="518"/>
    </row>
    <row r="414" spans="1:260" x14ac:dyDescent="0.25">
      <c r="A414" s="529"/>
      <c r="B414" s="529"/>
      <c r="C414" s="529"/>
      <c r="D414" s="529"/>
      <c r="E414" s="529"/>
      <c r="F414" s="529"/>
      <c r="G414" s="529"/>
      <c r="H414" s="529"/>
      <c r="I414" s="529"/>
      <c r="J414" s="529">
        <v>18</v>
      </c>
      <c r="K414" s="529">
        <v>19</v>
      </c>
      <c r="L414" s="529">
        <v>20</v>
      </c>
      <c r="M414" s="529">
        <v>21</v>
      </c>
      <c r="N414" s="529">
        <v>22</v>
      </c>
      <c r="O414" s="529">
        <v>23</v>
      </c>
      <c r="P414" s="529">
        <v>24</v>
      </c>
      <c r="Q414" s="529">
        <v>25</v>
      </c>
      <c r="R414" s="529">
        <v>26</v>
      </c>
      <c r="S414" s="529">
        <v>27</v>
      </c>
      <c r="T414" s="529">
        <v>28</v>
      </c>
      <c r="U414" s="529">
        <v>29</v>
      </c>
      <c r="V414" s="529">
        <v>30</v>
      </c>
      <c r="W414" s="529"/>
      <c r="X414" s="529"/>
      <c r="Y414" s="529">
        <f>IFERROR(IF(COUNTIF(Pedidos!$J:$J,Q$2)&gt;A414-1,MATCH(Q$2,Pedidos!$J:$J,0),""),"")</f>
        <v>22</v>
      </c>
      <c r="Z414" s="529">
        <f>IFERROR(IF(Y414="",0,COUNTIF(Pedidos!$J:$J,Procesos!Q$2)),"")</f>
        <v>1</v>
      </c>
      <c r="AA414" s="529"/>
      <c r="AB414" s="529"/>
      <c r="AC414" s="529"/>
      <c r="AD414" s="529"/>
      <c r="AE414" s="529"/>
      <c r="AF414" s="529"/>
      <c r="AG414" s="529"/>
      <c r="AH414" s="529"/>
      <c r="AI414" s="529"/>
      <c r="AJ414" s="529">
        <v>18</v>
      </c>
      <c r="AK414" s="529">
        <v>19</v>
      </c>
      <c r="AL414" s="529">
        <v>20</v>
      </c>
      <c r="AM414" s="529">
        <v>21</v>
      </c>
      <c r="AN414" s="529">
        <v>22</v>
      </c>
      <c r="AO414" s="529">
        <v>23</v>
      </c>
      <c r="AP414" s="529">
        <v>24</v>
      </c>
      <c r="AQ414" s="529">
        <v>25</v>
      </c>
      <c r="AR414" s="529">
        <v>26</v>
      </c>
      <c r="AS414" s="529">
        <v>27</v>
      </c>
      <c r="AT414" s="529">
        <v>28</v>
      </c>
      <c r="AU414" s="529">
        <v>29</v>
      </c>
      <c r="AV414" s="529">
        <v>30</v>
      </c>
      <c r="AW414" s="529"/>
      <c r="AX414" s="529"/>
      <c r="AY414" s="529">
        <f>IFERROR(IF(COUNTIF(Pedidos!$J:$J,AQ$2)&gt;AA414-1,MATCH(AQ$2,Pedidos!$J:$J,0),""),"")</f>
        <v>30</v>
      </c>
      <c r="AZ414" s="529">
        <f>IFERROR(IF(AY414="",0,COUNTIF(Pedidos!$J:$J,Procesos!AQ$2)),"")</f>
        <v>4</v>
      </c>
      <c r="BA414" s="529"/>
      <c r="BB414" s="529"/>
      <c r="BC414" s="529"/>
      <c r="BD414" s="529"/>
      <c r="BE414" s="529"/>
      <c r="BF414" s="529"/>
      <c r="BG414" s="529"/>
      <c r="BH414" s="529"/>
      <c r="BI414" s="529"/>
      <c r="BJ414" s="529">
        <v>18</v>
      </c>
      <c r="BK414" s="529">
        <v>19</v>
      </c>
      <c r="BL414" s="529">
        <v>20</v>
      </c>
      <c r="BM414" s="529">
        <v>21</v>
      </c>
      <c r="BN414" s="529">
        <v>22</v>
      </c>
      <c r="BO414" s="529">
        <v>23</v>
      </c>
      <c r="BP414" s="529">
        <v>24</v>
      </c>
      <c r="BQ414" s="529">
        <v>25</v>
      </c>
      <c r="BR414" s="529">
        <v>26</v>
      </c>
      <c r="BS414" s="529">
        <v>27</v>
      </c>
      <c r="BT414" s="529">
        <v>28</v>
      </c>
      <c r="BU414" s="529">
        <v>29</v>
      </c>
      <c r="BV414" s="529">
        <v>30</v>
      </c>
      <c r="BW414" s="529"/>
      <c r="BX414" s="529"/>
      <c r="BY414" s="529" t="str">
        <f>IFERROR(IF(COUNTIF(Pedidos!$J:$J,BQ$2)&gt;BA414-1,MATCH(BQ$2,Pedidos!$J:$J,0),""),"")</f>
        <v/>
      </c>
      <c r="BZ414" s="529">
        <f>IFERROR(IF(BY414="",0,COUNTIF(Pedidos!$J:$J,Procesos!BQ$2)),"")</f>
        <v>0</v>
      </c>
      <c r="CA414" s="529"/>
      <c r="CB414" s="529"/>
      <c r="CC414" s="529"/>
      <c r="CD414" s="529"/>
      <c r="CE414" s="529"/>
      <c r="CF414" s="529"/>
      <c r="CG414" s="529"/>
      <c r="CH414" s="529"/>
      <c r="CI414" s="529"/>
      <c r="CJ414" s="529">
        <v>18</v>
      </c>
      <c r="CK414" s="529">
        <v>19</v>
      </c>
      <c r="CL414" s="529">
        <v>20</v>
      </c>
      <c r="CM414" s="529">
        <v>21</v>
      </c>
      <c r="CN414" s="529">
        <v>22</v>
      </c>
      <c r="CO414" s="529">
        <v>23</v>
      </c>
      <c r="CP414" s="529">
        <v>24</v>
      </c>
      <c r="CQ414" s="529">
        <v>25</v>
      </c>
      <c r="CR414" s="529">
        <v>26</v>
      </c>
      <c r="CS414" s="529">
        <v>27</v>
      </c>
      <c r="CT414" s="529">
        <v>28</v>
      </c>
      <c r="CU414" s="529">
        <v>29</v>
      </c>
      <c r="CV414" s="529">
        <v>30</v>
      </c>
      <c r="CW414" s="529"/>
      <c r="CX414" s="529"/>
      <c r="CY414" s="529" t="str">
        <f>IFERROR(IF(COUNTIF(Pedidos!$J:$J,CQ$2)&gt;CA414-1,MATCH(CQ$2,Pedidos!$J:$J,0),""),"")</f>
        <v/>
      </c>
      <c r="CZ414" s="529">
        <f>IFERROR(IF(CY414="",0,COUNTIF(Pedidos!$J:$J,Procesos!CQ$2)),"")</f>
        <v>0</v>
      </c>
      <c r="DA414" s="529"/>
      <c r="DB414" s="529"/>
      <c r="DC414" s="529"/>
      <c r="DD414" s="529"/>
      <c r="DE414" s="529"/>
      <c r="DF414" s="529"/>
      <c r="DG414" s="529"/>
      <c r="DH414" s="529"/>
      <c r="DI414" s="529"/>
      <c r="DJ414" s="529">
        <v>18</v>
      </c>
      <c r="DK414" s="529">
        <v>19</v>
      </c>
      <c r="DL414" s="529">
        <v>20</v>
      </c>
      <c r="DM414" s="529">
        <v>21</v>
      </c>
      <c r="DN414" s="529">
        <v>22</v>
      </c>
      <c r="DO414" s="529">
        <v>23</v>
      </c>
      <c r="DP414" s="529">
        <v>24</v>
      </c>
      <c r="DQ414" s="529">
        <v>25</v>
      </c>
      <c r="DR414" s="529">
        <v>26</v>
      </c>
      <c r="DS414" s="529">
        <v>27</v>
      </c>
      <c r="DT414" s="529">
        <v>28</v>
      </c>
      <c r="DU414" s="529">
        <v>29</v>
      </c>
      <c r="DV414" s="529">
        <v>30</v>
      </c>
      <c r="DW414" s="529"/>
      <c r="DX414" s="529"/>
      <c r="DY414" s="529" t="str">
        <f>IFERROR(IF(COUNTIF(Pedidos!$J:$J,DQ$2)&gt;DA414-1,MATCH(DQ$2,Pedidos!$J:$J,0),""),"")</f>
        <v/>
      </c>
      <c r="DZ414" s="529">
        <f>IFERROR(IF(DY414="",0,COUNTIF(Pedidos!$J:$J,Procesos!DQ$2)),"")</f>
        <v>0</v>
      </c>
      <c r="EA414" s="529"/>
      <c r="EB414" s="529"/>
      <c r="EC414" s="529"/>
      <c r="ED414" s="529"/>
      <c r="EE414" s="529"/>
      <c r="EF414" s="529"/>
      <c r="EG414" s="529"/>
      <c r="EH414" s="529"/>
      <c r="EI414" s="529"/>
      <c r="EJ414" s="529">
        <v>18</v>
      </c>
      <c r="EK414" s="529">
        <v>19</v>
      </c>
      <c r="EL414" s="529">
        <v>20</v>
      </c>
      <c r="EM414" s="529">
        <v>21</v>
      </c>
      <c r="EN414" s="529">
        <v>22</v>
      </c>
      <c r="EO414" s="529">
        <v>23</v>
      </c>
      <c r="EP414" s="529">
        <v>24</v>
      </c>
      <c r="EQ414" s="529">
        <v>25</v>
      </c>
      <c r="ER414" s="529">
        <v>26</v>
      </c>
      <c r="ES414" s="529">
        <v>27</v>
      </c>
      <c r="ET414" s="529">
        <v>28</v>
      </c>
      <c r="EU414" s="529">
        <v>29</v>
      </c>
      <c r="EV414" s="529">
        <v>30</v>
      </c>
      <c r="EW414" s="529"/>
      <c r="EX414" s="529"/>
      <c r="EY414" s="529" t="str">
        <f>IFERROR(IF(COUNTIF(Pedidos!$J:$J,EQ$2)&gt;EA414-1,MATCH(EQ$2,Pedidos!$J:$J,0),""),"")</f>
        <v/>
      </c>
      <c r="EZ414" s="529">
        <f>IFERROR(IF(EY414="",0,COUNTIF(Pedidos!$J:$J,Procesos!EQ$2)),"")</f>
        <v>0</v>
      </c>
      <c r="FA414" s="529"/>
      <c r="FB414" s="529"/>
      <c r="FC414" s="529"/>
      <c r="FD414" s="529"/>
      <c r="FE414" s="529"/>
      <c r="FF414" s="529"/>
      <c r="FG414" s="529"/>
      <c r="FH414" s="529"/>
      <c r="FI414" s="529"/>
      <c r="FJ414" s="529">
        <v>18</v>
      </c>
      <c r="FK414" s="529">
        <v>19</v>
      </c>
      <c r="FL414" s="529">
        <v>20</v>
      </c>
      <c r="FM414" s="529">
        <v>21</v>
      </c>
      <c r="FN414" s="529">
        <v>22</v>
      </c>
      <c r="FO414" s="529">
        <v>23</v>
      </c>
      <c r="FP414" s="529">
        <v>24</v>
      </c>
      <c r="FQ414" s="529">
        <v>25</v>
      </c>
      <c r="FR414" s="529">
        <v>26</v>
      </c>
      <c r="FS414" s="529">
        <v>27</v>
      </c>
      <c r="FT414" s="529">
        <v>28</v>
      </c>
      <c r="FU414" s="529">
        <v>29</v>
      </c>
      <c r="FV414" s="529">
        <v>30</v>
      </c>
      <c r="FW414" s="529"/>
      <c r="FX414" s="529"/>
      <c r="FY414" s="529" t="str">
        <f>IFERROR(IF(COUNTIF(Pedidos!$J:$J,FQ$2)&gt;FA414-1,MATCH(FQ$2,Pedidos!$J:$J,0),""),"")</f>
        <v/>
      </c>
      <c r="FZ414" s="529">
        <f>IFERROR(IF(FY414="",0,COUNTIF(Pedidos!$J:$J,Procesos!FQ$2)),"")</f>
        <v>0</v>
      </c>
      <c r="GA414" s="529"/>
      <c r="GB414" s="529"/>
      <c r="GC414" s="529"/>
      <c r="GD414" s="529"/>
      <c r="GE414" s="529"/>
      <c r="GF414" s="529"/>
      <c r="GG414" s="529"/>
      <c r="GH414" s="529"/>
      <c r="GI414" s="529"/>
      <c r="GJ414" s="529">
        <v>18</v>
      </c>
      <c r="GK414" s="529">
        <v>19</v>
      </c>
      <c r="GL414" s="529">
        <v>20</v>
      </c>
      <c r="GM414" s="529">
        <v>21</v>
      </c>
      <c r="GN414" s="529">
        <v>22</v>
      </c>
      <c r="GO414" s="529">
        <v>23</v>
      </c>
      <c r="GP414" s="529">
        <v>24</v>
      </c>
      <c r="GQ414" s="529">
        <v>25</v>
      </c>
      <c r="GR414" s="529">
        <v>26</v>
      </c>
      <c r="GS414" s="529">
        <v>27</v>
      </c>
      <c r="GT414" s="529">
        <v>28</v>
      </c>
      <c r="GU414" s="529">
        <v>29</v>
      </c>
      <c r="GV414" s="529">
        <v>30</v>
      </c>
      <c r="GW414" s="529"/>
      <c r="GX414" s="529"/>
      <c r="GY414" s="529" t="str">
        <f>IFERROR(IF(COUNTIF(Pedidos!$J:$J,GQ$2)&gt;GA414-1,MATCH(GQ$2,Pedidos!$J:$J,0),""),"")</f>
        <v/>
      </c>
      <c r="GZ414" s="529">
        <f>IFERROR(IF(GY414="",0,COUNTIF(Pedidos!$J:$J,Procesos!GQ$2)),"")</f>
        <v>0</v>
      </c>
      <c r="HA414" s="529"/>
      <c r="HB414" s="529"/>
      <c r="HC414" s="529"/>
      <c r="HD414" s="529"/>
      <c r="HE414" s="529"/>
      <c r="HF414" s="529"/>
      <c r="HG414" s="529"/>
      <c r="HH414" s="529"/>
      <c r="HI414" s="529"/>
      <c r="HJ414" s="529">
        <v>18</v>
      </c>
      <c r="HK414" s="529">
        <v>19</v>
      </c>
      <c r="HL414" s="529">
        <v>20</v>
      </c>
      <c r="HM414" s="529">
        <v>21</v>
      </c>
      <c r="HN414" s="529">
        <v>22</v>
      </c>
      <c r="HO414" s="529">
        <v>23</v>
      </c>
      <c r="HP414" s="529">
        <v>24</v>
      </c>
      <c r="HQ414" s="529">
        <v>25</v>
      </c>
      <c r="HR414" s="529">
        <v>26</v>
      </c>
      <c r="HS414" s="529">
        <v>27</v>
      </c>
      <c r="HT414" s="529">
        <v>28</v>
      </c>
      <c r="HU414" s="529">
        <v>29</v>
      </c>
      <c r="HV414" s="529">
        <v>30</v>
      </c>
      <c r="HW414" s="529"/>
      <c r="HX414" s="529"/>
      <c r="HY414" s="529" t="str">
        <f>IFERROR(IF(COUNTIF(Pedidos!$J:$J,HQ$2)&gt;HA414-1,MATCH(HQ$2,Pedidos!$J:$J,0),""),"")</f>
        <v/>
      </c>
      <c r="HZ414" s="529">
        <f>IFERROR(IF(HY414="",0,COUNTIF(Pedidos!$J:$J,Procesos!HQ$2)),"")</f>
        <v>0</v>
      </c>
      <c r="IA414" s="529"/>
      <c r="IB414" s="529"/>
      <c r="IC414" s="529"/>
      <c r="ID414" s="529"/>
      <c r="IE414" s="529"/>
      <c r="IF414" s="529"/>
      <c r="IG414" s="529"/>
      <c r="IH414" s="529"/>
      <c r="II414" s="529"/>
      <c r="IJ414" s="529">
        <v>18</v>
      </c>
      <c r="IK414" s="529">
        <v>19</v>
      </c>
      <c r="IL414" s="529">
        <v>20</v>
      </c>
      <c r="IM414" s="529">
        <v>21</v>
      </c>
      <c r="IN414" s="529">
        <v>22</v>
      </c>
      <c r="IO414" s="529">
        <v>23</v>
      </c>
      <c r="IP414" s="529">
        <v>24</v>
      </c>
      <c r="IQ414" s="529">
        <v>25</v>
      </c>
      <c r="IR414" s="529">
        <v>26</v>
      </c>
      <c r="IS414" s="529">
        <v>27</v>
      </c>
      <c r="IT414" s="529">
        <v>28</v>
      </c>
      <c r="IU414" s="529">
        <v>29</v>
      </c>
      <c r="IV414" s="529">
        <v>30</v>
      </c>
      <c r="IW414" s="529"/>
      <c r="IX414" s="529"/>
      <c r="IY414" s="529" t="str">
        <f>IFERROR(IF(COUNTIF(Pedidos!$J:$J,IQ$2)&gt;IA414-1,MATCH(IQ$2,Pedidos!$J:$J,0),""),"")</f>
        <v/>
      </c>
      <c r="IZ414" s="529">
        <f>IFERROR(IF(IY414="",0,COUNTIF(Pedidos!$J:$J,Procesos!IQ$2)),"")</f>
        <v>0</v>
      </c>
    </row>
    <row r="415" spans="1:260" ht="15.75" thickBot="1" x14ac:dyDescent="0.3">
      <c r="A415" s="529">
        <v>19</v>
      </c>
      <c r="B415" s="529"/>
      <c r="C415" s="529"/>
      <c r="D415" s="529"/>
      <c r="E415" s="529"/>
      <c r="F415" s="529"/>
      <c r="G415" s="529"/>
      <c r="H415" s="529"/>
      <c r="I415" s="529"/>
      <c r="J415" s="529">
        <v>18</v>
      </c>
      <c r="K415" s="529">
        <v>19</v>
      </c>
      <c r="L415" s="529">
        <v>20</v>
      </c>
      <c r="M415" s="529">
        <v>21</v>
      </c>
      <c r="N415" s="529">
        <v>22</v>
      </c>
      <c r="O415" s="529">
        <v>23</v>
      </c>
      <c r="P415" s="529">
        <v>24</v>
      </c>
      <c r="Q415" s="529">
        <v>25</v>
      </c>
      <c r="R415" s="529">
        <v>26</v>
      </c>
      <c r="S415" s="529">
        <v>27</v>
      </c>
      <c r="T415" s="529">
        <v>28</v>
      </c>
      <c r="U415" s="529">
        <v>29</v>
      </c>
      <c r="V415" s="529">
        <v>30</v>
      </c>
      <c r="W415" s="529"/>
      <c r="X415" s="529"/>
      <c r="Y415" s="529" t="str">
        <f>IFERROR(IF(COUNTIF(Pedidos!$J:$J,Q$2)&gt;A415-1,MATCH(Q$2,Pedidos!$J:$J,0),""),"")</f>
        <v/>
      </c>
      <c r="Z415" s="529">
        <f>IFERROR(IF(Y415="",0,COUNTIF(Pedidos!$J:$J,Procesos!Q$2)),"")</f>
        <v>0</v>
      </c>
      <c r="AA415" s="529">
        <v>19</v>
      </c>
      <c r="AB415" s="529"/>
      <c r="AC415" s="529"/>
      <c r="AD415" s="529"/>
      <c r="AE415" s="529"/>
      <c r="AF415" s="529"/>
      <c r="AG415" s="529"/>
      <c r="AH415" s="529"/>
      <c r="AI415" s="529"/>
      <c r="AJ415" s="529">
        <v>18</v>
      </c>
      <c r="AK415" s="529">
        <v>19</v>
      </c>
      <c r="AL415" s="529">
        <v>20</v>
      </c>
      <c r="AM415" s="529">
        <v>21</v>
      </c>
      <c r="AN415" s="529">
        <v>22</v>
      </c>
      <c r="AO415" s="529">
        <v>23</v>
      </c>
      <c r="AP415" s="529">
        <v>24</v>
      </c>
      <c r="AQ415" s="529">
        <v>25</v>
      </c>
      <c r="AR415" s="529">
        <v>26</v>
      </c>
      <c r="AS415" s="529">
        <v>27</v>
      </c>
      <c r="AT415" s="529">
        <v>28</v>
      </c>
      <c r="AU415" s="529">
        <v>29</v>
      </c>
      <c r="AV415" s="529">
        <v>30</v>
      </c>
      <c r="AW415" s="529"/>
      <c r="AX415" s="529"/>
      <c r="AY415" s="529" t="str">
        <f>IFERROR(IF(COUNTIF(Pedidos!$J:$J,AQ$2)&gt;AA415-1,MATCH(AQ$2,Pedidos!$J:$J,0),""),"")</f>
        <v/>
      </c>
      <c r="AZ415" s="529">
        <f>IFERROR(IF(AY415="",0,COUNTIF(Pedidos!$J:$J,Procesos!AQ$2)),"")</f>
        <v>0</v>
      </c>
      <c r="BA415" s="529">
        <v>19</v>
      </c>
      <c r="BB415" s="529"/>
      <c r="BC415" s="529"/>
      <c r="BD415" s="529"/>
      <c r="BE415" s="529"/>
      <c r="BF415" s="529"/>
      <c r="BG415" s="529"/>
      <c r="BH415" s="529"/>
      <c r="BI415" s="529"/>
      <c r="BJ415" s="529">
        <v>18</v>
      </c>
      <c r="BK415" s="529">
        <v>19</v>
      </c>
      <c r="BL415" s="529">
        <v>20</v>
      </c>
      <c r="BM415" s="529">
        <v>21</v>
      </c>
      <c r="BN415" s="529">
        <v>22</v>
      </c>
      <c r="BO415" s="529">
        <v>23</v>
      </c>
      <c r="BP415" s="529">
        <v>24</v>
      </c>
      <c r="BQ415" s="529">
        <v>25</v>
      </c>
      <c r="BR415" s="529">
        <v>26</v>
      </c>
      <c r="BS415" s="529">
        <v>27</v>
      </c>
      <c r="BT415" s="529">
        <v>28</v>
      </c>
      <c r="BU415" s="529">
        <v>29</v>
      </c>
      <c r="BV415" s="529">
        <v>30</v>
      </c>
      <c r="BW415" s="529"/>
      <c r="BX415" s="529"/>
      <c r="BY415" s="529" t="str">
        <f>IFERROR(IF(COUNTIF(Pedidos!$J:$J,BQ$2)&gt;BA415-1,MATCH(BQ$2,Pedidos!$J:$J,0),""),"")</f>
        <v/>
      </c>
      <c r="BZ415" s="529">
        <f>IFERROR(IF(BY415="",0,COUNTIF(Pedidos!$J:$J,Procesos!BQ$2)),"")</f>
        <v>0</v>
      </c>
      <c r="CA415" s="529">
        <v>19</v>
      </c>
      <c r="CB415" s="529"/>
      <c r="CC415" s="529"/>
      <c r="CD415" s="529"/>
      <c r="CE415" s="529"/>
      <c r="CF415" s="529"/>
      <c r="CG415" s="529"/>
      <c r="CH415" s="529"/>
      <c r="CI415" s="529"/>
      <c r="CJ415" s="529">
        <v>18</v>
      </c>
      <c r="CK415" s="529">
        <v>19</v>
      </c>
      <c r="CL415" s="529">
        <v>20</v>
      </c>
      <c r="CM415" s="529">
        <v>21</v>
      </c>
      <c r="CN415" s="529">
        <v>22</v>
      </c>
      <c r="CO415" s="529">
        <v>23</v>
      </c>
      <c r="CP415" s="529">
        <v>24</v>
      </c>
      <c r="CQ415" s="529">
        <v>25</v>
      </c>
      <c r="CR415" s="529">
        <v>26</v>
      </c>
      <c r="CS415" s="529">
        <v>27</v>
      </c>
      <c r="CT415" s="529">
        <v>28</v>
      </c>
      <c r="CU415" s="529">
        <v>29</v>
      </c>
      <c r="CV415" s="529">
        <v>30</v>
      </c>
      <c r="CW415" s="529"/>
      <c r="CX415" s="529"/>
      <c r="CY415" s="529" t="str">
        <f>IFERROR(IF(COUNTIF(Pedidos!$J:$J,CQ$2)&gt;CA415-1,MATCH(CQ$2,Pedidos!$J:$J,0),""),"")</f>
        <v/>
      </c>
      <c r="CZ415" s="529">
        <f>IFERROR(IF(CY415="",0,COUNTIF(Pedidos!$J:$J,Procesos!CQ$2)),"")</f>
        <v>0</v>
      </c>
      <c r="DA415" s="529">
        <v>19</v>
      </c>
      <c r="DB415" s="529"/>
      <c r="DC415" s="529"/>
      <c r="DD415" s="529"/>
      <c r="DE415" s="529"/>
      <c r="DF415" s="529"/>
      <c r="DG415" s="529"/>
      <c r="DH415" s="529"/>
      <c r="DI415" s="529"/>
      <c r="DJ415" s="529">
        <v>18</v>
      </c>
      <c r="DK415" s="529">
        <v>19</v>
      </c>
      <c r="DL415" s="529">
        <v>20</v>
      </c>
      <c r="DM415" s="529">
        <v>21</v>
      </c>
      <c r="DN415" s="529">
        <v>22</v>
      </c>
      <c r="DO415" s="529">
        <v>23</v>
      </c>
      <c r="DP415" s="529">
        <v>24</v>
      </c>
      <c r="DQ415" s="529">
        <v>25</v>
      </c>
      <c r="DR415" s="529">
        <v>26</v>
      </c>
      <c r="DS415" s="529">
        <v>27</v>
      </c>
      <c r="DT415" s="529">
        <v>28</v>
      </c>
      <c r="DU415" s="529">
        <v>29</v>
      </c>
      <c r="DV415" s="529">
        <v>30</v>
      </c>
      <c r="DW415" s="529"/>
      <c r="DX415" s="529"/>
      <c r="DY415" s="529" t="str">
        <f>IFERROR(IF(COUNTIF(Pedidos!$J:$J,DQ$2)&gt;DA415-1,MATCH(DQ$2,Pedidos!$J:$J,0),""),"")</f>
        <v/>
      </c>
      <c r="DZ415" s="529">
        <f>IFERROR(IF(DY415="",0,COUNTIF(Pedidos!$J:$J,Procesos!DQ$2)),"")</f>
        <v>0</v>
      </c>
      <c r="EA415" s="529">
        <v>19</v>
      </c>
      <c r="EB415" s="529"/>
      <c r="EC415" s="529"/>
      <c r="ED415" s="529"/>
      <c r="EE415" s="529"/>
      <c r="EF415" s="529"/>
      <c r="EG415" s="529"/>
      <c r="EH415" s="529"/>
      <c r="EI415" s="529"/>
      <c r="EJ415" s="529">
        <v>18</v>
      </c>
      <c r="EK415" s="529">
        <v>19</v>
      </c>
      <c r="EL415" s="529">
        <v>20</v>
      </c>
      <c r="EM415" s="529">
        <v>21</v>
      </c>
      <c r="EN415" s="529">
        <v>22</v>
      </c>
      <c r="EO415" s="529">
        <v>23</v>
      </c>
      <c r="EP415" s="529">
        <v>24</v>
      </c>
      <c r="EQ415" s="529">
        <v>25</v>
      </c>
      <c r="ER415" s="529">
        <v>26</v>
      </c>
      <c r="ES415" s="529">
        <v>27</v>
      </c>
      <c r="ET415" s="529">
        <v>28</v>
      </c>
      <c r="EU415" s="529">
        <v>29</v>
      </c>
      <c r="EV415" s="529">
        <v>30</v>
      </c>
      <c r="EW415" s="529"/>
      <c r="EX415" s="529"/>
      <c r="EY415" s="529" t="str">
        <f>IFERROR(IF(COUNTIF(Pedidos!$J:$J,EQ$2)&gt;EA415-1,MATCH(EQ$2,Pedidos!$J:$J,0),""),"")</f>
        <v/>
      </c>
      <c r="EZ415" s="529">
        <f>IFERROR(IF(EY415="",0,COUNTIF(Pedidos!$J:$J,Procesos!EQ$2)),"")</f>
        <v>0</v>
      </c>
      <c r="FA415" s="529">
        <v>19</v>
      </c>
      <c r="FB415" s="529"/>
      <c r="FC415" s="529"/>
      <c r="FD415" s="529"/>
      <c r="FE415" s="529"/>
      <c r="FF415" s="529"/>
      <c r="FG415" s="529"/>
      <c r="FH415" s="529"/>
      <c r="FI415" s="529"/>
      <c r="FJ415" s="529">
        <v>18</v>
      </c>
      <c r="FK415" s="529">
        <v>19</v>
      </c>
      <c r="FL415" s="529">
        <v>20</v>
      </c>
      <c r="FM415" s="529">
        <v>21</v>
      </c>
      <c r="FN415" s="529">
        <v>22</v>
      </c>
      <c r="FO415" s="529">
        <v>23</v>
      </c>
      <c r="FP415" s="529">
        <v>24</v>
      </c>
      <c r="FQ415" s="529">
        <v>25</v>
      </c>
      <c r="FR415" s="529">
        <v>26</v>
      </c>
      <c r="FS415" s="529">
        <v>27</v>
      </c>
      <c r="FT415" s="529">
        <v>28</v>
      </c>
      <c r="FU415" s="529">
        <v>29</v>
      </c>
      <c r="FV415" s="529">
        <v>30</v>
      </c>
      <c r="FW415" s="529"/>
      <c r="FX415" s="529"/>
      <c r="FY415" s="529" t="str">
        <f>IFERROR(IF(COUNTIF(Pedidos!$J:$J,FQ$2)&gt;FA415-1,MATCH(FQ$2,Pedidos!$J:$J,0),""),"")</f>
        <v/>
      </c>
      <c r="FZ415" s="529">
        <f>IFERROR(IF(FY415="",0,COUNTIF(Pedidos!$J:$J,Procesos!FQ$2)),"")</f>
        <v>0</v>
      </c>
      <c r="GA415" s="529">
        <v>19</v>
      </c>
      <c r="GB415" s="529"/>
      <c r="GC415" s="529"/>
      <c r="GD415" s="529"/>
      <c r="GE415" s="529"/>
      <c r="GF415" s="529"/>
      <c r="GG415" s="529"/>
      <c r="GH415" s="529"/>
      <c r="GI415" s="529"/>
      <c r="GJ415" s="529">
        <v>18</v>
      </c>
      <c r="GK415" s="529">
        <v>19</v>
      </c>
      <c r="GL415" s="529">
        <v>20</v>
      </c>
      <c r="GM415" s="529">
        <v>21</v>
      </c>
      <c r="GN415" s="529">
        <v>22</v>
      </c>
      <c r="GO415" s="529">
        <v>23</v>
      </c>
      <c r="GP415" s="529">
        <v>24</v>
      </c>
      <c r="GQ415" s="529">
        <v>25</v>
      </c>
      <c r="GR415" s="529">
        <v>26</v>
      </c>
      <c r="GS415" s="529">
        <v>27</v>
      </c>
      <c r="GT415" s="529">
        <v>28</v>
      </c>
      <c r="GU415" s="529">
        <v>29</v>
      </c>
      <c r="GV415" s="529">
        <v>30</v>
      </c>
      <c r="GW415" s="529"/>
      <c r="GX415" s="529"/>
      <c r="GY415" s="529" t="str">
        <f>IFERROR(IF(COUNTIF(Pedidos!$J:$J,GQ$2)&gt;GA415-1,MATCH(GQ$2,Pedidos!$J:$J,0),""),"")</f>
        <v/>
      </c>
      <c r="GZ415" s="529">
        <f>IFERROR(IF(GY415="",0,COUNTIF(Pedidos!$J:$J,Procesos!GQ$2)),"")</f>
        <v>0</v>
      </c>
      <c r="HA415" s="529">
        <v>19</v>
      </c>
      <c r="HB415" s="529"/>
      <c r="HC415" s="529"/>
      <c r="HD415" s="529"/>
      <c r="HE415" s="529"/>
      <c r="HF415" s="529"/>
      <c r="HG415" s="529"/>
      <c r="HH415" s="529"/>
      <c r="HI415" s="529"/>
      <c r="HJ415" s="529">
        <v>18</v>
      </c>
      <c r="HK415" s="529">
        <v>19</v>
      </c>
      <c r="HL415" s="529">
        <v>20</v>
      </c>
      <c r="HM415" s="529">
        <v>21</v>
      </c>
      <c r="HN415" s="529">
        <v>22</v>
      </c>
      <c r="HO415" s="529">
        <v>23</v>
      </c>
      <c r="HP415" s="529">
        <v>24</v>
      </c>
      <c r="HQ415" s="529">
        <v>25</v>
      </c>
      <c r="HR415" s="529">
        <v>26</v>
      </c>
      <c r="HS415" s="529">
        <v>27</v>
      </c>
      <c r="HT415" s="529">
        <v>28</v>
      </c>
      <c r="HU415" s="529">
        <v>29</v>
      </c>
      <c r="HV415" s="529">
        <v>30</v>
      </c>
      <c r="HW415" s="529"/>
      <c r="HX415" s="529"/>
      <c r="HY415" s="529" t="str">
        <f>IFERROR(IF(COUNTIF(Pedidos!$J:$J,HQ$2)&gt;HA415-1,MATCH(HQ$2,Pedidos!$J:$J,0),""),"")</f>
        <v/>
      </c>
      <c r="HZ415" s="529">
        <f>IFERROR(IF(HY415="",0,COUNTIF(Pedidos!$J:$J,Procesos!HQ$2)),"")</f>
        <v>0</v>
      </c>
      <c r="IA415" s="529">
        <v>19</v>
      </c>
      <c r="IB415" s="529"/>
      <c r="IC415" s="529"/>
      <c r="ID415" s="529"/>
      <c r="IE415" s="529"/>
      <c r="IF415" s="529"/>
      <c r="IG415" s="529"/>
      <c r="IH415" s="529"/>
      <c r="II415" s="529"/>
      <c r="IJ415" s="529">
        <v>18</v>
      </c>
      <c r="IK415" s="529">
        <v>19</v>
      </c>
      <c r="IL415" s="529">
        <v>20</v>
      </c>
      <c r="IM415" s="529">
        <v>21</v>
      </c>
      <c r="IN415" s="529">
        <v>22</v>
      </c>
      <c r="IO415" s="529">
        <v>23</v>
      </c>
      <c r="IP415" s="529">
        <v>24</v>
      </c>
      <c r="IQ415" s="529">
        <v>25</v>
      </c>
      <c r="IR415" s="529">
        <v>26</v>
      </c>
      <c r="IS415" s="529">
        <v>27</v>
      </c>
      <c r="IT415" s="529">
        <v>28</v>
      </c>
      <c r="IU415" s="529">
        <v>29</v>
      </c>
      <c r="IV415" s="529">
        <v>30</v>
      </c>
      <c r="IW415" s="529"/>
      <c r="IX415" s="529"/>
      <c r="IY415" s="529" t="str">
        <f>IFERROR(IF(COUNTIF(Pedidos!$J:$J,IQ$2)&gt;IA415-1,MATCH(IQ$2,Pedidos!$J:$J,0),""),"")</f>
        <v/>
      </c>
      <c r="IZ415" s="529">
        <f>IFERROR(IF(IY415="",0,COUNTIF(Pedidos!$J:$J,Procesos!IQ$2)),"")</f>
        <v>0</v>
      </c>
    </row>
    <row r="416" spans="1:260" x14ac:dyDescent="0.25">
      <c r="A416" s="815" t="str">
        <f>IF(Z415&gt;=A415,Q$2 &amp;"     ITEM # "&amp;A415,"")</f>
        <v/>
      </c>
      <c r="B416" s="816"/>
      <c r="C416" s="816"/>
      <c r="D416" s="816"/>
      <c r="E416" s="816"/>
      <c r="F416" s="816"/>
      <c r="G416" s="816"/>
      <c r="H416" s="816"/>
      <c r="I416" s="817"/>
      <c r="J416" s="818" t="str">
        <f>IF(Z415&gt;=A415,$J$6,"")</f>
        <v/>
      </c>
      <c r="K416" s="816"/>
      <c r="L416" s="816"/>
      <c r="M416" s="816"/>
      <c r="N416" s="816"/>
      <c r="O416" s="816"/>
      <c r="P416" s="816"/>
      <c r="Q416" s="816"/>
      <c r="R416" s="816"/>
      <c r="S416" s="816"/>
      <c r="T416" s="816"/>
      <c r="U416" s="816"/>
      <c r="V416" s="816"/>
      <c r="W416" s="816"/>
      <c r="X416" s="816"/>
      <c r="Y416" s="816"/>
      <c r="Z416" s="819"/>
      <c r="AA416" s="815" t="str">
        <f>IF(AZ415&gt;=AA415,AQ$2 &amp;"     ITEM # "&amp;AA415,"")</f>
        <v/>
      </c>
      <c r="AB416" s="816"/>
      <c r="AC416" s="816"/>
      <c r="AD416" s="816"/>
      <c r="AE416" s="816"/>
      <c r="AF416" s="816"/>
      <c r="AG416" s="816"/>
      <c r="AH416" s="816"/>
      <c r="AI416" s="817"/>
      <c r="AJ416" s="818" t="str">
        <f>IF(AZ415&gt;=AA415,$J$6,"")</f>
        <v/>
      </c>
      <c r="AK416" s="816"/>
      <c r="AL416" s="816"/>
      <c r="AM416" s="816"/>
      <c r="AN416" s="816"/>
      <c r="AO416" s="816"/>
      <c r="AP416" s="816"/>
      <c r="AQ416" s="816"/>
      <c r="AR416" s="816"/>
      <c r="AS416" s="816"/>
      <c r="AT416" s="816"/>
      <c r="AU416" s="816"/>
      <c r="AV416" s="816"/>
      <c r="AW416" s="816"/>
      <c r="AX416" s="816"/>
      <c r="AY416" s="816"/>
      <c r="AZ416" s="819"/>
      <c r="BA416" s="815" t="str">
        <f>IF(BZ415&gt;=BA415,BQ$2 &amp;"     ITEM # "&amp;BA415,"")</f>
        <v/>
      </c>
      <c r="BB416" s="816"/>
      <c r="BC416" s="816"/>
      <c r="BD416" s="816"/>
      <c r="BE416" s="816"/>
      <c r="BF416" s="816"/>
      <c r="BG416" s="816"/>
      <c r="BH416" s="816"/>
      <c r="BI416" s="817"/>
      <c r="BJ416" s="818" t="str">
        <f>IF(BZ415&gt;=BA415,$J$6,"")</f>
        <v/>
      </c>
      <c r="BK416" s="816"/>
      <c r="BL416" s="816"/>
      <c r="BM416" s="816"/>
      <c r="BN416" s="816"/>
      <c r="BO416" s="816"/>
      <c r="BP416" s="816"/>
      <c r="BQ416" s="816"/>
      <c r="BR416" s="816"/>
      <c r="BS416" s="816"/>
      <c r="BT416" s="816"/>
      <c r="BU416" s="816"/>
      <c r="BV416" s="816"/>
      <c r="BW416" s="816"/>
      <c r="BX416" s="816"/>
      <c r="BY416" s="816"/>
      <c r="BZ416" s="819"/>
      <c r="CA416" s="815" t="str">
        <f>IF(CZ415&gt;=CA415,CQ$2 &amp;"     ITEM # "&amp;CA415,"")</f>
        <v/>
      </c>
      <c r="CB416" s="816"/>
      <c r="CC416" s="816"/>
      <c r="CD416" s="816"/>
      <c r="CE416" s="816"/>
      <c r="CF416" s="816"/>
      <c r="CG416" s="816"/>
      <c r="CH416" s="816"/>
      <c r="CI416" s="817"/>
      <c r="CJ416" s="818" t="str">
        <f>IF(CZ415&gt;=CA415,$J$6,"")</f>
        <v/>
      </c>
      <c r="CK416" s="816"/>
      <c r="CL416" s="816"/>
      <c r="CM416" s="816"/>
      <c r="CN416" s="816"/>
      <c r="CO416" s="816"/>
      <c r="CP416" s="816"/>
      <c r="CQ416" s="816"/>
      <c r="CR416" s="816"/>
      <c r="CS416" s="816"/>
      <c r="CT416" s="816"/>
      <c r="CU416" s="816"/>
      <c r="CV416" s="816"/>
      <c r="CW416" s="816"/>
      <c r="CX416" s="816"/>
      <c r="CY416" s="816"/>
      <c r="CZ416" s="819"/>
      <c r="DA416" s="815" t="str">
        <f>IF(DZ415&gt;=DA415,DQ$2 &amp;"     ITEM # "&amp;DA415,"")</f>
        <v/>
      </c>
      <c r="DB416" s="816"/>
      <c r="DC416" s="816"/>
      <c r="DD416" s="816"/>
      <c r="DE416" s="816"/>
      <c r="DF416" s="816"/>
      <c r="DG416" s="816"/>
      <c r="DH416" s="816"/>
      <c r="DI416" s="817"/>
      <c r="DJ416" s="818" t="str">
        <f>IF(DZ415&gt;=DA415,$J$6,"")</f>
        <v/>
      </c>
      <c r="DK416" s="816"/>
      <c r="DL416" s="816"/>
      <c r="DM416" s="816"/>
      <c r="DN416" s="816"/>
      <c r="DO416" s="816"/>
      <c r="DP416" s="816"/>
      <c r="DQ416" s="816"/>
      <c r="DR416" s="816"/>
      <c r="DS416" s="816"/>
      <c r="DT416" s="816"/>
      <c r="DU416" s="816"/>
      <c r="DV416" s="816"/>
      <c r="DW416" s="816"/>
      <c r="DX416" s="816"/>
      <c r="DY416" s="816"/>
      <c r="DZ416" s="819"/>
      <c r="EA416" s="815" t="str">
        <f>IF(EZ415&gt;=EA415,EQ$2 &amp;"     ITEM # "&amp;EA415,"")</f>
        <v/>
      </c>
      <c r="EB416" s="816"/>
      <c r="EC416" s="816"/>
      <c r="ED416" s="816"/>
      <c r="EE416" s="816"/>
      <c r="EF416" s="816"/>
      <c r="EG416" s="816"/>
      <c r="EH416" s="816"/>
      <c r="EI416" s="817"/>
      <c r="EJ416" s="818" t="str">
        <f>IF(EZ415&gt;=EA415,$J$6,"")</f>
        <v/>
      </c>
      <c r="EK416" s="816"/>
      <c r="EL416" s="816"/>
      <c r="EM416" s="816"/>
      <c r="EN416" s="816"/>
      <c r="EO416" s="816"/>
      <c r="EP416" s="816"/>
      <c r="EQ416" s="816"/>
      <c r="ER416" s="816"/>
      <c r="ES416" s="816"/>
      <c r="ET416" s="816"/>
      <c r="EU416" s="816"/>
      <c r="EV416" s="816"/>
      <c r="EW416" s="816"/>
      <c r="EX416" s="816"/>
      <c r="EY416" s="816"/>
      <c r="EZ416" s="819"/>
      <c r="FA416" s="815" t="str">
        <f>IF(FZ415&gt;=FA415,FQ$2 &amp;"     ITEM # "&amp;FA415,"")</f>
        <v/>
      </c>
      <c r="FB416" s="816"/>
      <c r="FC416" s="816"/>
      <c r="FD416" s="816"/>
      <c r="FE416" s="816"/>
      <c r="FF416" s="816"/>
      <c r="FG416" s="816"/>
      <c r="FH416" s="816"/>
      <c r="FI416" s="817"/>
      <c r="FJ416" s="818" t="str">
        <f>IF(FZ415&gt;=FA415,$J$6,"")</f>
        <v/>
      </c>
      <c r="FK416" s="816"/>
      <c r="FL416" s="816"/>
      <c r="FM416" s="816"/>
      <c r="FN416" s="816"/>
      <c r="FO416" s="816"/>
      <c r="FP416" s="816"/>
      <c r="FQ416" s="816"/>
      <c r="FR416" s="816"/>
      <c r="FS416" s="816"/>
      <c r="FT416" s="816"/>
      <c r="FU416" s="816"/>
      <c r="FV416" s="816"/>
      <c r="FW416" s="816"/>
      <c r="FX416" s="816"/>
      <c r="FY416" s="816"/>
      <c r="FZ416" s="819"/>
      <c r="GA416" s="815" t="str">
        <f>IF(GZ415&gt;=GA415,GQ$2 &amp;"     ITEM # "&amp;GA415,"")</f>
        <v/>
      </c>
      <c r="GB416" s="816"/>
      <c r="GC416" s="816"/>
      <c r="GD416" s="816"/>
      <c r="GE416" s="816"/>
      <c r="GF416" s="816"/>
      <c r="GG416" s="816"/>
      <c r="GH416" s="816"/>
      <c r="GI416" s="817"/>
      <c r="GJ416" s="818" t="str">
        <f>IF(GZ415&gt;=GA415,$J$6,"")</f>
        <v/>
      </c>
      <c r="GK416" s="816"/>
      <c r="GL416" s="816"/>
      <c r="GM416" s="816"/>
      <c r="GN416" s="816"/>
      <c r="GO416" s="816"/>
      <c r="GP416" s="816"/>
      <c r="GQ416" s="816"/>
      <c r="GR416" s="816"/>
      <c r="GS416" s="816"/>
      <c r="GT416" s="816"/>
      <c r="GU416" s="816"/>
      <c r="GV416" s="816"/>
      <c r="GW416" s="816"/>
      <c r="GX416" s="816"/>
      <c r="GY416" s="816"/>
      <c r="GZ416" s="819"/>
      <c r="HA416" s="815" t="str">
        <f>IF(HZ415&gt;=HA415,HQ$2 &amp;"     ITEM # "&amp;HA415,"")</f>
        <v/>
      </c>
      <c r="HB416" s="816"/>
      <c r="HC416" s="816"/>
      <c r="HD416" s="816"/>
      <c r="HE416" s="816"/>
      <c r="HF416" s="816"/>
      <c r="HG416" s="816"/>
      <c r="HH416" s="816"/>
      <c r="HI416" s="817"/>
      <c r="HJ416" s="818" t="str">
        <f>IF(HZ415&gt;=HA415,$J$6,"")</f>
        <v/>
      </c>
      <c r="HK416" s="816"/>
      <c r="HL416" s="816"/>
      <c r="HM416" s="816"/>
      <c r="HN416" s="816"/>
      <c r="HO416" s="816"/>
      <c r="HP416" s="816"/>
      <c r="HQ416" s="816"/>
      <c r="HR416" s="816"/>
      <c r="HS416" s="816"/>
      <c r="HT416" s="816"/>
      <c r="HU416" s="816"/>
      <c r="HV416" s="816"/>
      <c r="HW416" s="816"/>
      <c r="HX416" s="816"/>
      <c r="HY416" s="816"/>
      <c r="HZ416" s="819"/>
      <c r="IA416" s="815" t="str">
        <f>IF(IZ415&gt;=IA415,IQ$2 &amp;"     ITEM # "&amp;IA415,"")</f>
        <v/>
      </c>
      <c r="IB416" s="816"/>
      <c r="IC416" s="816"/>
      <c r="ID416" s="816"/>
      <c r="IE416" s="816"/>
      <c r="IF416" s="816"/>
      <c r="IG416" s="816"/>
      <c r="IH416" s="816"/>
      <c r="II416" s="817"/>
      <c r="IJ416" s="818" t="str">
        <f>IF(IZ415&gt;=IA415,$J$6,"")</f>
        <v/>
      </c>
      <c r="IK416" s="816"/>
      <c r="IL416" s="816"/>
      <c r="IM416" s="816"/>
      <c r="IN416" s="816"/>
      <c r="IO416" s="816"/>
      <c r="IP416" s="816"/>
      <c r="IQ416" s="816"/>
      <c r="IR416" s="816"/>
      <c r="IS416" s="816"/>
      <c r="IT416" s="816"/>
      <c r="IU416" s="816"/>
      <c r="IV416" s="816"/>
      <c r="IW416" s="816"/>
      <c r="IX416" s="816"/>
      <c r="IY416" s="816"/>
      <c r="IZ416" s="819"/>
    </row>
    <row r="417" spans="1:260" x14ac:dyDescent="0.25">
      <c r="A417" s="848" t="str">
        <f>IFERROR(INDEX(Lista_Pedidos,Procesos!Y415+A415-1,5),"")</f>
        <v/>
      </c>
      <c r="B417" s="843"/>
      <c r="C417" s="843"/>
      <c r="D417" s="843"/>
      <c r="E417" s="843"/>
      <c r="F417" s="843"/>
      <c r="G417" s="843"/>
      <c r="H417" s="843"/>
      <c r="I417" s="844"/>
      <c r="J417" s="842" t="str">
        <f>IF(Z415&gt;=A415,$J$7,"")</f>
        <v/>
      </c>
      <c r="K417" s="843"/>
      <c r="L417" s="844"/>
      <c r="M417" s="842" t="str">
        <f>IF(Z415&gt;=A415,$M$7,"")</f>
        <v/>
      </c>
      <c r="N417" s="843"/>
      <c r="O417" s="844"/>
      <c r="P417" s="842" t="str">
        <f>IF(Z415&gt;=A415,$P$7,"")</f>
        <v/>
      </c>
      <c r="Q417" s="843"/>
      <c r="R417" s="843"/>
      <c r="S417" s="843"/>
      <c r="T417" s="843"/>
      <c r="U417" s="844"/>
      <c r="V417" s="834" t="str">
        <f>IF(Z415&gt;=A415,$V$7,"")</f>
        <v/>
      </c>
      <c r="W417" s="842" t="str">
        <f>IF(Z415&gt;=A415,$W$7,"")</f>
        <v/>
      </c>
      <c r="X417" s="843"/>
      <c r="Y417" s="843"/>
      <c r="Z417" s="850"/>
      <c r="AA417" s="848" t="str">
        <f>IFERROR(INDEX(Lista_Pedidos,Procesos!AY415+AA415-1,5),"")</f>
        <v/>
      </c>
      <c r="AB417" s="843"/>
      <c r="AC417" s="843"/>
      <c r="AD417" s="843"/>
      <c r="AE417" s="843"/>
      <c r="AF417" s="843"/>
      <c r="AG417" s="843"/>
      <c r="AH417" s="843"/>
      <c r="AI417" s="844"/>
      <c r="AJ417" s="842" t="str">
        <f>IF(AZ415&gt;=AA415,$J$7,"")</f>
        <v/>
      </c>
      <c r="AK417" s="843"/>
      <c r="AL417" s="844"/>
      <c r="AM417" s="842" t="str">
        <f>IF(AZ415&gt;=AA415,$M$7,"")</f>
        <v/>
      </c>
      <c r="AN417" s="843"/>
      <c r="AO417" s="844"/>
      <c r="AP417" s="842" t="str">
        <f>IF(AZ415&gt;=AA415,$P$7,"")</f>
        <v/>
      </c>
      <c r="AQ417" s="843"/>
      <c r="AR417" s="843"/>
      <c r="AS417" s="843"/>
      <c r="AT417" s="843"/>
      <c r="AU417" s="844"/>
      <c r="AV417" s="834" t="str">
        <f>IF(AZ415&gt;=AA415,$V$7,"")</f>
        <v/>
      </c>
      <c r="AW417" s="842" t="str">
        <f>IF(AZ415&gt;=AA415,$W$7,"")</f>
        <v/>
      </c>
      <c r="AX417" s="843"/>
      <c r="AY417" s="843"/>
      <c r="AZ417" s="850"/>
      <c r="BA417" s="848" t="str">
        <f>IFERROR(INDEX(Lista_Pedidos,Procesos!BY415+BA415-1,5),"")</f>
        <v/>
      </c>
      <c r="BB417" s="843"/>
      <c r="BC417" s="843"/>
      <c r="BD417" s="843"/>
      <c r="BE417" s="843"/>
      <c r="BF417" s="843"/>
      <c r="BG417" s="843"/>
      <c r="BH417" s="843"/>
      <c r="BI417" s="844"/>
      <c r="BJ417" s="842" t="str">
        <f>IF(BZ415&gt;=BA415,$J$7,"")</f>
        <v/>
      </c>
      <c r="BK417" s="843"/>
      <c r="BL417" s="844"/>
      <c r="BM417" s="842" t="str">
        <f>IF(BZ415&gt;=BA415,$M$7,"")</f>
        <v/>
      </c>
      <c r="BN417" s="843"/>
      <c r="BO417" s="844"/>
      <c r="BP417" s="842" t="str">
        <f>IF(BZ415&gt;=BA415,$P$7,"")</f>
        <v/>
      </c>
      <c r="BQ417" s="843"/>
      <c r="BR417" s="843"/>
      <c r="BS417" s="843"/>
      <c r="BT417" s="843"/>
      <c r="BU417" s="844"/>
      <c r="BV417" s="834" t="str">
        <f>IF(BZ415&gt;=BA415,$V$7,"")</f>
        <v/>
      </c>
      <c r="BW417" s="842" t="str">
        <f>IF(BZ415&gt;=BA415,$W$7,"")</f>
        <v/>
      </c>
      <c r="BX417" s="843"/>
      <c r="BY417" s="843"/>
      <c r="BZ417" s="850"/>
      <c r="CA417" s="848" t="str">
        <f>IFERROR(INDEX(Lista_Pedidos,Procesos!CY415+CA415-1,5),"")</f>
        <v/>
      </c>
      <c r="CB417" s="843"/>
      <c r="CC417" s="843"/>
      <c r="CD417" s="843"/>
      <c r="CE417" s="843"/>
      <c r="CF417" s="843"/>
      <c r="CG417" s="843"/>
      <c r="CH417" s="843"/>
      <c r="CI417" s="844"/>
      <c r="CJ417" s="842" t="str">
        <f>IF(CZ415&gt;=CA415,$J$7,"")</f>
        <v/>
      </c>
      <c r="CK417" s="843"/>
      <c r="CL417" s="844"/>
      <c r="CM417" s="842" t="str">
        <f>IF(CZ415&gt;=CA415,$M$7,"")</f>
        <v/>
      </c>
      <c r="CN417" s="843"/>
      <c r="CO417" s="844"/>
      <c r="CP417" s="842" t="str">
        <f>IF(CZ415&gt;=CA415,$P$7,"")</f>
        <v/>
      </c>
      <c r="CQ417" s="843"/>
      <c r="CR417" s="843"/>
      <c r="CS417" s="843"/>
      <c r="CT417" s="843"/>
      <c r="CU417" s="844"/>
      <c r="CV417" s="834" t="str">
        <f>IF(CZ415&gt;=CA415,$V$7,"")</f>
        <v/>
      </c>
      <c r="CW417" s="842" t="str">
        <f>IF(CZ415&gt;=CA415,$W$7,"")</f>
        <v/>
      </c>
      <c r="CX417" s="843"/>
      <c r="CY417" s="843"/>
      <c r="CZ417" s="850"/>
      <c r="DA417" s="848" t="str">
        <f>IFERROR(INDEX(Lista_Pedidos,Procesos!DY415+DA415-1,5),"")</f>
        <v/>
      </c>
      <c r="DB417" s="843"/>
      <c r="DC417" s="843"/>
      <c r="DD417" s="843"/>
      <c r="DE417" s="843"/>
      <c r="DF417" s="843"/>
      <c r="DG417" s="843"/>
      <c r="DH417" s="843"/>
      <c r="DI417" s="844"/>
      <c r="DJ417" s="842" t="str">
        <f>IF(DZ415&gt;=DA415,$J$7,"")</f>
        <v/>
      </c>
      <c r="DK417" s="843"/>
      <c r="DL417" s="844"/>
      <c r="DM417" s="842" t="str">
        <f>IF(DZ415&gt;=DA415,$M$7,"")</f>
        <v/>
      </c>
      <c r="DN417" s="843"/>
      <c r="DO417" s="844"/>
      <c r="DP417" s="842" t="str">
        <f>IF(DZ415&gt;=DA415,$P$7,"")</f>
        <v/>
      </c>
      <c r="DQ417" s="843"/>
      <c r="DR417" s="843"/>
      <c r="DS417" s="843"/>
      <c r="DT417" s="843"/>
      <c r="DU417" s="844"/>
      <c r="DV417" s="834" t="str">
        <f>IF(DZ415&gt;=DA415,$V$7,"")</f>
        <v/>
      </c>
      <c r="DW417" s="842" t="str">
        <f>IF(DZ415&gt;=DA415,$W$7,"")</f>
        <v/>
      </c>
      <c r="DX417" s="843"/>
      <c r="DY417" s="843"/>
      <c r="DZ417" s="850"/>
      <c r="EA417" s="848" t="str">
        <f>IFERROR(INDEX(Lista_Pedidos,Procesos!EY415+EA415-1,5),"")</f>
        <v/>
      </c>
      <c r="EB417" s="843"/>
      <c r="EC417" s="843"/>
      <c r="ED417" s="843"/>
      <c r="EE417" s="843"/>
      <c r="EF417" s="843"/>
      <c r="EG417" s="843"/>
      <c r="EH417" s="843"/>
      <c r="EI417" s="844"/>
      <c r="EJ417" s="842" t="str">
        <f>IF(EZ415&gt;=EA415,$J$7,"")</f>
        <v/>
      </c>
      <c r="EK417" s="843"/>
      <c r="EL417" s="844"/>
      <c r="EM417" s="842" t="str">
        <f>IF(EZ415&gt;=EA415,$M$7,"")</f>
        <v/>
      </c>
      <c r="EN417" s="843"/>
      <c r="EO417" s="844"/>
      <c r="EP417" s="842" t="str">
        <f>IF(EZ415&gt;=EA415,$P$7,"")</f>
        <v/>
      </c>
      <c r="EQ417" s="843"/>
      <c r="ER417" s="843"/>
      <c r="ES417" s="843"/>
      <c r="ET417" s="843"/>
      <c r="EU417" s="844"/>
      <c r="EV417" s="834" t="str">
        <f>IF(EZ415&gt;=EA415,$V$7,"")</f>
        <v/>
      </c>
      <c r="EW417" s="842" t="str">
        <f>IF(EZ415&gt;=EA415,$W$7,"")</f>
        <v/>
      </c>
      <c r="EX417" s="843"/>
      <c r="EY417" s="843"/>
      <c r="EZ417" s="850"/>
      <c r="FA417" s="848" t="str">
        <f>IFERROR(INDEX(Lista_Pedidos,Procesos!FY415+FA415-1,5),"")</f>
        <v/>
      </c>
      <c r="FB417" s="843"/>
      <c r="FC417" s="843"/>
      <c r="FD417" s="843"/>
      <c r="FE417" s="843"/>
      <c r="FF417" s="843"/>
      <c r="FG417" s="843"/>
      <c r="FH417" s="843"/>
      <c r="FI417" s="844"/>
      <c r="FJ417" s="842" t="str">
        <f>IF(FZ415&gt;=FA415,$J$7,"")</f>
        <v/>
      </c>
      <c r="FK417" s="843"/>
      <c r="FL417" s="844"/>
      <c r="FM417" s="842" t="str">
        <f>IF(FZ415&gt;=FA415,$M$7,"")</f>
        <v/>
      </c>
      <c r="FN417" s="843"/>
      <c r="FO417" s="844"/>
      <c r="FP417" s="842" t="str">
        <f>IF(FZ415&gt;=FA415,$P$7,"")</f>
        <v/>
      </c>
      <c r="FQ417" s="843"/>
      <c r="FR417" s="843"/>
      <c r="FS417" s="843"/>
      <c r="FT417" s="843"/>
      <c r="FU417" s="844"/>
      <c r="FV417" s="834" t="str">
        <f>IF(FZ415&gt;=FA415,$V$7,"")</f>
        <v/>
      </c>
      <c r="FW417" s="842" t="str">
        <f>IF(FZ415&gt;=FA415,$W$7,"")</f>
        <v/>
      </c>
      <c r="FX417" s="843"/>
      <c r="FY417" s="843"/>
      <c r="FZ417" s="850"/>
      <c r="GA417" s="848" t="str">
        <f>IFERROR(INDEX(Lista_Pedidos,Procesos!GY415+GA415-1,5),"")</f>
        <v/>
      </c>
      <c r="GB417" s="843"/>
      <c r="GC417" s="843"/>
      <c r="GD417" s="843"/>
      <c r="GE417" s="843"/>
      <c r="GF417" s="843"/>
      <c r="GG417" s="843"/>
      <c r="GH417" s="843"/>
      <c r="GI417" s="844"/>
      <c r="GJ417" s="842" t="str">
        <f>IF(GZ415&gt;=GA415,$J$7,"")</f>
        <v/>
      </c>
      <c r="GK417" s="843"/>
      <c r="GL417" s="844"/>
      <c r="GM417" s="842" t="str">
        <f>IF(GZ415&gt;=GA415,$M$7,"")</f>
        <v/>
      </c>
      <c r="GN417" s="843"/>
      <c r="GO417" s="844"/>
      <c r="GP417" s="842" t="str">
        <f>IF(GZ415&gt;=GA415,$P$7,"")</f>
        <v/>
      </c>
      <c r="GQ417" s="843"/>
      <c r="GR417" s="843"/>
      <c r="GS417" s="843"/>
      <c r="GT417" s="843"/>
      <c r="GU417" s="844"/>
      <c r="GV417" s="834" t="str">
        <f>IF(GZ415&gt;=GA415,$V$7,"")</f>
        <v/>
      </c>
      <c r="GW417" s="842" t="str">
        <f>IF(GZ415&gt;=GA415,$W$7,"")</f>
        <v/>
      </c>
      <c r="GX417" s="843"/>
      <c r="GY417" s="843"/>
      <c r="GZ417" s="850"/>
      <c r="HA417" s="848" t="str">
        <f>IFERROR(INDEX(Lista_Pedidos,Procesos!HY415+HA415-1,5),"")</f>
        <v/>
      </c>
      <c r="HB417" s="843"/>
      <c r="HC417" s="843"/>
      <c r="HD417" s="843"/>
      <c r="HE417" s="843"/>
      <c r="HF417" s="843"/>
      <c r="HG417" s="843"/>
      <c r="HH417" s="843"/>
      <c r="HI417" s="844"/>
      <c r="HJ417" s="842" t="str">
        <f>IF(HZ415&gt;=HA415,$J$7,"")</f>
        <v/>
      </c>
      <c r="HK417" s="843"/>
      <c r="HL417" s="844"/>
      <c r="HM417" s="842" t="str">
        <f>IF(HZ415&gt;=HA415,$M$7,"")</f>
        <v/>
      </c>
      <c r="HN417" s="843"/>
      <c r="HO417" s="844"/>
      <c r="HP417" s="842" t="str">
        <f>IF(HZ415&gt;=HA415,$P$7,"")</f>
        <v/>
      </c>
      <c r="HQ417" s="843"/>
      <c r="HR417" s="843"/>
      <c r="HS417" s="843"/>
      <c r="HT417" s="843"/>
      <c r="HU417" s="844"/>
      <c r="HV417" s="834" t="str">
        <f>IF(HZ415&gt;=HA415,$V$7,"")</f>
        <v/>
      </c>
      <c r="HW417" s="842" t="str">
        <f>IF(HZ415&gt;=HA415,$W$7,"")</f>
        <v/>
      </c>
      <c r="HX417" s="843"/>
      <c r="HY417" s="843"/>
      <c r="HZ417" s="850"/>
      <c r="IA417" s="848" t="str">
        <f>IFERROR(INDEX(Lista_Pedidos,Procesos!IY415+IA415-1,5),"")</f>
        <v/>
      </c>
      <c r="IB417" s="843"/>
      <c r="IC417" s="843"/>
      <c r="ID417" s="843"/>
      <c r="IE417" s="843"/>
      <c r="IF417" s="843"/>
      <c r="IG417" s="843"/>
      <c r="IH417" s="843"/>
      <c r="II417" s="844"/>
      <c r="IJ417" s="842" t="str">
        <f>IF(IZ415&gt;=IA415,$J$7,"")</f>
        <v/>
      </c>
      <c r="IK417" s="843"/>
      <c r="IL417" s="844"/>
      <c r="IM417" s="842" t="str">
        <f>IF(IZ415&gt;=IA415,$M$7,"")</f>
        <v/>
      </c>
      <c r="IN417" s="843"/>
      <c r="IO417" s="844"/>
      <c r="IP417" s="842" t="str">
        <f>IF(IZ415&gt;=IA415,$P$7,"")</f>
        <v/>
      </c>
      <c r="IQ417" s="843"/>
      <c r="IR417" s="843"/>
      <c r="IS417" s="843"/>
      <c r="IT417" s="843"/>
      <c r="IU417" s="844"/>
      <c r="IV417" s="834" t="str">
        <f>IF(IZ415&gt;=IA415,$V$7,"")</f>
        <v/>
      </c>
      <c r="IW417" s="842" t="str">
        <f>IF(IZ415&gt;=IA415,$W$7,"")</f>
        <v/>
      </c>
      <c r="IX417" s="843"/>
      <c r="IY417" s="843"/>
      <c r="IZ417" s="850"/>
    </row>
    <row r="418" spans="1:260" x14ac:dyDescent="0.25">
      <c r="A418" s="849"/>
      <c r="B418" s="846"/>
      <c r="C418" s="846"/>
      <c r="D418" s="846"/>
      <c r="E418" s="846"/>
      <c r="F418" s="846"/>
      <c r="G418" s="846"/>
      <c r="H418" s="846"/>
      <c r="I418" s="847"/>
      <c r="J418" s="845"/>
      <c r="K418" s="846"/>
      <c r="L418" s="847"/>
      <c r="M418" s="845"/>
      <c r="N418" s="846"/>
      <c r="O418" s="847"/>
      <c r="P418" s="845"/>
      <c r="Q418" s="846"/>
      <c r="R418" s="846"/>
      <c r="S418" s="846"/>
      <c r="T418" s="846"/>
      <c r="U418" s="847"/>
      <c r="V418" s="835"/>
      <c r="W418" s="845"/>
      <c r="X418" s="846"/>
      <c r="Y418" s="846"/>
      <c r="Z418" s="851"/>
      <c r="AA418" s="849"/>
      <c r="AB418" s="846"/>
      <c r="AC418" s="846"/>
      <c r="AD418" s="846"/>
      <c r="AE418" s="846"/>
      <c r="AF418" s="846"/>
      <c r="AG418" s="846"/>
      <c r="AH418" s="846"/>
      <c r="AI418" s="847"/>
      <c r="AJ418" s="845"/>
      <c r="AK418" s="846"/>
      <c r="AL418" s="847"/>
      <c r="AM418" s="845"/>
      <c r="AN418" s="846"/>
      <c r="AO418" s="847"/>
      <c r="AP418" s="845"/>
      <c r="AQ418" s="846"/>
      <c r="AR418" s="846"/>
      <c r="AS418" s="846"/>
      <c r="AT418" s="846"/>
      <c r="AU418" s="847"/>
      <c r="AV418" s="835"/>
      <c r="AW418" s="845"/>
      <c r="AX418" s="846"/>
      <c r="AY418" s="846"/>
      <c r="AZ418" s="851"/>
      <c r="BA418" s="849"/>
      <c r="BB418" s="846"/>
      <c r="BC418" s="846"/>
      <c r="BD418" s="846"/>
      <c r="BE418" s="846"/>
      <c r="BF418" s="846"/>
      <c r="BG418" s="846"/>
      <c r="BH418" s="846"/>
      <c r="BI418" s="847"/>
      <c r="BJ418" s="845"/>
      <c r="BK418" s="846"/>
      <c r="BL418" s="847"/>
      <c r="BM418" s="845"/>
      <c r="BN418" s="846"/>
      <c r="BO418" s="847"/>
      <c r="BP418" s="845"/>
      <c r="BQ418" s="846"/>
      <c r="BR418" s="846"/>
      <c r="BS418" s="846"/>
      <c r="BT418" s="846"/>
      <c r="BU418" s="847"/>
      <c r="BV418" s="835"/>
      <c r="BW418" s="845"/>
      <c r="BX418" s="846"/>
      <c r="BY418" s="846"/>
      <c r="BZ418" s="851"/>
      <c r="CA418" s="849"/>
      <c r="CB418" s="846"/>
      <c r="CC418" s="846"/>
      <c r="CD418" s="846"/>
      <c r="CE418" s="846"/>
      <c r="CF418" s="846"/>
      <c r="CG418" s="846"/>
      <c r="CH418" s="846"/>
      <c r="CI418" s="847"/>
      <c r="CJ418" s="845"/>
      <c r="CK418" s="846"/>
      <c r="CL418" s="847"/>
      <c r="CM418" s="845"/>
      <c r="CN418" s="846"/>
      <c r="CO418" s="847"/>
      <c r="CP418" s="845"/>
      <c r="CQ418" s="846"/>
      <c r="CR418" s="846"/>
      <c r="CS418" s="846"/>
      <c r="CT418" s="846"/>
      <c r="CU418" s="847"/>
      <c r="CV418" s="835"/>
      <c r="CW418" s="845"/>
      <c r="CX418" s="846"/>
      <c r="CY418" s="846"/>
      <c r="CZ418" s="851"/>
      <c r="DA418" s="849"/>
      <c r="DB418" s="846"/>
      <c r="DC418" s="846"/>
      <c r="DD418" s="846"/>
      <c r="DE418" s="846"/>
      <c r="DF418" s="846"/>
      <c r="DG418" s="846"/>
      <c r="DH418" s="846"/>
      <c r="DI418" s="847"/>
      <c r="DJ418" s="845"/>
      <c r="DK418" s="846"/>
      <c r="DL418" s="847"/>
      <c r="DM418" s="845"/>
      <c r="DN418" s="846"/>
      <c r="DO418" s="847"/>
      <c r="DP418" s="845"/>
      <c r="DQ418" s="846"/>
      <c r="DR418" s="846"/>
      <c r="DS418" s="846"/>
      <c r="DT418" s="846"/>
      <c r="DU418" s="847"/>
      <c r="DV418" s="835"/>
      <c r="DW418" s="845"/>
      <c r="DX418" s="846"/>
      <c r="DY418" s="846"/>
      <c r="DZ418" s="851"/>
      <c r="EA418" s="849"/>
      <c r="EB418" s="846"/>
      <c r="EC418" s="846"/>
      <c r="ED418" s="846"/>
      <c r="EE418" s="846"/>
      <c r="EF418" s="846"/>
      <c r="EG418" s="846"/>
      <c r="EH418" s="846"/>
      <c r="EI418" s="847"/>
      <c r="EJ418" s="845"/>
      <c r="EK418" s="846"/>
      <c r="EL418" s="847"/>
      <c r="EM418" s="845"/>
      <c r="EN418" s="846"/>
      <c r="EO418" s="847"/>
      <c r="EP418" s="845"/>
      <c r="EQ418" s="846"/>
      <c r="ER418" s="846"/>
      <c r="ES418" s="846"/>
      <c r="ET418" s="846"/>
      <c r="EU418" s="847"/>
      <c r="EV418" s="835"/>
      <c r="EW418" s="845"/>
      <c r="EX418" s="846"/>
      <c r="EY418" s="846"/>
      <c r="EZ418" s="851"/>
      <c r="FA418" s="849"/>
      <c r="FB418" s="846"/>
      <c r="FC418" s="846"/>
      <c r="FD418" s="846"/>
      <c r="FE418" s="846"/>
      <c r="FF418" s="846"/>
      <c r="FG418" s="846"/>
      <c r="FH418" s="846"/>
      <c r="FI418" s="847"/>
      <c r="FJ418" s="845"/>
      <c r="FK418" s="846"/>
      <c r="FL418" s="847"/>
      <c r="FM418" s="845"/>
      <c r="FN418" s="846"/>
      <c r="FO418" s="847"/>
      <c r="FP418" s="845"/>
      <c r="FQ418" s="846"/>
      <c r="FR418" s="846"/>
      <c r="FS418" s="846"/>
      <c r="FT418" s="846"/>
      <c r="FU418" s="847"/>
      <c r="FV418" s="835"/>
      <c r="FW418" s="845"/>
      <c r="FX418" s="846"/>
      <c r="FY418" s="846"/>
      <c r="FZ418" s="851"/>
      <c r="GA418" s="849"/>
      <c r="GB418" s="846"/>
      <c r="GC418" s="846"/>
      <c r="GD418" s="846"/>
      <c r="GE418" s="846"/>
      <c r="GF418" s="846"/>
      <c r="GG418" s="846"/>
      <c r="GH418" s="846"/>
      <c r="GI418" s="847"/>
      <c r="GJ418" s="845"/>
      <c r="GK418" s="846"/>
      <c r="GL418" s="847"/>
      <c r="GM418" s="845"/>
      <c r="GN418" s="846"/>
      <c r="GO418" s="847"/>
      <c r="GP418" s="845"/>
      <c r="GQ418" s="846"/>
      <c r="GR418" s="846"/>
      <c r="GS418" s="846"/>
      <c r="GT418" s="846"/>
      <c r="GU418" s="847"/>
      <c r="GV418" s="835"/>
      <c r="GW418" s="845"/>
      <c r="GX418" s="846"/>
      <c r="GY418" s="846"/>
      <c r="GZ418" s="851"/>
      <c r="HA418" s="849"/>
      <c r="HB418" s="846"/>
      <c r="HC418" s="846"/>
      <c r="HD418" s="846"/>
      <c r="HE418" s="846"/>
      <c r="HF418" s="846"/>
      <c r="HG418" s="846"/>
      <c r="HH418" s="846"/>
      <c r="HI418" s="847"/>
      <c r="HJ418" s="845"/>
      <c r="HK418" s="846"/>
      <c r="HL418" s="847"/>
      <c r="HM418" s="845"/>
      <c r="HN418" s="846"/>
      <c r="HO418" s="847"/>
      <c r="HP418" s="845"/>
      <c r="HQ418" s="846"/>
      <c r="HR418" s="846"/>
      <c r="HS418" s="846"/>
      <c r="HT418" s="846"/>
      <c r="HU418" s="847"/>
      <c r="HV418" s="835"/>
      <c r="HW418" s="845"/>
      <c r="HX418" s="846"/>
      <c r="HY418" s="846"/>
      <c r="HZ418" s="851"/>
      <c r="IA418" s="849"/>
      <c r="IB418" s="846"/>
      <c r="IC418" s="846"/>
      <c r="ID418" s="846"/>
      <c r="IE418" s="846"/>
      <c r="IF418" s="846"/>
      <c r="IG418" s="846"/>
      <c r="IH418" s="846"/>
      <c r="II418" s="847"/>
      <c r="IJ418" s="845"/>
      <c r="IK418" s="846"/>
      <c r="IL418" s="847"/>
      <c r="IM418" s="845"/>
      <c r="IN418" s="846"/>
      <c r="IO418" s="847"/>
      <c r="IP418" s="845"/>
      <c r="IQ418" s="846"/>
      <c r="IR418" s="846"/>
      <c r="IS418" s="846"/>
      <c r="IT418" s="846"/>
      <c r="IU418" s="847"/>
      <c r="IV418" s="835"/>
      <c r="IW418" s="845"/>
      <c r="IX418" s="846"/>
      <c r="IY418" s="846"/>
      <c r="IZ418" s="851"/>
    </row>
    <row r="419" spans="1:260" x14ac:dyDescent="0.25">
      <c r="A419" s="858" t="str">
        <f>IF(Z415&gt;=A415,$A$9,"")</f>
        <v/>
      </c>
      <c r="B419" s="806"/>
      <c r="C419" s="806"/>
      <c r="D419" s="806"/>
      <c r="E419" s="852"/>
      <c r="F419" s="805" t="str">
        <f>IF(Z415&gt;=A415,$F$9,"")</f>
        <v/>
      </c>
      <c r="G419" s="806"/>
      <c r="H419" s="806"/>
      <c r="I419" s="852"/>
      <c r="J419" s="811" t="str">
        <f>IF(Z415&gt;=A415,$J$9,"")</f>
        <v/>
      </c>
      <c r="K419" s="803" t="str">
        <f>IF(Z415&gt;=A415,$K$9,"")</f>
        <v/>
      </c>
      <c r="L419" s="803" t="str">
        <f>IF(Z415&gt;=A415,$L$9,"")</f>
        <v/>
      </c>
      <c r="M419" s="803" t="str">
        <f>IF(Z415&gt;=A415,$M$9,"")</f>
        <v/>
      </c>
      <c r="N419" s="803" t="str">
        <f>IF(Z415&gt;=A415,$N$9,"")</f>
        <v/>
      </c>
      <c r="O419" s="803" t="str">
        <f>IF(Z415&gt;=A415,$O$9,"")</f>
        <v/>
      </c>
      <c r="P419" s="803" t="str">
        <f>IF(Z415&gt;=A415,$P$9,"")</f>
        <v/>
      </c>
      <c r="Q419" s="803" t="str">
        <f>IF(Z415&gt;=A415,$Q$9,"")</f>
        <v/>
      </c>
      <c r="R419" s="803" t="str">
        <f>IF(Z415&gt;=A415,$R$9,"")</f>
        <v/>
      </c>
      <c r="S419" s="803" t="str">
        <f>IF(Z415&gt;=A415,$S$9,"")</f>
        <v/>
      </c>
      <c r="T419" s="803" t="str">
        <f>IF(Z415&gt;=A415,$T$9,"")</f>
        <v/>
      </c>
      <c r="U419" s="803" t="str">
        <f>IF(Z415&gt;=A415,$U$9,"")</f>
        <v/>
      </c>
      <c r="V419" s="803" t="str">
        <f>IF(Z415&gt;=A415,$V$9,"")</f>
        <v/>
      </c>
      <c r="W419" s="805" t="str">
        <f>IF(Z415&gt;=A415,$W$9,"")</f>
        <v/>
      </c>
      <c r="X419" s="806"/>
      <c r="Y419" s="806"/>
      <c r="Z419" s="807"/>
      <c r="AA419" s="858" t="str">
        <f>IF(AZ415&gt;=AA415,$A$9,"")</f>
        <v/>
      </c>
      <c r="AB419" s="806"/>
      <c r="AC419" s="806"/>
      <c r="AD419" s="806"/>
      <c r="AE419" s="852"/>
      <c r="AF419" s="805" t="str">
        <f>IF(AZ415&gt;=AA415,$F$9,"")</f>
        <v/>
      </c>
      <c r="AG419" s="806"/>
      <c r="AH419" s="806"/>
      <c r="AI419" s="852"/>
      <c r="AJ419" s="811" t="str">
        <f>IF(AZ415&gt;=AA415,$J$9,"")</f>
        <v/>
      </c>
      <c r="AK419" s="803" t="str">
        <f>IF(AZ415&gt;=AA415,$K$9,"")</f>
        <v/>
      </c>
      <c r="AL419" s="803" t="str">
        <f>IF(AZ415&gt;=AA415,$L$9,"")</f>
        <v/>
      </c>
      <c r="AM419" s="803" t="str">
        <f>IF(AZ415&gt;=AA415,$M$9,"")</f>
        <v/>
      </c>
      <c r="AN419" s="803" t="str">
        <f>IF(AZ415&gt;=AA415,$N$9,"")</f>
        <v/>
      </c>
      <c r="AO419" s="803" t="str">
        <f>IF(AZ415&gt;=AA415,$O$9,"")</f>
        <v/>
      </c>
      <c r="AP419" s="803" t="str">
        <f>IF(AZ415&gt;=AA415,$P$9,"")</f>
        <v/>
      </c>
      <c r="AQ419" s="803" t="str">
        <f>IF(AZ415&gt;=AA415,$Q$9,"")</f>
        <v/>
      </c>
      <c r="AR419" s="803" t="str">
        <f>IF(AZ415&gt;=AA415,$R$9,"")</f>
        <v/>
      </c>
      <c r="AS419" s="803" t="str">
        <f>IF(AZ415&gt;=AA415,$S$9,"")</f>
        <v/>
      </c>
      <c r="AT419" s="803" t="str">
        <f>IF(AZ415&gt;=AA415,$T$9,"")</f>
        <v/>
      </c>
      <c r="AU419" s="803" t="str">
        <f>IF(AZ415&gt;=AA415,$U$9,"")</f>
        <v/>
      </c>
      <c r="AV419" s="803" t="str">
        <f>IF(AZ415&gt;=AA415,$V$9,"")</f>
        <v/>
      </c>
      <c r="AW419" s="805" t="str">
        <f>IF(AZ415&gt;=AA415,$W$9,"")</f>
        <v/>
      </c>
      <c r="AX419" s="806"/>
      <c r="AY419" s="806"/>
      <c r="AZ419" s="807"/>
      <c r="BA419" s="858" t="str">
        <f>IF(BZ415&gt;=BA415,$A$9,"")</f>
        <v/>
      </c>
      <c r="BB419" s="806"/>
      <c r="BC419" s="806"/>
      <c r="BD419" s="806"/>
      <c r="BE419" s="852"/>
      <c r="BF419" s="805" t="str">
        <f>IF(BZ415&gt;=BA415,$F$9,"")</f>
        <v/>
      </c>
      <c r="BG419" s="806"/>
      <c r="BH419" s="806"/>
      <c r="BI419" s="852"/>
      <c r="BJ419" s="811" t="str">
        <f>IF(BZ415&gt;=BA415,$J$9,"")</f>
        <v/>
      </c>
      <c r="BK419" s="803" t="str">
        <f>IF(BZ415&gt;=BA415,$K$9,"")</f>
        <v/>
      </c>
      <c r="BL419" s="803" t="str">
        <f>IF(BZ415&gt;=BA415,$L$9,"")</f>
        <v/>
      </c>
      <c r="BM419" s="803" t="str">
        <f>IF(BZ415&gt;=BA415,$M$9,"")</f>
        <v/>
      </c>
      <c r="BN419" s="803" t="str">
        <f>IF(BZ415&gt;=BA415,$N$9,"")</f>
        <v/>
      </c>
      <c r="BO419" s="803" t="str">
        <f>IF(BZ415&gt;=BA415,$O$9,"")</f>
        <v/>
      </c>
      <c r="BP419" s="803" t="str">
        <f>IF(BZ415&gt;=BA415,$P$9,"")</f>
        <v/>
      </c>
      <c r="BQ419" s="803" t="str">
        <f>IF(BZ415&gt;=BA415,$Q$9,"")</f>
        <v/>
      </c>
      <c r="BR419" s="803" t="str">
        <f>IF(BZ415&gt;=BA415,$R$9,"")</f>
        <v/>
      </c>
      <c r="BS419" s="803" t="str">
        <f>IF(BZ415&gt;=BA415,$S$9,"")</f>
        <v/>
      </c>
      <c r="BT419" s="803" t="str">
        <f>IF(BZ415&gt;=BA415,$T$9,"")</f>
        <v/>
      </c>
      <c r="BU419" s="803" t="str">
        <f>IF(BZ415&gt;=BA415,$U$9,"")</f>
        <v/>
      </c>
      <c r="BV419" s="803" t="str">
        <f>IF(BZ415&gt;=BA415,$V$9,"")</f>
        <v/>
      </c>
      <c r="BW419" s="805" t="str">
        <f>IF(BZ415&gt;=BA415,$W$9,"")</f>
        <v/>
      </c>
      <c r="BX419" s="806"/>
      <c r="BY419" s="806"/>
      <c r="BZ419" s="807"/>
      <c r="CA419" s="858" t="str">
        <f>IF(CZ415&gt;=CA415,$A$9,"")</f>
        <v/>
      </c>
      <c r="CB419" s="806"/>
      <c r="CC419" s="806"/>
      <c r="CD419" s="806"/>
      <c r="CE419" s="852"/>
      <c r="CF419" s="805" t="str">
        <f>IF(CZ415&gt;=CA415,$F$9,"")</f>
        <v/>
      </c>
      <c r="CG419" s="806"/>
      <c r="CH419" s="806"/>
      <c r="CI419" s="852"/>
      <c r="CJ419" s="811" t="str">
        <f>IF(CZ415&gt;=CA415,$J$9,"")</f>
        <v/>
      </c>
      <c r="CK419" s="803" t="str">
        <f>IF(CZ415&gt;=CA415,$K$9,"")</f>
        <v/>
      </c>
      <c r="CL419" s="803" t="str">
        <f>IF(CZ415&gt;=CA415,$L$9,"")</f>
        <v/>
      </c>
      <c r="CM419" s="803" t="str">
        <f>IF(CZ415&gt;=CA415,$M$9,"")</f>
        <v/>
      </c>
      <c r="CN419" s="803" t="str">
        <f>IF(CZ415&gt;=CA415,$N$9,"")</f>
        <v/>
      </c>
      <c r="CO419" s="803" t="str">
        <f>IF(CZ415&gt;=CA415,$O$9,"")</f>
        <v/>
      </c>
      <c r="CP419" s="803" t="str">
        <f>IF(CZ415&gt;=CA415,$P$9,"")</f>
        <v/>
      </c>
      <c r="CQ419" s="803" t="str">
        <f>IF(CZ415&gt;=CA415,$Q$9,"")</f>
        <v/>
      </c>
      <c r="CR419" s="803" t="str">
        <f>IF(CZ415&gt;=CA415,$R$9,"")</f>
        <v/>
      </c>
      <c r="CS419" s="803" t="str">
        <f>IF(CZ415&gt;=CA415,$S$9,"")</f>
        <v/>
      </c>
      <c r="CT419" s="803" t="str">
        <f>IF(CZ415&gt;=CA415,$T$9,"")</f>
        <v/>
      </c>
      <c r="CU419" s="803" t="str">
        <f>IF(CZ415&gt;=CA415,$U$9,"")</f>
        <v/>
      </c>
      <c r="CV419" s="803" t="str">
        <f>IF(CZ415&gt;=CA415,$V$9,"")</f>
        <v/>
      </c>
      <c r="CW419" s="805" t="str">
        <f>IF(CZ415&gt;=CA415,$W$9,"")</f>
        <v/>
      </c>
      <c r="CX419" s="806"/>
      <c r="CY419" s="806"/>
      <c r="CZ419" s="807"/>
      <c r="DA419" s="858" t="str">
        <f>IF(DZ415&gt;=DA415,$A$9,"")</f>
        <v/>
      </c>
      <c r="DB419" s="806"/>
      <c r="DC419" s="806"/>
      <c r="DD419" s="806"/>
      <c r="DE419" s="852"/>
      <c r="DF419" s="805" t="str">
        <f>IF(DZ415&gt;=DA415,$F$9,"")</f>
        <v/>
      </c>
      <c r="DG419" s="806"/>
      <c r="DH419" s="806"/>
      <c r="DI419" s="852"/>
      <c r="DJ419" s="811" t="str">
        <f>IF(DZ415&gt;=DA415,$J$9,"")</f>
        <v/>
      </c>
      <c r="DK419" s="803" t="str">
        <f>IF(DZ415&gt;=DA415,$K$9,"")</f>
        <v/>
      </c>
      <c r="DL419" s="803" t="str">
        <f>IF(DZ415&gt;=DA415,$L$9,"")</f>
        <v/>
      </c>
      <c r="DM419" s="803" t="str">
        <f>IF(DZ415&gt;=DA415,$M$9,"")</f>
        <v/>
      </c>
      <c r="DN419" s="803" t="str">
        <f>IF(DZ415&gt;=DA415,$N$9,"")</f>
        <v/>
      </c>
      <c r="DO419" s="803" t="str">
        <f>IF(DZ415&gt;=DA415,$O$9,"")</f>
        <v/>
      </c>
      <c r="DP419" s="803" t="str">
        <f>IF(DZ415&gt;=DA415,$P$9,"")</f>
        <v/>
      </c>
      <c r="DQ419" s="803" t="str">
        <f>IF(DZ415&gt;=DA415,$Q$9,"")</f>
        <v/>
      </c>
      <c r="DR419" s="803" t="str">
        <f>IF(DZ415&gt;=DA415,$R$9,"")</f>
        <v/>
      </c>
      <c r="DS419" s="803" t="str">
        <f>IF(DZ415&gt;=DA415,$S$9,"")</f>
        <v/>
      </c>
      <c r="DT419" s="803" t="str">
        <f>IF(DZ415&gt;=DA415,$T$9,"")</f>
        <v/>
      </c>
      <c r="DU419" s="803" t="str">
        <f>IF(DZ415&gt;=DA415,$U$9,"")</f>
        <v/>
      </c>
      <c r="DV419" s="803" t="str">
        <f>IF(DZ415&gt;=DA415,$V$9,"")</f>
        <v/>
      </c>
      <c r="DW419" s="805" t="str">
        <f>IF(DZ415&gt;=DA415,$W$9,"")</f>
        <v/>
      </c>
      <c r="DX419" s="806"/>
      <c r="DY419" s="806"/>
      <c r="DZ419" s="807"/>
      <c r="EA419" s="858" t="str">
        <f>IF(EZ415&gt;=EA415,$A$9,"")</f>
        <v/>
      </c>
      <c r="EB419" s="806"/>
      <c r="EC419" s="806"/>
      <c r="ED419" s="806"/>
      <c r="EE419" s="852"/>
      <c r="EF419" s="805" t="str">
        <f>IF(EZ415&gt;=EA415,$F$9,"")</f>
        <v/>
      </c>
      <c r="EG419" s="806"/>
      <c r="EH419" s="806"/>
      <c r="EI419" s="852"/>
      <c r="EJ419" s="811" t="str">
        <f>IF(EZ415&gt;=EA415,$J$9,"")</f>
        <v/>
      </c>
      <c r="EK419" s="803" t="str">
        <f>IF(EZ415&gt;=EA415,$K$9,"")</f>
        <v/>
      </c>
      <c r="EL419" s="803" t="str">
        <f>IF(EZ415&gt;=EA415,$L$9,"")</f>
        <v/>
      </c>
      <c r="EM419" s="803" t="str">
        <f>IF(EZ415&gt;=EA415,$M$9,"")</f>
        <v/>
      </c>
      <c r="EN419" s="803" t="str">
        <f>IF(EZ415&gt;=EA415,$N$9,"")</f>
        <v/>
      </c>
      <c r="EO419" s="803" t="str">
        <f>IF(EZ415&gt;=EA415,$O$9,"")</f>
        <v/>
      </c>
      <c r="EP419" s="803" t="str">
        <f>IF(EZ415&gt;=EA415,$P$9,"")</f>
        <v/>
      </c>
      <c r="EQ419" s="803" t="str">
        <f>IF(EZ415&gt;=EA415,$Q$9,"")</f>
        <v/>
      </c>
      <c r="ER419" s="803" t="str">
        <f>IF(EZ415&gt;=EA415,$R$9,"")</f>
        <v/>
      </c>
      <c r="ES419" s="803" t="str">
        <f>IF(EZ415&gt;=EA415,$S$9,"")</f>
        <v/>
      </c>
      <c r="ET419" s="803" t="str">
        <f>IF(EZ415&gt;=EA415,$T$9,"")</f>
        <v/>
      </c>
      <c r="EU419" s="803" t="str">
        <f>IF(EZ415&gt;=EA415,$U$9,"")</f>
        <v/>
      </c>
      <c r="EV419" s="803" t="str">
        <f>IF(EZ415&gt;=EA415,$V$9,"")</f>
        <v/>
      </c>
      <c r="EW419" s="805" t="str">
        <f>IF(EZ415&gt;=EA415,$W$9,"")</f>
        <v/>
      </c>
      <c r="EX419" s="806"/>
      <c r="EY419" s="806"/>
      <c r="EZ419" s="807"/>
      <c r="FA419" s="858" t="str">
        <f>IF(FZ415&gt;=FA415,$A$9,"")</f>
        <v/>
      </c>
      <c r="FB419" s="806"/>
      <c r="FC419" s="806"/>
      <c r="FD419" s="806"/>
      <c r="FE419" s="852"/>
      <c r="FF419" s="805" t="str">
        <f>IF(FZ415&gt;=FA415,$F$9,"")</f>
        <v/>
      </c>
      <c r="FG419" s="806"/>
      <c r="FH419" s="806"/>
      <c r="FI419" s="852"/>
      <c r="FJ419" s="811" t="str">
        <f>IF(FZ415&gt;=FA415,$J$9,"")</f>
        <v/>
      </c>
      <c r="FK419" s="803" t="str">
        <f>IF(FZ415&gt;=FA415,$K$9,"")</f>
        <v/>
      </c>
      <c r="FL419" s="803" t="str">
        <f>IF(FZ415&gt;=FA415,$L$9,"")</f>
        <v/>
      </c>
      <c r="FM419" s="803" t="str">
        <f>IF(FZ415&gt;=FA415,$M$9,"")</f>
        <v/>
      </c>
      <c r="FN419" s="803" t="str">
        <f>IF(FZ415&gt;=FA415,$N$9,"")</f>
        <v/>
      </c>
      <c r="FO419" s="803" t="str">
        <f>IF(FZ415&gt;=FA415,$O$9,"")</f>
        <v/>
      </c>
      <c r="FP419" s="803" t="str">
        <f>IF(FZ415&gt;=FA415,$P$9,"")</f>
        <v/>
      </c>
      <c r="FQ419" s="803" t="str">
        <f>IF(FZ415&gt;=FA415,$Q$9,"")</f>
        <v/>
      </c>
      <c r="FR419" s="803" t="str">
        <f>IF(FZ415&gt;=FA415,$R$9,"")</f>
        <v/>
      </c>
      <c r="FS419" s="803" t="str">
        <f>IF(FZ415&gt;=FA415,$S$9,"")</f>
        <v/>
      </c>
      <c r="FT419" s="803" t="str">
        <f>IF(FZ415&gt;=FA415,$T$9,"")</f>
        <v/>
      </c>
      <c r="FU419" s="803" t="str">
        <f>IF(FZ415&gt;=FA415,$U$9,"")</f>
        <v/>
      </c>
      <c r="FV419" s="803" t="str">
        <f>IF(FZ415&gt;=FA415,$V$9,"")</f>
        <v/>
      </c>
      <c r="FW419" s="805" t="str">
        <f>IF(FZ415&gt;=FA415,$W$9,"")</f>
        <v/>
      </c>
      <c r="FX419" s="806"/>
      <c r="FY419" s="806"/>
      <c r="FZ419" s="807"/>
      <c r="GA419" s="858" t="str">
        <f>IF(GZ415&gt;=GA415,$A$9,"")</f>
        <v/>
      </c>
      <c r="GB419" s="806"/>
      <c r="GC419" s="806"/>
      <c r="GD419" s="806"/>
      <c r="GE419" s="852"/>
      <c r="GF419" s="805" t="str">
        <f>IF(GZ415&gt;=GA415,$F$9,"")</f>
        <v/>
      </c>
      <c r="GG419" s="806"/>
      <c r="GH419" s="806"/>
      <c r="GI419" s="852"/>
      <c r="GJ419" s="811" t="str">
        <f>IF(GZ415&gt;=GA415,$J$9,"")</f>
        <v/>
      </c>
      <c r="GK419" s="803" t="str">
        <f>IF(GZ415&gt;=GA415,$K$9,"")</f>
        <v/>
      </c>
      <c r="GL419" s="803" t="str">
        <f>IF(GZ415&gt;=GA415,$L$9,"")</f>
        <v/>
      </c>
      <c r="GM419" s="803" t="str">
        <f>IF(GZ415&gt;=GA415,$M$9,"")</f>
        <v/>
      </c>
      <c r="GN419" s="803" t="str">
        <f>IF(GZ415&gt;=GA415,$N$9,"")</f>
        <v/>
      </c>
      <c r="GO419" s="803" t="str">
        <f>IF(GZ415&gt;=GA415,$O$9,"")</f>
        <v/>
      </c>
      <c r="GP419" s="803" t="str">
        <f>IF(GZ415&gt;=GA415,$P$9,"")</f>
        <v/>
      </c>
      <c r="GQ419" s="803" t="str">
        <f>IF(GZ415&gt;=GA415,$Q$9,"")</f>
        <v/>
      </c>
      <c r="GR419" s="803" t="str">
        <f>IF(GZ415&gt;=GA415,$R$9,"")</f>
        <v/>
      </c>
      <c r="GS419" s="803" t="str">
        <f>IF(GZ415&gt;=GA415,$S$9,"")</f>
        <v/>
      </c>
      <c r="GT419" s="803" t="str">
        <f>IF(GZ415&gt;=GA415,$T$9,"")</f>
        <v/>
      </c>
      <c r="GU419" s="803" t="str">
        <f>IF(GZ415&gt;=GA415,$U$9,"")</f>
        <v/>
      </c>
      <c r="GV419" s="803" t="str">
        <f>IF(GZ415&gt;=GA415,$V$9,"")</f>
        <v/>
      </c>
      <c r="GW419" s="805" t="str">
        <f>IF(GZ415&gt;=GA415,$W$9,"")</f>
        <v/>
      </c>
      <c r="GX419" s="806"/>
      <c r="GY419" s="806"/>
      <c r="GZ419" s="807"/>
      <c r="HA419" s="858" t="str">
        <f>IF(HZ415&gt;=HA415,$A$9,"")</f>
        <v/>
      </c>
      <c r="HB419" s="806"/>
      <c r="HC419" s="806"/>
      <c r="HD419" s="806"/>
      <c r="HE419" s="852"/>
      <c r="HF419" s="805" t="str">
        <f>IF(HZ415&gt;=HA415,$F$9,"")</f>
        <v/>
      </c>
      <c r="HG419" s="806"/>
      <c r="HH419" s="806"/>
      <c r="HI419" s="852"/>
      <c r="HJ419" s="811" t="str">
        <f>IF(HZ415&gt;=HA415,$J$9,"")</f>
        <v/>
      </c>
      <c r="HK419" s="803" t="str">
        <f>IF(HZ415&gt;=HA415,$K$9,"")</f>
        <v/>
      </c>
      <c r="HL419" s="803" t="str">
        <f>IF(HZ415&gt;=HA415,$L$9,"")</f>
        <v/>
      </c>
      <c r="HM419" s="803" t="str">
        <f>IF(HZ415&gt;=HA415,$M$9,"")</f>
        <v/>
      </c>
      <c r="HN419" s="803" t="str">
        <f>IF(HZ415&gt;=HA415,$N$9,"")</f>
        <v/>
      </c>
      <c r="HO419" s="803" t="str">
        <f>IF(HZ415&gt;=HA415,$O$9,"")</f>
        <v/>
      </c>
      <c r="HP419" s="803" t="str">
        <f>IF(HZ415&gt;=HA415,$P$9,"")</f>
        <v/>
      </c>
      <c r="HQ419" s="803" t="str">
        <f>IF(HZ415&gt;=HA415,$Q$9,"")</f>
        <v/>
      </c>
      <c r="HR419" s="803" t="str">
        <f>IF(HZ415&gt;=HA415,$R$9,"")</f>
        <v/>
      </c>
      <c r="HS419" s="803" t="str">
        <f>IF(HZ415&gt;=HA415,$S$9,"")</f>
        <v/>
      </c>
      <c r="HT419" s="803" t="str">
        <f>IF(HZ415&gt;=HA415,$T$9,"")</f>
        <v/>
      </c>
      <c r="HU419" s="803" t="str">
        <f>IF(HZ415&gt;=HA415,$U$9,"")</f>
        <v/>
      </c>
      <c r="HV419" s="803" t="str">
        <f>IF(HZ415&gt;=HA415,$V$9,"")</f>
        <v/>
      </c>
      <c r="HW419" s="805" t="str">
        <f>IF(HZ415&gt;=HA415,$W$9,"")</f>
        <v/>
      </c>
      <c r="HX419" s="806"/>
      <c r="HY419" s="806"/>
      <c r="HZ419" s="807"/>
      <c r="IA419" s="858" t="str">
        <f>IF(IZ415&gt;=IA415,$A$9,"")</f>
        <v/>
      </c>
      <c r="IB419" s="806"/>
      <c r="IC419" s="806"/>
      <c r="ID419" s="806"/>
      <c r="IE419" s="852"/>
      <c r="IF419" s="805" t="str">
        <f>IF(IZ415&gt;=IA415,$F$9,"")</f>
        <v/>
      </c>
      <c r="IG419" s="806"/>
      <c r="IH419" s="806"/>
      <c r="II419" s="852"/>
      <c r="IJ419" s="811" t="str">
        <f>IF(IZ415&gt;=IA415,$J$9,"")</f>
        <v/>
      </c>
      <c r="IK419" s="803" t="str">
        <f>IF(IZ415&gt;=IA415,$K$9,"")</f>
        <v/>
      </c>
      <c r="IL419" s="803" t="str">
        <f>IF(IZ415&gt;=IA415,$L$9,"")</f>
        <v/>
      </c>
      <c r="IM419" s="803" t="str">
        <f>IF(IZ415&gt;=IA415,$M$9,"")</f>
        <v/>
      </c>
      <c r="IN419" s="803" t="str">
        <f>IF(IZ415&gt;=IA415,$N$9,"")</f>
        <v/>
      </c>
      <c r="IO419" s="803" t="str">
        <f>IF(IZ415&gt;=IA415,$O$9,"")</f>
        <v/>
      </c>
      <c r="IP419" s="803" t="str">
        <f>IF(IZ415&gt;=IA415,$P$9,"")</f>
        <v/>
      </c>
      <c r="IQ419" s="803" t="str">
        <f>IF(IZ415&gt;=IA415,$Q$9,"")</f>
        <v/>
      </c>
      <c r="IR419" s="803" t="str">
        <f>IF(IZ415&gt;=IA415,$R$9,"")</f>
        <v/>
      </c>
      <c r="IS419" s="803" t="str">
        <f>IF(IZ415&gt;=IA415,$S$9,"")</f>
        <v/>
      </c>
      <c r="IT419" s="803" t="str">
        <f>IF(IZ415&gt;=IA415,$T$9,"")</f>
        <v/>
      </c>
      <c r="IU419" s="803" t="str">
        <f>IF(IZ415&gt;=IA415,$U$9,"")</f>
        <v/>
      </c>
      <c r="IV419" s="803" t="str">
        <f>IF(IZ415&gt;=IA415,$V$9,"")</f>
        <v/>
      </c>
      <c r="IW419" s="805" t="str">
        <f>IF(IZ415&gt;=IA415,$W$9,"")</f>
        <v/>
      </c>
      <c r="IX419" s="806"/>
      <c r="IY419" s="806"/>
      <c r="IZ419" s="807"/>
    </row>
    <row r="420" spans="1:260" x14ac:dyDescent="0.25">
      <c r="A420" s="859"/>
      <c r="B420" s="809"/>
      <c r="C420" s="809"/>
      <c r="D420" s="809"/>
      <c r="E420" s="853"/>
      <c r="F420" s="808"/>
      <c r="G420" s="809"/>
      <c r="H420" s="809"/>
      <c r="I420" s="853"/>
      <c r="J420" s="812"/>
      <c r="K420" s="804"/>
      <c r="L420" s="804"/>
      <c r="M420" s="804"/>
      <c r="N420" s="804"/>
      <c r="O420" s="804"/>
      <c r="P420" s="804"/>
      <c r="Q420" s="804"/>
      <c r="R420" s="804"/>
      <c r="S420" s="804"/>
      <c r="T420" s="804"/>
      <c r="U420" s="804"/>
      <c r="V420" s="804"/>
      <c r="W420" s="808"/>
      <c r="X420" s="809"/>
      <c r="Y420" s="809"/>
      <c r="Z420" s="810"/>
      <c r="AA420" s="859"/>
      <c r="AB420" s="809"/>
      <c r="AC420" s="809"/>
      <c r="AD420" s="809"/>
      <c r="AE420" s="853"/>
      <c r="AF420" s="808"/>
      <c r="AG420" s="809"/>
      <c r="AH420" s="809"/>
      <c r="AI420" s="853"/>
      <c r="AJ420" s="812"/>
      <c r="AK420" s="804"/>
      <c r="AL420" s="804"/>
      <c r="AM420" s="804"/>
      <c r="AN420" s="804"/>
      <c r="AO420" s="804"/>
      <c r="AP420" s="804"/>
      <c r="AQ420" s="804"/>
      <c r="AR420" s="804"/>
      <c r="AS420" s="804"/>
      <c r="AT420" s="804"/>
      <c r="AU420" s="804"/>
      <c r="AV420" s="804"/>
      <c r="AW420" s="808"/>
      <c r="AX420" s="809"/>
      <c r="AY420" s="809"/>
      <c r="AZ420" s="810"/>
      <c r="BA420" s="859"/>
      <c r="BB420" s="809"/>
      <c r="BC420" s="809"/>
      <c r="BD420" s="809"/>
      <c r="BE420" s="853"/>
      <c r="BF420" s="808"/>
      <c r="BG420" s="809"/>
      <c r="BH420" s="809"/>
      <c r="BI420" s="853"/>
      <c r="BJ420" s="812"/>
      <c r="BK420" s="804"/>
      <c r="BL420" s="804"/>
      <c r="BM420" s="804"/>
      <c r="BN420" s="804"/>
      <c r="BO420" s="804"/>
      <c r="BP420" s="804"/>
      <c r="BQ420" s="804"/>
      <c r="BR420" s="804"/>
      <c r="BS420" s="804"/>
      <c r="BT420" s="804"/>
      <c r="BU420" s="804"/>
      <c r="BV420" s="804"/>
      <c r="BW420" s="808"/>
      <c r="BX420" s="809"/>
      <c r="BY420" s="809"/>
      <c r="BZ420" s="810"/>
      <c r="CA420" s="859"/>
      <c r="CB420" s="809"/>
      <c r="CC420" s="809"/>
      <c r="CD420" s="809"/>
      <c r="CE420" s="853"/>
      <c r="CF420" s="808"/>
      <c r="CG420" s="809"/>
      <c r="CH420" s="809"/>
      <c r="CI420" s="853"/>
      <c r="CJ420" s="812"/>
      <c r="CK420" s="804"/>
      <c r="CL420" s="804"/>
      <c r="CM420" s="804"/>
      <c r="CN420" s="804"/>
      <c r="CO420" s="804"/>
      <c r="CP420" s="804"/>
      <c r="CQ420" s="804"/>
      <c r="CR420" s="804"/>
      <c r="CS420" s="804"/>
      <c r="CT420" s="804"/>
      <c r="CU420" s="804"/>
      <c r="CV420" s="804"/>
      <c r="CW420" s="808"/>
      <c r="CX420" s="809"/>
      <c r="CY420" s="809"/>
      <c r="CZ420" s="810"/>
      <c r="DA420" s="859"/>
      <c r="DB420" s="809"/>
      <c r="DC420" s="809"/>
      <c r="DD420" s="809"/>
      <c r="DE420" s="853"/>
      <c r="DF420" s="808"/>
      <c r="DG420" s="809"/>
      <c r="DH420" s="809"/>
      <c r="DI420" s="853"/>
      <c r="DJ420" s="812"/>
      <c r="DK420" s="804"/>
      <c r="DL420" s="804"/>
      <c r="DM420" s="804"/>
      <c r="DN420" s="804"/>
      <c r="DO420" s="804"/>
      <c r="DP420" s="804"/>
      <c r="DQ420" s="804"/>
      <c r="DR420" s="804"/>
      <c r="DS420" s="804"/>
      <c r="DT420" s="804"/>
      <c r="DU420" s="804"/>
      <c r="DV420" s="804"/>
      <c r="DW420" s="808"/>
      <c r="DX420" s="809"/>
      <c r="DY420" s="809"/>
      <c r="DZ420" s="810"/>
      <c r="EA420" s="859"/>
      <c r="EB420" s="809"/>
      <c r="EC420" s="809"/>
      <c r="ED420" s="809"/>
      <c r="EE420" s="853"/>
      <c r="EF420" s="808"/>
      <c r="EG420" s="809"/>
      <c r="EH420" s="809"/>
      <c r="EI420" s="853"/>
      <c r="EJ420" s="812"/>
      <c r="EK420" s="804"/>
      <c r="EL420" s="804"/>
      <c r="EM420" s="804"/>
      <c r="EN420" s="804"/>
      <c r="EO420" s="804"/>
      <c r="EP420" s="804"/>
      <c r="EQ420" s="804"/>
      <c r="ER420" s="804"/>
      <c r="ES420" s="804"/>
      <c r="ET420" s="804"/>
      <c r="EU420" s="804"/>
      <c r="EV420" s="804"/>
      <c r="EW420" s="808"/>
      <c r="EX420" s="809"/>
      <c r="EY420" s="809"/>
      <c r="EZ420" s="810"/>
      <c r="FA420" s="859"/>
      <c r="FB420" s="809"/>
      <c r="FC420" s="809"/>
      <c r="FD420" s="809"/>
      <c r="FE420" s="853"/>
      <c r="FF420" s="808"/>
      <c r="FG420" s="809"/>
      <c r="FH420" s="809"/>
      <c r="FI420" s="853"/>
      <c r="FJ420" s="812"/>
      <c r="FK420" s="804"/>
      <c r="FL420" s="804"/>
      <c r="FM420" s="804"/>
      <c r="FN420" s="804"/>
      <c r="FO420" s="804"/>
      <c r="FP420" s="804"/>
      <c r="FQ420" s="804"/>
      <c r="FR420" s="804"/>
      <c r="FS420" s="804"/>
      <c r="FT420" s="804"/>
      <c r="FU420" s="804"/>
      <c r="FV420" s="804"/>
      <c r="FW420" s="808"/>
      <c r="FX420" s="809"/>
      <c r="FY420" s="809"/>
      <c r="FZ420" s="810"/>
      <c r="GA420" s="859"/>
      <c r="GB420" s="809"/>
      <c r="GC420" s="809"/>
      <c r="GD420" s="809"/>
      <c r="GE420" s="853"/>
      <c r="GF420" s="808"/>
      <c r="GG420" s="809"/>
      <c r="GH420" s="809"/>
      <c r="GI420" s="853"/>
      <c r="GJ420" s="812"/>
      <c r="GK420" s="804"/>
      <c r="GL420" s="804"/>
      <c r="GM420" s="804"/>
      <c r="GN420" s="804"/>
      <c r="GO420" s="804"/>
      <c r="GP420" s="804"/>
      <c r="GQ420" s="804"/>
      <c r="GR420" s="804"/>
      <c r="GS420" s="804"/>
      <c r="GT420" s="804"/>
      <c r="GU420" s="804"/>
      <c r="GV420" s="804"/>
      <c r="GW420" s="808"/>
      <c r="GX420" s="809"/>
      <c r="GY420" s="809"/>
      <c r="GZ420" s="810"/>
      <c r="HA420" s="859"/>
      <c r="HB420" s="809"/>
      <c r="HC420" s="809"/>
      <c r="HD420" s="809"/>
      <c r="HE420" s="853"/>
      <c r="HF420" s="808"/>
      <c r="HG420" s="809"/>
      <c r="HH420" s="809"/>
      <c r="HI420" s="853"/>
      <c r="HJ420" s="812"/>
      <c r="HK420" s="804"/>
      <c r="HL420" s="804"/>
      <c r="HM420" s="804"/>
      <c r="HN420" s="804"/>
      <c r="HO420" s="804"/>
      <c r="HP420" s="804"/>
      <c r="HQ420" s="804"/>
      <c r="HR420" s="804"/>
      <c r="HS420" s="804"/>
      <c r="HT420" s="804"/>
      <c r="HU420" s="804"/>
      <c r="HV420" s="804"/>
      <c r="HW420" s="808"/>
      <c r="HX420" s="809"/>
      <c r="HY420" s="809"/>
      <c r="HZ420" s="810"/>
      <c r="IA420" s="859"/>
      <c r="IB420" s="809"/>
      <c r="IC420" s="809"/>
      <c r="ID420" s="809"/>
      <c r="IE420" s="853"/>
      <c r="IF420" s="808"/>
      <c r="IG420" s="809"/>
      <c r="IH420" s="809"/>
      <c r="II420" s="853"/>
      <c r="IJ420" s="812"/>
      <c r="IK420" s="804"/>
      <c r="IL420" s="804"/>
      <c r="IM420" s="804"/>
      <c r="IN420" s="804"/>
      <c r="IO420" s="804"/>
      <c r="IP420" s="804"/>
      <c r="IQ420" s="804"/>
      <c r="IR420" s="804"/>
      <c r="IS420" s="804"/>
      <c r="IT420" s="804"/>
      <c r="IU420" s="804"/>
      <c r="IV420" s="804"/>
      <c r="IW420" s="808"/>
      <c r="IX420" s="809"/>
      <c r="IY420" s="809"/>
      <c r="IZ420" s="810"/>
    </row>
    <row r="421" spans="1:260" x14ac:dyDescent="0.25">
      <c r="A421" s="854" t="str">
        <f>IFERROR(INDEX(Lista_Pedidos,Procesos!Y415+A415-1,3),"")</f>
        <v/>
      </c>
      <c r="B421" s="855"/>
      <c r="C421" s="855"/>
      <c r="D421" s="855"/>
      <c r="E421" s="856"/>
      <c r="F421" s="857" t="str">
        <f>IF(Z415&gt;A415-1,E$11,"")</f>
        <v/>
      </c>
      <c r="G421" s="855"/>
      <c r="H421" s="855"/>
      <c r="I421" s="856"/>
      <c r="J421" s="526" t="str">
        <f>IFERROR(IF(IF(Z415&gt;A415-1,INDEX(Lista_Pedidos,Y415+A415-1,J415),"")=0,"",IF(Z415&gt;A415-1,INDEX(Lista_Pedidos,Y415+A415-1,J415),"")),"")</f>
        <v/>
      </c>
      <c r="K421" s="526" t="str">
        <f>IFERROR(IF(IF(Z415&gt;A415-1,INDEX(Lista_Pedidos,Y415+A415-1,K415),"")=0,"",IF(Z415&gt;A415-1,INDEX(Lista_Pedidos,Y415+A415-1,K415),"")),"")</f>
        <v/>
      </c>
      <c r="L421" s="526" t="str">
        <f>IFERROR(IF(IF(Z415&gt;A415-1,INDEX(Lista_Pedidos,Y415+A415-1,L415),"")=0,"",IF(Z415&gt;A415-1,INDEX(Lista_Pedidos,Y415+A415-1,L415),"")),"")</f>
        <v/>
      </c>
      <c r="M421" s="526" t="str">
        <f>IFERROR(IF(IF(Z415&gt;A415-1,INDEX(Lista_Pedidos,Y415+A415-1,M415),"")=0,"",IF(Z415&gt;A415-1,INDEX(Lista_Pedidos,Y415+A415-1,M415),"")),"")</f>
        <v/>
      </c>
      <c r="N421" s="526" t="str">
        <f>IFERROR(IF(IF(Z415&gt;A415-1,INDEX(Lista_Pedidos,Y415+A415-1,N415),"")=0,"",IF(Z415&gt;A415-1,INDEX(Lista_Pedidos,Y415+A415-1,N415),"")),"")</f>
        <v/>
      </c>
      <c r="O421" s="526" t="str">
        <f>IFERROR(IF(IF(Z415&gt;A415-1,INDEX(Lista_Pedidos,Y415+A415-1,O415),"")=0,"",IF(Z415&gt;A415-1,INDEX(Lista_Pedidos,Y415+A415-1,O415),"")),"")</f>
        <v/>
      </c>
      <c r="P421" s="526" t="str">
        <f>IFERROR(IF(IF(Z415&gt;A415-1,INDEX(Lista_Pedidos,Y415+A415-1,P415),"")=0,"",IF(Z415&gt;A415-1,INDEX(Lista_Pedidos,Y415+A415-1,P415),"")),"")</f>
        <v/>
      </c>
      <c r="Q421" s="526" t="str">
        <f>IFERROR(IF(IF(Z415&gt;A415-1,INDEX(Lista_Pedidos,Y415+A415-1,Q415),"")=0,"",IF(Z415&gt;A415-1,INDEX(Lista_Pedidos,Y415+A415-1,Q415),"")),"")</f>
        <v/>
      </c>
      <c r="R421" s="526" t="str">
        <f>IFERROR(IF(IF(Z415&gt;A415-1,INDEX(Lista_Pedidos,Y415+A415-1,R415),"")=0,"",IF(Z415&gt;A415-1,INDEX(Lista_Pedidos,Y415+A415-1,R415),"")),"")</f>
        <v/>
      </c>
      <c r="S421" s="526" t="str">
        <f>IFERROR(IF(IF(Z415&gt;A415-1,INDEX(Lista_Pedidos,Y415+A415-1,S415),"")=0,"",IF(Z415&gt;A415-1,INDEX(Lista_Pedidos,Y415+A415-1,S415),"")),"")</f>
        <v/>
      </c>
      <c r="T421" s="526" t="str">
        <f>IFERROR(IF(IF(Z415&gt;A415-1,INDEX(Lista_Pedidos,Y415+A415-1,T415),"")=0,"",IF(Z415&gt;A415-1,INDEX(Lista_Pedidos,Y415+A415-1,T415),"")),"")</f>
        <v/>
      </c>
      <c r="U421" s="526" t="str">
        <f>IFERROR(IF(IF(Z415&gt;A415-1,INDEX(Lista_Pedidos,Y415+A415-1,U415),"")=0,"",IF(Z415&gt;A415-1,INDEX(Lista_Pedidos,Y415+A415-1,U415),"")),"")</f>
        <v/>
      </c>
      <c r="V421" s="526" t="str">
        <f>IFERROR(IF(IF(Z415&gt;A415-1,INDEX(Lista_Pedidos,Y415+A415-1,V415),"")=0,"",IF(Z415&gt;A415-1,INDEX(Lista_Pedidos,Y415+A415-1,V415),"")),"")</f>
        <v/>
      </c>
      <c r="W421" s="857" t="str">
        <f>IF(SUM(J421:V421)&gt;1,SUM(J421:V421),"")</f>
        <v/>
      </c>
      <c r="X421" s="855"/>
      <c r="Y421" s="855"/>
      <c r="Z421" s="860"/>
      <c r="AA421" s="854" t="str">
        <f>IFERROR(INDEX(Lista_Pedidos,Procesos!AY415+AA415-1,3),"")</f>
        <v/>
      </c>
      <c r="AB421" s="855"/>
      <c r="AC421" s="855"/>
      <c r="AD421" s="855"/>
      <c r="AE421" s="856"/>
      <c r="AF421" s="857" t="str">
        <f>IF(AZ415&gt;AA415-1,AE$11,"")</f>
        <v/>
      </c>
      <c r="AG421" s="855"/>
      <c r="AH421" s="855"/>
      <c r="AI421" s="856"/>
      <c r="AJ421" s="526" t="str">
        <f>IFERROR(IF(IF(AZ415&gt;AA415-1,INDEX(Lista_Pedidos,AY415+AA415-1,AJ415),"")=0,"",IF(AZ415&gt;AA415-1,INDEX(Lista_Pedidos,AY415+AA415-1,AJ415),"")),"")</f>
        <v/>
      </c>
      <c r="AK421" s="526" t="str">
        <f>IFERROR(IF(IF(AZ415&gt;AA415-1,INDEX(Lista_Pedidos,AY415+AA415-1,AK415),"")=0,"",IF(AZ415&gt;AA415-1,INDEX(Lista_Pedidos,AY415+AA415-1,AK415),"")),"")</f>
        <v/>
      </c>
      <c r="AL421" s="526" t="str">
        <f>IFERROR(IF(IF(AZ415&gt;AA415-1,INDEX(Lista_Pedidos,AY415+AA415-1,AL415),"")=0,"",IF(AZ415&gt;AA415-1,INDEX(Lista_Pedidos,AY415+AA415-1,AL415),"")),"")</f>
        <v/>
      </c>
      <c r="AM421" s="526" t="str">
        <f>IFERROR(IF(IF(AZ415&gt;AA415-1,INDEX(Lista_Pedidos,AY415+AA415-1,AM415),"")=0,"",IF(AZ415&gt;AA415-1,INDEX(Lista_Pedidos,AY415+AA415-1,AM415),"")),"")</f>
        <v/>
      </c>
      <c r="AN421" s="526" t="str">
        <f>IFERROR(IF(IF(AZ415&gt;AA415-1,INDEX(Lista_Pedidos,AY415+AA415-1,AN415),"")=0,"",IF(AZ415&gt;AA415-1,INDEX(Lista_Pedidos,AY415+AA415-1,AN415),"")),"")</f>
        <v/>
      </c>
      <c r="AO421" s="526" t="str">
        <f>IFERROR(IF(IF(AZ415&gt;AA415-1,INDEX(Lista_Pedidos,AY415+AA415-1,AO415),"")=0,"",IF(AZ415&gt;AA415-1,INDEX(Lista_Pedidos,AY415+AA415-1,AO415),"")),"")</f>
        <v/>
      </c>
      <c r="AP421" s="526" t="str">
        <f>IFERROR(IF(IF(AZ415&gt;AA415-1,INDEX(Lista_Pedidos,AY415+AA415-1,AP415),"")=0,"",IF(AZ415&gt;AA415-1,INDEX(Lista_Pedidos,AY415+AA415-1,AP415),"")),"")</f>
        <v/>
      </c>
      <c r="AQ421" s="526" t="str">
        <f>IFERROR(IF(IF(AZ415&gt;AA415-1,INDEX(Lista_Pedidos,AY415+AA415-1,AQ415),"")=0,"",IF(AZ415&gt;AA415-1,INDEX(Lista_Pedidos,AY415+AA415-1,AQ415),"")),"")</f>
        <v/>
      </c>
      <c r="AR421" s="526" t="str">
        <f>IFERROR(IF(IF(AZ415&gt;AA415-1,INDEX(Lista_Pedidos,AY415+AA415-1,AR415),"")=0,"",IF(AZ415&gt;AA415-1,INDEX(Lista_Pedidos,AY415+AA415-1,AR415),"")),"")</f>
        <v/>
      </c>
      <c r="AS421" s="526" t="str">
        <f>IFERROR(IF(IF(AZ415&gt;AA415-1,INDEX(Lista_Pedidos,AY415+AA415-1,AS415),"")=0,"",IF(AZ415&gt;AA415-1,INDEX(Lista_Pedidos,AY415+AA415-1,AS415),"")),"")</f>
        <v/>
      </c>
      <c r="AT421" s="526" t="str">
        <f>IFERROR(IF(IF(AZ415&gt;AA415-1,INDEX(Lista_Pedidos,AY415+AA415-1,AT415),"")=0,"",IF(AZ415&gt;AA415-1,INDEX(Lista_Pedidos,AY415+AA415-1,AT415),"")),"")</f>
        <v/>
      </c>
      <c r="AU421" s="526" t="str">
        <f>IFERROR(IF(IF(AZ415&gt;AA415-1,INDEX(Lista_Pedidos,AY415+AA415-1,AU415),"")=0,"",IF(AZ415&gt;AA415-1,INDEX(Lista_Pedidos,AY415+AA415-1,AU415),"")),"")</f>
        <v/>
      </c>
      <c r="AV421" s="526" t="str">
        <f>IFERROR(IF(IF(AZ415&gt;AA415-1,INDEX(Lista_Pedidos,AY415+AA415-1,AV415),"")=0,"",IF(AZ415&gt;AA415-1,INDEX(Lista_Pedidos,AY415+AA415-1,AV415),"")),"")</f>
        <v/>
      </c>
      <c r="AW421" s="857" t="str">
        <f>IF(SUM(AJ421:AV421)&gt;1,SUM(AJ421:AV421),"")</f>
        <v/>
      </c>
      <c r="AX421" s="855"/>
      <c r="AY421" s="855"/>
      <c r="AZ421" s="860"/>
      <c r="BA421" s="854" t="str">
        <f>IFERROR(INDEX(Lista_Pedidos,Procesos!BY415+BA415-1,3),"")</f>
        <v/>
      </c>
      <c r="BB421" s="855"/>
      <c r="BC421" s="855"/>
      <c r="BD421" s="855"/>
      <c r="BE421" s="856"/>
      <c r="BF421" s="857" t="str">
        <f>IF(BZ415&gt;BA415-1,BE$11,"")</f>
        <v/>
      </c>
      <c r="BG421" s="855"/>
      <c r="BH421" s="855"/>
      <c r="BI421" s="856"/>
      <c r="BJ421" s="526" t="str">
        <f>IFERROR(IF(IF(BZ415&gt;BA415-1,INDEX(Lista_Pedidos,BY415+BA415-1,BJ415),"")=0,"",IF(BZ415&gt;BA415-1,INDEX(Lista_Pedidos,BY415+BA415-1,BJ415),"")),"")</f>
        <v/>
      </c>
      <c r="BK421" s="526" t="str">
        <f>IFERROR(IF(IF(BZ415&gt;BA415-1,INDEX(Lista_Pedidos,BY415+BA415-1,BK415),"")=0,"",IF(BZ415&gt;BA415-1,INDEX(Lista_Pedidos,BY415+BA415-1,BK415),"")),"")</f>
        <v/>
      </c>
      <c r="BL421" s="526" t="str">
        <f>IFERROR(IF(IF(BZ415&gt;BA415-1,INDEX(Lista_Pedidos,BY415+BA415-1,BL415),"")=0,"",IF(BZ415&gt;BA415-1,INDEX(Lista_Pedidos,BY415+BA415-1,BL415),"")),"")</f>
        <v/>
      </c>
      <c r="BM421" s="526" t="str">
        <f>IFERROR(IF(IF(BZ415&gt;BA415-1,INDEX(Lista_Pedidos,BY415+BA415-1,BM415),"")=0,"",IF(BZ415&gt;BA415-1,INDEX(Lista_Pedidos,BY415+BA415-1,BM415),"")),"")</f>
        <v/>
      </c>
      <c r="BN421" s="526" t="str">
        <f>IFERROR(IF(IF(BZ415&gt;BA415-1,INDEX(Lista_Pedidos,BY415+BA415-1,BN415),"")=0,"",IF(BZ415&gt;BA415-1,INDEX(Lista_Pedidos,BY415+BA415-1,BN415),"")),"")</f>
        <v/>
      </c>
      <c r="BO421" s="526" t="str">
        <f>IFERROR(IF(IF(BZ415&gt;BA415-1,INDEX(Lista_Pedidos,BY415+BA415-1,BO415),"")=0,"",IF(BZ415&gt;BA415-1,INDEX(Lista_Pedidos,BY415+BA415-1,BO415),"")),"")</f>
        <v/>
      </c>
      <c r="BP421" s="526" t="str">
        <f>IFERROR(IF(IF(BZ415&gt;BA415-1,INDEX(Lista_Pedidos,BY415+BA415-1,BP415),"")=0,"",IF(BZ415&gt;BA415-1,INDEX(Lista_Pedidos,BY415+BA415-1,BP415),"")),"")</f>
        <v/>
      </c>
      <c r="BQ421" s="526" t="str">
        <f>IFERROR(IF(IF(BZ415&gt;BA415-1,INDEX(Lista_Pedidos,BY415+BA415-1,BQ415),"")=0,"",IF(BZ415&gt;BA415-1,INDEX(Lista_Pedidos,BY415+BA415-1,BQ415),"")),"")</f>
        <v/>
      </c>
      <c r="BR421" s="526" t="str">
        <f>IFERROR(IF(IF(BZ415&gt;BA415-1,INDEX(Lista_Pedidos,BY415+BA415-1,BR415),"")=0,"",IF(BZ415&gt;BA415-1,INDEX(Lista_Pedidos,BY415+BA415-1,BR415),"")),"")</f>
        <v/>
      </c>
      <c r="BS421" s="526" t="str">
        <f>IFERROR(IF(IF(BZ415&gt;BA415-1,INDEX(Lista_Pedidos,BY415+BA415-1,BS415),"")=0,"",IF(BZ415&gt;BA415-1,INDEX(Lista_Pedidos,BY415+BA415-1,BS415),"")),"")</f>
        <v/>
      </c>
      <c r="BT421" s="526" t="str">
        <f>IFERROR(IF(IF(BZ415&gt;BA415-1,INDEX(Lista_Pedidos,BY415+BA415-1,BT415),"")=0,"",IF(BZ415&gt;BA415-1,INDEX(Lista_Pedidos,BY415+BA415-1,BT415),"")),"")</f>
        <v/>
      </c>
      <c r="BU421" s="526" t="str">
        <f>IFERROR(IF(IF(BZ415&gt;BA415-1,INDEX(Lista_Pedidos,BY415+BA415-1,BU415),"")=0,"",IF(BZ415&gt;BA415-1,INDEX(Lista_Pedidos,BY415+BA415-1,BU415),"")),"")</f>
        <v/>
      </c>
      <c r="BV421" s="526" t="str">
        <f>IFERROR(IF(IF(BZ415&gt;BA415-1,INDEX(Lista_Pedidos,BY415+BA415-1,BV415),"")=0,"",IF(BZ415&gt;BA415-1,INDEX(Lista_Pedidos,BY415+BA415-1,BV415),"")),"")</f>
        <v/>
      </c>
      <c r="BW421" s="857" t="str">
        <f>IF(SUM(BJ421:BV421)&gt;1,SUM(BJ421:BV421),"")</f>
        <v/>
      </c>
      <c r="BX421" s="855"/>
      <c r="BY421" s="855"/>
      <c r="BZ421" s="860"/>
      <c r="CA421" s="854" t="str">
        <f>IFERROR(INDEX(Lista_Pedidos,Procesos!CY415+CA415-1,3),"")</f>
        <v/>
      </c>
      <c r="CB421" s="855"/>
      <c r="CC421" s="855"/>
      <c r="CD421" s="855"/>
      <c r="CE421" s="856"/>
      <c r="CF421" s="857" t="str">
        <f>IF(CZ415&gt;CA415-1,CE$11,"")</f>
        <v/>
      </c>
      <c r="CG421" s="855"/>
      <c r="CH421" s="855"/>
      <c r="CI421" s="856"/>
      <c r="CJ421" s="526" t="str">
        <f>IFERROR(IF(IF(CZ415&gt;CA415-1,INDEX(Lista_Pedidos,CY415+CA415-1,CJ415),"")=0,"",IF(CZ415&gt;CA415-1,INDEX(Lista_Pedidos,CY415+CA415-1,CJ415),"")),"")</f>
        <v/>
      </c>
      <c r="CK421" s="526" t="str">
        <f>IFERROR(IF(IF(CZ415&gt;CA415-1,INDEX(Lista_Pedidos,CY415+CA415-1,CK415),"")=0,"",IF(CZ415&gt;CA415-1,INDEX(Lista_Pedidos,CY415+CA415-1,CK415),"")),"")</f>
        <v/>
      </c>
      <c r="CL421" s="526" t="str">
        <f>IFERROR(IF(IF(CZ415&gt;CA415-1,INDEX(Lista_Pedidos,CY415+CA415-1,CL415),"")=0,"",IF(CZ415&gt;CA415-1,INDEX(Lista_Pedidos,CY415+CA415-1,CL415),"")),"")</f>
        <v/>
      </c>
      <c r="CM421" s="526" t="str">
        <f>IFERROR(IF(IF(CZ415&gt;CA415-1,INDEX(Lista_Pedidos,CY415+CA415-1,CM415),"")=0,"",IF(CZ415&gt;CA415-1,INDEX(Lista_Pedidos,CY415+CA415-1,CM415),"")),"")</f>
        <v/>
      </c>
      <c r="CN421" s="526" t="str">
        <f>IFERROR(IF(IF(CZ415&gt;CA415-1,INDEX(Lista_Pedidos,CY415+CA415-1,CN415),"")=0,"",IF(CZ415&gt;CA415-1,INDEX(Lista_Pedidos,CY415+CA415-1,CN415),"")),"")</f>
        <v/>
      </c>
      <c r="CO421" s="526" t="str">
        <f>IFERROR(IF(IF(CZ415&gt;CA415-1,INDEX(Lista_Pedidos,CY415+CA415-1,CO415),"")=0,"",IF(CZ415&gt;CA415-1,INDEX(Lista_Pedidos,CY415+CA415-1,CO415),"")),"")</f>
        <v/>
      </c>
      <c r="CP421" s="526" t="str">
        <f>IFERROR(IF(IF(CZ415&gt;CA415-1,INDEX(Lista_Pedidos,CY415+CA415-1,CP415),"")=0,"",IF(CZ415&gt;CA415-1,INDEX(Lista_Pedidos,CY415+CA415-1,CP415),"")),"")</f>
        <v/>
      </c>
      <c r="CQ421" s="526" t="str">
        <f>IFERROR(IF(IF(CZ415&gt;CA415-1,INDEX(Lista_Pedidos,CY415+CA415-1,CQ415),"")=0,"",IF(CZ415&gt;CA415-1,INDEX(Lista_Pedidos,CY415+CA415-1,CQ415),"")),"")</f>
        <v/>
      </c>
      <c r="CR421" s="526" t="str">
        <f>IFERROR(IF(IF(CZ415&gt;CA415-1,INDEX(Lista_Pedidos,CY415+CA415-1,CR415),"")=0,"",IF(CZ415&gt;CA415-1,INDEX(Lista_Pedidos,CY415+CA415-1,CR415),"")),"")</f>
        <v/>
      </c>
      <c r="CS421" s="526" t="str">
        <f>IFERROR(IF(IF(CZ415&gt;CA415-1,INDEX(Lista_Pedidos,CY415+CA415-1,CS415),"")=0,"",IF(CZ415&gt;CA415-1,INDEX(Lista_Pedidos,CY415+CA415-1,CS415),"")),"")</f>
        <v/>
      </c>
      <c r="CT421" s="526" t="str">
        <f>IFERROR(IF(IF(CZ415&gt;CA415-1,INDEX(Lista_Pedidos,CY415+CA415-1,CT415),"")=0,"",IF(CZ415&gt;CA415-1,INDEX(Lista_Pedidos,CY415+CA415-1,CT415),"")),"")</f>
        <v/>
      </c>
      <c r="CU421" s="526" t="str">
        <f>IFERROR(IF(IF(CZ415&gt;CA415-1,INDEX(Lista_Pedidos,CY415+CA415-1,CU415),"")=0,"",IF(CZ415&gt;CA415-1,INDEX(Lista_Pedidos,CY415+CA415-1,CU415),"")),"")</f>
        <v/>
      </c>
      <c r="CV421" s="526" t="str">
        <f>IFERROR(IF(IF(CZ415&gt;CA415-1,INDEX(Lista_Pedidos,CY415+CA415-1,CV415),"")=0,"",IF(CZ415&gt;CA415-1,INDEX(Lista_Pedidos,CY415+CA415-1,CV415),"")),"")</f>
        <v/>
      </c>
      <c r="CW421" s="857" t="str">
        <f>IF(SUM(CJ421:CV421)&gt;1,SUM(CJ421:CV421),"")</f>
        <v/>
      </c>
      <c r="CX421" s="855"/>
      <c r="CY421" s="855"/>
      <c r="CZ421" s="860"/>
      <c r="DA421" s="854" t="str">
        <f>IFERROR(INDEX(Lista_Pedidos,Procesos!DY415+DA415-1,3),"")</f>
        <v/>
      </c>
      <c r="DB421" s="855"/>
      <c r="DC421" s="855"/>
      <c r="DD421" s="855"/>
      <c r="DE421" s="856"/>
      <c r="DF421" s="857" t="str">
        <f>IF(DZ415&gt;DA415-1,DE$11,"")</f>
        <v/>
      </c>
      <c r="DG421" s="855"/>
      <c r="DH421" s="855"/>
      <c r="DI421" s="856"/>
      <c r="DJ421" s="526" t="str">
        <f>IFERROR(IF(IF(DZ415&gt;DA415-1,INDEX(Lista_Pedidos,DY415+DA415-1,DJ415),"")=0,"",IF(DZ415&gt;DA415-1,INDEX(Lista_Pedidos,DY415+DA415-1,DJ415),"")),"")</f>
        <v/>
      </c>
      <c r="DK421" s="526" t="str">
        <f>IFERROR(IF(IF(DZ415&gt;DA415-1,INDEX(Lista_Pedidos,DY415+DA415-1,DK415),"")=0,"",IF(DZ415&gt;DA415-1,INDEX(Lista_Pedidos,DY415+DA415-1,DK415),"")),"")</f>
        <v/>
      </c>
      <c r="DL421" s="526" t="str">
        <f>IFERROR(IF(IF(DZ415&gt;DA415-1,INDEX(Lista_Pedidos,DY415+DA415-1,DL415),"")=0,"",IF(DZ415&gt;DA415-1,INDEX(Lista_Pedidos,DY415+DA415-1,DL415),"")),"")</f>
        <v/>
      </c>
      <c r="DM421" s="526" t="str">
        <f>IFERROR(IF(IF(DZ415&gt;DA415-1,INDEX(Lista_Pedidos,DY415+DA415-1,DM415),"")=0,"",IF(DZ415&gt;DA415-1,INDEX(Lista_Pedidos,DY415+DA415-1,DM415),"")),"")</f>
        <v/>
      </c>
      <c r="DN421" s="526" t="str">
        <f>IFERROR(IF(IF(DZ415&gt;DA415-1,INDEX(Lista_Pedidos,DY415+DA415-1,DN415),"")=0,"",IF(DZ415&gt;DA415-1,INDEX(Lista_Pedidos,DY415+DA415-1,DN415),"")),"")</f>
        <v/>
      </c>
      <c r="DO421" s="526" t="str">
        <f>IFERROR(IF(IF(DZ415&gt;DA415-1,INDEX(Lista_Pedidos,DY415+DA415-1,DO415),"")=0,"",IF(DZ415&gt;DA415-1,INDEX(Lista_Pedidos,DY415+DA415-1,DO415),"")),"")</f>
        <v/>
      </c>
      <c r="DP421" s="526" t="str">
        <f>IFERROR(IF(IF(DZ415&gt;DA415-1,INDEX(Lista_Pedidos,DY415+DA415-1,DP415),"")=0,"",IF(DZ415&gt;DA415-1,INDEX(Lista_Pedidos,DY415+DA415-1,DP415),"")),"")</f>
        <v/>
      </c>
      <c r="DQ421" s="526" t="str">
        <f>IFERROR(IF(IF(DZ415&gt;DA415-1,INDEX(Lista_Pedidos,DY415+DA415-1,DQ415),"")=0,"",IF(DZ415&gt;DA415-1,INDEX(Lista_Pedidos,DY415+DA415-1,DQ415),"")),"")</f>
        <v/>
      </c>
      <c r="DR421" s="526" t="str">
        <f>IFERROR(IF(IF(DZ415&gt;DA415-1,INDEX(Lista_Pedidos,DY415+DA415-1,DR415),"")=0,"",IF(DZ415&gt;DA415-1,INDEX(Lista_Pedidos,DY415+DA415-1,DR415),"")),"")</f>
        <v/>
      </c>
      <c r="DS421" s="526" t="str">
        <f>IFERROR(IF(IF(DZ415&gt;DA415-1,INDEX(Lista_Pedidos,DY415+DA415-1,DS415),"")=0,"",IF(DZ415&gt;DA415-1,INDEX(Lista_Pedidos,DY415+DA415-1,DS415),"")),"")</f>
        <v/>
      </c>
      <c r="DT421" s="526" t="str">
        <f>IFERROR(IF(IF(DZ415&gt;DA415-1,INDEX(Lista_Pedidos,DY415+DA415-1,DT415),"")=0,"",IF(DZ415&gt;DA415-1,INDEX(Lista_Pedidos,DY415+DA415-1,DT415),"")),"")</f>
        <v/>
      </c>
      <c r="DU421" s="526" t="str">
        <f>IFERROR(IF(IF(DZ415&gt;DA415-1,INDEX(Lista_Pedidos,DY415+DA415-1,DU415),"")=0,"",IF(DZ415&gt;DA415-1,INDEX(Lista_Pedidos,DY415+DA415-1,DU415),"")),"")</f>
        <v/>
      </c>
      <c r="DV421" s="526" t="str">
        <f>IFERROR(IF(IF(DZ415&gt;DA415-1,INDEX(Lista_Pedidos,DY415+DA415-1,DV415),"")=0,"",IF(DZ415&gt;DA415-1,INDEX(Lista_Pedidos,DY415+DA415-1,DV415),"")),"")</f>
        <v/>
      </c>
      <c r="DW421" s="857" t="str">
        <f>IF(SUM(DJ421:DV421)&gt;1,SUM(DJ421:DV421),"")</f>
        <v/>
      </c>
      <c r="DX421" s="855"/>
      <c r="DY421" s="855"/>
      <c r="DZ421" s="860"/>
      <c r="EA421" s="854" t="str">
        <f>IFERROR(INDEX(Lista_Pedidos,Procesos!EY415+EA415-1,3),"")</f>
        <v/>
      </c>
      <c r="EB421" s="855"/>
      <c r="EC421" s="855"/>
      <c r="ED421" s="855"/>
      <c r="EE421" s="856"/>
      <c r="EF421" s="857" t="str">
        <f>IF(EZ415&gt;EA415-1,EE$11,"")</f>
        <v/>
      </c>
      <c r="EG421" s="855"/>
      <c r="EH421" s="855"/>
      <c r="EI421" s="856"/>
      <c r="EJ421" s="526" t="str">
        <f>IFERROR(IF(IF(EZ415&gt;EA415-1,INDEX(Lista_Pedidos,EY415+EA415-1,EJ415),"")=0,"",IF(EZ415&gt;EA415-1,INDEX(Lista_Pedidos,EY415+EA415-1,EJ415),"")),"")</f>
        <v/>
      </c>
      <c r="EK421" s="526" t="str">
        <f>IFERROR(IF(IF(EZ415&gt;EA415-1,INDEX(Lista_Pedidos,EY415+EA415-1,EK415),"")=0,"",IF(EZ415&gt;EA415-1,INDEX(Lista_Pedidos,EY415+EA415-1,EK415),"")),"")</f>
        <v/>
      </c>
      <c r="EL421" s="526" t="str">
        <f>IFERROR(IF(IF(EZ415&gt;EA415-1,INDEX(Lista_Pedidos,EY415+EA415-1,EL415),"")=0,"",IF(EZ415&gt;EA415-1,INDEX(Lista_Pedidos,EY415+EA415-1,EL415),"")),"")</f>
        <v/>
      </c>
      <c r="EM421" s="526" t="str">
        <f>IFERROR(IF(IF(EZ415&gt;EA415-1,INDEX(Lista_Pedidos,EY415+EA415-1,EM415),"")=0,"",IF(EZ415&gt;EA415-1,INDEX(Lista_Pedidos,EY415+EA415-1,EM415),"")),"")</f>
        <v/>
      </c>
      <c r="EN421" s="526" t="str">
        <f>IFERROR(IF(IF(EZ415&gt;EA415-1,INDEX(Lista_Pedidos,EY415+EA415-1,EN415),"")=0,"",IF(EZ415&gt;EA415-1,INDEX(Lista_Pedidos,EY415+EA415-1,EN415),"")),"")</f>
        <v/>
      </c>
      <c r="EO421" s="526" t="str">
        <f>IFERROR(IF(IF(EZ415&gt;EA415-1,INDEX(Lista_Pedidos,EY415+EA415-1,EO415),"")=0,"",IF(EZ415&gt;EA415-1,INDEX(Lista_Pedidos,EY415+EA415-1,EO415),"")),"")</f>
        <v/>
      </c>
      <c r="EP421" s="526" t="str">
        <f>IFERROR(IF(IF(EZ415&gt;EA415-1,INDEX(Lista_Pedidos,EY415+EA415-1,EP415),"")=0,"",IF(EZ415&gt;EA415-1,INDEX(Lista_Pedidos,EY415+EA415-1,EP415),"")),"")</f>
        <v/>
      </c>
      <c r="EQ421" s="526" t="str">
        <f>IFERROR(IF(IF(EZ415&gt;EA415-1,INDEX(Lista_Pedidos,EY415+EA415-1,EQ415),"")=0,"",IF(EZ415&gt;EA415-1,INDEX(Lista_Pedidos,EY415+EA415-1,EQ415),"")),"")</f>
        <v/>
      </c>
      <c r="ER421" s="526" t="str">
        <f>IFERROR(IF(IF(EZ415&gt;EA415-1,INDEX(Lista_Pedidos,EY415+EA415-1,ER415),"")=0,"",IF(EZ415&gt;EA415-1,INDEX(Lista_Pedidos,EY415+EA415-1,ER415),"")),"")</f>
        <v/>
      </c>
      <c r="ES421" s="526" t="str">
        <f>IFERROR(IF(IF(EZ415&gt;EA415-1,INDEX(Lista_Pedidos,EY415+EA415-1,ES415),"")=0,"",IF(EZ415&gt;EA415-1,INDEX(Lista_Pedidos,EY415+EA415-1,ES415),"")),"")</f>
        <v/>
      </c>
      <c r="ET421" s="526" t="str">
        <f>IFERROR(IF(IF(EZ415&gt;EA415-1,INDEX(Lista_Pedidos,EY415+EA415-1,ET415),"")=0,"",IF(EZ415&gt;EA415-1,INDEX(Lista_Pedidos,EY415+EA415-1,ET415),"")),"")</f>
        <v/>
      </c>
      <c r="EU421" s="526" t="str">
        <f>IFERROR(IF(IF(EZ415&gt;EA415-1,INDEX(Lista_Pedidos,EY415+EA415-1,EU415),"")=0,"",IF(EZ415&gt;EA415-1,INDEX(Lista_Pedidos,EY415+EA415-1,EU415),"")),"")</f>
        <v/>
      </c>
      <c r="EV421" s="526" t="str">
        <f>IFERROR(IF(IF(EZ415&gt;EA415-1,INDEX(Lista_Pedidos,EY415+EA415-1,EV415),"")=0,"",IF(EZ415&gt;EA415-1,INDEX(Lista_Pedidos,EY415+EA415-1,EV415),"")),"")</f>
        <v/>
      </c>
      <c r="EW421" s="857" t="str">
        <f>IF(SUM(EJ421:EV421)&gt;1,SUM(EJ421:EV421),"")</f>
        <v/>
      </c>
      <c r="EX421" s="855"/>
      <c r="EY421" s="855"/>
      <c r="EZ421" s="860"/>
      <c r="FA421" s="854" t="str">
        <f>IFERROR(INDEX(Lista_Pedidos,Procesos!FY415+FA415-1,3),"")</f>
        <v/>
      </c>
      <c r="FB421" s="855"/>
      <c r="FC421" s="855"/>
      <c r="FD421" s="855"/>
      <c r="FE421" s="856"/>
      <c r="FF421" s="857" t="str">
        <f>IF(FZ415&gt;FA415-1,FE$11,"")</f>
        <v/>
      </c>
      <c r="FG421" s="855"/>
      <c r="FH421" s="855"/>
      <c r="FI421" s="856"/>
      <c r="FJ421" s="526" t="str">
        <f>IFERROR(IF(IF(FZ415&gt;FA415-1,INDEX(Lista_Pedidos,FY415+FA415-1,FJ415),"")=0,"",IF(FZ415&gt;FA415-1,INDEX(Lista_Pedidos,FY415+FA415-1,FJ415),"")),"")</f>
        <v/>
      </c>
      <c r="FK421" s="526" t="str">
        <f>IFERROR(IF(IF(FZ415&gt;FA415-1,INDEX(Lista_Pedidos,FY415+FA415-1,FK415),"")=0,"",IF(FZ415&gt;FA415-1,INDEX(Lista_Pedidos,FY415+FA415-1,FK415),"")),"")</f>
        <v/>
      </c>
      <c r="FL421" s="526" t="str">
        <f>IFERROR(IF(IF(FZ415&gt;FA415-1,INDEX(Lista_Pedidos,FY415+FA415-1,FL415),"")=0,"",IF(FZ415&gt;FA415-1,INDEX(Lista_Pedidos,FY415+FA415-1,FL415),"")),"")</f>
        <v/>
      </c>
      <c r="FM421" s="526" t="str">
        <f>IFERROR(IF(IF(FZ415&gt;FA415-1,INDEX(Lista_Pedidos,FY415+FA415-1,FM415),"")=0,"",IF(FZ415&gt;FA415-1,INDEX(Lista_Pedidos,FY415+FA415-1,FM415),"")),"")</f>
        <v/>
      </c>
      <c r="FN421" s="526" t="str">
        <f>IFERROR(IF(IF(FZ415&gt;FA415-1,INDEX(Lista_Pedidos,FY415+FA415-1,FN415),"")=0,"",IF(FZ415&gt;FA415-1,INDEX(Lista_Pedidos,FY415+FA415-1,FN415),"")),"")</f>
        <v/>
      </c>
      <c r="FO421" s="526" t="str">
        <f>IFERROR(IF(IF(FZ415&gt;FA415-1,INDEX(Lista_Pedidos,FY415+FA415-1,FO415),"")=0,"",IF(FZ415&gt;FA415-1,INDEX(Lista_Pedidos,FY415+FA415-1,FO415),"")),"")</f>
        <v/>
      </c>
      <c r="FP421" s="526" t="str">
        <f>IFERROR(IF(IF(FZ415&gt;FA415-1,INDEX(Lista_Pedidos,FY415+FA415-1,FP415),"")=0,"",IF(FZ415&gt;FA415-1,INDEX(Lista_Pedidos,FY415+FA415-1,FP415),"")),"")</f>
        <v/>
      </c>
      <c r="FQ421" s="526" t="str">
        <f>IFERROR(IF(IF(FZ415&gt;FA415-1,INDEX(Lista_Pedidos,FY415+FA415-1,FQ415),"")=0,"",IF(FZ415&gt;FA415-1,INDEX(Lista_Pedidos,FY415+FA415-1,FQ415),"")),"")</f>
        <v/>
      </c>
      <c r="FR421" s="526" t="str">
        <f>IFERROR(IF(IF(FZ415&gt;FA415-1,INDEX(Lista_Pedidos,FY415+FA415-1,FR415),"")=0,"",IF(FZ415&gt;FA415-1,INDEX(Lista_Pedidos,FY415+FA415-1,FR415),"")),"")</f>
        <v/>
      </c>
      <c r="FS421" s="526" t="str">
        <f>IFERROR(IF(IF(FZ415&gt;FA415-1,INDEX(Lista_Pedidos,FY415+FA415-1,FS415),"")=0,"",IF(FZ415&gt;FA415-1,INDEX(Lista_Pedidos,FY415+FA415-1,FS415),"")),"")</f>
        <v/>
      </c>
      <c r="FT421" s="526" t="str">
        <f>IFERROR(IF(IF(FZ415&gt;FA415-1,INDEX(Lista_Pedidos,FY415+FA415-1,FT415),"")=0,"",IF(FZ415&gt;FA415-1,INDEX(Lista_Pedidos,FY415+FA415-1,FT415),"")),"")</f>
        <v/>
      </c>
      <c r="FU421" s="526" t="str">
        <f>IFERROR(IF(IF(FZ415&gt;FA415-1,INDEX(Lista_Pedidos,FY415+FA415-1,FU415),"")=0,"",IF(FZ415&gt;FA415-1,INDEX(Lista_Pedidos,FY415+FA415-1,FU415),"")),"")</f>
        <v/>
      </c>
      <c r="FV421" s="526" t="str">
        <f>IFERROR(IF(IF(FZ415&gt;FA415-1,INDEX(Lista_Pedidos,FY415+FA415-1,FV415),"")=0,"",IF(FZ415&gt;FA415-1,INDEX(Lista_Pedidos,FY415+FA415-1,FV415),"")),"")</f>
        <v/>
      </c>
      <c r="FW421" s="857" t="str">
        <f>IF(SUM(FJ421:FV421)&gt;1,SUM(FJ421:FV421),"")</f>
        <v/>
      </c>
      <c r="FX421" s="855"/>
      <c r="FY421" s="855"/>
      <c r="FZ421" s="860"/>
      <c r="GA421" s="854" t="str">
        <f>IFERROR(INDEX(Lista_Pedidos,Procesos!GY415+GA415-1,3),"")</f>
        <v/>
      </c>
      <c r="GB421" s="855"/>
      <c r="GC421" s="855"/>
      <c r="GD421" s="855"/>
      <c r="GE421" s="856"/>
      <c r="GF421" s="857" t="str">
        <f>IF(GZ415&gt;GA415-1,GE$11,"")</f>
        <v/>
      </c>
      <c r="GG421" s="855"/>
      <c r="GH421" s="855"/>
      <c r="GI421" s="856"/>
      <c r="GJ421" s="526" t="str">
        <f>IFERROR(IF(IF(GZ415&gt;GA415-1,INDEX(Lista_Pedidos,GY415+GA415-1,GJ415),"")=0,"",IF(GZ415&gt;GA415-1,INDEX(Lista_Pedidos,GY415+GA415-1,GJ415),"")),"")</f>
        <v/>
      </c>
      <c r="GK421" s="526" t="str">
        <f>IFERROR(IF(IF(GZ415&gt;GA415-1,INDEX(Lista_Pedidos,GY415+GA415-1,GK415),"")=0,"",IF(GZ415&gt;GA415-1,INDEX(Lista_Pedidos,GY415+GA415-1,GK415),"")),"")</f>
        <v/>
      </c>
      <c r="GL421" s="526" t="str">
        <f>IFERROR(IF(IF(GZ415&gt;GA415-1,INDEX(Lista_Pedidos,GY415+GA415-1,GL415),"")=0,"",IF(GZ415&gt;GA415-1,INDEX(Lista_Pedidos,GY415+GA415-1,GL415),"")),"")</f>
        <v/>
      </c>
      <c r="GM421" s="526" t="str">
        <f>IFERROR(IF(IF(GZ415&gt;GA415-1,INDEX(Lista_Pedidos,GY415+GA415-1,GM415),"")=0,"",IF(GZ415&gt;GA415-1,INDEX(Lista_Pedidos,GY415+GA415-1,GM415),"")),"")</f>
        <v/>
      </c>
      <c r="GN421" s="526" t="str">
        <f>IFERROR(IF(IF(GZ415&gt;GA415-1,INDEX(Lista_Pedidos,GY415+GA415-1,GN415),"")=0,"",IF(GZ415&gt;GA415-1,INDEX(Lista_Pedidos,GY415+GA415-1,GN415),"")),"")</f>
        <v/>
      </c>
      <c r="GO421" s="526" t="str">
        <f>IFERROR(IF(IF(GZ415&gt;GA415-1,INDEX(Lista_Pedidos,GY415+GA415-1,GO415),"")=0,"",IF(GZ415&gt;GA415-1,INDEX(Lista_Pedidos,GY415+GA415-1,GO415),"")),"")</f>
        <v/>
      </c>
      <c r="GP421" s="526" t="str">
        <f>IFERROR(IF(IF(GZ415&gt;GA415-1,INDEX(Lista_Pedidos,GY415+GA415-1,GP415),"")=0,"",IF(GZ415&gt;GA415-1,INDEX(Lista_Pedidos,GY415+GA415-1,GP415),"")),"")</f>
        <v/>
      </c>
      <c r="GQ421" s="526" t="str">
        <f>IFERROR(IF(IF(GZ415&gt;GA415-1,INDEX(Lista_Pedidos,GY415+GA415-1,GQ415),"")=0,"",IF(GZ415&gt;GA415-1,INDEX(Lista_Pedidos,GY415+GA415-1,GQ415),"")),"")</f>
        <v/>
      </c>
      <c r="GR421" s="526" t="str">
        <f>IFERROR(IF(IF(GZ415&gt;GA415-1,INDEX(Lista_Pedidos,GY415+GA415-1,GR415),"")=0,"",IF(GZ415&gt;GA415-1,INDEX(Lista_Pedidos,GY415+GA415-1,GR415),"")),"")</f>
        <v/>
      </c>
      <c r="GS421" s="526" t="str">
        <f>IFERROR(IF(IF(GZ415&gt;GA415-1,INDEX(Lista_Pedidos,GY415+GA415-1,GS415),"")=0,"",IF(GZ415&gt;GA415-1,INDEX(Lista_Pedidos,GY415+GA415-1,GS415),"")),"")</f>
        <v/>
      </c>
      <c r="GT421" s="526" t="str">
        <f>IFERROR(IF(IF(GZ415&gt;GA415-1,INDEX(Lista_Pedidos,GY415+GA415-1,GT415),"")=0,"",IF(GZ415&gt;GA415-1,INDEX(Lista_Pedidos,GY415+GA415-1,GT415),"")),"")</f>
        <v/>
      </c>
      <c r="GU421" s="526" t="str">
        <f>IFERROR(IF(IF(GZ415&gt;GA415-1,INDEX(Lista_Pedidos,GY415+GA415-1,GU415),"")=0,"",IF(GZ415&gt;GA415-1,INDEX(Lista_Pedidos,GY415+GA415-1,GU415),"")),"")</f>
        <v/>
      </c>
      <c r="GV421" s="526" t="str">
        <f>IFERROR(IF(IF(GZ415&gt;GA415-1,INDEX(Lista_Pedidos,GY415+GA415-1,GV415),"")=0,"",IF(GZ415&gt;GA415-1,INDEX(Lista_Pedidos,GY415+GA415-1,GV415),"")),"")</f>
        <v/>
      </c>
      <c r="GW421" s="857" t="str">
        <f>IF(SUM(GJ421:GV421)&gt;1,SUM(GJ421:GV421),"")</f>
        <v/>
      </c>
      <c r="GX421" s="855"/>
      <c r="GY421" s="855"/>
      <c r="GZ421" s="860"/>
      <c r="HA421" s="854" t="str">
        <f>IFERROR(INDEX(Lista_Pedidos,Procesos!HY415+HA415-1,3),"")</f>
        <v/>
      </c>
      <c r="HB421" s="855"/>
      <c r="HC421" s="855"/>
      <c r="HD421" s="855"/>
      <c r="HE421" s="856"/>
      <c r="HF421" s="857" t="str">
        <f>IF(HZ415&gt;HA415-1,HE$11,"")</f>
        <v/>
      </c>
      <c r="HG421" s="855"/>
      <c r="HH421" s="855"/>
      <c r="HI421" s="856"/>
      <c r="HJ421" s="526" t="str">
        <f>IFERROR(IF(IF(HZ415&gt;HA415-1,INDEX(Lista_Pedidos,HY415+HA415-1,HJ415),"")=0,"",IF(HZ415&gt;HA415-1,INDEX(Lista_Pedidos,HY415+HA415-1,HJ415),"")),"")</f>
        <v/>
      </c>
      <c r="HK421" s="526" t="str">
        <f>IFERROR(IF(IF(HZ415&gt;HA415-1,INDEX(Lista_Pedidos,HY415+HA415-1,HK415),"")=0,"",IF(HZ415&gt;HA415-1,INDEX(Lista_Pedidos,HY415+HA415-1,HK415),"")),"")</f>
        <v/>
      </c>
      <c r="HL421" s="526" t="str">
        <f>IFERROR(IF(IF(HZ415&gt;HA415-1,INDEX(Lista_Pedidos,HY415+HA415-1,HL415),"")=0,"",IF(HZ415&gt;HA415-1,INDEX(Lista_Pedidos,HY415+HA415-1,HL415),"")),"")</f>
        <v/>
      </c>
      <c r="HM421" s="526" t="str">
        <f>IFERROR(IF(IF(HZ415&gt;HA415-1,INDEX(Lista_Pedidos,HY415+HA415-1,HM415),"")=0,"",IF(HZ415&gt;HA415-1,INDEX(Lista_Pedidos,HY415+HA415-1,HM415),"")),"")</f>
        <v/>
      </c>
      <c r="HN421" s="526" t="str">
        <f>IFERROR(IF(IF(HZ415&gt;HA415-1,INDEX(Lista_Pedidos,HY415+HA415-1,HN415),"")=0,"",IF(HZ415&gt;HA415-1,INDEX(Lista_Pedidos,HY415+HA415-1,HN415),"")),"")</f>
        <v/>
      </c>
      <c r="HO421" s="526" t="str">
        <f>IFERROR(IF(IF(HZ415&gt;HA415-1,INDEX(Lista_Pedidos,HY415+HA415-1,HO415),"")=0,"",IF(HZ415&gt;HA415-1,INDEX(Lista_Pedidos,HY415+HA415-1,HO415),"")),"")</f>
        <v/>
      </c>
      <c r="HP421" s="526" t="str">
        <f>IFERROR(IF(IF(HZ415&gt;HA415-1,INDEX(Lista_Pedidos,HY415+HA415-1,HP415),"")=0,"",IF(HZ415&gt;HA415-1,INDEX(Lista_Pedidos,HY415+HA415-1,HP415),"")),"")</f>
        <v/>
      </c>
      <c r="HQ421" s="526" t="str">
        <f>IFERROR(IF(IF(HZ415&gt;HA415-1,INDEX(Lista_Pedidos,HY415+HA415-1,HQ415),"")=0,"",IF(HZ415&gt;HA415-1,INDEX(Lista_Pedidos,HY415+HA415-1,HQ415),"")),"")</f>
        <v/>
      </c>
      <c r="HR421" s="526" t="str">
        <f>IFERROR(IF(IF(HZ415&gt;HA415-1,INDEX(Lista_Pedidos,HY415+HA415-1,HR415),"")=0,"",IF(HZ415&gt;HA415-1,INDEX(Lista_Pedidos,HY415+HA415-1,HR415),"")),"")</f>
        <v/>
      </c>
      <c r="HS421" s="526" t="str">
        <f>IFERROR(IF(IF(HZ415&gt;HA415-1,INDEX(Lista_Pedidos,HY415+HA415-1,HS415),"")=0,"",IF(HZ415&gt;HA415-1,INDEX(Lista_Pedidos,HY415+HA415-1,HS415),"")),"")</f>
        <v/>
      </c>
      <c r="HT421" s="526" t="str">
        <f>IFERROR(IF(IF(HZ415&gt;HA415-1,INDEX(Lista_Pedidos,HY415+HA415-1,HT415),"")=0,"",IF(HZ415&gt;HA415-1,INDEX(Lista_Pedidos,HY415+HA415-1,HT415),"")),"")</f>
        <v/>
      </c>
      <c r="HU421" s="526" t="str">
        <f>IFERROR(IF(IF(HZ415&gt;HA415-1,INDEX(Lista_Pedidos,HY415+HA415-1,HU415),"")=0,"",IF(HZ415&gt;HA415-1,INDEX(Lista_Pedidos,HY415+HA415-1,HU415),"")),"")</f>
        <v/>
      </c>
      <c r="HV421" s="526" t="str">
        <f>IFERROR(IF(IF(HZ415&gt;HA415-1,INDEX(Lista_Pedidos,HY415+HA415-1,HV415),"")=0,"",IF(HZ415&gt;HA415-1,INDEX(Lista_Pedidos,HY415+HA415-1,HV415),"")),"")</f>
        <v/>
      </c>
      <c r="HW421" s="857" t="str">
        <f>IF(SUM(HJ421:HV421)&gt;1,SUM(HJ421:HV421),"")</f>
        <v/>
      </c>
      <c r="HX421" s="855"/>
      <c r="HY421" s="855"/>
      <c r="HZ421" s="860"/>
      <c r="IA421" s="854" t="str">
        <f>IFERROR(INDEX(Lista_Pedidos,Procesos!IY415+IA415-1,3),"")</f>
        <v/>
      </c>
      <c r="IB421" s="855"/>
      <c r="IC421" s="855"/>
      <c r="ID421" s="855"/>
      <c r="IE421" s="856"/>
      <c r="IF421" s="857" t="str">
        <f>IF(IZ415&gt;IA415-1,IE$11,"")</f>
        <v/>
      </c>
      <c r="IG421" s="855"/>
      <c r="IH421" s="855"/>
      <c r="II421" s="856"/>
      <c r="IJ421" s="526" t="str">
        <f>IFERROR(IF(IF(IZ415&gt;IA415-1,INDEX(Lista_Pedidos,IY415+IA415-1,IJ415),"")=0,"",IF(IZ415&gt;IA415-1,INDEX(Lista_Pedidos,IY415+IA415-1,IJ415),"")),"")</f>
        <v/>
      </c>
      <c r="IK421" s="526" t="str">
        <f>IFERROR(IF(IF(IZ415&gt;IA415-1,INDEX(Lista_Pedidos,IY415+IA415-1,IK415),"")=0,"",IF(IZ415&gt;IA415-1,INDEX(Lista_Pedidos,IY415+IA415-1,IK415),"")),"")</f>
        <v/>
      </c>
      <c r="IL421" s="526" t="str">
        <f>IFERROR(IF(IF(IZ415&gt;IA415-1,INDEX(Lista_Pedidos,IY415+IA415-1,IL415),"")=0,"",IF(IZ415&gt;IA415-1,INDEX(Lista_Pedidos,IY415+IA415-1,IL415),"")),"")</f>
        <v/>
      </c>
      <c r="IM421" s="526" t="str">
        <f>IFERROR(IF(IF(IZ415&gt;IA415-1,INDEX(Lista_Pedidos,IY415+IA415-1,IM415),"")=0,"",IF(IZ415&gt;IA415-1,INDEX(Lista_Pedidos,IY415+IA415-1,IM415),"")),"")</f>
        <v/>
      </c>
      <c r="IN421" s="526" t="str">
        <f>IFERROR(IF(IF(IZ415&gt;IA415-1,INDEX(Lista_Pedidos,IY415+IA415-1,IN415),"")=0,"",IF(IZ415&gt;IA415-1,INDEX(Lista_Pedidos,IY415+IA415-1,IN415),"")),"")</f>
        <v/>
      </c>
      <c r="IO421" s="526" t="str">
        <f>IFERROR(IF(IF(IZ415&gt;IA415-1,INDEX(Lista_Pedidos,IY415+IA415-1,IO415),"")=0,"",IF(IZ415&gt;IA415-1,INDEX(Lista_Pedidos,IY415+IA415-1,IO415),"")),"")</f>
        <v/>
      </c>
      <c r="IP421" s="526" t="str">
        <f>IFERROR(IF(IF(IZ415&gt;IA415-1,INDEX(Lista_Pedidos,IY415+IA415-1,IP415),"")=0,"",IF(IZ415&gt;IA415-1,INDEX(Lista_Pedidos,IY415+IA415-1,IP415),"")),"")</f>
        <v/>
      </c>
      <c r="IQ421" s="526" t="str">
        <f>IFERROR(IF(IF(IZ415&gt;IA415-1,INDEX(Lista_Pedidos,IY415+IA415-1,IQ415),"")=0,"",IF(IZ415&gt;IA415-1,INDEX(Lista_Pedidos,IY415+IA415-1,IQ415),"")),"")</f>
        <v/>
      </c>
      <c r="IR421" s="526" t="str">
        <f>IFERROR(IF(IF(IZ415&gt;IA415-1,INDEX(Lista_Pedidos,IY415+IA415-1,IR415),"")=0,"",IF(IZ415&gt;IA415-1,INDEX(Lista_Pedidos,IY415+IA415-1,IR415),"")),"")</f>
        <v/>
      </c>
      <c r="IS421" s="526" t="str">
        <f>IFERROR(IF(IF(IZ415&gt;IA415-1,INDEX(Lista_Pedidos,IY415+IA415-1,IS415),"")=0,"",IF(IZ415&gt;IA415-1,INDEX(Lista_Pedidos,IY415+IA415-1,IS415),"")),"")</f>
        <v/>
      </c>
      <c r="IT421" s="526" t="str">
        <f>IFERROR(IF(IF(IZ415&gt;IA415-1,INDEX(Lista_Pedidos,IY415+IA415-1,IT415),"")=0,"",IF(IZ415&gt;IA415-1,INDEX(Lista_Pedidos,IY415+IA415-1,IT415),"")),"")</f>
        <v/>
      </c>
      <c r="IU421" s="526" t="str">
        <f>IFERROR(IF(IF(IZ415&gt;IA415-1,INDEX(Lista_Pedidos,IY415+IA415-1,IU415),"")=0,"",IF(IZ415&gt;IA415-1,INDEX(Lista_Pedidos,IY415+IA415-1,IU415),"")),"")</f>
        <v/>
      </c>
      <c r="IV421" s="526" t="str">
        <f>IFERROR(IF(IF(IZ415&gt;IA415-1,INDEX(Lista_Pedidos,IY415+IA415-1,IV415),"")=0,"",IF(IZ415&gt;IA415-1,INDEX(Lista_Pedidos,IY415+IA415-1,IV415),"")),"")</f>
        <v/>
      </c>
      <c r="IW421" s="857" t="str">
        <f>IF(SUM(IJ421:IV421)&gt;1,SUM(IJ421:IV421),"")</f>
        <v/>
      </c>
      <c r="IX421" s="855"/>
      <c r="IY421" s="855"/>
      <c r="IZ421" s="860"/>
    </row>
    <row r="422" spans="1:260" x14ac:dyDescent="0.25">
      <c r="A422" s="823"/>
      <c r="B422" s="824"/>
      <c r="C422" s="824"/>
      <c r="D422" s="824"/>
      <c r="E422" s="824"/>
      <c r="F422" s="824"/>
      <c r="G422" s="824"/>
      <c r="H422" s="824"/>
      <c r="I422" s="824"/>
      <c r="J422" s="824"/>
      <c r="K422" s="824"/>
      <c r="L422" s="824"/>
      <c r="M422" s="824"/>
      <c r="N422" s="824"/>
      <c r="O422" s="824"/>
      <c r="P422" s="824"/>
      <c r="Q422" s="824"/>
      <c r="R422" s="824"/>
      <c r="S422" s="824"/>
      <c r="T422" s="824"/>
      <c r="U422" s="824"/>
      <c r="V422" s="824"/>
      <c r="W422" s="824" t="str">
        <f>IFERROR(IF(Z415&gt;A415-1,IF(INDEX(Lista_Pedidos,Y415+A415-1,2)&lt;&gt;"",INDEX(Lista_Pedidos,Y415+A415-1,2),""),""),"")</f>
        <v/>
      </c>
      <c r="X422" s="824"/>
      <c r="Y422" s="824"/>
      <c r="Z422" s="825"/>
      <c r="AA422" s="823"/>
      <c r="AB422" s="824"/>
      <c r="AC422" s="824"/>
      <c r="AD422" s="824"/>
      <c r="AE422" s="824"/>
      <c r="AF422" s="824"/>
      <c r="AG422" s="824"/>
      <c r="AH422" s="824"/>
      <c r="AI422" s="824"/>
      <c r="AJ422" s="824"/>
      <c r="AK422" s="824"/>
      <c r="AL422" s="824"/>
      <c r="AM422" s="824"/>
      <c r="AN422" s="824"/>
      <c r="AO422" s="824"/>
      <c r="AP422" s="824"/>
      <c r="AQ422" s="824"/>
      <c r="AR422" s="824"/>
      <c r="AS422" s="824"/>
      <c r="AT422" s="824"/>
      <c r="AU422" s="824"/>
      <c r="AV422" s="824"/>
      <c r="AW422" s="824" t="str">
        <f>IFERROR(IF(AZ415&gt;AA415-1,IF(INDEX(Lista_Pedidos,AY415+AA415-1,2)&lt;&gt;"",INDEX(Lista_Pedidos,AY415+AA415-1,2),""),""),"")</f>
        <v/>
      </c>
      <c r="AX422" s="824"/>
      <c r="AY422" s="824"/>
      <c r="AZ422" s="825"/>
      <c r="BA422" s="823"/>
      <c r="BB422" s="824"/>
      <c r="BC422" s="824"/>
      <c r="BD422" s="824"/>
      <c r="BE422" s="824"/>
      <c r="BF422" s="824"/>
      <c r="BG422" s="824"/>
      <c r="BH422" s="824"/>
      <c r="BI422" s="824"/>
      <c r="BJ422" s="824"/>
      <c r="BK422" s="824"/>
      <c r="BL422" s="824"/>
      <c r="BM422" s="824"/>
      <c r="BN422" s="824"/>
      <c r="BO422" s="824"/>
      <c r="BP422" s="824"/>
      <c r="BQ422" s="824"/>
      <c r="BR422" s="824"/>
      <c r="BS422" s="824"/>
      <c r="BT422" s="824"/>
      <c r="BU422" s="824"/>
      <c r="BV422" s="824"/>
      <c r="BW422" s="824" t="str">
        <f>IFERROR(IF(BZ415&gt;BA415-1,IF(INDEX(Lista_Pedidos,BY415+BA415-1,2)&lt;&gt;"",INDEX(Lista_Pedidos,BY415+BA415-1,2),""),""),"")</f>
        <v/>
      </c>
      <c r="BX422" s="824"/>
      <c r="BY422" s="824"/>
      <c r="BZ422" s="825"/>
      <c r="CA422" s="823"/>
      <c r="CB422" s="824"/>
      <c r="CC422" s="824"/>
      <c r="CD422" s="824"/>
      <c r="CE422" s="824"/>
      <c r="CF422" s="824"/>
      <c r="CG422" s="824"/>
      <c r="CH422" s="824"/>
      <c r="CI422" s="824"/>
      <c r="CJ422" s="824"/>
      <c r="CK422" s="824"/>
      <c r="CL422" s="824"/>
      <c r="CM422" s="824"/>
      <c r="CN422" s="824"/>
      <c r="CO422" s="824"/>
      <c r="CP422" s="824"/>
      <c r="CQ422" s="824"/>
      <c r="CR422" s="824"/>
      <c r="CS422" s="824"/>
      <c r="CT422" s="824"/>
      <c r="CU422" s="824"/>
      <c r="CV422" s="824"/>
      <c r="CW422" s="824" t="str">
        <f>IFERROR(IF(CZ415&gt;CA415-1,IF(INDEX(Lista_Pedidos,CY415+CA415-1,2)&lt;&gt;"",INDEX(Lista_Pedidos,CY415+CA415-1,2),""),""),"")</f>
        <v/>
      </c>
      <c r="CX422" s="824"/>
      <c r="CY422" s="824"/>
      <c r="CZ422" s="825"/>
      <c r="DA422" s="823"/>
      <c r="DB422" s="824"/>
      <c r="DC422" s="824"/>
      <c r="DD422" s="824"/>
      <c r="DE422" s="824"/>
      <c r="DF422" s="824"/>
      <c r="DG422" s="824"/>
      <c r="DH422" s="824"/>
      <c r="DI422" s="824"/>
      <c r="DJ422" s="824"/>
      <c r="DK422" s="824"/>
      <c r="DL422" s="824"/>
      <c r="DM422" s="824"/>
      <c r="DN422" s="824"/>
      <c r="DO422" s="824"/>
      <c r="DP422" s="824"/>
      <c r="DQ422" s="824"/>
      <c r="DR422" s="824"/>
      <c r="DS422" s="824"/>
      <c r="DT422" s="824"/>
      <c r="DU422" s="824"/>
      <c r="DV422" s="824"/>
      <c r="DW422" s="824" t="str">
        <f>IFERROR(IF(DZ415&gt;DA415-1,IF(INDEX(Lista_Pedidos,DY415+DA415-1,2)&lt;&gt;"",INDEX(Lista_Pedidos,DY415+DA415-1,2),""),""),"")</f>
        <v/>
      </c>
      <c r="DX422" s="824"/>
      <c r="DY422" s="824"/>
      <c r="DZ422" s="825"/>
      <c r="EA422" s="823"/>
      <c r="EB422" s="824"/>
      <c r="EC422" s="824"/>
      <c r="ED422" s="824"/>
      <c r="EE422" s="824"/>
      <c r="EF422" s="824"/>
      <c r="EG422" s="824"/>
      <c r="EH422" s="824"/>
      <c r="EI422" s="824"/>
      <c r="EJ422" s="824"/>
      <c r="EK422" s="824"/>
      <c r="EL422" s="824"/>
      <c r="EM422" s="824"/>
      <c r="EN422" s="824"/>
      <c r="EO422" s="824"/>
      <c r="EP422" s="824"/>
      <c r="EQ422" s="824"/>
      <c r="ER422" s="824"/>
      <c r="ES422" s="824"/>
      <c r="ET422" s="824"/>
      <c r="EU422" s="824"/>
      <c r="EV422" s="824"/>
      <c r="EW422" s="824" t="str">
        <f>IFERROR(IF(EZ415&gt;EA415-1,IF(INDEX(Lista_Pedidos,EY415+EA415-1,2)&lt;&gt;"",INDEX(Lista_Pedidos,EY415+EA415-1,2),""),""),"")</f>
        <v/>
      </c>
      <c r="EX422" s="824"/>
      <c r="EY422" s="824"/>
      <c r="EZ422" s="825"/>
      <c r="FA422" s="823"/>
      <c r="FB422" s="824"/>
      <c r="FC422" s="824"/>
      <c r="FD422" s="824"/>
      <c r="FE422" s="824"/>
      <c r="FF422" s="824"/>
      <c r="FG422" s="824"/>
      <c r="FH422" s="824"/>
      <c r="FI422" s="824"/>
      <c r="FJ422" s="824"/>
      <c r="FK422" s="824"/>
      <c r="FL422" s="824"/>
      <c r="FM422" s="824"/>
      <c r="FN422" s="824"/>
      <c r="FO422" s="824"/>
      <c r="FP422" s="824"/>
      <c r="FQ422" s="824"/>
      <c r="FR422" s="824"/>
      <c r="FS422" s="824"/>
      <c r="FT422" s="824"/>
      <c r="FU422" s="824"/>
      <c r="FV422" s="824"/>
      <c r="FW422" s="824" t="str">
        <f>IFERROR(IF(FZ415&gt;FA415-1,IF(INDEX(Lista_Pedidos,FY415+FA415-1,2)&lt;&gt;"",INDEX(Lista_Pedidos,FY415+FA415-1,2),""),""),"")</f>
        <v/>
      </c>
      <c r="FX422" s="824"/>
      <c r="FY422" s="824"/>
      <c r="FZ422" s="825"/>
      <c r="GA422" s="823"/>
      <c r="GB422" s="824"/>
      <c r="GC422" s="824"/>
      <c r="GD422" s="824"/>
      <c r="GE422" s="824"/>
      <c r="GF422" s="824"/>
      <c r="GG422" s="824"/>
      <c r="GH422" s="824"/>
      <c r="GI422" s="824"/>
      <c r="GJ422" s="824"/>
      <c r="GK422" s="824"/>
      <c r="GL422" s="824"/>
      <c r="GM422" s="824"/>
      <c r="GN422" s="824"/>
      <c r="GO422" s="824"/>
      <c r="GP422" s="824"/>
      <c r="GQ422" s="824"/>
      <c r="GR422" s="824"/>
      <c r="GS422" s="824"/>
      <c r="GT422" s="824"/>
      <c r="GU422" s="824"/>
      <c r="GV422" s="824"/>
      <c r="GW422" s="824" t="str">
        <f>IFERROR(IF(GZ415&gt;GA415-1,IF(INDEX(Lista_Pedidos,GY415+GA415-1,2)&lt;&gt;"",INDEX(Lista_Pedidos,GY415+GA415-1,2),""),""),"")</f>
        <v/>
      </c>
      <c r="GX422" s="824"/>
      <c r="GY422" s="824"/>
      <c r="GZ422" s="825"/>
      <c r="HA422" s="823"/>
      <c r="HB422" s="824"/>
      <c r="HC422" s="824"/>
      <c r="HD422" s="824"/>
      <c r="HE422" s="824"/>
      <c r="HF422" s="824"/>
      <c r="HG422" s="824"/>
      <c r="HH422" s="824"/>
      <c r="HI422" s="824"/>
      <c r="HJ422" s="824"/>
      <c r="HK422" s="824"/>
      <c r="HL422" s="824"/>
      <c r="HM422" s="824"/>
      <c r="HN422" s="824"/>
      <c r="HO422" s="824"/>
      <c r="HP422" s="824"/>
      <c r="HQ422" s="824"/>
      <c r="HR422" s="824"/>
      <c r="HS422" s="824"/>
      <c r="HT422" s="824"/>
      <c r="HU422" s="824"/>
      <c r="HV422" s="824"/>
      <c r="HW422" s="824" t="str">
        <f>IFERROR(IF(HZ415&gt;HA415-1,IF(INDEX(Lista_Pedidos,HY415+HA415-1,2)&lt;&gt;"",INDEX(Lista_Pedidos,HY415+HA415-1,2),""),""),"")</f>
        <v/>
      </c>
      <c r="HX422" s="824"/>
      <c r="HY422" s="824"/>
      <c r="HZ422" s="825"/>
      <c r="IA422" s="823"/>
      <c r="IB422" s="824"/>
      <c r="IC422" s="824"/>
      <c r="ID422" s="824"/>
      <c r="IE422" s="824"/>
      <c r="IF422" s="824"/>
      <c r="IG422" s="824"/>
      <c r="IH422" s="824"/>
      <c r="II422" s="824"/>
      <c r="IJ422" s="824"/>
      <c r="IK422" s="824"/>
      <c r="IL422" s="824"/>
      <c r="IM422" s="824"/>
      <c r="IN422" s="824"/>
      <c r="IO422" s="824"/>
      <c r="IP422" s="824"/>
      <c r="IQ422" s="824"/>
      <c r="IR422" s="824"/>
      <c r="IS422" s="824"/>
      <c r="IT422" s="824"/>
      <c r="IU422" s="824"/>
      <c r="IV422" s="824"/>
      <c r="IW422" s="824" t="str">
        <f>IFERROR(IF(IZ415&gt;IA415-1,IF(INDEX(Lista_Pedidos,IY415+IA415-1,2)&lt;&gt;"",INDEX(Lista_Pedidos,IY415+IA415-1,2),""),""),"")</f>
        <v/>
      </c>
      <c r="IX422" s="824"/>
      <c r="IY422" s="824"/>
      <c r="IZ422" s="825"/>
    </row>
    <row r="423" spans="1:260" x14ac:dyDescent="0.25">
      <c r="A423" s="800" t="str">
        <f>IFERROR(IF(Z415&gt;A415-1,IF(INDEX(Lista_Pedidos,Y415+A415-1,6)&lt;&gt;"","Nombre de la Tela :     "&amp; INDEX(Lista_Pedidos,Y415+A415-1,6),""),""),"")</f>
        <v/>
      </c>
      <c r="B423" s="801"/>
      <c r="C423" s="801"/>
      <c r="D423" s="801"/>
      <c r="E423" s="801"/>
      <c r="F423" s="801"/>
      <c r="G423" s="801"/>
      <c r="H423" s="801"/>
      <c r="I423" s="801"/>
      <c r="J423" s="801"/>
      <c r="K423" s="801"/>
      <c r="L423" s="801"/>
      <c r="M423" s="801"/>
      <c r="N423" s="801"/>
      <c r="O423" s="801"/>
      <c r="P423" s="801"/>
      <c r="Q423" s="801"/>
      <c r="R423" s="801"/>
      <c r="S423" s="801"/>
      <c r="T423" s="801"/>
      <c r="U423" s="801"/>
      <c r="V423" s="801"/>
      <c r="W423" s="826"/>
      <c r="X423" s="826"/>
      <c r="Y423" s="826"/>
      <c r="Z423" s="827"/>
      <c r="AA423" s="800" t="str">
        <f>IFERROR(IF(AZ415&gt;AA415-1,IF(INDEX(Lista_Pedidos,AY415+AA415-1,6)&lt;&gt;"","Nombre de la Tela :     "&amp; INDEX(Lista_Pedidos,AY415+AA415-1,6),""),""),"")</f>
        <v/>
      </c>
      <c r="AB423" s="801"/>
      <c r="AC423" s="801"/>
      <c r="AD423" s="801"/>
      <c r="AE423" s="801"/>
      <c r="AF423" s="801"/>
      <c r="AG423" s="801"/>
      <c r="AH423" s="801"/>
      <c r="AI423" s="801"/>
      <c r="AJ423" s="801"/>
      <c r="AK423" s="801"/>
      <c r="AL423" s="801"/>
      <c r="AM423" s="801"/>
      <c r="AN423" s="801"/>
      <c r="AO423" s="801"/>
      <c r="AP423" s="801"/>
      <c r="AQ423" s="801"/>
      <c r="AR423" s="801"/>
      <c r="AS423" s="801"/>
      <c r="AT423" s="801"/>
      <c r="AU423" s="801"/>
      <c r="AV423" s="801"/>
      <c r="AW423" s="826"/>
      <c r="AX423" s="826"/>
      <c r="AY423" s="826"/>
      <c r="AZ423" s="827"/>
      <c r="BA423" s="800" t="str">
        <f>IFERROR(IF(BZ415&gt;BA415-1,IF(INDEX(Lista_Pedidos,BY415+BA415-1,6)&lt;&gt;"","Nombre de la Tela :     "&amp; INDEX(Lista_Pedidos,BY415+BA415-1,6),""),""),"")</f>
        <v/>
      </c>
      <c r="BB423" s="801"/>
      <c r="BC423" s="801"/>
      <c r="BD423" s="801"/>
      <c r="BE423" s="801"/>
      <c r="BF423" s="801"/>
      <c r="BG423" s="801"/>
      <c r="BH423" s="801"/>
      <c r="BI423" s="801"/>
      <c r="BJ423" s="801"/>
      <c r="BK423" s="801"/>
      <c r="BL423" s="801"/>
      <c r="BM423" s="801"/>
      <c r="BN423" s="801"/>
      <c r="BO423" s="801"/>
      <c r="BP423" s="801"/>
      <c r="BQ423" s="801"/>
      <c r="BR423" s="801"/>
      <c r="BS423" s="801"/>
      <c r="BT423" s="801"/>
      <c r="BU423" s="801"/>
      <c r="BV423" s="801"/>
      <c r="BW423" s="826"/>
      <c r="BX423" s="826"/>
      <c r="BY423" s="826"/>
      <c r="BZ423" s="827"/>
      <c r="CA423" s="800" t="str">
        <f>IFERROR(IF(CZ415&gt;CA415-1,IF(INDEX(Lista_Pedidos,CY415+CA415-1,6)&lt;&gt;"","Nombre de la Tela :     "&amp; INDEX(Lista_Pedidos,CY415+CA415-1,6),""),""),"")</f>
        <v/>
      </c>
      <c r="CB423" s="801"/>
      <c r="CC423" s="801"/>
      <c r="CD423" s="801"/>
      <c r="CE423" s="801"/>
      <c r="CF423" s="801"/>
      <c r="CG423" s="801"/>
      <c r="CH423" s="801"/>
      <c r="CI423" s="801"/>
      <c r="CJ423" s="801"/>
      <c r="CK423" s="801"/>
      <c r="CL423" s="801"/>
      <c r="CM423" s="801"/>
      <c r="CN423" s="801"/>
      <c r="CO423" s="801"/>
      <c r="CP423" s="801"/>
      <c r="CQ423" s="801"/>
      <c r="CR423" s="801"/>
      <c r="CS423" s="801"/>
      <c r="CT423" s="801"/>
      <c r="CU423" s="801"/>
      <c r="CV423" s="801"/>
      <c r="CW423" s="826"/>
      <c r="CX423" s="826"/>
      <c r="CY423" s="826"/>
      <c r="CZ423" s="827"/>
      <c r="DA423" s="800" t="str">
        <f>IFERROR(IF(DZ415&gt;DA415-1,IF(INDEX(Lista_Pedidos,DY415+DA415-1,6)&lt;&gt;"","Nombre de la Tela :     "&amp; INDEX(Lista_Pedidos,DY415+DA415-1,6),""),""),"")</f>
        <v/>
      </c>
      <c r="DB423" s="801"/>
      <c r="DC423" s="801"/>
      <c r="DD423" s="801"/>
      <c r="DE423" s="801"/>
      <c r="DF423" s="801"/>
      <c r="DG423" s="801"/>
      <c r="DH423" s="801"/>
      <c r="DI423" s="801"/>
      <c r="DJ423" s="801"/>
      <c r="DK423" s="801"/>
      <c r="DL423" s="801"/>
      <c r="DM423" s="801"/>
      <c r="DN423" s="801"/>
      <c r="DO423" s="801"/>
      <c r="DP423" s="801"/>
      <c r="DQ423" s="801"/>
      <c r="DR423" s="801"/>
      <c r="DS423" s="801"/>
      <c r="DT423" s="801"/>
      <c r="DU423" s="801"/>
      <c r="DV423" s="801"/>
      <c r="DW423" s="826"/>
      <c r="DX423" s="826"/>
      <c r="DY423" s="826"/>
      <c r="DZ423" s="827"/>
      <c r="EA423" s="800" t="str">
        <f>IFERROR(IF(EZ415&gt;EA415-1,IF(INDEX(Lista_Pedidos,EY415+EA415-1,6)&lt;&gt;"","Nombre de la Tela :     "&amp; INDEX(Lista_Pedidos,EY415+EA415-1,6),""),""),"")</f>
        <v/>
      </c>
      <c r="EB423" s="801"/>
      <c r="EC423" s="801"/>
      <c r="ED423" s="801"/>
      <c r="EE423" s="801"/>
      <c r="EF423" s="801"/>
      <c r="EG423" s="801"/>
      <c r="EH423" s="801"/>
      <c r="EI423" s="801"/>
      <c r="EJ423" s="801"/>
      <c r="EK423" s="801"/>
      <c r="EL423" s="801"/>
      <c r="EM423" s="801"/>
      <c r="EN423" s="801"/>
      <c r="EO423" s="801"/>
      <c r="EP423" s="801"/>
      <c r="EQ423" s="801"/>
      <c r="ER423" s="801"/>
      <c r="ES423" s="801"/>
      <c r="ET423" s="801"/>
      <c r="EU423" s="801"/>
      <c r="EV423" s="801"/>
      <c r="EW423" s="826"/>
      <c r="EX423" s="826"/>
      <c r="EY423" s="826"/>
      <c r="EZ423" s="827"/>
      <c r="FA423" s="800" t="str">
        <f>IFERROR(IF(FZ415&gt;FA415-1,IF(INDEX(Lista_Pedidos,FY415+FA415-1,6)&lt;&gt;"","Nombre de la Tela :     "&amp; INDEX(Lista_Pedidos,FY415+FA415-1,6),""),""),"")</f>
        <v/>
      </c>
      <c r="FB423" s="801"/>
      <c r="FC423" s="801"/>
      <c r="FD423" s="801"/>
      <c r="FE423" s="801"/>
      <c r="FF423" s="801"/>
      <c r="FG423" s="801"/>
      <c r="FH423" s="801"/>
      <c r="FI423" s="801"/>
      <c r="FJ423" s="801"/>
      <c r="FK423" s="801"/>
      <c r="FL423" s="801"/>
      <c r="FM423" s="801"/>
      <c r="FN423" s="801"/>
      <c r="FO423" s="801"/>
      <c r="FP423" s="801"/>
      <c r="FQ423" s="801"/>
      <c r="FR423" s="801"/>
      <c r="FS423" s="801"/>
      <c r="FT423" s="801"/>
      <c r="FU423" s="801"/>
      <c r="FV423" s="801"/>
      <c r="FW423" s="826"/>
      <c r="FX423" s="826"/>
      <c r="FY423" s="826"/>
      <c r="FZ423" s="827"/>
      <c r="GA423" s="800" t="str">
        <f>IFERROR(IF(GZ415&gt;GA415-1,IF(INDEX(Lista_Pedidos,GY415+GA415-1,6)&lt;&gt;"","Nombre de la Tela :     "&amp; INDEX(Lista_Pedidos,GY415+GA415-1,6),""),""),"")</f>
        <v/>
      </c>
      <c r="GB423" s="801"/>
      <c r="GC423" s="801"/>
      <c r="GD423" s="801"/>
      <c r="GE423" s="801"/>
      <c r="GF423" s="801"/>
      <c r="GG423" s="801"/>
      <c r="GH423" s="801"/>
      <c r="GI423" s="801"/>
      <c r="GJ423" s="801"/>
      <c r="GK423" s="801"/>
      <c r="GL423" s="801"/>
      <c r="GM423" s="801"/>
      <c r="GN423" s="801"/>
      <c r="GO423" s="801"/>
      <c r="GP423" s="801"/>
      <c r="GQ423" s="801"/>
      <c r="GR423" s="801"/>
      <c r="GS423" s="801"/>
      <c r="GT423" s="801"/>
      <c r="GU423" s="801"/>
      <c r="GV423" s="801"/>
      <c r="GW423" s="826"/>
      <c r="GX423" s="826"/>
      <c r="GY423" s="826"/>
      <c r="GZ423" s="827"/>
      <c r="HA423" s="800" t="str">
        <f>IFERROR(IF(HZ415&gt;HA415-1,IF(INDEX(Lista_Pedidos,HY415+HA415-1,6)&lt;&gt;"","Nombre de la Tela :     "&amp; INDEX(Lista_Pedidos,HY415+HA415-1,6),""),""),"")</f>
        <v/>
      </c>
      <c r="HB423" s="801"/>
      <c r="HC423" s="801"/>
      <c r="HD423" s="801"/>
      <c r="HE423" s="801"/>
      <c r="HF423" s="801"/>
      <c r="HG423" s="801"/>
      <c r="HH423" s="801"/>
      <c r="HI423" s="801"/>
      <c r="HJ423" s="801"/>
      <c r="HK423" s="801"/>
      <c r="HL423" s="801"/>
      <c r="HM423" s="801"/>
      <c r="HN423" s="801"/>
      <c r="HO423" s="801"/>
      <c r="HP423" s="801"/>
      <c r="HQ423" s="801"/>
      <c r="HR423" s="801"/>
      <c r="HS423" s="801"/>
      <c r="HT423" s="801"/>
      <c r="HU423" s="801"/>
      <c r="HV423" s="801"/>
      <c r="HW423" s="826"/>
      <c r="HX423" s="826"/>
      <c r="HY423" s="826"/>
      <c r="HZ423" s="827"/>
      <c r="IA423" s="800" t="str">
        <f>IFERROR(IF(IZ415&gt;IA415-1,IF(INDEX(Lista_Pedidos,IY415+IA415-1,6)&lt;&gt;"","Nombre de la Tela :     "&amp; INDEX(Lista_Pedidos,IY415+IA415-1,6),""),""),"")</f>
        <v/>
      </c>
      <c r="IB423" s="801"/>
      <c r="IC423" s="801"/>
      <c r="ID423" s="801"/>
      <c r="IE423" s="801"/>
      <c r="IF423" s="801"/>
      <c r="IG423" s="801"/>
      <c r="IH423" s="801"/>
      <c r="II423" s="801"/>
      <c r="IJ423" s="801"/>
      <c r="IK423" s="801"/>
      <c r="IL423" s="801"/>
      <c r="IM423" s="801"/>
      <c r="IN423" s="801"/>
      <c r="IO423" s="801"/>
      <c r="IP423" s="801"/>
      <c r="IQ423" s="801"/>
      <c r="IR423" s="801"/>
      <c r="IS423" s="801"/>
      <c r="IT423" s="801"/>
      <c r="IU423" s="801"/>
      <c r="IV423" s="801"/>
      <c r="IW423" s="826"/>
      <c r="IX423" s="826"/>
      <c r="IY423" s="826"/>
      <c r="IZ423" s="827"/>
    </row>
    <row r="424" spans="1:260" x14ac:dyDescent="0.25">
      <c r="A424" s="800" t="str">
        <f>IFERROR(IF(Z415&gt;A415-1,IF(INDEX(Lista_Pedidos,Y415+A415-1,7)&lt;&gt;"","Hilo :     "&amp; INDEX(Lista_Pedidos,Y415+A415-1,7),""),""),"")</f>
        <v/>
      </c>
      <c r="B424" s="801"/>
      <c r="C424" s="801"/>
      <c r="D424" s="801"/>
      <c r="E424" s="801"/>
      <c r="F424" s="801"/>
      <c r="G424" s="801"/>
      <c r="H424" s="801"/>
      <c r="I424" s="801"/>
      <c r="J424" s="801"/>
      <c r="K424" s="801"/>
      <c r="L424" s="801"/>
      <c r="M424" s="801"/>
      <c r="N424" s="801"/>
      <c r="O424" s="801"/>
      <c r="P424" s="801"/>
      <c r="Q424" s="801"/>
      <c r="R424" s="801"/>
      <c r="S424" s="801"/>
      <c r="T424" s="801"/>
      <c r="U424" s="801"/>
      <c r="V424" s="801"/>
      <c r="W424" s="801"/>
      <c r="X424" s="801"/>
      <c r="Y424" s="801"/>
      <c r="Z424" s="802"/>
      <c r="AA424" s="800" t="str">
        <f>IFERROR(IF(AZ415&gt;AA415-1,IF(INDEX(Lista_Pedidos,AY415+AA415-1,7)&lt;&gt;"","Hilo :     "&amp; INDEX(Lista_Pedidos,AY415+AA415-1,7),""),""),"")</f>
        <v/>
      </c>
      <c r="AB424" s="801"/>
      <c r="AC424" s="801"/>
      <c r="AD424" s="801"/>
      <c r="AE424" s="801"/>
      <c r="AF424" s="801"/>
      <c r="AG424" s="801"/>
      <c r="AH424" s="801"/>
      <c r="AI424" s="801"/>
      <c r="AJ424" s="801"/>
      <c r="AK424" s="801"/>
      <c r="AL424" s="801"/>
      <c r="AM424" s="801"/>
      <c r="AN424" s="801"/>
      <c r="AO424" s="801"/>
      <c r="AP424" s="801"/>
      <c r="AQ424" s="801"/>
      <c r="AR424" s="801"/>
      <c r="AS424" s="801"/>
      <c r="AT424" s="801"/>
      <c r="AU424" s="801"/>
      <c r="AV424" s="801"/>
      <c r="AW424" s="801"/>
      <c r="AX424" s="801"/>
      <c r="AY424" s="801"/>
      <c r="AZ424" s="802"/>
      <c r="BA424" s="800" t="str">
        <f>IFERROR(IF(BZ415&gt;BA415-1,IF(INDEX(Lista_Pedidos,BY415+BA415-1,7)&lt;&gt;"","Hilo :     "&amp; INDEX(Lista_Pedidos,BY415+BA415-1,7),""),""),"")</f>
        <v/>
      </c>
      <c r="BB424" s="801"/>
      <c r="BC424" s="801"/>
      <c r="BD424" s="801"/>
      <c r="BE424" s="801"/>
      <c r="BF424" s="801"/>
      <c r="BG424" s="801"/>
      <c r="BH424" s="801"/>
      <c r="BI424" s="801"/>
      <c r="BJ424" s="801"/>
      <c r="BK424" s="801"/>
      <c r="BL424" s="801"/>
      <c r="BM424" s="801"/>
      <c r="BN424" s="801"/>
      <c r="BO424" s="801"/>
      <c r="BP424" s="801"/>
      <c r="BQ424" s="801"/>
      <c r="BR424" s="801"/>
      <c r="BS424" s="801"/>
      <c r="BT424" s="801"/>
      <c r="BU424" s="801"/>
      <c r="BV424" s="801"/>
      <c r="BW424" s="801"/>
      <c r="BX424" s="801"/>
      <c r="BY424" s="801"/>
      <c r="BZ424" s="802"/>
      <c r="CA424" s="800" t="str">
        <f>IFERROR(IF(CZ415&gt;CA415-1,IF(INDEX(Lista_Pedidos,CY415+CA415-1,7)&lt;&gt;"","Hilo :     "&amp; INDEX(Lista_Pedidos,CY415+CA415-1,7),""),""),"")</f>
        <v/>
      </c>
      <c r="CB424" s="801"/>
      <c r="CC424" s="801"/>
      <c r="CD424" s="801"/>
      <c r="CE424" s="801"/>
      <c r="CF424" s="801"/>
      <c r="CG424" s="801"/>
      <c r="CH424" s="801"/>
      <c r="CI424" s="801"/>
      <c r="CJ424" s="801"/>
      <c r="CK424" s="801"/>
      <c r="CL424" s="801"/>
      <c r="CM424" s="801"/>
      <c r="CN424" s="801"/>
      <c r="CO424" s="801"/>
      <c r="CP424" s="801"/>
      <c r="CQ424" s="801"/>
      <c r="CR424" s="801"/>
      <c r="CS424" s="801"/>
      <c r="CT424" s="801"/>
      <c r="CU424" s="801"/>
      <c r="CV424" s="801"/>
      <c r="CW424" s="801"/>
      <c r="CX424" s="801"/>
      <c r="CY424" s="801"/>
      <c r="CZ424" s="802"/>
      <c r="DA424" s="800" t="str">
        <f>IFERROR(IF(DZ415&gt;DA415-1,IF(INDEX(Lista_Pedidos,DY415+DA415-1,7)&lt;&gt;"","Hilo :     "&amp; INDEX(Lista_Pedidos,DY415+DA415-1,7),""),""),"")</f>
        <v/>
      </c>
      <c r="DB424" s="801"/>
      <c r="DC424" s="801"/>
      <c r="DD424" s="801"/>
      <c r="DE424" s="801"/>
      <c r="DF424" s="801"/>
      <c r="DG424" s="801"/>
      <c r="DH424" s="801"/>
      <c r="DI424" s="801"/>
      <c r="DJ424" s="801"/>
      <c r="DK424" s="801"/>
      <c r="DL424" s="801"/>
      <c r="DM424" s="801"/>
      <c r="DN424" s="801"/>
      <c r="DO424" s="801"/>
      <c r="DP424" s="801"/>
      <c r="DQ424" s="801"/>
      <c r="DR424" s="801"/>
      <c r="DS424" s="801"/>
      <c r="DT424" s="801"/>
      <c r="DU424" s="801"/>
      <c r="DV424" s="801"/>
      <c r="DW424" s="801"/>
      <c r="DX424" s="801"/>
      <c r="DY424" s="801"/>
      <c r="DZ424" s="802"/>
      <c r="EA424" s="800" t="str">
        <f>IFERROR(IF(EZ415&gt;EA415-1,IF(INDEX(Lista_Pedidos,EY415+EA415-1,7)&lt;&gt;"","Hilo :     "&amp; INDEX(Lista_Pedidos,EY415+EA415-1,7),""),""),"")</f>
        <v/>
      </c>
      <c r="EB424" s="801"/>
      <c r="EC424" s="801"/>
      <c r="ED424" s="801"/>
      <c r="EE424" s="801"/>
      <c r="EF424" s="801"/>
      <c r="EG424" s="801"/>
      <c r="EH424" s="801"/>
      <c r="EI424" s="801"/>
      <c r="EJ424" s="801"/>
      <c r="EK424" s="801"/>
      <c r="EL424" s="801"/>
      <c r="EM424" s="801"/>
      <c r="EN424" s="801"/>
      <c r="EO424" s="801"/>
      <c r="EP424" s="801"/>
      <c r="EQ424" s="801"/>
      <c r="ER424" s="801"/>
      <c r="ES424" s="801"/>
      <c r="ET424" s="801"/>
      <c r="EU424" s="801"/>
      <c r="EV424" s="801"/>
      <c r="EW424" s="801"/>
      <c r="EX424" s="801"/>
      <c r="EY424" s="801"/>
      <c r="EZ424" s="802"/>
      <c r="FA424" s="800" t="str">
        <f>IFERROR(IF(FZ415&gt;FA415-1,IF(INDEX(Lista_Pedidos,FY415+FA415-1,7)&lt;&gt;"","Hilo :     "&amp; INDEX(Lista_Pedidos,FY415+FA415-1,7),""),""),"")</f>
        <v/>
      </c>
      <c r="FB424" s="801"/>
      <c r="FC424" s="801"/>
      <c r="FD424" s="801"/>
      <c r="FE424" s="801"/>
      <c r="FF424" s="801"/>
      <c r="FG424" s="801"/>
      <c r="FH424" s="801"/>
      <c r="FI424" s="801"/>
      <c r="FJ424" s="801"/>
      <c r="FK424" s="801"/>
      <c r="FL424" s="801"/>
      <c r="FM424" s="801"/>
      <c r="FN424" s="801"/>
      <c r="FO424" s="801"/>
      <c r="FP424" s="801"/>
      <c r="FQ424" s="801"/>
      <c r="FR424" s="801"/>
      <c r="FS424" s="801"/>
      <c r="FT424" s="801"/>
      <c r="FU424" s="801"/>
      <c r="FV424" s="801"/>
      <c r="FW424" s="801"/>
      <c r="FX424" s="801"/>
      <c r="FY424" s="801"/>
      <c r="FZ424" s="802"/>
      <c r="GA424" s="800" t="str">
        <f>IFERROR(IF(GZ415&gt;GA415-1,IF(INDEX(Lista_Pedidos,GY415+GA415-1,7)&lt;&gt;"","Hilo :     "&amp; INDEX(Lista_Pedidos,GY415+GA415-1,7),""),""),"")</f>
        <v/>
      </c>
      <c r="GB424" s="801"/>
      <c r="GC424" s="801"/>
      <c r="GD424" s="801"/>
      <c r="GE424" s="801"/>
      <c r="GF424" s="801"/>
      <c r="GG424" s="801"/>
      <c r="GH424" s="801"/>
      <c r="GI424" s="801"/>
      <c r="GJ424" s="801"/>
      <c r="GK424" s="801"/>
      <c r="GL424" s="801"/>
      <c r="GM424" s="801"/>
      <c r="GN424" s="801"/>
      <c r="GO424" s="801"/>
      <c r="GP424" s="801"/>
      <c r="GQ424" s="801"/>
      <c r="GR424" s="801"/>
      <c r="GS424" s="801"/>
      <c r="GT424" s="801"/>
      <c r="GU424" s="801"/>
      <c r="GV424" s="801"/>
      <c r="GW424" s="801"/>
      <c r="GX424" s="801"/>
      <c r="GY424" s="801"/>
      <c r="GZ424" s="802"/>
      <c r="HA424" s="800" t="str">
        <f>IFERROR(IF(HZ415&gt;HA415-1,IF(INDEX(Lista_Pedidos,HY415+HA415-1,7)&lt;&gt;"","Hilo :     "&amp; INDEX(Lista_Pedidos,HY415+HA415-1,7),""),""),"")</f>
        <v/>
      </c>
      <c r="HB424" s="801"/>
      <c r="HC424" s="801"/>
      <c r="HD424" s="801"/>
      <c r="HE424" s="801"/>
      <c r="HF424" s="801"/>
      <c r="HG424" s="801"/>
      <c r="HH424" s="801"/>
      <c r="HI424" s="801"/>
      <c r="HJ424" s="801"/>
      <c r="HK424" s="801"/>
      <c r="HL424" s="801"/>
      <c r="HM424" s="801"/>
      <c r="HN424" s="801"/>
      <c r="HO424" s="801"/>
      <c r="HP424" s="801"/>
      <c r="HQ424" s="801"/>
      <c r="HR424" s="801"/>
      <c r="HS424" s="801"/>
      <c r="HT424" s="801"/>
      <c r="HU424" s="801"/>
      <c r="HV424" s="801"/>
      <c r="HW424" s="801"/>
      <c r="HX424" s="801"/>
      <c r="HY424" s="801"/>
      <c r="HZ424" s="802"/>
      <c r="IA424" s="800" t="str">
        <f>IFERROR(IF(IZ415&gt;IA415-1,IF(INDEX(Lista_Pedidos,IY415+IA415-1,7)&lt;&gt;"","Hilo :     "&amp; INDEX(Lista_Pedidos,IY415+IA415-1,7),""),""),"")</f>
        <v/>
      </c>
      <c r="IB424" s="801"/>
      <c r="IC424" s="801"/>
      <c r="ID424" s="801"/>
      <c r="IE424" s="801"/>
      <c r="IF424" s="801"/>
      <c r="IG424" s="801"/>
      <c r="IH424" s="801"/>
      <c r="II424" s="801"/>
      <c r="IJ424" s="801"/>
      <c r="IK424" s="801"/>
      <c r="IL424" s="801"/>
      <c r="IM424" s="801"/>
      <c r="IN424" s="801"/>
      <c r="IO424" s="801"/>
      <c r="IP424" s="801"/>
      <c r="IQ424" s="801"/>
      <c r="IR424" s="801"/>
      <c r="IS424" s="801"/>
      <c r="IT424" s="801"/>
      <c r="IU424" s="801"/>
      <c r="IV424" s="801"/>
      <c r="IW424" s="801"/>
      <c r="IX424" s="801"/>
      <c r="IY424" s="801"/>
      <c r="IZ424" s="802"/>
    </row>
    <row r="425" spans="1:260" x14ac:dyDescent="0.25">
      <c r="A425" s="800" t="str">
        <f>IFERROR(IF(Z415&gt;A415-1,IF(INDEX(Lista_Pedidos,Y415+A415-1,8)&lt;&gt;"","Forro :     "&amp; INDEX(Lista_Pedidos,Y415+A415-1,8),""),""),"")</f>
        <v/>
      </c>
      <c r="B425" s="801"/>
      <c r="C425" s="801"/>
      <c r="D425" s="801"/>
      <c r="E425" s="801"/>
      <c r="F425" s="801"/>
      <c r="G425" s="801"/>
      <c r="H425" s="801"/>
      <c r="I425" s="801"/>
      <c r="J425" s="801"/>
      <c r="K425" s="801"/>
      <c r="L425" s="801"/>
      <c r="M425" s="801"/>
      <c r="N425" s="801"/>
      <c r="O425" s="801"/>
      <c r="P425" s="801"/>
      <c r="Q425" s="801"/>
      <c r="R425" s="801"/>
      <c r="S425" s="801"/>
      <c r="T425" s="801"/>
      <c r="U425" s="801"/>
      <c r="V425" s="801"/>
      <c r="W425" s="801"/>
      <c r="X425" s="801"/>
      <c r="Y425" s="801"/>
      <c r="Z425" s="802"/>
      <c r="AA425" s="800" t="str">
        <f>IFERROR(IF(AZ415&gt;AA415-1,IF(INDEX(Lista_Pedidos,AY415+AA415-1,8)&lt;&gt;"","Forro :     "&amp; INDEX(Lista_Pedidos,AY415+AA415-1,8),""),""),"")</f>
        <v/>
      </c>
      <c r="AB425" s="801"/>
      <c r="AC425" s="801"/>
      <c r="AD425" s="801"/>
      <c r="AE425" s="801"/>
      <c r="AF425" s="801"/>
      <c r="AG425" s="801"/>
      <c r="AH425" s="801"/>
      <c r="AI425" s="801"/>
      <c r="AJ425" s="801"/>
      <c r="AK425" s="801"/>
      <c r="AL425" s="801"/>
      <c r="AM425" s="801"/>
      <c r="AN425" s="801"/>
      <c r="AO425" s="801"/>
      <c r="AP425" s="801"/>
      <c r="AQ425" s="801"/>
      <c r="AR425" s="801"/>
      <c r="AS425" s="801"/>
      <c r="AT425" s="801"/>
      <c r="AU425" s="801"/>
      <c r="AV425" s="801"/>
      <c r="AW425" s="801"/>
      <c r="AX425" s="801"/>
      <c r="AY425" s="801"/>
      <c r="AZ425" s="802"/>
      <c r="BA425" s="800" t="str">
        <f>IFERROR(IF(BZ415&gt;BA415-1,IF(INDEX(Lista_Pedidos,BY415+BA415-1,8)&lt;&gt;"","Forro :     "&amp; INDEX(Lista_Pedidos,BY415+BA415-1,8),""),""),"")</f>
        <v/>
      </c>
      <c r="BB425" s="801"/>
      <c r="BC425" s="801"/>
      <c r="BD425" s="801"/>
      <c r="BE425" s="801"/>
      <c r="BF425" s="801"/>
      <c r="BG425" s="801"/>
      <c r="BH425" s="801"/>
      <c r="BI425" s="801"/>
      <c r="BJ425" s="801"/>
      <c r="BK425" s="801"/>
      <c r="BL425" s="801"/>
      <c r="BM425" s="801"/>
      <c r="BN425" s="801"/>
      <c r="BO425" s="801"/>
      <c r="BP425" s="801"/>
      <c r="BQ425" s="801"/>
      <c r="BR425" s="801"/>
      <c r="BS425" s="801"/>
      <c r="BT425" s="801"/>
      <c r="BU425" s="801"/>
      <c r="BV425" s="801"/>
      <c r="BW425" s="801"/>
      <c r="BX425" s="801"/>
      <c r="BY425" s="801"/>
      <c r="BZ425" s="802"/>
      <c r="CA425" s="800" t="str">
        <f>IFERROR(IF(CZ415&gt;CA415-1,IF(INDEX(Lista_Pedidos,CY415+CA415-1,8)&lt;&gt;"","Forro :     "&amp; INDEX(Lista_Pedidos,CY415+CA415-1,8),""),""),"")</f>
        <v/>
      </c>
      <c r="CB425" s="801"/>
      <c r="CC425" s="801"/>
      <c r="CD425" s="801"/>
      <c r="CE425" s="801"/>
      <c r="CF425" s="801"/>
      <c r="CG425" s="801"/>
      <c r="CH425" s="801"/>
      <c r="CI425" s="801"/>
      <c r="CJ425" s="801"/>
      <c r="CK425" s="801"/>
      <c r="CL425" s="801"/>
      <c r="CM425" s="801"/>
      <c r="CN425" s="801"/>
      <c r="CO425" s="801"/>
      <c r="CP425" s="801"/>
      <c r="CQ425" s="801"/>
      <c r="CR425" s="801"/>
      <c r="CS425" s="801"/>
      <c r="CT425" s="801"/>
      <c r="CU425" s="801"/>
      <c r="CV425" s="801"/>
      <c r="CW425" s="801"/>
      <c r="CX425" s="801"/>
      <c r="CY425" s="801"/>
      <c r="CZ425" s="802"/>
      <c r="DA425" s="800" t="str">
        <f>IFERROR(IF(DZ415&gt;DA415-1,IF(INDEX(Lista_Pedidos,DY415+DA415-1,8)&lt;&gt;"","Forro :     "&amp; INDEX(Lista_Pedidos,DY415+DA415-1,8),""),""),"")</f>
        <v/>
      </c>
      <c r="DB425" s="801"/>
      <c r="DC425" s="801"/>
      <c r="DD425" s="801"/>
      <c r="DE425" s="801"/>
      <c r="DF425" s="801"/>
      <c r="DG425" s="801"/>
      <c r="DH425" s="801"/>
      <c r="DI425" s="801"/>
      <c r="DJ425" s="801"/>
      <c r="DK425" s="801"/>
      <c r="DL425" s="801"/>
      <c r="DM425" s="801"/>
      <c r="DN425" s="801"/>
      <c r="DO425" s="801"/>
      <c r="DP425" s="801"/>
      <c r="DQ425" s="801"/>
      <c r="DR425" s="801"/>
      <c r="DS425" s="801"/>
      <c r="DT425" s="801"/>
      <c r="DU425" s="801"/>
      <c r="DV425" s="801"/>
      <c r="DW425" s="801"/>
      <c r="DX425" s="801"/>
      <c r="DY425" s="801"/>
      <c r="DZ425" s="802"/>
      <c r="EA425" s="800" t="str">
        <f>IFERROR(IF(EZ415&gt;EA415-1,IF(INDEX(Lista_Pedidos,EY415+EA415-1,8)&lt;&gt;"","Forro :     "&amp; INDEX(Lista_Pedidos,EY415+EA415-1,8),""),""),"")</f>
        <v/>
      </c>
      <c r="EB425" s="801"/>
      <c r="EC425" s="801"/>
      <c r="ED425" s="801"/>
      <c r="EE425" s="801"/>
      <c r="EF425" s="801"/>
      <c r="EG425" s="801"/>
      <c r="EH425" s="801"/>
      <c r="EI425" s="801"/>
      <c r="EJ425" s="801"/>
      <c r="EK425" s="801"/>
      <c r="EL425" s="801"/>
      <c r="EM425" s="801"/>
      <c r="EN425" s="801"/>
      <c r="EO425" s="801"/>
      <c r="EP425" s="801"/>
      <c r="EQ425" s="801"/>
      <c r="ER425" s="801"/>
      <c r="ES425" s="801"/>
      <c r="ET425" s="801"/>
      <c r="EU425" s="801"/>
      <c r="EV425" s="801"/>
      <c r="EW425" s="801"/>
      <c r="EX425" s="801"/>
      <c r="EY425" s="801"/>
      <c r="EZ425" s="802"/>
      <c r="FA425" s="800" t="str">
        <f>IFERROR(IF(FZ415&gt;FA415-1,IF(INDEX(Lista_Pedidos,FY415+FA415-1,8)&lt;&gt;"","Forro :     "&amp; INDEX(Lista_Pedidos,FY415+FA415-1,8),""),""),"")</f>
        <v/>
      </c>
      <c r="FB425" s="801"/>
      <c r="FC425" s="801"/>
      <c r="FD425" s="801"/>
      <c r="FE425" s="801"/>
      <c r="FF425" s="801"/>
      <c r="FG425" s="801"/>
      <c r="FH425" s="801"/>
      <c r="FI425" s="801"/>
      <c r="FJ425" s="801"/>
      <c r="FK425" s="801"/>
      <c r="FL425" s="801"/>
      <c r="FM425" s="801"/>
      <c r="FN425" s="801"/>
      <c r="FO425" s="801"/>
      <c r="FP425" s="801"/>
      <c r="FQ425" s="801"/>
      <c r="FR425" s="801"/>
      <c r="FS425" s="801"/>
      <c r="FT425" s="801"/>
      <c r="FU425" s="801"/>
      <c r="FV425" s="801"/>
      <c r="FW425" s="801"/>
      <c r="FX425" s="801"/>
      <c r="FY425" s="801"/>
      <c r="FZ425" s="802"/>
      <c r="GA425" s="800" t="str">
        <f>IFERROR(IF(GZ415&gt;GA415-1,IF(INDEX(Lista_Pedidos,GY415+GA415-1,8)&lt;&gt;"","Forro :     "&amp; INDEX(Lista_Pedidos,GY415+GA415-1,8),""),""),"")</f>
        <v/>
      </c>
      <c r="GB425" s="801"/>
      <c r="GC425" s="801"/>
      <c r="GD425" s="801"/>
      <c r="GE425" s="801"/>
      <c r="GF425" s="801"/>
      <c r="GG425" s="801"/>
      <c r="GH425" s="801"/>
      <c r="GI425" s="801"/>
      <c r="GJ425" s="801"/>
      <c r="GK425" s="801"/>
      <c r="GL425" s="801"/>
      <c r="GM425" s="801"/>
      <c r="GN425" s="801"/>
      <c r="GO425" s="801"/>
      <c r="GP425" s="801"/>
      <c r="GQ425" s="801"/>
      <c r="GR425" s="801"/>
      <c r="GS425" s="801"/>
      <c r="GT425" s="801"/>
      <c r="GU425" s="801"/>
      <c r="GV425" s="801"/>
      <c r="GW425" s="801"/>
      <c r="GX425" s="801"/>
      <c r="GY425" s="801"/>
      <c r="GZ425" s="802"/>
      <c r="HA425" s="800" t="str">
        <f>IFERROR(IF(HZ415&gt;HA415-1,IF(INDEX(Lista_Pedidos,HY415+HA415-1,8)&lt;&gt;"","Forro :     "&amp; INDEX(Lista_Pedidos,HY415+HA415-1,8),""),""),"")</f>
        <v/>
      </c>
      <c r="HB425" s="801"/>
      <c r="HC425" s="801"/>
      <c r="HD425" s="801"/>
      <c r="HE425" s="801"/>
      <c r="HF425" s="801"/>
      <c r="HG425" s="801"/>
      <c r="HH425" s="801"/>
      <c r="HI425" s="801"/>
      <c r="HJ425" s="801"/>
      <c r="HK425" s="801"/>
      <c r="HL425" s="801"/>
      <c r="HM425" s="801"/>
      <c r="HN425" s="801"/>
      <c r="HO425" s="801"/>
      <c r="HP425" s="801"/>
      <c r="HQ425" s="801"/>
      <c r="HR425" s="801"/>
      <c r="HS425" s="801"/>
      <c r="HT425" s="801"/>
      <c r="HU425" s="801"/>
      <c r="HV425" s="801"/>
      <c r="HW425" s="801"/>
      <c r="HX425" s="801"/>
      <c r="HY425" s="801"/>
      <c r="HZ425" s="802"/>
      <c r="IA425" s="800" t="str">
        <f>IFERROR(IF(IZ415&gt;IA415-1,IF(INDEX(Lista_Pedidos,IY415+IA415-1,8)&lt;&gt;"","Forro :     "&amp; INDEX(Lista_Pedidos,IY415+IA415-1,8),""),""),"")</f>
        <v/>
      </c>
      <c r="IB425" s="801"/>
      <c r="IC425" s="801"/>
      <c r="ID425" s="801"/>
      <c r="IE425" s="801"/>
      <c r="IF425" s="801"/>
      <c r="IG425" s="801"/>
      <c r="IH425" s="801"/>
      <c r="II425" s="801"/>
      <c r="IJ425" s="801"/>
      <c r="IK425" s="801"/>
      <c r="IL425" s="801"/>
      <c r="IM425" s="801"/>
      <c r="IN425" s="801"/>
      <c r="IO425" s="801"/>
      <c r="IP425" s="801"/>
      <c r="IQ425" s="801"/>
      <c r="IR425" s="801"/>
      <c r="IS425" s="801"/>
      <c r="IT425" s="801"/>
      <c r="IU425" s="801"/>
      <c r="IV425" s="801"/>
      <c r="IW425" s="801"/>
      <c r="IX425" s="801"/>
      <c r="IY425" s="801"/>
      <c r="IZ425" s="802"/>
    </row>
    <row r="426" spans="1:260" x14ac:dyDescent="0.25">
      <c r="A426" s="800" t="str">
        <f>IF(A$5="Cliente Especial : NEON",IF(Z415&gt;A415-1,"Neon :      Si",""),"")</f>
        <v/>
      </c>
      <c r="B426" s="801"/>
      <c r="C426" s="801"/>
      <c r="D426" s="801"/>
      <c r="E426" s="801"/>
      <c r="F426" s="801"/>
      <c r="G426" s="801"/>
      <c r="H426" s="801"/>
      <c r="I426" s="801"/>
      <c r="J426" s="801"/>
      <c r="K426" s="801"/>
      <c r="L426" s="801"/>
      <c r="M426" s="801"/>
      <c r="N426" s="801"/>
      <c r="O426" s="801"/>
      <c r="P426" s="801"/>
      <c r="Q426" s="801"/>
      <c r="R426" s="801"/>
      <c r="S426" s="801"/>
      <c r="T426" s="801"/>
      <c r="U426" s="801"/>
      <c r="V426" s="801"/>
      <c r="W426" s="801"/>
      <c r="X426" s="801"/>
      <c r="Y426" s="801"/>
      <c r="Z426" s="802"/>
      <c r="AA426" s="800" t="str">
        <f>IF(AA$5="Cliente Especial : NEON",IF(AZ415&gt;AA415-1,"Neon :      Si",""),"")</f>
        <v/>
      </c>
      <c r="AB426" s="801"/>
      <c r="AC426" s="801"/>
      <c r="AD426" s="801"/>
      <c r="AE426" s="801"/>
      <c r="AF426" s="801"/>
      <c r="AG426" s="801"/>
      <c r="AH426" s="801"/>
      <c r="AI426" s="801"/>
      <c r="AJ426" s="801"/>
      <c r="AK426" s="801"/>
      <c r="AL426" s="801"/>
      <c r="AM426" s="801"/>
      <c r="AN426" s="801"/>
      <c r="AO426" s="801"/>
      <c r="AP426" s="801"/>
      <c r="AQ426" s="801"/>
      <c r="AR426" s="801"/>
      <c r="AS426" s="801"/>
      <c r="AT426" s="801"/>
      <c r="AU426" s="801"/>
      <c r="AV426" s="801"/>
      <c r="AW426" s="801"/>
      <c r="AX426" s="801"/>
      <c r="AY426" s="801"/>
      <c r="AZ426" s="802"/>
      <c r="BA426" s="800" t="str">
        <f>IF(BA$5="Cliente Especial : NEON",IF(BZ415&gt;BA415-1,"Neon :      Si",""),"")</f>
        <v/>
      </c>
      <c r="BB426" s="801"/>
      <c r="BC426" s="801"/>
      <c r="BD426" s="801"/>
      <c r="BE426" s="801"/>
      <c r="BF426" s="801"/>
      <c r="BG426" s="801"/>
      <c r="BH426" s="801"/>
      <c r="BI426" s="801"/>
      <c r="BJ426" s="801"/>
      <c r="BK426" s="801"/>
      <c r="BL426" s="801"/>
      <c r="BM426" s="801"/>
      <c r="BN426" s="801"/>
      <c r="BO426" s="801"/>
      <c r="BP426" s="801"/>
      <c r="BQ426" s="801"/>
      <c r="BR426" s="801"/>
      <c r="BS426" s="801"/>
      <c r="BT426" s="801"/>
      <c r="BU426" s="801"/>
      <c r="BV426" s="801"/>
      <c r="BW426" s="801"/>
      <c r="BX426" s="801"/>
      <c r="BY426" s="801"/>
      <c r="BZ426" s="802"/>
      <c r="CA426" s="800" t="str">
        <f>IF(CA$5="Cliente Especial : NEON",IF(CZ415&gt;CA415-1,"Neon :      Si",""),"")</f>
        <v/>
      </c>
      <c r="CB426" s="801"/>
      <c r="CC426" s="801"/>
      <c r="CD426" s="801"/>
      <c r="CE426" s="801"/>
      <c r="CF426" s="801"/>
      <c r="CG426" s="801"/>
      <c r="CH426" s="801"/>
      <c r="CI426" s="801"/>
      <c r="CJ426" s="801"/>
      <c r="CK426" s="801"/>
      <c r="CL426" s="801"/>
      <c r="CM426" s="801"/>
      <c r="CN426" s="801"/>
      <c r="CO426" s="801"/>
      <c r="CP426" s="801"/>
      <c r="CQ426" s="801"/>
      <c r="CR426" s="801"/>
      <c r="CS426" s="801"/>
      <c r="CT426" s="801"/>
      <c r="CU426" s="801"/>
      <c r="CV426" s="801"/>
      <c r="CW426" s="801"/>
      <c r="CX426" s="801"/>
      <c r="CY426" s="801"/>
      <c r="CZ426" s="802"/>
      <c r="DA426" s="800" t="str">
        <f>IF(DA$5="Cliente Especial : NEON",IF(DZ415&gt;DA415-1,"Neon :      Si",""),"")</f>
        <v/>
      </c>
      <c r="DB426" s="801"/>
      <c r="DC426" s="801"/>
      <c r="DD426" s="801"/>
      <c r="DE426" s="801"/>
      <c r="DF426" s="801"/>
      <c r="DG426" s="801"/>
      <c r="DH426" s="801"/>
      <c r="DI426" s="801"/>
      <c r="DJ426" s="801"/>
      <c r="DK426" s="801"/>
      <c r="DL426" s="801"/>
      <c r="DM426" s="801"/>
      <c r="DN426" s="801"/>
      <c r="DO426" s="801"/>
      <c r="DP426" s="801"/>
      <c r="DQ426" s="801"/>
      <c r="DR426" s="801"/>
      <c r="DS426" s="801"/>
      <c r="DT426" s="801"/>
      <c r="DU426" s="801"/>
      <c r="DV426" s="801"/>
      <c r="DW426" s="801"/>
      <c r="DX426" s="801"/>
      <c r="DY426" s="801"/>
      <c r="DZ426" s="802"/>
      <c r="EA426" s="800" t="str">
        <f>IF(EA$5="Cliente Especial : NEON",IF(EZ415&gt;EA415-1,"Neon :      Si",""),"")</f>
        <v/>
      </c>
      <c r="EB426" s="801"/>
      <c r="EC426" s="801"/>
      <c r="ED426" s="801"/>
      <c r="EE426" s="801"/>
      <c r="EF426" s="801"/>
      <c r="EG426" s="801"/>
      <c r="EH426" s="801"/>
      <c r="EI426" s="801"/>
      <c r="EJ426" s="801"/>
      <c r="EK426" s="801"/>
      <c r="EL426" s="801"/>
      <c r="EM426" s="801"/>
      <c r="EN426" s="801"/>
      <c r="EO426" s="801"/>
      <c r="EP426" s="801"/>
      <c r="EQ426" s="801"/>
      <c r="ER426" s="801"/>
      <c r="ES426" s="801"/>
      <c r="ET426" s="801"/>
      <c r="EU426" s="801"/>
      <c r="EV426" s="801"/>
      <c r="EW426" s="801"/>
      <c r="EX426" s="801"/>
      <c r="EY426" s="801"/>
      <c r="EZ426" s="802"/>
      <c r="FA426" s="800" t="str">
        <f>IF(FA$5="Cliente Especial : NEON",IF(FZ415&gt;FA415-1,"Neon :      Si",""),"")</f>
        <v/>
      </c>
      <c r="FB426" s="801"/>
      <c r="FC426" s="801"/>
      <c r="FD426" s="801"/>
      <c r="FE426" s="801"/>
      <c r="FF426" s="801"/>
      <c r="FG426" s="801"/>
      <c r="FH426" s="801"/>
      <c r="FI426" s="801"/>
      <c r="FJ426" s="801"/>
      <c r="FK426" s="801"/>
      <c r="FL426" s="801"/>
      <c r="FM426" s="801"/>
      <c r="FN426" s="801"/>
      <c r="FO426" s="801"/>
      <c r="FP426" s="801"/>
      <c r="FQ426" s="801"/>
      <c r="FR426" s="801"/>
      <c r="FS426" s="801"/>
      <c r="FT426" s="801"/>
      <c r="FU426" s="801"/>
      <c r="FV426" s="801"/>
      <c r="FW426" s="801"/>
      <c r="FX426" s="801"/>
      <c r="FY426" s="801"/>
      <c r="FZ426" s="802"/>
      <c r="GA426" s="800" t="str">
        <f>IF(GA$5="Cliente Especial : NEON",IF(GZ415&gt;GA415-1,"Neon :      Si",""),"")</f>
        <v/>
      </c>
      <c r="GB426" s="801"/>
      <c r="GC426" s="801"/>
      <c r="GD426" s="801"/>
      <c r="GE426" s="801"/>
      <c r="GF426" s="801"/>
      <c r="GG426" s="801"/>
      <c r="GH426" s="801"/>
      <c r="GI426" s="801"/>
      <c r="GJ426" s="801"/>
      <c r="GK426" s="801"/>
      <c r="GL426" s="801"/>
      <c r="GM426" s="801"/>
      <c r="GN426" s="801"/>
      <c r="GO426" s="801"/>
      <c r="GP426" s="801"/>
      <c r="GQ426" s="801"/>
      <c r="GR426" s="801"/>
      <c r="GS426" s="801"/>
      <c r="GT426" s="801"/>
      <c r="GU426" s="801"/>
      <c r="GV426" s="801"/>
      <c r="GW426" s="801"/>
      <c r="GX426" s="801"/>
      <c r="GY426" s="801"/>
      <c r="GZ426" s="802"/>
      <c r="HA426" s="800" t="str">
        <f>IF(HA$5="Cliente Especial : NEON",IF(HZ415&gt;HA415-1,"Neon :      Si",""),"")</f>
        <v/>
      </c>
      <c r="HB426" s="801"/>
      <c r="HC426" s="801"/>
      <c r="HD426" s="801"/>
      <c r="HE426" s="801"/>
      <c r="HF426" s="801"/>
      <c r="HG426" s="801"/>
      <c r="HH426" s="801"/>
      <c r="HI426" s="801"/>
      <c r="HJ426" s="801"/>
      <c r="HK426" s="801"/>
      <c r="HL426" s="801"/>
      <c r="HM426" s="801"/>
      <c r="HN426" s="801"/>
      <c r="HO426" s="801"/>
      <c r="HP426" s="801"/>
      <c r="HQ426" s="801"/>
      <c r="HR426" s="801"/>
      <c r="HS426" s="801"/>
      <c r="HT426" s="801"/>
      <c r="HU426" s="801"/>
      <c r="HV426" s="801"/>
      <c r="HW426" s="801"/>
      <c r="HX426" s="801"/>
      <c r="HY426" s="801"/>
      <c r="HZ426" s="802"/>
      <c r="IA426" s="800" t="str">
        <f>IF(IA$5="Cliente Especial : NEON",IF(IZ415&gt;IA415-1,"Neon :      Si",""),"")</f>
        <v/>
      </c>
      <c r="IB426" s="801"/>
      <c r="IC426" s="801"/>
      <c r="ID426" s="801"/>
      <c r="IE426" s="801"/>
      <c r="IF426" s="801"/>
      <c r="IG426" s="801"/>
      <c r="IH426" s="801"/>
      <c r="II426" s="801"/>
      <c r="IJ426" s="801"/>
      <c r="IK426" s="801"/>
      <c r="IL426" s="801"/>
      <c r="IM426" s="801"/>
      <c r="IN426" s="801"/>
      <c r="IO426" s="801"/>
      <c r="IP426" s="801"/>
      <c r="IQ426" s="801"/>
      <c r="IR426" s="801"/>
      <c r="IS426" s="801"/>
      <c r="IT426" s="801"/>
      <c r="IU426" s="801"/>
      <c r="IV426" s="801"/>
      <c r="IW426" s="801"/>
      <c r="IX426" s="801"/>
      <c r="IY426" s="801"/>
      <c r="IZ426" s="802"/>
    </row>
    <row r="427" spans="1:260" x14ac:dyDescent="0.25">
      <c r="A427" s="800" t="str">
        <f>IFERROR(IF(Z415&gt;A415-1,IF(INDEX(Pedidos!J:AZ,Y415+A415-1,9)&lt;&gt;"","Cierre :     "&amp; INDEX(Pedidos!J:AZ,Y415+A415-1,9),""),""),"")</f>
        <v/>
      </c>
      <c r="B427" s="801"/>
      <c r="C427" s="801"/>
      <c r="D427" s="801"/>
      <c r="E427" s="801"/>
      <c r="F427" s="801"/>
      <c r="G427" s="801"/>
      <c r="H427" s="801"/>
      <c r="I427" s="801"/>
      <c r="J427" s="801"/>
      <c r="K427" s="801"/>
      <c r="L427" s="801"/>
      <c r="M427" s="801"/>
      <c r="N427" s="801"/>
      <c r="O427" s="801"/>
      <c r="P427" s="801"/>
      <c r="Q427" s="801"/>
      <c r="R427" s="801"/>
      <c r="S427" s="801"/>
      <c r="T427" s="801"/>
      <c r="U427" s="801"/>
      <c r="V427" s="801"/>
      <c r="W427" s="801"/>
      <c r="X427" s="801"/>
      <c r="Y427" s="801"/>
      <c r="Z427" s="802"/>
      <c r="AA427" s="800" t="str">
        <f>IFERROR(IF(AZ415&gt;AA415-1,IF(INDEX(Pedidos!AJ:BZ,AY415+AA415-1,9)&lt;&gt;"","Cierre :     "&amp; INDEX(Pedidos!AJ:BZ,AY415+AA415-1,9),""),""),"")</f>
        <v/>
      </c>
      <c r="AB427" s="801"/>
      <c r="AC427" s="801"/>
      <c r="AD427" s="801"/>
      <c r="AE427" s="801"/>
      <c r="AF427" s="801"/>
      <c r="AG427" s="801"/>
      <c r="AH427" s="801"/>
      <c r="AI427" s="801"/>
      <c r="AJ427" s="801"/>
      <c r="AK427" s="801"/>
      <c r="AL427" s="801"/>
      <c r="AM427" s="801"/>
      <c r="AN427" s="801"/>
      <c r="AO427" s="801"/>
      <c r="AP427" s="801"/>
      <c r="AQ427" s="801"/>
      <c r="AR427" s="801"/>
      <c r="AS427" s="801"/>
      <c r="AT427" s="801"/>
      <c r="AU427" s="801"/>
      <c r="AV427" s="801"/>
      <c r="AW427" s="801"/>
      <c r="AX427" s="801"/>
      <c r="AY427" s="801"/>
      <c r="AZ427" s="802"/>
      <c r="BA427" s="800" t="str">
        <f>IFERROR(IF(BZ415&gt;BA415-1,IF(INDEX(Pedidos!BJ:CZ,BY415+BA415-1,9)&lt;&gt;"","Cierre :     "&amp; INDEX(Pedidos!BJ:CZ,BY415+BA415-1,9),""),""),"")</f>
        <v/>
      </c>
      <c r="BB427" s="801"/>
      <c r="BC427" s="801"/>
      <c r="BD427" s="801"/>
      <c r="BE427" s="801"/>
      <c r="BF427" s="801"/>
      <c r="BG427" s="801"/>
      <c r="BH427" s="801"/>
      <c r="BI427" s="801"/>
      <c r="BJ427" s="801"/>
      <c r="BK427" s="801"/>
      <c r="BL427" s="801"/>
      <c r="BM427" s="801"/>
      <c r="BN427" s="801"/>
      <c r="BO427" s="801"/>
      <c r="BP427" s="801"/>
      <c r="BQ427" s="801"/>
      <c r="BR427" s="801"/>
      <c r="BS427" s="801"/>
      <c r="BT427" s="801"/>
      <c r="BU427" s="801"/>
      <c r="BV427" s="801"/>
      <c r="BW427" s="801"/>
      <c r="BX427" s="801"/>
      <c r="BY427" s="801"/>
      <c r="BZ427" s="802"/>
      <c r="CA427" s="800" t="str">
        <f>IFERROR(IF(CZ415&gt;CA415-1,IF(INDEX(Pedidos!CJ:DZ,CY415+CA415-1,9)&lt;&gt;"","Cierre :     "&amp; INDEX(Pedidos!CJ:DZ,CY415+CA415-1,9),""),""),"")</f>
        <v/>
      </c>
      <c r="CB427" s="801"/>
      <c r="CC427" s="801"/>
      <c r="CD427" s="801"/>
      <c r="CE427" s="801"/>
      <c r="CF427" s="801"/>
      <c r="CG427" s="801"/>
      <c r="CH427" s="801"/>
      <c r="CI427" s="801"/>
      <c r="CJ427" s="801"/>
      <c r="CK427" s="801"/>
      <c r="CL427" s="801"/>
      <c r="CM427" s="801"/>
      <c r="CN427" s="801"/>
      <c r="CO427" s="801"/>
      <c r="CP427" s="801"/>
      <c r="CQ427" s="801"/>
      <c r="CR427" s="801"/>
      <c r="CS427" s="801"/>
      <c r="CT427" s="801"/>
      <c r="CU427" s="801"/>
      <c r="CV427" s="801"/>
      <c r="CW427" s="801"/>
      <c r="CX427" s="801"/>
      <c r="CY427" s="801"/>
      <c r="CZ427" s="802"/>
      <c r="DA427" s="800" t="str">
        <f>IFERROR(IF(DZ415&gt;DA415-1,IF(INDEX(Pedidos!DJ:EZ,DY415+DA415-1,9)&lt;&gt;"","Cierre :     "&amp; INDEX(Pedidos!DJ:EZ,DY415+DA415-1,9),""),""),"")</f>
        <v/>
      </c>
      <c r="DB427" s="801"/>
      <c r="DC427" s="801"/>
      <c r="DD427" s="801"/>
      <c r="DE427" s="801"/>
      <c r="DF427" s="801"/>
      <c r="DG427" s="801"/>
      <c r="DH427" s="801"/>
      <c r="DI427" s="801"/>
      <c r="DJ427" s="801"/>
      <c r="DK427" s="801"/>
      <c r="DL427" s="801"/>
      <c r="DM427" s="801"/>
      <c r="DN427" s="801"/>
      <c r="DO427" s="801"/>
      <c r="DP427" s="801"/>
      <c r="DQ427" s="801"/>
      <c r="DR427" s="801"/>
      <c r="DS427" s="801"/>
      <c r="DT427" s="801"/>
      <c r="DU427" s="801"/>
      <c r="DV427" s="801"/>
      <c r="DW427" s="801"/>
      <c r="DX427" s="801"/>
      <c r="DY427" s="801"/>
      <c r="DZ427" s="802"/>
      <c r="EA427" s="800" t="str">
        <f>IFERROR(IF(EZ415&gt;EA415-1,IF(INDEX(Pedidos!EJ:FZ,EY415+EA415-1,9)&lt;&gt;"","Cierre :     "&amp; INDEX(Pedidos!EJ:FZ,EY415+EA415-1,9),""),""),"")</f>
        <v/>
      </c>
      <c r="EB427" s="801"/>
      <c r="EC427" s="801"/>
      <c r="ED427" s="801"/>
      <c r="EE427" s="801"/>
      <c r="EF427" s="801"/>
      <c r="EG427" s="801"/>
      <c r="EH427" s="801"/>
      <c r="EI427" s="801"/>
      <c r="EJ427" s="801"/>
      <c r="EK427" s="801"/>
      <c r="EL427" s="801"/>
      <c r="EM427" s="801"/>
      <c r="EN427" s="801"/>
      <c r="EO427" s="801"/>
      <c r="EP427" s="801"/>
      <c r="EQ427" s="801"/>
      <c r="ER427" s="801"/>
      <c r="ES427" s="801"/>
      <c r="ET427" s="801"/>
      <c r="EU427" s="801"/>
      <c r="EV427" s="801"/>
      <c r="EW427" s="801"/>
      <c r="EX427" s="801"/>
      <c r="EY427" s="801"/>
      <c r="EZ427" s="802"/>
      <c r="FA427" s="800" t="str">
        <f>IFERROR(IF(FZ415&gt;FA415-1,IF(INDEX(Pedidos!FJ:GZ,FY415+FA415-1,9)&lt;&gt;"","Cierre :     "&amp; INDEX(Pedidos!FJ:GZ,FY415+FA415-1,9),""),""),"")</f>
        <v/>
      </c>
      <c r="FB427" s="801"/>
      <c r="FC427" s="801"/>
      <c r="FD427" s="801"/>
      <c r="FE427" s="801"/>
      <c r="FF427" s="801"/>
      <c r="FG427" s="801"/>
      <c r="FH427" s="801"/>
      <c r="FI427" s="801"/>
      <c r="FJ427" s="801"/>
      <c r="FK427" s="801"/>
      <c r="FL427" s="801"/>
      <c r="FM427" s="801"/>
      <c r="FN427" s="801"/>
      <c r="FO427" s="801"/>
      <c r="FP427" s="801"/>
      <c r="FQ427" s="801"/>
      <c r="FR427" s="801"/>
      <c r="FS427" s="801"/>
      <c r="FT427" s="801"/>
      <c r="FU427" s="801"/>
      <c r="FV427" s="801"/>
      <c r="FW427" s="801"/>
      <c r="FX427" s="801"/>
      <c r="FY427" s="801"/>
      <c r="FZ427" s="802"/>
      <c r="GA427" s="800" t="str">
        <f>IFERROR(IF(GZ415&gt;GA415-1,IF(INDEX(Pedidos!GJ:HZ,GY415+GA415-1,9)&lt;&gt;"","Cierre :     "&amp; INDEX(Pedidos!GJ:HZ,GY415+GA415-1,9),""),""),"")</f>
        <v/>
      </c>
      <c r="GB427" s="801"/>
      <c r="GC427" s="801"/>
      <c r="GD427" s="801"/>
      <c r="GE427" s="801"/>
      <c r="GF427" s="801"/>
      <c r="GG427" s="801"/>
      <c r="GH427" s="801"/>
      <c r="GI427" s="801"/>
      <c r="GJ427" s="801"/>
      <c r="GK427" s="801"/>
      <c r="GL427" s="801"/>
      <c r="GM427" s="801"/>
      <c r="GN427" s="801"/>
      <c r="GO427" s="801"/>
      <c r="GP427" s="801"/>
      <c r="GQ427" s="801"/>
      <c r="GR427" s="801"/>
      <c r="GS427" s="801"/>
      <c r="GT427" s="801"/>
      <c r="GU427" s="801"/>
      <c r="GV427" s="801"/>
      <c r="GW427" s="801"/>
      <c r="GX427" s="801"/>
      <c r="GY427" s="801"/>
      <c r="GZ427" s="802"/>
      <c r="HA427" s="800" t="str">
        <f>IFERROR(IF(HZ415&gt;HA415-1,IF(INDEX(Pedidos!HJ:IZ,HY415+HA415-1,9)&lt;&gt;"","Cierre :     "&amp; INDEX(Pedidos!HJ:IZ,HY415+HA415-1,9),""),""),"")</f>
        <v/>
      </c>
      <c r="HB427" s="801"/>
      <c r="HC427" s="801"/>
      <c r="HD427" s="801"/>
      <c r="HE427" s="801"/>
      <c r="HF427" s="801"/>
      <c r="HG427" s="801"/>
      <c r="HH427" s="801"/>
      <c r="HI427" s="801"/>
      <c r="HJ427" s="801"/>
      <c r="HK427" s="801"/>
      <c r="HL427" s="801"/>
      <c r="HM427" s="801"/>
      <c r="HN427" s="801"/>
      <c r="HO427" s="801"/>
      <c r="HP427" s="801"/>
      <c r="HQ427" s="801"/>
      <c r="HR427" s="801"/>
      <c r="HS427" s="801"/>
      <c r="HT427" s="801"/>
      <c r="HU427" s="801"/>
      <c r="HV427" s="801"/>
      <c r="HW427" s="801"/>
      <c r="HX427" s="801"/>
      <c r="HY427" s="801"/>
      <c r="HZ427" s="802"/>
      <c r="IA427" s="800" t="str">
        <f>IFERROR(IF(IZ415&gt;IA415-1,IF(INDEX(Pedidos!IJ:JZ,IY415+IA415-1,9)&lt;&gt;"","Cierre :     "&amp; INDEX(Pedidos!IJ:JZ,IY415+IA415-1,9),""),""),"")</f>
        <v/>
      </c>
      <c r="IB427" s="801"/>
      <c r="IC427" s="801"/>
      <c r="ID427" s="801"/>
      <c r="IE427" s="801"/>
      <c r="IF427" s="801"/>
      <c r="IG427" s="801"/>
      <c r="IH427" s="801"/>
      <c r="II427" s="801"/>
      <c r="IJ427" s="801"/>
      <c r="IK427" s="801"/>
      <c r="IL427" s="801"/>
      <c r="IM427" s="801"/>
      <c r="IN427" s="801"/>
      <c r="IO427" s="801"/>
      <c r="IP427" s="801"/>
      <c r="IQ427" s="801"/>
      <c r="IR427" s="801"/>
      <c r="IS427" s="801"/>
      <c r="IT427" s="801"/>
      <c r="IU427" s="801"/>
      <c r="IV427" s="801"/>
      <c r="IW427" s="801"/>
      <c r="IX427" s="801"/>
      <c r="IY427" s="801"/>
      <c r="IZ427" s="802"/>
    </row>
    <row r="428" spans="1:260" x14ac:dyDescent="0.25">
      <c r="A428" s="800" t="str">
        <f>IFERROR(IF(Z415&gt;A415-1,IF(INDEX(Pedidos!J:AZ,Y415+A415-1,11)&lt;&gt;"","Cordon :     "&amp; INDEX(Pedidos!J:AZ,Y415+A415-1,11),""),""),"")</f>
        <v/>
      </c>
      <c r="B428" s="801"/>
      <c r="C428" s="801"/>
      <c r="D428" s="801"/>
      <c r="E428" s="801"/>
      <c r="F428" s="801"/>
      <c r="G428" s="801"/>
      <c r="H428" s="801"/>
      <c r="I428" s="801"/>
      <c r="J428" s="801"/>
      <c r="K428" s="801"/>
      <c r="L428" s="801"/>
      <c r="M428" s="801"/>
      <c r="N428" s="801"/>
      <c r="O428" s="801"/>
      <c r="P428" s="801"/>
      <c r="Q428" s="801"/>
      <c r="R428" s="801"/>
      <c r="S428" s="801"/>
      <c r="T428" s="801"/>
      <c r="U428" s="801"/>
      <c r="V428" s="801"/>
      <c r="W428" s="801"/>
      <c r="X428" s="801"/>
      <c r="Y428" s="801"/>
      <c r="Z428" s="802"/>
      <c r="AA428" s="800" t="str">
        <f>IFERROR(IF(AZ415&gt;AA415-1,IF(INDEX(Pedidos!AJ:BZ,AY415+AA415-1,11)&lt;&gt;"","Cordon :     "&amp; INDEX(Pedidos!AJ:BZ,AY415+AA415-1,11),""),""),"")</f>
        <v/>
      </c>
      <c r="AB428" s="801"/>
      <c r="AC428" s="801"/>
      <c r="AD428" s="801"/>
      <c r="AE428" s="801"/>
      <c r="AF428" s="801"/>
      <c r="AG428" s="801"/>
      <c r="AH428" s="801"/>
      <c r="AI428" s="801"/>
      <c r="AJ428" s="801"/>
      <c r="AK428" s="801"/>
      <c r="AL428" s="801"/>
      <c r="AM428" s="801"/>
      <c r="AN428" s="801"/>
      <c r="AO428" s="801"/>
      <c r="AP428" s="801"/>
      <c r="AQ428" s="801"/>
      <c r="AR428" s="801"/>
      <c r="AS428" s="801"/>
      <c r="AT428" s="801"/>
      <c r="AU428" s="801"/>
      <c r="AV428" s="801"/>
      <c r="AW428" s="801"/>
      <c r="AX428" s="801"/>
      <c r="AY428" s="801"/>
      <c r="AZ428" s="802"/>
      <c r="BA428" s="800" t="str">
        <f>IFERROR(IF(BZ415&gt;BA415-1,IF(INDEX(Pedidos!BJ:CZ,BY415+BA415-1,11)&lt;&gt;"","Cordon :     "&amp; INDEX(Pedidos!BJ:CZ,BY415+BA415-1,11),""),""),"")</f>
        <v/>
      </c>
      <c r="BB428" s="801"/>
      <c r="BC428" s="801"/>
      <c r="BD428" s="801"/>
      <c r="BE428" s="801"/>
      <c r="BF428" s="801"/>
      <c r="BG428" s="801"/>
      <c r="BH428" s="801"/>
      <c r="BI428" s="801"/>
      <c r="BJ428" s="801"/>
      <c r="BK428" s="801"/>
      <c r="BL428" s="801"/>
      <c r="BM428" s="801"/>
      <c r="BN428" s="801"/>
      <c r="BO428" s="801"/>
      <c r="BP428" s="801"/>
      <c r="BQ428" s="801"/>
      <c r="BR428" s="801"/>
      <c r="BS428" s="801"/>
      <c r="BT428" s="801"/>
      <c r="BU428" s="801"/>
      <c r="BV428" s="801"/>
      <c r="BW428" s="801"/>
      <c r="BX428" s="801"/>
      <c r="BY428" s="801"/>
      <c r="BZ428" s="802"/>
      <c r="CA428" s="800" t="str">
        <f>IFERROR(IF(CZ415&gt;CA415-1,IF(INDEX(Pedidos!CJ:DZ,CY415+CA415-1,11)&lt;&gt;"","Cordon :     "&amp; INDEX(Pedidos!CJ:DZ,CY415+CA415-1,11),""),""),"")</f>
        <v/>
      </c>
      <c r="CB428" s="801"/>
      <c r="CC428" s="801"/>
      <c r="CD428" s="801"/>
      <c r="CE428" s="801"/>
      <c r="CF428" s="801"/>
      <c r="CG428" s="801"/>
      <c r="CH428" s="801"/>
      <c r="CI428" s="801"/>
      <c r="CJ428" s="801"/>
      <c r="CK428" s="801"/>
      <c r="CL428" s="801"/>
      <c r="CM428" s="801"/>
      <c r="CN428" s="801"/>
      <c r="CO428" s="801"/>
      <c r="CP428" s="801"/>
      <c r="CQ428" s="801"/>
      <c r="CR428" s="801"/>
      <c r="CS428" s="801"/>
      <c r="CT428" s="801"/>
      <c r="CU428" s="801"/>
      <c r="CV428" s="801"/>
      <c r="CW428" s="801"/>
      <c r="CX428" s="801"/>
      <c r="CY428" s="801"/>
      <c r="CZ428" s="802"/>
      <c r="DA428" s="800" t="str">
        <f>IFERROR(IF(DZ415&gt;DA415-1,IF(INDEX(Pedidos!DJ:EZ,DY415+DA415-1,11)&lt;&gt;"","Cordon :     "&amp; INDEX(Pedidos!DJ:EZ,DY415+DA415-1,11),""),""),"")</f>
        <v/>
      </c>
      <c r="DB428" s="801"/>
      <c r="DC428" s="801"/>
      <c r="DD428" s="801"/>
      <c r="DE428" s="801"/>
      <c r="DF428" s="801"/>
      <c r="DG428" s="801"/>
      <c r="DH428" s="801"/>
      <c r="DI428" s="801"/>
      <c r="DJ428" s="801"/>
      <c r="DK428" s="801"/>
      <c r="DL428" s="801"/>
      <c r="DM428" s="801"/>
      <c r="DN428" s="801"/>
      <c r="DO428" s="801"/>
      <c r="DP428" s="801"/>
      <c r="DQ428" s="801"/>
      <c r="DR428" s="801"/>
      <c r="DS428" s="801"/>
      <c r="DT428" s="801"/>
      <c r="DU428" s="801"/>
      <c r="DV428" s="801"/>
      <c r="DW428" s="801"/>
      <c r="DX428" s="801"/>
      <c r="DY428" s="801"/>
      <c r="DZ428" s="802"/>
      <c r="EA428" s="800" t="str">
        <f>IFERROR(IF(EZ415&gt;EA415-1,IF(INDEX(Pedidos!EJ:FZ,EY415+EA415-1,11)&lt;&gt;"","Cordon :     "&amp; INDEX(Pedidos!EJ:FZ,EY415+EA415-1,11),""),""),"")</f>
        <v/>
      </c>
      <c r="EB428" s="801"/>
      <c r="EC428" s="801"/>
      <c r="ED428" s="801"/>
      <c r="EE428" s="801"/>
      <c r="EF428" s="801"/>
      <c r="EG428" s="801"/>
      <c r="EH428" s="801"/>
      <c r="EI428" s="801"/>
      <c r="EJ428" s="801"/>
      <c r="EK428" s="801"/>
      <c r="EL428" s="801"/>
      <c r="EM428" s="801"/>
      <c r="EN428" s="801"/>
      <c r="EO428" s="801"/>
      <c r="EP428" s="801"/>
      <c r="EQ428" s="801"/>
      <c r="ER428" s="801"/>
      <c r="ES428" s="801"/>
      <c r="ET428" s="801"/>
      <c r="EU428" s="801"/>
      <c r="EV428" s="801"/>
      <c r="EW428" s="801"/>
      <c r="EX428" s="801"/>
      <c r="EY428" s="801"/>
      <c r="EZ428" s="802"/>
      <c r="FA428" s="800" t="str">
        <f>IFERROR(IF(FZ415&gt;FA415-1,IF(INDEX(Pedidos!FJ:GZ,FY415+FA415-1,11)&lt;&gt;"","Cordon :     "&amp; INDEX(Pedidos!FJ:GZ,FY415+FA415-1,11),""),""),"")</f>
        <v/>
      </c>
      <c r="FB428" s="801"/>
      <c r="FC428" s="801"/>
      <c r="FD428" s="801"/>
      <c r="FE428" s="801"/>
      <c r="FF428" s="801"/>
      <c r="FG428" s="801"/>
      <c r="FH428" s="801"/>
      <c r="FI428" s="801"/>
      <c r="FJ428" s="801"/>
      <c r="FK428" s="801"/>
      <c r="FL428" s="801"/>
      <c r="FM428" s="801"/>
      <c r="FN428" s="801"/>
      <c r="FO428" s="801"/>
      <c r="FP428" s="801"/>
      <c r="FQ428" s="801"/>
      <c r="FR428" s="801"/>
      <c r="FS428" s="801"/>
      <c r="FT428" s="801"/>
      <c r="FU428" s="801"/>
      <c r="FV428" s="801"/>
      <c r="FW428" s="801"/>
      <c r="FX428" s="801"/>
      <c r="FY428" s="801"/>
      <c r="FZ428" s="802"/>
      <c r="GA428" s="800" t="str">
        <f>IFERROR(IF(GZ415&gt;GA415-1,IF(INDEX(Pedidos!GJ:HZ,GY415+GA415-1,11)&lt;&gt;"","Cordon :     "&amp; INDEX(Pedidos!GJ:HZ,GY415+GA415-1,11),""),""),"")</f>
        <v/>
      </c>
      <c r="GB428" s="801"/>
      <c r="GC428" s="801"/>
      <c r="GD428" s="801"/>
      <c r="GE428" s="801"/>
      <c r="GF428" s="801"/>
      <c r="GG428" s="801"/>
      <c r="GH428" s="801"/>
      <c r="GI428" s="801"/>
      <c r="GJ428" s="801"/>
      <c r="GK428" s="801"/>
      <c r="GL428" s="801"/>
      <c r="GM428" s="801"/>
      <c r="GN428" s="801"/>
      <c r="GO428" s="801"/>
      <c r="GP428" s="801"/>
      <c r="GQ428" s="801"/>
      <c r="GR428" s="801"/>
      <c r="GS428" s="801"/>
      <c r="GT428" s="801"/>
      <c r="GU428" s="801"/>
      <c r="GV428" s="801"/>
      <c r="GW428" s="801"/>
      <c r="GX428" s="801"/>
      <c r="GY428" s="801"/>
      <c r="GZ428" s="802"/>
      <c r="HA428" s="800" t="str">
        <f>IFERROR(IF(HZ415&gt;HA415-1,IF(INDEX(Pedidos!HJ:IZ,HY415+HA415-1,11)&lt;&gt;"","Cordon :     "&amp; INDEX(Pedidos!HJ:IZ,HY415+HA415-1,11),""),""),"")</f>
        <v/>
      </c>
      <c r="HB428" s="801"/>
      <c r="HC428" s="801"/>
      <c r="HD428" s="801"/>
      <c r="HE428" s="801"/>
      <c r="HF428" s="801"/>
      <c r="HG428" s="801"/>
      <c r="HH428" s="801"/>
      <c r="HI428" s="801"/>
      <c r="HJ428" s="801"/>
      <c r="HK428" s="801"/>
      <c r="HL428" s="801"/>
      <c r="HM428" s="801"/>
      <c r="HN428" s="801"/>
      <c r="HO428" s="801"/>
      <c r="HP428" s="801"/>
      <c r="HQ428" s="801"/>
      <c r="HR428" s="801"/>
      <c r="HS428" s="801"/>
      <c r="HT428" s="801"/>
      <c r="HU428" s="801"/>
      <c r="HV428" s="801"/>
      <c r="HW428" s="801"/>
      <c r="HX428" s="801"/>
      <c r="HY428" s="801"/>
      <c r="HZ428" s="802"/>
      <c r="IA428" s="800" t="str">
        <f>IFERROR(IF(IZ415&gt;IA415-1,IF(INDEX(Pedidos!IJ:JZ,IY415+IA415-1,11)&lt;&gt;"","Cordon :     "&amp; INDEX(Pedidos!IJ:JZ,IY415+IA415-1,11),""),""),"")</f>
        <v/>
      </c>
      <c r="IB428" s="801"/>
      <c r="IC428" s="801"/>
      <c r="ID428" s="801"/>
      <c r="IE428" s="801"/>
      <c r="IF428" s="801"/>
      <c r="IG428" s="801"/>
      <c r="IH428" s="801"/>
      <c r="II428" s="801"/>
      <c r="IJ428" s="801"/>
      <c r="IK428" s="801"/>
      <c r="IL428" s="801"/>
      <c r="IM428" s="801"/>
      <c r="IN428" s="801"/>
      <c r="IO428" s="801"/>
      <c r="IP428" s="801"/>
      <c r="IQ428" s="801"/>
      <c r="IR428" s="801"/>
      <c r="IS428" s="801"/>
      <c r="IT428" s="801"/>
      <c r="IU428" s="801"/>
      <c r="IV428" s="801"/>
      <c r="IW428" s="801"/>
      <c r="IX428" s="801"/>
      <c r="IY428" s="801"/>
      <c r="IZ428" s="802"/>
    </row>
    <row r="429" spans="1:260" x14ac:dyDescent="0.25">
      <c r="A429" s="800" t="str">
        <f>IFERROR(IF(Z415&gt;A415-1,IF(INDEX(Pedidos!J:AZ,Y415+A415-1,12)&lt;&gt;"","Color Cordon :     "&amp; INDEX(Pedidos!J:AZ,Y415+A415-1,12),""),""),"")</f>
        <v/>
      </c>
      <c r="B429" s="801"/>
      <c r="C429" s="801"/>
      <c r="D429" s="801"/>
      <c r="E429" s="801"/>
      <c r="F429" s="801"/>
      <c r="G429" s="801"/>
      <c r="H429" s="801"/>
      <c r="I429" s="801"/>
      <c r="J429" s="801"/>
      <c r="K429" s="801"/>
      <c r="L429" s="801"/>
      <c r="M429" s="801"/>
      <c r="N429" s="801"/>
      <c r="O429" s="801"/>
      <c r="P429" s="801"/>
      <c r="Q429" s="801"/>
      <c r="R429" s="801"/>
      <c r="S429" s="801"/>
      <c r="T429" s="801"/>
      <c r="U429" s="801"/>
      <c r="V429" s="801"/>
      <c r="W429" s="801"/>
      <c r="X429" s="801"/>
      <c r="Y429" s="801"/>
      <c r="Z429" s="802"/>
      <c r="AA429" s="800" t="str">
        <f>IFERROR(IF(AZ415&gt;AA415-1,IF(INDEX(Pedidos!AJ:BZ,AY415+AA415-1,12)&lt;&gt;"","Color Cordon :     "&amp; INDEX(Pedidos!AJ:BZ,AY415+AA415-1,12),""),""),"")</f>
        <v/>
      </c>
      <c r="AB429" s="801"/>
      <c r="AC429" s="801"/>
      <c r="AD429" s="801"/>
      <c r="AE429" s="801"/>
      <c r="AF429" s="801"/>
      <c r="AG429" s="801"/>
      <c r="AH429" s="801"/>
      <c r="AI429" s="801"/>
      <c r="AJ429" s="801"/>
      <c r="AK429" s="801"/>
      <c r="AL429" s="801"/>
      <c r="AM429" s="801"/>
      <c r="AN429" s="801"/>
      <c r="AO429" s="801"/>
      <c r="AP429" s="801"/>
      <c r="AQ429" s="801"/>
      <c r="AR429" s="801"/>
      <c r="AS429" s="801"/>
      <c r="AT429" s="801"/>
      <c r="AU429" s="801"/>
      <c r="AV429" s="801"/>
      <c r="AW429" s="801"/>
      <c r="AX429" s="801"/>
      <c r="AY429" s="801"/>
      <c r="AZ429" s="802"/>
      <c r="BA429" s="800" t="str">
        <f>IFERROR(IF(BZ415&gt;BA415-1,IF(INDEX(Pedidos!BJ:CZ,BY415+BA415-1,12)&lt;&gt;"","Color Cordon :     "&amp; INDEX(Pedidos!BJ:CZ,BY415+BA415-1,12),""),""),"")</f>
        <v/>
      </c>
      <c r="BB429" s="801"/>
      <c r="BC429" s="801"/>
      <c r="BD429" s="801"/>
      <c r="BE429" s="801"/>
      <c r="BF429" s="801"/>
      <c r="BG429" s="801"/>
      <c r="BH429" s="801"/>
      <c r="BI429" s="801"/>
      <c r="BJ429" s="801"/>
      <c r="BK429" s="801"/>
      <c r="BL429" s="801"/>
      <c r="BM429" s="801"/>
      <c r="BN429" s="801"/>
      <c r="BO429" s="801"/>
      <c r="BP429" s="801"/>
      <c r="BQ429" s="801"/>
      <c r="BR429" s="801"/>
      <c r="BS429" s="801"/>
      <c r="BT429" s="801"/>
      <c r="BU429" s="801"/>
      <c r="BV429" s="801"/>
      <c r="BW429" s="801"/>
      <c r="BX429" s="801"/>
      <c r="BY429" s="801"/>
      <c r="BZ429" s="802"/>
      <c r="CA429" s="800" t="str">
        <f>IFERROR(IF(CZ415&gt;CA415-1,IF(INDEX(Pedidos!CJ:DZ,CY415+CA415-1,12)&lt;&gt;"","Color Cordon :     "&amp; INDEX(Pedidos!CJ:DZ,CY415+CA415-1,12),""),""),"")</f>
        <v/>
      </c>
      <c r="CB429" s="801"/>
      <c r="CC429" s="801"/>
      <c r="CD429" s="801"/>
      <c r="CE429" s="801"/>
      <c r="CF429" s="801"/>
      <c r="CG429" s="801"/>
      <c r="CH429" s="801"/>
      <c r="CI429" s="801"/>
      <c r="CJ429" s="801"/>
      <c r="CK429" s="801"/>
      <c r="CL429" s="801"/>
      <c r="CM429" s="801"/>
      <c r="CN429" s="801"/>
      <c r="CO429" s="801"/>
      <c r="CP429" s="801"/>
      <c r="CQ429" s="801"/>
      <c r="CR429" s="801"/>
      <c r="CS429" s="801"/>
      <c r="CT429" s="801"/>
      <c r="CU429" s="801"/>
      <c r="CV429" s="801"/>
      <c r="CW429" s="801"/>
      <c r="CX429" s="801"/>
      <c r="CY429" s="801"/>
      <c r="CZ429" s="802"/>
      <c r="DA429" s="800" t="str">
        <f>IFERROR(IF(DZ415&gt;DA415-1,IF(INDEX(Pedidos!DJ:EZ,DY415+DA415-1,12)&lt;&gt;"","Color Cordon :     "&amp; INDEX(Pedidos!DJ:EZ,DY415+DA415-1,12),""),""),"")</f>
        <v/>
      </c>
      <c r="DB429" s="801"/>
      <c r="DC429" s="801"/>
      <c r="DD429" s="801"/>
      <c r="DE429" s="801"/>
      <c r="DF429" s="801"/>
      <c r="DG429" s="801"/>
      <c r="DH429" s="801"/>
      <c r="DI429" s="801"/>
      <c r="DJ429" s="801"/>
      <c r="DK429" s="801"/>
      <c r="DL429" s="801"/>
      <c r="DM429" s="801"/>
      <c r="DN429" s="801"/>
      <c r="DO429" s="801"/>
      <c r="DP429" s="801"/>
      <c r="DQ429" s="801"/>
      <c r="DR429" s="801"/>
      <c r="DS429" s="801"/>
      <c r="DT429" s="801"/>
      <c r="DU429" s="801"/>
      <c r="DV429" s="801"/>
      <c r="DW429" s="801"/>
      <c r="DX429" s="801"/>
      <c r="DY429" s="801"/>
      <c r="DZ429" s="802"/>
      <c r="EA429" s="800" t="str">
        <f>IFERROR(IF(EZ415&gt;EA415-1,IF(INDEX(Pedidos!EJ:FZ,EY415+EA415-1,12)&lt;&gt;"","Color Cordon :     "&amp; INDEX(Pedidos!EJ:FZ,EY415+EA415-1,12),""),""),"")</f>
        <v/>
      </c>
      <c r="EB429" s="801"/>
      <c r="EC429" s="801"/>
      <c r="ED429" s="801"/>
      <c r="EE429" s="801"/>
      <c r="EF429" s="801"/>
      <c r="EG429" s="801"/>
      <c r="EH429" s="801"/>
      <c r="EI429" s="801"/>
      <c r="EJ429" s="801"/>
      <c r="EK429" s="801"/>
      <c r="EL429" s="801"/>
      <c r="EM429" s="801"/>
      <c r="EN429" s="801"/>
      <c r="EO429" s="801"/>
      <c r="EP429" s="801"/>
      <c r="EQ429" s="801"/>
      <c r="ER429" s="801"/>
      <c r="ES429" s="801"/>
      <c r="ET429" s="801"/>
      <c r="EU429" s="801"/>
      <c r="EV429" s="801"/>
      <c r="EW429" s="801"/>
      <c r="EX429" s="801"/>
      <c r="EY429" s="801"/>
      <c r="EZ429" s="802"/>
      <c r="FA429" s="800" t="str">
        <f>IFERROR(IF(FZ415&gt;FA415-1,IF(INDEX(Pedidos!FJ:GZ,FY415+FA415-1,12)&lt;&gt;"","Color Cordon :     "&amp; INDEX(Pedidos!FJ:GZ,FY415+FA415-1,12),""),""),"")</f>
        <v/>
      </c>
      <c r="FB429" s="801"/>
      <c r="FC429" s="801"/>
      <c r="FD429" s="801"/>
      <c r="FE429" s="801"/>
      <c r="FF429" s="801"/>
      <c r="FG429" s="801"/>
      <c r="FH429" s="801"/>
      <c r="FI429" s="801"/>
      <c r="FJ429" s="801"/>
      <c r="FK429" s="801"/>
      <c r="FL429" s="801"/>
      <c r="FM429" s="801"/>
      <c r="FN429" s="801"/>
      <c r="FO429" s="801"/>
      <c r="FP429" s="801"/>
      <c r="FQ429" s="801"/>
      <c r="FR429" s="801"/>
      <c r="FS429" s="801"/>
      <c r="FT429" s="801"/>
      <c r="FU429" s="801"/>
      <c r="FV429" s="801"/>
      <c r="FW429" s="801"/>
      <c r="FX429" s="801"/>
      <c r="FY429" s="801"/>
      <c r="FZ429" s="802"/>
      <c r="GA429" s="800" t="str">
        <f>IFERROR(IF(GZ415&gt;GA415-1,IF(INDEX(Pedidos!GJ:HZ,GY415+GA415-1,12)&lt;&gt;"","Color Cordon :     "&amp; INDEX(Pedidos!GJ:HZ,GY415+GA415-1,12),""),""),"")</f>
        <v/>
      </c>
      <c r="GB429" s="801"/>
      <c r="GC429" s="801"/>
      <c r="GD429" s="801"/>
      <c r="GE429" s="801"/>
      <c r="GF429" s="801"/>
      <c r="GG429" s="801"/>
      <c r="GH429" s="801"/>
      <c r="GI429" s="801"/>
      <c r="GJ429" s="801"/>
      <c r="GK429" s="801"/>
      <c r="GL429" s="801"/>
      <c r="GM429" s="801"/>
      <c r="GN429" s="801"/>
      <c r="GO429" s="801"/>
      <c r="GP429" s="801"/>
      <c r="GQ429" s="801"/>
      <c r="GR429" s="801"/>
      <c r="GS429" s="801"/>
      <c r="GT429" s="801"/>
      <c r="GU429" s="801"/>
      <c r="GV429" s="801"/>
      <c r="GW429" s="801"/>
      <c r="GX429" s="801"/>
      <c r="GY429" s="801"/>
      <c r="GZ429" s="802"/>
      <c r="HA429" s="800" t="str">
        <f>IFERROR(IF(HZ415&gt;HA415-1,IF(INDEX(Pedidos!HJ:IZ,HY415+HA415-1,12)&lt;&gt;"","Color Cordon :     "&amp; INDEX(Pedidos!HJ:IZ,HY415+HA415-1,12),""),""),"")</f>
        <v/>
      </c>
      <c r="HB429" s="801"/>
      <c r="HC429" s="801"/>
      <c r="HD429" s="801"/>
      <c r="HE429" s="801"/>
      <c r="HF429" s="801"/>
      <c r="HG429" s="801"/>
      <c r="HH429" s="801"/>
      <c r="HI429" s="801"/>
      <c r="HJ429" s="801"/>
      <c r="HK429" s="801"/>
      <c r="HL429" s="801"/>
      <c r="HM429" s="801"/>
      <c r="HN429" s="801"/>
      <c r="HO429" s="801"/>
      <c r="HP429" s="801"/>
      <c r="HQ429" s="801"/>
      <c r="HR429" s="801"/>
      <c r="HS429" s="801"/>
      <c r="HT429" s="801"/>
      <c r="HU429" s="801"/>
      <c r="HV429" s="801"/>
      <c r="HW429" s="801"/>
      <c r="HX429" s="801"/>
      <c r="HY429" s="801"/>
      <c r="HZ429" s="802"/>
      <c r="IA429" s="800" t="str">
        <f>IFERROR(IF(IZ415&gt;IA415-1,IF(INDEX(Pedidos!IJ:JZ,IY415+IA415-1,12)&lt;&gt;"","Color Cordon :     "&amp; INDEX(Pedidos!IJ:JZ,IY415+IA415-1,12),""),""),"")</f>
        <v/>
      </c>
      <c r="IB429" s="801"/>
      <c r="IC429" s="801"/>
      <c r="ID429" s="801"/>
      <c r="IE429" s="801"/>
      <c r="IF429" s="801"/>
      <c r="IG429" s="801"/>
      <c r="IH429" s="801"/>
      <c r="II429" s="801"/>
      <c r="IJ429" s="801"/>
      <c r="IK429" s="801"/>
      <c r="IL429" s="801"/>
      <c r="IM429" s="801"/>
      <c r="IN429" s="801"/>
      <c r="IO429" s="801"/>
      <c r="IP429" s="801"/>
      <c r="IQ429" s="801"/>
      <c r="IR429" s="801"/>
      <c r="IS429" s="801"/>
      <c r="IT429" s="801"/>
      <c r="IU429" s="801"/>
      <c r="IV429" s="801"/>
      <c r="IW429" s="801"/>
      <c r="IX429" s="801"/>
      <c r="IY429" s="801"/>
      <c r="IZ429" s="802"/>
    </row>
    <row r="430" spans="1:260" x14ac:dyDescent="0.25">
      <c r="A430" s="800"/>
      <c r="B430" s="801"/>
      <c r="C430" s="801"/>
      <c r="D430" s="801"/>
      <c r="E430" s="801"/>
      <c r="F430" s="801"/>
      <c r="G430" s="801"/>
      <c r="H430" s="801"/>
      <c r="I430" s="801"/>
      <c r="J430" s="801"/>
      <c r="K430" s="801"/>
      <c r="L430" s="801"/>
      <c r="M430" s="801"/>
      <c r="N430" s="801"/>
      <c r="O430" s="801"/>
      <c r="P430" s="801"/>
      <c r="Q430" s="801"/>
      <c r="R430" s="801"/>
      <c r="S430" s="801"/>
      <c r="T430" s="801"/>
      <c r="U430" s="801"/>
      <c r="V430" s="801"/>
      <c r="W430" s="801"/>
      <c r="X430" s="801"/>
      <c r="Y430" s="801"/>
      <c r="Z430" s="802"/>
      <c r="AA430" s="800"/>
      <c r="AB430" s="801"/>
      <c r="AC430" s="801"/>
      <c r="AD430" s="801"/>
      <c r="AE430" s="801"/>
      <c r="AF430" s="801"/>
      <c r="AG430" s="801"/>
      <c r="AH430" s="801"/>
      <c r="AI430" s="801"/>
      <c r="AJ430" s="801"/>
      <c r="AK430" s="801"/>
      <c r="AL430" s="801"/>
      <c r="AM430" s="801"/>
      <c r="AN430" s="801"/>
      <c r="AO430" s="801"/>
      <c r="AP430" s="801"/>
      <c r="AQ430" s="801"/>
      <c r="AR430" s="801"/>
      <c r="AS430" s="801"/>
      <c r="AT430" s="801"/>
      <c r="AU430" s="801"/>
      <c r="AV430" s="801"/>
      <c r="AW430" s="801"/>
      <c r="AX430" s="801"/>
      <c r="AY430" s="801"/>
      <c r="AZ430" s="802"/>
      <c r="BA430" s="800"/>
      <c r="BB430" s="801"/>
      <c r="BC430" s="801"/>
      <c r="BD430" s="801"/>
      <c r="BE430" s="801"/>
      <c r="BF430" s="801"/>
      <c r="BG430" s="801"/>
      <c r="BH430" s="801"/>
      <c r="BI430" s="801"/>
      <c r="BJ430" s="801"/>
      <c r="BK430" s="801"/>
      <c r="BL430" s="801"/>
      <c r="BM430" s="801"/>
      <c r="BN430" s="801"/>
      <c r="BO430" s="801"/>
      <c r="BP430" s="801"/>
      <c r="BQ430" s="801"/>
      <c r="BR430" s="801"/>
      <c r="BS430" s="801"/>
      <c r="BT430" s="801"/>
      <c r="BU430" s="801"/>
      <c r="BV430" s="801"/>
      <c r="BW430" s="801"/>
      <c r="BX430" s="801"/>
      <c r="BY430" s="801"/>
      <c r="BZ430" s="802"/>
      <c r="CA430" s="800"/>
      <c r="CB430" s="801"/>
      <c r="CC430" s="801"/>
      <c r="CD430" s="801"/>
      <c r="CE430" s="801"/>
      <c r="CF430" s="801"/>
      <c r="CG430" s="801"/>
      <c r="CH430" s="801"/>
      <c r="CI430" s="801"/>
      <c r="CJ430" s="801"/>
      <c r="CK430" s="801"/>
      <c r="CL430" s="801"/>
      <c r="CM430" s="801"/>
      <c r="CN430" s="801"/>
      <c r="CO430" s="801"/>
      <c r="CP430" s="801"/>
      <c r="CQ430" s="801"/>
      <c r="CR430" s="801"/>
      <c r="CS430" s="801"/>
      <c r="CT430" s="801"/>
      <c r="CU430" s="801"/>
      <c r="CV430" s="801"/>
      <c r="CW430" s="801"/>
      <c r="CX430" s="801"/>
      <c r="CY430" s="801"/>
      <c r="CZ430" s="802"/>
      <c r="DA430" s="800"/>
      <c r="DB430" s="801"/>
      <c r="DC430" s="801"/>
      <c r="DD430" s="801"/>
      <c r="DE430" s="801"/>
      <c r="DF430" s="801"/>
      <c r="DG430" s="801"/>
      <c r="DH430" s="801"/>
      <c r="DI430" s="801"/>
      <c r="DJ430" s="801"/>
      <c r="DK430" s="801"/>
      <c r="DL430" s="801"/>
      <c r="DM430" s="801"/>
      <c r="DN430" s="801"/>
      <c r="DO430" s="801"/>
      <c r="DP430" s="801"/>
      <c r="DQ430" s="801"/>
      <c r="DR430" s="801"/>
      <c r="DS430" s="801"/>
      <c r="DT430" s="801"/>
      <c r="DU430" s="801"/>
      <c r="DV430" s="801"/>
      <c r="DW430" s="801"/>
      <c r="DX430" s="801"/>
      <c r="DY430" s="801"/>
      <c r="DZ430" s="802"/>
      <c r="EA430" s="800"/>
      <c r="EB430" s="801"/>
      <c r="EC430" s="801"/>
      <c r="ED430" s="801"/>
      <c r="EE430" s="801"/>
      <c r="EF430" s="801"/>
      <c r="EG430" s="801"/>
      <c r="EH430" s="801"/>
      <c r="EI430" s="801"/>
      <c r="EJ430" s="801"/>
      <c r="EK430" s="801"/>
      <c r="EL430" s="801"/>
      <c r="EM430" s="801"/>
      <c r="EN430" s="801"/>
      <c r="EO430" s="801"/>
      <c r="EP430" s="801"/>
      <c r="EQ430" s="801"/>
      <c r="ER430" s="801"/>
      <c r="ES430" s="801"/>
      <c r="ET430" s="801"/>
      <c r="EU430" s="801"/>
      <c r="EV430" s="801"/>
      <c r="EW430" s="801"/>
      <c r="EX430" s="801"/>
      <c r="EY430" s="801"/>
      <c r="EZ430" s="802"/>
      <c r="FA430" s="800"/>
      <c r="FB430" s="801"/>
      <c r="FC430" s="801"/>
      <c r="FD430" s="801"/>
      <c r="FE430" s="801"/>
      <c r="FF430" s="801"/>
      <c r="FG430" s="801"/>
      <c r="FH430" s="801"/>
      <c r="FI430" s="801"/>
      <c r="FJ430" s="801"/>
      <c r="FK430" s="801"/>
      <c r="FL430" s="801"/>
      <c r="FM430" s="801"/>
      <c r="FN430" s="801"/>
      <c r="FO430" s="801"/>
      <c r="FP430" s="801"/>
      <c r="FQ430" s="801"/>
      <c r="FR430" s="801"/>
      <c r="FS430" s="801"/>
      <c r="FT430" s="801"/>
      <c r="FU430" s="801"/>
      <c r="FV430" s="801"/>
      <c r="FW430" s="801"/>
      <c r="FX430" s="801"/>
      <c r="FY430" s="801"/>
      <c r="FZ430" s="802"/>
      <c r="GA430" s="800"/>
      <c r="GB430" s="801"/>
      <c r="GC430" s="801"/>
      <c r="GD430" s="801"/>
      <c r="GE430" s="801"/>
      <c r="GF430" s="801"/>
      <c r="GG430" s="801"/>
      <c r="GH430" s="801"/>
      <c r="GI430" s="801"/>
      <c r="GJ430" s="801"/>
      <c r="GK430" s="801"/>
      <c r="GL430" s="801"/>
      <c r="GM430" s="801"/>
      <c r="GN430" s="801"/>
      <c r="GO430" s="801"/>
      <c r="GP430" s="801"/>
      <c r="GQ430" s="801"/>
      <c r="GR430" s="801"/>
      <c r="GS430" s="801"/>
      <c r="GT430" s="801"/>
      <c r="GU430" s="801"/>
      <c r="GV430" s="801"/>
      <c r="GW430" s="801"/>
      <c r="GX430" s="801"/>
      <c r="GY430" s="801"/>
      <c r="GZ430" s="802"/>
      <c r="HA430" s="800"/>
      <c r="HB430" s="801"/>
      <c r="HC430" s="801"/>
      <c r="HD430" s="801"/>
      <c r="HE430" s="801"/>
      <c r="HF430" s="801"/>
      <c r="HG430" s="801"/>
      <c r="HH430" s="801"/>
      <c r="HI430" s="801"/>
      <c r="HJ430" s="801"/>
      <c r="HK430" s="801"/>
      <c r="HL430" s="801"/>
      <c r="HM430" s="801"/>
      <c r="HN430" s="801"/>
      <c r="HO430" s="801"/>
      <c r="HP430" s="801"/>
      <c r="HQ430" s="801"/>
      <c r="HR430" s="801"/>
      <c r="HS430" s="801"/>
      <c r="HT430" s="801"/>
      <c r="HU430" s="801"/>
      <c r="HV430" s="801"/>
      <c r="HW430" s="801"/>
      <c r="HX430" s="801"/>
      <c r="HY430" s="801"/>
      <c r="HZ430" s="802"/>
      <c r="IA430" s="800"/>
      <c r="IB430" s="801"/>
      <c r="IC430" s="801"/>
      <c r="ID430" s="801"/>
      <c r="IE430" s="801"/>
      <c r="IF430" s="801"/>
      <c r="IG430" s="801"/>
      <c r="IH430" s="801"/>
      <c r="II430" s="801"/>
      <c r="IJ430" s="801"/>
      <c r="IK430" s="801"/>
      <c r="IL430" s="801"/>
      <c r="IM430" s="801"/>
      <c r="IN430" s="801"/>
      <c r="IO430" s="801"/>
      <c r="IP430" s="801"/>
      <c r="IQ430" s="801"/>
      <c r="IR430" s="801"/>
      <c r="IS430" s="801"/>
      <c r="IT430" s="801"/>
      <c r="IU430" s="801"/>
      <c r="IV430" s="801"/>
      <c r="IW430" s="801"/>
      <c r="IX430" s="801"/>
      <c r="IY430" s="801"/>
      <c r="IZ430" s="802"/>
    </row>
    <row r="431" spans="1:260" x14ac:dyDescent="0.25">
      <c r="A431" s="800"/>
      <c r="B431" s="801"/>
      <c r="C431" s="801"/>
      <c r="D431" s="801"/>
      <c r="E431" s="801"/>
      <c r="F431" s="801"/>
      <c r="G431" s="801"/>
      <c r="H431" s="801"/>
      <c r="I431" s="801"/>
      <c r="J431" s="801"/>
      <c r="K431" s="801"/>
      <c r="L431" s="801"/>
      <c r="M431" s="801"/>
      <c r="N431" s="801"/>
      <c r="O431" s="801"/>
      <c r="P431" s="801"/>
      <c r="Q431" s="801"/>
      <c r="R431" s="801"/>
      <c r="S431" s="801"/>
      <c r="T431" s="801"/>
      <c r="U431" s="801"/>
      <c r="V431" s="801"/>
      <c r="W431" s="801"/>
      <c r="X431" s="801"/>
      <c r="Y431" s="801"/>
      <c r="Z431" s="802"/>
      <c r="AA431" s="800"/>
      <c r="AB431" s="801"/>
      <c r="AC431" s="801"/>
      <c r="AD431" s="801"/>
      <c r="AE431" s="801"/>
      <c r="AF431" s="801"/>
      <c r="AG431" s="801"/>
      <c r="AH431" s="801"/>
      <c r="AI431" s="801"/>
      <c r="AJ431" s="801"/>
      <c r="AK431" s="801"/>
      <c r="AL431" s="801"/>
      <c r="AM431" s="801"/>
      <c r="AN431" s="801"/>
      <c r="AO431" s="801"/>
      <c r="AP431" s="801"/>
      <c r="AQ431" s="801"/>
      <c r="AR431" s="801"/>
      <c r="AS431" s="801"/>
      <c r="AT431" s="801"/>
      <c r="AU431" s="801"/>
      <c r="AV431" s="801"/>
      <c r="AW431" s="801"/>
      <c r="AX431" s="801"/>
      <c r="AY431" s="801"/>
      <c r="AZ431" s="802"/>
      <c r="BA431" s="800"/>
      <c r="BB431" s="801"/>
      <c r="BC431" s="801"/>
      <c r="BD431" s="801"/>
      <c r="BE431" s="801"/>
      <c r="BF431" s="801"/>
      <c r="BG431" s="801"/>
      <c r="BH431" s="801"/>
      <c r="BI431" s="801"/>
      <c r="BJ431" s="801"/>
      <c r="BK431" s="801"/>
      <c r="BL431" s="801"/>
      <c r="BM431" s="801"/>
      <c r="BN431" s="801"/>
      <c r="BO431" s="801"/>
      <c r="BP431" s="801"/>
      <c r="BQ431" s="801"/>
      <c r="BR431" s="801"/>
      <c r="BS431" s="801"/>
      <c r="BT431" s="801"/>
      <c r="BU431" s="801"/>
      <c r="BV431" s="801"/>
      <c r="BW431" s="801"/>
      <c r="BX431" s="801"/>
      <c r="BY431" s="801"/>
      <c r="BZ431" s="802"/>
      <c r="CA431" s="800"/>
      <c r="CB431" s="801"/>
      <c r="CC431" s="801"/>
      <c r="CD431" s="801"/>
      <c r="CE431" s="801"/>
      <c r="CF431" s="801"/>
      <c r="CG431" s="801"/>
      <c r="CH431" s="801"/>
      <c r="CI431" s="801"/>
      <c r="CJ431" s="801"/>
      <c r="CK431" s="801"/>
      <c r="CL431" s="801"/>
      <c r="CM431" s="801"/>
      <c r="CN431" s="801"/>
      <c r="CO431" s="801"/>
      <c r="CP431" s="801"/>
      <c r="CQ431" s="801"/>
      <c r="CR431" s="801"/>
      <c r="CS431" s="801"/>
      <c r="CT431" s="801"/>
      <c r="CU431" s="801"/>
      <c r="CV431" s="801"/>
      <c r="CW431" s="801"/>
      <c r="CX431" s="801"/>
      <c r="CY431" s="801"/>
      <c r="CZ431" s="802"/>
      <c r="DA431" s="800"/>
      <c r="DB431" s="801"/>
      <c r="DC431" s="801"/>
      <c r="DD431" s="801"/>
      <c r="DE431" s="801"/>
      <c r="DF431" s="801"/>
      <c r="DG431" s="801"/>
      <c r="DH431" s="801"/>
      <c r="DI431" s="801"/>
      <c r="DJ431" s="801"/>
      <c r="DK431" s="801"/>
      <c r="DL431" s="801"/>
      <c r="DM431" s="801"/>
      <c r="DN431" s="801"/>
      <c r="DO431" s="801"/>
      <c r="DP431" s="801"/>
      <c r="DQ431" s="801"/>
      <c r="DR431" s="801"/>
      <c r="DS431" s="801"/>
      <c r="DT431" s="801"/>
      <c r="DU431" s="801"/>
      <c r="DV431" s="801"/>
      <c r="DW431" s="801"/>
      <c r="DX431" s="801"/>
      <c r="DY431" s="801"/>
      <c r="DZ431" s="802"/>
      <c r="EA431" s="800"/>
      <c r="EB431" s="801"/>
      <c r="EC431" s="801"/>
      <c r="ED431" s="801"/>
      <c r="EE431" s="801"/>
      <c r="EF431" s="801"/>
      <c r="EG431" s="801"/>
      <c r="EH431" s="801"/>
      <c r="EI431" s="801"/>
      <c r="EJ431" s="801"/>
      <c r="EK431" s="801"/>
      <c r="EL431" s="801"/>
      <c r="EM431" s="801"/>
      <c r="EN431" s="801"/>
      <c r="EO431" s="801"/>
      <c r="EP431" s="801"/>
      <c r="EQ431" s="801"/>
      <c r="ER431" s="801"/>
      <c r="ES431" s="801"/>
      <c r="ET431" s="801"/>
      <c r="EU431" s="801"/>
      <c r="EV431" s="801"/>
      <c r="EW431" s="801"/>
      <c r="EX431" s="801"/>
      <c r="EY431" s="801"/>
      <c r="EZ431" s="802"/>
      <c r="FA431" s="800"/>
      <c r="FB431" s="801"/>
      <c r="FC431" s="801"/>
      <c r="FD431" s="801"/>
      <c r="FE431" s="801"/>
      <c r="FF431" s="801"/>
      <c r="FG431" s="801"/>
      <c r="FH431" s="801"/>
      <c r="FI431" s="801"/>
      <c r="FJ431" s="801"/>
      <c r="FK431" s="801"/>
      <c r="FL431" s="801"/>
      <c r="FM431" s="801"/>
      <c r="FN431" s="801"/>
      <c r="FO431" s="801"/>
      <c r="FP431" s="801"/>
      <c r="FQ431" s="801"/>
      <c r="FR431" s="801"/>
      <c r="FS431" s="801"/>
      <c r="FT431" s="801"/>
      <c r="FU431" s="801"/>
      <c r="FV431" s="801"/>
      <c r="FW431" s="801"/>
      <c r="FX431" s="801"/>
      <c r="FY431" s="801"/>
      <c r="FZ431" s="802"/>
      <c r="GA431" s="800"/>
      <c r="GB431" s="801"/>
      <c r="GC431" s="801"/>
      <c r="GD431" s="801"/>
      <c r="GE431" s="801"/>
      <c r="GF431" s="801"/>
      <c r="GG431" s="801"/>
      <c r="GH431" s="801"/>
      <c r="GI431" s="801"/>
      <c r="GJ431" s="801"/>
      <c r="GK431" s="801"/>
      <c r="GL431" s="801"/>
      <c r="GM431" s="801"/>
      <c r="GN431" s="801"/>
      <c r="GO431" s="801"/>
      <c r="GP431" s="801"/>
      <c r="GQ431" s="801"/>
      <c r="GR431" s="801"/>
      <c r="GS431" s="801"/>
      <c r="GT431" s="801"/>
      <c r="GU431" s="801"/>
      <c r="GV431" s="801"/>
      <c r="GW431" s="801"/>
      <c r="GX431" s="801"/>
      <c r="GY431" s="801"/>
      <c r="GZ431" s="802"/>
      <c r="HA431" s="800"/>
      <c r="HB431" s="801"/>
      <c r="HC431" s="801"/>
      <c r="HD431" s="801"/>
      <c r="HE431" s="801"/>
      <c r="HF431" s="801"/>
      <c r="HG431" s="801"/>
      <c r="HH431" s="801"/>
      <c r="HI431" s="801"/>
      <c r="HJ431" s="801"/>
      <c r="HK431" s="801"/>
      <c r="HL431" s="801"/>
      <c r="HM431" s="801"/>
      <c r="HN431" s="801"/>
      <c r="HO431" s="801"/>
      <c r="HP431" s="801"/>
      <c r="HQ431" s="801"/>
      <c r="HR431" s="801"/>
      <c r="HS431" s="801"/>
      <c r="HT431" s="801"/>
      <c r="HU431" s="801"/>
      <c r="HV431" s="801"/>
      <c r="HW431" s="801"/>
      <c r="HX431" s="801"/>
      <c r="HY431" s="801"/>
      <c r="HZ431" s="802"/>
      <c r="IA431" s="800"/>
      <c r="IB431" s="801"/>
      <c r="IC431" s="801"/>
      <c r="ID431" s="801"/>
      <c r="IE431" s="801"/>
      <c r="IF431" s="801"/>
      <c r="IG431" s="801"/>
      <c r="IH431" s="801"/>
      <c r="II431" s="801"/>
      <c r="IJ431" s="801"/>
      <c r="IK431" s="801"/>
      <c r="IL431" s="801"/>
      <c r="IM431" s="801"/>
      <c r="IN431" s="801"/>
      <c r="IO431" s="801"/>
      <c r="IP431" s="801"/>
      <c r="IQ431" s="801"/>
      <c r="IR431" s="801"/>
      <c r="IS431" s="801"/>
      <c r="IT431" s="801"/>
      <c r="IU431" s="801"/>
      <c r="IV431" s="801"/>
      <c r="IW431" s="801"/>
      <c r="IX431" s="801"/>
      <c r="IY431" s="801"/>
      <c r="IZ431" s="802"/>
    </row>
    <row r="432" spans="1:260" x14ac:dyDescent="0.25">
      <c r="A432" s="800" t="str">
        <f>IFERROR(IF(Z415&gt;A415-1,IF(INDEX(Pedidos!J:AZ,Y415+A415-1,31)&lt;&gt;"","Nombres :     "&amp; INDEX(Pedidos!J:AZ,Y415+A415-1,31),""),""),"")</f>
        <v/>
      </c>
      <c r="B432" s="801"/>
      <c r="C432" s="801"/>
      <c r="D432" s="801"/>
      <c r="E432" s="801"/>
      <c r="F432" s="801"/>
      <c r="G432" s="801"/>
      <c r="H432" s="801"/>
      <c r="I432" s="801"/>
      <c r="J432" s="801"/>
      <c r="K432" s="801"/>
      <c r="L432" s="801"/>
      <c r="M432" s="801"/>
      <c r="N432" s="801"/>
      <c r="O432" s="801"/>
      <c r="P432" s="801"/>
      <c r="Q432" s="801"/>
      <c r="R432" s="801"/>
      <c r="S432" s="801"/>
      <c r="T432" s="801"/>
      <c r="U432" s="801"/>
      <c r="V432" s="801"/>
      <c r="W432" s="801"/>
      <c r="X432" s="801"/>
      <c r="Y432" s="801"/>
      <c r="Z432" s="802"/>
      <c r="AA432" s="800" t="str">
        <f>IFERROR(IF(AZ415&gt;AA415-1,IF(INDEX(Pedidos!AJ:BZ,AY415+AA415-1,31)&lt;&gt;"","Nombres :     "&amp; INDEX(Pedidos!AJ:BZ,AY415+AA415-1,31),""),""),"")</f>
        <v/>
      </c>
      <c r="AB432" s="801"/>
      <c r="AC432" s="801"/>
      <c r="AD432" s="801"/>
      <c r="AE432" s="801"/>
      <c r="AF432" s="801"/>
      <c r="AG432" s="801"/>
      <c r="AH432" s="801"/>
      <c r="AI432" s="801"/>
      <c r="AJ432" s="801"/>
      <c r="AK432" s="801"/>
      <c r="AL432" s="801"/>
      <c r="AM432" s="801"/>
      <c r="AN432" s="801"/>
      <c r="AO432" s="801"/>
      <c r="AP432" s="801"/>
      <c r="AQ432" s="801"/>
      <c r="AR432" s="801"/>
      <c r="AS432" s="801"/>
      <c r="AT432" s="801"/>
      <c r="AU432" s="801"/>
      <c r="AV432" s="801"/>
      <c r="AW432" s="801"/>
      <c r="AX432" s="801"/>
      <c r="AY432" s="801"/>
      <c r="AZ432" s="802"/>
      <c r="BA432" s="800" t="str">
        <f>IFERROR(IF(BZ415&gt;BA415-1,IF(INDEX(Pedidos!BJ:CZ,BY415+BA415-1,31)&lt;&gt;"","Nombres :     "&amp; INDEX(Pedidos!BJ:CZ,BY415+BA415-1,31),""),""),"")</f>
        <v/>
      </c>
      <c r="BB432" s="801"/>
      <c r="BC432" s="801"/>
      <c r="BD432" s="801"/>
      <c r="BE432" s="801"/>
      <c r="BF432" s="801"/>
      <c r="BG432" s="801"/>
      <c r="BH432" s="801"/>
      <c r="BI432" s="801"/>
      <c r="BJ432" s="801"/>
      <c r="BK432" s="801"/>
      <c r="BL432" s="801"/>
      <c r="BM432" s="801"/>
      <c r="BN432" s="801"/>
      <c r="BO432" s="801"/>
      <c r="BP432" s="801"/>
      <c r="BQ432" s="801"/>
      <c r="BR432" s="801"/>
      <c r="BS432" s="801"/>
      <c r="BT432" s="801"/>
      <c r="BU432" s="801"/>
      <c r="BV432" s="801"/>
      <c r="BW432" s="801"/>
      <c r="BX432" s="801"/>
      <c r="BY432" s="801"/>
      <c r="BZ432" s="802"/>
      <c r="CA432" s="800" t="str">
        <f>IFERROR(IF(CZ415&gt;CA415-1,IF(INDEX(Pedidos!CJ:DZ,CY415+CA415-1,31)&lt;&gt;"","Nombres :     "&amp; INDEX(Pedidos!CJ:DZ,CY415+CA415-1,31),""),""),"")</f>
        <v/>
      </c>
      <c r="CB432" s="801"/>
      <c r="CC432" s="801"/>
      <c r="CD432" s="801"/>
      <c r="CE432" s="801"/>
      <c r="CF432" s="801"/>
      <c r="CG432" s="801"/>
      <c r="CH432" s="801"/>
      <c r="CI432" s="801"/>
      <c r="CJ432" s="801"/>
      <c r="CK432" s="801"/>
      <c r="CL432" s="801"/>
      <c r="CM432" s="801"/>
      <c r="CN432" s="801"/>
      <c r="CO432" s="801"/>
      <c r="CP432" s="801"/>
      <c r="CQ432" s="801"/>
      <c r="CR432" s="801"/>
      <c r="CS432" s="801"/>
      <c r="CT432" s="801"/>
      <c r="CU432" s="801"/>
      <c r="CV432" s="801"/>
      <c r="CW432" s="801"/>
      <c r="CX432" s="801"/>
      <c r="CY432" s="801"/>
      <c r="CZ432" s="802"/>
      <c r="DA432" s="800" t="str">
        <f>IFERROR(IF(DZ415&gt;DA415-1,IF(INDEX(Pedidos!DJ:EZ,DY415+DA415-1,31)&lt;&gt;"","Nombres :     "&amp; INDEX(Pedidos!DJ:EZ,DY415+DA415-1,31),""),""),"")</f>
        <v/>
      </c>
      <c r="DB432" s="801"/>
      <c r="DC432" s="801"/>
      <c r="DD432" s="801"/>
      <c r="DE432" s="801"/>
      <c r="DF432" s="801"/>
      <c r="DG432" s="801"/>
      <c r="DH432" s="801"/>
      <c r="DI432" s="801"/>
      <c r="DJ432" s="801"/>
      <c r="DK432" s="801"/>
      <c r="DL432" s="801"/>
      <c r="DM432" s="801"/>
      <c r="DN432" s="801"/>
      <c r="DO432" s="801"/>
      <c r="DP432" s="801"/>
      <c r="DQ432" s="801"/>
      <c r="DR432" s="801"/>
      <c r="DS432" s="801"/>
      <c r="DT432" s="801"/>
      <c r="DU432" s="801"/>
      <c r="DV432" s="801"/>
      <c r="DW432" s="801"/>
      <c r="DX432" s="801"/>
      <c r="DY432" s="801"/>
      <c r="DZ432" s="802"/>
      <c r="EA432" s="800" t="str">
        <f>IFERROR(IF(EZ415&gt;EA415-1,IF(INDEX(Pedidos!EJ:FZ,EY415+EA415-1,31)&lt;&gt;"","Nombres :     "&amp; INDEX(Pedidos!EJ:FZ,EY415+EA415-1,31),""),""),"")</f>
        <v/>
      </c>
      <c r="EB432" s="801"/>
      <c r="EC432" s="801"/>
      <c r="ED432" s="801"/>
      <c r="EE432" s="801"/>
      <c r="EF432" s="801"/>
      <c r="EG432" s="801"/>
      <c r="EH432" s="801"/>
      <c r="EI432" s="801"/>
      <c r="EJ432" s="801"/>
      <c r="EK432" s="801"/>
      <c r="EL432" s="801"/>
      <c r="EM432" s="801"/>
      <c r="EN432" s="801"/>
      <c r="EO432" s="801"/>
      <c r="EP432" s="801"/>
      <c r="EQ432" s="801"/>
      <c r="ER432" s="801"/>
      <c r="ES432" s="801"/>
      <c r="ET432" s="801"/>
      <c r="EU432" s="801"/>
      <c r="EV432" s="801"/>
      <c r="EW432" s="801"/>
      <c r="EX432" s="801"/>
      <c r="EY432" s="801"/>
      <c r="EZ432" s="802"/>
      <c r="FA432" s="800" t="str">
        <f>IFERROR(IF(FZ415&gt;FA415-1,IF(INDEX(Pedidos!FJ:GZ,FY415+FA415-1,31)&lt;&gt;"","Nombres :     "&amp; INDEX(Pedidos!FJ:GZ,FY415+FA415-1,31),""),""),"")</f>
        <v/>
      </c>
      <c r="FB432" s="801"/>
      <c r="FC432" s="801"/>
      <c r="FD432" s="801"/>
      <c r="FE432" s="801"/>
      <c r="FF432" s="801"/>
      <c r="FG432" s="801"/>
      <c r="FH432" s="801"/>
      <c r="FI432" s="801"/>
      <c r="FJ432" s="801"/>
      <c r="FK432" s="801"/>
      <c r="FL432" s="801"/>
      <c r="FM432" s="801"/>
      <c r="FN432" s="801"/>
      <c r="FO432" s="801"/>
      <c r="FP432" s="801"/>
      <c r="FQ432" s="801"/>
      <c r="FR432" s="801"/>
      <c r="FS432" s="801"/>
      <c r="FT432" s="801"/>
      <c r="FU432" s="801"/>
      <c r="FV432" s="801"/>
      <c r="FW432" s="801"/>
      <c r="FX432" s="801"/>
      <c r="FY432" s="801"/>
      <c r="FZ432" s="802"/>
      <c r="GA432" s="800" t="str">
        <f>IFERROR(IF(GZ415&gt;GA415-1,IF(INDEX(Pedidos!GJ:HZ,GY415+GA415-1,31)&lt;&gt;"","Nombres :     "&amp; INDEX(Pedidos!GJ:HZ,GY415+GA415-1,31),""),""),"")</f>
        <v/>
      </c>
      <c r="GB432" s="801"/>
      <c r="GC432" s="801"/>
      <c r="GD432" s="801"/>
      <c r="GE432" s="801"/>
      <c r="GF432" s="801"/>
      <c r="GG432" s="801"/>
      <c r="GH432" s="801"/>
      <c r="GI432" s="801"/>
      <c r="GJ432" s="801"/>
      <c r="GK432" s="801"/>
      <c r="GL432" s="801"/>
      <c r="GM432" s="801"/>
      <c r="GN432" s="801"/>
      <c r="GO432" s="801"/>
      <c r="GP432" s="801"/>
      <c r="GQ432" s="801"/>
      <c r="GR432" s="801"/>
      <c r="GS432" s="801"/>
      <c r="GT432" s="801"/>
      <c r="GU432" s="801"/>
      <c r="GV432" s="801"/>
      <c r="GW432" s="801"/>
      <c r="GX432" s="801"/>
      <c r="GY432" s="801"/>
      <c r="GZ432" s="802"/>
      <c r="HA432" s="800" t="str">
        <f>IFERROR(IF(HZ415&gt;HA415-1,IF(INDEX(Pedidos!HJ:IZ,HY415+HA415-1,31)&lt;&gt;"","Nombres :     "&amp; INDEX(Pedidos!HJ:IZ,HY415+HA415-1,31),""),""),"")</f>
        <v/>
      </c>
      <c r="HB432" s="801"/>
      <c r="HC432" s="801"/>
      <c r="HD432" s="801"/>
      <c r="HE432" s="801"/>
      <c r="HF432" s="801"/>
      <c r="HG432" s="801"/>
      <c r="HH432" s="801"/>
      <c r="HI432" s="801"/>
      <c r="HJ432" s="801"/>
      <c r="HK432" s="801"/>
      <c r="HL432" s="801"/>
      <c r="HM432" s="801"/>
      <c r="HN432" s="801"/>
      <c r="HO432" s="801"/>
      <c r="HP432" s="801"/>
      <c r="HQ432" s="801"/>
      <c r="HR432" s="801"/>
      <c r="HS432" s="801"/>
      <c r="HT432" s="801"/>
      <c r="HU432" s="801"/>
      <c r="HV432" s="801"/>
      <c r="HW432" s="801"/>
      <c r="HX432" s="801"/>
      <c r="HY432" s="801"/>
      <c r="HZ432" s="802"/>
      <c r="IA432" s="800" t="str">
        <f>IFERROR(IF(IZ415&gt;IA415-1,IF(INDEX(Pedidos!IJ:JZ,IY415+IA415-1,31)&lt;&gt;"","Nombres :     "&amp; INDEX(Pedidos!IJ:JZ,IY415+IA415-1,31),""),""),"")</f>
        <v/>
      </c>
      <c r="IB432" s="801"/>
      <c r="IC432" s="801"/>
      <c r="ID432" s="801"/>
      <c r="IE432" s="801"/>
      <c r="IF432" s="801"/>
      <c r="IG432" s="801"/>
      <c r="IH432" s="801"/>
      <c r="II432" s="801"/>
      <c r="IJ432" s="801"/>
      <c r="IK432" s="801"/>
      <c r="IL432" s="801"/>
      <c r="IM432" s="801"/>
      <c r="IN432" s="801"/>
      <c r="IO432" s="801"/>
      <c r="IP432" s="801"/>
      <c r="IQ432" s="801"/>
      <c r="IR432" s="801"/>
      <c r="IS432" s="801"/>
      <c r="IT432" s="801"/>
      <c r="IU432" s="801"/>
      <c r="IV432" s="801"/>
      <c r="IW432" s="801"/>
      <c r="IX432" s="801"/>
      <c r="IY432" s="801"/>
      <c r="IZ432" s="802"/>
    </row>
    <row r="433" spans="1:260" x14ac:dyDescent="0.25">
      <c r="A433" s="820" t="str">
        <f>IFERROR(IF(Z415&gt;A415-1,IF(INDEX(Pedidos!J:AZ,Y415+A415-1,32)&lt;&gt;"","Localización de los Nombres :     "&amp; INDEX(Pedidos!J:AZ,Y415+A415-1,32),""),""),"")</f>
        <v/>
      </c>
      <c r="B433" s="821"/>
      <c r="C433" s="821"/>
      <c r="D433" s="821"/>
      <c r="E433" s="821"/>
      <c r="F433" s="821"/>
      <c r="G433" s="821"/>
      <c r="H433" s="821"/>
      <c r="I433" s="821"/>
      <c r="J433" s="821"/>
      <c r="K433" s="821"/>
      <c r="L433" s="821"/>
      <c r="M433" s="821"/>
      <c r="N433" s="821"/>
      <c r="O433" s="821"/>
      <c r="P433" s="821"/>
      <c r="Q433" s="821"/>
      <c r="R433" s="821"/>
      <c r="S433" s="821"/>
      <c r="T433" s="821"/>
      <c r="U433" s="821"/>
      <c r="V433" s="821"/>
      <c r="W433" s="821"/>
      <c r="X433" s="821"/>
      <c r="Y433" s="821"/>
      <c r="Z433" s="822"/>
      <c r="AA433" s="820" t="str">
        <f>IFERROR(IF(AZ415&gt;AA415-1,IF(INDEX(Pedidos!AJ:BZ,AY415+AA415-1,32)&lt;&gt;"","Localización de los Nombres :     "&amp; INDEX(Pedidos!AJ:BZ,AY415+AA415-1,32),""),""),"")</f>
        <v/>
      </c>
      <c r="AB433" s="821"/>
      <c r="AC433" s="821"/>
      <c r="AD433" s="821"/>
      <c r="AE433" s="821"/>
      <c r="AF433" s="821"/>
      <c r="AG433" s="821"/>
      <c r="AH433" s="821"/>
      <c r="AI433" s="821"/>
      <c r="AJ433" s="821"/>
      <c r="AK433" s="821"/>
      <c r="AL433" s="821"/>
      <c r="AM433" s="821"/>
      <c r="AN433" s="821"/>
      <c r="AO433" s="821"/>
      <c r="AP433" s="821"/>
      <c r="AQ433" s="821"/>
      <c r="AR433" s="821"/>
      <c r="AS433" s="821"/>
      <c r="AT433" s="821"/>
      <c r="AU433" s="821"/>
      <c r="AV433" s="821"/>
      <c r="AW433" s="821"/>
      <c r="AX433" s="821"/>
      <c r="AY433" s="821"/>
      <c r="AZ433" s="822"/>
      <c r="BA433" s="820" t="str">
        <f>IFERROR(IF(BZ415&gt;BA415-1,IF(INDEX(Pedidos!BJ:CZ,BY415+BA415-1,32)&lt;&gt;"","Localización de los Nombres :     "&amp; INDEX(Pedidos!BJ:CZ,BY415+BA415-1,32),""),""),"")</f>
        <v/>
      </c>
      <c r="BB433" s="821"/>
      <c r="BC433" s="821"/>
      <c r="BD433" s="821"/>
      <c r="BE433" s="821"/>
      <c r="BF433" s="821"/>
      <c r="BG433" s="821"/>
      <c r="BH433" s="821"/>
      <c r="BI433" s="821"/>
      <c r="BJ433" s="821"/>
      <c r="BK433" s="821"/>
      <c r="BL433" s="821"/>
      <c r="BM433" s="821"/>
      <c r="BN433" s="821"/>
      <c r="BO433" s="821"/>
      <c r="BP433" s="821"/>
      <c r="BQ433" s="821"/>
      <c r="BR433" s="821"/>
      <c r="BS433" s="821"/>
      <c r="BT433" s="821"/>
      <c r="BU433" s="821"/>
      <c r="BV433" s="821"/>
      <c r="BW433" s="821"/>
      <c r="BX433" s="821"/>
      <c r="BY433" s="821"/>
      <c r="BZ433" s="822"/>
      <c r="CA433" s="820" t="str">
        <f>IFERROR(IF(CZ415&gt;CA415-1,IF(INDEX(Pedidos!CJ:DZ,CY415+CA415-1,32)&lt;&gt;"","Localización de los Nombres :     "&amp; INDEX(Pedidos!CJ:DZ,CY415+CA415-1,32),""),""),"")</f>
        <v/>
      </c>
      <c r="CB433" s="821"/>
      <c r="CC433" s="821"/>
      <c r="CD433" s="821"/>
      <c r="CE433" s="821"/>
      <c r="CF433" s="821"/>
      <c r="CG433" s="821"/>
      <c r="CH433" s="821"/>
      <c r="CI433" s="821"/>
      <c r="CJ433" s="821"/>
      <c r="CK433" s="821"/>
      <c r="CL433" s="821"/>
      <c r="CM433" s="821"/>
      <c r="CN433" s="821"/>
      <c r="CO433" s="821"/>
      <c r="CP433" s="821"/>
      <c r="CQ433" s="821"/>
      <c r="CR433" s="821"/>
      <c r="CS433" s="821"/>
      <c r="CT433" s="821"/>
      <c r="CU433" s="821"/>
      <c r="CV433" s="821"/>
      <c r="CW433" s="821"/>
      <c r="CX433" s="821"/>
      <c r="CY433" s="821"/>
      <c r="CZ433" s="822"/>
      <c r="DA433" s="820" t="str">
        <f>IFERROR(IF(DZ415&gt;DA415-1,IF(INDEX(Pedidos!DJ:EZ,DY415+DA415-1,32)&lt;&gt;"","Localización de los Nombres :     "&amp; INDEX(Pedidos!DJ:EZ,DY415+DA415-1,32),""),""),"")</f>
        <v/>
      </c>
      <c r="DB433" s="821"/>
      <c r="DC433" s="821"/>
      <c r="DD433" s="821"/>
      <c r="DE433" s="821"/>
      <c r="DF433" s="821"/>
      <c r="DG433" s="821"/>
      <c r="DH433" s="821"/>
      <c r="DI433" s="821"/>
      <c r="DJ433" s="821"/>
      <c r="DK433" s="821"/>
      <c r="DL433" s="821"/>
      <c r="DM433" s="821"/>
      <c r="DN433" s="821"/>
      <c r="DO433" s="821"/>
      <c r="DP433" s="821"/>
      <c r="DQ433" s="821"/>
      <c r="DR433" s="821"/>
      <c r="DS433" s="821"/>
      <c r="DT433" s="821"/>
      <c r="DU433" s="821"/>
      <c r="DV433" s="821"/>
      <c r="DW433" s="821"/>
      <c r="DX433" s="821"/>
      <c r="DY433" s="821"/>
      <c r="DZ433" s="822"/>
      <c r="EA433" s="820" t="str">
        <f>IFERROR(IF(EZ415&gt;EA415-1,IF(INDEX(Pedidos!EJ:FZ,EY415+EA415-1,32)&lt;&gt;"","Localización de los Nombres :     "&amp; INDEX(Pedidos!EJ:FZ,EY415+EA415-1,32),""),""),"")</f>
        <v/>
      </c>
      <c r="EB433" s="821"/>
      <c r="EC433" s="821"/>
      <c r="ED433" s="821"/>
      <c r="EE433" s="821"/>
      <c r="EF433" s="821"/>
      <c r="EG433" s="821"/>
      <c r="EH433" s="821"/>
      <c r="EI433" s="821"/>
      <c r="EJ433" s="821"/>
      <c r="EK433" s="821"/>
      <c r="EL433" s="821"/>
      <c r="EM433" s="821"/>
      <c r="EN433" s="821"/>
      <c r="EO433" s="821"/>
      <c r="EP433" s="821"/>
      <c r="EQ433" s="821"/>
      <c r="ER433" s="821"/>
      <c r="ES433" s="821"/>
      <c r="ET433" s="821"/>
      <c r="EU433" s="821"/>
      <c r="EV433" s="821"/>
      <c r="EW433" s="821"/>
      <c r="EX433" s="821"/>
      <c r="EY433" s="821"/>
      <c r="EZ433" s="822"/>
      <c r="FA433" s="820" t="str">
        <f>IFERROR(IF(FZ415&gt;FA415-1,IF(INDEX(Pedidos!FJ:GZ,FY415+FA415-1,32)&lt;&gt;"","Localización de los Nombres :     "&amp; INDEX(Pedidos!FJ:GZ,FY415+FA415-1,32),""),""),"")</f>
        <v/>
      </c>
      <c r="FB433" s="821"/>
      <c r="FC433" s="821"/>
      <c r="FD433" s="821"/>
      <c r="FE433" s="821"/>
      <c r="FF433" s="821"/>
      <c r="FG433" s="821"/>
      <c r="FH433" s="821"/>
      <c r="FI433" s="821"/>
      <c r="FJ433" s="821"/>
      <c r="FK433" s="821"/>
      <c r="FL433" s="821"/>
      <c r="FM433" s="821"/>
      <c r="FN433" s="821"/>
      <c r="FO433" s="821"/>
      <c r="FP433" s="821"/>
      <c r="FQ433" s="821"/>
      <c r="FR433" s="821"/>
      <c r="FS433" s="821"/>
      <c r="FT433" s="821"/>
      <c r="FU433" s="821"/>
      <c r="FV433" s="821"/>
      <c r="FW433" s="821"/>
      <c r="FX433" s="821"/>
      <c r="FY433" s="821"/>
      <c r="FZ433" s="822"/>
      <c r="GA433" s="820" t="str">
        <f>IFERROR(IF(GZ415&gt;GA415-1,IF(INDEX(Pedidos!GJ:HZ,GY415+GA415-1,32)&lt;&gt;"","Localización de los Nombres :     "&amp; INDEX(Pedidos!GJ:HZ,GY415+GA415-1,32),""),""),"")</f>
        <v/>
      </c>
      <c r="GB433" s="821"/>
      <c r="GC433" s="821"/>
      <c r="GD433" s="821"/>
      <c r="GE433" s="821"/>
      <c r="GF433" s="821"/>
      <c r="GG433" s="821"/>
      <c r="GH433" s="821"/>
      <c r="GI433" s="821"/>
      <c r="GJ433" s="821"/>
      <c r="GK433" s="821"/>
      <c r="GL433" s="821"/>
      <c r="GM433" s="821"/>
      <c r="GN433" s="821"/>
      <c r="GO433" s="821"/>
      <c r="GP433" s="821"/>
      <c r="GQ433" s="821"/>
      <c r="GR433" s="821"/>
      <c r="GS433" s="821"/>
      <c r="GT433" s="821"/>
      <c r="GU433" s="821"/>
      <c r="GV433" s="821"/>
      <c r="GW433" s="821"/>
      <c r="GX433" s="821"/>
      <c r="GY433" s="821"/>
      <c r="GZ433" s="822"/>
      <c r="HA433" s="820" t="str">
        <f>IFERROR(IF(HZ415&gt;HA415-1,IF(INDEX(Pedidos!HJ:IZ,HY415+HA415-1,32)&lt;&gt;"","Localización de los Nombres :     "&amp; INDEX(Pedidos!HJ:IZ,HY415+HA415-1,32),""),""),"")</f>
        <v/>
      </c>
      <c r="HB433" s="821"/>
      <c r="HC433" s="821"/>
      <c r="HD433" s="821"/>
      <c r="HE433" s="821"/>
      <c r="HF433" s="821"/>
      <c r="HG433" s="821"/>
      <c r="HH433" s="821"/>
      <c r="HI433" s="821"/>
      <c r="HJ433" s="821"/>
      <c r="HK433" s="821"/>
      <c r="HL433" s="821"/>
      <c r="HM433" s="821"/>
      <c r="HN433" s="821"/>
      <c r="HO433" s="821"/>
      <c r="HP433" s="821"/>
      <c r="HQ433" s="821"/>
      <c r="HR433" s="821"/>
      <c r="HS433" s="821"/>
      <c r="HT433" s="821"/>
      <c r="HU433" s="821"/>
      <c r="HV433" s="821"/>
      <c r="HW433" s="821"/>
      <c r="HX433" s="821"/>
      <c r="HY433" s="821"/>
      <c r="HZ433" s="822"/>
      <c r="IA433" s="820" t="str">
        <f>IFERROR(IF(IZ415&gt;IA415-1,IF(INDEX(Pedidos!IJ:JZ,IY415+IA415-1,32)&lt;&gt;"","Localización de los Nombres :     "&amp; INDEX(Pedidos!IJ:JZ,IY415+IA415-1,32),""),""),"")</f>
        <v/>
      </c>
      <c r="IB433" s="821"/>
      <c r="IC433" s="821"/>
      <c r="ID433" s="821"/>
      <c r="IE433" s="821"/>
      <c r="IF433" s="821"/>
      <c r="IG433" s="821"/>
      <c r="IH433" s="821"/>
      <c r="II433" s="821"/>
      <c r="IJ433" s="821"/>
      <c r="IK433" s="821"/>
      <c r="IL433" s="821"/>
      <c r="IM433" s="821"/>
      <c r="IN433" s="821"/>
      <c r="IO433" s="821"/>
      <c r="IP433" s="821"/>
      <c r="IQ433" s="821"/>
      <c r="IR433" s="821"/>
      <c r="IS433" s="821"/>
      <c r="IT433" s="821"/>
      <c r="IU433" s="821"/>
      <c r="IV433" s="821"/>
      <c r="IW433" s="821"/>
      <c r="IX433" s="821"/>
      <c r="IY433" s="821"/>
      <c r="IZ433" s="822"/>
    </row>
    <row r="434" spans="1:260" x14ac:dyDescent="0.25">
      <c r="A434" s="836" t="str">
        <f>IFERROR(IF(Z415&gt;A415-1,IF(INDEX(Pedidos!J:AZ,Y415+A415-1,37)&lt;&gt;"","Otras Instrucciones Especiales :     "&amp; INDEX(Pedidos!J:AZ,Y415+A415-1,37),""),""),"")</f>
        <v/>
      </c>
      <c r="B434" s="837"/>
      <c r="C434" s="837"/>
      <c r="D434" s="837"/>
      <c r="E434" s="837"/>
      <c r="F434" s="837"/>
      <c r="G434" s="837"/>
      <c r="H434" s="837"/>
      <c r="I434" s="837"/>
      <c r="J434" s="837"/>
      <c r="K434" s="837"/>
      <c r="L434" s="837"/>
      <c r="M434" s="837"/>
      <c r="N434" s="837"/>
      <c r="O434" s="837"/>
      <c r="P434" s="837"/>
      <c r="Q434" s="837"/>
      <c r="R434" s="837"/>
      <c r="S434" s="837"/>
      <c r="T434" s="837"/>
      <c r="U434" s="837"/>
      <c r="V434" s="837"/>
      <c r="W434" s="837"/>
      <c r="X434" s="837"/>
      <c r="Y434" s="837"/>
      <c r="Z434" s="838"/>
      <c r="AA434" s="836" t="str">
        <f>IFERROR(IF(AZ415&gt;AA415-1,IF(INDEX(Pedidos!AJ:BZ,AY415+AA415-1,37)&lt;&gt;"","Otras Instrucciones Especiales :     "&amp; INDEX(Pedidos!AJ:BZ,AY415+AA415-1,37),""),""),"")</f>
        <v/>
      </c>
      <c r="AB434" s="837"/>
      <c r="AC434" s="837"/>
      <c r="AD434" s="837"/>
      <c r="AE434" s="837"/>
      <c r="AF434" s="837"/>
      <c r="AG434" s="837"/>
      <c r="AH434" s="837"/>
      <c r="AI434" s="837"/>
      <c r="AJ434" s="837"/>
      <c r="AK434" s="837"/>
      <c r="AL434" s="837"/>
      <c r="AM434" s="837"/>
      <c r="AN434" s="837"/>
      <c r="AO434" s="837"/>
      <c r="AP434" s="837"/>
      <c r="AQ434" s="837"/>
      <c r="AR434" s="837"/>
      <c r="AS434" s="837"/>
      <c r="AT434" s="837"/>
      <c r="AU434" s="837"/>
      <c r="AV434" s="837"/>
      <c r="AW434" s="837"/>
      <c r="AX434" s="837"/>
      <c r="AY434" s="837"/>
      <c r="AZ434" s="838"/>
      <c r="BA434" s="836" t="str">
        <f>IFERROR(IF(BZ415&gt;BA415-1,IF(INDEX(Pedidos!BJ:CZ,BY415+BA415-1,37)&lt;&gt;"","Otras Instrucciones Especiales :     "&amp; INDEX(Pedidos!BJ:CZ,BY415+BA415-1,37),""),""),"")</f>
        <v/>
      </c>
      <c r="BB434" s="837"/>
      <c r="BC434" s="837"/>
      <c r="BD434" s="837"/>
      <c r="BE434" s="837"/>
      <c r="BF434" s="837"/>
      <c r="BG434" s="837"/>
      <c r="BH434" s="837"/>
      <c r="BI434" s="837"/>
      <c r="BJ434" s="837"/>
      <c r="BK434" s="837"/>
      <c r="BL434" s="837"/>
      <c r="BM434" s="837"/>
      <c r="BN434" s="837"/>
      <c r="BO434" s="837"/>
      <c r="BP434" s="837"/>
      <c r="BQ434" s="837"/>
      <c r="BR434" s="837"/>
      <c r="BS434" s="837"/>
      <c r="BT434" s="837"/>
      <c r="BU434" s="837"/>
      <c r="BV434" s="837"/>
      <c r="BW434" s="837"/>
      <c r="BX434" s="837"/>
      <c r="BY434" s="837"/>
      <c r="BZ434" s="838"/>
      <c r="CA434" s="836" t="str">
        <f>IFERROR(IF(CZ415&gt;CA415-1,IF(INDEX(Pedidos!CJ:DZ,CY415+CA415-1,37)&lt;&gt;"","Otras Instrucciones Especiales :     "&amp; INDEX(Pedidos!CJ:DZ,CY415+CA415-1,37),""),""),"")</f>
        <v/>
      </c>
      <c r="CB434" s="837"/>
      <c r="CC434" s="837"/>
      <c r="CD434" s="837"/>
      <c r="CE434" s="837"/>
      <c r="CF434" s="837"/>
      <c r="CG434" s="837"/>
      <c r="CH434" s="837"/>
      <c r="CI434" s="837"/>
      <c r="CJ434" s="837"/>
      <c r="CK434" s="837"/>
      <c r="CL434" s="837"/>
      <c r="CM434" s="837"/>
      <c r="CN434" s="837"/>
      <c r="CO434" s="837"/>
      <c r="CP434" s="837"/>
      <c r="CQ434" s="837"/>
      <c r="CR434" s="837"/>
      <c r="CS434" s="837"/>
      <c r="CT434" s="837"/>
      <c r="CU434" s="837"/>
      <c r="CV434" s="837"/>
      <c r="CW434" s="837"/>
      <c r="CX434" s="837"/>
      <c r="CY434" s="837"/>
      <c r="CZ434" s="838"/>
      <c r="DA434" s="836" t="str">
        <f>IFERROR(IF(DZ415&gt;DA415-1,IF(INDEX(Pedidos!DJ:EZ,DY415+DA415-1,37)&lt;&gt;"","Otras Instrucciones Especiales :     "&amp; INDEX(Pedidos!DJ:EZ,DY415+DA415-1,37),""),""),"")</f>
        <v/>
      </c>
      <c r="DB434" s="837"/>
      <c r="DC434" s="837"/>
      <c r="DD434" s="837"/>
      <c r="DE434" s="837"/>
      <c r="DF434" s="837"/>
      <c r="DG434" s="837"/>
      <c r="DH434" s="837"/>
      <c r="DI434" s="837"/>
      <c r="DJ434" s="837"/>
      <c r="DK434" s="837"/>
      <c r="DL434" s="837"/>
      <c r="DM434" s="837"/>
      <c r="DN434" s="837"/>
      <c r="DO434" s="837"/>
      <c r="DP434" s="837"/>
      <c r="DQ434" s="837"/>
      <c r="DR434" s="837"/>
      <c r="DS434" s="837"/>
      <c r="DT434" s="837"/>
      <c r="DU434" s="837"/>
      <c r="DV434" s="837"/>
      <c r="DW434" s="837"/>
      <c r="DX434" s="837"/>
      <c r="DY434" s="837"/>
      <c r="DZ434" s="838"/>
      <c r="EA434" s="836" t="str">
        <f>IFERROR(IF(EZ415&gt;EA415-1,IF(INDEX(Pedidos!EJ:FZ,EY415+EA415-1,37)&lt;&gt;"","Otras Instrucciones Especiales :     "&amp; INDEX(Pedidos!EJ:FZ,EY415+EA415-1,37),""),""),"")</f>
        <v/>
      </c>
      <c r="EB434" s="837"/>
      <c r="EC434" s="837"/>
      <c r="ED434" s="837"/>
      <c r="EE434" s="837"/>
      <c r="EF434" s="837"/>
      <c r="EG434" s="837"/>
      <c r="EH434" s="837"/>
      <c r="EI434" s="837"/>
      <c r="EJ434" s="837"/>
      <c r="EK434" s="837"/>
      <c r="EL434" s="837"/>
      <c r="EM434" s="837"/>
      <c r="EN434" s="837"/>
      <c r="EO434" s="837"/>
      <c r="EP434" s="837"/>
      <c r="EQ434" s="837"/>
      <c r="ER434" s="837"/>
      <c r="ES434" s="837"/>
      <c r="ET434" s="837"/>
      <c r="EU434" s="837"/>
      <c r="EV434" s="837"/>
      <c r="EW434" s="837"/>
      <c r="EX434" s="837"/>
      <c r="EY434" s="837"/>
      <c r="EZ434" s="838"/>
      <c r="FA434" s="836" t="str">
        <f>IFERROR(IF(FZ415&gt;FA415-1,IF(INDEX(Pedidos!FJ:GZ,FY415+FA415-1,37)&lt;&gt;"","Otras Instrucciones Especiales :     "&amp; INDEX(Pedidos!FJ:GZ,FY415+FA415-1,37),""),""),"")</f>
        <v/>
      </c>
      <c r="FB434" s="837"/>
      <c r="FC434" s="837"/>
      <c r="FD434" s="837"/>
      <c r="FE434" s="837"/>
      <c r="FF434" s="837"/>
      <c r="FG434" s="837"/>
      <c r="FH434" s="837"/>
      <c r="FI434" s="837"/>
      <c r="FJ434" s="837"/>
      <c r="FK434" s="837"/>
      <c r="FL434" s="837"/>
      <c r="FM434" s="837"/>
      <c r="FN434" s="837"/>
      <c r="FO434" s="837"/>
      <c r="FP434" s="837"/>
      <c r="FQ434" s="837"/>
      <c r="FR434" s="837"/>
      <c r="FS434" s="837"/>
      <c r="FT434" s="837"/>
      <c r="FU434" s="837"/>
      <c r="FV434" s="837"/>
      <c r="FW434" s="837"/>
      <c r="FX434" s="837"/>
      <c r="FY434" s="837"/>
      <c r="FZ434" s="838"/>
      <c r="GA434" s="836" t="str">
        <f>IFERROR(IF(GZ415&gt;GA415-1,IF(INDEX(Pedidos!GJ:HZ,GY415+GA415-1,37)&lt;&gt;"","Otras Instrucciones Especiales :     "&amp; INDEX(Pedidos!GJ:HZ,GY415+GA415-1,37),""),""),"")</f>
        <v/>
      </c>
      <c r="GB434" s="837"/>
      <c r="GC434" s="837"/>
      <c r="GD434" s="837"/>
      <c r="GE434" s="837"/>
      <c r="GF434" s="837"/>
      <c r="GG434" s="837"/>
      <c r="GH434" s="837"/>
      <c r="GI434" s="837"/>
      <c r="GJ434" s="837"/>
      <c r="GK434" s="837"/>
      <c r="GL434" s="837"/>
      <c r="GM434" s="837"/>
      <c r="GN434" s="837"/>
      <c r="GO434" s="837"/>
      <c r="GP434" s="837"/>
      <c r="GQ434" s="837"/>
      <c r="GR434" s="837"/>
      <c r="GS434" s="837"/>
      <c r="GT434" s="837"/>
      <c r="GU434" s="837"/>
      <c r="GV434" s="837"/>
      <c r="GW434" s="837"/>
      <c r="GX434" s="837"/>
      <c r="GY434" s="837"/>
      <c r="GZ434" s="838"/>
      <c r="HA434" s="836" t="str">
        <f>IFERROR(IF(HZ415&gt;HA415-1,IF(INDEX(Pedidos!HJ:IZ,HY415+HA415-1,37)&lt;&gt;"","Otras Instrucciones Especiales :     "&amp; INDEX(Pedidos!HJ:IZ,HY415+HA415-1,37),""),""),"")</f>
        <v/>
      </c>
      <c r="HB434" s="837"/>
      <c r="HC434" s="837"/>
      <c r="HD434" s="837"/>
      <c r="HE434" s="837"/>
      <c r="HF434" s="837"/>
      <c r="HG434" s="837"/>
      <c r="HH434" s="837"/>
      <c r="HI434" s="837"/>
      <c r="HJ434" s="837"/>
      <c r="HK434" s="837"/>
      <c r="HL434" s="837"/>
      <c r="HM434" s="837"/>
      <c r="HN434" s="837"/>
      <c r="HO434" s="837"/>
      <c r="HP434" s="837"/>
      <c r="HQ434" s="837"/>
      <c r="HR434" s="837"/>
      <c r="HS434" s="837"/>
      <c r="HT434" s="837"/>
      <c r="HU434" s="837"/>
      <c r="HV434" s="837"/>
      <c r="HW434" s="837"/>
      <c r="HX434" s="837"/>
      <c r="HY434" s="837"/>
      <c r="HZ434" s="838"/>
      <c r="IA434" s="836" t="str">
        <f>IFERROR(IF(IZ415&gt;IA415-1,IF(INDEX(Pedidos!IJ:JZ,IY415+IA415-1,37)&lt;&gt;"","Otras Instrucciones Especiales :     "&amp; INDEX(Pedidos!IJ:JZ,IY415+IA415-1,37),""),""),"")</f>
        <v/>
      </c>
      <c r="IB434" s="837"/>
      <c r="IC434" s="837"/>
      <c r="ID434" s="837"/>
      <c r="IE434" s="837"/>
      <c r="IF434" s="837"/>
      <c r="IG434" s="837"/>
      <c r="IH434" s="837"/>
      <c r="II434" s="837"/>
      <c r="IJ434" s="837"/>
      <c r="IK434" s="837"/>
      <c r="IL434" s="837"/>
      <c r="IM434" s="837"/>
      <c r="IN434" s="837"/>
      <c r="IO434" s="837"/>
      <c r="IP434" s="837"/>
      <c r="IQ434" s="837"/>
      <c r="IR434" s="837"/>
      <c r="IS434" s="837"/>
      <c r="IT434" s="837"/>
      <c r="IU434" s="837"/>
      <c r="IV434" s="837"/>
      <c r="IW434" s="837"/>
      <c r="IX434" s="837"/>
      <c r="IY434" s="837"/>
      <c r="IZ434" s="838"/>
    </row>
    <row r="435" spans="1:260" ht="15.75" thickBot="1" x14ac:dyDescent="0.3">
      <c r="A435" s="839"/>
      <c r="B435" s="840"/>
      <c r="C435" s="840"/>
      <c r="D435" s="840"/>
      <c r="E435" s="840"/>
      <c r="F435" s="840"/>
      <c r="G435" s="840"/>
      <c r="H435" s="840"/>
      <c r="I435" s="840"/>
      <c r="J435" s="840"/>
      <c r="K435" s="840"/>
      <c r="L435" s="840"/>
      <c r="M435" s="840"/>
      <c r="N435" s="840"/>
      <c r="O435" s="840"/>
      <c r="P435" s="840"/>
      <c r="Q435" s="840"/>
      <c r="R435" s="840"/>
      <c r="S435" s="840"/>
      <c r="T435" s="840"/>
      <c r="U435" s="840"/>
      <c r="V435" s="840"/>
      <c r="W435" s="840"/>
      <c r="X435" s="840"/>
      <c r="Y435" s="840"/>
      <c r="Z435" s="841"/>
      <c r="AA435" s="839"/>
      <c r="AB435" s="840"/>
      <c r="AC435" s="840"/>
      <c r="AD435" s="840"/>
      <c r="AE435" s="840"/>
      <c r="AF435" s="840"/>
      <c r="AG435" s="840"/>
      <c r="AH435" s="840"/>
      <c r="AI435" s="840"/>
      <c r="AJ435" s="840"/>
      <c r="AK435" s="840"/>
      <c r="AL435" s="840"/>
      <c r="AM435" s="840"/>
      <c r="AN435" s="840"/>
      <c r="AO435" s="840"/>
      <c r="AP435" s="840"/>
      <c r="AQ435" s="840"/>
      <c r="AR435" s="840"/>
      <c r="AS435" s="840"/>
      <c r="AT435" s="840"/>
      <c r="AU435" s="840"/>
      <c r="AV435" s="840"/>
      <c r="AW435" s="840"/>
      <c r="AX435" s="840"/>
      <c r="AY435" s="840"/>
      <c r="AZ435" s="841"/>
      <c r="BA435" s="839"/>
      <c r="BB435" s="840"/>
      <c r="BC435" s="840"/>
      <c r="BD435" s="840"/>
      <c r="BE435" s="840"/>
      <c r="BF435" s="840"/>
      <c r="BG435" s="840"/>
      <c r="BH435" s="840"/>
      <c r="BI435" s="840"/>
      <c r="BJ435" s="840"/>
      <c r="BK435" s="840"/>
      <c r="BL435" s="840"/>
      <c r="BM435" s="840"/>
      <c r="BN435" s="840"/>
      <c r="BO435" s="840"/>
      <c r="BP435" s="840"/>
      <c r="BQ435" s="840"/>
      <c r="BR435" s="840"/>
      <c r="BS435" s="840"/>
      <c r="BT435" s="840"/>
      <c r="BU435" s="840"/>
      <c r="BV435" s="840"/>
      <c r="BW435" s="840"/>
      <c r="BX435" s="840"/>
      <c r="BY435" s="840"/>
      <c r="BZ435" s="841"/>
      <c r="CA435" s="839"/>
      <c r="CB435" s="840"/>
      <c r="CC435" s="840"/>
      <c r="CD435" s="840"/>
      <c r="CE435" s="840"/>
      <c r="CF435" s="840"/>
      <c r="CG435" s="840"/>
      <c r="CH435" s="840"/>
      <c r="CI435" s="840"/>
      <c r="CJ435" s="840"/>
      <c r="CK435" s="840"/>
      <c r="CL435" s="840"/>
      <c r="CM435" s="840"/>
      <c r="CN435" s="840"/>
      <c r="CO435" s="840"/>
      <c r="CP435" s="840"/>
      <c r="CQ435" s="840"/>
      <c r="CR435" s="840"/>
      <c r="CS435" s="840"/>
      <c r="CT435" s="840"/>
      <c r="CU435" s="840"/>
      <c r="CV435" s="840"/>
      <c r="CW435" s="840"/>
      <c r="CX435" s="840"/>
      <c r="CY435" s="840"/>
      <c r="CZ435" s="841"/>
      <c r="DA435" s="839"/>
      <c r="DB435" s="840"/>
      <c r="DC435" s="840"/>
      <c r="DD435" s="840"/>
      <c r="DE435" s="840"/>
      <c r="DF435" s="840"/>
      <c r="DG435" s="840"/>
      <c r="DH435" s="840"/>
      <c r="DI435" s="840"/>
      <c r="DJ435" s="840"/>
      <c r="DK435" s="840"/>
      <c r="DL435" s="840"/>
      <c r="DM435" s="840"/>
      <c r="DN435" s="840"/>
      <c r="DO435" s="840"/>
      <c r="DP435" s="840"/>
      <c r="DQ435" s="840"/>
      <c r="DR435" s="840"/>
      <c r="DS435" s="840"/>
      <c r="DT435" s="840"/>
      <c r="DU435" s="840"/>
      <c r="DV435" s="840"/>
      <c r="DW435" s="840"/>
      <c r="DX435" s="840"/>
      <c r="DY435" s="840"/>
      <c r="DZ435" s="841"/>
      <c r="EA435" s="839"/>
      <c r="EB435" s="840"/>
      <c r="EC435" s="840"/>
      <c r="ED435" s="840"/>
      <c r="EE435" s="840"/>
      <c r="EF435" s="840"/>
      <c r="EG435" s="840"/>
      <c r="EH435" s="840"/>
      <c r="EI435" s="840"/>
      <c r="EJ435" s="840"/>
      <c r="EK435" s="840"/>
      <c r="EL435" s="840"/>
      <c r="EM435" s="840"/>
      <c r="EN435" s="840"/>
      <c r="EO435" s="840"/>
      <c r="EP435" s="840"/>
      <c r="EQ435" s="840"/>
      <c r="ER435" s="840"/>
      <c r="ES435" s="840"/>
      <c r="ET435" s="840"/>
      <c r="EU435" s="840"/>
      <c r="EV435" s="840"/>
      <c r="EW435" s="840"/>
      <c r="EX435" s="840"/>
      <c r="EY435" s="840"/>
      <c r="EZ435" s="841"/>
      <c r="FA435" s="839"/>
      <c r="FB435" s="840"/>
      <c r="FC435" s="840"/>
      <c r="FD435" s="840"/>
      <c r="FE435" s="840"/>
      <c r="FF435" s="840"/>
      <c r="FG435" s="840"/>
      <c r="FH435" s="840"/>
      <c r="FI435" s="840"/>
      <c r="FJ435" s="840"/>
      <c r="FK435" s="840"/>
      <c r="FL435" s="840"/>
      <c r="FM435" s="840"/>
      <c r="FN435" s="840"/>
      <c r="FO435" s="840"/>
      <c r="FP435" s="840"/>
      <c r="FQ435" s="840"/>
      <c r="FR435" s="840"/>
      <c r="FS435" s="840"/>
      <c r="FT435" s="840"/>
      <c r="FU435" s="840"/>
      <c r="FV435" s="840"/>
      <c r="FW435" s="840"/>
      <c r="FX435" s="840"/>
      <c r="FY435" s="840"/>
      <c r="FZ435" s="841"/>
      <c r="GA435" s="839"/>
      <c r="GB435" s="840"/>
      <c r="GC435" s="840"/>
      <c r="GD435" s="840"/>
      <c r="GE435" s="840"/>
      <c r="GF435" s="840"/>
      <c r="GG435" s="840"/>
      <c r="GH435" s="840"/>
      <c r="GI435" s="840"/>
      <c r="GJ435" s="840"/>
      <c r="GK435" s="840"/>
      <c r="GL435" s="840"/>
      <c r="GM435" s="840"/>
      <c r="GN435" s="840"/>
      <c r="GO435" s="840"/>
      <c r="GP435" s="840"/>
      <c r="GQ435" s="840"/>
      <c r="GR435" s="840"/>
      <c r="GS435" s="840"/>
      <c r="GT435" s="840"/>
      <c r="GU435" s="840"/>
      <c r="GV435" s="840"/>
      <c r="GW435" s="840"/>
      <c r="GX435" s="840"/>
      <c r="GY435" s="840"/>
      <c r="GZ435" s="841"/>
      <c r="HA435" s="839"/>
      <c r="HB435" s="840"/>
      <c r="HC435" s="840"/>
      <c r="HD435" s="840"/>
      <c r="HE435" s="840"/>
      <c r="HF435" s="840"/>
      <c r="HG435" s="840"/>
      <c r="HH435" s="840"/>
      <c r="HI435" s="840"/>
      <c r="HJ435" s="840"/>
      <c r="HK435" s="840"/>
      <c r="HL435" s="840"/>
      <c r="HM435" s="840"/>
      <c r="HN435" s="840"/>
      <c r="HO435" s="840"/>
      <c r="HP435" s="840"/>
      <c r="HQ435" s="840"/>
      <c r="HR435" s="840"/>
      <c r="HS435" s="840"/>
      <c r="HT435" s="840"/>
      <c r="HU435" s="840"/>
      <c r="HV435" s="840"/>
      <c r="HW435" s="840"/>
      <c r="HX435" s="840"/>
      <c r="HY435" s="840"/>
      <c r="HZ435" s="841"/>
      <c r="IA435" s="839"/>
      <c r="IB435" s="840"/>
      <c r="IC435" s="840"/>
      <c r="ID435" s="840"/>
      <c r="IE435" s="840"/>
      <c r="IF435" s="840"/>
      <c r="IG435" s="840"/>
      <c r="IH435" s="840"/>
      <c r="II435" s="840"/>
      <c r="IJ435" s="840"/>
      <c r="IK435" s="840"/>
      <c r="IL435" s="840"/>
      <c r="IM435" s="840"/>
      <c r="IN435" s="840"/>
      <c r="IO435" s="840"/>
      <c r="IP435" s="840"/>
      <c r="IQ435" s="840"/>
      <c r="IR435" s="840"/>
      <c r="IS435" s="840"/>
      <c r="IT435" s="840"/>
      <c r="IU435" s="840"/>
      <c r="IV435" s="840"/>
      <c r="IW435" s="840"/>
      <c r="IX435" s="840"/>
      <c r="IY435" s="840"/>
      <c r="IZ435" s="841"/>
    </row>
    <row r="436" spans="1:260" x14ac:dyDescent="0.25">
      <c r="AA436" s="518"/>
      <c r="AB436" s="518"/>
      <c r="AC436" s="518"/>
      <c r="AD436" s="518"/>
      <c r="AE436" s="518"/>
      <c r="AF436" s="518"/>
      <c r="AG436" s="518"/>
      <c r="AH436" s="518"/>
      <c r="AI436" s="518"/>
      <c r="AJ436" s="518"/>
      <c r="AK436" s="518"/>
      <c r="AL436" s="518"/>
      <c r="AM436" s="518"/>
      <c r="AN436" s="518"/>
      <c r="AO436" s="518"/>
      <c r="AP436" s="518"/>
      <c r="AQ436" s="518"/>
      <c r="AR436" s="518"/>
      <c r="AS436" s="518"/>
      <c r="AT436" s="518"/>
      <c r="AU436" s="518"/>
      <c r="AV436" s="518"/>
      <c r="AW436" s="518"/>
    </row>
    <row r="437" spans="1:260" ht="15.75" thickBot="1" x14ac:dyDescent="0.3">
      <c r="A437" s="529">
        <v>20</v>
      </c>
      <c r="B437" s="529"/>
      <c r="C437" s="529"/>
      <c r="D437" s="529"/>
      <c r="E437" s="529"/>
      <c r="F437" s="529"/>
      <c r="G437" s="529"/>
      <c r="H437" s="529"/>
      <c r="I437" s="529"/>
      <c r="J437" s="529">
        <v>18</v>
      </c>
      <c r="K437" s="529">
        <v>19</v>
      </c>
      <c r="L437" s="529">
        <v>20</v>
      </c>
      <c r="M437" s="529">
        <v>21</v>
      </c>
      <c r="N437" s="529">
        <v>22</v>
      </c>
      <c r="O437" s="529">
        <v>23</v>
      </c>
      <c r="P437" s="529">
        <v>24</v>
      </c>
      <c r="Q437" s="529">
        <v>25</v>
      </c>
      <c r="R437" s="529">
        <v>26</v>
      </c>
      <c r="S437" s="529">
        <v>27</v>
      </c>
      <c r="T437" s="529">
        <v>28</v>
      </c>
      <c r="U437" s="529">
        <v>29</v>
      </c>
      <c r="V437" s="529">
        <v>30</v>
      </c>
      <c r="W437" s="529"/>
      <c r="X437" s="529"/>
      <c r="Y437" s="529" t="str">
        <f>IFERROR(IF(COUNTIF(Pedidos!$J:$J,Q$2)&gt;A437-1,MATCH(Q$2,Pedidos!$J:$J,0),""),"")</f>
        <v/>
      </c>
      <c r="Z437" s="529">
        <f>IFERROR(IF(Y437="",0,COUNTIF(Pedidos!$J:$J,Procesos!Q$2)),"")</f>
        <v>0</v>
      </c>
      <c r="AA437" s="529">
        <v>20</v>
      </c>
      <c r="AB437" s="529"/>
      <c r="AC437" s="529"/>
      <c r="AD437" s="529"/>
      <c r="AE437" s="529"/>
      <c r="AF437" s="529"/>
      <c r="AG437" s="529"/>
      <c r="AH437" s="529"/>
      <c r="AI437" s="529"/>
      <c r="AJ437" s="529">
        <v>18</v>
      </c>
      <c r="AK437" s="529">
        <v>19</v>
      </c>
      <c r="AL437" s="529">
        <v>20</v>
      </c>
      <c r="AM437" s="529">
        <v>21</v>
      </c>
      <c r="AN437" s="529">
        <v>22</v>
      </c>
      <c r="AO437" s="529">
        <v>23</v>
      </c>
      <c r="AP437" s="529">
        <v>24</v>
      </c>
      <c r="AQ437" s="529">
        <v>25</v>
      </c>
      <c r="AR437" s="529">
        <v>26</v>
      </c>
      <c r="AS437" s="529">
        <v>27</v>
      </c>
      <c r="AT437" s="529">
        <v>28</v>
      </c>
      <c r="AU437" s="529">
        <v>29</v>
      </c>
      <c r="AV437" s="529">
        <v>30</v>
      </c>
      <c r="AW437" s="529"/>
      <c r="AX437" s="529"/>
      <c r="AY437" s="529" t="str">
        <f>IFERROR(IF(COUNTIF(Pedidos!$J:$J,AQ$2)&gt;AA437-1,MATCH(AQ$2,Pedidos!$J:$J,0),""),"")</f>
        <v/>
      </c>
      <c r="AZ437" s="529">
        <f>IFERROR(IF(AY437="",0,COUNTIF(Pedidos!$J:$J,Procesos!AQ$2)),"")</f>
        <v>0</v>
      </c>
      <c r="BA437" s="529">
        <v>20</v>
      </c>
      <c r="BB437" s="529"/>
      <c r="BC437" s="529"/>
      <c r="BD437" s="529"/>
      <c r="BE437" s="529"/>
      <c r="BF437" s="529"/>
      <c r="BG437" s="529"/>
      <c r="BH437" s="529"/>
      <c r="BI437" s="529"/>
      <c r="BJ437" s="529">
        <v>18</v>
      </c>
      <c r="BK437" s="529">
        <v>19</v>
      </c>
      <c r="BL437" s="529">
        <v>20</v>
      </c>
      <c r="BM437" s="529">
        <v>21</v>
      </c>
      <c r="BN437" s="529">
        <v>22</v>
      </c>
      <c r="BO437" s="529">
        <v>23</v>
      </c>
      <c r="BP437" s="529">
        <v>24</v>
      </c>
      <c r="BQ437" s="529">
        <v>25</v>
      </c>
      <c r="BR437" s="529">
        <v>26</v>
      </c>
      <c r="BS437" s="529">
        <v>27</v>
      </c>
      <c r="BT437" s="529">
        <v>28</v>
      </c>
      <c r="BU437" s="529">
        <v>29</v>
      </c>
      <c r="BV437" s="529">
        <v>30</v>
      </c>
      <c r="BW437" s="529"/>
      <c r="BX437" s="529"/>
      <c r="BY437" s="529" t="str">
        <f>IFERROR(IF(COUNTIF(Pedidos!$J:$J,BQ$2)&gt;BA437-1,MATCH(BQ$2,Pedidos!$J:$J,0),""),"")</f>
        <v/>
      </c>
      <c r="BZ437" s="529">
        <f>IFERROR(IF(BY437="",0,COUNTIF(Pedidos!$J:$J,Procesos!BQ$2)),"")</f>
        <v>0</v>
      </c>
      <c r="CA437" s="529">
        <v>20</v>
      </c>
      <c r="CB437" s="529"/>
      <c r="CC437" s="529"/>
      <c r="CD437" s="529"/>
      <c r="CE437" s="529"/>
      <c r="CF437" s="529"/>
      <c r="CG437" s="529"/>
      <c r="CH437" s="529"/>
      <c r="CI437" s="529"/>
      <c r="CJ437" s="529">
        <v>18</v>
      </c>
      <c r="CK437" s="529">
        <v>19</v>
      </c>
      <c r="CL437" s="529">
        <v>20</v>
      </c>
      <c r="CM437" s="529">
        <v>21</v>
      </c>
      <c r="CN437" s="529">
        <v>22</v>
      </c>
      <c r="CO437" s="529">
        <v>23</v>
      </c>
      <c r="CP437" s="529">
        <v>24</v>
      </c>
      <c r="CQ437" s="529">
        <v>25</v>
      </c>
      <c r="CR437" s="529">
        <v>26</v>
      </c>
      <c r="CS437" s="529">
        <v>27</v>
      </c>
      <c r="CT437" s="529">
        <v>28</v>
      </c>
      <c r="CU437" s="529">
        <v>29</v>
      </c>
      <c r="CV437" s="529">
        <v>30</v>
      </c>
      <c r="CW437" s="529"/>
      <c r="CX437" s="529"/>
      <c r="CY437" s="529" t="str">
        <f>IFERROR(IF(COUNTIF(Pedidos!$J:$J,CQ$2)&gt;CA437-1,MATCH(CQ$2,Pedidos!$J:$J,0),""),"")</f>
        <v/>
      </c>
      <c r="CZ437" s="529">
        <f>IFERROR(IF(CY437="",0,COUNTIF(Pedidos!$J:$J,Procesos!CQ$2)),"")</f>
        <v>0</v>
      </c>
      <c r="DA437" s="529">
        <v>20</v>
      </c>
      <c r="DB437" s="529"/>
      <c r="DC437" s="529"/>
      <c r="DD437" s="529"/>
      <c r="DE437" s="529"/>
      <c r="DF437" s="529"/>
      <c r="DG437" s="529"/>
      <c r="DH437" s="529"/>
      <c r="DI437" s="529"/>
      <c r="DJ437" s="529">
        <v>18</v>
      </c>
      <c r="DK437" s="529">
        <v>19</v>
      </c>
      <c r="DL437" s="529">
        <v>20</v>
      </c>
      <c r="DM437" s="529">
        <v>21</v>
      </c>
      <c r="DN437" s="529">
        <v>22</v>
      </c>
      <c r="DO437" s="529">
        <v>23</v>
      </c>
      <c r="DP437" s="529">
        <v>24</v>
      </c>
      <c r="DQ437" s="529">
        <v>25</v>
      </c>
      <c r="DR437" s="529">
        <v>26</v>
      </c>
      <c r="DS437" s="529">
        <v>27</v>
      </c>
      <c r="DT437" s="529">
        <v>28</v>
      </c>
      <c r="DU437" s="529">
        <v>29</v>
      </c>
      <c r="DV437" s="529">
        <v>30</v>
      </c>
      <c r="DW437" s="529"/>
      <c r="DX437" s="529"/>
      <c r="DY437" s="529" t="str">
        <f>IFERROR(IF(COUNTIF(Pedidos!$J:$J,DQ$2)&gt;DA437-1,MATCH(DQ$2,Pedidos!$J:$J,0),""),"")</f>
        <v/>
      </c>
      <c r="DZ437" s="529">
        <f>IFERROR(IF(DY437="",0,COUNTIF(Pedidos!$J:$J,Procesos!DQ$2)),"")</f>
        <v>0</v>
      </c>
      <c r="EA437" s="529">
        <v>20</v>
      </c>
      <c r="EB437" s="529"/>
      <c r="EC437" s="529"/>
      <c r="ED437" s="529"/>
      <c r="EE437" s="529"/>
      <c r="EF437" s="529"/>
      <c r="EG437" s="529"/>
      <c r="EH437" s="529"/>
      <c r="EI437" s="529"/>
      <c r="EJ437" s="529">
        <v>18</v>
      </c>
      <c r="EK437" s="529">
        <v>19</v>
      </c>
      <c r="EL437" s="529">
        <v>20</v>
      </c>
      <c r="EM437" s="529">
        <v>21</v>
      </c>
      <c r="EN437" s="529">
        <v>22</v>
      </c>
      <c r="EO437" s="529">
        <v>23</v>
      </c>
      <c r="EP437" s="529">
        <v>24</v>
      </c>
      <c r="EQ437" s="529">
        <v>25</v>
      </c>
      <c r="ER437" s="529">
        <v>26</v>
      </c>
      <c r="ES437" s="529">
        <v>27</v>
      </c>
      <c r="ET437" s="529">
        <v>28</v>
      </c>
      <c r="EU437" s="529">
        <v>29</v>
      </c>
      <c r="EV437" s="529">
        <v>30</v>
      </c>
      <c r="EW437" s="529"/>
      <c r="EX437" s="529"/>
      <c r="EY437" s="529" t="str">
        <f>IFERROR(IF(COUNTIF(Pedidos!$J:$J,EQ$2)&gt;EA437-1,MATCH(EQ$2,Pedidos!$J:$J,0),""),"")</f>
        <v/>
      </c>
      <c r="EZ437" s="529">
        <f>IFERROR(IF(EY437="",0,COUNTIF(Pedidos!$J:$J,Procesos!EQ$2)),"")</f>
        <v>0</v>
      </c>
      <c r="FA437" s="529">
        <v>20</v>
      </c>
      <c r="FB437" s="529"/>
      <c r="FC437" s="529"/>
      <c r="FD437" s="529"/>
      <c r="FE437" s="529"/>
      <c r="FF437" s="529"/>
      <c r="FG437" s="529"/>
      <c r="FH437" s="529"/>
      <c r="FI437" s="529"/>
      <c r="FJ437" s="529">
        <v>18</v>
      </c>
      <c r="FK437" s="529">
        <v>19</v>
      </c>
      <c r="FL437" s="529">
        <v>20</v>
      </c>
      <c r="FM437" s="529">
        <v>21</v>
      </c>
      <c r="FN437" s="529">
        <v>22</v>
      </c>
      <c r="FO437" s="529">
        <v>23</v>
      </c>
      <c r="FP437" s="529">
        <v>24</v>
      </c>
      <c r="FQ437" s="529">
        <v>25</v>
      </c>
      <c r="FR437" s="529">
        <v>26</v>
      </c>
      <c r="FS437" s="529">
        <v>27</v>
      </c>
      <c r="FT437" s="529">
        <v>28</v>
      </c>
      <c r="FU437" s="529">
        <v>29</v>
      </c>
      <c r="FV437" s="529">
        <v>30</v>
      </c>
      <c r="FW437" s="529"/>
      <c r="FX437" s="529"/>
      <c r="FY437" s="529" t="str">
        <f>IFERROR(IF(COUNTIF(Pedidos!$J:$J,FQ$2)&gt;FA437-1,MATCH(FQ$2,Pedidos!$J:$J,0),""),"")</f>
        <v/>
      </c>
      <c r="FZ437" s="529">
        <f>IFERROR(IF(FY437="",0,COUNTIF(Pedidos!$J:$J,Procesos!FQ$2)),"")</f>
        <v>0</v>
      </c>
      <c r="GA437" s="529">
        <v>20</v>
      </c>
      <c r="GB437" s="529"/>
      <c r="GC437" s="529"/>
      <c r="GD437" s="529"/>
      <c r="GE437" s="529"/>
      <c r="GF437" s="529"/>
      <c r="GG437" s="529"/>
      <c r="GH437" s="529"/>
      <c r="GI437" s="529"/>
      <c r="GJ437" s="529">
        <v>18</v>
      </c>
      <c r="GK437" s="529">
        <v>19</v>
      </c>
      <c r="GL437" s="529">
        <v>20</v>
      </c>
      <c r="GM437" s="529">
        <v>21</v>
      </c>
      <c r="GN437" s="529">
        <v>22</v>
      </c>
      <c r="GO437" s="529">
        <v>23</v>
      </c>
      <c r="GP437" s="529">
        <v>24</v>
      </c>
      <c r="GQ437" s="529">
        <v>25</v>
      </c>
      <c r="GR437" s="529">
        <v>26</v>
      </c>
      <c r="GS437" s="529">
        <v>27</v>
      </c>
      <c r="GT437" s="529">
        <v>28</v>
      </c>
      <c r="GU437" s="529">
        <v>29</v>
      </c>
      <c r="GV437" s="529">
        <v>30</v>
      </c>
      <c r="GW437" s="529"/>
      <c r="GX437" s="529"/>
      <c r="GY437" s="529" t="str">
        <f>IFERROR(IF(COUNTIF(Pedidos!$J:$J,GQ$2)&gt;GA437-1,MATCH(GQ$2,Pedidos!$J:$J,0),""),"")</f>
        <v/>
      </c>
      <c r="GZ437" s="529">
        <f>IFERROR(IF(GY437="",0,COUNTIF(Pedidos!$J:$J,Procesos!GQ$2)),"")</f>
        <v>0</v>
      </c>
      <c r="HA437" s="529">
        <v>20</v>
      </c>
      <c r="HB437" s="529"/>
      <c r="HC437" s="529"/>
      <c r="HD437" s="529"/>
      <c r="HE437" s="529"/>
      <c r="HF437" s="529"/>
      <c r="HG437" s="529"/>
      <c r="HH437" s="529"/>
      <c r="HI437" s="529"/>
      <c r="HJ437" s="529">
        <v>18</v>
      </c>
      <c r="HK437" s="529">
        <v>19</v>
      </c>
      <c r="HL437" s="529">
        <v>20</v>
      </c>
      <c r="HM437" s="529">
        <v>21</v>
      </c>
      <c r="HN437" s="529">
        <v>22</v>
      </c>
      <c r="HO437" s="529">
        <v>23</v>
      </c>
      <c r="HP437" s="529">
        <v>24</v>
      </c>
      <c r="HQ437" s="529">
        <v>25</v>
      </c>
      <c r="HR437" s="529">
        <v>26</v>
      </c>
      <c r="HS437" s="529">
        <v>27</v>
      </c>
      <c r="HT437" s="529">
        <v>28</v>
      </c>
      <c r="HU437" s="529">
        <v>29</v>
      </c>
      <c r="HV437" s="529">
        <v>30</v>
      </c>
      <c r="HW437" s="529"/>
      <c r="HX437" s="529"/>
      <c r="HY437" s="529" t="str">
        <f>IFERROR(IF(COUNTIF(Pedidos!$J:$J,HQ$2)&gt;HA437-1,MATCH(HQ$2,Pedidos!$J:$J,0),""),"")</f>
        <v/>
      </c>
      <c r="HZ437" s="529">
        <f>IFERROR(IF(HY437="",0,COUNTIF(Pedidos!$J:$J,Procesos!HQ$2)),"")</f>
        <v>0</v>
      </c>
      <c r="IA437" s="529">
        <v>20</v>
      </c>
      <c r="IB437" s="529"/>
      <c r="IC437" s="529"/>
      <c r="ID437" s="529"/>
      <c r="IE437" s="529"/>
      <c r="IF437" s="529"/>
      <c r="IG437" s="529"/>
      <c r="IH437" s="529"/>
      <c r="II437" s="529"/>
      <c r="IJ437" s="529">
        <v>18</v>
      </c>
      <c r="IK437" s="529">
        <v>19</v>
      </c>
      <c r="IL437" s="529">
        <v>20</v>
      </c>
      <c r="IM437" s="529">
        <v>21</v>
      </c>
      <c r="IN437" s="529">
        <v>22</v>
      </c>
      <c r="IO437" s="529">
        <v>23</v>
      </c>
      <c r="IP437" s="529">
        <v>24</v>
      </c>
      <c r="IQ437" s="529">
        <v>25</v>
      </c>
      <c r="IR437" s="529">
        <v>26</v>
      </c>
      <c r="IS437" s="529">
        <v>27</v>
      </c>
      <c r="IT437" s="529">
        <v>28</v>
      </c>
      <c r="IU437" s="529">
        <v>29</v>
      </c>
      <c r="IV437" s="529">
        <v>30</v>
      </c>
      <c r="IW437" s="529"/>
      <c r="IX437" s="529"/>
      <c r="IY437" s="529" t="str">
        <f>IFERROR(IF(COUNTIF(Pedidos!$J:$J,IQ$2)&gt;IA437-1,MATCH(IQ$2,Pedidos!$J:$J,0),""),"")</f>
        <v/>
      </c>
      <c r="IZ437" s="529">
        <f>IFERROR(IF(IY437="",0,COUNTIF(Pedidos!$J:$J,Procesos!IQ$2)),"")</f>
        <v>0</v>
      </c>
    </row>
    <row r="438" spans="1:260" x14ac:dyDescent="0.25">
      <c r="A438" s="815" t="str">
        <f>IF(Z437&gt;=A437,Q$2 &amp;"     ITEM # "&amp;A437,"")</f>
        <v/>
      </c>
      <c r="B438" s="816"/>
      <c r="C438" s="816"/>
      <c r="D438" s="816"/>
      <c r="E438" s="816"/>
      <c r="F438" s="816"/>
      <c r="G438" s="816"/>
      <c r="H438" s="816"/>
      <c r="I438" s="817"/>
      <c r="J438" s="818" t="str">
        <f>IF(Z437&gt;=A437,$J$6,"")</f>
        <v/>
      </c>
      <c r="K438" s="816"/>
      <c r="L438" s="816"/>
      <c r="M438" s="816"/>
      <c r="N438" s="816"/>
      <c r="O438" s="816"/>
      <c r="P438" s="816"/>
      <c r="Q438" s="816"/>
      <c r="R438" s="816"/>
      <c r="S438" s="816"/>
      <c r="T438" s="816"/>
      <c r="U438" s="816"/>
      <c r="V438" s="816"/>
      <c r="W438" s="816"/>
      <c r="X438" s="816"/>
      <c r="Y438" s="816"/>
      <c r="Z438" s="819"/>
      <c r="AA438" s="815" t="str">
        <f>IF(AZ437&gt;=AA437,AQ$2 &amp;"     ITEM # "&amp;AA437,"")</f>
        <v/>
      </c>
      <c r="AB438" s="816"/>
      <c r="AC438" s="816"/>
      <c r="AD438" s="816"/>
      <c r="AE438" s="816"/>
      <c r="AF438" s="816"/>
      <c r="AG438" s="816"/>
      <c r="AH438" s="816"/>
      <c r="AI438" s="817"/>
      <c r="AJ438" s="818" t="str">
        <f>IF(AZ437&gt;=AA437,$J$6,"")</f>
        <v/>
      </c>
      <c r="AK438" s="816"/>
      <c r="AL438" s="816"/>
      <c r="AM438" s="816"/>
      <c r="AN438" s="816"/>
      <c r="AO438" s="816"/>
      <c r="AP438" s="816"/>
      <c r="AQ438" s="816"/>
      <c r="AR438" s="816"/>
      <c r="AS438" s="816"/>
      <c r="AT438" s="816"/>
      <c r="AU438" s="816"/>
      <c r="AV438" s="816"/>
      <c r="AW438" s="816"/>
      <c r="AX438" s="816"/>
      <c r="AY438" s="816"/>
      <c r="AZ438" s="819"/>
      <c r="BA438" s="815" t="str">
        <f>IF(BZ437&gt;=BA437,BQ$2 &amp;"     ITEM # "&amp;BA437,"")</f>
        <v/>
      </c>
      <c r="BB438" s="816"/>
      <c r="BC438" s="816"/>
      <c r="BD438" s="816"/>
      <c r="BE438" s="816"/>
      <c r="BF438" s="816"/>
      <c r="BG438" s="816"/>
      <c r="BH438" s="816"/>
      <c r="BI438" s="817"/>
      <c r="BJ438" s="818" t="str">
        <f>IF(BZ437&gt;=BA437,$J$6,"")</f>
        <v/>
      </c>
      <c r="BK438" s="816"/>
      <c r="BL438" s="816"/>
      <c r="BM438" s="816"/>
      <c r="BN438" s="816"/>
      <c r="BO438" s="816"/>
      <c r="BP438" s="816"/>
      <c r="BQ438" s="816"/>
      <c r="BR438" s="816"/>
      <c r="BS438" s="816"/>
      <c r="BT438" s="816"/>
      <c r="BU438" s="816"/>
      <c r="BV438" s="816"/>
      <c r="BW438" s="816"/>
      <c r="BX438" s="816"/>
      <c r="BY438" s="816"/>
      <c r="BZ438" s="819"/>
      <c r="CA438" s="815" t="str">
        <f>IF(CZ437&gt;=CA437,CQ$2 &amp;"     ITEM # "&amp;CA437,"")</f>
        <v/>
      </c>
      <c r="CB438" s="816"/>
      <c r="CC438" s="816"/>
      <c r="CD438" s="816"/>
      <c r="CE438" s="816"/>
      <c r="CF438" s="816"/>
      <c r="CG438" s="816"/>
      <c r="CH438" s="816"/>
      <c r="CI438" s="817"/>
      <c r="CJ438" s="818" t="str">
        <f>IF(CZ437&gt;=CA437,$J$6,"")</f>
        <v/>
      </c>
      <c r="CK438" s="816"/>
      <c r="CL438" s="816"/>
      <c r="CM438" s="816"/>
      <c r="CN438" s="816"/>
      <c r="CO438" s="816"/>
      <c r="CP438" s="816"/>
      <c r="CQ438" s="816"/>
      <c r="CR438" s="816"/>
      <c r="CS438" s="816"/>
      <c r="CT438" s="816"/>
      <c r="CU438" s="816"/>
      <c r="CV438" s="816"/>
      <c r="CW438" s="816"/>
      <c r="CX438" s="816"/>
      <c r="CY438" s="816"/>
      <c r="CZ438" s="819"/>
      <c r="DA438" s="815" t="str">
        <f>IF(DZ437&gt;=DA437,DQ$2 &amp;"     ITEM # "&amp;DA437,"")</f>
        <v/>
      </c>
      <c r="DB438" s="816"/>
      <c r="DC438" s="816"/>
      <c r="DD438" s="816"/>
      <c r="DE438" s="816"/>
      <c r="DF438" s="816"/>
      <c r="DG438" s="816"/>
      <c r="DH438" s="816"/>
      <c r="DI438" s="817"/>
      <c r="DJ438" s="818" t="str">
        <f>IF(DZ437&gt;=DA437,$J$6,"")</f>
        <v/>
      </c>
      <c r="DK438" s="816"/>
      <c r="DL438" s="816"/>
      <c r="DM438" s="816"/>
      <c r="DN438" s="816"/>
      <c r="DO438" s="816"/>
      <c r="DP438" s="816"/>
      <c r="DQ438" s="816"/>
      <c r="DR438" s="816"/>
      <c r="DS438" s="816"/>
      <c r="DT438" s="816"/>
      <c r="DU438" s="816"/>
      <c r="DV438" s="816"/>
      <c r="DW438" s="816"/>
      <c r="DX438" s="816"/>
      <c r="DY438" s="816"/>
      <c r="DZ438" s="819"/>
      <c r="EA438" s="815" t="str">
        <f>IF(EZ437&gt;=EA437,EQ$2 &amp;"     ITEM # "&amp;EA437,"")</f>
        <v/>
      </c>
      <c r="EB438" s="816"/>
      <c r="EC438" s="816"/>
      <c r="ED438" s="816"/>
      <c r="EE438" s="816"/>
      <c r="EF438" s="816"/>
      <c r="EG438" s="816"/>
      <c r="EH438" s="816"/>
      <c r="EI438" s="817"/>
      <c r="EJ438" s="818" t="str">
        <f>IF(EZ437&gt;=EA437,$J$6,"")</f>
        <v/>
      </c>
      <c r="EK438" s="816"/>
      <c r="EL438" s="816"/>
      <c r="EM438" s="816"/>
      <c r="EN438" s="816"/>
      <c r="EO438" s="816"/>
      <c r="EP438" s="816"/>
      <c r="EQ438" s="816"/>
      <c r="ER438" s="816"/>
      <c r="ES438" s="816"/>
      <c r="ET438" s="816"/>
      <c r="EU438" s="816"/>
      <c r="EV438" s="816"/>
      <c r="EW438" s="816"/>
      <c r="EX438" s="816"/>
      <c r="EY438" s="816"/>
      <c r="EZ438" s="819"/>
      <c r="FA438" s="815" t="str">
        <f>IF(FZ437&gt;=FA437,FQ$2 &amp;"     ITEM # "&amp;FA437,"")</f>
        <v/>
      </c>
      <c r="FB438" s="816"/>
      <c r="FC438" s="816"/>
      <c r="FD438" s="816"/>
      <c r="FE438" s="816"/>
      <c r="FF438" s="816"/>
      <c r="FG438" s="816"/>
      <c r="FH438" s="816"/>
      <c r="FI438" s="817"/>
      <c r="FJ438" s="818" t="str">
        <f>IF(FZ437&gt;=FA437,$J$6,"")</f>
        <v/>
      </c>
      <c r="FK438" s="816"/>
      <c r="FL438" s="816"/>
      <c r="FM438" s="816"/>
      <c r="FN438" s="816"/>
      <c r="FO438" s="816"/>
      <c r="FP438" s="816"/>
      <c r="FQ438" s="816"/>
      <c r="FR438" s="816"/>
      <c r="FS438" s="816"/>
      <c r="FT438" s="816"/>
      <c r="FU438" s="816"/>
      <c r="FV438" s="816"/>
      <c r="FW438" s="816"/>
      <c r="FX438" s="816"/>
      <c r="FY438" s="816"/>
      <c r="FZ438" s="819"/>
      <c r="GA438" s="815" t="str">
        <f>IF(GZ437&gt;=GA437,GQ$2 &amp;"     ITEM # "&amp;GA437,"")</f>
        <v/>
      </c>
      <c r="GB438" s="816"/>
      <c r="GC438" s="816"/>
      <c r="GD438" s="816"/>
      <c r="GE438" s="816"/>
      <c r="GF438" s="816"/>
      <c r="GG438" s="816"/>
      <c r="GH438" s="816"/>
      <c r="GI438" s="817"/>
      <c r="GJ438" s="818" t="str">
        <f>IF(GZ437&gt;=GA437,$J$6,"")</f>
        <v/>
      </c>
      <c r="GK438" s="816"/>
      <c r="GL438" s="816"/>
      <c r="GM438" s="816"/>
      <c r="GN438" s="816"/>
      <c r="GO438" s="816"/>
      <c r="GP438" s="816"/>
      <c r="GQ438" s="816"/>
      <c r="GR438" s="816"/>
      <c r="GS438" s="816"/>
      <c r="GT438" s="816"/>
      <c r="GU438" s="816"/>
      <c r="GV438" s="816"/>
      <c r="GW438" s="816"/>
      <c r="GX438" s="816"/>
      <c r="GY438" s="816"/>
      <c r="GZ438" s="819"/>
      <c r="HA438" s="815" t="str">
        <f>IF(HZ437&gt;=HA437,HQ$2 &amp;"     ITEM # "&amp;HA437,"")</f>
        <v/>
      </c>
      <c r="HB438" s="816"/>
      <c r="HC438" s="816"/>
      <c r="HD438" s="816"/>
      <c r="HE438" s="816"/>
      <c r="HF438" s="816"/>
      <c r="HG438" s="816"/>
      <c r="HH438" s="816"/>
      <c r="HI438" s="817"/>
      <c r="HJ438" s="818" t="str">
        <f>IF(HZ437&gt;=HA437,$J$6,"")</f>
        <v/>
      </c>
      <c r="HK438" s="816"/>
      <c r="HL438" s="816"/>
      <c r="HM438" s="816"/>
      <c r="HN438" s="816"/>
      <c r="HO438" s="816"/>
      <c r="HP438" s="816"/>
      <c r="HQ438" s="816"/>
      <c r="HR438" s="816"/>
      <c r="HS438" s="816"/>
      <c r="HT438" s="816"/>
      <c r="HU438" s="816"/>
      <c r="HV438" s="816"/>
      <c r="HW438" s="816"/>
      <c r="HX438" s="816"/>
      <c r="HY438" s="816"/>
      <c r="HZ438" s="819"/>
      <c r="IA438" s="815" t="str">
        <f>IF(IZ437&gt;=IA437,IQ$2 &amp;"     ITEM # "&amp;IA437,"")</f>
        <v/>
      </c>
      <c r="IB438" s="816"/>
      <c r="IC438" s="816"/>
      <c r="ID438" s="816"/>
      <c r="IE438" s="816"/>
      <c r="IF438" s="816"/>
      <c r="IG438" s="816"/>
      <c r="IH438" s="816"/>
      <c r="II438" s="817"/>
      <c r="IJ438" s="818" t="str">
        <f>IF(IZ437&gt;=IA437,$J$6,"")</f>
        <v/>
      </c>
      <c r="IK438" s="816"/>
      <c r="IL438" s="816"/>
      <c r="IM438" s="816"/>
      <c r="IN438" s="816"/>
      <c r="IO438" s="816"/>
      <c r="IP438" s="816"/>
      <c r="IQ438" s="816"/>
      <c r="IR438" s="816"/>
      <c r="IS438" s="816"/>
      <c r="IT438" s="816"/>
      <c r="IU438" s="816"/>
      <c r="IV438" s="816"/>
      <c r="IW438" s="816"/>
      <c r="IX438" s="816"/>
      <c r="IY438" s="816"/>
      <c r="IZ438" s="819"/>
    </row>
    <row r="439" spans="1:260" x14ac:dyDescent="0.25">
      <c r="A439" s="848" t="str">
        <f>IFERROR(INDEX(Lista_Pedidos,Procesos!Y437+A437-1,5),"")</f>
        <v/>
      </c>
      <c r="B439" s="843"/>
      <c r="C439" s="843"/>
      <c r="D439" s="843"/>
      <c r="E439" s="843"/>
      <c r="F439" s="843"/>
      <c r="G439" s="843"/>
      <c r="H439" s="843"/>
      <c r="I439" s="844"/>
      <c r="J439" s="828" t="str">
        <f>IF(Z437&gt;=A437,$J$7,"")</f>
        <v/>
      </c>
      <c r="K439" s="829"/>
      <c r="L439" s="830"/>
      <c r="M439" s="828" t="str">
        <f>IF(Z437&gt;=A437,$M$7,"")</f>
        <v/>
      </c>
      <c r="N439" s="829"/>
      <c r="O439" s="830"/>
      <c r="P439" s="828" t="str">
        <f>IF(Z437&gt;=A437,$P$7,"")</f>
        <v/>
      </c>
      <c r="Q439" s="829"/>
      <c r="R439" s="829"/>
      <c r="S439" s="829"/>
      <c r="T439" s="829"/>
      <c r="U439" s="830"/>
      <c r="V439" s="834" t="str">
        <f>IF(Z437&gt;=A437,$V$7,"")</f>
        <v/>
      </c>
      <c r="W439" s="842" t="str">
        <f>IF(Z437&gt;=A437,$W$7,"")</f>
        <v/>
      </c>
      <c r="X439" s="843"/>
      <c r="Y439" s="843"/>
      <c r="Z439" s="850"/>
      <c r="AA439" s="848" t="str">
        <f>IFERROR(INDEX(Lista_Pedidos,Procesos!AY437+AA437-1,5),"")</f>
        <v/>
      </c>
      <c r="AB439" s="843"/>
      <c r="AC439" s="843"/>
      <c r="AD439" s="843"/>
      <c r="AE439" s="843"/>
      <c r="AF439" s="843"/>
      <c r="AG439" s="843"/>
      <c r="AH439" s="843"/>
      <c r="AI439" s="844"/>
      <c r="AJ439" s="828" t="str">
        <f>IF(AZ437&gt;=AA437,$J$7,"")</f>
        <v/>
      </c>
      <c r="AK439" s="829"/>
      <c r="AL439" s="830"/>
      <c r="AM439" s="828" t="str">
        <f>IF(AZ437&gt;=AA437,$M$7,"")</f>
        <v/>
      </c>
      <c r="AN439" s="829"/>
      <c r="AO439" s="830"/>
      <c r="AP439" s="828" t="str">
        <f>IF(AZ437&gt;=AA437,$P$7,"")</f>
        <v/>
      </c>
      <c r="AQ439" s="829"/>
      <c r="AR439" s="829"/>
      <c r="AS439" s="829"/>
      <c r="AT439" s="829"/>
      <c r="AU439" s="830"/>
      <c r="AV439" s="834" t="str">
        <f>IF(AZ437&gt;=AA437,$V$7,"")</f>
        <v/>
      </c>
      <c r="AW439" s="842" t="str">
        <f>IF(AZ437&gt;=AA437,$W$7,"")</f>
        <v/>
      </c>
      <c r="AX439" s="843"/>
      <c r="AY439" s="843"/>
      <c r="AZ439" s="850"/>
      <c r="BA439" s="848" t="str">
        <f>IFERROR(INDEX(Lista_Pedidos,Procesos!BY437+BA437-1,5),"")</f>
        <v/>
      </c>
      <c r="BB439" s="843"/>
      <c r="BC439" s="843"/>
      <c r="BD439" s="843"/>
      <c r="BE439" s="843"/>
      <c r="BF439" s="843"/>
      <c r="BG439" s="843"/>
      <c r="BH439" s="843"/>
      <c r="BI439" s="844"/>
      <c r="BJ439" s="828" t="str">
        <f>IF(BZ437&gt;=BA437,$J$7,"")</f>
        <v/>
      </c>
      <c r="BK439" s="829"/>
      <c r="BL439" s="830"/>
      <c r="BM439" s="828" t="str">
        <f>IF(BZ437&gt;=BA437,$M$7,"")</f>
        <v/>
      </c>
      <c r="BN439" s="829"/>
      <c r="BO439" s="830"/>
      <c r="BP439" s="828" t="str">
        <f>IF(BZ437&gt;=BA437,$P$7,"")</f>
        <v/>
      </c>
      <c r="BQ439" s="829"/>
      <c r="BR439" s="829"/>
      <c r="BS439" s="829"/>
      <c r="BT439" s="829"/>
      <c r="BU439" s="830"/>
      <c r="BV439" s="834" t="str">
        <f>IF(BZ437&gt;=BA437,$V$7,"")</f>
        <v/>
      </c>
      <c r="BW439" s="842" t="str">
        <f>IF(BZ437&gt;=BA437,$W$7,"")</f>
        <v/>
      </c>
      <c r="BX439" s="843"/>
      <c r="BY439" s="843"/>
      <c r="BZ439" s="850"/>
      <c r="CA439" s="848" t="str">
        <f>IFERROR(INDEX(Lista_Pedidos,Procesos!CY437+CA437-1,5),"")</f>
        <v/>
      </c>
      <c r="CB439" s="843"/>
      <c r="CC439" s="843"/>
      <c r="CD439" s="843"/>
      <c r="CE439" s="843"/>
      <c r="CF439" s="843"/>
      <c r="CG439" s="843"/>
      <c r="CH439" s="843"/>
      <c r="CI439" s="844"/>
      <c r="CJ439" s="828" t="str">
        <f>IF(CZ437&gt;=CA437,$J$7,"")</f>
        <v/>
      </c>
      <c r="CK439" s="829"/>
      <c r="CL439" s="830"/>
      <c r="CM439" s="828" t="str">
        <f>IF(CZ437&gt;=CA437,$M$7,"")</f>
        <v/>
      </c>
      <c r="CN439" s="829"/>
      <c r="CO439" s="830"/>
      <c r="CP439" s="828" t="str">
        <f>IF(CZ437&gt;=CA437,$P$7,"")</f>
        <v/>
      </c>
      <c r="CQ439" s="829"/>
      <c r="CR439" s="829"/>
      <c r="CS439" s="829"/>
      <c r="CT439" s="829"/>
      <c r="CU439" s="830"/>
      <c r="CV439" s="834" t="str">
        <f>IF(CZ437&gt;=CA437,$V$7,"")</f>
        <v/>
      </c>
      <c r="CW439" s="842" t="str">
        <f>IF(CZ437&gt;=CA437,$W$7,"")</f>
        <v/>
      </c>
      <c r="CX439" s="843"/>
      <c r="CY439" s="843"/>
      <c r="CZ439" s="850"/>
      <c r="DA439" s="848" t="str">
        <f>IFERROR(INDEX(Lista_Pedidos,Procesos!DY437+DA437-1,5),"")</f>
        <v/>
      </c>
      <c r="DB439" s="843"/>
      <c r="DC439" s="843"/>
      <c r="DD439" s="843"/>
      <c r="DE439" s="843"/>
      <c r="DF439" s="843"/>
      <c r="DG439" s="843"/>
      <c r="DH439" s="843"/>
      <c r="DI439" s="844"/>
      <c r="DJ439" s="828" t="str">
        <f>IF(DZ437&gt;=DA437,$J$7,"")</f>
        <v/>
      </c>
      <c r="DK439" s="829"/>
      <c r="DL439" s="830"/>
      <c r="DM439" s="828" t="str">
        <f>IF(DZ437&gt;=DA437,$M$7,"")</f>
        <v/>
      </c>
      <c r="DN439" s="829"/>
      <c r="DO439" s="830"/>
      <c r="DP439" s="828" t="str">
        <f>IF(DZ437&gt;=DA437,$P$7,"")</f>
        <v/>
      </c>
      <c r="DQ439" s="829"/>
      <c r="DR439" s="829"/>
      <c r="DS439" s="829"/>
      <c r="DT439" s="829"/>
      <c r="DU439" s="830"/>
      <c r="DV439" s="834" t="str">
        <f>IF(DZ437&gt;=DA437,$V$7,"")</f>
        <v/>
      </c>
      <c r="DW439" s="842" t="str">
        <f>IF(DZ437&gt;=DA437,$W$7,"")</f>
        <v/>
      </c>
      <c r="DX439" s="843"/>
      <c r="DY439" s="843"/>
      <c r="DZ439" s="850"/>
      <c r="EA439" s="848" t="str">
        <f>IFERROR(INDEX(Lista_Pedidos,Procesos!EY437+EA437-1,5),"")</f>
        <v/>
      </c>
      <c r="EB439" s="843"/>
      <c r="EC439" s="843"/>
      <c r="ED439" s="843"/>
      <c r="EE439" s="843"/>
      <c r="EF439" s="843"/>
      <c r="EG439" s="843"/>
      <c r="EH439" s="843"/>
      <c r="EI439" s="844"/>
      <c r="EJ439" s="828" t="str">
        <f>IF(EZ437&gt;=EA437,$J$7,"")</f>
        <v/>
      </c>
      <c r="EK439" s="829"/>
      <c r="EL439" s="830"/>
      <c r="EM439" s="828" t="str">
        <f>IF(EZ437&gt;=EA437,$M$7,"")</f>
        <v/>
      </c>
      <c r="EN439" s="829"/>
      <c r="EO439" s="830"/>
      <c r="EP439" s="828" t="str">
        <f>IF(EZ437&gt;=EA437,$P$7,"")</f>
        <v/>
      </c>
      <c r="EQ439" s="829"/>
      <c r="ER439" s="829"/>
      <c r="ES439" s="829"/>
      <c r="ET439" s="829"/>
      <c r="EU439" s="830"/>
      <c r="EV439" s="834" t="str">
        <f>IF(EZ437&gt;=EA437,$V$7,"")</f>
        <v/>
      </c>
      <c r="EW439" s="842" t="str">
        <f>IF(EZ437&gt;=EA437,$W$7,"")</f>
        <v/>
      </c>
      <c r="EX439" s="843"/>
      <c r="EY439" s="843"/>
      <c r="EZ439" s="850"/>
      <c r="FA439" s="848" t="str">
        <f>IFERROR(INDEX(Lista_Pedidos,Procesos!FY437+FA437-1,5),"")</f>
        <v/>
      </c>
      <c r="FB439" s="843"/>
      <c r="FC439" s="843"/>
      <c r="FD439" s="843"/>
      <c r="FE439" s="843"/>
      <c r="FF439" s="843"/>
      <c r="FG439" s="843"/>
      <c r="FH439" s="843"/>
      <c r="FI439" s="844"/>
      <c r="FJ439" s="828" t="str">
        <f>IF(FZ437&gt;=FA437,$J$7,"")</f>
        <v/>
      </c>
      <c r="FK439" s="829"/>
      <c r="FL439" s="830"/>
      <c r="FM439" s="828" t="str">
        <f>IF(FZ437&gt;=FA437,$M$7,"")</f>
        <v/>
      </c>
      <c r="FN439" s="829"/>
      <c r="FO439" s="830"/>
      <c r="FP439" s="828" t="str">
        <f>IF(FZ437&gt;=FA437,$P$7,"")</f>
        <v/>
      </c>
      <c r="FQ439" s="829"/>
      <c r="FR439" s="829"/>
      <c r="FS439" s="829"/>
      <c r="FT439" s="829"/>
      <c r="FU439" s="830"/>
      <c r="FV439" s="834" t="str">
        <f>IF(FZ437&gt;=FA437,$V$7,"")</f>
        <v/>
      </c>
      <c r="FW439" s="842" t="str">
        <f>IF(FZ437&gt;=FA437,$W$7,"")</f>
        <v/>
      </c>
      <c r="FX439" s="843"/>
      <c r="FY439" s="843"/>
      <c r="FZ439" s="850"/>
      <c r="GA439" s="848" t="str">
        <f>IFERROR(INDEX(Lista_Pedidos,Procesos!GY437+GA437-1,5),"")</f>
        <v/>
      </c>
      <c r="GB439" s="843"/>
      <c r="GC439" s="843"/>
      <c r="GD439" s="843"/>
      <c r="GE439" s="843"/>
      <c r="GF439" s="843"/>
      <c r="GG439" s="843"/>
      <c r="GH439" s="843"/>
      <c r="GI439" s="844"/>
      <c r="GJ439" s="828" t="str">
        <f>IF(GZ437&gt;=GA437,$J$7,"")</f>
        <v/>
      </c>
      <c r="GK439" s="829"/>
      <c r="GL439" s="830"/>
      <c r="GM439" s="828" t="str">
        <f>IF(GZ437&gt;=GA437,$M$7,"")</f>
        <v/>
      </c>
      <c r="GN439" s="829"/>
      <c r="GO439" s="830"/>
      <c r="GP439" s="828" t="str">
        <f>IF(GZ437&gt;=GA437,$P$7,"")</f>
        <v/>
      </c>
      <c r="GQ439" s="829"/>
      <c r="GR439" s="829"/>
      <c r="GS439" s="829"/>
      <c r="GT439" s="829"/>
      <c r="GU439" s="830"/>
      <c r="GV439" s="834" t="str">
        <f>IF(GZ437&gt;=GA437,$V$7,"")</f>
        <v/>
      </c>
      <c r="GW439" s="842" t="str">
        <f>IF(GZ437&gt;=GA437,$W$7,"")</f>
        <v/>
      </c>
      <c r="GX439" s="843"/>
      <c r="GY439" s="843"/>
      <c r="GZ439" s="850"/>
      <c r="HA439" s="848" t="str">
        <f>IFERROR(INDEX(Lista_Pedidos,Procesos!HY437+HA437-1,5),"")</f>
        <v/>
      </c>
      <c r="HB439" s="843"/>
      <c r="HC439" s="843"/>
      <c r="HD439" s="843"/>
      <c r="HE439" s="843"/>
      <c r="HF439" s="843"/>
      <c r="HG439" s="843"/>
      <c r="HH439" s="843"/>
      <c r="HI439" s="844"/>
      <c r="HJ439" s="828" t="str">
        <f>IF(HZ437&gt;=HA437,$J$7,"")</f>
        <v/>
      </c>
      <c r="HK439" s="829"/>
      <c r="HL439" s="830"/>
      <c r="HM439" s="828" t="str">
        <f>IF(HZ437&gt;=HA437,$M$7,"")</f>
        <v/>
      </c>
      <c r="HN439" s="829"/>
      <c r="HO439" s="830"/>
      <c r="HP439" s="828" t="str">
        <f>IF(HZ437&gt;=HA437,$P$7,"")</f>
        <v/>
      </c>
      <c r="HQ439" s="829"/>
      <c r="HR439" s="829"/>
      <c r="HS439" s="829"/>
      <c r="HT439" s="829"/>
      <c r="HU439" s="830"/>
      <c r="HV439" s="834" t="str">
        <f>IF(HZ437&gt;=HA437,$V$7,"")</f>
        <v/>
      </c>
      <c r="HW439" s="842" t="str">
        <f>IF(HZ437&gt;=HA437,$W$7,"")</f>
        <v/>
      </c>
      <c r="HX439" s="843"/>
      <c r="HY439" s="843"/>
      <c r="HZ439" s="850"/>
      <c r="IA439" s="848" t="str">
        <f>IFERROR(INDEX(Lista_Pedidos,Procesos!IY437+IA437-1,5),"")</f>
        <v/>
      </c>
      <c r="IB439" s="843"/>
      <c r="IC439" s="843"/>
      <c r="ID439" s="843"/>
      <c r="IE439" s="843"/>
      <c r="IF439" s="843"/>
      <c r="IG439" s="843"/>
      <c r="IH439" s="843"/>
      <c r="II439" s="844"/>
      <c r="IJ439" s="828" t="str">
        <f>IF(IZ437&gt;=IA437,$J$7,"")</f>
        <v/>
      </c>
      <c r="IK439" s="829"/>
      <c r="IL439" s="830"/>
      <c r="IM439" s="828" t="str">
        <f>IF(IZ437&gt;=IA437,$M$7,"")</f>
        <v/>
      </c>
      <c r="IN439" s="829"/>
      <c r="IO439" s="830"/>
      <c r="IP439" s="828" t="str">
        <f>IF(IZ437&gt;=IA437,$P$7,"")</f>
        <v/>
      </c>
      <c r="IQ439" s="829"/>
      <c r="IR439" s="829"/>
      <c r="IS439" s="829"/>
      <c r="IT439" s="829"/>
      <c r="IU439" s="830"/>
      <c r="IV439" s="834" t="str">
        <f>IF(IZ437&gt;=IA437,$V$7,"")</f>
        <v/>
      </c>
      <c r="IW439" s="842" t="str">
        <f>IF(IZ437&gt;=IA437,$W$7,"")</f>
        <v/>
      </c>
      <c r="IX439" s="843"/>
      <c r="IY439" s="843"/>
      <c r="IZ439" s="850"/>
    </row>
    <row r="440" spans="1:260" x14ac:dyDescent="0.25">
      <c r="A440" s="849"/>
      <c r="B440" s="846"/>
      <c r="C440" s="846"/>
      <c r="D440" s="846"/>
      <c r="E440" s="846"/>
      <c r="F440" s="846"/>
      <c r="G440" s="846"/>
      <c r="H440" s="846"/>
      <c r="I440" s="847"/>
      <c r="J440" s="831"/>
      <c r="K440" s="832"/>
      <c r="L440" s="833"/>
      <c r="M440" s="831"/>
      <c r="N440" s="832"/>
      <c r="O440" s="833"/>
      <c r="P440" s="831"/>
      <c r="Q440" s="832"/>
      <c r="R440" s="832"/>
      <c r="S440" s="832"/>
      <c r="T440" s="832"/>
      <c r="U440" s="833"/>
      <c r="V440" s="835"/>
      <c r="W440" s="845"/>
      <c r="X440" s="846"/>
      <c r="Y440" s="846"/>
      <c r="Z440" s="851"/>
      <c r="AA440" s="849"/>
      <c r="AB440" s="846"/>
      <c r="AC440" s="846"/>
      <c r="AD440" s="846"/>
      <c r="AE440" s="846"/>
      <c r="AF440" s="846"/>
      <c r="AG440" s="846"/>
      <c r="AH440" s="846"/>
      <c r="AI440" s="847"/>
      <c r="AJ440" s="831"/>
      <c r="AK440" s="832"/>
      <c r="AL440" s="833"/>
      <c r="AM440" s="831"/>
      <c r="AN440" s="832"/>
      <c r="AO440" s="833"/>
      <c r="AP440" s="831"/>
      <c r="AQ440" s="832"/>
      <c r="AR440" s="832"/>
      <c r="AS440" s="832"/>
      <c r="AT440" s="832"/>
      <c r="AU440" s="833"/>
      <c r="AV440" s="835"/>
      <c r="AW440" s="845"/>
      <c r="AX440" s="846"/>
      <c r="AY440" s="846"/>
      <c r="AZ440" s="851"/>
      <c r="BA440" s="849"/>
      <c r="BB440" s="846"/>
      <c r="BC440" s="846"/>
      <c r="BD440" s="846"/>
      <c r="BE440" s="846"/>
      <c r="BF440" s="846"/>
      <c r="BG440" s="846"/>
      <c r="BH440" s="846"/>
      <c r="BI440" s="847"/>
      <c r="BJ440" s="831"/>
      <c r="BK440" s="832"/>
      <c r="BL440" s="833"/>
      <c r="BM440" s="831"/>
      <c r="BN440" s="832"/>
      <c r="BO440" s="833"/>
      <c r="BP440" s="831"/>
      <c r="BQ440" s="832"/>
      <c r="BR440" s="832"/>
      <c r="BS440" s="832"/>
      <c r="BT440" s="832"/>
      <c r="BU440" s="833"/>
      <c r="BV440" s="835"/>
      <c r="BW440" s="845"/>
      <c r="BX440" s="846"/>
      <c r="BY440" s="846"/>
      <c r="BZ440" s="851"/>
      <c r="CA440" s="849"/>
      <c r="CB440" s="846"/>
      <c r="CC440" s="846"/>
      <c r="CD440" s="846"/>
      <c r="CE440" s="846"/>
      <c r="CF440" s="846"/>
      <c r="CG440" s="846"/>
      <c r="CH440" s="846"/>
      <c r="CI440" s="847"/>
      <c r="CJ440" s="831"/>
      <c r="CK440" s="832"/>
      <c r="CL440" s="833"/>
      <c r="CM440" s="831"/>
      <c r="CN440" s="832"/>
      <c r="CO440" s="833"/>
      <c r="CP440" s="831"/>
      <c r="CQ440" s="832"/>
      <c r="CR440" s="832"/>
      <c r="CS440" s="832"/>
      <c r="CT440" s="832"/>
      <c r="CU440" s="833"/>
      <c r="CV440" s="835"/>
      <c r="CW440" s="845"/>
      <c r="CX440" s="846"/>
      <c r="CY440" s="846"/>
      <c r="CZ440" s="851"/>
      <c r="DA440" s="849"/>
      <c r="DB440" s="846"/>
      <c r="DC440" s="846"/>
      <c r="DD440" s="846"/>
      <c r="DE440" s="846"/>
      <c r="DF440" s="846"/>
      <c r="DG440" s="846"/>
      <c r="DH440" s="846"/>
      <c r="DI440" s="847"/>
      <c r="DJ440" s="831"/>
      <c r="DK440" s="832"/>
      <c r="DL440" s="833"/>
      <c r="DM440" s="831"/>
      <c r="DN440" s="832"/>
      <c r="DO440" s="833"/>
      <c r="DP440" s="831"/>
      <c r="DQ440" s="832"/>
      <c r="DR440" s="832"/>
      <c r="DS440" s="832"/>
      <c r="DT440" s="832"/>
      <c r="DU440" s="833"/>
      <c r="DV440" s="835"/>
      <c r="DW440" s="845"/>
      <c r="DX440" s="846"/>
      <c r="DY440" s="846"/>
      <c r="DZ440" s="851"/>
      <c r="EA440" s="849"/>
      <c r="EB440" s="846"/>
      <c r="EC440" s="846"/>
      <c r="ED440" s="846"/>
      <c r="EE440" s="846"/>
      <c r="EF440" s="846"/>
      <c r="EG440" s="846"/>
      <c r="EH440" s="846"/>
      <c r="EI440" s="847"/>
      <c r="EJ440" s="831"/>
      <c r="EK440" s="832"/>
      <c r="EL440" s="833"/>
      <c r="EM440" s="831"/>
      <c r="EN440" s="832"/>
      <c r="EO440" s="833"/>
      <c r="EP440" s="831"/>
      <c r="EQ440" s="832"/>
      <c r="ER440" s="832"/>
      <c r="ES440" s="832"/>
      <c r="ET440" s="832"/>
      <c r="EU440" s="833"/>
      <c r="EV440" s="835"/>
      <c r="EW440" s="845"/>
      <c r="EX440" s="846"/>
      <c r="EY440" s="846"/>
      <c r="EZ440" s="851"/>
      <c r="FA440" s="849"/>
      <c r="FB440" s="846"/>
      <c r="FC440" s="846"/>
      <c r="FD440" s="846"/>
      <c r="FE440" s="846"/>
      <c r="FF440" s="846"/>
      <c r="FG440" s="846"/>
      <c r="FH440" s="846"/>
      <c r="FI440" s="847"/>
      <c r="FJ440" s="831"/>
      <c r="FK440" s="832"/>
      <c r="FL440" s="833"/>
      <c r="FM440" s="831"/>
      <c r="FN440" s="832"/>
      <c r="FO440" s="833"/>
      <c r="FP440" s="831"/>
      <c r="FQ440" s="832"/>
      <c r="FR440" s="832"/>
      <c r="FS440" s="832"/>
      <c r="FT440" s="832"/>
      <c r="FU440" s="833"/>
      <c r="FV440" s="835"/>
      <c r="FW440" s="845"/>
      <c r="FX440" s="846"/>
      <c r="FY440" s="846"/>
      <c r="FZ440" s="851"/>
      <c r="GA440" s="849"/>
      <c r="GB440" s="846"/>
      <c r="GC440" s="846"/>
      <c r="GD440" s="846"/>
      <c r="GE440" s="846"/>
      <c r="GF440" s="846"/>
      <c r="GG440" s="846"/>
      <c r="GH440" s="846"/>
      <c r="GI440" s="847"/>
      <c r="GJ440" s="831"/>
      <c r="GK440" s="832"/>
      <c r="GL440" s="833"/>
      <c r="GM440" s="831"/>
      <c r="GN440" s="832"/>
      <c r="GO440" s="833"/>
      <c r="GP440" s="831"/>
      <c r="GQ440" s="832"/>
      <c r="GR440" s="832"/>
      <c r="GS440" s="832"/>
      <c r="GT440" s="832"/>
      <c r="GU440" s="833"/>
      <c r="GV440" s="835"/>
      <c r="GW440" s="845"/>
      <c r="GX440" s="846"/>
      <c r="GY440" s="846"/>
      <c r="GZ440" s="851"/>
      <c r="HA440" s="849"/>
      <c r="HB440" s="846"/>
      <c r="HC440" s="846"/>
      <c r="HD440" s="846"/>
      <c r="HE440" s="846"/>
      <c r="HF440" s="846"/>
      <c r="HG440" s="846"/>
      <c r="HH440" s="846"/>
      <c r="HI440" s="847"/>
      <c r="HJ440" s="831"/>
      <c r="HK440" s="832"/>
      <c r="HL440" s="833"/>
      <c r="HM440" s="831"/>
      <c r="HN440" s="832"/>
      <c r="HO440" s="833"/>
      <c r="HP440" s="831"/>
      <c r="HQ440" s="832"/>
      <c r="HR440" s="832"/>
      <c r="HS440" s="832"/>
      <c r="HT440" s="832"/>
      <c r="HU440" s="833"/>
      <c r="HV440" s="835"/>
      <c r="HW440" s="845"/>
      <c r="HX440" s="846"/>
      <c r="HY440" s="846"/>
      <c r="HZ440" s="851"/>
      <c r="IA440" s="849"/>
      <c r="IB440" s="846"/>
      <c r="IC440" s="846"/>
      <c r="ID440" s="846"/>
      <c r="IE440" s="846"/>
      <c r="IF440" s="846"/>
      <c r="IG440" s="846"/>
      <c r="IH440" s="846"/>
      <c r="II440" s="847"/>
      <c r="IJ440" s="831"/>
      <c r="IK440" s="832"/>
      <c r="IL440" s="833"/>
      <c r="IM440" s="831"/>
      <c r="IN440" s="832"/>
      <c r="IO440" s="833"/>
      <c r="IP440" s="831"/>
      <c r="IQ440" s="832"/>
      <c r="IR440" s="832"/>
      <c r="IS440" s="832"/>
      <c r="IT440" s="832"/>
      <c r="IU440" s="833"/>
      <c r="IV440" s="835"/>
      <c r="IW440" s="845"/>
      <c r="IX440" s="846"/>
      <c r="IY440" s="846"/>
      <c r="IZ440" s="851"/>
    </row>
    <row r="441" spans="1:260" x14ac:dyDescent="0.25">
      <c r="A441" s="858" t="str">
        <f>IF(Z437&gt;=A437,$A$9,"")</f>
        <v/>
      </c>
      <c r="B441" s="806"/>
      <c r="C441" s="806"/>
      <c r="D441" s="806"/>
      <c r="E441" s="852"/>
      <c r="F441" s="805" t="str">
        <f>IF(Z437&gt;=A437,$F$9,"")</f>
        <v/>
      </c>
      <c r="G441" s="806"/>
      <c r="H441" s="806"/>
      <c r="I441" s="852"/>
      <c r="J441" s="811" t="str">
        <f>IF(Z437&gt;=A437,$J$9,"")</f>
        <v/>
      </c>
      <c r="K441" s="803" t="str">
        <f>IF(Z437&gt;=A437,$K$9,"")</f>
        <v/>
      </c>
      <c r="L441" s="803" t="str">
        <f>IF(Z437&gt;=A437,$L$9,"")</f>
        <v/>
      </c>
      <c r="M441" s="803" t="str">
        <f>IF(Z437&gt;=A437,$M$9,"")</f>
        <v/>
      </c>
      <c r="N441" s="803" t="str">
        <f>IF(Z437&gt;=A437,$N$9,"")</f>
        <v/>
      </c>
      <c r="O441" s="803" t="str">
        <f>IF(Z437&gt;=A437,$O$9,"")</f>
        <v/>
      </c>
      <c r="P441" s="803" t="str">
        <f>IF(Z437&gt;=A437,$P$9,"")</f>
        <v/>
      </c>
      <c r="Q441" s="803" t="str">
        <f>IF(Z437&gt;=A437,$Q$9,"")</f>
        <v/>
      </c>
      <c r="R441" s="803" t="str">
        <f>IF(Z437&gt;=A437,$R$9,"")</f>
        <v/>
      </c>
      <c r="S441" s="803" t="str">
        <f>IF(Z437&gt;=A437,$S$9,"")</f>
        <v/>
      </c>
      <c r="T441" s="803" t="str">
        <f>IF(Z437&gt;=A437,$T$9,"")</f>
        <v/>
      </c>
      <c r="U441" s="803" t="str">
        <f>IF(Z437&gt;=A437,$U$9,"")</f>
        <v/>
      </c>
      <c r="V441" s="813" t="str">
        <f>IF(Z437&gt;=A437,$V$9,"")</f>
        <v/>
      </c>
      <c r="W441" s="805" t="str">
        <f>IF(Z437&gt;=A437,$W$9,"")</f>
        <v/>
      </c>
      <c r="X441" s="806"/>
      <c r="Y441" s="806"/>
      <c r="Z441" s="807"/>
      <c r="AA441" s="858" t="str">
        <f>IF(AZ437&gt;=AA437,$A$9,"")</f>
        <v/>
      </c>
      <c r="AB441" s="806"/>
      <c r="AC441" s="806"/>
      <c r="AD441" s="806"/>
      <c r="AE441" s="852"/>
      <c r="AF441" s="805" t="str">
        <f>IF(AZ437&gt;=AA437,$F$9,"")</f>
        <v/>
      </c>
      <c r="AG441" s="806"/>
      <c r="AH441" s="806"/>
      <c r="AI441" s="852"/>
      <c r="AJ441" s="811" t="str">
        <f>IF(AZ437&gt;=AA437,$J$9,"")</f>
        <v/>
      </c>
      <c r="AK441" s="803" t="str">
        <f>IF(AZ437&gt;=AA437,$K$9,"")</f>
        <v/>
      </c>
      <c r="AL441" s="803" t="str">
        <f>IF(AZ437&gt;=AA437,$L$9,"")</f>
        <v/>
      </c>
      <c r="AM441" s="803" t="str">
        <f>IF(AZ437&gt;=AA437,$M$9,"")</f>
        <v/>
      </c>
      <c r="AN441" s="803" t="str">
        <f>IF(AZ437&gt;=AA437,$N$9,"")</f>
        <v/>
      </c>
      <c r="AO441" s="803" t="str">
        <f>IF(AZ437&gt;=AA437,$O$9,"")</f>
        <v/>
      </c>
      <c r="AP441" s="803" t="str">
        <f>IF(AZ437&gt;=AA437,$P$9,"")</f>
        <v/>
      </c>
      <c r="AQ441" s="803" t="str">
        <f>IF(AZ437&gt;=AA437,$Q$9,"")</f>
        <v/>
      </c>
      <c r="AR441" s="803" t="str">
        <f>IF(AZ437&gt;=AA437,$R$9,"")</f>
        <v/>
      </c>
      <c r="AS441" s="803" t="str">
        <f>IF(AZ437&gt;=AA437,$S$9,"")</f>
        <v/>
      </c>
      <c r="AT441" s="803" t="str">
        <f>IF(AZ437&gt;=AA437,$T$9,"")</f>
        <v/>
      </c>
      <c r="AU441" s="803" t="str">
        <f>IF(AZ437&gt;=AA437,$U$9,"")</f>
        <v/>
      </c>
      <c r="AV441" s="813" t="str">
        <f>IF(AZ437&gt;=AA437,$V$9,"")</f>
        <v/>
      </c>
      <c r="AW441" s="805" t="str">
        <f>IF(AZ437&gt;=AA437,$W$9,"")</f>
        <v/>
      </c>
      <c r="AX441" s="806"/>
      <c r="AY441" s="806"/>
      <c r="AZ441" s="807"/>
      <c r="BA441" s="858" t="str">
        <f>IF(BZ437&gt;=BA437,$A$9,"")</f>
        <v/>
      </c>
      <c r="BB441" s="806"/>
      <c r="BC441" s="806"/>
      <c r="BD441" s="806"/>
      <c r="BE441" s="852"/>
      <c r="BF441" s="805" t="str">
        <f>IF(BZ437&gt;=BA437,$F$9,"")</f>
        <v/>
      </c>
      <c r="BG441" s="806"/>
      <c r="BH441" s="806"/>
      <c r="BI441" s="852"/>
      <c r="BJ441" s="811" t="str">
        <f>IF(BZ437&gt;=BA437,$J$9,"")</f>
        <v/>
      </c>
      <c r="BK441" s="803" t="str">
        <f>IF(BZ437&gt;=BA437,$K$9,"")</f>
        <v/>
      </c>
      <c r="BL441" s="803" t="str">
        <f>IF(BZ437&gt;=BA437,$L$9,"")</f>
        <v/>
      </c>
      <c r="BM441" s="803" t="str">
        <f>IF(BZ437&gt;=BA437,$M$9,"")</f>
        <v/>
      </c>
      <c r="BN441" s="803" t="str">
        <f>IF(BZ437&gt;=BA437,$N$9,"")</f>
        <v/>
      </c>
      <c r="BO441" s="803" t="str">
        <f>IF(BZ437&gt;=BA437,$O$9,"")</f>
        <v/>
      </c>
      <c r="BP441" s="803" t="str">
        <f>IF(BZ437&gt;=BA437,$P$9,"")</f>
        <v/>
      </c>
      <c r="BQ441" s="803" t="str">
        <f>IF(BZ437&gt;=BA437,$Q$9,"")</f>
        <v/>
      </c>
      <c r="BR441" s="803" t="str">
        <f>IF(BZ437&gt;=BA437,$R$9,"")</f>
        <v/>
      </c>
      <c r="BS441" s="803" t="str">
        <f>IF(BZ437&gt;=BA437,$S$9,"")</f>
        <v/>
      </c>
      <c r="BT441" s="803" t="str">
        <f>IF(BZ437&gt;=BA437,$T$9,"")</f>
        <v/>
      </c>
      <c r="BU441" s="803" t="str">
        <f>IF(BZ437&gt;=BA437,$U$9,"")</f>
        <v/>
      </c>
      <c r="BV441" s="813" t="str">
        <f>IF(BZ437&gt;=BA437,$V$9,"")</f>
        <v/>
      </c>
      <c r="BW441" s="805" t="str">
        <f>IF(BZ437&gt;=BA437,$W$9,"")</f>
        <v/>
      </c>
      <c r="BX441" s="806"/>
      <c r="BY441" s="806"/>
      <c r="BZ441" s="807"/>
      <c r="CA441" s="858" t="str">
        <f>IF(CZ437&gt;=CA437,$A$9,"")</f>
        <v/>
      </c>
      <c r="CB441" s="806"/>
      <c r="CC441" s="806"/>
      <c r="CD441" s="806"/>
      <c r="CE441" s="852"/>
      <c r="CF441" s="805" t="str">
        <f>IF(CZ437&gt;=CA437,$F$9,"")</f>
        <v/>
      </c>
      <c r="CG441" s="806"/>
      <c r="CH441" s="806"/>
      <c r="CI441" s="852"/>
      <c r="CJ441" s="811" t="str">
        <f>IF(CZ437&gt;=CA437,$J$9,"")</f>
        <v/>
      </c>
      <c r="CK441" s="803" t="str">
        <f>IF(CZ437&gt;=CA437,$K$9,"")</f>
        <v/>
      </c>
      <c r="CL441" s="803" t="str">
        <f>IF(CZ437&gt;=CA437,$L$9,"")</f>
        <v/>
      </c>
      <c r="CM441" s="803" t="str">
        <f>IF(CZ437&gt;=CA437,$M$9,"")</f>
        <v/>
      </c>
      <c r="CN441" s="803" t="str">
        <f>IF(CZ437&gt;=CA437,$N$9,"")</f>
        <v/>
      </c>
      <c r="CO441" s="803" t="str">
        <f>IF(CZ437&gt;=CA437,$O$9,"")</f>
        <v/>
      </c>
      <c r="CP441" s="803" t="str">
        <f>IF(CZ437&gt;=CA437,$P$9,"")</f>
        <v/>
      </c>
      <c r="CQ441" s="803" t="str">
        <f>IF(CZ437&gt;=CA437,$Q$9,"")</f>
        <v/>
      </c>
      <c r="CR441" s="803" t="str">
        <f>IF(CZ437&gt;=CA437,$R$9,"")</f>
        <v/>
      </c>
      <c r="CS441" s="803" t="str">
        <f>IF(CZ437&gt;=CA437,$S$9,"")</f>
        <v/>
      </c>
      <c r="CT441" s="803" t="str">
        <f>IF(CZ437&gt;=CA437,$T$9,"")</f>
        <v/>
      </c>
      <c r="CU441" s="803" t="str">
        <f>IF(CZ437&gt;=CA437,$U$9,"")</f>
        <v/>
      </c>
      <c r="CV441" s="813" t="str">
        <f>IF(CZ437&gt;=CA437,$V$9,"")</f>
        <v/>
      </c>
      <c r="CW441" s="805" t="str">
        <f>IF(CZ437&gt;=CA437,$W$9,"")</f>
        <v/>
      </c>
      <c r="CX441" s="806"/>
      <c r="CY441" s="806"/>
      <c r="CZ441" s="807"/>
      <c r="DA441" s="858" t="str">
        <f>IF(DZ437&gt;=DA437,$A$9,"")</f>
        <v/>
      </c>
      <c r="DB441" s="806"/>
      <c r="DC441" s="806"/>
      <c r="DD441" s="806"/>
      <c r="DE441" s="852"/>
      <c r="DF441" s="805" t="str">
        <f>IF(DZ437&gt;=DA437,$F$9,"")</f>
        <v/>
      </c>
      <c r="DG441" s="806"/>
      <c r="DH441" s="806"/>
      <c r="DI441" s="852"/>
      <c r="DJ441" s="811" t="str">
        <f>IF(DZ437&gt;=DA437,$J$9,"")</f>
        <v/>
      </c>
      <c r="DK441" s="803" t="str">
        <f>IF(DZ437&gt;=DA437,$K$9,"")</f>
        <v/>
      </c>
      <c r="DL441" s="803" t="str">
        <f>IF(DZ437&gt;=DA437,$L$9,"")</f>
        <v/>
      </c>
      <c r="DM441" s="803" t="str">
        <f>IF(DZ437&gt;=DA437,$M$9,"")</f>
        <v/>
      </c>
      <c r="DN441" s="803" t="str">
        <f>IF(DZ437&gt;=DA437,$N$9,"")</f>
        <v/>
      </c>
      <c r="DO441" s="803" t="str">
        <f>IF(DZ437&gt;=DA437,$O$9,"")</f>
        <v/>
      </c>
      <c r="DP441" s="803" t="str">
        <f>IF(DZ437&gt;=DA437,$P$9,"")</f>
        <v/>
      </c>
      <c r="DQ441" s="803" t="str">
        <f>IF(DZ437&gt;=DA437,$Q$9,"")</f>
        <v/>
      </c>
      <c r="DR441" s="803" t="str">
        <f>IF(DZ437&gt;=DA437,$R$9,"")</f>
        <v/>
      </c>
      <c r="DS441" s="803" t="str">
        <f>IF(DZ437&gt;=DA437,$S$9,"")</f>
        <v/>
      </c>
      <c r="DT441" s="803" t="str">
        <f>IF(DZ437&gt;=DA437,$T$9,"")</f>
        <v/>
      </c>
      <c r="DU441" s="803" t="str">
        <f>IF(DZ437&gt;=DA437,$U$9,"")</f>
        <v/>
      </c>
      <c r="DV441" s="813" t="str">
        <f>IF(DZ437&gt;=DA437,$V$9,"")</f>
        <v/>
      </c>
      <c r="DW441" s="805" t="str">
        <f>IF(DZ437&gt;=DA437,$W$9,"")</f>
        <v/>
      </c>
      <c r="DX441" s="806"/>
      <c r="DY441" s="806"/>
      <c r="DZ441" s="807"/>
      <c r="EA441" s="858" t="str">
        <f>IF(EZ437&gt;=EA437,$A$9,"")</f>
        <v/>
      </c>
      <c r="EB441" s="806"/>
      <c r="EC441" s="806"/>
      <c r="ED441" s="806"/>
      <c r="EE441" s="852"/>
      <c r="EF441" s="805" t="str">
        <f>IF(EZ437&gt;=EA437,$F$9,"")</f>
        <v/>
      </c>
      <c r="EG441" s="806"/>
      <c r="EH441" s="806"/>
      <c r="EI441" s="852"/>
      <c r="EJ441" s="811" t="str">
        <f>IF(EZ437&gt;=EA437,$J$9,"")</f>
        <v/>
      </c>
      <c r="EK441" s="803" t="str">
        <f>IF(EZ437&gt;=EA437,$K$9,"")</f>
        <v/>
      </c>
      <c r="EL441" s="803" t="str">
        <f>IF(EZ437&gt;=EA437,$L$9,"")</f>
        <v/>
      </c>
      <c r="EM441" s="803" t="str">
        <f>IF(EZ437&gt;=EA437,$M$9,"")</f>
        <v/>
      </c>
      <c r="EN441" s="803" t="str">
        <f>IF(EZ437&gt;=EA437,$N$9,"")</f>
        <v/>
      </c>
      <c r="EO441" s="803" t="str">
        <f>IF(EZ437&gt;=EA437,$O$9,"")</f>
        <v/>
      </c>
      <c r="EP441" s="803" t="str">
        <f>IF(EZ437&gt;=EA437,$P$9,"")</f>
        <v/>
      </c>
      <c r="EQ441" s="803" t="str">
        <f>IF(EZ437&gt;=EA437,$Q$9,"")</f>
        <v/>
      </c>
      <c r="ER441" s="803" t="str">
        <f>IF(EZ437&gt;=EA437,$R$9,"")</f>
        <v/>
      </c>
      <c r="ES441" s="803" t="str">
        <f>IF(EZ437&gt;=EA437,$S$9,"")</f>
        <v/>
      </c>
      <c r="ET441" s="803" t="str">
        <f>IF(EZ437&gt;=EA437,$T$9,"")</f>
        <v/>
      </c>
      <c r="EU441" s="803" t="str">
        <f>IF(EZ437&gt;=EA437,$U$9,"")</f>
        <v/>
      </c>
      <c r="EV441" s="813" t="str">
        <f>IF(EZ437&gt;=EA437,$V$9,"")</f>
        <v/>
      </c>
      <c r="EW441" s="805" t="str">
        <f>IF(EZ437&gt;=EA437,$W$9,"")</f>
        <v/>
      </c>
      <c r="EX441" s="806"/>
      <c r="EY441" s="806"/>
      <c r="EZ441" s="807"/>
      <c r="FA441" s="858" t="str">
        <f>IF(FZ437&gt;=FA437,$A$9,"")</f>
        <v/>
      </c>
      <c r="FB441" s="806"/>
      <c r="FC441" s="806"/>
      <c r="FD441" s="806"/>
      <c r="FE441" s="852"/>
      <c r="FF441" s="805" t="str">
        <f>IF(FZ437&gt;=FA437,$F$9,"")</f>
        <v/>
      </c>
      <c r="FG441" s="806"/>
      <c r="FH441" s="806"/>
      <c r="FI441" s="852"/>
      <c r="FJ441" s="811" t="str">
        <f>IF(FZ437&gt;=FA437,$J$9,"")</f>
        <v/>
      </c>
      <c r="FK441" s="803" t="str">
        <f>IF(FZ437&gt;=FA437,$K$9,"")</f>
        <v/>
      </c>
      <c r="FL441" s="803" t="str">
        <f>IF(FZ437&gt;=FA437,$L$9,"")</f>
        <v/>
      </c>
      <c r="FM441" s="803" t="str">
        <f>IF(FZ437&gt;=FA437,$M$9,"")</f>
        <v/>
      </c>
      <c r="FN441" s="803" t="str">
        <f>IF(FZ437&gt;=FA437,$N$9,"")</f>
        <v/>
      </c>
      <c r="FO441" s="803" t="str">
        <f>IF(FZ437&gt;=FA437,$O$9,"")</f>
        <v/>
      </c>
      <c r="FP441" s="803" t="str">
        <f>IF(FZ437&gt;=FA437,$P$9,"")</f>
        <v/>
      </c>
      <c r="FQ441" s="803" t="str">
        <f>IF(FZ437&gt;=FA437,$Q$9,"")</f>
        <v/>
      </c>
      <c r="FR441" s="803" t="str">
        <f>IF(FZ437&gt;=FA437,$R$9,"")</f>
        <v/>
      </c>
      <c r="FS441" s="803" t="str">
        <f>IF(FZ437&gt;=FA437,$S$9,"")</f>
        <v/>
      </c>
      <c r="FT441" s="803" t="str">
        <f>IF(FZ437&gt;=FA437,$T$9,"")</f>
        <v/>
      </c>
      <c r="FU441" s="803" t="str">
        <f>IF(FZ437&gt;=FA437,$U$9,"")</f>
        <v/>
      </c>
      <c r="FV441" s="813" t="str">
        <f>IF(FZ437&gt;=FA437,$V$9,"")</f>
        <v/>
      </c>
      <c r="FW441" s="805" t="str">
        <f>IF(FZ437&gt;=FA437,$W$9,"")</f>
        <v/>
      </c>
      <c r="FX441" s="806"/>
      <c r="FY441" s="806"/>
      <c r="FZ441" s="807"/>
      <c r="GA441" s="858" t="str">
        <f>IF(GZ437&gt;=GA437,$A$9,"")</f>
        <v/>
      </c>
      <c r="GB441" s="806"/>
      <c r="GC441" s="806"/>
      <c r="GD441" s="806"/>
      <c r="GE441" s="852"/>
      <c r="GF441" s="805" t="str">
        <f>IF(GZ437&gt;=GA437,$F$9,"")</f>
        <v/>
      </c>
      <c r="GG441" s="806"/>
      <c r="GH441" s="806"/>
      <c r="GI441" s="852"/>
      <c r="GJ441" s="811" t="str">
        <f>IF(GZ437&gt;=GA437,$J$9,"")</f>
        <v/>
      </c>
      <c r="GK441" s="803" t="str">
        <f>IF(GZ437&gt;=GA437,$K$9,"")</f>
        <v/>
      </c>
      <c r="GL441" s="803" t="str">
        <f>IF(GZ437&gt;=GA437,$L$9,"")</f>
        <v/>
      </c>
      <c r="GM441" s="803" t="str">
        <f>IF(GZ437&gt;=GA437,$M$9,"")</f>
        <v/>
      </c>
      <c r="GN441" s="803" t="str">
        <f>IF(GZ437&gt;=GA437,$N$9,"")</f>
        <v/>
      </c>
      <c r="GO441" s="803" t="str">
        <f>IF(GZ437&gt;=GA437,$O$9,"")</f>
        <v/>
      </c>
      <c r="GP441" s="803" t="str">
        <f>IF(GZ437&gt;=GA437,$P$9,"")</f>
        <v/>
      </c>
      <c r="GQ441" s="803" t="str">
        <f>IF(GZ437&gt;=GA437,$Q$9,"")</f>
        <v/>
      </c>
      <c r="GR441" s="803" t="str">
        <f>IF(GZ437&gt;=GA437,$R$9,"")</f>
        <v/>
      </c>
      <c r="GS441" s="803" t="str">
        <f>IF(GZ437&gt;=GA437,$S$9,"")</f>
        <v/>
      </c>
      <c r="GT441" s="803" t="str">
        <f>IF(GZ437&gt;=GA437,$T$9,"")</f>
        <v/>
      </c>
      <c r="GU441" s="803" t="str">
        <f>IF(GZ437&gt;=GA437,$U$9,"")</f>
        <v/>
      </c>
      <c r="GV441" s="813" t="str">
        <f>IF(GZ437&gt;=GA437,$V$9,"")</f>
        <v/>
      </c>
      <c r="GW441" s="805" t="str">
        <f>IF(GZ437&gt;=GA437,$W$9,"")</f>
        <v/>
      </c>
      <c r="GX441" s="806"/>
      <c r="GY441" s="806"/>
      <c r="GZ441" s="807"/>
      <c r="HA441" s="858" t="str">
        <f>IF(HZ437&gt;=HA437,$A$9,"")</f>
        <v/>
      </c>
      <c r="HB441" s="806"/>
      <c r="HC441" s="806"/>
      <c r="HD441" s="806"/>
      <c r="HE441" s="852"/>
      <c r="HF441" s="805" t="str">
        <f>IF(HZ437&gt;=HA437,$F$9,"")</f>
        <v/>
      </c>
      <c r="HG441" s="806"/>
      <c r="HH441" s="806"/>
      <c r="HI441" s="852"/>
      <c r="HJ441" s="811" t="str">
        <f>IF(HZ437&gt;=HA437,$J$9,"")</f>
        <v/>
      </c>
      <c r="HK441" s="803" t="str">
        <f>IF(HZ437&gt;=HA437,$K$9,"")</f>
        <v/>
      </c>
      <c r="HL441" s="803" t="str">
        <f>IF(HZ437&gt;=HA437,$L$9,"")</f>
        <v/>
      </c>
      <c r="HM441" s="803" t="str">
        <f>IF(HZ437&gt;=HA437,$M$9,"")</f>
        <v/>
      </c>
      <c r="HN441" s="803" t="str">
        <f>IF(HZ437&gt;=HA437,$N$9,"")</f>
        <v/>
      </c>
      <c r="HO441" s="803" t="str">
        <f>IF(HZ437&gt;=HA437,$O$9,"")</f>
        <v/>
      </c>
      <c r="HP441" s="803" t="str">
        <f>IF(HZ437&gt;=HA437,$P$9,"")</f>
        <v/>
      </c>
      <c r="HQ441" s="803" t="str">
        <f>IF(HZ437&gt;=HA437,$Q$9,"")</f>
        <v/>
      </c>
      <c r="HR441" s="803" t="str">
        <f>IF(HZ437&gt;=HA437,$R$9,"")</f>
        <v/>
      </c>
      <c r="HS441" s="803" t="str">
        <f>IF(HZ437&gt;=HA437,$S$9,"")</f>
        <v/>
      </c>
      <c r="HT441" s="803" t="str">
        <f>IF(HZ437&gt;=HA437,$T$9,"")</f>
        <v/>
      </c>
      <c r="HU441" s="803" t="str">
        <f>IF(HZ437&gt;=HA437,$U$9,"")</f>
        <v/>
      </c>
      <c r="HV441" s="813" t="str">
        <f>IF(HZ437&gt;=HA437,$V$9,"")</f>
        <v/>
      </c>
      <c r="HW441" s="805" t="str">
        <f>IF(HZ437&gt;=HA437,$W$9,"")</f>
        <v/>
      </c>
      <c r="HX441" s="806"/>
      <c r="HY441" s="806"/>
      <c r="HZ441" s="807"/>
      <c r="IA441" s="858" t="str">
        <f>IF(IZ437&gt;=IA437,$A$9,"")</f>
        <v/>
      </c>
      <c r="IB441" s="806"/>
      <c r="IC441" s="806"/>
      <c r="ID441" s="806"/>
      <c r="IE441" s="852"/>
      <c r="IF441" s="805" t="str">
        <f>IF(IZ437&gt;=IA437,$F$9,"")</f>
        <v/>
      </c>
      <c r="IG441" s="806"/>
      <c r="IH441" s="806"/>
      <c r="II441" s="852"/>
      <c r="IJ441" s="811" t="str">
        <f>IF(IZ437&gt;=IA437,$J$9,"")</f>
        <v/>
      </c>
      <c r="IK441" s="803" t="str">
        <f>IF(IZ437&gt;=IA437,$K$9,"")</f>
        <v/>
      </c>
      <c r="IL441" s="803" t="str">
        <f>IF(IZ437&gt;=IA437,$L$9,"")</f>
        <v/>
      </c>
      <c r="IM441" s="803" t="str">
        <f>IF(IZ437&gt;=IA437,$M$9,"")</f>
        <v/>
      </c>
      <c r="IN441" s="803" t="str">
        <f>IF(IZ437&gt;=IA437,$N$9,"")</f>
        <v/>
      </c>
      <c r="IO441" s="803" t="str">
        <f>IF(IZ437&gt;=IA437,$O$9,"")</f>
        <v/>
      </c>
      <c r="IP441" s="803" t="str">
        <f>IF(IZ437&gt;=IA437,$P$9,"")</f>
        <v/>
      </c>
      <c r="IQ441" s="803" t="str">
        <f>IF(IZ437&gt;=IA437,$Q$9,"")</f>
        <v/>
      </c>
      <c r="IR441" s="803" t="str">
        <f>IF(IZ437&gt;=IA437,$R$9,"")</f>
        <v/>
      </c>
      <c r="IS441" s="803" t="str">
        <f>IF(IZ437&gt;=IA437,$S$9,"")</f>
        <v/>
      </c>
      <c r="IT441" s="803" t="str">
        <f>IF(IZ437&gt;=IA437,$T$9,"")</f>
        <v/>
      </c>
      <c r="IU441" s="803" t="str">
        <f>IF(IZ437&gt;=IA437,$U$9,"")</f>
        <v/>
      </c>
      <c r="IV441" s="813" t="str">
        <f>IF(IZ437&gt;=IA437,$V$9,"")</f>
        <v/>
      </c>
      <c r="IW441" s="805" t="str">
        <f>IF(IZ437&gt;=IA437,$W$9,"")</f>
        <v/>
      </c>
      <c r="IX441" s="806"/>
      <c r="IY441" s="806"/>
      <c r="IZ441" s="807"/>
    </row>
    <row r="442" spans="1:260" x14ac:dyDescent="0.25">
      <c r="A442" s="859"/>
      <c r="B442" s="809"/>
      <c r="C442" s="809"/>
      <c r="D442" s="809"/>
      <c r="E442" s="853"/>
      <c r="F442" s="808"/>
      <c r="G442" s="809"/>
      <c r="H442" s="809"/>
      <c r="I442" s="853"/>
      <c r="J442" s="812"/>
      <c r="K442" s="804"/>
      <c r="L442" s="804"/>
      <c r="M442" s="804"/>
      <c r="N442" s="804"/>
      <c r="O442" s="804"/>
      <c r="P442" s="804"/>
      <c r="Q442" s="804"/>
      <c r="R442" s="804"/>
      <c r="S442" s="804"/>
      <c r="T442" s="804"/>
      <c r="U442" s="804"/>
      <c r="V442" s="814"/>
      <c r="W442" s="808"/>
      <c r="X442" s="809"/>
      <c r="Y442" s="809"/>
      <c r="Z442" s="810"/>
      <c r="AA442" s="859"/>
      <c r="AB442" s="809"/>
      <c r="AC442" s="809"/>
      <c r="AD442" s="809"/>
      <c r="AE442" s="853"/>
      <c r="AF442" s="808"/>
      <c r="AG442" s="809"/>
      <c r="AH442" s="809"/>
      <c r="AI442" s="853"/>
      <c r="AJ442" s="812"/>
      <c r="AK442" s="804"/>
      <c r="AL442" s="804"/>
      <c r="AM442" s="804"/>
      <c r="AN442" s="804"/>
      <c r="AO442" s="804"/>
      <c r="AP442" s="804"/>
      <c r="AQ442" s="804"/>
      <c r="AR442" s="804"/>
      <c r="AS442" s="804"/>
      <c r="AT442" s="804"/>
      <c r="AU442" s="804"/>
      <c r="AV442" s="814"/>
      <c r="AW442" s="808"/>
      <c r="AX442" s="809"/>
      <c r="AY442" s="809"/>
      <c r="AZ442" s="810"/>
      <c r="BA442" s="859"/>
      <c r="BB442" s="809"/>
      <c r="BC442" s="809"/>
      <c r="BD442" s="809"/>
      <c r="BE442" s="853"/>
      <c r="BF442" s="808"/>
      <c r="BG442" s="809"/>
      <c r="BH442" s="809"/>
      <c r="BI442" s="853"/>
      <c r="BJ442" s="812"/>
      <c r="BK442" s="804"/>
      <c r="BL442" s="804"/>
      <c r="BM442" s="804"/>
      <c r="BN442" s="804"/>
      <c r="BO442" s="804"/>
      <c r="BP442" s="804"/>
      <c r="BQ442" s="804"/>
      <c r="BR442" s="804"/>
      <c r="BS442" s="804"/>
      <c r="BT442" s="804"/>
      <c r="BU442" s="804"/>
      <c r="BV442" s="814"/>
      <c r="BW442" s="808"/>
      <c r="BX442" s="809"/>
      <c r="BY442" s="809"/>
      <c r="BZ442" s="810"/>
      <c r="CA442" s="859"/>
      <c r="CB442" s="809"/>
      <c r="CC442" s="809"/>
      <c r="CD442" s="809"/>
      <c r="CE442" s="853"/>
      <c r="CF442" s="808"/>
      <c r="CG442" s="809"/>
      <c r="CH442" s="809"/>
      <c r="CI442" s="853"/>
      <c r="CJ442" s="812"/>
      <c r="CK442" s="804"/>
      <c r="CL442" s="804"/>
      <c r="CM442" s="804"/>
      <c r="CN442" s="804"/>
      <c r="CO442" s="804"/>
      <c r="CP442" s="804"/>
      <c r="CQ442" s="804"/>
      <c r="CR442" s="804"/>
      <c r="CS442" s="804"/>
      <c r="CT442" s="804"/>
      <c r="CU442" s="804"/>
      <c r="CV442" s="814"/>
      <c r="CW442" s="808"/>
      <c r="CX442" s="809"/>
      <c r="CY442" s="809"/>
      <c r="CZ442" s="810"/>
      <c r="DA442" s="859"/>
      <c r="DB442" s="809"/>
      <c r="DC442" s="809"/>
      <c r="DD442" s="809"/>
      <c r="DE442" s="853"/>
      <c r="DF442" s="808"/>
      <c r="DG442" s="809"/>
      <c r="DH442" s="809"/>
      <c r="DI442" s="853"/>
      <c r="DJ442" s="812"/>
      <c r="DK442" s="804"/>
      <c r="DL442" s="804"/>
      <c r="DM442" s="804"/>
      <c r="DN442" s="804"/>
      <c r="DO442" s="804"/>
      <c r="DP442" s="804"/>
      <c r="DQ442" s="804"/>
      <c r="DR442" s="804"/>
      <c r="DS442" s="804"/>
      <c r="DT442" s="804"/>
      <c r="DU442" s="804"/>
      <c r="DV442" s="814"/>
      <c r="DW442" s="808"/>
      <c r="DX442" s="809"/>
      <c r="DY442" s="809"/>
      <c r="DZ442" s="810"/>
      <c r="EA442" s="859"/>
      <c r="EB442" s="809"/>
      <c r="EC442" s="809"/>
      <c r="ED442" s="809"/>
      <c r="EE442" s="853"/>
      <c r="EF442" s="808"/>
      <c r="EG442" s="809"/>
      <c r="EH442" s="809"/>
      <c r="EI442" s="853"/>
      <c r="EJ442" s="812"/>
      <c r="EK442" s="804"/>
      <c r="EL442" s="804"/>
      <c r="EM442" s="804"/>
      <c r="EN442" s="804"/>
      <c r="EO442" s="804"/>
      <c r="EP442" s="804"/>
      <c r="EQ442" s="804"/>
      <c r="ER442" s="804"/>
      <c r="ES442" s="804"/>
      <c r="ET442" s="804"/>
      <c r="EU442" s="804"/>
      <c r="EV442" s="814"/>
      <c r="EW442" s="808"/>
      <c r="EX442" s="809"/>
      <c r="EY442" s="809"/>
      <c r="EZ442" s="810"/>
      <c r="FA442" s="859"/>
      <c r="FB442" s="809"/>
      <c r="FC442" s="809"/>
      <c r="FD442" s="809"/>
      <c r="FE442" s="853"/>
      <c r="FF442" s="808"/>
      <c r="FG442" s="809"/>
      <c r="FH442" s="809"/>
      <c r="FI442" s="853"/>
      <c r="FJ442" s="812"/>
      <c r="FK442" s="804"/>
      <c r="FL442" s="804"/>
      <c r="FM442" s="804"/>
      <c r="FN442" s="804"/>
      <c r="FO442" s="804"/>
      <c r="FP442" s="804"/>
      <c r="FQ442" s="804"/>
      <c r="FR442" s="804"/>
      <c r="FS442" s="804"/>
      <c r="FT442" s="804"/>
      <c r="FU442" s="804"/>
      <c r="FV442" s="814"/>
      <c r="FW442" s="808"/>
      <c r="FX442" s="809"/>
      <c r="FY442" s="809"/>
      <c r="FZ442" s="810"/>
      <c r="GA442" s="859"/>
      <c r="GB442" s="809"/>
      <c r="GC442" s="809"/>
      <c r="GD442" s="809"/>
      <c r="GE442" s="853"/>
      <c r="GF442" s="808"/>
      <c r="GG442" s="809"/>
      <c r="GH442" s="809"/>
      <c r="GI442" s="853"/>
      <c r="GJ442" s="812"/>
      <c r="GK442" s="804"/>
      <c r="GL442" s="804"/>
      <c r="GM442" s="804"/>
      <c r="GN442" s="804"/>
      <c r="GO442" s="804"/>
      <c r="GP442" s="804"/>
      <c r="GQ442" s="804"/>
      <c r="GR442" s="804"/>
      <c r="GS442" s="804"/>
      <c r="GT442" s="804"/>
      <c r="GU442" s="804"/>
      <c r="GV442" s="814"/>
      <c r="GW442" s="808"/>
      <c r="GX442" s="809"/>
      <c r="GY442" s="809"/>
      <c r="GZ442" s="810"/>
      <c r="HA442" s="859"/>
      <c r="HB442" s="809"/>
      <c r="HC442" s="809"/>
      <c r="HD442" s="809"/>
      <c r="HE442" s="853"/>
      <c r="HF442" s="808"/>
      <c r="HG442" s="809"/>
      <c r="HH442" s="809"/>
      <c r="HI442" s="853"/>
      <c r="HJ442" s="812"/>
      <c r="HK442" s="804"/>
      <c r="HL442" s="804"/>
      <c r="HM442" s="804"/>
      <c r="HN442" s="804"/>
      <c r="HO442" s="804"/>
      <c r="HP442" s="804"/>
      <c r="HQ442" s="804"/>
      <c r="HR442" s="804"/>
      <c r="HS442" s="804"/>
      <c r="HT442" s="804"/>
      <c r="HU442" s="804"/>
      <c r="HV442" s="814"/>
      <c r="HW442" s="808"/>
      <c r="HX442" s="809"/>
      <c r="HY442" s="809"/>
      <c r="HZ442" s="810"/>
      <c r="IA442" s="859"/>
      <c r="IB442" s="809"/>
      <c r="IC442" s="809"/>
      <c r="ID442" s="809"/>
      <c r="IE442" s="853"/>
      <c r="IF442" s="808"/>
      <c r="IG442" s="809"/>
      <c r="IH442" s="809"/>
      <c r="II442" s="853"/>
      <c r="IJ442" s="812"/>
      <c r="IK442" s="804"/>
      <c r="IL442" s="804"/>
      <c r="IM442" s="804"/>
      <c r="IN442" s="804"/>
      <c r="IO442" s="804"/>
      <c r="IP442" s="804"/>
      <c r="IQ442" s="804"/>
      <c r="IR442" s="804"/>
      <c r="IS442" s="804"/>
      <c r="IT442" s="804"/>
      <c r="IU442" s="804"/>
      <c r="IV442" s="814"/>
      <c r="IW442" s="808"/>
      <c r="IX442" s="809"/>
      <c r="IY442" s="809"/>
      <c r="IZ442" s="810"/>
    </row>
    <row r="443" spans="1:260" x14ac:dyDescent="0.25">
      <c r="A443" s="854" t="str">
        <f>IFERROR(INDEX(Lista_Pedidos,Procesos!Y437+A437-1,3),"")</f>
        <v/>
      </c>
      <c r="B443" s="855"/>
      <c r="C443" s="855"/>
      <c r="D443" s="855"/>
      <c r="E443" s="856"/>
      <c r="F443" s="857" t="str">
        <f>IF(Z437&gt;A437-1,E$11,"")</f>
        <v/>
      </c>
      <c r="G443" s="855"/>
      <c r="H443" s="855"/>
      <c r="I443" s="856"/>
      <c r="J443" s="526" t="str">
        <f>IFERROR(IF(IF(Z437&gt;A437-1,INDEX(Lista_Pedidos,Y437+A437-1,J437),"")=0,"",IF(Z437&gt;A437-1,INDEX(Lista_Pedidos,Y437+A437-1,J437),"")),"")</f>
        <v/>
      </c>
      <c r="K443" s="526" t="str">
        <f>IFERROR(IF(IF(Z437&gt;A437-1,INDEX(Lista_Pedidos,Y437+A437-1,K437),"")=0,"",IF(Z437&gt;A437-1,INDEX(Lista_Pedidos,Y437+A437-1,K437),"")),"")</f>
        <v/>
      </c>
      <c r="L443" s="526" t="str">
        <f>IFERROR(IF(IF(Z437&gt;A437-1,INDEX(Lista_Pedidos,Y437+A437-1,L437),"")=0,"",IF(Z437&gt;A437-1,INDEX(Lista_Pedidos,Y437+A437-1,L437),"")),"")</f>
        <v/>
      </c>
      <c r="M443" s="526" t="str">
        <f>IFERROR(IF(IF(Z437&gt;A437-1,INDEX(Lista_Pedidos,Y437+A437-1,M437),"")=0,"",IF(Z437&gt;A437-1,INDEX(Lista_Pedidos,Y437+A437-1,M437),"")),"")</f>
        <v/>
      </c>
      <c r="N443" s="526" t="str">
        <f>IFERROR(IF(IF(Z437&gt;A437-1,INDEX(Lista_Pedidos,Y437+A437-1,N437),"")=0,"",IF(Z437&gt;A437-1,INDEX(Lista_Pedidos,Y437+A437-1,N437),"")),"")</f>
        <v/>
      </c>
      <c r="O443" s="526" t="str">
        <f>IFERROR(IF(IF(Z437&gt;A437-1,INDEX(Lista_Pedidos,Y437+A437-1,O437),"")=0,"",IF(Z437&gt;A437-1,INDEX(Lista_Pedidos,Y437+A437-1,O437),"")),"")</f>
        <v/>
      </c>
      <c r="P443" s="526" t="str">
        <f>IFERROR(IF(IF(Z437&gt;A437-1,INDEX(Lista_Pedidos,Y437+A437-1,P437),"")=0,"",IF(Z437&gt;A437-1,INDEX(Lista_Pedidos,Y437+A437-1,P437),"")),"")</f>
        <v/>
      </c>
      <c r="Q443" s="526" t="str">
        <f>IFERROR(IF(IF(Z437&gt;A437-1,INDEX(Lista_Pedidos,Y437+A437-1,Q437),"")=0,"",IF(Z437&gt;A437-1,INDEX(Lista_Pedidos,Y437+A437-1,Q437),"")),"")</f>
        <v/>
      </c>
      <c r="R443" s="526" t="str">
        <f>IFERROR(IF(IF(Z437&gt;A437-1,INDEX(Lista_Pedidos,Y437+A437-1,R437),"")=0,"",IF(Z437&gt;A437-1,INDEX(Lista_Pedidos,Y437+A437-1,R437),"")),"")</f>
        <v/>
      </c>
      <c r="S443" s="526" t="str">
        <f>IFERROR(IF(IF(Z437&gt;A437-1,INDEX(Lista_Pedidos,Y437+A437-1,S437),"")=0,"",IF(Z437&gt;A437-1,INDEX(Lista_Pedidos,Y437+A437-1,S437),"")),"")</f>
        <v/>
      </c>
      <c r="T443" s="526" t="str">
        <f>IFERROR(IF(IF(Z437&gt;A437-1,INDEX(Lista_Pedidos,Y437+A437-1,T437),"")=0,"",IF(Z437&gt;A437-1,INDEX(Lista_Pedidos,Y437+A437-1,T437),"")),"")</f>
        <v/>
      </c>
      <c r="U443" s="526" t="str">
        <f>IFERROR(IF(IF(Z437&gt;A437-1,INDEX(Lista_Pedidos,Y437+A437-1,U437),"")=0,"",IF(Z437&gt;A437-1,INDEX(Lista_Pedidos,Y437+A437-1,U437),"")),"")</f>
        <v/>
      </c>
      <c r="V443" s="526" t="str">
        <f>IFERROR(IF(IF(Z437&gt;A437-1,INDEX(Lista_Pedidos,Y437+A437-1,V437),"")=0,"",IF(Z437&gt;A437-1,INDEX(Lista_Pedidos,Y437+A437-1,V437),"")),"")</f>
        <v/>
      </c>
      <c r="W443" s="857" t="str">
        <f>IF(SUM(J443:V443)&gt;1,SUM(J443:V443),"")</f>
        <v/>
      </c>
      <c r="X443" s="855"/>
      <c r="Y443" s="855"/>
      <c r="Z443" s="860"/>
      <c r="AA443" s="854" t="str">
        <f>IFERROR(INDEX(Lista_Pedidos,Procesos!AY437+AA437-1,3),"")</f>
        <v/>
      </c>
      <c r="AB443" s="855"/>
      <c r="AC443" s="855"/>
      <c r="AD443" s="855"/>
      <c r="AE443" s="856"/>
      <c r="AF443" s="857" t="str">
        <f>IF(AZ437&gt;AA437-1,AE$11,"")</f>
        <v/>
      </c>
      <c r="AG443" s="855"/>
      <c r="AH443" s="855"/>
      <c r="AI443" s="856"/>
      <c r="AJ443" s="526" t="str">
        <f>IFERROR(IF(IF(AZ437&gt;AA437-1,INDEX(Lista_Pedidos,AY437+AA437-1,AJ437),"")=0,"",IF(AZ437&gt;AA437-1,INDEX(Lista_Pedidos,AY437+AA437-1,AJ437),"")),"")</f>
        <v/>
      </c>
      <c r="AK443" s="526" t="str">
        <f>IFERROR(IF(IF(AZ437&gt;AA437-1,INDEX(Lista_Pedidos,AY437+AA437-1,AK437),"")=0,"",IF(AZ437&gt;AA437-1,INDEX(Lista_Pedidos,AY437+AA437-1,AK437),"")),"")</f>
        <v/>
      </c>
      <c r="AL443" s="526" t="str">
        <f>IFERROR(IF(IF(AZ437&gt;AA437-1,INDEX(Lista_Pedidos,AY437+AA437-1,AL437),"")=0,"",IF(AZ437&gt;AA437-1,INDEX(Lista_Pedidos,AY437+AA437-1,AL437),"")),"")</f>
        <v/>
      </c>
      <c r="AM443" s="526" t="str">
        <f>IFERROR(IF(IF(AZ437&gt;AA437-1,INDEX(Lista_Pedidos,AY437+AA437-1,AM437),"")=0,"",IF(AZ437&gt;AA437-1,INDEX(Lista_Pedidos,AY437+AA437-1,AM437),"")),"")</f>
        <v/>
      </c>
      <c r="AN443" s="526" t="str">
        <f>IFERROR(IF(IF(AZ437&gt;AA437-1,INDEX(Lista_Pedidos,AY437+AA437-1,AN437),"")=0,"",IF(AZ437&gt;AA437-1,INDEX(Lista_Pedidos,AY437+AA437-1,AN437),"")),"")</f>
        <v/>
      </c>
      <c r="AO443" s="526" t="str">
        <f>IFERROR(IF(IF(AZ437&gt;AA437-1,INDEX(Lista_Pedidos,AY437+AA437-1,AO437),"")=0,"",IF(AZ437&gt;AA437-1,INDEX(Lista_Pedidos,AY437+AA437-1,AO437),"")),"")</f>
        <v/>
      </c>
      <c r="AP443" s="526" t="str">
        <f>IFERROR(IF(IF(AZ437&gt;AA437-1,INDEX(Lista_Pedidos,AY437+AA437-1,AP437),"")=0,"",IF(AZ437&gt;AA437-1,INDEX(Lista_Pedidos,AY437+AA437-1,AP437),"")),"")</f>
        <v/>
      </c>
      <c r="AQ443" s="526" t="str">
        <f>IFERROR(IF(IF(AZ437&gt;AA437-1,INDEX(Lista_Pedidos,AY437+AA437-1,AQ437),"")=0,"",IF(AZ437&gt;AA437-1,INDEX(Lista_Pedidos,AY437+AA437-1,AQ437),"")),"")</f>
        <v/>
      </c>
      <c r="AR443" s="526" t="str">
        <f>IFERROR(IF(IF(AZ437&gt;AA437-1,INDEX(Lista_Pedidos,AY437+AA437-1,AR437),"")=0,"",IF(AZ437&gt;AA437-1,INDEX(Lista_Pedidos,AY437+AA437-1,AR437),"")),"")</f>
        <v/>
      </c>
      <c r="AS443" s="526" t="str">
        <f>IFERROR(IF(IF(AZ437&gt;AA437-1,INDEX(Lista_Pedidos,AY437+AA437-1,AS437),"")=0,"",IF(AZ437&gt;AA437-1,INDEX(Lista_Pedidos,AY437+AA437-1,AS437),"")),"")</f>
        <v/>
      </c>
      <c r="AT443" s="526" t="str">
        <f>IFERROR(IF(IF(AZ437&gt;AA437-1,INDEX(Lista_Pedidos,AY437+AA437-1,AT437),"")=0,"",IF(AZ437&gt;AA437-1,INDEX(Lista_Pedidos,AY437+AA437-1,AT437),"")),"")</f>
        <v/>
      </c>
      <c r="AU443" s="526" t="str">
        <f>IFERROR(IF(IF(AZ437&gt;AA437-1,INDEX(Lista_Pedidos,AY437+AA437-1,AU437),"")=0,"",IF(AZ437&gt;AA437-1,INDEX(Lista_Pedidos,AY437+AA437-1,AU437),"")),"")</f>
        <v/>
      </c>
      <c r="AV443" s="526" t="str">
        <f>IFERROR(IF(IF(AZ437&gt;AA437-1,INDEX(Lista_Pedidos,AY437+AA437-1,AV437),"")=0,"",IF(AZ437&gt;AA437-1,INDEX(Lista_Pedidos,AY437+AA437-1,AV437),"")),"")</f>
        <v/>
      </c>
      <c r="AW443" s="857" t="str">
        <f>IF(SUM(AJ443:AV443)&gt;1,SUM(AJ443:AV443),"")</f>
        <v/>
      </c>
      <c r="AX443" s="855"/>
      <c r="AY443" s="855"/>
      <c r="AZ443" s="860"/>
      <c r="BA443" s="854" t="str">
        <f>IFERROR(INDEX(Lista_Pedidos,Procesos!BY437+BA437-1,3),"")</f>
        <v/>
      </c>
      <c r="BB443" s="855"/>
      <c r="BC443" s="855"/>
      <c r="BD443" s="855"/>
      <c r="BE443" s="856"/>
      <c r="BF443" s="857" t="str">
        <f>IF(BZ437&gt;BA437-1,BE$11,"")</f>
        <v/>
      </c>
      <c r="BG443" s="855"/>
      <c r="BH443" s="855"/>
      <c r="BI443" s="856"/>
      <c r="BJ443" s="526" t="str">
        <f>IFERROR(IF(IF(BZ437&gt;BA437-1,INDEX(Lista_Pedidos,BY437+BA437-1,BJ437),"")=0,"",IF(BZ437&gt;BA437-1,INDEX(Lista_Pedidos,BY437+BA437-1,BJ437),"")),"")</f>
        <v/>
      </c>
      <c r="BK443" s="526" t="str">
        <f>IFERROR(IF(IF(BZ437&gt;BA437-1,INDEX(Lista_Pedidos,BY437+BA437-1,BK437),"")=0,"",IF(BZ437&gt;BA437-1,INDEX(Lista_Pedidos,BY437+BA437-1,BK437),"")),"")</f>
        <v/>
      </c>
      <c r="BL443" s="526" t="str">
        <f>IFERROR(IF(IF(BZ437&gt;BA437-1,INDEX(Lista_Pedidos,BY437+BA437-1,BL437),"")=0,"",IF(BZ437&gt;BA437-1,INDEX(Lista_Pedidos,BY437+BA437-1,BL437),"")),"")</f>
        <v/>
      </c>
      <c r="BM443" s="526" t="str">
        <f>IFERROR(IF(IF(BZ437&gt;BA437-1,INDEX(Lista_Pedidos,BY437+BA437-1,BM437),"")=0,"",IF(BZ437&gt;BA437-1,INDEX(Lista_Pedidos,BY437+BA437-1,BM437),"")),"")</f>
        <v/>
      </c>
      <c r="BN443" s="526" t="str">
        <f>IFERROR(IF(IF(BZ437&gt;BA437-1,INDEX(Lista_Pedidos,BY437+BA437-1,BN437),"")=0,"",IF(BZ437&gt;BA437-1,INDEX(Lista_Pedidos,BY437+BA437-1,BN437),"")),"")</f>
        <v/>
      </c>
      <c r="BO443" s="526" t="str">
        <f>IFERROR(IF(IF(BZ437&gt;BA437-1,INDEX(Lista_Pedidos,BY437+BA437-1,BO437),"")=0,"",IF(BZ437&gt;BA437-1,INDEX(Lista_Pedidos,BY437+BA437-1,BO437),"")),"")</f>
        <v/>
      </c>
      <c r="BP443" s="526" t="str">
        <f>IFERROR(IF(IF(BZ437&gt;BA437-1,INDEX(Lista_Pedidos,BY437+BA437-1,BP437),"")=0,"",IF(BZ437&gt;BA437-1,INDEX(Lista_Pedidos,BY437+BA437-1,BP437),"")),"")</f>
        <v/>
      </c>
      <c r="BQ443" s="526" t="str">
        <f>IFERROR(IF(IF(BZ437&gt;BA437-1,INDEX(Lista_Pedidos,BY437+BA437-1,BQ437),"")=0,"",IF(BZ437&gt;BA437-1,INDEX(Lista_Pedidos,BY437+BA437-1,BQ437),"")),"")</f>
        <v/>
      </c>
      <c r="BR443" s="526" t="str">
        <f>IFERROR(IF(IF(BZ437&gt;BA437-1,INDEX(Lista_Pedidos,BY437+BA437-1,BR437),"")=0,"",IF(BZ437&gt;BA437-1,INDEX(Lista_Pedidos,BY437+BA437-1,BR437),"")),"")</f>
        <v/>
      </c>
      <c r="BS443" s="526" t="str">
        <f>IFERROR(IF(IF(BZ437&gt;BA437-1,INDEX(Lista_Pedidos,BY437+BA437-1,BS437),"")=0,"",IF(BZ437&gt;BA437-1,INDEX(Lista_Pedidos,BY437+BA437-1,BS437),"")),"")</f>
        <v/>
      </c>
      <c r="BT443" s="526" t="str">
        <f>IFERROR(IF(IF(BZ437&gt;BA437-1,INDEX(Lista_Pedidos,BY437+BA437-1,BT437),"")=0,"",IF(BZ437&gt;BA437-1,INDEX(Lista_Pedidos,BY437+BA437-1,BT437),"")),"")</f>
        <v/>
      </c>
      <c r="BU443" s="526" t="str">
        <f>IFERROR(IF(IF(BZ437&gt;BA437-1,INDEX(Lista_Pedidos,BY437+BA437-1,BU437),"")=0,"",IF(BZ437&gt;BA437-1,INDEX(Lista_Pedidos,BY437+BA437-1,BU437),"")),"")</f>
        <v/>
      </c>
      <c r="BV443" s="526" t="str">
        <f>IFERROR(IF(IF(BZ437&gt;BA437-1,INDEX(Lista_Pedidos,BY437+BA437-1,BV437),"")=0,"",IF(BZ437&gt;BA437-1,INDEX(Lista_Pedidos,BY437+BA437-1,BV437),"")),"")</f>
        <v/>
      </c>
      <c r="BW443" s="857" t="str">
        <f>IF(SUM(BJ443:BV443)&gt;1,SUM(BJ443:BV443),"")</f>
        <v/>
      </c>
      <c r="BX443" s="855"/>
      <c r="BY443" s="855"/>
      <c r="BZ443" s="860"/>
      <c r="CA443" s="854" t="str">
        <f>IFERROR(INDEX(Lista_Pedidos,Procesos!CY437+CA437-1,3),"")</f>
        <v/>
      </c>
      <c r="CB443" s="855"/>
      <c r="CC443" s="855"/>
      <c r="CD443" s="855"/>
      <c r="CE443" s="856"/>
      <c r="CF443" s="857" t="str">
        <f>IF(CZ437&gt;CA437-1,CE$11,"")</f>
        <v/>
      </c>
      <c r="CG443" s="855"/>
      <c r="CH443" s="855"/>
      <c r="CI443" s="856"/>
      <c r="CJ443" s="526" t="str">
        <f>IFERROR(IF(IF(CZ437&gt;CA437-1,INDEX(Lista_Pedidos,CY437+CA437-1,CJ437),"")=0,"",IF(CZ437&gt;CA437-1,INDEX(Lista_Pedidos,CY437+CA437-1,CJ437),"")),"")</f>
        <v/>
      </c>
      <c r="CK443" s="526" t="str">
        <f>IFERROR(IF(IF(CZ437&gt;CA437-1,INDEX(Lista_Pedidos,CY437+CA437-1,CK437),"")=0,"",IF(CZ437&gt;CA437-1,INDEX(Lista_Pedidos,CY437+CA437-1,CK437),"")),"")</f>
        <v/>
      </c>
      <c r="CL443" s="526" t="str">
        <f>IFERROR(IF(IF(CZ437&gt;CA437-1,INDEX(Lista_Pedidos,CY437+CA437-1,CL437),"")=0,"",IF(CZ437&gt;CA437-1,INDEX(Lista_Pedidos,CY437+CA437-1,CL437),"")),"")</f>
        <v/>
      </c>
      <c r="CM443" s="526" t="str">
        <f>IFERROR(IF(IF(CZ437&gt;CA437-1,INDEX(Lista_Pedidos,CY437+CA437-1,CM437),"")=0,"",IF(CZ437&gt;CA437-1,INDEX(Lista_Pedidos,CY437+CA437-1,CM437),"")),"")</f>
        <v/>
      </c>
      <c r="CN443" s="526" t="str">
        <f>IFERROR(IF(IF(CZ437&gt;CA437-1,INDEX(Lista_Pedidos,CY437+CA437-1,CN437),"")=0,"",IF(CZ437&gt;CA437-1,INDEX(Lista_Pedidos,CY437+CA437-1,CN437),"")),"")</f>
        <v/>
      </c>
      <c r="CO443" s="526" t="str">
        <f>IFERROR(IF(IF(CZ437&gt;CA437-1,INDEX(Lista_Pedidos,CY437+CA437-1,CO437),"")=0,"",IF(CZ437&gt;CA437-1,INDEX(Lista_Pedidos,CY437+CA437-1,CO437),"")),"")</f>
        <v/>
      </c>
      <c r="CP443" s="526" t="str">
        <f>IFERROR(IF(IF(CZ437&gt;CA437-1,INDEX(Lista_Pedidos,CY437+CA437-1,CP437),"")=0,"",IF(CZ437&gt;CA437-1,INDEX(Lista_Pedidos,CY437+CA437-1,CP437),"")),"")</f>
        <v/>
      </c>
      <c r="CQ443" s="526" t="str">
        <f>IFERROR(IF(IF(CZ437&gt;CA437-1,INDEX(Lista_Pedidos,CY437+CA437-1,CQ437),"")=0,"",IF(CZ437&gt;CA437-1,INDEX(Lista_Pedidos,CY437+CA437-1,CQ437),"")),"")</f>
        <v/>
      </c>
      <c r="CR443" s="526" t="str">
        <f>IFERROR(IF(IF(CZ437&gt;CA437-1,INDEX(Lista_Pedidos,CY437+CA437-1,CR437),"")=0,"",IF(CZ437&gt;CA437-1,INDEX(Lista_Pedidos,CY437+CA437-1,CR437),"")),"")</f>
        <v/>
      </c>
      <c r="CS443" s="526" t="str">
        <f>IFERROR(IF(IF(CZ437&gt;CA437-1,INDEX(Lista_Pedidos,CY437+CA437-1,CS437),"")=0,"",IF(CZ437&gt;CA437-1,INDEX(Lista_Pedidos,CY437+CA437-1,CS437),"")),"")</f>
        <v/>
      </c>
      <c r="CT443" s="526" t="str">
        <f>IFERROR(IF(IF(CZ437&gt;CA437-1,INDEX(Lista_Pedidos,CY437+CA437-1,CT437),"")=0,"",IF(CZ437&gt;CA437-1,INDEX(Lista_Pedidos,CY437+CA437-1,CT437),"")),"")</f>
        <v/>
      </c>
      <c r="CU443" s="526" t="str">
        <f>IFERROR(IF(IF(CZ437&gt;CA437-1,INDEX(Lista_Pedidos,CY437+CA437-1,CU437),"")=0,"",IF(CZ437&gt;CA437-1,INDEX(Lista_Pedidos,CY437+CA437-1,CU437),"")),"")</f>
        <v/>
      </c>
      <c r="CV443" s="526" t="str">
        <f>IFERROR(IF(IF(CZ437&gt;CA437-1,INDEX(Lista_Pedidos,CY437+CA437-1,CV437),"")=0,"",IF(CZ437&gt;CA437-1,INDEX(Lista_Pedidos,CY437+CA437-1,CV437),"")),"")</f>
        <v/>
      </c>
      <c r="CW443" s="857" t="str">
        <f>IF(SUM(CJ443:CV443)&gt;1,SUM(CJ443:CV443),"")</f>
        <v/>
      </c>
      <c r="CX443" s="855"/>
      <c r="CY443" s="855"/>
      <c r="CZ443" s="860"/>
      <c r="DA443" s="854" t="str">
        <f>IFERROR(INDEX(Lista_Pedidos,Procesos!DY437+DA437-1,3),"")</f>
        <v/>
      </c>
      <c r="DB443" s="855"/>
      <c r="DC443" s="855"/>
      <c r="DD443" s="855"/>
      <c r="DE443" s="856"/>
      <c r="DF443" s="857" t="str">
        <f>IF(DZ437&gt;DA437-1,DE$11,"")</f>
        <v/>
      </c>
      <c r="DG443" s="855"/>
      <c r="DH443" s="855"/>
      <c r="DI443" s="856"/>
      <c r="DJ443" s="526" t="str">
        <f>IFERROR(IF(IF(DZ437&gt;DA437-1,INDEX(Lista_Pedidos,DY437+DA437-1,DJ437),"")=0,"",IF(DZ437&gt;DA437-1,INDEX(Lista_Pedidos,DY437+DA437-1,DJ437),"")),"")</f>
        <v/>
      </c>
      <c r="DK443" s="526" t="str">
        <f>IFERROR(IF(IF(DZ437&gt;DA437-1,INDEX(Lista_Pedidos,DY437+DA437-1,DK437),"")=0,"",IF(DZ437&gt;DA437-1,INDEX(Lista_Pedidos,DY437+DA437-1,DK437),"")),"")</f>
        <v/>
      </c>
      <c r="DL443" s="526" t="str">
        <f>IFERROR(IF(IF(DZ437&gt;DA437-1,INDEX(Lista_Pedidos,DY437+DA437-1,DL437),"")=0,"",IF(DZ437&gt;DA437-1,INDEX(Lista_Pedidos,DY437+DA437-1,DL437),"")),"")</f>
        <v/>
      </c>
      <c r="DM443" s="526" t="str">
        <f>IFERROR(IF(IF(DZ437&gt;DA437-1,INDEX(Lista_Pedidos,DY437+DA437-1,DM437),"")=0,"",IF(DZ437&gt;DA437-1,INDEX(Lista_Pedidos,DY437+DA437-1,DM437),"")),"")</f>
        <v/>
      </c>
      <c r="DN443" s="526" t="str">
        <f>IFERROR(IF(IF(DZ437&gt;DA437-1,INDEX(Lista_Pedidos,DY437+DA437-1,DN437),"")=0,"",IF(DZ437&gt;DA437-1,INDEX(Lista_Pedidos,DY437+DA437-1,DN437),"")),"")</f>
        <v/>
      </c>
      <c r="DO443" s="526" t="str">
        <f>IFERROR(IF(IF(DZ437&gt;DA437-1,INDEX(Lista_Pedidos,DY437+DA437-1,DO437),"")=0,"",IF(DZ437&gt;DA437-1,INDEX(Lista_Pedidos,DY437+DA437-1,DO437),"")),"")</f>
        <v/>
      </c>
      <c r="DP443" s="526" t="str">
        <f>IFERROR(IF(IF(DZ437&gt;DA437-1,INDEX(Lista_Pedidos,DY437+DA437-1,DP437),"")=0,"",IF(DZ437&gt;DA437-1,INDEX(Lista_Pedidos,DY437+DA437-1,DP437),"")),"")</f>
        <v/>
      </c>
      <c r="DQ443" s="526" t="str">
        <f>IFERROR(IF(IF(DZ437&gt;DA437-1,INDEX(Lista_Pedidos,DY437+DA437-1,DQ437),"")=0,"",IF(DZ437&gt;DA437-1,INDEX(Lista_Pedidos,DY437+DA437-1,DQ437),"")),"")</f>
        <v/>
      </c>
      <c r="DR443" s="526" t="str">
        <f>IFERROR(IF(IF(DZ437&gt;DA437-1,INDEX(Lista_Pedidos,DY437+DA437-1,DR437),"")=0,"",IF(DZ437&gt;DA437-1,INDEX(Lista_Pedidos,DY437+DA437-1,DR437),"")),"")</f>
        <v/>
      </c>
      <c r="DS443" s="526" t="str">
        <f>IFERROR(IF(IF(DZ437&gt;DA437-1,INDEX(Lista_Pedidos,DY437+DA437-1,DS437),"")=0,"",IF(DZ437&gt;DA437-1,INDEX(Lista_Pedidos,DY437+DA437-1,DS437),"")),"")</f>
        <v/>
      </c>
      <c r="DT443" s="526" t="str">
        <f>IFERROR(IF(IF(DZ437&gt;DA437-1,INDEX(Lista_Pedidos,DY437+DA437-1,DT437),"")=0,"",IF(DZ437&gt;DA437-1,INDEX(Lista_Pedidos,DY437+DA437-1,DT437),"")),"")</f>
        <v/>
      </c>
      <c r="DU443" s="526" t="str">
        <f>IFERROR(IF(IF(DZ437&gt;DA437-1,INDEX(Lista_Pedidos,DY437+DA437-1,DU437),"")=0,"",IF(DZ437&gt;DA437-1,INDEX(Lista_Pedidos,DY437+DA437-1,DU437),"")),"")</f>
        <v/>
      </c>
      <c r="DV443" s="526" t="str">
        <f>IFERROR(IF(IF(DZ437&gt;DA437-1,INDEX(Lista_Pedidos,DY437+DA437-1,DV437),"")=0,"",IF(DZ437&gt;DA437-1,INDEX(Lista_Pedidos,DY437+DA437-1,DV437),"")),"")</f>
        <v/>
      </c>
      <c r="DW443" s="857" t="str">
        <f>IF(SUM(DJ443:DV443)&gt;1,SUM(DJ443:DV443),"")</f>
        <v/>
      </c>
      <c r="DX443" s="855"/>
      <c r="DY443" s="855"/>
      <c r="DZ443" s="860"/>
      <c r="EA443" s="854" t="str">
        <f>IFERROR(INDEX(Lista_Pedidos,Procesos!EY437+EA437-1,3),"")</f>
        <v/>
      </c>
      <c r="EB443" s="855"/>
      <c r="EC443" s="855"/>
      <c r="ED443" s="855"/>
      <c r="EE443" s="856"/>
      <c r="EF443" s="857" t="str">
        <f>IF(EZ437&gt;EA437-1,EE$11,"")</f>
        <v/>
      </c>
      <c r="EG443" s="855"/>
      <c r="EH443" s="855"/>
      <c r="EI443" s="856"/>
      <c r="EJ443" s="526" t="str">
        <f>IFERROR(IF(IF(EZ437&gt;EA437-1,INDEX(Lista_Pedidos,EY437+EA437-1,EJ437),"")=0,"",IF(EZ437&gt;EA437-1,INDEX(Lista_Pedidos,EY437+EA437-1,EJ437),"")),"")</f>
        <v/>
      </c>
      <c r="EK443" s="526" t="str">
        <f>IFERROR(IF(IF(EZ437&gt;EA437-1,INDEX(Lista_Pedidos,EY437+EA437-1,EK437),"")=0,"",IF(EZ437&gt;EA437-1,INDEX(Lista_Pedidos,EY437+EA437-1,EK437),"")),"")</f>
        <v/>
      </c>
      <c r="EL443" s="526" t="str">
        <f>IFERROR(IF(IF(EZ437&gt;EA437-1,INDEX(Lista_Pedidos,EY437+EA437-1,EL437),"")=0,"",IF(EZ437&gt;EA437-1,INDEX(Lista_Pedidos,EY437+EA437-1,EL437),"")),"")</f>
        <v/>
      </c>
      <c r="EM443" s="526" t="str">
        <f>IFERROR(IF(IF(EZ437&gt;EA437-1,INDEX(Lista_Pedidos,EY437+EA437-1,EM437),"")=0,"",IF(EZ437&gt;EA437-1,INDEX(Lista_Pedidos,EY437+EA437-1,EM437),"")),"")</f>
        <v/>
      </c>
      <c r="EN443" s="526" t="str">
        <f>IFERROR(IF(IF(EZ437&gt;EA437-1,INDEX(Lista_Pedidos,EY437+EA437-1,EN437),"")=0,"",IF(EZ437&gt;EA437-1,INDEX(Lista_Pedidos,EY437+EA437-1,EN437),"")),"")</f>
        <v/>
      </c>
      <c r="EO443" s="526" t="str">
        <f>IFERROR(IF(IF(EZ437&gt;EA437-1,INDEX(Lista_Pedidos,EY437+EA437-1,EO437),"")=0,"",IF(EZ437&gt;EA437-1,INDEX(Lista_Pedidos,EY437+EA437-1,EO437),"")),"")</f>
        <v/>
      </c>
      <c r="EP443" s="526" t="str">
        <f>IFERROR(IF(IF(EZ437&gt;EA437-1,INDEX(Lista_Pedidos,EY437+EA437-1,EP437),"")=0,"",IF(EZ437&gt;EA437-1,INDEX(Lista_Pedidos,EY437+EA437-1,EP437),"")),"")</f>
        <v/>
      </c>
      <c r="EQ443" s="526" t="str">
        <f>IFERROR(IF(IF(EZ437&gt;EA437-1,INDEX(Lista_Pedidos,EY437+EA437-1,EQ437),"")=0,"",IF(EZ437&gt;EA437-1,INDEX(Lista_Pedidos,EY437+EA437-1,EQ437),"")),"")</f>
        <v/>
      </c>
      <c r="ER443" s="526" t="str">
        <f>IFERROR(IF(IF(EZ437&gt;EA437-1,INDEX(Lista_Pedidos,EY437+EA437-1,ER437),"")=0,"",IF(EZ437&gt;EA437-1,INDEX(Lista_Pedidos,EY437+EA437-1,ER437),"")),"")</f>
        <v/>
      </c>
      <c r="ES443" s="526" t="str">
        <f>IFERROR(IF(IF(EZ437&gt;EA437-1,INDEX(Lista_Pedidos,EY437+EA437-1,ES437),"")=0,"",IF(EZ437&gt;EA437-1,INDEX(Lista_Pedidos,EY437+EA437-1,ES437),"")),"")</f>
        <v/>
      </c>
      <c r="ET443" s="526" t="str">
        <f>IFERROR(IF(IF(EZ437&gt;EA437-1,INDEX(Lista_Pedidos,EY437+EA437-1,ET437),"")=0,"",IF(EZ437&gt;EA437-1,INDEX(Lista_Pedidos,EY437+EA437-1,ET437),"")),"")</f>
        <v/>
      </c>
      <c r="EU443" s="526" t="str">
        <f>IFERROR(IF(IF(EZ437&gt;EA437-1,INDEX(Lista_Pedidos,EY437+EA437-1,EU437),"")=0,"",IF(EZ437&gt;EA437-1,INDEX(Lista_Pedidos,EY437+EA437-1,EU437),"")),"")</f>
        <v/>
      </c>
      <c r="EV443" s="526" t="str">
        <f>IFERROR(IF(IF(EZ437&gt;EA437-1,INDEX(Lista_Pedidos,EY437+EA437-1,EV437),"")=0,"",IF(EZ437&gt;EA437-1,INDEX(Lista_Pedidos,EY437+EA437-1,EV437),"")),"")</f>
        <v/>
      </c>
      <c r="EW443" s="857" t="str">
        <f>IF(SUM(EJ443:EV443)&gt;1,SUM(EJ443:EV443),"")</f>
        <v/>
      </c>
      <c r="EX443" s="855"/>
      <c r="EY443" s="855"/>
      <c r="EZ443" s="860"/>
      <c r="FA443" s="854" t="str">
        <f>IFERROR(INDEX(Lista_Pedidos,Procesos!FY437+FA437-1,3),"")</f>
        <v/>
      </c>
      <c r="FB443" s="855"/>
      <c r="FC443" s="855"/>
      <c r="FD443" s="855"/>
      <c r="FE443" s="856"/>
      <c r="FF443" s="857" t="str">
        <f>IF(FZ437&gt;FA437-1,FE$11,"")</f>
        <v/>
      </c>
      <c r="FG443" s="855"/>
      <c r="FH443" s="855"/>
      <c r="FI443" s="856"/>
      <c r="FJ443" s="526" t="str">
        <f>IFERROR(IF(IF(FZ437&gt;FA437-1,INDEX(Lista_Pedidos,FY437+FA437-1,FJ437),"")=0,"",IF(FZ437&gt;FA437-1,INDEX(Lista_Pedidos,FY437+FA437-1,FJ437),"")),"")</f>
        <v/>
      </c>
      <c r="FK443" s="526" t="str">
        <f>IFERROR(IF(IF(FZ437&gt;FA437-1,INDEX(Lista_Pedidos,FY437+FA437-1,FK437),"")=0,"",IF(FZ437&gt;FA437-1,INDEX(Lista_Pedidos,FY437+FA437-1,FK437),"")),"")</f>
        <v/>
      </c>
      <c r="FL443" s="526" t="str">
        <f>IFERROR(IF(IF(FZ437&gt;FA437-1,INDEX(Lista_Pedidos,FY437+FA437-1,FL437),"")=0,"",IF(FZ437&gt;FA437-1,INDEX(Lista_Pedidos,FY437+FA437-1,FL437),"")),"")</f>
        <v/>
      </c>
      <c r="FM443" s="526" t="str">
        <f>IFERROR(IF(IF(FZ437&gt;FA437-1,INDEX(Lista_Pedidos,FY437+FA437-1,FM437),"")=0,"",IF(FZ437&gt;FA437-1,INDEX(Lista_Pedidos,FY437+FA437-1,FM437),"")),"")</f>
        <v/>
      </c>
      <c r="FN443" s="526" t="str">
        <f>IFERROR(IF(IF(FZ437&gt;FA437-1,INDEX(Lista_Pedidos,FY437+FA437-1,FN437),"")=0,"",IF(FZ437&gt;FA437-1,INDEX(Lista_Pedidos,FY437+FA437-1,FN437),"")),"")</f>
        <v/>
      </c>
      <c r="FO443" s="526" t="str">
        <f>IFERROR(IF(IF(FZ437&gt;FA437-1,INDEX(Lista_Pedidos,FY437+FA437-1,FO437),"")=0,"",IF(FZ437&gt;FA437-1,INDEX(Lista_Pedidos,FY437+FA437-1,FO437),"")),"")</f>
        <v/>
      </c>
      <c r="FP443" s="526" t="str">
        <f>IFERROR(IF(IF(FZ437&gt;FA437-1,INDEX(Lista_Pedidos,FY437+FA437-1,FP437),"")=0,"",IF(FZ437&gt;FA437-1,INDEX(Lista_Pedidos,FY437+FA437-1,FP437),"")),"")</f>
        <v/>
      </c>
      <c r="FQ443" s="526" t="str">
        <f>IFERROR(IF(IF(FZ437&gt;FA437-1,INDEX(Lista_Pedidos,FY437+FA437-1,FQ437),"")=0,"",IF(FZ437&gt;FA437-1,INDEX(Lista_Pedidos,FY437+FA437-1,FQ437),"")),"")</f>
        <v/>
      </c>
      <c r="FR443" s="526" t="str">
        <f>IFERROR(IF(IF(FZ437&gt;FA437-1,INDEX(Lista_Pedidos,FY437+FA437-1,FR437),"")=0,"",IF(FZ437&gt;FA437-1,INDEX(Lista_Pedidos,FY437+FA437-1,FR437),"")),"")</f>
        <v/>
      </c>
      <c r="FS443" s="526" t="str">
        <f>IFERROR(IF(IF(FZ437&gt;FA437-1,INDEX(Lista_Pedidos,FY437+FA437-1,FS437),"")=0,"",IF(FZ437&gt;FA437-1,INDEX(Lista_Pedidos,FY437+FA437-1,FS437),"")),"")</f>
        <v/>
      </c>
      <c r="FT443" s="526" t="str">
        <f>IFERROR(IF(IF(FZ437&gt;FA437-1,INDEX(Lista_Pedidos,FY437+FA437-1,FT437),"")=0,"",IF(FZ437&gt;FA437-1,INDEX(Lista_Pedidos,FY437+FA437-1,FT437),"")),"")</f>
        <v/>
      </c>
      <c r="FU443" s="526" t="str">
        <f>IFERROR(IF(IF(FZ437&gt;FA437-1,INDEX(Lista_Pedidos,FY437+FA437-1,FU437),"")=0,"",IF(FZ437&gt;FA437-1,INDEX(Lista_Pedidos,FY437+FA437-1,FU437),"")),"")</f>
        <v/>
      </c>
      <c r="FV443" s="526" t="str">
        <f>IFERROR(IF(IF(FZ437&gt;FA437-1,INDEX(Lista_Pedidos,FY437+FA437-1,FV437),"")=0,"",IF(FZ437&gt;FA437-1,INDEX(Lista_Pedidos,FY437+FA437-1,FV437),"")),"")</f>
        <v/>
      </c>
      <c r="FW443" s="857" t="str">
        <f>IF(SUM(FJ443:FV443)&gt;1,SUM(FJ443:FV443),"")</f>
        <v/>
      </c>
      <c r="FX443" s="855"/>
      <c r="FY443" s="855"/>
      <c r="FZ443" s="860"/>
      <c r="GA443" s="854" t="str">
        <f>IFERROR(INDEX(Lista_Pedidos,Procesos!GY437+GA437-1,3),"")</f>
        <v/>
      </c>
      <c r="GB443" s="855"/>
      <c r="GC443" s="855"/>
      <c r="GD443" s="855"/>
      <c r="GE443" s="856"/>
      <c r="GF443" s="857" t="str">
        <f>IF(GZ437&gt;GA437-1,GE$11,"")</f>
        <v/>
      </c>
      <c r="GG443" s="855"/>
      <c r="GH443" s="855"/>
      <c r="GI443" s="856"/>
      <c r="GJ443" s="526" t="str">
        <f>IFERROR(IF(IF(GZ437&gt;GA437-1,INDEX(Lista_Pedidos,GY437+GA437-1,GJ437),"")=0,"",IF(GZ437&gt;GA437-1,INDEX(Lista_Pedidos,GY437+GA437-1,GJ437),"")),"")</f>
        <v/>
      </c>
      <c r="GK443" s="526" t="str">
        <f>IFERROR(IF(IF(GZ437&gt;GA437-1,INDEX(Lista_Pedidos,GY437+GA437-1,GK437),"")=0,"",IF(GZ437&gt;GA437-1,INDEX(Lista_Pedidos,GY437+GA437-1,GK437),"")),"")</f>
        <v/>
      </c>
      <c r="GL443" s="526" t="str">
        <f>IFERROR(IF(IF(GZ437&gt;GA437-1,INDEX(Lista_Pedidos,GY437+GA437-1,GL437),"")=0,"",IF(GZ437&gt;GA437-1,INDEX(Lista_Pedidos,GY437+GA437-1,GL437),"")),"")</f>
        <v/>
      </c>
      <c r="GM443" s="526" t="str">
        <f>IFERROR(IF(IF(GZ437&gt;GA437-1,INDEX(Lista_Pedidos,GY437+GA437-1,GM437),"")=0,"",IF(GZ437&gt;GA437-1,INDEX(Lista_Pedidos,GY437+GA437-1,GM437),"")),"")</f>
        <v/>
      </c>
      <c r="GN443" s="526" t="str">
        <f>IFERROR(IF(IF(GZ437&gt;GA437-1,INDEX(Lista_Pedidos,GY437+GA437-1,GN437),"")=0,"",IF(GZ437&gt;GA437-1,INDEX(Lista_Pedidos,GY437+GA437-1,GN437),"")),"")</f>
        <v/>
      </c>
      <c r="GO443" s="526" t="str">
        <f>IFERROR(IF(IF(GZ437&gt;GA437-1,INDEX(Lista_Pedidos,GY437+GA437-1,GO437),"")=0,"",IF(GZ437&gt;GA437-1,INDEX(Lista_Pedidos,GY437+GA437-1,GO437),"")),"")</f>
        <v/>
      </c>
      <c r="GP443" s="526" t="str">
        <f>IFERROR(IF(IF(GZ437&gt;GA437-1,INDEX(Lista_Pedidos,GY437+GA437-1,GP437),"")=0,"",IF(GZ437&gt;GA437-1,INDEX(Lista_Pedidos,GY437+GA437-1,GP437),"")),"")</f>
        <v/>
      </c>
      <c r="GQ443" s="526" t="str">
        <f>IFERROR(IF(IF(GZ437&gt;GA437-1,INDEX(Lista_Pedidos,GY437+GA437-1,GQ437),"")=0,"",IF(GZ437&gt;GA437-1,INDEX(Lista_Pedidos,GY437+GA437-1,GQ437),"")),"")</f>
        <v/>
      </c>
      <c r="GR443" s="526" t="str">
        <f>IFERROR(IF(IF(GZ437&gt;GA437-1,INDEX(Lista_Pedidos,GY437+GA437-1,GR437),"")=0,"",IF(GZ437&gt;GA437-1,INDEX(Lista_Pedidos,GY437+GA437-1,GR437),"")),"")</f>
        <v/>
      </c>
      <c r="GS443" s="526" t="str">
        <f>IFERROR(IF(IF(GZ437&gt;GA437-1,INDEX(Lista_Pedidos,GY437+GA437-1,GS437),"")=0,"",IF(GZ437&gt;GA437-1,INDEX(Lista_Pedidos,GY437+GA437-1,GS437),"")),"")</f>
        <v/>
      </c>
      <c r="GT443" s="526" t="str">
        <f>IFERROR(IF(IF(GZ437&gt;GA437-1,INDEX(Lista_Pedidos,GY437+GA437-1,GT437),"")=0,"",IF(GZ437&gt;GA437-1,INDEX(Lista_Pedidos,GY437+GA437-1,GT437),"")),"")</f>
        <v/>
      </c>
      <c r="GU443" s="526" t="str">
        <f>IFERROR(IF(IF(GZ437&gt;GA437-1,INDEX(Lista_Pedidos,GY437+GA437-1,GU437),"")=0,"",IF(GZ437&gt;GA437-1,INDEX(Lista_Pedidos,GY437+GA437-1,GU437),"")),"")</f>
        <v/>
      </c>
      <c r="GV443" s="526" t="str">
        <f>IFERROR(IF(IF(GZ437&gt;GA437-1,INDEX(Lista_Pedidos,GY437+GA437-1,GV437),"")=0,"",IF(GZ437&gt;GA437-1,INDEX(Lista_Pedidos,GY437+GA437-1,GV437),"")),"")</f>
        <v/>
      </c>
      <c r="GW443" s="857" t="str">
        <f>IF(SUM(GJ443:GV443)&gt;1,SUM(GJ443:GV443),"")</f>
        <v/>
      </c>
      <c r="GX443" s="855"/>
      <c r="GY443" s="855"/>
      <c r="GZ443" s="860"/>
      <c r="HA443" s="854" t="str">
        <f>IFERROR(INDEX(Lista_Pedidos,Procesos!HY437+HA437-1,3),"")</f>
        <v/>
      </c>
      <c r="HB443" s="855"/>
      <c r="HC443" s="855"/>
      <c r="HD443" s="855"/>
      <c r="HE443" s="856"/>
      <c r="HF443" s="857" t="str">
        <f>IF(HZ437&gt;HA437-1,HE$11,"")</f>
        <v/>
      </c>
      <c r="HG443" s="855"/>
      <c r="HH443" s="855"/>
      <c r="HI443" s="856"/>
      <c r="HJ443" s="526" t="str">
        <f>IFERROR(IF(IF(HZ437&gt;HA437-1,INDEX(Lista_Pedidos,HY437+HA437-1,HJ437),"")=0,"",IF(HZ437&gt;HA437-1,INDEX(Lista_Pedidos,HY437+HA437-1,HJ437),"")),"")</f>
        <v/>
      </c>
      <c r="HK443" s="526" t="str">
        <f>IFERROR(IF(IF(HZ437&gt;HA437-1,INDEX(Lista_Pedidos,HY437+HA437-1,HK437),"")=0,"",IF(HZ437&gt;HA437-1,INDEX(Lista_Pedidos,HY437+HA437-1,HK437),"")),"")</f>
        <v/>
      </c>
      <c r="HL443" s="526" t="str">
        <f>IFERROR(IF(IF(HZ437&gt;HA437-1,INDEX(Lista_Pedidos,HY437+HA437-1,HL437),"")=0,"",IF(HZ437&gt;HA437-1,INDEX(Lista_Pedidos,HY437+HA437-1,HL437),"")),"")</f>
        <v/>
      </c>
      <c r="HM443" s="526" t="str">
        <f>IFERROR(IF(IF(HZ437&gt;HA437-1,INDEX(Lista_Pedidos,HY437+HA437-1,HM437),"")=0,"",IF(HZ437&gt;HA437-1,INDEX(Lista_Pedidos,HY437+HA437-1,HM437),"")),"")</f>
        <v/>
      </c>
      <c r="HN443" s="526" t="str">
        <f>IFERROR(IF(IF(HZ437&gt;HA437-1,INDEX(Lista_Pedidos,HY437+HA437-1,HN437),"")=0,"",IF(HZ437&gt;HA437-1,INDEX(Lista_Pedidos,HY437+HA437-1,HN437),"")),"")</f>
        <v/>
      </c>
      <c r="HO443" s="526" t="str">
        <f>IFERROR(IF(IF(HZ437&gt;HA437-1,INDEX(Lista_Pedidos,HY437+HA437-1,HO437),"")=0,"",IF(HZ437&gt;HA437-1,INDEX(Lista_Pedidos,HY437+HA437-1,HO437),"")),"")</f>
        <v/>
      </c>
      <c r="HP443" s="526" t="str">
        <f>IFERROR(IF(IF(HZ437&gt;HA437-1,INDEX(Lista_Pedidos,HY437+HA437-1,HP437),"")=0,"",IF(HZ437&gt;HA437-1,INDEX(Lista_Pedidos,HY437+HA437-1,HP437),"")),"")</f>
        <v/>
      </c>
      <c r="HQ443" s="526" t="str">
        <f>IFERROR(IF(IF(HZ437&gt;HA437-1,INDEX(Lista_Pedidos,HY437+HA437-1,HQ437),"")=0,"",IF(HZ437&gt;HA437-1,INDEX(Lista_Pedidos,HY437+HA437-1,HQ437),"")),"")</f>
        <v/>
      </c>
      <c r="HR443" s="526" t="str">
        <f>IFERROR(IF(IF(HZ437&gt;HA437-1,INDEX(Lista_Pedidos,HY437+HA437-1,HR437),"")=0,"",IF(HZ437&gt;HA437-1,INDEX(Lista_Pedidos,HY437+HA437-1,HR437),"")),"")</f>
        <v/>
      </c>
      <c r="HS443" s="526" t="str">
        <f>IFERROR(IF(IF(HZ437&gt;HA437-1,INDEX(Lista_Pedidos,HY437+HA437-1,HS437),"")=0,"",IF(HZ437&gt;HA437-1,INDEX(Lista_Pedidos,HY437+HA437-1,HS437),"")),"")</f>
        <v/>
      </c>
      <c r="HT443" s="526" t="str">
        <f>IFERROR(IF(IF(HZ437&gt;HA437-1,INDEX(Lista_Pedidos,HY437+HA437-1,HT437),"")=0,"",IF(HZ437&gt;HA437-1,INDEX(Lista_Pedidos,HY437+HA437-1,HT437),"")),"")</f>
        <v/>
      </c>
      <c r="HU443" s="526" t="str">
        <f>IFERROR(IF(IF(HZ437&gt;HA437-1,INDEX(Lista_Pedidos,HY437+HA437-1,HU437),"")=0,"",IF(HZ437&gt;HA437-1,INDEX(Lista_Pedidos,HY437+HA437-1,HU437),"")),"")</f>
        <v/>
      </c>
      <c r="HV443" s="526" t="str">
        <f>IFERROR(IF(IF(HZ437&gt;HA437-1,INDEX(Lista_Pedidos,HY437+HA437-1,HV437),"")=0,"",IF(HZ437&gt;HA437-1,INDEX(Lista_Pedidos,HY437+HA437-1,HV437),"")),"")</f>
        <v/>
      </c>
      <c r="HW443" s="857" t="str">
        <f>IF(SUM(HJ443:HV443)&gt;1,SUM(HJ443:HV443),"")</f>
        <v/>
      </c>
      <c r="HX443" s="855"/>
      <c r="HY443" s="855"/>
      <c r="HZ443" s="860"/>
      <c r="IA443" s="854" t="str">
        <f>IFERROR(INDEX(Lista_Pedidos,Procesos!IY437+IA437-1,3),"")</f>
        <v/>
      </c>
      <c r="IB443" s="855"/>
      <c r="IC443" s="855"/>
      <c r="ID443" s="855"/>
      <c r="IE443" s="856"/>
      <c r="IF443" s="857" t="str">
        <f>IF(IZ437&gt;IA437-1,IE$11,"")</f>
        <v/>
      </c>
      <c r="IG443" s="855"/>
      <c r="IH443" s="855"/>
      <c r="II443" s="856"/>
      <c r="IJ443" s="526" t="str">
        <f>IFERROR(IF(IF(IZ437&gt;IA437-1,INDEX(Lista_Pedidos,IY437+IA437-1,IJ437),"")=0,"",IF(IZ437&gt;IA437-1,INDEX(Lista_Pedidos,IY437+IA437-1,IJ437),"")),"")</f>
        <v/>
      </c>
      <c r="IK443" s="526" t="str">
        <f>IFERROR(IF(IF(IZ437&gt;IA437-1,INDEX(Lista_Pedidos,IY437+IA437-1,IK437),"")=0,"",IF(IZ437&gt;IA437-1,INDEX(Lista_Pedidos,IY437+IA437-1,IK437),"")),"")</f>
        <v/>
      </c>
      <c r="IL443" s="526" t="str">
        <f>IFERROR(IF(IF(IZ437&gt;IA437-1,INDEX(Lista_Pedidos,IY437+IA437-1,IL437),"")=0,"",IF(IZ437&gt;IA437-1,INDEX(Lista_Pedidos,IY437+IA437-1,IL437),"")),"")</f>
        <v/>
      </c>
      <c r="IM443" s="526" t="str">
        <f>IFERROR(IF(IF(IZ437&gt;IA437-1,INDEX(Lista_Pedidos,IY437+IA437-1,IM437),"")=0,"",IF(IZ437&gt;IA437-1,INDEX(Lista_Pedidos,IY437+IA437-1,IM437),"")),"")</f>
        <v/>
      </c>
      <c r="IN443" s="526" t="str">
        <f>IFERROR(IF(IF(IZ437&gt;IA437-1,INDEX(Lista_Pedidos,IY437+IA437-1,IN437),"")=0,"",IF(IZ437&gt;IA437-1,INDEX(Lista_Pedidos,IY437+IA437-1,IN437),"")),"")</f>
        <v/>
      </c>
      <c r="IO443" s="526" t="str">
        <f>IFERROR(IF(IF(IZ437&gt;IA437-1,INDEX(Lista_Pedidos,IY437+IA437-1,IO437),"")=0,"",IF(IZ437&gt;IA437-1,INDEX(Lista_Pedidos,IY437+IA437-1,IO437),"")),"")</f>
        <v/>
      </c>
      <c r="IP443" s="526" t="str">
        <f>IFERROR(IF(IF(IZ437&gt;IA437-1,INDEX(Lista_Pedidos,IY437+IA437-1,IP437),"")=0,"",IF(IZ437&gt;IA437-1,INDEX(Lista_Pedidos,IY437+IA437-1,IP437),"")),"")</f>
        <v/>
      </c>
      <c r="IQ443" s="526" t="str">
        <f>IFERROR(IF(IF(IZ437&gt;IA437-1,INDEX(Lista_Pedidos,IY437+IA437-1,IQ437),"")=0,"",IF(IZ437&gt;IA437-1,INDEX(Lista_Pedidos,IY437+IA437-1,IQ437),"")),"")</f>
        <v/>
      </c>
      <c r="IR443" s="526" t="str">
        <f>IFERROR(IF(IF(IZ437&gt;IA437-1,INDEX(Lista_Pedidos,IY437+IA437-1,IR437),"")=0,"",IF(IZ437&gt;IA437-1,INDEX(Lista_Pedidos,IY437+IA437-1,IR437),"")),"")</f>
        <v/>
      </c>
      <c r="IS443" s="526" t="str">
        <f>IFERROR(IF(IF(IZ437&gt;IA437-1,INDEX(Lista_Pedidos,IY437+IA437-1,IS437),"")=0,"",IF(IZ437&gt;IA437-1,INDEX(Lista_Pedidos,IY437+IA437-1,IS437),"")),"")</f>
        <v/>
      </c>
      <c r="IT443" s="526" t="str">
        <f>IFERROR(IF(IF(IZ437&gt;IA437-1,INDEX(Lista_Pedidos,IY437+IA437-1,IT437),"")=0,"",IF(IZ437&gt;IA437-1,INDEX(Lista_Pedidos,IY437+IA437-1,IT437),"")),"")</f>
        <v/>
      </c>
      <c r="IU443" s="526" t="str">
        <f>IFERROR(IF(IF(IZ437&gt;IA437-1,INDEX(Lista_Pedidos,IY437+IA437-1,IU437),"")=0,"",IF(IZ437&gt;IA437-1,INDEX(Lista_Pedidos,IY437+IA437-1,IU437),"")),"")</f>
        <v/>
      </c>
      <c r="IV443" s="526" t="str">
        <f>IFERROR(IF(IF(IZ437&gt;IA437-1,INDEX(Lista_Pedidos,IY437+IA437-1,IV437),"")=0,"",IF(IZ437&gt;IA437-1,INDEX(Lista_Pedidos,IY437+IA437-1,IV437),"")),"")</f>
        <v/>
      </c>
      <c r="IW443" s="857" t="str">
        <f>IF(SUM(IJ443:IV443)&gt;1,SUM(IJ443:IV443),"")</f>
        <v/>
      </c>
      <c r="IX443" s="855"/>
      <c r="IY443" s="855"/>
      <c r="IZ443" s="860"/>
    </row>
    <row r="444" spans="1:260" x14ac:dyDescent="0.25">
      <c r="A444" s="823"/>
      <c r="B444" s="824"/>
      <c r="C444" s="824"/>
      <c r="D444" s="824"/>
      <c r="E444" s="824"/>
      <c r="F444" s="824"/>
      <c r="G444" s="824"/>
      <c r="H444" s="824"/>
      <c r="I444" s="824"/>
      <c r="J444" s="824"/>
      <c r="K444" s="824"/>
      <c r="L444" s="824"/>
      <c r="M444" s="824"/>
      <c r="N444" s="824"/>
      <c r="O444" s="824"/>
      <c r="P444" s="824"/>
      <c r="Q444" s="824"/>
      <c r="R444" s="824"/>
      <c r="S444" s="824"/>
      <c r="T444" s="824"/>
      <c r="U444" s="824"/>
      <c r="V444" s="824"/>
      <c r="W444" s="824" t="str">
        <f>IFERROR(IF(Z437&gt;A437-1,IF(INDEX(Lista_Pedidos,Y437+A437-1,2)&lt;&gt;"",INDEX(Lista_Pedidos,Y437+A437-1,2),""),""),"")</f>
        <v/>
      </c>
      <c r="X444" s="824"/>
      <c r="Y444" s="824"/>
      <c r="Z444" s="825"/>
      <c r="AA444" s="823"/>
      <c r="AB444" s="824"/>
      <c r="AC444" s="824"/>
      <c r="AD444" s="824"/>
      <c r="AE444" s="824"/>
      <c r="AF444" s="824"/>
      <c r="AG444" s="824"/>
      <c r="AH444" s="824"/>
      <c r="AI444" s="824"/>
      <c r="AJ444" s="824"/>
      <c r="AK444" s="824"/>
      <c r="AL444" s="824"/>
      <c r="AM444" s="824"/>
      <c r="AN444" s="824"/>
      <c r="AO444" s="824"/>
      <c r="AP444" s="824"/>
      <c r="AQ444" s="824"/>
      <c r="AR444" s="824"/>
      <c r="AS444" s="824"/>
      <c r="AT444" s="824"/>
      <c r="AU444" s="824"/>
      <c r="AV444" s="824"/>
      <c r="AW444" s="824" t="str">
        <f>IFERROR(IF(AZ437&gt;AA437-1,IF(INDEX(Lista_Pedidos,AY437+AA437-1,2)&lt;&gt;"",INDEX(Lista_Pedidos,AY437+AA437-1,2),""),""),"")</f>
        <v/>
      </c>
      <c r="AX444" s="824"/>
      <c r="AY444" s="824"/>
      <c r="AZ444" s="825"/>
      <c r="BA444" s="823"/>
      <c r="BB444" s="824"/>
      <c r="BC444" s="824"/>
      <c r="BD444" s="824"/>
      <c r="BE444" s="824"/>
      <c r="BF444" s="824"/>
      <c r="BG444" s="824"/>
      <c r="BH444" s="824"/>
      <c r="BI444" s="824"/>
      <c r="BJ444" s="824"/>
      <c r="BK444" s="824"/>
      <c r="BL444" s="824"/>
      <c r="BM444" s="824"/>
      <c r="BN444" s="824"/>
      <c r="BO444" s="824"/>
      <c r="BP444" s="824"/>
      <c r="BQ444" s="824"/>
      <c r="BR444" s="824"/>
      <c r="BS444" s="824"/>
      <c r="BT444" s="824"/>
      <c r="BU444" s="824"/>
      <c r="BV444" s="824"/>
      <c r="BW444" s="824" t="str">
        <f>IFERROR(IF(BZ437&gt;BA437-1,IF(INDEX(Lista_Pedidos,BY437+BA437-1,2)&lt;&gt;"",INDEX(Lista_Pedidos,BY437+BA437-1,2),""),""),"")</f>
        <v/>
      </c>
      <c r="BX444" s="824"/>
      <c r="BY444" s="824"/>
      <c r="BZ444" s="825"/>
      <c r="CA444" s="823"/>
      <c r="CB444" s="824"/>
      <c r="CC444" s="824"/>
      <c r="CD444" s="824"/>
      <c r="CE444" s="824"/>
      <c r="CF444" s="824"/>
      <c r="CG444" s="824"/>
      <c r="CH444" s="824"/>
      <c r="CI444" s="824"/>
      <c r="CJ444" s="824"/>
      <c r="CK444" s="824"/>
      <c r="CL444" s="824"/>
      <c r="CM444" s="824"/>
      <c r="CN444" s="824"/>
      <c r="CO444" s="824"/>
      <c r="CP444" s="824"/>
      <c r="CQ444" s="824"/>
      <c r="CR444" s="824"/>
      <c r="CS444" s="824"/>
      <c r="CT444" s="824"/>
      <c r="CU444" s="824"/>
      <c r="CV444" s="824"/>
      <c r="CW444" s="824" t="str">
        <f>IFERROR(IF(CZ437&gt;CA437-1,IF(INDEX(Lista_Pedidos,CY437+CA437-1,2)&lt;&gt;"",INDEX(Lista_Pedidos,CY437+CA437-1,2),""),""),"")</f>
        <v/>
      </c>
      <c r="CX444" s="824"/>
      <c r="CY444" s="824"/>
      <c r="CZ444" s="825"/>
      <c r="DA444" s="823"/>
      <c r="DB444" s="824"/>
      <c r="DC444" s="824"/>
      <c r="DD444" s="824"/>
      <c r="DE444" s="824"/>
      <c r="DF444" s="824"/>
      <c r="DG444" s="824"/>
      <c r="DH444" s="824"/>
      <c r="DI444" s="824"/>
      <c r="DJ444" s="824"/>
      <c r="DK444" s="824"/>
      <c r="DL444" s="824"/>
      <c r="DM444" s="824"/>
      <c r="DN444" s="824"/>
      <c r="DO444" s="824"/>
      <c r="DP444" s="824"/>
      <c r="DQ444" s="824"/>
      <c r="DR444" s="824"/>
      <c r="DS444" s="824"/>
      <c r="DT444" s="824"/>
      <c r="DU444" s="824"/>
      <c r="DV444" s="824"/>
      <c r="DW444" s="824" t="str">
        <f>IFERROR(IF(DZ437&gt;DA437-1,IF(INDEX(Lista_Pedidos,DY437+DA437-1,2)&lt;&gt;"",INDEX(Lista_Pedidos,DY437+DA437-1,2),""),""),"")</f>
        <v/>
      </c>
      <c r="DX444" s="824"/>
      <c r="DY444" s="824"/>
      <c r="DZ444" s="825"/>
      <c r="EA444" s="823"/>
      <c r="EB444" s="824"/>
      <c r="EC444" s="824"/>
      <c r="ED444" s="824"/>
      <c r="EE444" s="824"/>
      <c r="EF444" s="824"/>
      <c r="EG444" s="824"/>
      <c r="EH444" s="824"/>
      <c r="EI444" s="824"/>
      <c r="EJ444" s="824"/>
      <c r="EK444" s="824"/>
      <c r="EL444" s="824"/>
      <c r="EM444" s="824"/>
      <c r="EN444" s="824"/>
      <c r="EO444" s="824"/>
      <c r="EP444" s="824"/>
      <c r="EQ444" s="824"/>
      <c r="ER444" s="824"/>
      <c r="ES444" s="824"/>
      <c r="ET444" s="824"/>
      <c r="EU444" s="824"/>
      <c r="EV444" s="824"/>
      <c r="EW444" s="824" t="str">
        <f>IFERROR(IF(EZ437&gt;EA437-1,IF(INDEX(Lista_Pedidos,EY437+EA437-1,2)&lt;&gt;"",INDEX(Lista_Pedidos,EY437+EA437-1,2),""),""),"")</f>
        <v/>
      </c>
      <c r="EX444" s="824"/>
      <c r="EY444" s="824"/>
      <c r="EZ444" s="825"/>
      <c r="FA444" s="823"/>
      <c r="FB444" s="824"/>
      <c r="FC444" s="824"/>
      <c r="FD444" s="824"/>
      <c r="FE444" s="824"/>
      <c r="FF444" s="824"/>
      <c r="FG444" s="824"/>
      <c r="FH444" s="824"/>
      <c r="FI444" s="824"/>
      <c r="FJ444" s="824"/>
      <c r="FK444" s="824"/>
      <c r="FL444" s="824"/>
      <c r="FM444" s="824"/>
      <c r="FN444" s="824"/>
      <c r="FO444" s="824"/>
      <c r="FP444" s="824"/>
      <c r="FQ444" s="824"/>
      <c r="FR444" s="824"/>
      <c r="FS444" s="824"/>
      <c r="FT444" s="824"/>
      <c r="FU444" s="824"/>
      <c r="FV444" s="824"/>
      <c r="FW444" s="824" t="str">
        <f>IFERROR(IF(FZ437&gt;FA437-1,IF(INDEX(Lista_Pedidos,FY437+FA437-1,2)&lt;&gt;"",INDEX(Lista_Pedidos,FY437+FA437-1,2),""),""),"")</f>
        <v/>
      </c>
      <c r="FX444" s="824"/>
      <c r="FY444" s="824"/>
      <c r="FZ444" s="825"/>
      <c r="GA444" s="823"/>
      <c r="GB444" s="824"/>
      <c r="GC444" s="824"/>
      <c r="GD444" s="824"/>
      <c r="GE444" s="824"/>
      <c r="GF444" s="824"/>
      <c r="GG444" s="824"/>
      <c r="GH444" s="824"/>
      <c r="GI444" s="824"/>
      <c r="GJ444" s="824"/>
      <c r="GK444" s="824"/>
      <c r="GL444" s="824"/>
      <c r="GM444" s="824"/>
      <c r="GN444" s="824"/>
      <c r="GO444" s="824"/>
      <c r="GP444" s="824"/>
      <c r="GQ444" s="824"/>
      <c r="GR444" s="824"/>
      <c r="GS444" s="824"/>
      <c r="GT444" s="824"/>
      <c r="GU444" s="824"/>
      <c r="GV444" s="824"/>
      <c r="GW444" s="824" t="str">
        <f>IFERROR(IF(GZ437&gt;GA437-1,IF(INDEX(Lista_Pedidos,GY437+GA437-1,2)&lt;&gt;"",INDEX(Lista_Pedidos,GY437+GA437-1,2),""),""),"")</f>
        <v/>
      </c>
      <c r="GX444" s="824"/>
      <c r="GY444" s="824"/>
      <c r="GZ444" s="825"/>
      <c r="HA444" s="823"/>
      <c r="HB444" s="824"/>
      <c r="HC444" s="824"/>
      <c r="HD444" s="824"/>
      <c r="HE444" s="824"/>
      <c r="HF444" s="824"/>
      <c r="HG444" s="824"/>
      <c r="HH444" s="824"/>
      <c r="HI444" s="824"/>
      <c r="HJ444" s="824"/>
      <c r="HK444" s="824"/>
      <c r="HL444" s="824"/>
      <c r="HM444" s="824"/>
      <c r="HN444" s="824"/>
      <c r="HO444" s="824"/>
      <c r="HP444" s="824"/>
      <c r="HQ444" s="824"/>
      <c r="HR444" s="824"/>
      <c r="HS444" s="824"/>
      <c r="HT444" s="824"/>
      <c r="HU444" s="824"/>
      <c r="HV444" s="824"/>
      <c r="HW444" s="824" t="str">
        <f>IFERROR(IF(HZ437&gt;HA437-1,IF(INDEX(Lista_Pedidos,HY437+HA437-1,2)&lt;&gt;"",INDEX(Lista_Pedidos,HY437+HA437-1,2),""),""),"")</f>
        <v/>
      </c>
      <c r="HX444" s="824"/>
      <c r="HY444" s="824"/>
      <c r="HZ444" s="825"/>
      <c r="IA444" s="823"/>
      <c r="IB444" s="824"/>
      <c r="IC444" s="824"/>
      <c r="ID444" s="824"/>
      <c r="IE444" s="824"/>
      <c r="IF444" s="824"/>
      <c r="IG444" s="824"/>
      <c r="IH444" s="824"/>
      <c r="II444" s="824"/>
      <c r="IJ444" s="824"/>
      <c r="IK444" s="824"/>
      <c r="IL444" s="824"/>
      <c r="IM444" s="824"/>
      <c r="IN444" s="824"/>
      <c r="IO444" s="824"/>
      <c r="IP444" s="824"/>
      <c r="IQ444" s="824"/>
      <c r="IR444" s="824"/>
      <c r="IS444" s="824"/>
      <c r="IT444" s="824"/>
      <c r="IU444" s="824"/>
      <c r="IV444" s="824"/>
      <c r="IW444" s="824" t="str">
        <f>IFERROR(IF(IZ437&gt;IA437-1,IF(INDEX(Lista_Pedidos,IY437+IA437-1,2)&lt;&gt;"",INDEX(Lista_Pedidos,IY437+IA437-1,2),""),""),"")</f>
        <v/>
      </c>
      <c r="IX444" s="824"/>
      <c r="IY444" s="824"/>
      <c r="IZ444" s="825"/>
    </row>
    <row r="445" spans="1:260" x14ac:dyDescent="0.25">
      <c r="A445" s="800" t="str">
        <f>IFERROR(IF(Z437&gt;A437-1,IF(INDEX(Lista_Pedidos,Y437+A437-1,6)&lt;&gt;"","Nombre de la Tela :     "&amp; INDEX(Lista_Pedidos,Y437+A437-1,6),""),""),"")</f>
        <v/>
      </c>
      <c r="B445" s="801"/>
      <c r="C445" s="801"/>
      <c r="D445" s="801"/>
      <c r="E445" s="801"/>
      <c r="F445" s="801"/>
      <c r="G445" s="801"/>
      <c r="H445" s="801"/>
      <c r="I445" s="801"/>
      <c r="J445" s="801"/>
      <c r="K445" s="801"/>
      <c r="L445" s="801"/>
      <c r="M445" s="801"/>
      <c r="N445" s="801"/>
      <c r="O445" s="801"/>
      <c r="P445" s="801"/>
      <c r="Q445" s="801"/>
      <c r="R445" s="801"/>
      <c r="S445" s="801"/>
      <c r="T445" s="801"/>
      <c r="U445" s="801"/>
      <c r="V445" s="801"/>
      <c r="W445" s="826"/>
      <c r="X445" s="826"/>
      <c r="Y445" s="826"/>
      <c r="Z445" s="827"/>
      <c r="AA445" s="800" t="str">
        <f>IFERROR(IF(AZ437&gt;AA437-1,IF(INDEX(Lista_Pedidos,AY437+AA437-1,6)&lt;&gt;"","Nombre de la Tela :     "&amp; INDEX(Lista_Pedidos,AY437+AA437-1,6),""),""),"")</f>
        <v/>
      </c>
      <c r="AB445" s="801"/>
      <c r="AC445" s="801"/>
      <c r="AD445" s="801"/>
      <c r="AE445" s="801"/>
      <c r="AF445" s="801"/>
      <c r="AG445" s="801"/>
      <c r="AH445" s="801"/>
      <c r="AI445" s="801"/>
      <c r="AJ445" s="801"/>
      <c r="AK445" s="801"/>
      <c r="AL445" s="801"/>
      <c r="AM445" s="801"/>
      <c r="AN445" s="801"/>
      <c r="AO445" s="801"/>
      <c r="AP445" s="801"/>
      <c r="AQ445" s="801"/>
      <c r="AR445" s="801"/>
      <c r="AS445" s="801"/>
      <c r="AT445" s="801"/>
      <c r="AU445" s="801"/>
      <c r="AV445" s="801"/>
      <c r="AW445" s="826"/>
      <c r="AX445" s="826"/>
      <c r="AY445" s="826"/>
      <c r="AZ445" s="827"/>
      <c r="BA445" s="800" t="str">
        <f>IFERROR(IF(BZ437&gt;BA437-1,IF(INDEX(Lista_Pedidos,BY437+BA437-1,6)&lt;&gt;"","Nombre de la Tela :     "&amp; INDEX(Lista_Pedidos,BY437+BA437-1,6),""),""),"")</f>
        <v/>
      </c>
      <c r="BB445" s="801"/>
      <c r="BC445" s="801"/>
      <c r="BD445" s="801"/>
      <c r="BE445" s="801"/>
      <c r="BF445" s="801"/>
      <c r="BG445" s="801"/>
      <c r="BH445" s="801"/>
      <c r="BI445" s="801"/>
      <c r="BJ445" s="801"/>
      <c r="BK445" s="801"/>
      <c r="BL445" s="801"/>
      <c r="BM445" s="801"/>
      <c r="BN445" s="801"/>
      <c r="BO445" s="801"/>
      <c r="BP445" s="801"/>
      <c r="BQ445" s="801"/>
      <c r="BR445" s="801"/>
      <c r="BS445" s="801"/>
      <c r="BT445" s="801"/>
      <c r="BU445" s="801"/>
      <c r="BV445" s="801"/>
      <c r="BW445" s="826"/>
      <c r="BX445" s="826"/>
      <c r="BY445" s="826"/>
      <c r="BZ445" s="827"/>
      <c r="CA445" s="800" t="str">
        <f>IFERROR(IF(CZ437&gt;CA437-1,IF(INDEX(Lista_Pedidos,CY437+CA437-1,6)&lt;&gt;"","Nombre de la Tela :     "&amp; INDEX(Lista_Pedidos,CY437+CA437-1,6),""),""),"")</f>
        <v/>
      </c>
      <c r="CB445" s="801"/>
      <c r="CC445" s="801"/>
      <c r="CD445" s="801"/>
      <c r="CE445" s="801"/>
      <c r="CF445" s="801"/>
      <c r="CG445" s="801"/>
      <c r="CH445" s="801"/>
      <c r="CI445" s="801"/>
      <c r="CJ445" s="801"/>
      <c r="CK445" s="801"/>
      <c r="CL445" s="801"/>
      <c r="CM445" s="801"/>
      <c r="CN445" s="801"/>
      <c r="CO445" s="801"/>
      <c r="CP445" s="801"/>
      <c r="CQ445" s="801"/>
      <c r="CR445" s="801"/>
      <c r="CS445" s="801"/>
      <c r="CT445" s="801"/>
      <c r="CU445" s="801"/>
      <c r="CV445" s="801"/>
      <c r="CW445" s="826"/>
      <c r="CX445" s="826"/>
      <c r="CY445" s="826"/>
      <c r="CZ445" s="827"/>
      <c r="DA445" s="800" t="str">
        <f>IFERROR(IF(DZ437&gt;DA437-1,IF(INDEX(Lista_Pedidos,DY437+DA437-1,6)&lt;&gt;"","Nombre de la Tela :     "&amp; INDEX(Lista_Pedidos,DY437+DA437-1,6),""),""),"")</f>
        <v/>
      </c>
      <c r="DB445" s="801"/>
      <c r="DC445" s="801"/>
      <c r="DD445" s="801"/>
      <c r="DE445" s="801"/>
      <c r="DF445" s="801"/>
      <c r="DG445" s="801"/>
      <c r="DH445" s="801"/>
      <c r="DI445" s="801"/>
      <c r="DJ445" s="801"/>
      <c r="DK445" s="801"/>
      <c r="DL445" s="801"/>
      <c r="DM445" s="801"/>
      <c r="DN445" s="801"/>
      <c r="DO445" s="801"/>
      <c r="DP445" s="801"/>
      <c r="DQ445" s="801"/>
      <c r="DR445" s="801"/>
      <c r="DS445" s="801"/>
      <c r="DT445" s="801"/>
      <c r="DU445" s="801"/>
      <c r="DV445" s="801"/>
      <c r="DW445" s="826"/>
      <c r="DX445" s="826"/>
      <c r="DY445" s="826"/>
      <c r="DZ445" s="827"/>
      <c r="EA445" s="800" t="str">
        <f>IFERROR(IF(EZ437&gt;EA437-1,IF(INDEX(Lista_Pedidos,EY437+EA437-1,6)&lt;&gt;"","Nombre de la Tela :     "&amp; INDEX(Lista_Pedidos,EY437+EA437-1,6),""),""),"")</f>
        <v/>
      </c>
      <c r="EB445" s="801"/>
      <c r="EC445" s="801"/>
      <c r="ED445" s="801"/>
      <c r="EE445" s="801"/>
      <c r="EF445" s="801"/>
      <c r="EG445" s="801"/>
      <c r="EH445" s="801"/>
      <c r="EI445" s="801"/>
      <c r="EJ445" s="801"/>
      <c r="EK445" s="801"/>
      <c r="EL445" s="801"/>
      <c r="EM445" s="801"/>
      <c r="EN445" s="801"/>
      <c r="EO445" s="801"/>
      <c r="EP445" s="801"/>
      <c r="EQ445" s="801"/>
      <c r="ER445" s="801"/>
      <c r="ES445" s="801"/>
      <c r="ET445" s="801"/>
      <c r="EU445" s="801"/>
      <c r="EV445" s="801"/>
      <c r="EW445" s="826"/>
      <c r="EX445" s="826"/>
      <c r="EY445" s="826"/>
      <c r="EZ445" s="827"/>
      <c r="FA445" s="800" t="str">
        <f>IFERROR(IF(FZ437&gt;FA437-1,IF(INDEX(Lista_Pedidos,FY437+FA437-1,6)&lt;&gt;"","Nombre de la Tela :     "&amp; INDEX(Lista_Pedidos,FY437+FA437-1,6),""),""),"")</f>
        <v/>
      </c>
      <c r="FB445" s="801"/>
      <c r="FC445" s="801"/>
      <c r="FD445" s="801"/>
      <c r="FE445" s="801"/>
      <c r="FF445" s="801"/>
      <c r="FG445" s="801"/>
      <c r="FH445" s="801"/>
      <c r="FI445" s="801"/>
      <c r="FJ445" s="801"/>
      <c r="FK445" s="801"/>
      <c r="FL445" s="801"/>
      <c r="FM445" s="801"/>
      <c r="FN445" s="801"/>
      <c r="FO445" s="801"/>
      <c r="FP445" s="801"/>
      <c r="FQ445" s="801"/>
      <c r="FR445" s="801"/>
      <c r="FS445" s="801"/>
      <c r="FT445" s="801"/>
      <c r="FU445" s="801"/>
      <c r="FV445" s="801"/>
      <c r="FW445" s="826"/>
      <c r="FX445" s="826"/>
      <c r="FY445" s="826"/>
      <c r="FZ445" s="827"/>
      <c r="GA445" s="800" t="str">
        <f>IFERROR(IF(GZ437&gt;GA437-1,IF(INDEX(Lista_Pedidos,GY437+GA437-1,6)&lt;&gt;"","Nombre de la Tela :     "&amp; INDEX(Lista_Pedidos,GY437+GA437-1,6),""),""),"")</f>
        <v/>
      </c>
      <c r="GB445" s="801"/>
      <c r="GC445" s="801"/>
      <c r="GD445" s="801"/>
      <c r="GE445" s="801"/>
      <c r="GF445" s="801"/>
      <c r="GG445" s="801"/>
      <c r="GH445" s="801"/>
      <c r="GI445" s="801"/>
      <c r="GJ445" s="801"/>
      <c r="GK445" s="801"/>
      <c r="GL445" s="801"/>
      <c r="GM445" s="801"/>
      <c r="GN445" s="801"/>
      <c r="GO445" s="801"/>
      <c r="GP445" s="801"/>
      <c r="GQ445" s="801"/>
      <c r="GR445" s="801"/>
      <c r="GS445" s="801"/>
      <c r="GT445" s="801"/>
      <c r="GU445" s="801"/>
      <c r="GV445" s="801"/>
      <c r="GW445" s="826"/>
      <c r="GX445" s="826"/>
      <c r="GY445" s="826"/>
      <c r="GZ445" s="827"/>
      <c r="HA445" s="800" t="str">
        <f>IFERROR(IF(HZ437&gt;HA437-1,IF(INDEX(Lista_Pedidos,HY437+HA437-1,6)&lt;&gt;"","Nombre de la Tela :     "&amp; INDEX(Lista_Pedidos,HY437+HA437-1,6),""),""),"")</f>
        <v/>
      </c>
      <c r="HB445" s="801"/>
      <c r="HC445" s="801"/>
      <c r="HD445" s="801"/>
      <c r="HE445" s="801"/>
      <c r="HF445" s="801"/>
      <c r="HG445" s="801"/>
      <c r="HH445" s="801"/>
      <c r="HI445" s="801"/>
      <c r="HJ445" s="801"/>
      <c r="HK445" s="801"/>
      <c r="HL445" s="801"/>
      <c r="HM445" s="801"/>
      <c r="HN445" s="801"/>
      <c r="HO445" s="801"/>
      <c r="HP445" s="801"/>
      <c r="HQ445" s="801"/>
      <c r="HR445" s="801"/>
      <c r="HS445" s="801"/>
      <c r="HT445" s="801"/>
      <c r="HU445" s="801"/>
      <c r="HV445" s="801"/>
      <c r="HW445" s="826"/>
      <c r="HX445" s="826"/>
      <c r="HY445" s="826"/>
      <c r="HZ445" s="827"/>
      <c r="IA445" s="800" t="str">
        <f>IFERROR(IF(IZ437&gt;IA437-1,IF(INDEX(Lista_Pedidos,IY437+IA437-1,6)&lt;&gt;"","Nombre de la Tela :     "&amp; INDEX(Lista_Pedidos,IY437+IA437-1,6),""),""),"")</f>
        <v/>
      </c>
      <c r="IB445" s="801"/>
      <c r="IC445" s="801"/>
      <c r="ID445" s="801"/>
      <c r="IE445" s="801"/>
      <c r="IF445" s="801"/>
      <c r="IG445" s="801"/>
      <c r="IH445" s="801"/>
      <c r="II445" s="801"/>
      <c r="IJ445" s="801"/>
      <c r="IK445" s="801"/>
      <c r="IL445" s="801"/>
      <c r="IM445" s="801"/>
      <c r="IN445" s="801"/>
      <c r="IO445" s="801"/>
      <c r="IP445" s="801"/>
      <c r="IQ445" s="801"/>
      <c r="IR445" s="801"/>
      <c r="IS445" s="801"/>
      <c r="IT445" s="801"/>
      <c r="IU445" s="801"/>
      <c r="IV445" s="801"/>
      <c r="IW445" s="826"/>
      <c r="IX445" s="826"/>
      <c r="IY445" s="826"/>
      <c r="IZ445" s="827"/>
    </row>
    <row r="446" spans="1:260" x14ac:dyDescent="0.25">
      <c r="A446" s="800" t="str">
        <f>IFERROR(IF(Z437&gt;A437-1,IF(INDEX(Lista_Pedidos,Y437+A437-1,7)&lt;&gt;"","Hilo :     "&amp; INDEX(Lista_Pedidos,Y437+A437-1,7),""),""),"")</f>
        <v/>
      </c>
      <c r="B446" s="801"/>
      <c r="C446" s="801"/>
      <c r="D446" s="801"/>
      <c r="E446" s="801"/>
      <c r="F446" s="801"/>
      <c r="G446" s="801"/>
      <c r="H446" s="801"/>
      <c r="I446" s="801"/>
      <c r="J446" s="801"/>
      <c r="K446" s="801"/>
      <c r="L446" s="801"/>
      <c r="M446" s="801"/>
      <c r="N446" s="801"/>
      <c r="O446" s="801"/>
      <c r="P446" s="801"/>
      <c r="Q446" s="801"/>
      <c r="R446" s="801"/>
      <c r="S446" s="801"/>
      <c r="T446" s="801"/>
      <c r="U446" s="801"/>
      <c r="V446" s="801"/>
      <c r="W446" s="801"/>
      <c r="X446" s="801"/>
      <c r="Y446" s="801"/>
      <c r="Z446" s="802"/>
      <c r="AA446" s="800" t="str">
        <f>IFERROR(IF(AZ437&gt;AA437-1,IF(INDEX(Lista_Pedidos,AY437+AA437-1,7)&lt;&gt;"","Hilo :     "&amp; INDEX(Lista_Pedidos,AY437+AA437-1,7),""),""),"")</f>
        <v/>
      </c>
      <c r="AB446" s="801"/>
      <c r="AC446" s="801"/>
      <c r="AD446" s="801"/>
      <c r="AE446" s="801"/>
      <c r="AF446" s="801"/>
      <c r="AG446" s="801"/>
      <c r="AH446" s="801"/>
      <c r="AI446" s="801"/>
      <c r="AJ446" s="801"/>
      <c r="AK446" s="801"/>
      <c r="AL446" s="801"/>
      <c r="AM446" s="801"/>
      <c r="AN446" s="801"/>
      <c r="AO446" s="801"/>
      <c r="AP446" s="801"/>
      <c r="AQ446" s="801"/>
      <c r="AR446" s="801"/>
      <c r="AS446" s="801"/>
      <c r="AT446" s="801"/>
      <c r="AU446" s="801"/>
      <c r="AV446" s="801"/>
      <c r="AW446" s="801"/>
      <c r="AX446" s="801"/>
      <c r="AY446" s="801"/>
      <c r="AZ446" s="802"/>
      <c r="BA446" s="800" t="str">
        <f>IFERROR(IF(BZ437&gt;BA437-1,IF(INDEX(Lista_Pedidos,BY437+BA437-1,7)&lt;&gt;"","Hilo :     "&amp; INDEX(Lista_Pedidos,BY437+BA437-1,7),""),""),"")</f>
        <v/>
      </c>
      <c r="BB446" s="801"/>
      <c r="BC446" s="801"/>
      <c r="BD446" s="801"/>
      <c r="BE446" s="801"/>
      <c r="BF446" s="801"/>
      <c r="BG446" s="801"/>
      <c r="BH446" s="801"/>
      <c r="BI446" s="801"/>
      <c r="BJ446" s="801"/>
      <c r="BK446" s="801"/>
      <c r="BL446" s="801"/>
      <c r="BM446" s="801"/>
      <c r="BN446" s="801"/>
      <c r="BO446" s="801"/>
      <c r="BP446" s="801"/>
      <c r="BQ446" s="801"/>
      <c r="BR446" s="801"/>
      <c r="BS446" s="801"/>
      <c r="BT446" s="801"/>
      <c r="BU446" s="801"/>
      <c r="BV446" s="801"/>
      <c r="BW446" s="801"/>
      <c r="BX446" s="801"/>
      <c r="BY446" s="801"/>
      <c r="BZ446" s="802"/>
      <c r="CA446" s="800" t="str">
        <f>IFERROR(IF(CZ437&gt;CA437-1,IF(INDEX(Lista_Pedidos,CY437+CA437-1,7)&lt;&gt;"","Hilo :     "&amp; INDEX(Lista_Pedidos,CY437+CA437-1,7),""),""),"")</f>
        <v/>
      </c>
      <c r="CB446" s="801"/>
      <c r="CC446" s="801"/>
      <c r="CD446" s="801"/>
      <c r="CE446" s="801"/>
      <c r="CF446" s="801"/>
      <c r="CG446" s="801"/>
      <c r="CH446" s="801"/>
      <c r="CI446" s="801"/>
      <c r="CJ446" s="801"/>
      <c r="CK446" s="801"/>
      <c r="CL446" s="801"/>
      <c r="CM446" s="801"/>
      <c r="CN446" s="801"/>
      <c r="CO446" s="801"/>
      <c r="CP446" s="801"/>
      <c r="CQ446" s="801"/>
      <c r="CR446" s="801"/>
      <c r="CS446" s="801"/>
      <c r="CT446" s="801"/>
      <c r="CU446" s="801"/>
      <c r="CV446" s="801"/>
      <c r="CW446" s="801"/>
      <c r="CX446" s="801"/>
      <c r="CY446" s="801"/>
      <c r="CZ446" s="802"/>
      <c r="DA446" s="800" t="str">
        <f>IFERROR(IF(DZ437&gt;DA437-1,IF(INDEX(Lista_Pedidos,DY437+DA437-1,7)&lt;&gt;"","Hilo :     "&amp; INDEX(Lista_Pedidos,DY437+DA437-1,7),""),""),"")</f>
        <v/>
      </c>
      <c r="DB446" s="801"/>
      <c r="DC446" s="801"/>
      <c r="DD446" s="801"/>
      <c r="DE446" s="801"/>
      <c r="DF446" s="801"/>
      <c r="DG446" s="801"/>
      <c r="DH446" s="801"/>
      <c r="DI446" s="801"/>
      <c r="DJ446" s="801"/>
      <c r="DK446" s="801"/>
      <c r="DL446" s="801"/>
      <c r="DM446" s="801"/>
      <c r="DN446" s="801"/>
      <c r="DO446" s="801"/>
      <c r="DP446" s="801"/>
      <c r="DQ446" s="801"/>
      <c r="DR446" s="801"/>
      <c r="DS446" s="801"/>
      <c r="DT446" s="801"/>
      <c r="DU446" s="801"/>
      <c r="DV446" s="801"/>
      <c r="DW446" s="801"/>
      <c r="DX446" s="801"/>
      <c r="DY446" s="801"/>
      <c r="DZ446" s="802"/>
      <c r="EA446" s="800" t="str">
        <f>IFERROR(IF(EZ437&gt;EA437-1,IF(INDEX(Lista_Pedidos,EY437+EA437-1,7)&lt;&gt;"","Hilo :     "&amp; INDEX(Lista_Pedidos,EY437+EA437-1,7),""),""),"")</f>
        <v/>
      </c>
      <c r="EB446" s="801"/>
      <c r="EC446" s="801"/>
      <c r="ED446" s="801"/>
      <c r="EE446" s="801"/>
      <c r="EF446" s="801"/>
      <c r="EG446" s="801"/>
      <c r="EH446" s="801"/>
      <c r="EI446" s="801"/>
      <c r="EJ446" s="801"/>
      <c r="EK446" s="801"/>
      <c r="EL446" s="801"/>
      <c r="EM446" s="801"/>
      <c r="EN446" s="801"/>
      <c r="EO446" s="801"/>
      <c r="EP446" s="801"/>
      <c r="EQ446" s="801"/>
      <c r="ER446" s="801"/>
      <c r="ES446" s="801"/>
      <c r="ET446" s="801"/>
      <c r="EU446" s="801"/>
      <c r="EV446" s="801"/>
      <c r="EW446" s="801"/>
      <c r="EX446" s="801"/>
      <c r="EY446" s="801"/>
      <c r="EZ446" s="802"/>
      <c r="FA446" s="800" t="str">
        <f>IFERROR(IF(FZ437&gt;FA437-1,IF(INDEX(Lista_Pedidos,FY437+FA437-1,7)&lt;&gt;"","Hilo :     "&amp; INDEX(Lista_Pedidos,FY437+FA437-1,7),""),""),"")</f>
        <v/>
      </c>
      <c r="FB446" s="801"/>
      <c r="FC446" s="801"/>
      <c r="FD446" s="801"/>
      <c r="FE446" s="801"/>
      <c r="FF446" s="801"/>
      <c r="FG446" s="801"/>
      <c r="FH446" s="801"/>
      <c r="FI446" s="801"/>
      <c r="FJ446" s="801"/>
      <c r="FK446" s="801"/>
      <c r="FL446" s="801"/>
      <c r="FM446" s="801"/>
      <c r="FN446" s="801"/>
      <c r="FO446" s="801"/>
      <c r="FP446" s="801"/>
      <c r="FQ446" s="801"/>
      <c r="FR446" s="801"/>
      <c r="FS446" s="801"/>
      <c r="FT446" s="801"/>
      <c r="FU446" s="801"/>
      <c r="FV446" s="801"/>
      <c r="FW446" s="801"/>
      <c r="FX446" s="801"/>
      <c r="FY446" s="801"/>
      <c r="FZ446" s="802"/>
      <c r="GA446" s="800" t="str">
        <f>IFERROR(IF(GZ437&gt;GA437-1,IF(INDEX(Lista_Pedidos,GY437+GA437-1,7)&lt;&gt;"","Hilo :     "&amp; INDEX(Lista_Pedidos,GY437+GA437-1,7),""),""),"")</f>
        <v/>
      </c>
      <c r="GB446" s="801"/>
      <c r="GC446" s="801"/>
      <c r="GD446" s="801"/>
      <c r="GE446" s="801"/>
      <c r="GF446" s="801"/>
      <c r="GG446" s="801"/>
      <c r="GH446" s="801"/>
      <c r="GI446" s="801"/>
      <c r="GJ446" s="801"/>
      <c r="GK446" s="801"/>
      <c r="GL446" s="801"/>
      <c r="GM446" s="801"/>
      <c r="GN446" s="801"/>
      <c r="GO446" s="801"/>
      <c r="GP446" s="801"/>
      <c r="GQ446" s="801"/>
      <c r="GR446" s="801"/>
      <c r="GS446" s="801"/>
      <c r="GT446" s="801"/>
      <c r="GU446" s="801"/>
      <c r="GV446" s="801"/>
      <c r="GW446" s="801"/>
      <c r="GX446" s="801"/>
      <c r="GY446" s="801"/>
      <c r="GZ446" s="802"/>
      <c r="HA446" s="800" t="str">
        <f>IFERROR(IF(HZ437&gt;HA437-1,IF(INDEX(Lista_Pedidos,HY437+HA437-1,7)&lt;&gt;"","Hilo :     "&amp; INDEX(Lista_Pedidos,HY437+HA437-1,7),""),""),"")</f>
        <v/>
      </c>
      <c r="HB446" s="801"/>
      <c r="HC446" s="801"/>
      <c r="HD446" s="801"/>
      <c r="HE446" s="801"/>
      <c r="HF446" s="801"/>
      <c r="HG446" s="801"/>
      <c r="HH446" s="801"/>
      <c r="HI446" s="801"/>
      <c r="HJ446" s="801"/>
      <c r="HK446" s="801"/>
      <c r="HL446" s="801"/>
      <c r="HM446" s="801"/>
      <c r="HN446" s="801"/>
      <c r="HO446" s="801"/>
      <c r="HP446" s="801"/>
      <c r="HQ446" s="801"/>
      <c r="HR446" s="801"/>
      <c r="HS446" s="801"/>
      <c r="HT446" s="801"/>
      <c r="HU446" s="801"/>
      <c r="HV446" s="801"/>
      <c r="HW446" s="801"/>
      <c r="HX446" s="801"/>
      <c r="HY446" s="801"/>
      <c r="HZ446" s="802"/>
      <c r="IA446" s="800" t="str">
        <f>IFERROR(IF(IZ437&gt;IA437-1,IF(INDEX(Lista_Pedidos,IY437+IA437-1,7)&lt;&gt;"","Hilo :     "&amp; INDEX(Lista_Pedidos,IY437+IA437-1,7),""),""),"")</f>
        <v/>
      </c>
      <c r="IB446" s="801"/>
      <c r="IC446" s="801"/>
      <c r="ID446" s="801"/>
      <c r="IE446" s="801"/>
      <c r="IF446" s="801"/>
      <c r="IG446" s="801"/>
      <c r="IH446" s="801"/>
      <c r="II446" s="801"/>
      <c r="IJ446" s="801"/>
      <c r="IK446" s="801"/>
      <c r="IL446" s="801"/>
      <c r="IM446" s="801"/>
      <c r="IN446" s="801"/>
      <c r="IO446" s="801"/>
      <c r="IP446" s="801"/>
      <c r="IQ446" s="801"/>
      <c r="IR446" s="801"/>
      <c r="IS446" s="801"/>
      <c r="IT446" s="801"/>
      <c r="IU446" s="801"/>
      <c r="IV446" s="801"/>
      <c r="IW446" s="801"/>
      <c r="IX446" s="801"/>
      <c r="IY446" s="801"/>
      <c r="IZ446" s="802"/>
    </row>
    <row r="447" spans="1:260" x14ac:dyDescent="0.25">
      <c r="A447" s="800" t="str">
        <f>IFERROR(IF(Z437&gt;A437-1,IF(INDEX(Lista_Pedidos,Y437+A437-1,8)&lt;&gt;"","Forro :     "&amp; INDEX(Lista_Pedidos,Y437+A437-1,8),""),""),"")</f>
        <v/>
      </c>
      <c r="B447" s="801"/>
      <c r="C447" s="801"/>
      <c r="D447" s="801"/>
      <c r="E447" s="801"/>
      <c r="F447" s="801"/>
      <c r="G447" s="801"/>
      <c r="H447" s="801"/>
      <c r="I447" s="801"/>
      <c r="J447" s="801"/>
      <c r="K447" s="801"/>
      <c r="L447" s="801"/>
      <c r="M447" s="801"/>
      <c r="N447" s="801"/>
      <c r="O447" s="801"/>
      <c r="P447" s="801"/>
      <c r="Q447" s="801"/>
      <c r="R447" s="801"/>
      <c r="S447" s="801"/>
      <c r="T447" s="801"/>
      <c r="U447" s="801"/>
      <c r="V447" s="801"/>
      <c r="W447" s="801"/>
      <c r="X447" s="801"/>
      <c r="Y447" s="801"/>
      <c r="Z447" s="802"/>
      <c r="AA447" s="800" t="str">
        <f>IFERROR(IF(AZ437&gt;AA437-1,IF(INDEX(Lista_Pedidos,AY437+AA437-1,8)&lt;&gt;"","Forro :     "&amp; INDEX(Lista_Pedidos,AY437+AA437-1,8),""),""),"")</f>
        <v/>
      </c>
      <c r="AB447" s="801"/>
      <c r="AC447" s="801"/>
      <c r="AD447" s="801"/>
      <c r="AE447" s="801"/>
      <c r="AF447" s="801"/>
      <c r="AG447" s="801"/>
      <c r="AH447" s="801"/>
      <c r="AI447" s="801"/>
      <c r="AJ447" s="801"/>
      <c r="AK447" s="801"/>
      <c r="AL447" s="801"/>
      <c r="AM447" s="801"/>
      <c r="AN447" s="801"/>
      <c r="AO447" s="801"/>
      <c r="AP447" s="801"/>
      <c r="AQ447" s="801"/>
      <c r="AR447" s="801"/>
      <c r="AS447" s="801"/>
      <c r="AT447" s="801"/>
      <c r="AU447" s="801"/>
      <c r="AV447" s="801"/>
      <c r="AW447" s="801"/>
      <c r="AX447" s="801"/>
      <c r="AY447" s="801"/>
      <c r="AZ447" s="802"/>
      <c r="BA447" s="800" t="str">
        <f>IFERROR(IF(BZ437&gt;BA437-1,IF(INDEX(Lista_Pedidos,BY437+BA437-1,8)&lt;&gt;"","Forro :     "&amp; INDEX(Lista_Pedidos,BY437+BA437-1,8),""),""),"")</f>
        <v/>
      </c>
      <c r="BB447" s="801"/>
      <c r="BC447" s="801"/>
      <c r="BD447" s="801"/>
      <c r="BE447" s="801"/>
      <c r="BF447" s="801"/>
      <c r="BG447" s="801"/>
      <c r="BH447" s="801"/>
      <c r="BI447" s="801"/>
      <c r="BJ447" s="801"/>
      <c r="BK447" s="801"/>
      <c r="BL447" s="801"/>
      <c r="BM447" s="801"/>
      <c r="BN447" s="801"/>
      <c r="BO447" s="801"/>
      <c r="BP447" s="801"/>
      <c r="BQ447" s="801"/>
      <c r="BR447" s="801"/>
      <c r="BS447" s="801"/>
      <c r="BT447" s="801"/>
      <c r="BU447" s="801"/>
      <c r="BV447" s="801"/>
      <c r="BW447" s="801"/>
      <c r="BX447" s="801"/>
      <c r="BY447" s="801"/>
      <c r="BZ447" s="802"/>
      <c r="CA447" s="800" t="str">
        <f>IFERROR(IF(CZ437&gt;CA437-1,IF(INDEX(Lista_Pedidos,CY437+CA437-1,8)&lt;&gt;"","Forro :     "&amp; INDEX(Lista_Pedidos,CY437+CA437-1,8),""),""),"")</f>
        <v/>
      </c>
      <c r="CB447" s="801"/>
      <c r="CC447" s="801"/>
      <c r="CD447" s="801"/>
      <c r="CE447" s="801"/>
      <c r="CF447" s="801"/>
      <c r="CG447" s="801"/>
      <c r="CH447" s="801"/>
      <c r="CI447" s="801"/>
      <c r="CJ447" s="801"/>
      <c r="CK447" s="801"/>
      <c r="CL447" s="801"/>
      <c r="CM447" s="801"/>
      <c r="CN447" s="801"/>
      <c r="CO447" s="801"/>
      <c r="CP447" s="801"/>
      <c r="CQ447" s="801"/>
      <c r="CR447" s="801"/>
      <c r="CS447" s="801"/>
      <c r="CT447" s="801"/>
      <c r="CU447" s="801"/>
      <c r="CV447" s="801"/>
      <c r="CW447" s="801"/>
      <c r="CX447" s="801"/>
      <c r="CY447" s="801"/>
      <c r="CZ447" s="802"/>
      <c r="DA447" s="800" t="str">
        <f>IFERROR(IF(DZ437&gt;DA437-1,IF(INDEX(Lista_Pedidos,DY437+DA437-1,8)&lt;&gt;"","Forro :     "&amp; INDEX(Lista_Pedidos,DY437+DA437-1,8),""),""),"")</f>
        <v/>
      </c>
      <c r="DB447" s="801"/>
      <c r="DC447" s="801"/>
      <c r="DD447" s="801"/>
      <c r="DE447" s="801"/>
      <c r="DF447" s="801"/>
      <c r="DG447" s="801"/>
      <c r="DH447" s="801"/>
      <c r="DI447" s="801"/>
      <c r="DJ447" s="801"/>
      <c r="DK447" s="801"/>
      <c r="DL447" s="801"/>
      <c r="DM447" s="801"/>
      <c r="DN447" s="801"/>
      <c r="DO447" s="801"/>
      <c r="DP447" s="801"/>
      <c r="DQ447" s="801"/>
      <c r="DR447" s="801"/>
      <c r="DS447" s="801"/>
      <c r="DT447" s="801"/>
      <c r="DU447" s="801"/>
      <c r="DV447" s="801"/>
      <c r="DW447" s="801"/>
      <c r="DX447" s="801"/>
      <c r="DY447" s="801"/>
      <c r="DZ447" s="802"/>
      <c r="EA447" s="800" t="str">
        <f>IFERROR(IF(EZ437&gt;EA437-1,IF(INDEX(Lista_Pedidos,EY437+EA437-1,8)&lt;&gt;"","Forro :     "&amp; INDEX(Lista_Pedidos,EY437+EA437-1,8),""),""),"")</f>
        <v/>
      </c>
      <c r="EB447" s="801"/>
      <c r="EC447" s="801"/>
      <c r="ED447" s="801"/>
      <c r="EE447" s="801"/>
      <c r="EF447" s="801"/>
      <c r="EG447" s="801"/>
      <c r="EH447" s="801"/>
      <c r="EI447" s="801"/>
      <c r="EJ447" s="801"/>
      <c r="EK447" s="801"/>
      <c r="EL447" s="801"/>
      <c r="EM447" s="801"/>
      <c r="EN447" s="801"/>
      <c r="EO447" s="801"/>
      <c r="EP447" s="801"/>
      <c r="EQ447" s="801"/>
      <c r="ER447" s="801"/>
      <c r="ES447" s="801"/>
      <c r="ET447" s="801"/>
      <c r="EU447" s="801"/>
      <c r="EV447" s="801"/>
      <c r="EW447" s="801"/>
      <c r="EX447" s="801"/>
      <c r="EY447" s="801"/>
      <c r="EZ447" s="802"/>
      <c r="FA447" s="800" t="str">
        <f>IFERROR(IF(FZ437&gt;FA437-1,IF(INDEX(Lista_Pedidos,FY437+FA437-1,8)&lt;&gt;"","Forro :     "&amp; INDEX(Lista_Pedidos,FY437+FA437-1,8),""),""),"")</f>
        <v/>
      </c>
      <c r="FB447" s="801"/>
      <c r="FC447" s="801"/>
      <c r="FD447" s="801"/>
      <c r="FE447" s="801"/>
      <c r="FF447" s="801"/>
      <c r="FG447" s="801"/>
      <c r="FH447" s="801"/>
      <c r="FI447" s="801"/>
      <c r="FJ447" s="801"/>
      <c r="FK447" s="801"/>
      <c r="FL447" s="801"/>
      <c r="FM447" s="801"/>
      <c r="FN447" s="801"/>
      <c r="FO447" s="801"/>
      <c r="FP447" s="801"/>
      <c r="FQ447" s="801"/>
      <c r="FR447" s="801"/>
      <c r="FS447" s="801"/>
      <c r="FT447" s="801"/>
      <c r="FU447" s="801"/>
      <c r="FV447" s="801"/>
      <c r="FW447" s="801"/>
      <c r="FX447" s="801"/>
      <c r="FY447" s="801"/>
      <c r="FZ447" s="802"/>
      <c r="GA447" s="800" t="str">
        <f>IFERROR(IF(GZ437&gt;GA437-1,IF(INDEX(Lista_Pedidos,GY437+GA437-1,8)&lt;&gt;"","Forro :     "&amp; INDEX(Lista_Pedidos,GY437+GA437-1,8),""),""),"")</f>
        <v/>
      </c>
      <c r="GB447" s="801"/>
      <c r="GC447" s="801"/>
      <c r="GD447" s="801"/>
      <c r="GE447" s="801"/>
      <c r="GF447" s="801"/>
      <c r="GG447" s="801"/>
      <c r="GH447" s="801"/>
      <c r="GI447" s="801"/>
      <c r="GJ447" s="801"/>
      <c r="GK447" s="801"/>
      <c r="GL447" s="801"/>
      <c r="GM447" s="801"/>
      <c r="GN447" s="801"/>
      <c r="GO447" s="801"/>
      <c r="GP447" s="801"/>
      <c r="GQ447" s="801"/>
      <c r="GR447" s="801"/>
      <c r="GS447" s="801"/>
      <c r="GT447" s="801"/>
      <c r="GU447" s="801"/>
      <c r="GV447" s="801"/>
      <c r="GW447" s="801"/>
      <c r="GX447" s="801"/>
      <c r="GY447" s="801"/>
      <c r="GZ447" s="802"/>
      <c r="HA447" s="800" t="str">
        <f>IFERROR(IF(HZ437&gt;HA437-1,IF(INDEX(Lista_Pedidos,HY437+HA437-1,8)&lt;&gt;"","Forro :     "&amp; INDEX(Lista_Pedidos,HY437+HA437-1,8),""),""),"")</f>
        <v/>
      </c>
      <c r="HB447" s="801"/>
      <c r="HC447" s="801"/>
      <c r="HD447" s="801"/>
      <c r="HE447" s="801"/>
      <c r="HF447" s="801"/>
      <c r="HG447" s="801"/>
      <c r="HH447" s="801"/>
      <c r="HI447" s="801"/>
      <c r="HJ447" s="801"/>
      <c r="HK447" s="801"/>
      <c r="HL447" s="801"/>
      <c r="HM447" s="801"/>
      <c r="HN447" s="801"/>
      <c r="HO447" s="801"/>
      <c r="HP447" s="801"/>
      <c r="HQ447" s="801"/>
      <c r="HR447" s="801"/>
      <c r="HS447" s="801"/>
      <c r="HT447" s="801"/>
      <c r="HU447" s="801"/>
      <c r="HV447" s="801"/>
      <c r="HW447" s="801"/>
      <c r="HX447" s="801"/>
      <c r="HY447" s="801"/>
      <c r="HZ447" s="802"/>
      <c r="IA447" s="800" t="str">
        <f>IFERROR(IF(IZ437&gt;IA437-1,IF(INDEX(Lista_Pedidos,IY437+IA437-1,8)&lt;&gt;"","Forro :     "&amp; INDEX(Lista_Pedidos,IY437+IA437-1,8),""),""),"")</f>
        <v/>
      </c>
      <c r="IB447" s="801"/>
      <c r="IC447" s="801"/>
      <c r="ID447" s="801"/>
      <c r="IE447" s="801"/>
      <c r="IF447" s="801"/>
      <c r="IG447" s="801"/>
      <c r="IH447" s="801"/>
      <c r="II447" s="801"/>
      <c r="IJ447" s="801"/>
      <c r="IK447" s="801"/>
      <c r="IL447" s="801"/>
      <c r="IM447" s="801"/>
      <c r="IN447" s="801"/>
      <c r="IO447" s="801"/>
      <c r="IP447" s="801"/>
      <c r="IQ447" s="801"/>
      <c r="IR447" s="801"/>
      <c r="IS447" s="801"/>
      <c r="IT447" s="801"/>
      <c r="IU447" s="801"/>
      <c r="IV447" s="801"/>
      <c r="IW447" s="801"/>
      <c r="IX447" s="801"/>
      <c r="IY447" s="801"/>
      <c r="IZ447" s="802"/>
    </row>
    <row r="448" spans="1:260" x14ac:dyDescent="0.25">
      <c r="A448" s="800" t="str">
        <f>IF(A$5="Cliente Especial : NEON",IF(Z437&gt;A437-1,"Neon :      Si",""),"")</f>
        <v/>
      </c>
      <c r="B448" s="801"/>
      <c r="C448" s="801"/>
      <c r="D448" s="801"/>
      <c r="E448" s="801"/>
      <c r="F448" s="801"/>
      <c r="G448" s="801"/>
      <c r="H448" s="801"/>
      <c r="I448" s="801"/>
      <c r="J448" s="801"/>
      <c r="K448" s="801"/>
      <c r="L448" s="801"/>
      <c r="M448" s="801"/>
      <c r="N448" s="801"/>
      <c r="O448" s="801"/>
      <c r="P448" s="801"/>
      <c r="Q448" s="801"/>
      <c r="R448" s="801"/>
      <c r="S448" s="801"/>
      <c r="T448" s="801"/>
      <c r="U448" s="801"/>
      <c r="V448" s="801"/>
      <c r="W448" s="801"/>
      <c r="X448" s="801"/>
      <c r="Y448" s="801"/>
      <c r="Z448" s="802"/>
      <c r="AA448" s="800" t="str">
        <f>IF(AA$5="Cliente Especial : NEON",IF(AZ437&gt;AA437-1,"Neon :      Si",""),"")</f>
        <v/>
      </c>
      <c r="AB448" s="801"/>
      <c r="AC448" s="801"/>
      <c r="AD448" s="801"/>
      <c r="AE448" s="801"/>
      <c r="AF448" s="801"/>
      <c r="AG448" s="801"/>
      <c r="AH448" s="801"/>
      <c r="AI448" s="801"/>
      <c r="AJ448" s="801"/>
      <c r="AK448" s="801"/>
      <c r="AL448" s="801"/>
      <c r="AM448" s="801"/>
      <c r="AN448" s="801"/>
      <c r="AO448" s="801"/>
      <c r="AP448" s="801"/>
      <c r="AQ448" s="801"/>
      <c r="AR448" s="801"/>
      <c r="AS448" s="801"/>
      <c r="AT448" s="801"/>
      <c r="AU448" s="801"/>
      <c r="AV448" s="801"/>
      <c r="AW448" s="801"/>
      <c r="AX448" s="801"/>
      <c r="AY448" s="801"/>
      <c r="AZ448" s="802"/>
      <c r="BA448" s="800" t="str">
        <f>IF(BA$5="Cliente Especial : NEON",IF(BZ437&gt;BA437-1,"Neon :      Si",""),"")</f>
        <v/>
      </c>
      <c r="BB448" s="801"/>
      <c r="BC448" s="801"/>
      <c r="BD448" s="801"/>
      <c r="BE448" s="801"/>
      <c r="BF448" s="801"/>
      <c r="BG448" s="801"/>
      <c r="BH448" s="801"/>
      <c r="BI448" s="801"/>
      <c r="BJ448" s="801"/>
      <c r="BK448" s="801"/>
      <c r="BL448" s="801"/>
      <c r="BM448" s="801"/>
      <c r="BN448" s="801"/>
      <c r="BO448" s="801"/>
      <c r="BP448" s="801"/>
      <c r="BQ448" s="801"/>
      <c r="BR448" s="801"/>
      <c r="BS448" s="801"/>
      <c r="BT448" s="801"/>
      <c r="BU448" s="801"/>
      <c r="BV448" s="801"/>
      <c r="BW448" s="801"/>
      <c r="BX448" s="801"/>
      <c r="BY448" s="801"/>
      <c r="BZ448" s="802"/>
      <c r="CA448" s="800" t="str">
        <f>IF(CA$5="Cliente Especial : NEON",IF(CZ437&gt;CA437-1,"Neon :      Si",""),"")</f>
        <v/>
      </c>
      <c r="CB448" s="801"/>
      <c r="CC448" s="801"/>
      <c r="CD448" s="801"/>
      <c r="CE448" s="801"/>
      <c r="CF448" s="801"/>
      <c r="CG448" s="801"/>
      <c r="CH448" s="801"/>
      <c r="CI448" s="801"/>
      <c r="CJ448" s="801"/>
      <c r="CK448" s="801"/>
      <c r="CL448" s="801"/>
      <c r="CM448" s="801"/>
      <c r="CN448" s="801"/>
      <c r="CO448" s="801"/>
      <c r="CP448" s="801"/>
      <c r="CQ448" s="801"/>
      <c r="CR448" s="801"/>
      <c r="CS448" s="801"/>
      <c r="CT448" s="801"/>
      <c r="CU448" s="801"/>
      <c r="CV448" s="801"/>
      <c r="CW448" s="801"/>
      <c r="CX448" s="801"/>
      <c r="CY448" s="801"/>
      <c r="CZ448" s="802"/>
      <c r="DA448" s="800" t="str">
        <f>IF(DA$5="Cliente Especial : NEON",IF(DZ437&gt;DA437-1,"Neon :      Si",""),"")</f>
        <v/>
      </c>
      <c r="DB448" s="801"/>
      <c r="DC448" s="801"/>
      <c r="DD448" s="801"/>
      <c r="DE448" s="801"/>
      <c r="DF448" s="801"/>
      <c r="DG448" s="801"/>
      <c r="DH448" s="801"/>
      <c r="DI448" s="801"/>
      <c r="DJ448" s="801"/>
      <c r="DK448" s="801"/>
      <c r="DL448" s="801"/>
      <c r="DM448" s="801"/>
      <c r="DN448" s="801"/>
      <c r="DO448" s="801"/>
      <c r="DP448" s="801"/>
      <c r="DQ448" s="801"/>
      <c r="DR448" s="801"/>
      <c r="DS448" s="801"/>
      <c r="DT448" s="801"/>
      <c r="DU448" s="801"/>
      <c r="DV448" s="801"/>
      <c r="DW448" s="801"/>
      <c r="DX448" s="801"/>
      <c r="DY448" s="801"/>
      <c r="DZ448" s="802"/>
      <c r="EA448" s="800" t="str">
        <f>IF(EA$5="Cliente Especial : NEON",IF(EZ437&gt;EA437-1,"Neon :      Si",""),"")</f>
        <v/>
      </c>
      <c r="EB448" s="801"/>
      <c r="EC448" s="801"/>
      <c r="ED448" s="801"/>
      <c r="EE448" s="801"/>
      <c r="EF448" s="801"/>
      <c r="EG448" s="801"/>
      <c r="EH448" s="801"/>
      <c r="EI448" s="801"/>
      <c r="EJ448" s="801"/>
      <c r="EK448" s="801"/>
      <c r="EL448" s="801"/>
      <c r="EM448" s="801"/>
      <c r="EN448" s="801"/>
      <c r="EO448" s="801"/>
      <c r="EP448" s="801"/>
      <c r="EQ448" s="801"/>
      <c r="ER448" s="801"/>
      <c r="ES448" s="801"/>
      <c r="ET448" s="801"/>
      <c r="EU448" s="801"/>
      <c r="EV448" s="801"/>
      <c r="EW448" s="801"/>
      <c r="EX448" s="801"/>
      <c r="EY448" s="801"/>
      <c r="EZ448" s="802"/>
      <c r="FA448" s="800" t="str">
        <f>IF(FA$5="Cliente Especial : NEON",IF(FZ437&gt;FA437-1,"Neon :      Si",""),"")</f>
        <v/>
      </c>
      <c r="FB448" s="801"/>
      <c r="FC448" s="801"/>
      <c r="FD448" s="801"/>
      <c r="FE448" s="801"/>
      <c r="FF448" s="801"/>
      <c r="FG448" s="801"/>
      <c r="FH448" s="801"/>
      <c r="FI448" s="801"/>
      <c r="FJ448" s="801"/>
      <c r="FK448" s="801"/>
      <c r="FL448" s="801"/>
      <c r="FM448" s="801"/>
      <c r="FN448" s="801"/>
      <c r="FO448" s="801"/>
      <c r="FP448" s="801"/>
      <c r="FQ448" s="801"/>
      <c r="FR448" s="801"/>
      <c r="FS448" s="801"/>
      <c r="FT448" s="801"/>
      <c r="FU448" s="801"/>
      <c r="FV448" s="801"/>
      <c r="FW448" s="801"/>
      <c r="FX448" s="801"/>
      <c r="FY448" s="801"/>
      <c r="FZ448" s="802"/>
      <c r="GA448" s="800" t="str">
        <f>IF(GA$5="Cliente Especial : NEON",IF(GZ437&gt;GA437-1,"Neon :      Si",""),"")</f>
        <v/>
      </c>
      <c r="GB448" s="801"/>
      <c r="GC448" s="801"/>
      <c r="GD448" s="801"/>
      <c r="GE448" s="801"/>
      <c r="GF448" s="801"/>
      <c r="GG448" s="801"/>
      <c r="GH448" s="801"/>
      <c r="GI448" s="801"/>
      <c r="GJ448" s="801"/>
      <c r="GK448" s="801"/>
      <c r="GL448" s="801"/>
      <c r="GM448" s="801"/>
      <c r="GN448" s="801"/>
      <c r="GO448" s="801"/>
      <c r="GP448" s="801"/>
      <c r="GQ448" s="801"/>
      <c r="GR448" s="801"/>
      <c r="GS448" s="801"/>
      <c r="GT448" s="801"/>
      <c r="GU448" s="801"/>
      <c r="GV448" s="801"/>
      <c r="GW448" s="801"/>
      <c r="GX448" s="801"/>
      <c r="GY448" s="801"/>
      <c r="GZ448" s="802"/>
      <c r="HA448" s="800" t="str">
        <f>IF(HA$5="Cliente Especial : NEON",IF(HZ437&gt;HA437-1,"Neon :      Si",""),"")</f>
        <v/>
      </c>
      <c r="HB448" s="801"/>
      <c r="HC448" s="801"/>
      <c r="HD448" s="801"/>
      <c r="HE448" s="801"/>
      <c r="HF448" s="801"/>
      <c r="HG448" s="801"/>
      <c r="HH448" s="801"/>
      <c r="HI448" s="801"/>
      <c r="HJ448" s="801"/>
      <c r="HK448" s="801"/>
      <c r="HL448" s="801"/>
      <c r="HM448" s="801"/>
      <c r="HN448" s="801"/>
      <c r="HO448" s="801"/>
      <c r="HP448" s="801"/>
      <c r="HQ448" s="801"/>
      <c r="HR448" s="801"/>
      <c r="HS448" s="801"/>
      <c r="HT448" s="801"/>
      <c r="HU448" s="801"/>
      <c r="HV448" s="801"/>
      <c r="HW448" s="801"/>
      <c r="HX448" s="801"/>
      <c r="HY448" s="801"/>
      <c r="HZ448" s="802"/>
      <c r="IA448" s="800" t="str">
        <f>IF(IA$5="Cliente Especial : NEON",IF(IZ437&gt;IA437-1,"Neon :      Si",""),"")</f>
        <v/>
      </c>
      <c r="IB448" s="801"/>
      <c r="IC448" s="801"/>
      <c r="ID448" s="801"/>
      <c r="IE448" s="801"/>
      <c r="IF448" s="801"/>
      <c r="IG448" s="801"/>
      <c r="IH448" s="801"/>
      <c r="II448" s="801"/>
      <c r="IJ448" s="801"/>
      <c r="IK448" s="801"/>
      <c r="IL448" s="801"/>
      <c r="IM448" s="801"/>
      <c r="IN448" s="801"/>
      <c r="IO448" s="801"/>
      <c r="IP448" s="801"/>
      <c r="IQ448" s="801"/>
      <c r="IR448" s="801"/>
      <c r="IS448" s="801"/>
      <c r="IT448" s="801"/>
      <c r="IU448" s="801"/>
      <c r="IV448" s="801"/>
      <c r="IW448" s="801"/>
      <c r="IX448" s="801"/>
      <c r="IY448" s="801"/>
      <c r="IZ448" s="802"/>
    </row>
    <row r="449" spans="1:260" x14ac:dyDescent="0.25">
      <c r="A449" s="800" t="str">
        <f>IFERROR(IF(Z437&gt;A437-1,IF(INDEX(Pedidos!J:AZ,Y437+A437-1,9)&lt;&gt;"","Cierre :     "&amp; INDEX(Pedidos!J:AZ,Y437+A437-1,9),""),""),"")</f>
        <v/>
      </c>
      <c r="B449" s="801"/>
      <c r="C449" s="801"/>
      <c r="D449" s="801"/>
      <c r="E449" s="801"/>
      <c r="F449" s="801"/>
      <c r="G449" s="801"/>
      <c r="H449" s="801"/>
      <c r="I449" s="801"/>
      <c r="J449" s="801"/>
      <c r="K449" s="801"/>
      <c r="L449" s="801"/>
      <c r="M449" s="801"/>
      <c r="N449" s="801"/>
      <c r="O449" s="801"/>
      <c r="P449" s="801"/>
      <c r="Q449" s="801"/>
      <c r="R449" s="801"/>
      <c r="S449" s="801"/>
      <c r="T449" s="801"/>
      <c r="U449" s="801"/>
      <c r="V449" s="801"/>
      <c r="W449" s="801"/>
      <c r="X449" s="801"/>
      <c r="Y449" s="801"/>
      <c r="Z449" s="802"/>
      <c r="AA449" s="800" t="str">
        <f>IFERROR(IF(AZ437&gt;AA437-1,IF(INDEX(Pedidos!AJ:BZ,AY437+AA437-1,9)&lt;&gt;"","Cierre :     "&amp; INDEX(Pedidos!AJ:BZ,AY437+AA437-1,9),""),""),"")</f>
        <v/>
      </c>
      <c r="AB449" s="801"/>
      <c r="AC449" s="801"/>
      <c r="AD449" s="801"/>
      <c r="AE449" s="801"/>
      <c r="AF449" s="801"/>
      <c r="AG449" s="801"/>
      <c r="AH449" s="801"/>
      <c r="AI449" s="801"/>
      <c r="AJ449" s="801"/>
      <c r="AK449" s="801"/>
      <c r="AL449" s="801"/>
      <c r="AM449" s="801"/>
      <c r="AN449" s="801"/>
      <c r="AO449" s="801"/>
      <c r="AP449" s="801"/>
      <c r="AQ449" s="801"/>
      <c r="AR449" s="801"/>
      <c r="AS449" s="801"/>
      <c r="AT449" s="801"/>
      <c r="AU449" s="801"/>
      <c r="AV449" s="801"/>
      <c r="AW449" s="801"/>
      <c r="AX449" s="801"/>
      <c r="AY449" s="801"/>
      <c r="AZ449" s="802"/>
      <c r="BA449" s="800" t="str">
        <f>IFERROR(IF(BZ437&gt;BA437-1,IF(INDEX(Pedidos!BJ:CZ,BY437+BA437-1,9)&lt;&gt;"","Cierre :     "&amp; INDEX(Pedidos!BJ:CZ,BY437+BA437-1,9),""),""),"")</f>
        <v/>
      </c>
      <c r="BB449" s="801"/>
      <c r="BC449" s="801"/>
      <c r="BD449" s="801"/>
      <c r="BE449" s="801"/>
      <c r="BF449" s="801"/>
      <c r="BG449" s="801"/>
      <c r="BH449" s="801"/>
      <c r="BI449" s="801"/>
      <c r="BJ449" s="801"/>
      <c r="BK449" s="801"/>
      <c r="BL449" s="801"/>
      <c r="BM449" s="801"/>
      <c r="BN449" s="801"/>
      <c r="BO449" s="801"/>
      <c r="BP449" s="801"/>
      <c r="BQ449" s="801"/>
      <c r="BR449" s="801"/>
      <c r="BS449" s="801"/>
      <c r="BT449" s="801"/>
      <c r="BU449" s="801"/>
      <c r="BV449" s="801"/>
      <c r="BW449" s="801"/>
      <c r="BX449" s="801"/>
      <c r="BY449" s="801"/>
      <c r="BZ449" s="802"/>
      <c r="CA449" s="800" t="str">
        <f>IFERROR(IF(CZ437&gt;CA437-1,IF(INDEX(Pedidos!CJ:DZ,CY437+CA437-1,9)&lt;&gt;"","Cierre :     "&amp; INDEX(Pedidos!CJ:DZ,CY437+CA437-1,9),""),""),"")</f>
        <v/>
      </c>
      <c r="CB449" s="801"/>
      <c r="CC449" s="801"/>
      <c r="CD449" s="801"/>
      <c r="CE449" s="801"/>
      <c r="CF449" s="801"/>
      <c r="CG449" s="801"/>
      <c r="CH449" s="801"/>
      <c r="CI449" s="801"/>
      <c r="CJ449" s="801"/>
      <c r="CK449" s="801"/>
      <c r="CL449" s="801"/>
      <c r="CM449" s="801"/>
      <c r="CN449" s="801"/>
      <c r="CO449" s="801"/>
      <c r="CP449" s="801"/>
      <c r="CQ449" s="801"/>
      <c r="CR449" s="801"/>
      <c r="CS449" s="801"/>
      <c r="CT449" s="801"/>
      <c r="CU449" s="801"/>
      <c r="CV449" s="801"/>
      <c r="CW449" s="801"/>
      <c r="CX449" s="801"/>
      <c r="CY449" s="801"/>
      <c r="CZ449" s="802"/>
      <c r="DA449" s="800" t="str">
        <f>IFERROR(IF(DZ437&gt;DA437-1,IF(INDEX(Pedidos!DJ:EZ,DY437+DA437-1,9)&lt;&gt;"","Cierre :     "&amp; INDEX(Pedidos!DJ:EZ,DY437+DA437-1,9),""),""),"")</f>
        <v/>
      </c>
      <c r="DB449" s="801"/>
      <c r="DC449" s="801"/>
      <c r="DD449" s="801"/>
      <c r="DE449" s="801"/>
      <c r="DF449" s="801"/>
      <c r="DG449" s="801"/>
      <c r="DH449" s="801"/>
      <c r="DI449" s="801"/>
      <c r="DJ449" s="801"/>
      <c r="DK449" s="801"/>
      <c r="DL449" s="801"/>
      <c r="DM449" s="801"/>
      <c r="DN449" s="801"/>
      <c r="DO449" s="801"/>
      <c r="DP449" s="801"/>
      <c r="DQ449" s="801"/>
      <c r="DR449" s="801"/>
      <c r="DS449" s="801"/>
      <c r="DT449" s="801"/>
      <c r="DU449" s="801"/>
      <c r="DV449" s="801"/>
      <c r="DW449" s="801"/>
      <c r="DX449" s="801"/>
      <c r="DY449" s="801"/>
      <c r="DZ449" s="802"/>
      <c r="EA449" s="800" t="str">
        <f>IFERROR(IF(EZ437&gt;EA437-1,IF(INDEX(Pedidos!EJ:FZ,EY437+EA437-1,9)&lt;&gt;"","Cierre :     "&amp; INDEX(Pedidos!EJ:FZ,EY437+EA437-1,9),""),""),"")</f>
        <v/>
      </c>
      <c r="EB449" s="801"/>
      <c r="EC449" s="801"/>
      <c r="ED449" s="801"/>
      <c r="EE449" s="801"/>
      <c r="EF449" s="801"/>
      <c r="EG449" s="801"/>
      <c r="EH449" s="801"/>
      <c r="EI449" s="801"/>
      <c r="EJ449" s="801"/>
      <c r="EK449" s="801"/>
      <c r="EL449" s="801"/>
      <c r="EM449" s="801"/>
      <c r="EN449" s="801"/>
      <c r="EO449" s="801"/>
      <c r="EP449" s="801"/>
      <c r="EQ449" s="801"/>
      <c r="ER449" s="801"/>
      <c r="ES449" s="801"/>
      <c r="ET449" s="801"/>
      <c r="EU449" s="801"/>
      <c r="EV449" s="801"/>
      <c r="EW449" s="801"/>
      <c r="EX449" s="801"/>
      <c r="EY449" s="801"/>
      <c r="EZ449" s="802"/>
      <c r="FA449" s="800" t="str">
        <f>IFERROR(IF(FZ437&gt;FA437-1,IF(INDEX(Pedidos!FJ:GZ,FY437+FA437-1,9)&lt;&gt;"","Cierre :     "&amp; INDEX(Pedidos!FJ:GZ,FY437+FA437-1,9),""),""),"")</f>
        <v/>
      </c>
      <c r="FB449" s="801"/>
      <c r="FC449" s="801"/>
      <c r="FD449" s="801"/>
      <c r="FE449" s="801"/>
      <c r="FF449" s="801"/>
      <c r="FG449" s="801"/>
      <c r="FH449" s="801"/>
      <c r="FI449" s="801"/>
      <c r="FJ449" s="801"/>
      <c r="FK449" s="801"/>
      <c r="FL449" s="801"/>
      <c r="FM449" s="801"/>
      <c r="FN449" s="801"/>
      <c r="FO449" s="801"/>
      <c r="FP449" s="801"/>
      <c r="FQ449" s="801"/>
      <c r="FR449" s="801"/>
      <c r="FS449" s="801"/>
      <c r="FT449" s="801"/>
      <c r="FU449" s="801"/>
      <c r="FV449" s="801"/>
      <c r="FW449" s="801"/>
      <c r="FX449" s="801"/>
      <c r="FY449" s="801"/>
      <c r="FZ449" s="802"/>
      <c r="GA449" s="800" t="str">
        <f>IFERROR(IF(GZ437&gt;GA437-1,IF(INDEX(Pedidos!GJ:HZ,GY437+GA437-1,9)&lt;&gt;"","Cierre :     "&amp; INDEX(Pedidos!GJ:HZ,GY437+GA437-1,9),""),""),"")</f>
        <v/>
      </c>
      <c r="GB449" s="801"/>
      <c r="GC449" s="801"/>
      <c r="GD449" s="801"/>
      <c r="GE449" s="801"/>
      <c r="GF449" s="801"/>
      <c r="GG449" s="801"/>
      <c r="GH449" s="801"/>
      <c r="GI449" s="801"/>
      <c r="GJ449" s="801"/>
      <c r="GK449" s="801"/>
      <c r="GL449" s="801"/>
      <c r="GM449" s="801"/>
      <c r="GN449" s="801"/>
      <c r="GO449" s="801"/>
      <c r="GP449" s="801"/>
      <c r="GQ449" s="801"/>
      <c r="GR449" s="801"/>
      <c r="GS449" s="801"/>
      <c r="GT449" s="801"/>
      <c r="GU449" s="801"/>
      <c r="GV449" s="801"/>
      <c r="GW449" s="801"/>
      <c r="GX449" s="801"/>
      <c r="GY449" s="801"/>
      <c r="GZ449" s="802"/>
      <c r="HA449" s="800" t="str">
        <f>IFERROR(IF(HZ437&gt;HA437-1,IF(INDEX(Pedidos!HJ:IZ,HY437+HA437-1,9)&lt;&gt;"","Cierre :     "&amp; INDEX(Pedidos!HJ:IZ,HY437+HA437-1,9),""),""),"")</f>
        <v/>
      </c>
      <c r="HB449" s="801"/>
      <c r="HC449" s="801"/>
      <c r="HD449" s="801"/>
      <c r="HE449" s="801"/>
      <c r="HF449" s="801"/>
      <c r="HG449" s="801"/>
      <c r="HH449" s="801"/>
      <c r="HI449" s="801"/>
      <c r="HJ449" s="801"/>
      <c r="HK449" s="801"/>
      <c r="HL449" s="801"/>
      <c r="HM449" s="801"/>
      <c r="HN449" s="801"/>
      <c r="HO449" s="801"/>
      <c r="HP449" s="801"/>
      <c r="HQ449" s="801"/>
      <c r="HR449" s="801"/>
      <c r="HS449" s="801"/>
      <c r="HT449" s="801"/>
      <c r="HU449" s="801"/>
      <c r="HV449" s="801"/>
      <c r="HW449" s="801"/>
      <c r="HX449" s="801"/>
      <c r="HY449" s="801"/>
      <c r="HZ449" s="802"/>
      <c r="IA449" s="800" t="str">
        <f>IFERROR(IF(IZ437&gt;IA437-1,IF(INDEX(Pedidos!IJ:JZ,IY437+IA437-1,9)&lt;&gt;"","Cierre :     "&amp; INDEX(Pedidos!IJ:JZ,IY437+IA437-1,9),""),""),"")</f>
        <v/>
      </c>
      <c r="IB449" s="801"/>
      <c r="IC449" s="801"/>
      <c r="ID449" s="801"/>
      <c r="IE449" s="801"/>
      <c r="IF449" s="801"/>
      <c r="IG449" s="801"/>
      <c r="IH449" s="801"/>
      <c r="II449" s="801"/>
      <c r="IJ449" s="801"/>
      <c r="IK449" s="801"/>
      <c r="IL449" s="801"/>
      <c r="IM449" s="801"/>
      <c r="IN449" s="801"/>
      <c r="IO449" s="801"/>
      <c r="IP449" s="801"/>
      <c r="IQ449" s="801"/>
      <c r="IR449" s="801"/>
      <c r="IS449" s="801"/>
      <c r="IT449" s="801"/>
      <c r="IU449" s="801"/>
      <c r="IV449" s="801"/>
      <c r="IW449" s="801"/>
      <c r="IX449" s="801"/>
      <c r="IY449" s="801"/>
      <c r="IZ449" s="802"/>
    </row>
    <row r="450" spans="1:260" x14ac:dyDescent="0.25">
      <c r="A450" s="800" t="str">
        <f>IFERROR(IF(Z437&gt;A437-1,IF(INDEX(Pedidos!J:AZ,Y437+A437-1,11)&lt;&gt;"","Cordon :     "&amp; INDEX(Pedidos!J:AZ,Y437+A437-1,11),""),""),"")</f>
        <v/>
      </c>
      <c r="B450" s="801"/>
      <c r="C450" s="801"/>
      <c r="D450" s="801"/>
      <c r="E450" s="801"/>
      <c r="F450" s="801"/>
      <c r="G450" s="801"/>
      <c r="H450" s="801"/>
      <c r="I450" s="801"/>
      <c r="J450" s="801"/>
      <c r="K450" s="801"/>
      <c r="L450" s="801"/>
      <c r="M450" s="801"/>
      <c r="N450" s="801"/>
      <c r="O450" s="801"/>
      <c r="P450" s="801"/>
      <c r="Q450" s="801"/>
      <c r="R450" s="801"/>
      <c r="S450" s="801"/>
      <c r="T450" s="801"/>
      <c r="U450" s="801"/>
      <c r="V450" s="801"/>
      <c r="W450" s="801"/>
      <c r="X450" s="801"/>
      <c r="Y450" s="801"/>
      <c r="Z450" s="802"/>
      <c r="AA450" s="800" t="str">
        <f>IFERROR(IF(AZ437&gt;AA437-1,IF(INDEX(Pedidos!AJ:BZ,AY437+AA437-1,11)&lt;&gt;"","Cordon :     "&amp; INDEX(Pedidos!AJ:BZ,AY437+AA437-1,11),""),""),"")</f>
        <v/>
      </c>
      <c r="AB450" s="801"/>
      <c r="AC450" s="801"/>
      <c r="AD450" s="801"/>
      <c r="AE450" s="801"/>
      <c r="AF450" s="801"/>
      <c r="AG450" s="801"/>
      <c r="AH450" s="801"/>
      <c r="AI450" s="801"/>
      <c r="AJ450" s="801"/>
      <c r="AK450" s="801"/>
      <c r="AL450" s="801"/>
      <c r="AM450" s="801"/>
      <c r="AN450" s="801"/>
      <c r="AO450" s="801"/>
      <c r="AP450" s="801"/>
      <c r="AQ450" s="801"/>
      <c r="AR450" s="801"/>
      <c r="AS450" s="801"/>
      <c r="AT450" s="801"/>
      <c r="AU450" s="801"/>
      <c r="AV450" s="801"/>
      <c r="AW450" s="801"/>
      <c r="AX450" s="801"/>
      <c r="AY450" s="801"/>
      <c r="AZ450" s="802"/>
      <c r="BA450" s="800" t="str">
        <f>IFERROR(IF(BZ437&gt;BA437-1,IF(INDEX(Pedidos!BJ:CZ,BY437+BA437-1,11)&lt;&gt;"","Cordon :     "&amp; INDEX(Pedidos!BJ:CZ,BY437+BA437-1,11),""),""),"")</f>
        <v/>
      </c>
      <c r="BB450" s="801"/>
      <c r="BC450" s="801"/>
      <c r="BD450" s="801"/>
      <c r="BE450" s="801"/>
      <c r="BF450" s="801"/>
      <c r="BG450" s="801"/>
      <c r="BH450" s="801"/>
      <c r="BI450" s="801"/>
      <c r="BJ450" s="801"/>
      <c r="BK450" s="801"/>
      <c r="BL450" s="801"/>
      <c r="BM450" s="801"/>
      <c r="BN450" s="801"/>
      <c r="BO450" s="801"/>
      <c r="BP450" s="801"/>
      <c r="BQ450" s="801"/>
      <c r="BR450" s="801"/>
      <c r="BS450" s="801"/>
      <c r="BT450" s="801"/>
      <c r="BU450" s="801"/>
      <c r="BV450" s="801"/>
      <c r="BW450" s="801"/>
      <c r="BX450" s="801"/>
      <c r="BY450" s="801"/>
      <c r="BZ450" s="802"/>
      <c r="CA450" s="800" t="str">
        <f>IFERROR(IF(CZ437&gt;CA437-1,IF(INDEX(Pedidos!CJ:DZ,CY437+CA437-1,11)&lt;&gt;"","Cordon :     "&amp; INDEX(Pedidos!CJ:DZ,CY437+CA437-1,11),""),""),"")</f>
        <v/>
      </c>
      <c r="CB450" s="801"/>
      <c r="CC450" s="801"/>
      <c r="CD450" s="801"/>
      <c r="CE450" s="801"/>
      <c r="CF450" s="801"/>
      <c r="CG450" s="801"/>
      <c r="CH450" s="801"/>
      <c r="CI450" s="801"/>
      <c r="CJ450" s="801"/>
      <c r="CK450" s="801"/>
      <c r="CL450" s="801"/>
      <c r="CM450" s="801"/>
      <c r="CN450" s="801"/>
      <c r="CO450" s="801"/>
      <c r="CP450" s="801"/>
      <c r="CQ450" s="801"/>
      <c r="CR450" s="801"/>
      <c r="CS450" s="801"/>
      <c r="CT450" s="801"/>
      <c r="CU450" s="801"/>
      <c r="CV450" s="801"/>
      <c r="CW450" s="801"/>
      <c r="CX450" s="801"/>
      <c r="CY450" s="801"/>
      <c r="CZ450" s="802"/>
      <c r="DA450" s="800" t="str">
        <f>IFERROR(IF(DZ437&gt;DA437-1,IF(INDEX(Pedidos!DJ:EZ,DY437+DA437-1,11)&lt;&gt;"","Cordon :     "&amp; INDEX(Pedidos!DJ:EZ,DY437+DA437-1,11),""),""),"")</f>
        <v/>
      </c>
      <c r="DB450" s="801"/>
      <c r="DC450" s="801"/>
      <c r="DD450" s="801"/>
      <c r="DE450" s="801"/>
      <c r="DF450" s="801"/>
      <c r="DG450" s="801"/>
      <c r="DH450" s="801"/>
      <c r="DI450" s="801"/>
      <c r="DJ450" s="801"/>
      <c r="DK450" s="801"/>
      <c r="DL450" s="801"/>
      <c r="DM450" s="801"/>
      <c r="DN450" s="801"/>
      <c r="DO450" s="801"/>
      <c r="DP450" s="801"/>
      <c r="DQ450" s="801"/>
      <c r="DR450" s="801"/>
      <c r="DS450" s="801"/>
      <c r="DT450" s="801"/>
      <c r="DU450" s="801"/>
      <c r="DV450" s="801"/>
      <c r="DW450" s="801"/>
      <c r="DX450" s="801"/>
      <c r="DY450" s="801"/>
      <c r="DZ450" s="802"/>
      <c r="EA450" s="800" t="str">
        <f>IFERROR(IF(EZ437&gt;EA437-1,IF(INDEX(Pedidos!EJ:FZ,EY437+EA437-1,11)&lt;&gt;"","Cordon :     "&amp; INDEX(Pedidos!EJ:FZ,EY437+EA437-1,11),""),""),"")</f>
        <v/>
      </c>
      <c r="EB450" s="801"/>
      <c r="EC450" s="801"/>
      <c r="ED450" s="801"/>
      <c r="EE450" s="801"/>
      <c r="EF450" s="801"/>
      <c r="EG450" s="801"/>
      <c r="EH450" s="801"/>
      <c r="EI450" s="801"/>
      <c r="EJ450" s="801"/>
      <c r="EK450" s="801"/>
      <c r="EL450" s="801"/>
      <c r="EM450" s="801"/>
      <c r="EN450" s="801"/>
      <c r="EO450" s="801"/>
      <c r="EP450" s="801"/>
      <c r="EQ450" s="801"/>
      <c r="ER450" s="801"/>
      <c r="ES450" s="801"/>
      <c r="ET450" s="801"/>
      <c r="EU450" s="801"/>
      <c r="EV450" s="801"/>
      <c r="EW450" s="801"/>
      <c r="EX450" s="801"/>
      <c r="EY450" s="801"/>
      <c r="EZ450" s="802"/>
      <c r="FA450" s="800" t="str">
        <f>IFERROR(IF(FZ437&gt;FA437-1,IF(INDEX(Pedidos!FJ:GZ,FY437+FA437-1,11)&lt;&gt;"","Cordon :     "&amp; INDEX(Pedidos!FJ:GZ,FY437+FA437-1,11),""),""),"")</f>
        <v/>
      </c>
      <c r="FB450" s="801"/>
      <c r="FC450" s="801"/>
      <c r="FD450" s="801"/>
      <c r="FE450" s="801"/>
      <c r="FF450" s="801"/>
      <c r="FG450" s="801"/>
      <c r="FH450" s="801"/>
      <c r="FI450" s="801"/>
      <c r="FJ450" s="801"/>
      <c r="FK450" s="801"/>
      <c r="FL450" s="801"/>
      <c r="FM450" s="801"/>
      <c r="FN450" s="801"/>
      <c r="FO450" s="801"/>
      <c r="FP450" s="801"/>
      <c r="FQ450" s="801"/>
      <c r="FR450" s="801"/>
      <c r="FS450" s="801"/>
      <c r="FT450" s="801"/>
      <c r="FU450" s="801"/>
      <c r="FV450" s="801"/>
      <c r="FW450" s="801"/>
      <c r="FX450" s="801"/>
      <c r="FY450" s="801"/>
      <c r="FZ450" s="802"/>
      <c r="GA450" s="800" t="str">
        <f>IFERROR(IF(GZ437&gt;GA437-1,IF(INDEX(Pedidos!GJ:HZ,GY437+GA437-1,11)&lt;&gt;"","Cordon :     "&amp; INDEX(Pedidos!GJ:HZ,GY437+GA437-1,11),""),""),"")</f>
        <v/>
      </c>
      <c r="GB450" s="801"/>
      <c r="GC450" s="801"/>
      <c r="GD450" s="801"/>
      <c r="GE450" s="801"/>
      <c r="GF450" s="801"/>
      <c r="GG450" s="801"/>
      <c r="GH450" s="801"/>
      <c r="GI450" s="801"/>
      <c r="GJ450" s="801"/>
      <c r="GK450" s="801"/>
      <c r="GL450" s="801"/>
      <c r="GM450" s="801"/>
      <c r="GN450" s="801"/>
      <c r="GO450" s="801"/>
      <c r="GP450" s="801"/>
      <c r="GQ450" s="801"/>
      <c r="GR450" s="801"/>
      <c r="GS450" s="801"/>
      <c r="GT450" s="801"/>
      <c r="GU450" s="801"/>
      <c r="GV450" s="801"/>
      <c r="GW450" s="801"/>
      <c r="GX450" s="801"/>
      <c r="GY450" s="801"/>
      <c r="GZ450" s="802"/>
      <c r="HA450" s="800" t="str">
        <f>IFERROR(IF(HZ437&gt;HA437-1,IF(INDEX(Pedidos!HJ:IZ,HY437+HA437-1,11)&lt;&gt;"","Cordon :     "&amp; INDEX(Pedidos!HJ:IZ,HY437+HA437-1,11),""),""),"")</f>
        <v/>
      </c>
      <c r="HB450" s="801"/>
      <c r="HC450" s="801"/>
      <c r="HD450" s="801"/>
      <c r="HE450" s="801"/>
      <c r="HF450" s="801"/>
      <c r="HG450" s="801"/>
      <c r="HH450" s="801"/>
      <c r="HI450" s="801"/>
      <c r="HJ450" s="801"/>
      <c r="HK450" s="801"/>
      <c r="HL450" s="801"/>
      <c r="HM450" s="801"/>
      <c r="HN450" s="801"/>
      <c r="HO450" s="801"/>
      <c r="HP450" s="801"/>
      <c r="HQ450" s="801"/>
      <c r="HR450" s="801"/>
      <c r="HS450" s="801"/>
      <c r="HT450" s="801"/>
      <c r="HU450" s="801"/>
      <c r="HV450" s="801"/>
      <c r="HW450" s="801"/>
      <c r="HX450" s="801"/>
      <c r="HY450" s="801"/>
      <c r="HZ450" s="802"/>
      <c r="IA450" s="800" t="str">
        <f>IFERROR(IF(IZ437&gt;IA437-1,IF(INDEX(Pedidos!IJ:JZ,IY437+IA437-1,11)&lt;&gt;"","Cordon :     "&amp; INDEX(Pedidos!IJ:JZ,IY437+IA437-1,11),""),""),"")</f>
        <v/>
      </c>
      <c r="IB450" s="801"/>
      <c r="IC450" s="801"/>
      <c r="ID450" s="801"/>
      <c r="IE450" s="801"/>
      <c r="IF450" s="801"/>
      <c r="IG450" s="801"/>
      <c r="IH450" s="801"/>
      <c r="II450" s="801"/>
      <c r="IJ450" s="801"/>
      <c r="IK450" s="801"/>
      <c r="IL450" s="801"/>
      <c r="IM450" s="801"/>
      <c r="IN450" s="801"/>
      <c r="IO450" s="801"/>
      <c r="IP450" s="801"/>
      <c r="IQ450" s="801"/>
      <c r="IR450" s="801"/>
      <c r="IS450" s="801"/>
      <c r="IT450" s="801"/>
      <c r="IU450" s="801"/>
      <c r="IV450" s="801"/>
      <c r="IW450" s="801"/>
      <c r="IX450" s="801"/>
      <c r="IY450" s="801"/>
      <c r="IZ450" s="802"/>
    </row>
    <row r="451" spans="1:260" x14ac:dyDescent="0.25">
      <c r="A451" s="800" t="str">
        <f>IFERROR(IF(Z437&gt;A437-1,IF(INDEX(Pedidos!J:AZ,Y437+A437-1,12)&lt;&gt;"","Color Cordon :     "&amp; INDEX(Pedidos!J:AZ,Y437+A437-1,12),""),""),"")</f>
        <v/>
      </c>
      <c r="B451" s="801"/>
      <c r="C451" s="801"/>
      <c r="D451" s="801"/>
      <c r="E451" s="801"/>
      <c r="F451" s="801"/>
      <c r="G451" s="801"/>
      <c r="H451" s="801"/>
      <c r="I451" s="801"/>
      <c r="J451" s="801"/>
      <c r="K451" s="801"/>
      <c r="L451" s="801"/>
      <c r="M451" s="801"/>
      <c r="N451" s="801"/>
      <c r="O451" s="801"/>
      <c r="P451" s="801"/>
      <c r="Q451" s="801"/>
      <c r="R451" s="801"/>
      <c r="S451" s="801"/>
      <c r="T451" s="801"/>
      <c r="U451" s="801"/>
      <c r="V451" s="801"/>
      <c r="W451" s="801"/>
      <c r="X451" s="801"/>
      <c r="Y451" s="801"/>
      <c r="Z451" s="802"/>
      <c r="AA451" s="800" t="str">
        <f>IFERROR(IF(AZ437&gt;AA437-1,IF(INDEX(Pedidos!AJ:BZ,AY437+AA437-1,12)&lt;&gt;"","Color Cordon :     "&amp; INDEX(Pedidos!AJ:BZ,AY437+AA437-1,12),""),""),"")</f>
        <v/>
      </c>
      <c r="AB451" s="801"/>
      <c r="AC451" s="801"/>
      <c r="AD451" s="801"/>
      <c r="AE451" s="801"/>
      <c r="AF451" s="801"/>
      <c r="AG451" s="801"/>
      <c r="AH451" s="801"/>
      <c r="AI451" s="801"/>
      <c r="AJ451" s="801"/>
      <c r="AK451" s="801"/>
      <c r="AL451" s="801"/>
      <c r="AM451" s="801"/>
      <c r="AN451" s="801"/>
      <c r="AO451" s="801"/>
      <c r="AP451" s="801"/>
      <c r="AQ451" s="801"/>
      <c r="AR451" s="801"/>
      <c r="AS451" s="801"/>
      <c r="AT451" s="801"/>
      <c r="AU451" s="801"/>
      <c r="AV451" s="801"/>
      <c r="AW451" s="801"/>
      <c r="AX451" s="801"/>
      <c r="AY451" s="801"/>
      <c r="AZ451" s="802"/>
      <c r="BA451" s="800" t="str">
        <f>IFERROR(IF(BZ437&gt;BA437-1,IF(INDEX(Pedidos!BJ:CZ,BY437+BA437-1,12)&lt;&gt;"","Color Cordon :     "&amp; INDEX(Pedidos!BJ:CZ,BY437+BA437-1,12),""),""),"")</f>
        <v/>
      </c>
      <c r="BB451" s="801"/>
      <c r="BC451" s="801"/>
      <c r="BD451" s="801"/>
      <c r="BE451" s="801"/>
      <c r="BF451" s="801"/>
      <c r="BG451" s="801"/>
      <c r="BH451" s="801"/>
      <c r="BI451" s="801"/>
      <c r="BJ451" s="801"/>
      <c r="BK451" s="801"/>
      <c r="BL451" s="801"/>
      <c r="BM451" s="801"/>
      <c r="BN451" s="801"/>
      <c r="BO451" s="801"/>
      <c r="BP451" s="801"/>
      <c r="BQ451" s="801"/>
      <c r="BR451" s="801"/>
      <c r="BS451" s="801"/>
      <c r="BT451" s="801"/>
      <c r="BU451" s="801"/>
      <c r="BV451" s="801"/>
      <c r="BW451" s="801"/>
      <c r="BX451" s="801"/>
      <c r="BY451" s="801"/>
      <c r="BZ451" s="802"/>
      <c r="CA451" s="800" t="str">
        <f>IFERROR(IF(CZ437&gt;CA437-1,IF(INDEX(Pedidos!CJ:DZ,CY437+CA437-1,12)&lt;&gt;"","Color Cordon :     "&amp; INDEX(Pedidos!CJ:DZ,CY437+CA437-1,12),""),""),"")</f>
        <v/>
      </c>
      <c r="CB451" s="801"/>
      <c r="CC451" s="801"/>
      <c r="CD451" s="801"/>
      <c r="CE451" s="801"/>
      <c r="CF451" s="801"/>
      <c r="CG451" s="801"/>
      <c r="CH451" s="801"/>
      <c r="CI451" s="801"/>
      <c r="CJ451" s="801"/>
      <c r="CK451" s="801"/>
      <c r="CL451" s="801"/>
      <c r="CM451" s="801"/>
      <c r="CN451" s="801"/>
      <c r="CO451" s="801"/>
      <c r="CP451" s="801"/>
      <c r="CQ451" s="801"/>
      <c r="CR451" s="801"/>
      <c r="CS451" s="801"/>
      <c r="CT451" s="801"/>
      <c r="CU451" s="801"/>
      <c r="CV451" s="801"/>
      <c r="CW451" s="801"/>
      <c r="CX451" s="801"/>
      <c r="CY451" s="801"/>
      <c r="CZ451" s="802"/>
      <c r="DA451" s="800" t="str">
        <f>IFERROR(IF(DZ437&gt;DA437-1,IF(INDEX(Pedidos!DJ:EZ,DY437+DA437-1,12)&lt;&gt;"","Color Cordon :     "&amp; INDEX(Pedidos!DJ:EZ,DY437+DA437-1,12),""),""),"")</f>
        <v/>
      </c>
      <c r="DB451" s="801"/>
      <c r="DC451" s="801"/>
      <c r="DD451" s="801"/>
      <c r="DE451" s="801"/>
      <c r="DF451" s="801"/>
      <c r="DG451" s="801"/>
      <c r="DH451" s="801"/>
      <c r="DI451" s="801"/>
      <c r="DJ451" s="801"/>
      <c r="DK451" s="801"/>
      <c r="DL451" s="801"/>
      <c r="DM451" s="801"/>
      <c r="DN451" s="801"/>
      <c r="DO451" s="801"/>
      <c r="DP451" s="801"/>
      <c r="DQ451" s="801"/>
      <c r="DR451" s="801"/>
      <c r="DS451" s="801"/>
      <c r="DT451" s="801"/>
      <c r="DU451" s="801"/>
      <c r="DV451" s="801"/>
      <c r="DW451" s="801"/>
      <c r="DX451" s="801"/>
      <c r="DY451" s="801"/>
      <c r="DZ451" s="802"/>
      <c r="EA451" s="800" t="str">
        <f>IFERROR(IF(EZ437&gt;EA437-1,IF(INDEX(Pedidos!EJ:FZ,EY437+EA437-1,12)&lt;&gt;"","Color Cordon :     "&amp; INDEX(Pedidos!EJ:FZ,EY437+EA437-1,12),""),""),"")</f>
        <v/>
      </c>
      <c r="EB451" s="801"/>
      <c r="EC451" s="801"/>
      <c r="ED451" s="801"/>
      <c r="EE451" s="801"/>
      <c r="EF451" s="801"/>
      <c r="EG451" s="801"/>
      <c r="EH451" s="801"/>
      <c r="EI451" s="801"/>
      <c r="EJ451" s="801"/>
      <c r="EK451" s="801"/>
      <c r="EL451" s="801"/>
      <c r="EM451" s="801"/>
      <c r="EN451" s="801"/>
      <c r="EO451" s="801"/>
      <c r="EP451" s="801"/>
      <c r="EQ451" s="801"/>
      <c r="ER451" s="801"/>
      <c r="ES451" s="801"/>
      <c r="ET451" s="801"/>
      <c r="EU451" s="801"/>
      <c r="EV451" s="801"/>
      <c r="EW451" s="801"/>
      <c r="EX451" s="801"/>
      <c r="EY451" s="801"/>
      <c r="EZ451" s="802"/>
      <c r="FA451" s="800" t="str">
        <f>IFERROR(IF(FZ437&gt;FA437-1,IF(INDEX(Pedidos!FJ:GZ,FY437+FA437-1,12)&lt;&gt;"","Color Cordon :     "&amp; INDEX(Pedidos!FJ:GZ,FY437+FA437-1,12),""),""),"")</f>
        <v/>
      </c>
      <c r="FB451" s="801"/>
      <c r="FC451" s="801"/>
      <c r="FD451" s="801"/>
      <c r="FE451" s="801"/>
      <c r="FF451" s="801"/>
      <c r="FG451" s="801"/>
      <c r="FH451" s="801"/>
      <c r="FI451" s="801"/>
      <c r="FJ451" s="801"/>
      <c r="FK451" s="801"/>
      <c r="FL451" s="801"/>
      <c r="FM451" s="801"/>
      <c r="FN451" s="801"/>
      <c r="FO451" s="801"/>
      <c r="FP451" s="801"/>
      <c r="FQ451" s="801"/>
      <c r="FR451" s="801"/>
      <c r="FS451" s="801"/>
      <c r="FT451" s="801"/>
      <c r="FU451" s="801"/>
      <c r="FV451" s="801"/>
      <c r="FW451" s="801"/>
      <c r="FX451" s="801"/>
      <c r="FY451" s="801"/>
      <c r="FZ451" s="802"/>
      <c r="GA451" s="800" t="str">
        <f>IFERROR(IF(GZ437&gt;GA437-1,IF(INDEX(Pedidos!GJ:HZ,GY437+GA437-1,12)&lt;&gt;"","Color Cordon :     "&amp; INDEX(Pedidos!GJ:HZ,GY437+GA437-1,12),""),""),"")</f>
        <v/>
      </c>
      <c r="GB451" s="801"/>
      <c r="GC451" s="801"/>
      <c r="GD451" s="801"/>
      <c r="GE451" s="801"/>
      <c r="GF451" s="801"/>
      <c r="GG451" s="801"/>
      <c r="GH451" s="801"/>
      <c r="GI451" s="801"/>
      <c r="GJ451" s="801"/>
      <c r="GK451" s="801"/>
      <c r="GL451" s="801"/>
      <c r="GM451" s="801"/>
      <c r="GN451" s="801"/>
      <c r="GO451" s="801"/>
      <c r="GP451" s="801"/>
      <c r="GQ451" s="801"/>
      <c r="GR451" s="801"/>
      <c r="GS451" s="801"/>
      <c r="GT451" s="801"/>
      <c r="GU451" s="801"/>
      <c r="GV451" s="801"/>
      <c r="GW451" s="801"/>
      <c r="GX451" s="801"/>
      <c r="GY451" s="801"/>
      <c r="GZ451" s="802"/>
      <c r="HA451" s="800" t="str">
        <f>IFERROR(IF(HZ437&gt;HA437-1,IF(INDEX(Pedidos!HJ:IZ,HY437+HA437-1,12)&lt;&gt;"","Color Cordon :     "&amp; INDEX(Pedidos!HJ:IZ,HY437+HA437-1,12),""),""),"")</f>
        <v/>
      </c>
      <c r="HB451" s="801"/>
      <c r="HC451" s="801"/>
      <c r="HD451" s="801"/>
      <c r="HE451" s="801"/>
      <c r="HF451" s="801"/>
      <c r="HG451" s="801"/>
      <c r="HH451" s="801"/>
      <c r="HI451" s="801"/>
      <c r="HJ451" s="801"/>
      <c r="HK451" s="801"/>
      <c r="HL451" s="801"/>
      <c r="HM451" s="801"/>
      <c r="HN451" s="801"/>
      <c r="HO451" s="801"/>
      <c r="HP451" s="801"/>
      <c r="HQ451" s="801"/>
      <c r="HR451" s="801"/>
      <c r="HS451" s="801"/>
      <c r="HT451" s="801"/>
      <c r="HU451" s="801"/>
      <c r="HV451" s="801"/>
      <c r="HW451" s="801"/>
      <c r="HX451" s="801"/>
      <c r="HY451" s="801"/>
      <c r="HZ451" s="802"/>
      <c r="IA451" s="800" t="str">
        <f>IFERROR(IF(IZ437&gt;IA437-1,IF(INDEX(Pedidos!IJ:JZ,IY437+IA437-1,12)&lt;&gt;"","Color Cordon :     "&amp; INDEX(Pedidos!IJ:JZ,IY437+IA437-1,12),""),""),"")</f>
        <v/>
      </c>
      <c r="IB451" s="801"/>
      <c r="IC451" s="801"/>
      <c r="ID451" s="801"/>
      <c r="IE451" s="801"/>
      <c r="IF451" s="801"/>
      <c r="IG451" s="801"/>
      <c r="IH451" s="801"/>
      <c r="II451" s="801"/>
      <c r="IJ451" s="801"/>
      <c r="IK451" s="801"/>
      <c r="IL451" s="801"/>
      <c r="IM451" s="801"/>
      <c r="IN451" s="801"/>
      <c r="IO451" s="801"/>
      <c r="IP451" s="801"/>
      <c r="IQ451" s="801"/>
      <c r="IR451" s="801"/>
      <c r="IS451" s="801"/>
      <c r="IT451" s="801"/>
      <c r="IU451" s="801"/>
      <c r="IV451" s="801"/>
      <c r="IW451" s="801"/>
      <c r="IX451" s="801"/>
      <c r="IY451" s="801"/>
      <c r="IZ451" s="802"/>
    </row>
    <row r="452" spans="1:260" x14ac:dyDescent="0.25">
      <c r="A452" s="800"/>
      <c r="B452" s="801"/>
      <c r="C452" s="801"/>
      <c r="D452" s="801"/>
      <c r="E452" s="801"/>
      <c r="F452" s="801"/>
      <c r="G452" s="801"/>
      <c r="H452" s="801"/>
      <c r="I452" s="801"/>
      <c r="J452" s="801"/>
      <c r="K452" s="801"/>
      <c r="L452" s="801"/>
      <c r="M452" s="801"/>
      <c r="N452" s="801"/>
      <c r="O452" s="801"/>
      <c r="P452" s="801"/>
      <c r="Q452" s="801"/>
      <c r="R452" s="801"/>
      <c r="S452" s="801"/>
      <c r="T452" s="801"/>
      <c r="U452" s="801"/>
      <c r="V452" s="801"/>
      <c r="W452" s="801"/>
      <c r="X452" s="801"/>
      <c r="Y452" s="801"/>
      <c r="Z452" s="802"/>
      <c r="AA452" s="800"/>
      <c r="AB452" s="801"/>
      <c r="AC452" s="801"/>
      <c r="AD452" s="801"/>
      <c r="AE452" s="801"/>
      <c r="AF452" s="801"/>
      <c r="AG452" s="801"/>
      <c r="AH452" s="801"/>
      <c r="AI452" s="801"/>
      <c r="AJ452" s="801"/>
      <c r="AK452" s="801"/>
      <c r="AL452" s="801"/>
      <c r="AM452" s="801"/>
      <c r="AN452" s="801"/>
      <c r="AO452" s="801"/>
      <c r="AP452" s="801"/>
      <c r="AQ452" s="801"/>
      <c r="AR452" s="801"/>
      <c r="AS452" s="801"/>
      <c r="AT452" s="801"/>
      <c r="AU452" s="801"/>
      <c r="AV452" s="801"/>
      <c r="AW452" s="801"/>
      <c r="AX452" s="801"/>
      <c r="AY452" s="801"/>
      <c r="AZ452" s="802"/>
      <c r="BA452" s="800"/>
      <c r="BB452" s="801"/>
      <c r="BC452" s="801"/>
      <c r="BD452" s="801"/>
      <c r="BE452" s="801"/>
      <c r="BF452" s="801"/>
      <c r="BG452" s="801"/>
      <c r="BH452" s="801"/>
      <c r="BI452" s="801"/>
      <c r="BJ452" s="801"/>
      <c r="BK452" s="801"/>
      <c r="BL452" s="801"/>
      <c r="BM452" s="801"/>
      <c r="BN452" s="801"/>
      <c r="BO452" s="801"/>
      <c r="BP452" s="801"/>
      <c r="BQ452" s="801"/>
      <c r="BR452" s="801"/>
      <c r="BS452" s="801"/>
      <c r="BT452" s="801"/>
      <c r="BU452" s="801"/>
      <c r="BV452" s="801"/>
      <c r="BW452" s="801"/>
      <c r="BX452" s="801"/>
      <c r="BY452" s="801"/>
      <c r="BZ452" s="802"/>
      <c r="CA452" s="800"/>
      <c r="CB452" s="801"/>
      <c r="CC452" s="801"/>
      <c r="CD452" s="801"/>
      <c r="CE452" s="801"/>
      <c r="CF452" s="801"/>
      <c r="CG452" s="801"/>
      <c r="CH452" s="801"/>
      <c r="CI452" s="801"/>
      <c r="CJ452" s="801"/>
      <c r="CK452" s="801"/>
      <c r="CL452" s="801"/>
      <c r="CM452" s="801"/>
      <c r="CN452" s="801"/>
      <c r="CO452" s="801"/>
      <c r="CP452" s="801"/>
      <c r="CQ452" s="801"/>
      <c r="CR452" s="801"/>
      <c r="CS452" s="801"/>
      <c r="CT452" s="801"/>
      <c r="CU452" s="801"/>
      <c r="CV452" s="801"/>
      <c r="CW452" s="801"/>
      <c r="CX452" s="801"/>
      <c r="CY452" s="801"/>
      <c r="CZ452" s="802"/>
      <c r="DA452" s="800"/>
      <c r="DB452" s="801"/>
      <c r="DC452" s="801"/>
      <c r="DD452" s="801"/>
      <c r="DE452" s="801"/>
      <c r="DF452" s="801"/>
      <c r="DG452" s="801"/>
      <c r="DH452" s="801"/>
      <c r="DI452" s="801"/>
      <c r="DJ452" s="801"/>
      <c r="DK452" s="801"/>
      <c r="DL452" s="801"/>
      <c r="DM452" s="801"/>
      <c r="DN452" s="801"/>
      <c r="DO452" s="801"/>
      <c r="DP452" s="801"/>
      <c r="DQ452" s="801"/>
      <c r="DR452" s="801"/>
      <c r="DS452" s="801"/>
      <c r="DT452" s="801"/>
      <c r="DU452" s="801"/>
      <c r="DV452" s="801"/>
      <c r="DW452" s="801"/>
      <c r="DX452" s="801"/>
      <c r="DY452" s="801"/>
      <c r="DZ452" s="802"/>
      <c r="EA452" s="800"/>
      <c r="EB452" s="801"/>
      <c r="EC452" s="801"/>
      <c r="ED452" s="801"/>
      <c r="EE452" s="801"/>
      <c r="EF452" s="801"/>
      <c r="EG452" s="801"/>
      <c r="EH452" s="801"/>
      <c r="EI452" s="801"/>
      <c r="EJ452" s="801"/>
      <c r="EK452" s="801"/>
      <c r="EL452" s="801"/>
      <c r="EM452" s="801"/>
      <c r="EN452" s="801"/>
      <c r="EO452" s="801"/>
      <c r="EP452" s="801"/>
      <c r="EQ452" s="801"/>
      <c r="ER452" s="801"/>
      <c r="ES452" s="801"/>
      <c r="ET452" s="801"/>
      <c r="EU452" s="801"/>
      <c r="EV452" s="801"/>
      <c r="EW452" s="801"/>
      <c r="EX452" s="801"/>
      <c r="EY452" s="801"/>
      <c r="EZ452" s="802"/>
      <c r="FA452" s="800"/>
      <c r="FB452" s="801"/>
      <c r="FC452" s="801"/>
      <c r="FD452" s="801"/>
      <c r="FE452" s="801"/>
      <c r="FF452" s="801"/>
      <c r="FG452" s="801"/>
      <c r="FH452" s="801"/>
      <c r="FI452" s="801"/>
      <c r="FJ452" s="801"/>
      <c r="FK452" s="801"/>
      <c r="FL452" s="801"/>
      <c r="FM452" s="801"/>
      <c r="FN452" s="801"/>
      <c r="FO452" s="801"/>
      <c r="FP452" s="801"/>
      <c r="FQ452" s="801"/>
      <c r="FR452" s="801"/>
      <c r="FS452" s="801"/>
      <c r="FT452" s="801"/>
      <c r="FU452" s="801"/>
      <c r="FV452" s="801"/>
      <c r="FW452" s="801"/>
      <c r="FX452" s="801"/>
      <c r="FY452" s="801"/>
      <c r="FZ452" s="802"/>
      <c r="GA452" s="800"/>
      <c r="GB452" s="801"/>
      <c r="GC452" s="801"/>
      <c r="GD452" s="801"/>
      <c r="GE452" s="801"/>
      <c r="GF452" s="801"/>
      <c r="GG452" s="801"/>
      <c r="GH452" s="801"/>
      <c r="GI452" s="801"/>
      <c r="GJ452" s="801"/>
      <c r="GK452" s="801"/>
      <c r="GL452" s="801"/>
      <c r="GM452" s="801"/>
      <c r="GN452" s="801"/>
      <c r="GO452" s="801"/>
      <c r="GP452" s="801"/>
      <c r="GQ452" s="801"/>
      <c r="GR452" s="801"/>
      <c r="GS452" s="801"/>
      <c r="GT452" s="801"/>
      <c r="GU452" s="801"/>
      <c r="GV452" s="801"/>
      <c r="GW452" s="801"/>
      <c r="GX452" s="801"/>
      <c r="GY452" s="801"/>
      <c r="GZ452" s="802"/>
      <c r="HA452" s="800"/>
      <c r="HB452" s="801"/>
      <c r="HC452" s="801"/>
      <c r="HD452" s="801"/>
      <c r="HE452" s="801"/>
      <c r="HF452" s="801"/>
      <c r="HG452" s="801"/>
      <c r="HH452" s="801"/>
      <c r="HI452" s="801"/>
      <c r="HJ452" s="801"/>
      <c r="HK452" s="801"/>
      <c r="HL452" s="801"/>
      <c r="HM452" s="801"/>
      <c r="HN452" s="801"/>
      <c r="HO452" s="801"/>
      <c r="HP452" s="801"/>
      <c r="HQ452" s="801"/>
      <c r="HR452" s="801"/>
      <c r="HS452" s="801"/>
      <c r="HT452" s="801"/>
      <c r="HU452" s="801"/>
      <c r="HV452" s="801"/>
      <c r="HW452" s="801"/>
      <c r="HX452" s="801"/>
      <c r="HY452" s="801"/>
      <c r="HZ452" s="802"/>
      <c r="IA452" s="800"/>
      <c r="IB452" s="801"/>
      <c r="IC452" s="801"/>
      <c r="ID452" s="801"/>
      <c r="IE452" s="801"/>
      <c r="IF452" s="801"/>
      <c r="IG452" s="801"/>
      <c r="IH452" s="801"/>
      <c r="II452" s="801"/>
      <c r="IJ452" s="801"/>
      <c r="IK452" s="801"/>
      <c r="IL452" s="801"/>
      <c r="IM452" s="801"/>
      <c r="IN452" s="801"/>
      <c r="IO452" s="801"/>
      <c r="IP452" s="801"/>
      <c r="IQ452" s="801"/>
      <c r="IR452" s="801"/>
      <c r="IS452" s="801"/>
      <c r="IT452" s="801"/>
      <c r="IU452" s="801"/>
      <c r="IV452" s="801"/>
      <c r="IW452" s="801"/>
      <c r="IX452" s="801"/>
      <c r="IY452" s="801"/>
      <c r="IZ452" s="802"/>
    </row>
    <row r="453" spans="1:260" x14ac:dyDescent="0.25">
      <c r="A453" s="800"/>
      <c r="B453" s="801"/>
      <c r="C453" s="801"/>
      <c r="D453" s="801"/>
      <c r="E453" s="801"/>
      <c r="F453" s="801"/>
      <c r="G453" s="801"/>
      <c r="H453" s="801"/>
      <c r="I453" s="801"/>
      <c r="J453" s="801"/>
      <c r="K453" s="801"/>
      <c r="L453" s="801"/>
      <c r="M453" s="801"/>
      <c r="N453" s="801"/>
      <c r="O453" s="801"/>
      <c r="P453" s="801"/>
      <c r="Q453" s="801"/>
      <c r="R453" s="801"/>
      <c r="S453" s="801"/>
      <c r="T453" s="801"/>
      <c r="U453" s="801"/>
      <c r="V453" s="801"/>
      <c r="W453" s="801"/>
      <c r="X453" s="801"/>
      <c r="Y453" s="801"/>
      <c r="Z453" s="802"/>
      <c r="AA453" s="800"/>
      <c r="AB453" s="801"/>
      <c r="AC453" s="801"/>
      <c r="AD453" s="801"/>
      <c r="AE453" s="801"/>
      <c r="AF453" s="801"/>
      <c r="AG453" s="801"/>
      <c r="AH453" s="801"/>
      <c r="AI453" s="801"/>
      <c r="AJ453" s="801"/>
      <c r="AK453" s="801"/>
      <c r="AL453" s="801"/>
      <c r="AM453" s="801"/>
      <c r="AN453" s="801"/>
      <c r="AO453" s="801"/>
      <c r="AP453" s="801"/>
      <c r="AQ453" s="801"/>
      <c r="AR453" s="801"/>
      <c r="AS453" s="801"/>
      <c r="AT453" s="801"/>
      <c r="AU453" s="801"/>
      <c r="AV453" s="801"/>
      <c r="AW453" s="801"/>
      <c r="AX453" s="801"/>
      <c r="AY453" s="801"/>
      <c r="AZ453" s="802"/>
      <c r="BA453" s="800"/>
      <c r="BB453" s="801"/>
      <c r="BC453" s="801"/>
      <c r="BD453" s="801"/>
      <c r="BE453" s="801"/>
      <c r="BF453" s="801"/>
      <c r="BG453" s="801"/>
      <c r="BH453" s="801"/>
      <c r="BI453" s="801"/>
      <c r="BJ453" s="801"/>
      <c r="BK453" s="801"/>
      <c r="BL453" s="801"/>
      <c r="BM453" s="801"/>
      <c r="BN453" s="801"/>
      <c r="BO453" s="801"/>
      <c r="BP453" s="801"/>
      <c r="BQ453" s="801"/>
      <c r="BR453" s="801"/>
      <c r="BS453" s="801"/>
      <c r="BT453" s="801"/>
      <c r="BU453" s="801"/>
      <c r="BV453" s="801"/>
      <c r="BW453" s="801"/>
      <c r="BX453" s="801"/>
      <c r="BY453" s="801"/>
      <c r="BZ453" s="802"/>
      <c r="CA453" s="800"/>
      <c r="CB453" s="801"/>
      <c r="CC453" s="801"/>
      <c r="CD453" s="801"/>
      <c r="CE453" s="801"/>
      <c r="CF453" s="801"/>
      <c r="CG453" s="801"/>
      <c r="CH453" s="801"/>
      <c r="CI453" s="801"/>
      <c r="CJ453" s="801"/>
      <c r="CK453" s="801"/>
      <c r="CL453" s="801"/>
      <c r="CM453" s="801"/>
      <c r="CN453" s="801"/>
      <c r="CO453" s="801"/>
      <c r="CP453" s="801"/>
      <c r="CQ453" s="801"/>
      <c r="CR453" s="801"/>
      <c r="CS453" s="801"/>
      <c r="CT453" s="801"/>
      <c r="CU453" s="801"/>
      <c r="CV453" s="801"/>
      <c r="CW453" s="801"/>
      <c r="CX453" s="801"/>
      <c r="CY453" s="801"/>
      <c r="CZ453" s="802"/>
      <c r="DA453" s="800"/>
      <c r="DB453" s="801"/>
      <c r="DC453" s="801"/>
      <c r="DD453" s="801"/>
      <c r="DE453" s="801"/>
      <c r="DF453" s="801"/>
      <c r="DG453" s="801"/>
      <c r="DH453" s="801"/>
      <c r="DI453" s="801"/>
      <c r="DJ453" s="801"/>
      <c r="DK453" s="801"/>
      <c r="DL453" s="801"/>
      <c r="DM453" s="801"/>
      <c r="DN453" s="801"/>
      <c r="DO453" s="801"/>
      <c r="DP453" s="801"/>
      <c r="DQ453" s="801"/>
      <c r="DR453" s="801"/>
      <c r="DS453" s="801"/>
      <c r="DT453" s="801"/>
      <c r="DU453" s="801"/>
      <c r="DV453" s="801"/>
      <c r="DW453" s="801"/>
      <c r="DX453" s="801"/>
      <c r="DY453" s="801"/>
      <c r="DZ453" s="802"/>
      <c r="EA453" s="800"/>
      <c r="EB453" s="801"/>
      <c r="EC453" s="801"/>
      <c r="ED453" s="801"/>
      <c r="EE453" s="801"/>
      <c r="EF453" s="801"/>
      <c r="EG453" s="801"/>
      <c r="EH453" s="801"/>
      <c r="EI453" s="801"/>
      <c r="EJ453" s="801"/>
      <c r="EK453" s="801"/>
      <c r="EL453" s="801"/>
      <c r="EM453" s="801"/>
      <c r="EN453" s="801"/>
      <c r="EO453" s="801"/>
      <c r="EP453" s="801"/>
      <c r="EQ453" s="801"/>
      <c r="ER453" s="801"/>
      <c r="ES453" s="801"/>
      <c r="ET453" s="801"/>
      <c r="EU453" s="801"/>
      <c r="EV453" s="801"/>
      <c r="EW453" s="801"/>
      <c r="EX453" s="801"/>
      <c r="EY453" s="801"/>
      <c r="EZ453" s="802"/>
      <c r="FA453" s="800"/>
      <c r="FB453" s="801"/>
      <c r="FC453" s="801"/>
      <c r="FD453" s="801"/>
      <c r="FE453" s="801"/>
      <c r="FF453" s="801"/>
      <c r="FG453" s="801"/>
      <c r="FH453" s="801"/>
      <c r="FI453" s="801"/>
      <c r="FJ453" s="801"/>
      <c r="FK453" s="801"/>
      <c r="FL453" s="801"/>
      <c r="FM453" s="801"/>
      <c r="FN453" s="801"/>
      <c r="FO453" s="801"/>
      <c r="FP453" s="801"/>
      <c r="FQ453" s="801"/>
      <c r="FR453" s="801"/>
      <c r="FS453" s="801"/>
      <c r="FT453" s="801"/>
      <c r="FU453" s="801"/>
      <c r="FV453" s="801"/>
      <c r="FW453" s="801"/>
      <c r="FX453" s="801"/>
      <c r="FY453" s="801"/>
      <c r="FZ453" s="802"/>
      <c r="GA453" s="800"/>
      <c r="GB453" s="801"/>
      <c r="GC453" s="801"/>
      <c r="GD453" s="801"/>
      <c r="GE453" s="801"/>
      <c r="GF453" s="801"/>
      <c r="GG453" s="801"/>
      <c r="GH453" s="801"/>
      <c r="GI453" s="801"/>
      <c r="GJ453" s="801"/>
      <c r="GK453" s="801"/>
      <c r="GL453" s="801"/>
      <c r="GM453" s="801"/>
      <c r="GN453" s="801"/>
      <c r="GO453" s="801"/>
      <c r="GP453" s="801"/>
      <c r="GQ453" s="801"/>
      <c r="GR453" s="801"/>
      <c r="GS453" s="801"/>
      <c r="GT453" s="801"/>
      <c r="GU453" s="801"/>
      <c r="GV453" s="801"/>
      <c r="GW453" s="801"/>
      <c r="GX453" s="801"/>
      <c r="GY453" s="801"/>
      <c r="GZ453" s="802"/>
      <c r="HA453" s="800"/>
      <c r="HB453" s="801"/>
      <c r="HC453" s="801"/>
      <c r="HD453" s="801"/>
      <c r="HE453" s="801"/>
      <c r="HF453" s="801"/>
      <c r="HG453" s="801"/>
      <c r="HH453" s="801"/>
      <c r="HI453" s="801"/>
      <c r="HJ453" s="801"/>
      <c r="HK453" s="801"/>
      <c r="HL453" s="801"/>
      <c r="HM453" s="801"/>
      <c r="HN453" s="801"/>
      <c r="HO453" s="801"/>
      <c r="HP453" s="801"/>
      <c r="HQ453" s="801"/>
      <c r="HR453" s="801"/>
      <c r="HS453" s="801"/>
      <c r="HT453" s="801"/>
      <c r="HU453" s="801"/>
      <c r="HV453" s="801"/>
      <c r="HW453" s="801"/>
      <c r="HX453" s="801"/>
      <c r="HY453" s="801"/>
      <c r="HZ453" s="802"/>
      <c r="IA453" s="800"/>
      <c r="IB453" s="801"/>
      <c r="IC453" s="801"/>
      <c r="ID453" s="801"/>
      <c r="IE453" s="801"/>
      <c r="IF453" s="801"/>
      <c r="IG453" s="801"/>
      <c r="IH453" s="801"/>
      <c r="II453" s="801"/>
      <c r="IJ453" s="801"/>
      <c r="IK453" s="801"/>
      <c r="IL453" s="801"/>
      <c r="IM453" s="801"/>
      <c r="IN453" s="801"/>
      <c r="IO453" s="801"/>
      <c r="IP453" s="801"/>
      <c r="IQ453" s="801"/>
      <c r="IR453" s="801"/>
      <c r="IS453" s="801"/>
      <c r="IT453" s="801"/>
      <c r="IU453" s="801"/>
      <c r="IV453" s="801"/>
      <c r="IW453" s="801"/>
      <c r="IX453" s="801"/>
      <c r="IY453" s="801"/>
      <c r="IZ453" s="802"/>
    </row>
    <row r="454" spans="1:260" x14ac:dyDescent="0.25">
      <c r="A454" s="800" t="str">
        <f>IFERROR(IF(Z437&gt;A437-1,IF(INDEX(Pedidos!J:AZ,Y437+A437-1,31)&lt;&gt;"","Nombres :     "&amp; INDEX(Pedidos!J:AZ,Y437+A437-1,31),""),""),"")</f>
        <v/>
      </c>
      <c r="B454" s="801"/>
      <c r="C454" s="801"/>
      <c r="D454" s="801"/>
      <c r="E454" s="801"/>
      <c r="F454" s="801"/>
      <c r="G454" s="801"/>
      <c r="H454" s="801"/>
      <c r="I454" s="801"/>
      <c r="J454" s="801"/>
      <c r="K454" s="801"/>
      <c r="L454" s="801"/>
      <c r="M454" s="801"/>
      <c r="N454" s="801"/>
      <c r="O454" s="801"/>
      <c r="P454" s="801"/>
      <c r="Q454" s="801"/>
      <c r="R454" s="801"/>
      <c r="S454" s="801"/>
      <c r="T454" s="801"/>
      <c r="U454" s="801"/>
      <c r="V454" s="801"/>
      <c r="W454" s="801"/>
      <c r="X454" s="801"/>
      <c r="Y454" s="801"/>
      <c r="Z454" s="802"/>
      <c r="AA454" s="800" t="str">
        <f>IFERROR(IF(AZ437&gt;AA437-1,IF(INDEX(Pedidos!AJ:BZ,AY437+AA437-1,31)&lt;&gt;"","Nombres :     "&amp; INDEX(Pedidos!AJ:BZ,AY437+AA437-1,31),""),""),"")</f>
        <v/>
      </c>
      <c r="AB454" s="801"/>
      <c r="AC454" s="801"/>
      <c r="AD454" s="801"/>
      <c r="AE454" s="801"/>
      <c r="AF454" s="801"/>
      <c r="AG454" s="801"/>
      <c r="AH454" s="801"/>
      <c r="AI454" s="801"/>
      <c r="AJ454" s="801"/>
      <c r="AK454" s="801"/>
      <c r="AL454" s="801"/>
      <c r="AM454" s="801"/>
      <c r="AN454" s="801"/>
      <c r="AO454" s="801"/>
      <c r="AP454" s="801"/>
      <c r="AQ454" s="801"/>
      <c r="AR454" s="801"/>
      <c r="AS454" s="801"/>
      <c r="AT454" s="801"/>
      <c r="AU454" s="801"/>
      <c r="AV454" s="801"/>
      <c r="AW454" s="801"/>
      <c r="AX454" s="801"/>
      <c r="AY454" s="801"/>
      <c r="AZ454" s="802"/>
      <c r="BA454" s="800" t="str">
        <f>IFERROR(IF(BZ437&gt;BA437-1,IF(INDEX(Pedidos!BJ:CZ,BY437+BA437-1,31)&lt;&gt;"","Nombres :     "&amp; INDEX(Pedidos!BJ:CZ,BY437+BA437-1,31),""),""),"")</f>
        <v/>
      </c>
      <c r="BB454" s="801"/>
      <c r="BC454" s="801"/>
      <c r="BD454" s="801"/>
      <c r="BE454" s="801"/>
      <c r="BF454" s="801"/>
      <c r="BG454" s="801"/>
      <c r="BH454" s="801"/>
      <c r="BI454" s="801"/>
      <c r="BJ454" s="801"/>
      <c r="BK454" s="801"/>
      <c r="BL454" s="801"/>
      <c r="BM454" s="801"/>
      <c r="BN454" s="801"/>
      <c r="BO454" s="801"/>
      <c r="BP454" s="801"/>
      <c r="BQ454" s="801"/>
      <c r="BR454" s="801"/>
      <c r="BS454" s="801"/>
      <c r="BT454" s="801"/>
      <c r="BU454" s="801"/>
      <c r="BV454" s="801"/>
      <c r="BW454" s="801"/>
      <c r="BX454" s="801"/>
      <c r="BY454" s="801"/>
      <c r="BZ454" s="802"/>
      <c r="CA454" s="800" t="str">
        <f>IFERROR(IF(CZ437&gt;CA437-1,IF(INDEX(Pedidos!CJ:DZ,CY437+CA437-1,31)&lt;&gt;"","Nombres :     "&amp; INDEX(Pedidos!CJ:DZ,CY437+CA437-1,31),""),""),"")</f>
        <v/>
      </c>
      <c r="CB454" s="801"/>
      <c r="CC454" s="801"/>
      <c r="CD454" s="801"/>
      <c r="CE454" s="801"/>
      <c r="CF454" s="801"/>
      <c r="CG454" s="801"/>
      <c r="CH454" s="801"/>
      <c r="CI454" s="801"/>
      <c r="CJ454" s="801"/>
      <c r="CK454" s="801"/>
      <c r="CL454" s="801"/>
      <c r="CM454" s="801"/>
      <c r="CN454" s="801"/>
      <c r="CO454" s="801"/>
      <c r="CP454" s="801"/>
      <c r="CQ454" s="801"/>
      <c r="CR454" s="801"/>
      <c r="CS454" s="801"/>
      <c r="CT454" s="801"/>
      <c r="CU454" s="801"/>
      <c r="CV454" s="801"/>
      <c r="CW454" s="801"/>
      <c r="CX454" s="801"/>
      <c r="CY454" s="801"/>
      <c r="CZ454" s="802"/>
      <c r="DA454" s="800" t="str">
        <f>IFERROR(IF(DZ437&gt;DA437-1,IF(INDEX(Pedidos!DJ:EZ,DY437+DA437-1,31)&lt;&gt;"","Nombres :     "&amp; INDEX(Pedidos!DJ:EZ,DY437+DA437-1,31),""),""),"")</f>
        <v/>
      </c>
      <c r="DB454" s="801"/>
      <c r="DC454" s="801"/>
      <c r="DD454" s="801"/>
      <c r="DE454" s="801"/>
      <c r="DF454" s="801"/>
      <c r="DG454" s="801"/>
      <c r="DH454" s="801"/>
      <c r="DI454" s="801"/>
      <c r="DJ454" s="801"/>
      <c r="DK454" s="801"/>
      <c r="DL454" s="801"/>
      <c r="DM454" s="801"/>
      <c r="DN454" s="801"/>
      <c r="DO454" s="801"/>
      <c r="DP454" s="801"/>
      <c r="DQ454" s="801"/>
      <c r="DR454" s="801"/>
      <c r="DS454" s="801"/>
      <c r="DT454" s="801"/>
      <c r="DU454" s="801"/>
      <c r="DV454" s="801"/>
      <c r="DW454" s="801"/>
      <c r="DX454" s="801"/>
      <c r="DY454" s="801"/>
      <c r="DZ454" s="802"/>
      <c r="EA454" s="800" t="str">
        <f>IFERROR(IF(EZ437&gt;EA437-1,IF(INDEX(Pedidos!EJ:FZ,EY437+EA437-1,31)&lt;&gt;"","Nombres :     "&amp; INDEX(Pedidos!EJ:FZ,EY437+EA437-1,31),""),""),"")</f>
        <v/>
      </c>
      <c r="EB454" s="801"/>
      <c r="EC454" s="801"/>
      <c r="ED454" s="801"/>
      <c r="EE454" s="801"/>
      <c r="EF454" s="801"/>
      <c r="EG454" s="801"/>
      <c r="EH454" s="801"/>
      <c r="EI454" s="801"/>
      <c r="EJ454" s="801"/>
      <c r="EK454" s="801"/>
      <c r="EL454" s="801"/>
      <c r="EM454" s="801"/>
      <c r="EN454" s="801"/>
      <c r="EO454" s="801"/>
      <c r="EP454" s="801"/>
      <c r="EQ454" s="801"/>
      <c r="ER454" s="801"/>
      <c r="ES454" s="801"/>
      <c r="ET454" s="801"/>
      <c r="EU454" s="801"/>
      <c r="EV454" s="801"/>
      <c r="EW454" s="801"/>
      <c r="EX454" s="801"/>
      <c r="EY454" s="801"/>
      <c r="EZ454" s="802"/>
      <c r="FA454" s="800" t="str">
        <f>IFERROR(IF(FZ437&gt;FA437-1,IF(INDEX(Pedidos!FJ:GZ,FY437+FA437-1,31)&lt;&gt;"","Nombres :     "&amp; INDEX(Pedidos!FJ:GZ,FY437+FA437-1,31),""),""),"")</f>
        <v/>
      </c>
      <c r="FB454" s="801"/>
      <c r="FC454" s="801"/>
      <c r="FD454" s="801"/>
      <c r="FE454" s="801"/>
      <c r="FF454" s="801"/>
      <c r="FG454" s="801"/>
      <c r="FH454" s="801"/>
      <c r="FI454" s="801"/>
      <c r="FJ454" s="801"/>
      <c r="FK454" s="801"/>
      <c r="FL454" s="801"/>
      <c r="FM454" s="801"/>
      <c r="FN454" s="801"/>
      <c r="FO454" s="801"/>
      <c r="FP454" s="801"/>
      <c r="FQ454" s="801"/>
      <c r="FR454" s="801"/>
      <c r="FS454" s="801"/>
      <c r="FT454" s="801"/>
      <c r="FU454" s="801"/>
      <c r="FV454" s="801"/>
      <c r="FW454" s="801"/>
      <c r="FX454" s="801"/>
      <c r="FY454" s="801"/>
      <c r="FZ454" s="802"/>
      <c r="GA454" s="800" t="str">
        <f>IFERROR(IF(GZ437&gt;GA437-1,IF(INDEX(Pedidos!GJ:HZ,GY437+GA437-1,31)&lt;&gt;"","Nombres :     "&amp; INDEX(Pedidos!GJ:HZ,GY437+GA437-1,31),""),""),"")</f>
        <v/>
      </c>
      <c r="GB454" s="801"/>
      <c r="GC454" s="801"/>
      <c r="GD454" s="801"/>
      <c r="GE454" s="801"/>
      <c r="GF454" s="801"/>
      <c r="GG454" s="801"/>
      <c r="GH454" s="801"/>
      <c r="GI454" s="801"/>
      <c r="GJ454" s="801"/>
      <c r="GK454" s="801"/>
      <c r="GL454" s="801"/>
      <c r="GM454" s="801"/>
      <c r="GN454" s="801"/>
      <c r="GO454" s="801"/>
      <c r="GP454" s="801"/>
      <c r="GQ454" s="801"/>
      <c r="GR454" s="801"/>
      <c r="GS454" s="801"/>
      <c r="GT454" s="801"/>
      <c r="GU454" s="801"/>
      <c r="GV454" s="801"/>
      <c r="GW454" s="801"/>
      <c r="GX454" s="801"/>
      <c r="GY454" s="801"/>
      <c r="GZ454" s="802"/>
      <c r="HA454" s="800" t="str">
        <f>IFERROR(IF(HZ437&gt;HA437-1,IF(INDEX(Pedidos!HJ:IZ,HY437+HA437-1,31)&lt;&gt;"","Nombres :     "&amp; INDEX(Pedidos!HJ:IZ,HY437+HA437-1,31),""),""),"")</f>
        <v/>
      </c>
      <c r="HB454" s="801"/>
      <c r="HC454" s="801"/>
      <c r="HD454" s="801"/>
      <c r="HE454" s="801"/>
      <c r="HF454" s="801"/>
      <c r="HG454" s="801"/>
      <c r="HH454" s="801"/>
      <c r="HI454" s="801"/>
      <c r="HJ454" s="801"/>
      <c r="HK454" s="801"/>
      <c r="HL454" s="801"/>
      <c r="HM454" s="801"/>
      <c r="HN454" s="801"/>
      <c r="HO454" s="801"/>
      <c r="HP454" s="801"/>
      <c r="HQ454" s="801"/>
      <c r="HR454" s="801"/>
      <c r="HS454" s="801"/>
      <c r="HT454" s="801"/>
      <c r="HU454" s="801"/>
      <c r="HV454" s="801"/>
      <c r="HW454" s="801"/>
      <c r="HX454" s="801"/>
      <c r="HY454" s="801"/>
      <c r="HZ454" s="802"/>
      <c r="IA454" s="800" t="str">
        <f>IFERROR(IF(IZ437&gt;IA437-1,IF(INDEX(Pedidos!IJ:JZ,IY437+IA437-1,31)&lt;&gt;"","Nombres :     "&amp; INDEX(Pedidos!IJ:JZ,IY437+IA437-1,31),""),""),"")</f>
        <v/>
      </c>
      <c r="IB454" s="801"/>
      <c r="IC454" s="801"/>
      <c r="ID454" s="801"/>
      <c r="IE454" s="801"/>
      <c r="IF454" s="801"/>
      <c r="IG454" s="801"/>
      <c r="IH454" s="801"/>
      <c r="II454" s="801"/>
      <c r="IJ454" s="801"/>
      <c r="IK454" s="801"/>
      <c r="IL454" s="801"/>
      <c r="IM454" s="801"/>
      <c r="IN454" s="801"/>
      <c r="IO454" s="801"/>
      <c r="IP454" s="801"/>
      <c r="IQ454" s="801"/>
      <c r="IR454" s="801"/>
      <c r="IS454" s="801"/>
      <c r="IT454" s="801"/>
      <c r="IU454" s="801"/>
      <c r="IV454" s="801"/>
      <c r="IW454" s="801"/>
      <c r="IX454" s="801"/>
      <c r="IY454" s="801"/>
      <c r="IZ454" s="802"/>
    </row>
    <row r="455" spans="1:260" x14ac:dyDescent="0.25">
      <c r="A455" s="820" t="str">
        <f>IFERROR(IF(Z437&gt;A437-1,IF(INDEX(Pedidos!J:AZ,Y437+A437-1,32)&lt;&gt;"","Localización de los Nombres :     "&amp; INDEX(Pedidos!J:AZ,Y437+A437-1,32),""),""),"")</f>
        <v/>
      </c>
      <c r="B455" s="821"/>
      <c r="C455" s="821"/>
      <c r="D455" s="821"/>
      <c r="E455" s="821"/>
      <c r="F455" s="821"/>
      <c r="G455" s="821"/>
      <c r="H455" s="821"/>
      <c r="I455" s="821"/>
      <c r="J455" s="821"/>
      <c r="K455" s="821"/>
      <c r="L455" s="821"/>
      <c r="M455" s="821"/>
      <c r="N455" s="821"/>
      <c r="O455" s="821"/>
      <c r="P455" s="821"/>
      <c r="Q455" s="821"/>
      <c r="R455" s="821"/>
      <c r="S455" s="821"/>
      <c r="T455" s="821"/>
      <c r="U455" s="821"/>
      <c r="V455" s="821"/>
      <c r="W455" s="821"/>
      <c r="X455" s="821"/>
      <c r="Y455" s="821"/>
      <c r="Z455" s="822"/>
      <c r="AA455" s="820" t="str">
        <f>IFERROR(IF(AZ437&gt;AA437-1,IF(INDEX(Pedidos!AJ:BZ,AY437+AA437-1,32)&lt;&gt;"","Localización de los Nombres :     "&amp; INDEX(Pedidos!AJ:BZ,AY437+AA437-1,32),""),""),"")</f>
        <v/>
      </c>
      <c r="AB455" s="821"/>
      <c r="AC455" s="821"/>
      <c r="AD455" s="821"/>
      <c r="AE455" s="821"/>
      <c r="AF455" s="821"/>
      <c r="AG455" s="821"/>
      <c r="AH455" s="821"/>
      <c r="AI455" s="821"/>
      <c r="AJ455" s="821"/>
      <c r="AK455" s="821"/>
      <c r="AL455" s="821"/>
      <c r="AM455" s="821"/>
      <c r="AN455" s="821"/>
      <c r="AO455" s="821"/>
      <c r="AP455" s="821"/>
      <c r="AQ455" s="821"/>
      <c r="AR455" s="821"/>
      <c r="AS455" s="821"/>
      <c r="AT455" s="821"/>
      <c r="AU455" s="821"/>
      <c r="AV455" s="821"/>
      <c r="AW455" s="821"/>
      <c r="AX455" s="821"/>
      <c r="AY455" s="821"/>
      <c r="AZ455" s="822"/>
      <c r="BA455" s="820" t="str">
        <f>IFERROR(IF(BZ437&gt;BA437-1,IF(INDEX(Pedidos!BJ:CZ,BY437+BA437-1,32)&lt;&gt;"","Localización de los Nombres :     "&amp; INDEX(Pedidos!BJ:CZ,BY437+BA437-1,32),""),""),"")</f>
        <v/>
      </c>
      <c r="BB455" s="821"/>
      <c r="BC455" s="821"/>
      <c r="BD455" s="821"/>
      <c r="BE455" s="821"/>
      <c r="BF455" s="821"/>
      <c r="BG455" s="821"/>
      <c r="BH455" s="821"/>
      <c r="BI455" s="821"/>
      <c r="BJ455" s="821"/>
      <c r="BK455" s="821"/>
      <c r="BL455" s="821"/>
      <c r="BM455" s="821"/>
      <c r="BN455" s="821"/>
      <c r="BO455" s="821"/>
      <c r="BP455" s="821"/>
      <c r="BQ455" s="821"/>
      <c r="BR455" s="821"/>
      <c r="BS455" s="821"/>
      <c r="BT455" s="821"/>
      <c r="BU455" s="821"/>
      <c r="BV455" s="821"/>
      <c r="BW455" s="821"/>
      <c r="BX455" s="821"/>
      <c r="BY455" s="821"/>
      <c r="BZ455" s="822"/>
      <c r="CA455" s="820" t="str">
        <f>IFERROR(IF(CZ437&gt;CA437-1,IF(INDEX(Pedidos!CJ:DZ,CY437+CA437-1,32)&lt;&gt;"","Localización de los Nombres :     "&amp; INDEX(Pedidos!CJ:DZ,CY437+CA437-1,32),""),""),"")</f>
        <v/>
      </c>
      <c r="CB455" s="821"/>
      <c r="CC455" s="821"/>
      <c r="CD455" s="821"/>
      <c r="CE455" s="821"/>
      <c r="CF455" s="821"/>
      <c r="CG455" s="821"/>
      <c r="CH455" s="821"/>
      <c r="CI455" s="821"/>
      <c r="CJ455" s="821"/>
      <c r="CK455" s="821"/>
      <c r="CL455" s="821"/>
      <c r="CM455" s="821"/>
      <c r="CN455" s="821"/>
      <c r="CO455" s="821"/>
      <c r="CP455" s="821"/>
      <c r="CQ455" s="821"/>
      <c r="CR455" s="821"/>
      <c r="CS455" s="821"/>
      <c r="CT455" s="821"/>
      <c r="CU455" s="821"/>
      <c r="CV455" s="821"/>
      <c r="CW455" s="821"/>
      <c r="CX455" s="821"/>
      <c r="CY455" s="821"/>
      <c r="CZ455" s="822"/>
      <c r="DA455" s="820" t="str">
        <f>IFERROR(IF(DZ437&gt;DA437-1,IF(INDEX(Pedidos!DJ:EZ,DY437+DA437-1,32)&lt;&gt;"","Localización de los Nombres :     "&amp; INDEX(Pedidos!DJ:EZ,DY437+DA437-1,32),""),""),"")</f>
        <v/>
      </c>
      <c r="DB455" s="821"/>
      <c r="DC455" s="821"/>
      <c r="DD455" s="821"/>
      <c r="DE455" s="821"/>
      <c r="DF455" s="821"/>
      <c r="DG455" s="821"/>
      <c r="DH455" s="821"/>
      <c r="DI455" s="821"/>
      <c r="DJ455" s="821"/>
      <c r="DK455" s="821"/>
      <c r="DL455" s="821"/>
      <c r="DM455" s="821"/>
      <c r="DN455" s="821"/>
      <c r="DO455" s="821"/>
      <c r="DP455" s="821"/>
      <c r="DQ455" s="821"/>
      <c r="DR455" s="821"/>
      <c r="DS455" s="821"/>
      <c r="DT455" s="821"/>
      <c r="DU455" s="821"/>
      <c r="DV455" s="821"/>
      <c r="DW455" s="821"/>
      <c r="DX455" s="821"/>
      <c r="DY455" s="821"/>
      <c r="DZ455" s="822"/>
      <c r="EA455" s="820" t="str">
        <f>IFERROR(IF(EZ437&gt;EA437-1,IF(INDEX(Pedidos!EJ:FZ,EY437+EA437-1,32)&lt;&gt;"","Localización de los Nombres :     "&amp; INDEX(Pedidos!EJ:FZ,EY437+EA437-1,32),""),""),"")</f>
        <v/>
      </c>
      <c r="EB455" s="821"/>
      <c r="EC455" s="821"/>
      <c r="ED455" s="821"/>
      <c r="EE455" s="821"/>
      <c r="EF455" s="821"/>
      <c r="EG455" s="821"/>
      <c r="EH455" s="821"/>
      <c r="EI455" s="821"/>
      <c r="EJ455" s="821"/>
      <c r="EK455" s="821"/>
      <c r="EL455" s="821"/>
      <c r="EM455" s="821"/>
      <c r="EN455" s="821"/>
      <c r="EO455" s="821"/>
      <c r="EP455" s="821"/>
      <c r="EQ455" s="821"/>
      <c r="ER455" s="821"/>
      <c r="ES455" s="821"/>
      <c r="ET455" s="821"/>
      <c r="EU455" s="821"/>
      <c r="EV455" s="821"/>
      <c r="EW455" s="821"/>
      <c r="EX455" s="821"/>
      <c r="EY455" s="821"/>
      <c r="EZ455" s="822"/>
      <c r="FA455" s="820" t="str">
        <f>IFERROR(IF(FZ437&gt;FA437-1,IF(INDEX(Pedidos!FJ:GZ,FY437+FA437-1,32)&lt;&gt;"","Localización de los Nombres :     "&amp; INDEX(Pedidos!FJ:GZ,FY437+FA437-1,32),""),""),"")</f>
        <v/>
      </c>
      <c r="FB455" s="821"/>
      <c r="FC455" s="821"/>
      <c r="FD455" s="821"/>
      <c r="FE455" s="821"/>
      <c r="FF455" s="821"/>
      <c r="FG455" s="821"/>
      <c r="FH455" s="821"/>
      <c r="FI455" s="821"/>
      <c r="FJ455" s="821"/>
      <c r="FK455" s="821"/>
      <c r="FL455" s="821"/>
      <c r="FM455" s="821"/>
      <c r="FN455" s="821"/>
      <c r="FO455" s="821"/>
      <c r="FP455" s="821"/>
      <c r="FQ455" s="821"/>
      <c r="FR455" s="821"/>
      <c r="FS455" s="821"/>
      <c r="FT455" s="821"/>
      <c r="FU455" s="821"/>
      <c r="FV455" s="821"/>
      <c r="FW455" s="821"/>
      <c r="FX455" s="821"/>
      <c r="FY455" s="821"/>
      <c r="FZ455" s="822"/>
      <c r="GA455" s="820" t="str">
        <f>IFERROR(IF(GZ437&gt;GA437-1,IF(INDEX(Pedidos!GJ:HZ,GY437+GA437-1,32)&lt;&gt;"","Localización de los Nombres :     "&amp; INDEX(Pedidos!GJ:HZ,GY437+GA437-1,32),""),""),"")</f>
        <v/>
      </c>
      <c r="GB455" s="821"/>
      <c r="GC455" s="821"/>
      <c r="GD455" s="821"/>
      <c r="GE455" s="821"/>
      <c r="GF455" s="821"/>
      <c r="GG455" s="821"/>
      <c r="GH455" s="821"/>
      <c r="GI455" s="821"/>
      <c r="GJ455" s="821"/>
      <c r="GK455" s="821"/>
      <c r="GL455" s="821"/>
      <c r="GM455" s="821"/>
      <c r="GN455" s="821"/>
      <c r="GO455" s="821"/>
      <c r="GP455" s="821"/>
      <c r="GQ455" s="821"/>
      <c r="GR455" s="821"/>
      <c r="GS455" s="821"/>
      <c r="GT455" s="821"/>
      <c r="GU455" s="821"/>
      <c r="GV455" s="821"/>
      <c r="GW455" s="821"/>
      <c r="GX455" s="821"/>
      <c r="GY455" s="821"/>
      <c r="GZ455" s="822"/>
      <c r="HA455" s="820" t="str">
        <f>IFERROR(IF(HZ437&gt;HA437-1,IF(INDEX(Pedidos!HJ:IZ,HY437+HA437-1,32)&lt;&gt;"","Localización de los Nombres :     "&amp; INDEX(Pedidos!HJ:IZ,HY437+HA437-1,32),""),""),"")</f>
        <v/>
      </c>
      <c r="HB455" s="821"/>
      <c r="HC455" s="821"/>
      <c r="HD455" s="821"/>
      <c r="HE455" s="821"/>
      <c r="HF455" s="821"/>
      <c r="HG455" s="821"/>
      <c r="HH455" s="821"/>
      <c r="HI455" s="821"/>
      <c r="HJ455" s="821"/>
      <c r="HK455" s="821"/>
      <c r="HL455" s="821"/>
      <c r="HM455" s="821"/>
      <c r="HN455" s="821"/>
      <c r="HO455" s="821"/>
      <c r="HP455" s="821"/>
      <c r="HQ455" s="821"/>
      <c r="HR455" s="821"/>
      <c r="HS455" s="821"/>
      <c r="HT455" s="821"/>
      <c r="HU455" s="821"/>
      <c r="HV455" s="821"/>
      <c r="HW455" s="821"/>
      <c r="HX455" s="821"/>
      <c r="HY455" s="821"/>
      <c r="HZ455" s="822"/>
      <c r="IA455" s="820" t="str">
        <f>IFERROR(IF(IZ437&gt;IA437-1,IF(INDEX(Pedidos!IJ:JZ,IY437+IA437-1,32)&lt;&gt;"","Localización de los Nombres :     "&amp; INDEX(Pedidos!IJ:JZ,IY437+IA437-1,32),""),""),"")</f>
        <v/>
      </c>
      <c r="IB455" s="821"/>
      <c r="IC455" s="821"/>
      <c r="ID455" s="821"/>
      <c r="IE455" s="821"/>
      <c r="IF455" s="821"/>
      <c r="IG455" s="821"/>
      <c r="IH455" s="821"/>
      <c r="II455" s="821"/>
      <c r="IJ455" s="821"/>
      <c r="IK455" s="821"/>
      <c r="IL455" s="821"/>
      <c r="IM455" s="821"/>
      <c r="IN455" s="821"/>
      <c r="IO455" s="821"/>
      <c r="IP455" s="821"/>
      <c r="IQ455" s="821"/>
      <c r="IR455" s="821"/>
      <c r="IS455" s="821"/>
      <c r="IT455" s="821"/>
      <c r="IU455" s="821"/>
      <c r="IV455" s="821"/>
      <c r="IW455" s="821"/>
      <c r="IX455" s="821"/>
      <c r="IY455" s="821"/>
      <c r="IZ455" s="822"/>
    </row>
    <row r="456" spans="1:260" x14ac:dyDescent="0.25">
      <c r="A456" s="836" t="str">
        <f>IFERROR(IF(Z437&gt;A437-1,IF(INDEX(Pedidos!J:AZ,Y437+A437-1,37)&lt;&gt;"","Otras Instrucciones Especiales :     "&amp; INDEX(Pedidos!J:AZ,Y437+A437-1,37),""),""),"")</f>
        <v/>
      </c>
      <c r="B456" s="837"/>
      <c r="C456" s="837"/>
      <c r="D456" s="837"/>
      <c r="E456" s="837"/>
      <c r="F456" s="837"/>
      <c r="G456" s="837"/>
      <c r="H456" s="837"/>
      <c r="I456" s="837"/>
      <c r="J456" s="837"/>
      <c r="K456" s="837"/>
      <c r="L456" s="837"/>
      <c r="M456" s="837"/>
      <c r="N456" s="837"/>
      <c r="O456" s="837"/>
      <c r="P456" s="837"/>
      <c r="Q456" s="837"/>
      <c r="R456" s="837"/>
      <c r="S456" s="837"/>
      <c r="T456" s="837"/>
      <c r="U456" s="837"/>
      <c r="V456" s="837"/>
      <c r="W456" s="837"/>
      <c r="X456" s="837"/>
      <c r="Y456" s="837"/>
      <c r="Z456" s="838"/>
      <c r="AA456" s="836" t="str">
        <f>IFERROR(IF(AZ437&gt;AA437-1,IF(INDEX(Pedidos!AJ:BZ,AY437+AA437-1,37)&lt;&gt;"","Otras Instrucciones Especiales :     "&amp; INDEX(Pedidos!AJ:BZ,AY437+AA437-1,37),""),""),"")</f>
        <v/>
      </c>
      <c r="AB456" s="837"/>
      <c r="AC456" s="837"/>
      <c r="AD456" s="837"/>
      <c r="AE456" s="837"/>
      <c r="AF456" s="837"/>
      <c r="AG456" s="837"/>
      <c r="AH456" s="837"/>
      <c r="AI456" s="837"/>
      <c r="AJ456" s="837"/>
      <c r="AK456" s="837"/>
      <c r="AL456" s="837"/>
      <c r="AM456" s="837"/>
      <c r="AN456" s="837"/>
      <c r="AO456" s="837"/>
      <c r="AP456" s="837"/>
      <c r="AQ456" s="837"/>
      <c r="AR456" s="837"/>
      <c r="AS456" s="837"/>
      <c r="AT456" s="837"/>
      <c r="AU456" s="837"/>
      <c r="AV456" s="837"/>
      <c r="AW456" s="837"/>
      <c r="AX456" s="837"/>
      <c r="AY456" s="837"/>
      <c r="AZ456" s="838"/>
      <c r="BA456" s="836" t="str">
        <f>IFERROR(IF(BZ437&gt;BA437-1,IF(INDEX(Pedidos!BJ:CZ,BY437+BA437-1,37)&lt;&gt;"","Otras Instrucciones Especiales :     "&amp; INDEX(Pedidos!BJ:CZ,BY437+BA437-1,37),""),""),"")</f>
        <v/>
      </c>
      <c r="BB456" s="837"/>
      <c r="BC456" s="837"/>
      <c r="BD456" s="837"/>
      <c r="BE456" s="837"/>
      <c r="BF456" s="837"/>
      <c r="BG456" s="837"/>
      <c r="BH456" s="837"/>
      <c r="BI456" s="837"/>
      <c r="BJ456" s="837"/>
      <c r="BK456" s="837"/>
      <c r="BL456" s="837"/>
      <c r="BM456" s="837"/>
      <c r="BN456" s="837"/>
      <c r="BO456" s="837"/>
      <c r="BP456" s="837"/>
      <c r="BQ456" s="837"/>
      <c r="BR456" s="837"/>
      <c r="BS456" s="837"/>
      <c r="BT456" s="837"/>
      <c r="BU456" s="837"/>
      <c r="BV456" s="837"/>
      <c r="BW456" s="837"/>
      <c r="BX456" s="837"/>
      <c r="BY456" s="837"/>
      <c r="BZ456" s="838"/>
      <c r="CA456" s="836" t="str">
        <f>IFERROR(IF(CZ437&gt;CA437-1,IF(INDEX(Pedidos!CJ:DZ,CY437+CA437-1,37)&lt;&gt;"","Otras Instrucciones Especiales :     "&amp; INDEX(Pedidos!CJ:DZ,CY437+CA437-1,37),""),""),"")</f>
        <v/>
      </c>
      <c r="CB456" s="837"/>
      <c r="CC456" s="837"/>
      <c r="CD456" s="837"/>
      <c r="CE456" s="837"/>
      <c r="CF456" s="837"/>
      <c r="CG456" s="837"/>
      <c r="CH456" s="837"/>
      <c r="CI456" s="837"/>
      <c r="CJ456" s="837"/>
      <c r="CK456" s="837"/>
      <c r="CL456" s="837"/>
      <c r="CM456" s="837"/>
      <c r="CN456" s="837"/>
      <c r="CO456" s="837"/>
      <c r="CP456" s="837"/>
      <c r="CQ456" s="837"/>
      <c r="CR456" s="837"/>
      <c r="CS456" s="837"/>
      <c r="CT456" s="837"/>
      <c r="CU456" s="837"/>
      <c r="CV456" s="837"/>
      <c r="CW456" s="837"/>
      <c r="CX456" s="837"/>
      <c r="CY456" s="837"/>
      <c r="CZ456" s="838"/>
      <c r="DA456" s="836" t="str">
        <f>IFERROR(IF(DZ437&gt;DA437-1,IF(INDEX(Pedidos!DJ:EZ,DY437+DA437-1,37)&lt;&gt;"","Otras Instrucciones Especiales :     "&amp; INDEX(Pedidos!DJ:EZ,DY437+DA437-1,37),""),""),"")</f>
        <v/>
      </c>
      <c r="DB456" s="837"/>
      <c r="DC456" s="837"/>
      <c r="DD456" s="837"/>
      <c r="DE456" s="837"/>
      <c r="DF456" s="837"/>
      <c r="DG456" s="837"/>
      <c r="DH456" s="837"/>
      <c r="DI456" s="837"/>
      <c r="DJ456" s="837"/>
      <c r="DK456" s="837"/>
      <c r="DL456" s="837"/>
      <c r="DM456" s="837"/>
      <c r="DN456" s="837"/>
      <c r="DO456" s="837"/>
      <c r="DP456" s="837"/>
      <c r="DQ456" s="837"/>
      <c r="DR456" s="837"/>
      <c r="DS456" s="837"/>
      <c r="DT456" s="837"/>
      <c r="DU456" s="837"/>
      <c r="DV456" s="837"/>
      <c r="DW456" s="837"/>
      <c r="DX456" s="837"/>
      <c r="DY456" s="837"/>
      <c r="DZ456" s="838"/>
      <c r="EA456" s="836" t="str">
        <f>IFERROR(IF(EZ437&gt;EA437-1,IF(INDEX(Pedidos!EJ:FZ,EY437+EA437-1,37)&lt;&gt;"","Otras Instrucciones Especiales :     "&amp; INDEX(Pedidos!EJ:FZ,EY437+EA437-1,37),""),""),"")</f>
        <v/>
      </c>
      <c r="EB456" s="837"/>
      <c r="EC456" s="837"/>
      <c r="ED456" s="837"/>
      <c r="EE456" s="837"/>
      <c r="EF456" s="837"/>
      <c r="EG456" s="837"/>
      <c r="EH456" s="837"/>
      <c r="EI456" s="837"/>
      <c r="EJ456" s="837"/>
      <c r="EK456" s="837"/>
      <c r="EL456" s="837"/>
      <c r="EM456" s="837"/>
      <c r="EN456" s="837"/>
      <c r="EO456" s="837"/>
      <c r="EP456" s="837"/>
      <c r="EQ456" s="837"/>
      <c r="ER456" s="837"/>
      <c r="ES456" s="837"/>
      <c r="ET456" s="837"/>
      <c r="EU456" s="837"/>
      <c r="EV456" s="837"/>
      <c r="EW456" s="837"/>
      <c r="EX456" s="837"/>
      <c r="EY456" s="837"/>
      <c r="EZ456" s="838"/>
      <c r="FA456" s="836" t="str">
        <f>IFERROR(IF(FZ437&gt;FA437-1,IF(INDEX(Pedidos!FJ:GZ,FY437+FA437-1,37)&lt;&gt;"","Otras Instrucciones Especiales :     "&amp; INDEX(Pedidos!FJ:GZ,FY437+FA437-1,37),""),""),"")</f>
        <v/>
      </c>
      <c r="FB456" s="837"/>
      <c r="FC456" s="837"/>
      <c r="FD456" s="837"/>
      <c r="FE456" s="837"/>
      <c r="FF456" s="837"/>
      <c r="FG456" s="837"/>
      <c r="FH456" s="837"/>
      <c r="FI456" s="837"/>
      <c r="FJ456" s="837"/>
      <c r="FK456" s="837"/>
      <c r="FL456" s="837"/>
      <c r="FM456" s="837"/>
      <c r="FN456" s="837"/>
      <c r="FO456" s="837"/>
      <c r="FP456" s="837"/>
      <c r="FQ456" s="837"/>
      <c r="FR456" s="837"/>
      <c r="FS456" s="837"/>
      <c r="FT456" s="837"/>
      <c r="FU456" s="837"/>
      <c r="FV456" s="837"/>
      <c r="FW456" s="837"/>
      <c r="FX456" s="837"/>
      <c r="FY456" s="837"/>
      <c r="FZ456" s="838"/>
      <c r="GA456" s="836" t="str">
        <f>IFERROR(IF(GZ437&gt;GA437-1,IF(INDEX(Pedidos!GJ:HZ,GY437+GA437-1,37)&lt;&gt;"","Otras Instrucciones Especiales :     "&amp; INDEX(Pedidos!GJ:HZ,GY437+GA437-1,37),""),""),"")</f>
        <v/>
      </c>
      <c r="GB456" s="837"/>
      <c r="GC456" s="837"/>
      <c r="GD456" s="837"/>
      <c r="GE456" s="837"/>
      <c r="GF456" s="837"/>
      <c r="GG456" s="837"/>
      <c r="GH456" s="837"/>
      <c r="GI456" s="837"/>
      <c r="GJ456" s="837"/>
      <c r="GK456" s="837"/>
      <c r="GL456" s="837"/>
      <c r="GM456" s="837"/>
      <c r="GN456" s="837"/>
      <c r="GO456" s="837"/>
      <c r="GP456" s="837"/>
      <c r="GQ456" s="837"/>
      <c r="GR456" s="837"/>
      <c r="GS456" s="837"/>
      <c r="GT456" s="837"/>
      <c r="GU456" s="837"/>
      <c r="GV456" s="837"/>
      <c r="GW456" s="837"/>
      <c r="GX456" s="837"/>
      <c r="GY456" s="837"/>
      <c r="GZ456" s="838"/>
      <c r="HA456" s="836" t="str">
        <f>IFERROR(IF(HZ437&gt;HA437-1,IF(INDEX(Pedidos!HJ:IZ,HY437+HA437-1,37)&lt;&gt;"","Otras Instrucciones Especiales :     "&amp; INDEX(Pedidos!HJ:IZ,HY437+HA437-1,37),""),""),"")</f>
        <v/>
      </c>
      <c r="HB456" s="837"/>
      <c r="HC456" s="837"/>
      <c r="HD456" s="837"/>
      <c r="HE456" s="837"/>
      <c r="HF456" s="837"/>
      <c r="HG456" s="837"/>
      <c r="HH456" s="837"/>
      <c r="HI456" s="837"/>
      <c r="HJ456" s="837"/>
      <c r="HK456" s="837"/>
      <c r="HL456" s="837"/>
      <c r="HM456" s="837"/>
      <c r="HN456" s="837"/>
      <c r="HO456" s="837"/>
      <c r="HP456" s="837"/>
      <c r="HQ456" s="837"/>
      <c r="HR456" s="837"/>
      <c r="HS456" s="837"/>
      <c r="HT456" s="837"/>
      <c r="HU456" s="837"/>
      <c r="HV456" s="837"/>
      <c r="HW456" s="837"/>
      <c r="HX456" s="837"/>
      <c r="HY456" s="837"/>
      <c r="HZ456" s="838"/>
      <c r="IA456" s="836" t="str">
        <f>IFERROR(IF(IZ437&gt;IA437-1,IF(INDEX(Pedidos!IJ:JZ,IY437+IA437-1,37)&lt;&gt;"","Otras Instrucciones Especiales :     "&amp; INDEX(Pedidos!IJ:JZ,IY437+IA437-1,37),""),""),"")</f>
        <v/>
      </c>
      <c r="IB456" s="837"/>
      <c r="IC456" s="837"/>
      <c r="ID456" s="837"/>
      <c r="IE456" s="837"/>
      <c r="IF456" s="837"/>
      <c r="IG456" s="837"/>
      <c r="IH456" s="837"/>
      <c r="II456" s="837"/>
      <c r="IJ456" s="837"/>
      <c r="IK456" s="837"/>
      <c r="IL456" s="837"/>
      <c r="IM456" s="837"/>
      <c r="IN456" s="837"/>
      <c r="IO456" s="837"/>
      <c r="IP456" s="837"/>
      <c r="IQ456" s="837"/>
      <c r="IR456" s="837"/>
      <c r="IS456" s="837"/>
      <c r="IT456" s="837"/>
      <c r="IU456" s="837"/>
      <c r="IV456" s="837"/>
      <c r="IW456" s="837"/>
      <c r="IX456" s="837"/>
      <c r="IY456" s="837"/>
      <c r="IZ456" s="838"/>
    </row>
    <row r="457" spans="1:260" ht="15.75" thickBot="1" x14ac:dyDescent="0.3">
      <c r="A457" s="839"/>
      <c r="B457" s="840"/>
      <c r="C457" s="840"/>
      <c r="D457" s="840"/>
      <c r="E457" s="840"/>
      <c r="F457" s="840"/>
      <c r="G457" s="840"/>
      <c r="H457" s="840"/>
      <c r="I457" s="840"/>
      <c r="J457" s="840"/>
      <c r="K457" s="840"/>
      <c r="L457" s="840"/>
      <c r="M457" s="840"/>
      <c r="N457" s="840"/>
      <c r="O457" s="840"/>
      <c r="P457" s="840"/>
      <c r="Q457" s="840"/>
      <c r="R457" s="840"/>
      <c r="S457" s="840"/>
      <c r="T457" s="840"/>
      <c r="U457" s="840"/>
      <c r="V457" s="840"/>
      <c r="W457" s="840"/>
      <c r="X457" s="840"/>
      <c r="Y457" s="840"/>
      <c r="Z457" s="841"/>
      <c r="AA457" s="839"/>
      <c r="AB457" s="840"/>
      <c r="AC457" s="840"/>
      <c r="AD457" s="840"/>
      <c r="AE457" s="840"/>
      <c r="AF457" s="840"/>
      <c r="AG457" s="840"/>
      <c r="AH457" s="840"/>
      <c r="AI457" s="840"/>
      <c r="AJ457" s="840"/>
      <c r="AK457" s="840"/>
      <c r="AL457" s="840"/>
      <c r="AM457" s="840"/>
      <c r="AN457" s="840"/>
      <c r="AO457" s="840"/>
      <c r="AP457" s="840"/>
      <c r="AQ457" s="840"/>
      <c r="AR457" s="840"/>
      <c r="AS457" s="840"/>
      <c r="AT457" s="840"/>
      <c r="AU457" s="840"/>
      <c r="AV457" s="840"/>
      <c r="AW457" s="840"/>
      <c r="AX457" s="840"/>
      <c r="AY457" s="840"/>
      <c r="AZ457" s="841"/>
      <c r="BA457" s="839"/>
      <c r="BB457" s="840"/>
      <c r="BC457" s="840"/>
      <c r="BD457" s="840"/>
      <c r="BE457" s="840"/>
      <c r="BF457" s="840"/>
      <c r="BG457" s="840"/>
      <c r="BH457" s="840"/>
      <c r="BI457" s="840"/>
      <c r="BJ457" s="840"/>
      <c r="BK457" s="840"/>
      <c r="BL457" s="840"/>
      <c r="BM457" s="840"/>
      <c r="BN457" s="840"/>
      <c r="BO457" s="840"/>
      <c r="BP457" s="840"/>
      <c r="BQ457" s="840"/>
      <c r="BR457" s="840"/>
      <c r="BS457" s="840"/>
      <c r="BT457" s="840"/>
      <c r="BU457" s="840"/>
      <c r="BV457" s="840"/>
      <c r="BW457" s="840"/>
      <c r="BX457" s="840"/>
      <c r="BY457" s="840"/>
      <c r="BZ457" s="841"/>
      <c r="CA457" s="839"/>
      <c r="CB457" s="840"/>
      <c r="CC457" s="840"/>
      <c r="CD457" s="840"/>
      <c r="CE457" s="840"/>
      <c r="CF457" s="840"/>
      <c r="CG457" s="840"/>
      <c r="CH457" s="840"/>
      <c r="CI457" s="840"/>
      <c r="CJ457" s="840"/>
      <c r="CK457" s="840"/>
      <c r="CL457" s="840"/>
      <c r="CM457" s="840"/>
      <c r="CN457" s="840"/>
      <c r="CO457" s="840"/>
      <c r="CP457" s="840"/>
      <c r="CQ457" s="840"/>
      <c r="CR457" s="840"/>
      <c r="CS457" s="840"/>
      <c r="CT457" s="840"/>
      <c r="CU457" s="840"/>
      <c r="CV457" s="840"/>
      <c r="CW457" s="840"/>
      <c r="CX457" s="840"/>
      <c r="CY457" s="840"/>
      <c r="CZ457" s="841"/>
      <c r="DA457" s="839"/>
      <c r="DB457" s="840"/>
      <c r="DC457" s="840"/>
      <c r="DD457" s="840"/>
      <c r="DE457" s="840"/>
      <c r="DF457" s="840"/>
      <c r="DG457" s="840"/>
      <c r="DH457" s="840"/>
      <c r="DI457" s="840"/>
      <c r="DJ457" s="840"/>
      <c r="DK457" s="840"/>
      <c r="DL457" s="840"/>
      <c r="DM457" s="840"/>
      <c r="DN457" s="840"/>
      <c r="DO457" s="840"/>
      <c r="DP457" s="840"/>
      <c r="DQ457" s="840"/>
      <c r="DR457" s="840"/>
      <c r="DS457" s="840"/>
      <c r="DT457" s="840"/>
      <c r="DU457" s="840"/>
      <c r="DV457" s="840"/>
      <c r="DW457" s="840"/>
      <c r="DX457" s="840"/>
      <c r="DY457" s="840"/>
      <c r="DZ457" s="841"/>
      <c r="EA457" s="839"/>
      <c r="EB457" s="840"/>
      <c r="EC457" s="840"/>
      <c r="ED457" s="840"/>
      <c r="EE457" s="840"/>
      <c r="EF457" s="840"/>
      <c r="EG457" s="840"/>
      <c r="EH457" s="840"/>
      <c r="EI457" s="840"/>
      <c r="EJ457" s="840"/>
      <c r="EK457" s="840"/>
      <c r="EL457" s="840"/>
      <c r="EM457" s="840"/>
      <c r="EN457" s="840"/>
      <c r="EO457" s="840"/>
      <c r="EP457" s="840"/>
      <c r="EQ457" s="840"/>
      <c r="ER457" s="840"/>
      <c r="ES457" s="840"/>
      <c r="ET457" s="840"/>
      <c r="EU457" s="840"/>
      <c r="EV457" s="840"/>
      <c r="EW457" s="840"/>
      <c r="EX457" s="840"/>
      <c r="EY457" s="840"/>
      <c r="EZ457" s="841"/>
      <c r="FA457" s="839"/>
      <c r="FB457" s="840"/>
      <c r="FC457" s="840"/>
      <c r="FD457" s="840"/>
      <c r="FE457" s="840"/>
      <c r="FF457" s="840"/>
      <c r="FG457" s="840"/>
      <c r="FH457" s="840"/>
      <c r="FI457" s="840"/>
      <c r="FJ457" s="840"/>
      <c r="FK457" s="840"/>
      <c r="FL457" s="840"/>
      <c r="FM457" s="840"/>
      <c r="FN457" s="840"/>
      <c r="FO457" s="840"/>
      <c r="FP457" s="840"/>
      <c r="FQ457" s="840"/>
      <c r="FR457" s="840"/>
      <c r="FS457" s="840"/>
      <c r="FT457" s="840"/>
      <c r="FU457" s="840"/>
      <c r="FV457" s="840"/>
      <c r="FW457" s="840"/>
      <c r="FX457" s="840"/>
      <c r="FY457" s="840"/>
      <c r="FZ457" s="841"/>
      <c r="GA457" s="839"/>
      <c r="GB457" s="840"/>
      <c r="GC457" s="840"/>
      <c r="GD457" s="840"/>
      <c r="GE457" s="840"/>
      <c r="GF457" s="840"/>
      <c r="GG457" s="840"/>
      <c r="GH457" s="840"/>
      <c r="GI457" s="840"/>
      <c r="GJ457" s="840"/>
      <c r="GK457" s="840"/>
      <c r="GL457" s="840"/>
      <c r="GM457" s="840"/>
      <c r="GN457" s="840"/>
      <c r="GO457" s="840"/>
      <c r="GP457" s="840"/>
      <c r="GQ457" s="840"/>
      <c r="GR457" s="840"/>
      <c r="GS457" s="840"/>
      <c r="GT457" s="840"/>
      <c r="GU457" s="840"/>
      <c r="GV457" s="840"/>
      <c r="GW457" s="840"/>
      <c r="GX457" s="840"/>
      <c r="GY457" s="840"/>
      <c r="GZ457" s="841"/>
      <c r="HA457" s="839"/>
      <c r="HB457" s="840"/>
      <c r="HC457" s="840"/>
      <c r="HD457" s="840"/>
      <c r="HE457" s="840"/>
      <c r="HF457" s="840"/>
      <c r="HG457" s="840"/>
      <c r="HH457" s="840"/>
      <c r="HI457" s="840"/>
      <c r="HJ457" s="840"/>
      <c r="HK457" s="840"/>
      <c r="HL457" s="840"/>
      <c r="HM457" s="840"/>
      <c r="HN457" s="840"/>
      <c r="HO457" s="840"/>
      <c r="HP457" s="840"/>
      <c r="HQ457" s="840"/>
      <c r="HR457" s="840"/>
      <c r="HS457" s="840"/>
      <c r="HT457" s="840"/>
      <c r="HU457" s="840"/>
      <c r="HV457" s="840"/>
      <c r="HW457" s="840"/>
      <c r="HX457" s="840"/>
      <c r="HY457" s="840"/>
      <c r="HZ457" s="841"/>
      <c r="IA457" s="839"/>
      <c r="IB457" s="840"/>
      <c r="IC457" s="840"/>
      <c r="ID457" s="840"/>
      <c r="IE457" s="840"/>
      <c r="IF457" s="840"/>
      <c r="IG457" s="840"/>
      <c r="IH457" s="840"/>
      <c r="II457" s="840"/>
      <c r="IJ457" s="840"/>
      <c r="IK457" s="840"/>
      <c r="IL457" s="840"/>
      <c r="IM457" s="840"/>
      <c r="IN457" s="840"/>
      <c r="IO457" s="840"/>
      <c r="IP457" s="840"/>
      <c r="IQ457" s="840"/>
      <c r="IR457" s="840"/>
      <c r="IS457" s="840"/>
      <c r="IT457" s="840"/>
      <c r="IU457" s="840"/>
      <c r="IV457" s="840"/>
      <c r="IW457" s="840"/>
      <c r="IX457" s="840"/>
      <c r="IY457" s="840"/>
      <c r="IZ457" s="841"/>
    </row>
  </sheetData>
  <mergeCells count="8330">
    <mergeCell ref="IA444:IV444"/>
    <mergeCell ref="IW444:IZ445"/>
    <mergeCell ref="IA446:IZ446"/>
    <mergeCell ref="IA447:IZ447"/>
    <mergeCell ref="IA448:IZ448"/>
    <mergeCell ref="IA449:IZ449"/>
    <mergeCell ref="IA450:IZ450"/>
    <mergeCell ref="IA451:IZ451"/>
    <mergeCell ref="IA452:IZ452"/>
    <mergeCell ref="IA453:IZ453"/>
    <mergeCell ref="IA454:IZ454"/>
    <mergeCell ref="IA455:IZ455"/>
    <mergeCell ref="IA456:IZ457"/>
    <mergeCell ref="IA441:IE442"/>
    <mergeCell ref="IF441:II442"/>
    <mergeCell ref="IJ441:IJ442"/>
    <mergeCell ref="IK441:IK442"/>
    <mergeCell ref="IL441:IL442"/>
    <mergeCell ref="IM441:IM442"/>
    <mergeCell ref="IN441:IN442"/>
    <mergeCell ref="IO441:IO442"/>
    <mergeCell ref="IP441:IP442"/>
    <mergeCell ref="IQ441:IQ442"/>
    <mergeCell ref="IR441:IR442"/>
    <mergeCell ref="IS441:IS442"/>
    <mergeCell ref="IT441:IT442"/>
    <mergeCell ref="IU441:IU442"/>
    <mergeCell ref="IV441:IV442"/>
    <mergeCell ref="IW441:IZ442"/>
    <mergeCell ref="IA443:IE443"/>
    <mergeCell ref="IF443:II443"/>
    <mergeCell ref="IW443:IZ443"/>
    <mergeCell ref="IA422:IV422"/>
    <mergeCell ref="IW422:IZ423"/>
    <mergeCell ref="IA424:IZ424"/>
    <mergeCell ref="IA425:IZ425"/>
    <mergeCell ref="IA426:IZ426"/>
    <mergeCell ref="IA427:IZ427"/>
    <mergeCell ref="IA428:IZ428"/>
    <mergeCell ref="IA429:IZ429"/>
    <mergeCell ref="IA430:IZ430"/>
    <mergeCell ref="IA431:IZ431"/>
    <mergeCell ref="IA432:IZ432"/>
    <mergeCell ref="IA433:IZ433"/>
    <mergeCell ref="IA434:IZ435"/>
    <mergeCell ref="IA438:II438"/>
    <mergeCell ref="IJ438:IZ438"/>
    <mergeCell ref="IA439:II440"/>
    <mergeCell ref="IJ439:IL440"/>
    <mergeCell ref="IM439:IO440"/>
    <mergeCell ref="IP439:IU440"/>
    <mergeCell ref="IV439:IV440"/>
    <mergeCell ref="IW439:IZ440"/>
    <mergeCell ref="IA423:IV423"/>
    <mergeCell ref="IA419:IE420"/>
    <mergeCell ref="IF419:II420"/>
    <mergeCell ref="IJ419:IJ420"/>
    <mergeCell ref="IK419:IK420"/>
    <mergeCell ref="IL419:IL420"/>
    <mergeCell ref="IM419:IM420"/>
    <mergeCell ref="IN419:IN420"/>
    <mergeCell ref="IO419:IO420"/>
    <mergeCell ref="IP419:IP420"/>
    <mergeCell ref="IQ419:IQ420"/>
    <mergeCell ref="IR419:IR420"/>
    <mergeCell ref="IS419:IS420"/>
    <mergeCell ref="IT419:IT420"/>
    <mergeCell ref="IU419:IU420"/>
    <mergeCell ref="IV419:IV420"/>
    <mergeCell ref="IW419:IZ420"/>
    <mergeCell ref="IA421:IE421"/>
    <mergeCell ref="IF421:II421"/>
    <mergeCell ref="IW421:IZ421"/>
    <mergeCell ref="IA398:IV398"/>
    <mergeCell ref="IW398:IZ399"/>
    <mergeCell ref="IA400:IZ400"/>
    <mergeCell ref="IA401:IZ401"/>
    <mergeCell ref="IA402:IZ402"/>
    <mergeCell ref="IA403:IZ403"/>
    <mergeCell ref="IA404:IZ404"/>
    <mergeCell ref="IA405:IZ405"/>
    <mergeCell ref="IA406:IZ406"/>
    <mergeCell ref="IA407:IZ407"/>
    <mergeCell ref="IA408:IZ408"/>
    <mergeCell ref="IA409:IZ409"/>
    <mergeCell ref="IA410:IZ411"/>
    <mergeCell ref="IA416:II416"/>
    <mergeCell ref="IJ416:IZ416"/>
    <mergeCell ref="IA417:II418"/>
    <mergeCell ref="IJ417:IL418"/>
    <mergeCell ref="IM417:IO418"/>
    <mergeCell ref="IP417:IU418"/>
    <mergeCell ref="IV417:IV418"/>
    <mergeCell ref="IW417:IZ418"/>
    <mergeCell ref="IA399:IV399"/>
    <mergeCell ref="IA395:IE396"/>
    <mergeCell ref="IF395:II396"/>
    <mergeCell ref="IJ395:IJ396"/>
    <mergeCell ref="IK395:IK396"/>
    <mergeCell ref="IL395:IL396"/>
    <mergeCell ref="IM395:IM396"/>
    <mergeCell ref="IN395:IN396"/>
    <mergeCell ref="IO395:IO396"/>
    <mergeCell ref="IP395:IP396"/>
    <mergeCell ref="IQ395:IQ396"/>
    <mergeCell ref="IR395:IR396"/>
    <mergeCell ref="IS395:IS396"/>
    <mergeCell ref="IT395:IT396"/>
    <mergeCell ref="IU395:IU396"/>
    <mergeCell ref="IV395:IV396"/>
    <mergeCell ref="IW395:IZ396"/>
    <mergeCell ref="IA397:IE397"/>
    <mergeCell ref="IF397:II397"/>
    <mergeCell ref="IW397:IZ397"/>
    <mergeCell ref="IA376:IV376"/>
    <mergeCell ref="IW376:IZ377"/>
    <mergeCell ref="IA378:IZ378"/>
    <mergeCell ref="IA379:IZ379"/>
    <mergeCell ref="IA380:IZ380"/>
    <mergeCell ref="IA381:IZ381"/>
    <mergeCell ref="IA382:IZ382"/>
    <mergeCell ref="IA383:IZ383"/>
    <mergeCell ref="IA384:IZ384"/>
    <mergeCell ref="IA385:IZ385"/>
    <mergeCell ref="IA386:IZ386"/>
    <mergeCell ref="IA387:IZ387"/>
    <mergeCell ref="IA388:IZ389"/>
    <mergeCell ref="IA392:II392"/>
    <mergeCell ref="IJ392:IZ392"/>
    <mergeCell ref="IA393:II394"/>
    <mergeCell ref="IJ393:IL394"/>
    <mergeCell ref="IM393:IO394"/>
    <mergeCell ref="IP393:IU394"/>
    <mergeCell ref="IV393:IV394"/>
    <mergeCell ref="IW393:IZ394"/>
    <mergeCell ref="IA377:IV377"/>
    <mergeCell ref="IA373:IE374"/>
    <mergeCell ref="IF373:II374"/>
    <mergeCell ref="IJ373:IJ374"/>
    <mergeCell ref="IK373:IK374"/>
    <mergeCell ref="IL373:IL374"/>
    <mergeCell ref="IM373:IM374"/>
    <mergeCell ref="IN373:IN374"/>
    <mergeCell ref="IO373:IO374"/>
    <mergeCell ref="IP373:IP374"/>
    <mergeCell ref="IQ373:IQ374"/>
    <mergeCell ref="IR373:IR374"/>
    <mergeCell ref="IS373:IS374"/>
    <mergeCell ref="IT373:IT374"/>
    <mergeCell ref="IU373:IU374"/>
    <mergeCell ref="IV373:IV374"/>
    <mergeCell ref="IW373:IZ374"/>
    <mergeCell ref="IA375:IE375"/>
    <mergeCell ref="IF375:II375"/>
    <mergeCell ref="IW375:IZ375"/>
    <mergeCell ref="IA352:IV352"/>
    <mergeCell ref="IW352:IZ353"/>
    <mergeCell ref="IA354:IZ354"/>
    <mergeCell ref="IA355:IZ355"/>
    <mergeCell ref="IA356:IZ356"/>
    <mergeCell ref="IA357:IZ357"/>
    <mergeCell ref="IA358:IZ358"/>
    <mergeCell ref="IA359:IZ359"/>
    <mergeCell ref="IA360:IZ360"/>
    <mergeCell ref="IA361:IZ361"/>
    <mergeCell ref="IA362:IZ362"/>
    <mergeCell ref="IA363:IZ363"/>
    <mergeCell ref="IA364:IZ365"/>
    <mergeCell ref="IA370:II370"/>
    <mergeCell ref="IJ370:IZ370"/>
    <mergeCell ref="IA371:II372"/>
    <mergeCell ref="IJ371:IL372"/>
    <mergeCell ref="IM371:IO372"/>
    <mergeCell ref="IP371:IU372"/>
    <mergeCell ref="IV371:IV372"/>
    <mergeCell ref="IW371:IZ372"/>
    <mergeCell ref="IA353:IV353"/>
    <mergeCell ref="IA349:IE350"/>
    <mergeCell ref="IF349:II350"/>
    <mergeCell ref="IJ349:IJ350"/>
    <mergeCell ref="IK349:IK350"/>
    <mergeCell ref="IL349:IL350"/>
    <mergeCell ref="IM349:IM350"/>
    <mergeCell ref="IN349:IN350"/>
    <mergeCell ref="IO349:IO350"/>
    <mergeCell ref="IP349:IP350"/>
    <mergeCell ref="IQ349:IQ350"/>
    <mergeCell ref="IR349:IR350"/>
    <mergeCell ref="IS349:IS350"/>
    <mergeCell ref="IT349:IT350"/>
    <mergeCell ref="IU349:IU350"/>
    <mergeCell ref="IV349:IV350"/>
    <mergeCell ref="IW349:IZ350"/>
    <mergeCell ref="IA351:IE351"/>
    <mergeCell ref="IF351:II351"/>
    <mergeCell ref="IW351:IZ351"/>
    <mergeCell ref="IA330:IV330"/>
    <mergeCell ref="IW330:IZ331"/>
    <mergeCell ref="IA332:IZ332"/>
    <mergeCell ref="IA333:IZ333"/>
    <mergeCell ref="IA334:IZ334"/>
    <mergeCell ref="IA335:IZ335"/>
    <mergeCell ref="IA336:IZ336"/>
    <mergeCell ref="IA337:IZ337"/>
    <mergeCell ref="IA338:IZ338"/>
    <mergeCell ref="IA339:IZ339"/>
    <mergeCell ref="IA340:IZ340"/>
    <mergeCell ref="IA341:IZ341"/>
    <mergeCell ref="IA342:IZ343"/>
    <mergeCell ref="IA346:II346"/>
    <mergeCell ref="IJ346:IZ346"/>
    <mergeCell ref="IA347:II348"/>
    <mergeCell ref="IJ347:IL348"/>
    <mergeCell ref="IM347:IO348"/>
    <mergeCell ref="IP347:IU348"/>
    <mergeCell ref="IV347:IV348"/>
    <mergeCell ref="IW347:IZ348"/>
    <mergeCell ref="IA331:IV331"/>
    <mergeCell ref="IA327:IE328"/>
    <mergeCell ref="IF327:II328"/>
    <mergeCell ref="IJ327:IJ328"/>
    <mergeCell ref="IK327:IK328"/>
    <mergeCell ref="IL327:IL328"/>
    <mergeCell ref="IM327:IM328"/>
    <mergeCell ref="IN327:IN328"/>
    <mergeCell ref="IO327:IO328"/>
    <mergeCell ref="IP327:IP328"/>
    <mergeCell ref="IQ327:IQ328"/>
    <mergeCell ref="IR327:IR328"/>
    <mergeCell ref="IS327:IS328"/>
    <mergeCell ref="IT327:IT328"/>
    <mergeCell ref="IU327:IU328"/>
    <mergeCell ref="IV327:IV328"/>
    <mergeCell ref="IW327:IZ328"/>
    <mergeCell ref="IA329:IE329"/>
    <mergeCell ref="IF329:II329"/>
    <mergeCell ref="IW329:IZ329"/>
    <mergeCell ref="IA306:IV306"/>
    <mergeCell ref="IW306:IZ307"/>
    <mergeCell ref="IA308:IZ308"/>
    <mergeCell ref="IA309:IZ309"/>
    <mergeCell ref="IA310:IZ310"/>
    <mergeCell ref="IA311:IZ311"/>
    <mergeCell ref="IA312:IZ312"/>
    <mergeCell ref="IA313:IZ313"/>
    <mergeCell ref="IA314:IZ314"/>
    <mergeCell ref="IA315:IZ315"/>
    <mergeCell ref="IA316:IZ316"/>
    <mergeCell ref="IA317:IZ317"/>
    <mergeCell ref="IA318:IZ319"/>
    <mergeCell ref="IA324:II324"/>
    <mergeCell ref="IJ324:IZ324"/>
    <mergeCell ref="IA325:II326"/>
    <mergeCell ref="IJ325:IL326"/>
    <mergeCell ref="IM325:IO326"/>
    <mergeCell ref="IP325:IU326"/>
    <mergeCell ref="IV325:IV326"/>
    <mergeCell ref="IW325:IZ326"/>
    <mergeCell ref="IA307:IV307"/>
    <mergeCell ref="IA303:IE304"/>
    <mergeCell ref="IF303:II304"/>
    <mergeCell ref="IJ303:IJ304"/>
    <mergeCell ref="IK303:IK304"/>
    <mergeCell ref="IL303:IL304"/>
    <mergeCell ref="IM303:IM304"/>
    <mergeCell ref="IN303:IN304"/>
    <mergeCell ref="IO303:IO304"/>
    <mergeCell ref="IP303:IP304"/>
    <mergeCell ref="IQ303:IQ304"/>
    <mergeCell ref="IR303:IR304"/>
    <mergeCell ref="IS303:IS304"/>
    <mergeCell ref="IT303:IT304"/>
    <mergeCell ref="IU303:IU304"/>
    <mergeCell ref="IV303:IV304"/>
    <mergeCell ref="IW303:IZ304"/>
    <mergeCell ref="IA305:IE305"/>
    <mergeCell ref="IF305:II305"/>
    <mergeCell ref="IW305:IZ305"/>
    <mergeCell ref="IA284:IV284"/>
    <mergeCell ref="IW284:IZ285"/>
    <mergeCell ref="IA286:IZ286"/>
    <mergeCell ref="IA287:IZ287"/>
    <mergeCell ref="IA288:IZ288"/>
    <mergeCell ref="IA289:IZ289"/>
    <mergeCell ref="IA290:IZ290"/>
    <mergeCell ref="IA291:IZ291"/>
    <mergeCell ref="IA292:IZ292"/>
    <mergeCell ref="IA293:IZ293"/>
    <mergeCell ref="IA294:IZ294"/>
    <mergeCell ref="IA295:IZ295"/>
    <mergeCell ref="IA296:IZ297"/>
    <mergeCell ref="IA300:II300"/>
    <mergeCell ref="IJ300:IZ300"/>
    <mergeCell ref="IA301:II302"/>
    <mergeCell ref="IJ301:IL302"/>
    <mergeCell ref="IM301:IO302"/>
    <mergeCell ref="IP301:IU302"/>
    <mergeCell ref="IV301:IV302"/>
    <mergeCell ref="IW301:IZ302"/>
    <mergeCell ref="IA285:IV285"/>
    <mergeCell ref="IA281:IE282"/>
    <mergeCell ref="IF281:II282"/>
    <mergeCell ref="IJ281:IJ282"/>
    <mergeCell ref="IK281:IK282"/>
    <mergeCell ref="IL281:IL282"/>
    <mergeCell ref="IM281:IM282"/>
    <mergeCell ref="IN281:IN282"/>
    <mergeCell ref="IO281:IO282"/>
    <mergeCell ref="IP281:IP282"/>
    <mergeCell ref="IQ281:IQ282"/>
    <mergeCell ref="IR281:IR282"/>
    <mergeCell ref="IS281:IS282"/>
    <mergeCell ref="IT281:IT282"/>
    <mergeCell ref="IU281:IU282"/>
    <mergeCell ref="IV281:IV282"/>
    <mergeCell ref="IW281:IZ282"/>
    <mergeCell ref="IA283:IE283"/>
    <mergeCell ref="IF283:II283"/>
    <mergeCell ref="IW283:IZ283"/>
    <mergeCell ref="IA260:IV260"/>
    <mergeCell ref="IW260:IZ261"/>
    <mergeCell ref="IA262:IZ262"/>
    <mergeCell ref="IA263:IZ263"/>
    <mergeCell ref="IA264:IZ264"/>
    <mergeCell ref="IA265:IZ265"/>
    <mergeCell ref="IA266:IZ266"/>
    <mergeCell ref="IA267:IZ267"/>
    <mergeCell ref="IA268:IZ268"/>
    <mergeCell ref="IA269:IZ269"/>
    <mergeCell ref="IA270:IZ270"/>
    <mergeCell ref="IA271:IZ271"/>
    <mergeCell ref="IA272:IZ273"/>
    <mergeCell ref="IA274:IZ275"/>
    <mergeCell ref="IA278:II278"/>
    <mergeCell ref="IJ278:IZ278"/>
    <mergeCell ref="IA279:II280"/>
    <mergeCell ref="IJ279:IL280"/>
    <mergeCell ref="IM279:IO280"/>
    <mergeCell ref="IP279:IU280"/>
    <mergeCell ref="IV279:IV280"/>
    <mergeCell ref="IW279:IZ280"/>
    <mergeCell ref="IA261:IV261"/>
    <mergeCell ref="IA257:IE258"/>
    <mergeCell ref="IF257:II258"/>
    <mergeCell ref="IJ257:IJ258"/>
    <mergeCell ref="IK257:IK258"/>
    <mergeCell ref="IL257:IL258"/>
    <mergeCell ref="IM257:IM258"/>
    <mergeCell ref="IN257:IN258"/>
    <mergeCell ref="IO257:IO258"/>
    <mergeCell ref="IP257:IP258"/>
    <mergeCell ref="IQ257:IQ258"/>
    <mergeCell ref="IR257:IR258"/>
    <mergeCell ref="IS257:IS258"/>
    <mergeCell ref="IT257:IT258"/>
    <mergeCell ref="IU257:IU258"/>
    <mergeCell ref="IV257:IV258"/>
    <mergeCell ref="IW257:IZ258"/>
    <mergeCell ref="IA259:IE259"/>
    <mergeCell ref="IF259:II259"/>
    <mergeCell ref="IW259:IZ259"/>
    <mergeCell ref="IA238:IV238"/>
    <mergeCell ref="IW238:IZ239"/>
    <mergeCell ref="IA240:IZ240"/>
    <mergeCell ref="IA241:IZ241"/>
    <mergeCell ref="IA242:IZ242"/>
    <mergeCell ref="IA243:IZ243"/>
    <mergeCell ref="IA244:IZ244"/>
    <mergeCell ref="IA245:IZ245"/>
    <mergeCell ref="IA246:IZ246"/>
    <mergeCell ref="IA247:IZ247"/>
    <mergeCell ref="IA248:IZ248"/>
    <mergeCell ref="IA249:IZ249"/>
    <mergeCell ref="IA250:IZ251"/>
    <mergeCell ref="IA254:II254"/>
    <mergeCell ref="IJ254:IZ254"/>
    <mergeCell ref="IA255:II256"/>
    <mergeCell ref="IJ255:IL256"/>
    <mergeCell ref="IM255:IO256"/>
    <mergeCell ref="IP255:IU256"/>
    <mergeCell ref="IV255:IV256"/>
    <mergeCell ref="IW255:IZ256"/>
    <mergeCell ref="IA239:IV239"/>
    <mergeCell ref="IA235:IE236"/>
    <mergeCell ref="IF235:II236"/>
    <mergeCell ref="IJ235:IJ236"/>
    <mergeCell ref="IK235:IK236"/>
    <mergeCell ref="IL235:IL236"/>
    <mergeCell ref="IM235:IM236"/>
    <mergeCell ref="IN235:IN236"/>
    <mergeCell ref="IO235:IO236"/>
    <mergeCell ref="IP235:IP236"/>
    <mergeCell ref="IQ235:IQ236"/>
    <mergeCell ref="IR235:IR236"/>
    <mergeCell ref="IS235:IS236"/>
    <mergeCell ref="IT235:IT236"/>
    <mergeCell ref="IU235:IU236"/>
    <mergeCell ref="IV235:IV236"/>
    <mergeCell ref="IW235:IZ236"/>
    <mergeCell ref="IA237:IE237"/>
    <mergeCell ref="IF237:II237"/>
    <mergeCell ref="IW237:IZ237"/>
    <mergeCell ref="IA214:IV214"/>
    <mergeCell ref="IW214:IZ215"/>
    <mergeCell ref="IA216:IZ216"/>
    <mergeCell ref="IA217:IZ217"/>
    <mergeCell ref="IA218:IZ218"/>
    <mergeCell ref="IA219:IZ219"/>
    <mergeCell ref="IA220:IZ220"/>
    <mergeCell ref="IA221:IZ221"/>
    <mergeCell ref="IA222:IZ222"/>
    <mergeCell ref="IA223:IZ223"/>
    <mergeCell ref="IA224:IZ224"/>
    <mergeCell ref="IA225:IZ225"/>
    <mergeCell ref="IA226:IZ227"/>
    <mergeCell ref="IA228:IZ229"/>
    <mergeCell ref="IA232:II232"/>
    <mergeCell ref="IJ232:IZ232"/>
    <mergeCell ref="IA233:II234"/>
    <mergeCell ref="IJ233:IL234"/>
    <mergeCell ref="IM233:IO234"/>
    <mergeCell ref="IP233:IU234"/>
    <mergeCell ref="IV233:IV234"/>
    <mergeCell ref="IW233:IZ234"/>
    <mergeCell ref="IA215:IV215"/>
    <mergeCell ref="IA211:IE212"/>
    <mergeCell ref="IF211:II212"/>
    <mergeCell ref="IJ211:IJ212"/>
    <mergeCell ref="IK211:IK212"/>
    <mergeCell ref="IL211:IL212"/>
    <mergeCell ref="IM211:IM212"/>
    <mergeCell ref="IN211:IN212"/>
    <mergeCell ref="IO211:IO212"/>
    <mergeCell ref="IP211:IP212"/>
    <mergeCell ref="IQ211:IQ212"/>
    <mergeCell ref="IR211:IR212"/>
    <mergeCell ref="IS211:IS212"/>
    <mergeCell ref="IT211:IT212"/>
    <mergeCell ref="IU211:IU212"/>
    <mergeCell ref="IV211:IV212"/>
    <mergeCell ref="IW211:IZ212"/>
    <mergeCell ref="IA213:IE213"/>
    <mergeCell ref="IF213:II213"/>
    <mergeCell ref="IW213:IZ213"/>
    <mergeCell ref="IA192:IV192"/>
    <mergeCell ref="IW192:IZ193"/>
    <mergeCell ref="IA194:IZ194"/>
    <mergeCell ref="IA195:IZ195"/>
    <mergeCell ref="IA196:IZ196"/>
    <mergeCell ref="IA197:IZ197"/>
    <mergeCell ref="IA198:IZ198"/>
    <mergeCell ref="IA199:IZ199"/>
    <mergeCell ref="IA200:IZ200"/>
    <mergeCell ref="IA201:IZ201"/>
    <mergeCell ref="IA202:IZ202"/>
    <mergeCell ref="IA203:IZ203"/>
    <mergeCell ref="IA204:IZ205"/>
    <mergeCell ref="IA208:II208"/>
    <mergeCell ref="IJ208:IZ208"/>
    <mergeCell ref="IA209:II210"/>
    <mergeCell ref="IJ209:IL210"/>
    <mergeCell ref="IM209:IO210"/>
    <mergeCell ref="IP209:IU210"/>
    <mergeCell ref="IV209:IV210"/>
    <mergeCell ref="IW209:IZ210"/>
    <mergeCell ref="IA193:IV193"/>
    <mergeCell ref="IA189:IE190"/>
    <mergeCell ref="IF189:II190"/>
    <mergeCell ref="IJ189:IJ190"/>
    <mergeCell ref="IK189:IK190"/>
    <mergeCell ref="IL189:IL190"/>
    <mergeCell ref="IM189:IM190"/>
    <mergeCell ref="IN189:IN190"/>
    <mergeCell ref="IO189:IO190"/>
    <mergeCell ref="IP189:IP190"/>
    <mergeCell ref="IQ189:IQ190"/>
    <mergeCell ref="IR189:IR190"/>
    <mergeCell ref="IS189:IS190"/>
    <mergeCell ref="IT189:IT190"/>
    <mergeCell ref="IU189:IU190"/>
    <mergeCell ref="IV189:IV190"/>
    <mergeCell ref="IW189:IZ190"/>
    <mergeCell ref="IA191:IE191"/>
    <mergeCell ref="IF191:II191"/>
    <mergeCell ref="IW191:IZ191"/>
    <mergeCell ref="IA168:IV168"/>
    <mergeCell ref="IW168:IZ169"/>
    <mergeCell ref="IA170:IZ170"/>
    <mergeCell ref="IA171:IZ171"/>
    <mergeCell ref="IA172:IZ172"/>
    <mergeCell ref="IA173:IZ173"/>
    <mergeCell ref="IA174:IZ174"/>
    <mergeCell ref="IA175:IZ175"/>
    <mergeCell ref="IA176:IZ176"/>
    <mergeCell ref="IA177:IZ177"/>
    <mergeCell ref="IA178:IZ178"/>
    <mergeCell ref="IA179:IZ179"/>
    <mergeCell ref="IA180:IZ181"/>
    <mergeCell ref="IA186:II186"/>
    <mergeCell ref="IJ186:IZ186"/>
    <mergeCell ref="IA187:II188"/>
    <mergeCell ref="IJ187:IL188"/>
    <mergeCell ref="IM187:IO188"/>
    <mergeCell ref="IP187:IU188"/>
    <mergeCell ref="IV187:IV188"/>
    <mergeCell ref="IW187:IZ188"/>
    <mergeCell ref="IA169:IV169"/>
    <mergeCell ref="IA165:IE166"/>
    <mergeCell ref="IF165:II166"/>
    <mergeCell ref="IJ165:IJ166"/>
    <mergeCell ref="IK165:IK166"/>
    <mergeCell ref="IL165:IL166"/>
    <mergeCell ref="IM165:IM166"/>
    <mergeCell ref="IN165:IN166"/>
    <mergeCell ref="IO165:IO166"/>
    <mergeCell ref="IP165:IP166"/>
    <mergeCell ref="IQ165:IQ166"/>
    <mergeCell ref="IR165:IR166"/>
    <mergeCell ref="IS165:IS166"/>
    <mergeCell ref="IT165:IT166"/>
    <mergeCell ref="IU165:IU166"/>
    <mergeCell ref="IV165:IV166"/>
    <mergeCell ref="IW165:IZ166"/>
    <mergeCell ref="IA167:IE167"/>
    <mergeCell ref="IF167:II167"/>
    <mergeCell ref="IW167:IZ167"/>
    <mergeCell ref="IA146:IV146"/>
    <mergeCell ref="IW146:IZ147"/>
    <mergeCell ref="IA148:IZ148"/>
    <mergeCell ref="IA149:IZ149"/>
    <mergeCell ref="IA150:IZ150"/>
    <mergeCell ref="IA151:IZ151"/>
    <mergeCell ref="IA152:IZ152"/>
    <mergeCell ref="IA153:IZ153"/>
    <mergeCell ref="IA154:IZ154"/>
    <mergeCell ref="IA155:IZ155"/>
    <mergeCell ref="IA156:IZ156"/>
    <mergeCell ref="IA157:IZ157"/>
    <mergeCell ref="IA158:IZ159"/>
    <mergeCell ref="IA162:II162"/>
    <mergeCell ref="IJ162:IZ162"/>
    <mergeCell ref="IA163:II164"/>
    <mergeCell ref="IJ163:IL164"/>
    <mergeCell ref="IM163:IO164"/>
    <mergeCell ref="IP163:IU164"/>
    <mergeCell ref="IV163:IV164"/>
    <mergeCell ref="IW163:IZ164"/>
    <mergeCell ref="IA147:IV147"/>
    <mergeCell ref="IA143:IE144"/>
    <mergeCell ref="IF143:II144"/>
    <mergeCell ref="IJ143:IJ144"/>
    <mergeCell ref="IK143:IK144"/>
    <mergeCell ref="IL143:IL144"/>
    <mergeCell ref="IM143:IM144"/>
    <mergeCell ref="IN143:IN144"/>
    <mergeCell ref="IO143:IO144"/>
    <mergeCell ref="IP143:IP144"/>
    <mergeCell ref="IQ143:IQ144"/>
    <mergeCell ref="IR143:IR144"/>
    <mergeCell ref="IS143:IS144"/>
    <mergeCell ref="IT143:IT144"/>
    <mergeCell ref="IU143:IU144"/>
    <mergeCell ref="IV143:IV144"/>
    <mergeCell ref="IW143:IZ144"/>
    <mergeCell ref="IA145:IE145"/>
    <mergeCell ref="IF145:II145"/>
    <mergeCell ref="IW145:IZ145"/>
    <mergeCell ref="IA122:IV122"/>
    <mergeCell ref="IW122:IZ123"/>
    <mergeCell ref="IA124:IZ124"/>
    <mergeCell ref="IA125:IZ125"/>
    <mergeCell ref="IA126:IZ126"/>
    <mergeCell ref="IA127:IZ127"/>
    <mergeCell ref="IA128:IZ128"/>
    <mergeCell ref="IA129:IZ129"/>
    <mergeCell ref="IA130:IZ130"/>
    <mergeCell ref="IA131:IZ131"/>
    <mergeCell ref="IA132:IZ132"/>
    <mergeCell ref="IA133:IZ133"/>
    <mergeCell ref="IA134:IZ135"/>
    <mergeCell ref="IA140:II140"/>
    <mergeCell ref="IJ140:IZ140"/>
    <mergeCell ref="IA141:II142"/>
    <mergeCell ref="IJ141:IL142"/>
    <mergeCell ref="IM141:IO142"/>
    <mergeCell ref="IP141:IU142"/>
    <mergeCell ref="IV141:IV142"/>
    <mergeCell ref="IW141:IZ142"/>
    <mergeCell ref="IA123:IV123"/>
    <mergeCell ref="IA119:IE120"/>
    <mergeCell ref="IF119:II120"/>
    <mergeCell ref="IJ119:IJ120"/>
    <mergeCell ref="IK119:IK120"/>
    <mergeCell ref="IL119:IL120"/>
    <mergeCell ref="IM119:IM120"/>
    <mergeCell ref="IN119:IN120"/>
    <mergeCell ref="IO119:IO120"/>
    <mergeCell ref="IP119:IP120"/>
    <mergeCell ref="IQ119:IQ120"/>
    <mergeCell ref="IR119:IR120"/>
    <mergeCell ref="IS119:IS120"/>
    <mergeCell ref="IT119:IT120"/>
    <mergeCell ref="IU119:IU120"/>
    <mergeCell ref="IV119:IV120"/>
    <mergeCell ref="IW119:IZ120"/>
    <mergeCell ref="IA121:IE121"/>
    <mergeCell ref="IF121:II121"/>
    <mergeCell ref="IW121:IZ121"/>
    <mergeCell ref="IA100:IV100"/>
    <mergeCell ref="IW100:IZ101"/>
    <mergeCell ref="IA102:IZ102"/>
    <mergeCell ref="IA103:IZ103"/>
    <mergeCell ref="IA104:IZ104"/>
    <mergeCell ref="IA105:IZ105"/>
    <mergeCell ref="IA106:IZ106"/>
    <mergeCell ref="IA107:IZ107"/>
    <mergeCell ref="IA108:IZ108"/>
    <mergeCell ref="IA109:IZ109"/>
    <mergeCell ref="IA110:IZ110"/>
    <mergeCell ref="IA111:IZ111"/>
    <mergeCell ref="IA112:IZ113"/>
    <mergeCell ref="IA116:II116"/>
    <mergeCell ref="IJ116:IZ116"/>
    <mergeCell ref="IA117:II118"/>
    <mergeCell ref="IJ117:IL118"/>
    <mergeCell ref="IM117:IO118"/>
    <mergeCell ref="IP117:IU118"/>
    <mergeCell ref="IV117:IV118"/>
    <mergeCell ref="IW117:IZ118"/>
    <mergeCell ref="IA101:IV101"/>
    <mergeCell ref="IA97:IE98"/>
    <mergeCell ref="IF97:II98"/>
    <mergeCell ref="IJ97:IJ98"/>
    <mergeCell ref="IK97:IK98"/>
    <mergeCell ref="IL97:IL98"/>
    <mergeCell ref="IM97:IM98"/>
    <mergeCell ref="IN97:IN98"/>
    <mergeCell ref="IO97:IO98"/>
    <mergeCell ref="IP97:IP98"/>
    <mergeCell ref="IQ97:IQ98"/>
    <mergeCell ref="IR97:IR98"/>
    <mergeCell ref="IS97:IS98"/>
    <mergeCell ref="IT97:IT98"/>
    <mergeCell ref="IU97:IU98"/>
    <mergeCell ref="IV97:IV98"/>
    <mergeCell ref="IW97:IZ98"/>
    <mergeCell ref="IA99:IE99"/>
    <mergeCell ref="IF99:II99"/>
    <mergeCell ref="IW99:IZ99"/>
    <mergeCell ref="IA76:IV76"/>
    <mergeCell ref="IW76:IZ77"/>
    <mergeCell ref="IA78:IZ78"/>
    <mergeCell ref="IA79:IZ79"/>
    <mergeCell ref="IA80:IZ80"/>
    <mergeCell ref="IA81:IZ81"/>
    <mergeCell ref="IA82:IZ82"/>
    <mergeCell ref="IA83:IZ83"/>
    <mergeCell ref="IA84:IZ84"/>
    <mergeCell ref="IA85:IZ85"/>
    <mergeCell ref="IA86:IZ86"/>
    <mergeCell ref="IA87:IZ87"/>
    <mergeCell ref="IA88:IZ89"/>
    <mergeCell ref="IA94:II94"/>
    <mergeCell ref="IJ94:IZ94"/>
    <mergeCell ref="IA95:II96"/>
    <mergeCell ref="IJ95:IL96"/>
    <mergeCell ref="IM95:IO96"/>
    <mergeCell ref="IP95:IU96"/>
    <mergeCell ref="IV95:IV96"/>
    <mergeCell ref="IW95:IZ96"/>
    <mergeCell ref="IA77:IV77"/>
    <mergeCell ref="IA73:IE74"/>
    <mergeCell ref="IF73:II74"/>
    <mergeCell ref="IJ73:IJ74"/>
    <mergeCell ref="IK73:IK74"/>
    <mergeCell ref="IL73:IL74"/>
    <mergeCell ref="IM73:IM74"/>
    <mergeCell ref="IN73:IN74"/>
    <mergeCell ref="IO73:IO74"/>
    <mergeCell ref="IP73:IP74"/>
    <mergeCell ref="IQ73:IQ74"/>
    <mergeCell ref="IR73:IR74"/>
    <mergeCell ref="IS73:IS74"/>
    <mergeCell ref="IT73:IT74"/>
    <mergeCell ref="IU73:IU74"/>
    <mergeCell ref="IV73:IV74"/>
    <mergeCell ref="IW73:IZ74"/>
    <mergeCell ref="IA75:IE75"/>
    <mergeCell ref="IF75:II75"/>
    <mergeCell ref="IW75:IZ75"/>
    <mergeCell ref="IA54:IV54"/>
    <mergeCell ref="IW54:IZ55"/>
    <mergeCell ref="IA56:IZ56"/>
    <mergeCell ref="IA57:IZ57"/>
    <mergeCell ref="IA58:IZ58"/>
    <mergeCell ref="IA59:IZ59"/>
    <mergeCell ref="IA60:IZ60"/>
    <mergeCell ref="IA61:IZ61"/>
    <mergeCell ref="IA62:IZ62"/>
    <mergeCell ref="IA63:IZ63"/>
    <mergeCell ref="IA64:IZ64"/>
    <mergeCell ref="IA65:IZ65"/>
    <mergeCell ref="IA66:IZ67"/>
    <mergeCell ref="IA70:II70"/>
    <mergeCell ref="IJ70:IZ70"/>
    <mergeCell ref="IA71:II72"/>
    <mergeCell ref="IJ71:IL72"/>
    <mergeCell ref="IM71:IO72"/>
    <mergeCell ref="IP71:IU72"/>
    <mergeCell ref="IV71:IV72"/>
    <mergeCell ref="IW71:IZ72"/>
    <mergeCell ref="IA55:IV55"/>
    <mergeCell ref="IA51:IE52"/>
    <mergeCell ref="IF51:II52"/>
    <mergeCell ref="IJ51:IJ52"/>
    <mergeCell ref="IK51:IK52"/>
    <mergeCell ref="IL51:IL52"/>
    <mergeCell ref="IM51:IM52"/>
    <mergeCell ref="IN51:IN52"/>
    <mergeCell ref="IO51:IO52"/>
    <mergeCell ref="IP51:IP52"/>
    <mergeCell ref="IQ51:IQ52"/>
    <mergeCell ref="IR51:IR52"/>
    <mergeCell ref="IS51:IS52"/>
    <mergeCell ref="IT51:IT52"/>
    <mergeCell ref="IU51:IU52"/>
    <mergeCell ref="IV51:IV52"/>
    <mergeCell ref="IW51:IZ52"/>
    <mergeCell ref="IA53:IE53"/>
    <mergeCell ref="IF53:II53"/>
    <mergeCell ref="IW53:IZ53"/>
    <mergeCell ref="IA33:IV33"/>
    <mergeCell ref="IW33:IZ34"/>
    <mergeCell ref="IA35:IZ35"/>
    <mergeCell ref="IA36:IZ36"/>
    <mergeCell ref="IA37:IZ37"/>
    <mergeCell ref="IA38:IZ38"/>
    <mergeCell ref="IA39:IZ39"/>
    <mergeCell ref="IA40:IZ40"/>
    <mergeCell ref="IA41:IZ41"/>
    <mergeCell ref="IA42:IZ42"/>
    <mergeCell ref="IA43:IZ43"/>
    <mergeCell ref="IA44:IZ44"/>
    <mergeCell ref="IA45:IZ46"/>
    <mergeCell ref="IA48:II48"/>
    <mergeCell ref="IJ48:IZ48"/>
    <mergeCell ref="IA49:II50"/>
    <mergeCell ref="IJ49:IL50"/>
    <mergeCell ref="IM49:IO50"/>
    <mergeCell ref="IP49:IU50"/>
    <mergeCell ref="IV49:IV50"/>
    <mergeCell ref="IW49:IZ50"/>
    <mergeCell ref="IA34:IV34"/>
    <mergeCell ref="IA30:IE31"/>
    <mergeCell ref="IF30:II31"/>
    <mergeCell ref="IJ30:IJ31"/>
    <mergeCell ref="IK30:IK31"/>
    <mergeCell ref="IL30:IL31"/>
    <mergeCell ref="IM30:IM31"/>
    <mergeCell ref="IN30:IN31"/>
    <mergeCell ref="IO30:IO31"/>
    <mergeCell ref="IP30:IP31"/>
    <mergeCell ref="IQ30:IQ31"/>
    <mergeCell ref="IR30:IR31"/>
    <mergeCell ref="IS30:IS31"/>
    <mergeCell ref="IT30:IT31"/>
    <mergeCell ref="IU30:IU31"/>
    <mergeCell ref="IV30:IV31"/>
    <mergeCell ref="IW30:IZ31"/>
    <mergeCell ref="IA32:IE32"/>
    <mergeCell ref="IF32:II32"/>
    <mergeCell ref="IW32:IZ32"/>
    <mergeCell ref="IA12:IV12"/>
    <mergeCell ref="IW12:IZ13"/>
    <mergeCell ref="IA13:IV13"/>
    <mergeCell ref="IA14:IZ14"/>
    <mergeCell ref="IA15:IZ15"/>
    <mergeCell ref="IA16:IZ16"/>
    <mergeCell ref="IA17:IZ17"/>
    <mergeCell ref="IA18:IZ18"/>
    <mergeCell ref="IA19:IZ19"/>
    <mergeCell ref="IA20:IZ20"/>
    <mergeCell ref="IA21:IZ21"/>
    <mergeCell ref="IA22:IZ22"/>
    <mergeCell ref="IA23:IZ23"/>
    <mergeCell ref="IA24:IZ25"/>
    <mergeCell ref="IA27:II27"/>
    <mergeCell ref="IJ27:IZ27"/>
    <mergeCell ref="IA28:II29"/>
    <mergeCell ref="IJ28:IL29"/>
    <mergeCell ref="IM28:IO29"/>
    <mergeCell ref="IP28:IU29"/>
    <mergeCell ref="IV28:IV29"/>
    <mergeCell ref="IW28:IZ29"/>
    <mergeCell ref="IA9:IE10"/>
    <mergeCell ref="IF9:II10"/>
    <mergeCell ref="IJ9:IJ10"/>
    <mergeCell ref="IK9:IK10"/>
    <mergeCell ref="IL9:IL10"/>
    <mergeCell ref="IM9:IM10"/>
    <mergeCell ref="IN9:IN10"/>
    <mergeCell ref="IO9:IO10"/>
    <mergeCell ref="IP9:IP10"/>
    <mergeCell ref="IQ9:IQ10"/>
    <mergeCell ref="IR9:IR10"/>
    <mergeCell ref="IS9:IS10"/>
    <mergeCell ref="IT9:IT10"/>
    <mergeCell ref="IU9:IU10"/>
    <mergeCell ref="IV9:IV10"/>
    <mergeCell ref="IW9:IZ10"/>
    <mergeCell ref="IA11:IE11"/>
    <mergeCell ref="IF11:II11"/>
    <mergeCell ref="IW11:IZ11"/>
    <mergeCell ref="IA6:II6"/>
    <mergeCell ref="IA1:IP1"/>
    <mergeCell ref="IQ1:IZ1"/>
    <mergeCell ref="IA2:IP2"/>
    <mergeCell ref="IQ2:IV2"/>
    <mergeCell ref="IW2:IZ2"/>
    <mergeCell ref="IA3:IP3"/>
    <mergeCell ref="IQ3:IZ3"/>
    <mergeCell ref="IA4:IP4"/>
    <mergeCell ref="IQ4:IZ4"/>
    <mergeCell ref="IA5:IP5"/>
    <mergeCell ref="IQ5:IZ5"/>
    <mergeCell ref="IJ6:IZ6"/>
    <mergeCell ref="IA7:II8"/>
    <mergeCell ref="IJ7:IL8"/>
    <mergeCell ref="IM7:IO8"/>
    <mergeCell ref="IP7:IU8"/>
    <mergeCell ref="IV7:IV8"/>
    <mergeCell ref="IW7:IZ8"/>
    <mergeCell ref="HA349:HE350"/>
    <mergeCell ref="HF349:HI350"/>
    <mergeCell ref="HA351:HE351"/>
    <mergeCell ref="HF351:HI351"/>
    <mergeCell ref="HA373:HE374"/>
    <mergeCell ref="HF373:HI374"/>
    <mergeCell ref="HA375:HE375"/>
    <mergeCell ref="HF375:HI375"/>
    <mergeCell ref="HA395:HE396"/>
    <mergeCell ref="HF395:HI396"/>
    <mergeCell ref="HA397:HE397"/>
    <mergeCell ref="HF397:HI397"/>
    <mergeCell ref="HA419:HE420"/>
    <mergeCell ref="HF419:HI420"/>
    <mergeCell ref="HA421:HE421"/>
    <mergeCell ref="HF421:HI421"/>
    <mergeCell ref="HA339:HZ339"/>
    <mergeCell ref="HA340:HZ340"/>
    <mergeCell ref="HA341:HZ341"/>
    <mergeCell ref="HA342:HZ343"/>
    <mergeCell ref="HO349:HO350"/>
    <mergeCell ref="HP349:HP350"/>
    <mergeCell ref="HQ349:HQ350"/>
    <mergeCell ref="HR349:HR350"/>
    <mergeCell ref="HS349:HS350"/>
    <mergeCell ref="HT349:HT350"/>
    <mergeCell ref="HU349:HU350"/>
    <mergeCell ref="HV349:HV350"/>
    <mergeCell ref="HW349:HZ350"/>
    <mergeCell ref="HJ349:HJ350"/>
    <mergeCell ref="HK349:HK350"/>
    <mergeCell ref="HL349:HL350"/>
    <mergeCell ref="HA235:HE236"/>
    <mergeCell ref="HF235:HI236"/>
    <mergeCell ref="HA237:HE237"/>
    <mergeCell ref="HF237:HI237"/>
    <mergeCell ref="HA257:HE258"/>
    <mergeCell ref="HF257:HI258"/>
    <mergeCell ref="HA259:HE259"/>
    <mergeCell ref="HF259:HI259"/>
    <mergeCell ref="HA281:HE282"/>
    <mergeCell ref="HF281:HI282"/>
    <mergeCell ref="HA283:HE283"/>
    <mergeCell ref="HF283:HI283"/>
    <mergeCell ref="HA303:HE304"/>
    <mergeCell ref="HF303:HI304"/>
    <mergeCell ref="HA305:HE305"/>
    <mergeCell ref="HF305:HI305"/>
    <mergeCell ref="HA327:HE328"/>
    <mergeCell ref="HF327:HI328"/>
    <mergeCell ref="HA241:HZ241"/>
    <mergeCell ref="HO257:HO258"/>
    <mergeCell ref="HP257:HP258"/>
    <mergeCell ref="HQ257:HQ258"/>
    <mergeCell ref="HR257:HR258"/>
    <mergeCell ref="HS257:HS258"/>
    <mergeCell ref="HT257:HT258"/>
    <mergeCell ref="HU257:HU258"/>
    <mergeCell ref="HV257:HV258"/>
    <mergeCell ref="HW257:HZ258"/>
    <mergeCell ref="HJ257:HJ258"/>
    <mergeCell ref="HK257:HK258"/>
    <mergeCell ref="HL257:HL258"/>
    <mergeCell ref="HM257:HM258"/>
    <mergeCell ref="HA213:HE213"/>
    <mergeCell ref="HF213:HI213"/>
    <mergeCell ref="HA125:HZ125"/>
    <mergeCell ref="HO143:HO144"/>
    <mergeCell ref="HP143:HP144"/>
    <mergeCell ref="HQ143:HQ144"/>
    <mergeCell ref="HR143:HR144"/>
    <mergeCell ref="HS143:HS144"/>
    <mergeCell ref="HT143:HT144"/>
    <mergeCell ref="HU143:HU144"/>
    <mergeCell ref="HV143:HV144"/>
    <mergeCell ref="HW143:HZ144"/>
    <mergeCell ref="HJ143:HJ144"/>
    <mergeCell ref="HK143:HK144"/>
    <mergeCell ref="HL143:HL144"/>
    <mergeCell ref="HM143:HM144"/>
    <mergeCell ref="HN143:HN144"/>
    <mergeCell ref="HA149:HZ149"/>
    <mergeCell ref="HA150:HZ150"/>
    <mergeCell ref="HA151:HZ151"/>
    <mergeCell ref="HA152:HZ152"/>
    <mergeCell ref="HA153:HZ153"/>
    <mergeCell ref="HA154:HZ154"/>
    <mergeCell ref="HA162:HI162"/>
    <mergeCell ref="HJ162:HZ162"/>
    <mergeCell ref="HS189:HS190"/>
    <mergeCell ref="HT189:HT190"/>
    <mergeCell ref="HU189:HU190"/>
    <mergeCell ref="HV189:HV190"/>
    <mergeCell ref="HW189:HZ190"/>
    <mergeCell ref="HJ189:HJ190"/>
    <mergeCell ref="HK189:HK190"/>
    <mergeCell ref="GA441:GE442"/>
    <mergeCell ref="GF441:GI442"/>
    <mergeCell ref="GA443:GE443"/>
    <mergeCell ref="GF443:GI443"/>
    <mergeCell ref="HA30:HE31"/>
    <mergeCell ref="HF30:HI31"/>
    <mergeCell ref="HA32:HE32"/>
    <mergeCell ref="HF32:HI32"/>
    <mergeCell ref="HA51:HE52"/>
    <mergeCell ref="HF51:HI52"/>
    <mergeCell ref="HA53:HE53"/>
    <mergeCell ref="HF53:HI53"/>
    <mergeCell ref="HA73:HE74"/>
    <mergeCell ref="HF73:HI74"/>
    <mergeCell ref="HA75:HE75"/>
    <mergeCell ref="HF75:HI75"/>
    <mergeCell ref="HA97:HE98"/>
    <mergeCell ref="HF97:HI98"/>
    <mergeCell ref="HA99:HE99"/>
    <mergeCell ref="HF99:HI99"/>
    <mergeCell ref="HA119:HE120"/>
    <mergeCell ref="HF119:HI120"/>
    <mergeCell ref="HA121:HE121"/>
    <mergeCell ref="HF121:HI121"/>
    <mergeCell ref="HA143:HE144"/>
    <mergeCell ref="HF143:HI144"/>
    <mergeCell ref="HA145:HE145"/>
    <mergeCell ref="HF145:HI145"/>
    <mergeCell ref="HA165:HE166"/>
    <mergeCell ref="HF165:HI166"/>
    <mergeCell ref="HA167:HE167"/>
    <mergeCell ref="HF167:HI167"/>
    <mergeCell ref="GA349:GE350"/>
    <mergeCell ref="GF349:GI350"/>
    <mergeCell ref="GA351:GE351"/>
    <mergeCell ref="GF351:GI351"/>
    <mergeCell ref="GA373:GE374"/>
    <mergeCell ref="GF373:GI374"/>
    <mergeCell ref="GA293:GZ293"/>
    <mergeCell ref="GA288:GZ288"/>
    <mergeCell ref="GA317:GZ317"/>
    <mergeCell ref="GA324:GI324"/>
    <mergeCell ref="GJ324:GZ324"/>
    <mergeCell ref="GA339:GZ339"/>
    <mergeCell ref="GA340:GZ340"/>
    <mergeCell ref="GA341:GZ341"/>
    <mergeCell ref="GA342:GZ343"/>
    <mergeCell ref="GW329:GZ329"/>
    <mergeCell ref="GN327:GN328"/>
    <mergeCell ref="GO327:GO328"/>
    <mergeCell ref="GP327:GP328"/>
    <mergeCell ref="GQ327:GQ328"/>
    <mergeCell ref="GA292:GZ292"/>
    <mergeCell ref="GR327:GR328"/>
    <mergeCell ref="GS327:GS328"/>
    <mergeCell ref="GT327:GT328"/>
    <mergeCell ref="GU327:GU328"/>
    <mergeCell ref="GV327:GV328"/>
    <mergeCell ref="GW327:GZ328"/>
    <mergeCell ref="GA335:GZ335"/>
    <mergeCell ref="GA355:GZ355"/>
    <mergeCell ref="GW373:GZ374"/>
    <mergeCell ref="GA235:GE236"/>
    <mergeCell ref="GF235:GI236"/>
    <mergeCell ref="GA237:GE237"/>
    <mergeCell ref="GF237:GI237"/>
    <mergeCell ref="GA149:GZ149"/>
    <mergeCell ref="GA179:GZ179"/>
    <mergeCell ref="GA186:GI186"/>
    <mergeCell ref="GJ186:GZ186"/>
    <mergeCell ref="GA201:GZ201"/>
    <mergeCell ref="GV233:GV234"/>
    <mergeCell ref="GW233:GZ234"/>
    <mergeCell ref="GK235:GK236"/>
    <mergeCell ref="GL235:GL236"/>
    <mergeCell ref="GM235:GM236"/>
    <mergeCell ref="GN235:GN236"/>
    <mergeCell ref="GO235:GO236"/>
    <mergeCell ref="GP235:GP236"/>
    <mergeCell ref="GQ235:GQ236"/>
    <mergeCell ref="GA150:GZ150"/>
    <mergeCell ref="GA151:GZ151"/>
    <mergeCell ref="GA152:GZ152"/>
    <mergeCell ref="GA153:GZ153"/>
    <mergeCell ref="GA154:GZ154"/>
    <mergeCell ref="GA162:GI162"/>
    <mergeCell ref="GJ162:GZ162"/>
    <mergeCell ref="GA163:GI164"/>
    <mergeCell ref="GJ163:GL164"/>
    <mergeCell ref="GM163:GO164"/>
    <mergeCell ref="GP163:GU164"/>
    <mergeCell ref="GA214:GV214"/>
    <mergeCell ref="GW214:GZ215"/>
    <mergeCell ref="GA224:GZ224"/>
    <mergeCell ref="GA119:GE120"/>
    <mergeCell ref="GF119:GI120"/>
    <mergeCell ref="GA121:GE121"/>
    <mergeCell ref="GA145:GE145"/>
    <mergeCell ref="GF145:GI145"/>
    <mergeCell ref="GA165:GE166"/>
    <mergeCell ref="GF165:GI166"/>
    <mergeCell ref="GA167:GE167"/>
    <mergeCell ref="GF167:GI167"/>
    <mergeCell ref="GA189:GE190"/>
    <mergeCell ref="GF189:GI190"/>
    <mergeCell ref="GA191:GE191"/>
    <mergeCell ref="GF191:GI191"/>
    <mergeCell ref="GA211:GE212"/>
    <mergeCell ref="GF211:GI212"/>
    <mergeCell ref="GA213:GE213"/>
    <mergeCell ref="GF213:GI213"/>
    <mergeCell ref="GA122:GV122"/>
    <mergeCell ref="GA129:GZ129"/>
    <mergeCell ref="GA143:GE144"/>
    <mergeCell ref="GA155:GZ155"/>
    <mergeCell ref="GV163:GV164"/>
    <mergeCell ref="GW163:GZ164"/>
    <mergeCell ref="GW167:GZ167"/>
    <mergeCell ref="GA196:GZ196"/>
    <mergeCell ref="GA170:GZ170"/>
    <mergeCell ref="GA208:GI208"/>
    <mergeCell ref="GJ208:GZ208"/>
    <mergeCell ref="GW122:GZ123"/>
    <mergeCell ref="GJ119:GJ120"/>
    <mergeCell ref="GK119:GK120"/>
    <mergeCell ref="GL119:GL120"/>
    <mergeCell ref="FA281:FE282"/>
    <mergeCell ref="FF281:FI282"/>
    <mergeCell ref="FA283:FE283"/>
    <mergeCell ref="FF283:FI283"/>
    <mergeCell ref="FA303:FE304"/>
    <mergeCell ref="FF303:FI304"/>
    <mergeCell ref="FA305:FE305"/>
    <mergeCell ref="FF305:FI305"/>
    <mergeCell ref="FA327:FE328"/>
    <mergeCell ref="FF327:FI328"/>
    <mergeCell ref="FA329:FE329"/>
    <mergeCell ref="FF329:FI329"/>
    <mergeCell ref="FA349:FE350"/>
    <mergeCell ref="FF349:FI350"/>
    <mergeCell ref="FA351:FE351"/>
    <mergeCell ref="FF351:FI351"/>
    <mergeCell ref="FA373:FE374"/>
    <mergeCell ref="FF373:FI374"/>
    <mergeCell ref="FA287:FZ287"/>
    <mergeCell ref="FO303:FO304"/>
    <mergeCell ref="FP303:FP304"/>
    <mergeCell ref="FQ303:FQ304"/>
    <mergeCell ref="FR303:FR304"/>
    <mergeCell ref="FS303:FS304"/>
    <mergeCell ref="FT303:FT304"/>
    <mergeCell ref="FU303:FU304"/>
    <mergeCell ref="FV303:FV304"/>
    <mergeCell ref="FW303:FZ304"/>
    <mergeCell ref="FJ303:FJ304"/>
    <mergeCell ref="FK303:FK304"/>
    <mergeCell ref="FL303:FL304"/>
    <mergeCell ref="FM303:FM304"/>
    <mergeCell ref="FA259:FE259"/>
    <mergeCell ref="FF259:FI259"/>
    <mergeCell ref="FA171:FZ171"/>
    <mergeCell ref="FO189:FO190"/>
    <mergeCell ref="FP189:FP190"/>
    <mergeCell ref="FQ189:FQ190"/>
    <mergeCell ref="FR189:FR190"/>
    <mergeCell ref="FS189:FS190"/>
    <mergeCell ref="FT189:FT190"/>
    <mergeCell ref="FU189:FU190"/>
    <mergeCell ref="FV189:FV190"/>
    <mergeCell ref="FW189:FZ190"/>
    <mergeCell ref="FJ189:FJ190"/>
    <mergeCell ref="FK189:FK190"/>
    <mergeCell ref="FL189:FL190"/>
    <mergeCell ref="FM189:FM190"/>
    <mergeCell ref="FN189:FN190"/>
    <mergeCell ref="FV187:FV188"/>
    <mergeCell ref="FW187:FZ188"/>
    <mergeCell ref="FA196:FZ196"/>
    <mergeCell ref="FO211:FO212"/>
    <mergeCell ref="FP211:FP212"/>
    <mergeCell ref="FQ211:FQ212"/>
    <mergeCell ref="FR211:FR212"/>
    <mergeCell ref="FS211:FS212"/>
    <mergeCell ref="FT211:FT212"/>
    <mergeCell ref="FU211:FU212"/>
    <mergeCell ref="FV211:FV212"/>
    <mergeCell ref="FW211:FZ212"/>
    <mergeCell ref="FJ211:FJ212"/>
    <mergeCell ref="FK211:FK212"/>
    <mergeCell ref="FL211:FL212"/>
    <mergeCell ref="FF75:FI75"/>
    <mergeCell ref="FA97:FE98"/>
    <mergeCell ref="FF97:FI98"/>
    <mergeCell ref="FA99:FE99"/>
    <mergeCell ref="FF99:FI99"/>
    <mergeCell ref="FA119:FE120"/>
    <mergeCell ref="FF119:FI120"/>
    <mergeCell ref="FA121:FE121"/>
    <mergeCell ref="FF121:FI121"/>
    <mergeCell ref="FA143:FE144"/>
    <mergeCell ref="FF143:FI144"/>
    <mergeCell ref="FA145:FE145"/>
    <mergeCell ref="FF145:FI145"/>
    <mergeCell ref="FA165:FE166"/>
    <mergeCell ref="FF165:FI166"/>
    <mergeCell ref="FF167:FI167"/>
    <mergeCell ref="FA189:FE190"/>
    <mergeCell ref="FA169:FV169"/>
    <mergeCell ref="EF375:EI375"/>
    <mergeCell ref="EA395:EE396"/>
    <mergeCell ref="EF395:EI396"/>
    <mergeCell ref="EA397:EE397"/>
    <mergeCell ref="EF397:EI397"/>
    <mergeCell ref="EA325:EI326"/>
    <mergeCell ref="EA339:EZ339"/>
    <mergeCell ref="EA363:EZ363"/>
    <mergeCell ref="EA370:EI370"/>
    <mergeCell ref="EJ370:EZ370"/>
    <mergeCell ref="EA385:EZ385"/>
    <mergeCell ref="EA380:EZ380"/>
    <mergeCell ref="EA421:EE421"/>
    <mergeCell ref="EF421:EI421"/>
    <mergeCell ref="EA332:EZ332"/>
    <mergeCell ref="EA376:EV376"/>
    <mergeCell ref="EW376:EZ377"/>
    <mergeCell ref="EJ373:EJ374"/>
    <mergeCell ref="EK373:EK374"/>
    <mergeCell ref="EL373:EL374"/>
    <mergeCell ref="EM373:EM374"/>
    <mergeCell ref="EN373:EN374"/>
    <mergeCell ref="EO373:EO374"/>
    <mergeCell ref="EP373:EP374"/>
    <mergeCell ref="EQ373:EQ374"/>
    <mergeCell ref="ER373:ER374"/>
    <mergeCell ref="ES373:ES374"/>
    <mergeCell ref="ET373:ET374"/>
    <mergeCell ref="EU373:EU374"/>
    <mergeCell ref="EA364:EZ365"/>
    <mergeCell ref="EA371:EI372"/>
    <mergeCell ref="EJ371:EL372"/>
    <mergeCell ref="EA196:EZ196"/>
    <mergeCell ref="EV233:EV234"/>
    <mergeCell ref="EW233:EZ234"/>
    <mergeCell ref="EK235:EK236"/>
    <mergeCell ref="EL235:EL236"/>
    <mergeCell ref="EM235:EM236"/>
    <mergeCell ref="EN235:EN236"/>
    <mergeCell ref="EO235:EO236"/>
    <mergeCell ref="EP235:EP236"/>
    <mergeCell ref="EQ235:EQ236"/>
    <mergeCell ref="ER235:ER236"/>
    <mergeCell ref="ES235:ES236"/>
    <mergeCell ref="ET235:ET236"/>
    <mergeCell ref="EU235:EU236"/>
    <mergeCell ref="EA305:EE305"/>
    <mergeCell ref="EF305:EI305"/>
    <mergeCell ref="EA327:EE328"/>
    <mergeCell ref="EF327:EI328"/>
    <mergeCell ref="EA211:EE212"/>
    <mergeCell ref="EF211:EI212"/>
    <mergeCell ref="EA213:EE213"/>
    <mergeCell ref="EF213:EI213"/>
    <mergeCell ref="EA235:EE236"/>
    <mergeCell ref="EF235:EI236"/>
    <mergeCell ref="EA237:EE237"/>
    <mergeCell ref="EF237:EI237"/>
    <mergeCell ref="EA257:EE258"/>
    <mergeCell ref="EF257:EI258"/>
    <mergeCell ref="EA259:EE259"/>
    <mergeCell ref="EF259:EI259"/>
    <mergeCell ref="EA281:EE282"/>
    <mergeCell ref="EF281:EI282"/>
    <mergeCell ref="EA283:EE283"/>
    <mergeCell ref="EF283:EI283"/>
    <mergeCell ref="EA201:EZ201"/>
    <mergeCell ref="DA443:DE443"/>
    <mergeCell ref="DF443:DI443"/>
    <mergeCell ref="EA30:EE31"/>
    <mergeCell ref="EF30:EI31"/>
    <mergeCell ref="EA32:EE32"/>
    <mergeCell ref="EF32:EI32"/>
    <mergeCell ref="EA51:EE52"/>
    <mergeCell ref="EF51:EI52"/>
    <mergeCell ref="EA53:EE53"/>
    <mergeCell ref="EF53:EI53"/>
    <mergeCell ref="EA73:EE74"/>
    <mergeCell ref="EF73:EI74"/>
    <mergeCell ref="EA75:EE75"/>
    <mergeCell ref="EF75:EI75"/>
    <mergeCell ref="EA97:EE98"/>
    <mergeCell ref="EF97:EI98"/>
    <mergeCell ref="EA99:EE99"/>
    <mergeCell ref="EF99:EI99"/>
    <mergeCell ref="EA119:EE120"/>
    <mergeCell ref="EF119:EI120"/>
    <mergeCell ref="EA121:EE121"/>
    <mergeCell ref="EF121:EI121"/>
    <mergeCell ref="EA143:EE144"/>
    <mergeCell ref="EF143:EI144"/>
    <mergeCell ref="EA145:EE145"/>
    <mergeCell ref="EF145:EI145"/>
    <mergeCell ref="EA165:EE166"/>
    <mergeCell ref="EF165:EI166"/>
    <mergeCell ref="EA167:EE167"/>
    <mergeCell ref="EF167:EI167"/>
    <mergeCell ref="EA189:EE190"/>
    <mergeCell ref="EF189:EI190"/>
    <mergeCell ref="DA237:DE237"/>
    <mergeCell ref="DF237:DI237"/>
    <mergeCell ref="DA257:DE258"/>
    <mergeCell ref="DF257:DI258"/>
    <mergeCell ref="DA259:DE259"/>
    <mergeCell ref="DF259:DI259"/>
    <mergeCell ref="DA281:DE282"/>
    <mergeCell ref="DF281:DI282"/>
    <mergeCell ref="DA283:DE283"/>
    <mergeCell ref="DF283:DI283"/>
    <mergeCell ref="DA303:DE304"/>
    <mergeCell ref="DF303:DI304"/>
    <mergeCell ref="DA305:DE305"/>
    <mergeCell ref="DF305:DI305"/>
    <mergeCell ref="DA170:DZ170"/>
    <mergeCell ref="DA171:DZ171"/>
    <mergeCell ref="DA172:DZ172"/>
    <mergeCell ref="DA173:DZ173"/>
    <mergeCell ref="DA174:DZ174"/>
    <mergeCell ref="DA175:DZ175"/>
    <mergeCell ref="DA176:DZ176"/>
    <mergeCell ref="DA177:DZ177"/>
    <mergeCell ref="DA178:DZ178"/>
    <mergeCell ref="DA179:DZ179"/>
    <mergeCell ref="DA180:DZ181"/>
    <mergeCell ref="DA186:DI186"/>
    <mergeCell ref="DJ186:DZ186"/>
    <mergeCell ref="DA187:DI188"/>
    <mergeCell ref="DJ187:DL188"/>
    <mergeCell ref="DA329:DE329"/>
    <mergeCell ref="DF329:DI329"/>
    <mergeCell ref="DA308:DZ308"/>
    <mergeCell ref="DA309:DZ309"/>
    <mergeCell ref="DA310:DZ310"/>
    <mergeCell ref="DA311:DZ311"/>
    <mergeCell ref="DA312:DZ312"/>
    <mergeCell ref="DA313:DZ313"/>
    <mergeCell ref="DA314:DZ314"/>
    <mergeCell ref="DA315:DZ315"/>
    <mergeCell ref="DA316:DZ316"/>
    <mergeCell ref="DA317:DZ317"/>
    <mergeCell ref="DA318:DZ319"/>
    <mergeCell ref="DA324:DI324"/>
    <mergeCell ref="DJ324:DZ324"/>
    <mergeCell ref="DA325:DI326"/>
    <mergeCell ref="DW329:DZ329"/>
    <mergeCell ref="CA329:CE329"/>
    <mergeCell ref="CF329:CI329"/>
    <mergeCell ref="CA349:CE350"/>
    <mergeCell ref="CF349:CI350"/>
    <mergeCell ref="CA351:CE351"/>
    <mergeCell ref="CF351:CI351"/>
    <mergeCell ref="CA373:CE374"/>
    <mergeCell ref="CF373:CI374"/>
    <mergeCell ref="CA375:CE375"/>
    <mergeCell ref="CF375:CI375"/>
    <mergeCell ref="CA395:CE396"/>
    <mergeCell ref="CF395:CI396"/>
    <mergeCell ref="CA397:CE397"/>
    <mergeCell ref="CF397:CI397"/>
    <mergeCell ref="CA419:CE420"/>
    <mergeCell ref="CF419:CI420"/>
    <mergeCell ref="CA421:CE421"/>
    <mergeCell ref="CF421:CI421"/>
    <mergeCell ref="CA347:CI348"/>
    <mergeCell ref="CA370:CI370"/>
    <mergeCell ref="CA378:CZ378"/>
    <mergeCell ref="CA379:CZ379"/>
    <mergeCell ref="CA380:CZ380"/>
    <mergeCell ref="CA381:CZ381"/>
    <mergeCell ref="CA382:CZ382"/>
    <mergeCell ref="CA383:CZ383"/>
    <mergeCell ref="CA384:CZ384"/>
    <mergeCell ref="CA385:CZ385"/>
    <mergeCell ref="CA386:CZ386"/>
    <mergeCell ref="CA387:CZ387"/>
    <mergeCell ref="CA388:CZ389"/>
    <mergeCell ref="CA392:CI392"/>
    <mergeCell ref="BA443:BE443"/>
    <mergeCell ref="BF443:BI443"/>
    <mergeCell ref="CA30:CE31"/>
    <mergeCell ref="CF30:CI31"/>
    <mergeCell ref="CA32:CE32"/>
    <mergeCell ref="CF32:CI32"/>
    <mergeCell ref="CA51:CE52"/>
    <mergeCell ref="CF51:CI52"/>
    <mergeCell ref="CA53:CE53"/>
    <mergeCell ref="CF53:CI53"/>
    <mergeCell ref="CA73:CE74"/>
    <mergeCell ref="CF73:CI74"/>
    <mergeCell ref="CA75:CE75"/>
    <mergeCell ref="CF75:CI75"/>
    <mergeCell ref="CA97:CE98"/>
    <mergeCell ref="CF97:CI98"/>
    <mergeCell ref="CA99:CE99"/>
    <mergeCell ref="CF99:CI99"/>
    <mergeCell ref="CA119:CE120"/>
    <mergeCell ref="CF119:CI120"/>
    <mergeCell ref="CA121:CE121"/>
    <mergeCell ref="CF121:CI121"/>
    <mergeCell ref="CA143:CE144"/>
    <mergeCell ref="CF143:CI144"/>
    <mergeCell ref="CA145:CE145"/>
    <mergeCell ref="CF145:CI145"/>
    <mergeCell ref="CA165:CE166"/>
    <mergeCell ref="CF165:CI166"/>
    <mergeCell ref="CA167:CE167"/>
    <mergeCell ref="CF167:CI167"/>
    <mergeCell ref="CA189:CE190"/>
    <mergeCell ref="CF189:CI190"/>
    <mergeCell ref="BA351:BE351"/>
    <mergeCell ref="BF351:BI351"/>
    <mergeCell ref="BA373:BE374"/>
    <mergeCell ref="BF373:BI374"/>
    <mergeCell ref="BA375:BE375"/>
    <mergeCell ref="BF375:BI375"/>
    <mergeCell ref="BA395:BE396"/>
    <mergeCell ref="BF395:BI396"/>
    <mergeCell ref="BA397:BE397"/>
    <mergeCell ref="BF397:BI397"/>
    <mergeCell ref="BA419:BE420"/>
    <mergeCell ref="BF419:BI420"/>
    <mergeCell ref="BA421:BE421"/>
    <mergeCell ref="BF421:BI421"/>
    <mergeCell ref="BA441:BE442"/>
    <mergeCell ref="BF441:BI442"/>
    <mergeCell ref="BA400:BZ400"/>
    <mergeCell ref="BA401:BZ401"/>
    <mergeCell ref="BA402:BZ402"/>
    <mergeCell ref="BA403:BZ403"/>
    <mergeCell ref="BA404:BZ404"/>
    <mergeCell ref="BA405:BZ405"/>
    <mergeCell ref="BA406:BZ406"/>
    <mergeCell ref="BA407:BZ407"/>
    <mergeCell ref="BA408:BZ408"/>
    <mergeCell ref="BA409:BZ409"/>
    <mergeCell ref="BA410:BZ411"/>
    <mergeCell ref="BA416:BI416"/>
    <mergeCell ref="BJ416:BZ416"/>
    <mergeCell ref="BA417:BI418"/>
    <mergeCell ref="BA354:BZ354"/>
    <mergeCell ref="BA355:BZ355"/>
    <mergeCell ref="BA213:BE213"/>
    <mergeCell ref="BF213:BI213"/>
    <mergeCell ref="BA235:BE236"/>
    <mergeCell ref="BF235:BI236"/>
    <mergeCell ref="BA237:BE237"/>
    <mergeCell ref="BF237:BI237"/>
    <mergeCell ref="BA257:BE258"/>
    <mergeCell ref="BF257:BI258"/>
    <mergeCell ref="BA259:BE259"/>
    <mergeCell ref="BF259:BI259"/>
    <mergeCell ref="BA281:BE282"/>
    <mergeCell ref="BF281:BI282"/>
    <mergeCell ref="BA283:BE283"/>
    <mergeCell ref="BF283:BI283"/>
    <mergeCell ref="BA303:BE304"/>
    <mergeCell ref="BF303:BI304"/>
    <mergeCell ref="BA305:BE305"/>
    <mergeCell ref="BF305:BI305"/>
    <mergeCell ref="BA216:BZ216"/>
    <mergeCell ref="BA217:BZ217"/>
    <mergeCell ref="BA218:BZ218"/>
    <mergeCell ref="BA219:BZ219"/>
    <mergeCell ref="BV235:BV236"/>
    <mergeCell ref="BW235:BZ236"/>
    <mergeCell ref="BW237:BZ237"/>
    <mergeCell ref="BA240:BZ240"/>
    <mergeCell ref="BA241:BZ241"/>
    <mergeCell ref="BA242:BZ242"/>
    <mergeCell ref="BA243:BZ243"/>
    <mergeCell ref="BA244:BZ244"/>
    <mergeCell ref="BA245:BZ245"/>
    <mergeCell ref="BA246:BZ246"/>
    <mergeCell ref="BA75:BE75"/>
    <mergeCell ref="BF75:BI75"/>
    <mergeCell ref="BA97:BE98"/>
    <mergeCell ref="BF97:BI98"/>
    <mergeCell ref="BA99:BE99"/>
    <mergeCell ref="BF99:BI99"/>
    <mergeCell ref="BA119:BE120"/>
    <mergeCell ref="BF119:BI120"/>
    <mergeCell ref="BA121:BE121"/>
    <mergeCell ref="BF121:BI121"/>
    <mergeCell ref="BA143:BE144"/>
    <mergeCell ref="BF143:BI144"/>
    <mergeCell ref="BA145:BE145"/>
    <mergeCell ref="BF145:BI145"/>
    <mergeCell ref="BA165:BE166"/>
    <mergeCell ref="BF165:BI166"/>
    <mergeCell ref="BA167:BE167"/>
    <mergeCell ref="BF167:BI167"/>
    <mergeCell ref="BA127:BZ127"/>
    <mergeCell ref="BA128:BZ128"/>
    <mergeCell ref="BA129:BZ129"/>
    <mergeCell ref="BA130:BZ130"/>
    <mergeCell ref="BA131:BZ131"/>
    <mergeCell ref="BA132:BZ132"/>
    <mergeCell ref="BA140:BI140"/>
    <mergeCell ref="BJ140:BZ140"/>
    <mergeCell ref="BA124:BZ124"/>
    <mergeCell ref="BA125:BZ125"/>
    <mergeCell ref="BA126:BZ126"/>
    <mergeCell ref="BW121:BZ121"/>
    <mergeCell ref="BW122:BZ123"/>
    <mergeCell ref="BA105:BZ105"/>
    <mergeCell ref="AA163:AI164"/>
    <mergeCell ref="AA305:AE305"/>
    <mergeCell ref="AF305:AI305"/>
    <mergeCell ref="AA327:AE328"/>
    <mergeCell ref="AF327:AI328"/>
    <mergeCell ref="AA329:AE329"/>
    <mergeCell ref="AF329:AI329"/>
    <mergeCell ref="AA349:AE350"/>
    <mergeCell ref="AF349:AI350"/>
    <mergeCell ref="AA325:AI326"/>
    <mergeCell ref="AA351:AE351"/>
    <mergeCell ref="AF351:AI351"/>
    <mergeCell ref="AA373:AE374"/>
    <mergeCell ref="AF373:AI374"/>
    <mergeCell ref="AA375:AE375"/>
    <mergeCell ref="AF375:AI375"/>
    <mergeCell ref="AA395:AE396"/>
    <mergeCell ref="AF395:AI396"/>
    <mergeCell ref="AA354:AZ354"/>
    <mergeCell ref="AA355:AZ355"/>
    <mergeCell ref="AA356:AZ356"/>
    <mergeCell ref="AA357:AZ357"/>
    <mergeCell ref="AA358:AZ358"/>
    <mergeCell ref="AA359:AZ359"/>
    <mergeCell ref="AA360:AZ360"/>
    <mergeCell ref="AA361:AZ361"/>
    <mergeCell ref="AA362:AZ362"/>
    <mergeCell ref="AA363:AZ363"/>
    <mergeCell ref="AA364:AZ365"/>
    <mergeCell ref="AS373:AS374"/>
    <mergeCell ref="AT373:AT374"/>
    <mergeCell ref="AU373:AU374"/>
    <mergeCell ref="AA165:AE166"/>
    <mergeCell ref="AF165:AI166"/>
    <mergeCell ref="AA167:AE167"/>
    <mergeCell ref="AF167:AI167"/>
    <mergeCell ref="AF257:AI258"/>
    <mergeCell ref="AA259:AE259"/>
    <mergeCell ref="AF259:AI259"/>
    <mergeCell ref="AA281:AE282"/>
    <mergeCell ref="AF281:AI282"/>
    <mergeCell ref="AA283:AE283"/>
    <mergeCell ref="AF283:AI283"/>
    <mergeCell ref="AA303:AE304"/>
    <mergeCell ref="AF303:AI304"/>
    <mergeCell ref="AA174:AZ174"/>
    <mergeCell ref="AA175:AZ175"/>
    <mergeCell ref="AA176:AZ176"/>
    <mergeCell ref="AA177:AZ177"/>
    <mergeCell ref="AA178:AZ178"/>
    <mergeCell ref="AA179:AZ179"/>
    <mergeCell ref="AA180:AZ181"/>
    <mergeCell ref="AA186:AI186"/>
    <mergeCell ref="AJ186:AZ186"/>
    <mergeCell ref="AW167:AZ167"/>
    <mergeCell ref="AA170:AZ170"/>
    <mergeCell ref="AA171:AZ171"/>
    <mergeCell ref="AA172:AZ172"/>
    <mergeCell ref="AA173:AZ173"/>
    <mergeCell ref="AA195:AZ195"/>
    <mergeCell ref="AA196:AZ196"/>
    <mergeCell ref="AA197:AZ197"/>
    <mergeCell ref="AA187:AI188"/>
    <mergeCell ref="AJ187:AL188"/>
    <mergeCell ref="AA60:AZ60"/>
    <mergeCell ref="AA61:AZ61"/>
    <mergeCell ref="AA62:AZ62"/>
    <mergeCell ref="AA63:AZ63"/>
    <mergeCell ref="AA64:AZ64"/>
    <mergeCell ref="AA65:AZ65"/>
    <mergeCell ref="AA66:AZ67"/>
    <mergeCell ref="AA70:AI70"/>
    <mergeCell ref="AJ70:AZ70"/>
    <mergeCell ref="AW53:AZ53"/>
    <mergeCell ref="AA56:AZ56"/>
    <mergeCell ref="AA57:AZ57"/>
    <mergeCell ref="AA58:AZ58"/>
    <mergeCell ref="AA59:AZ59"/>
    <mergeCell ref="AA143:AE144"/>
    <mergeCell ref="AF143:AI144"/>
    <mergeCell ref="AA145:AE145"/>
    <mergeCell ref="AF145:AI145"/>
    <mergeCell ref="AW75:AZ75"/>
    <mergeCell ref="AA78:AZ78"/>
    <mergeCell ref="AA79:AZ79"/>
    <mergeCell ref="AA80:AZ80"/>
    <mergeCell ref="AA81:AZ81"/>
    <mergeCell ref="AA71:AI72"/>
    <mergeCell ref="AJ71:AL72"/>
    <mergeCell ref="AM71:AO72"/>
    <mergeCell ref="AP71:AU72"/>
    <mergeCell ref="AV71:AV72"/>
    <mergeCell ref="AW71:AZ72"/>
    <mergeCell ref="AJ73:AJ74"/>
    <mergeCell ref="AK73:AK74"/>
    <mergeCell ref="AL73:AL74"/>
    <mergeCell ref="A305:E305"/>
    <mergeCell ref="F305:I305"/>
    <mergeCell ref="A327:E328"/>
    <mergeCell ref="F327:I328"/>
    <mergeCell ref="A329:E329"/>
    <mergeCell ref="F329:I329"/>
    <mergeCell ref="A349:E350"/>
    <mergeCell ref="F349:I350"/>
    <mergeCell ref="A351:E351"/>
    <mergeCell ref="F351:I351"/>
    <mergeCell ref="A373:E374"/>
    <mergeCell ref="F373:I374"/>
    <mergeCell ref="A375:E375"/>
    <mergeCell ref="F375:I375"/>
    <mergeCell ref="A395:E396"/>
    <mergeCell ref="F395:I396"/>
    <mergeCell ref="A397:E397"/>
    <mergeCell ref="F397:I397"/>
    <mergeCell ref="A318:Z319"/>
    <mergeCell ref="W305:Z305"/>
    <mergeCell ref="A308:Z308"/>
    <mergeCell ref="A309:Z309"/>
    <mergeCell ref="A306:V306"/>
    <mergeCell ref="W306:Z307"/>
    <mergeCell ref="A324:I324"/>
    <mergeCell ref="J324:Z324"/>
    <mergeCell ref="A325:I326"/>
    <mergeCell ref="J325:L326"/>
    <mergeCell ref="M325:O326"/>
    <mergeCell ref="P325:U326"/>
    <mergeCell ref="V325:V326"/>
    <mergeCell ref="W325:Z326"/>
    <mergeCell ref="A211:E212"/>
    <mergeCell ref="F211:I212"/>
    <mergeCell ref="A213:E213"/>
    <mergeCell ref="F213:I213"/>
    <mergeCell ref="A235:E236"/>
    <mergeCell ref="F235:I236"/>
    <mergeCell ref="A237:E237"/>
    <mergeCell ref="F237:I237"/>
    <mergeCell ref="A257:E258"/>
    <mergeCell ref="F257:I258"/>
    <mergeCell ref="A259:E259"/>
    <mergeCell ref="F259:I259"/>
    <mergeCell ref="A281:E282"/>
    <mergeCell ref="F281:I282"/>
    <mergeCell ref="A283:E283"/>
    <mergeCell ref="F283:I283"/>
    <mergeCell ref="A303:E304"/>
    <mergeCell ref="F303:I304"/>
    <mergeCell ref="A225:Z225"/>
    <mergeCell ref="A226:Z227"/>
    <mergeCell ref="A220:Z220"/>
    <mergeCell ref="A221:Z221"/>
    <mergeCell ref="A222:Z222"/>
    <mergeCell ref="A223:Z223"/>
    <mergeCell ref="A224:Z224"/>
    <mergeCell ref="A216:Z216"/>
    <mergeCell ref="A217:Z217"/>
    <mergeCell ref="A218:Z218"/>
    <mergeCell ref="A219:Z219"/>
    <mergeCell ref="W211:Z212"/>
    <mergeCell ref="W213:Z213"/>
    <mergeCell ref="R211:R212"/>
    <mergeCell ref="A143:E144"/>
    <mergeCell ref="F143:I144"/>
    <mergeCell ref="A145:E145"/>
    <mergeCell ref="F145:I145"/>
    <mergeCell ref="A165:E166"/>
    <mergeCell ref="F165:I166"/>
    <mergeCell ref="A167:E167"/>
    <mergeCell ref="F167:I167"/>
    <mergeCell ref="A189:E190"/>
    <mergeCell ref="F189:I190"/>
    <mergeCell ref="A127:Z127"/>
    <mergeCell ref="A128:Z128"/>
    <mergeCell ref="A129:Z129"/>
    <mergeCell ref="A130:Z130"/>
    <mergeCell ref="A131:Z131"/>
    <mergeCell ref="A124:Z124"/>
    <mergeCell ref="A125:Z125"/>
    <mergeCell ref="A126:Z126"/>
    <mergeCell ref="A132:Z132"/>
    <mergeCell ref="A140:I140"/>
    <mergeCell ref="J140:Z140"/>
    <mergeCell ref="A141:I142"/>
    <mergeCell ref="J141:L142"/>
    <mergeCell ref="M141:O142"/>
    <mergeCell ref="W165:Z166"/>
    <mergeCell ref="W167:Z167"/>
    <mergeCell ref="R165:R166"/>
    <mergeCell ref="S165:S166"/>
    <mergeCell ref="T165:T166"/>
    <mergeCell ref="U165:U166"/>
    <mergeCell ref="V165:V166"/>
    <mergeCell ref="M165:M166"/>
    <mergeCell ref="GA9:GE10"/>
    <mergeCell ref="GA11:GE11"/>
    <mergeCell ref="FP9:FP10"/>
    <mergeCell ref="FQ9:FQ10"/>
    <mergeCell ref="FR9:FR10"/>
    <mergeCell ref="FS9:FS10"/>
    <mergeCell ref="FT9:FT10"/>
    <mergeCell ref="FU9:FU10"/>
    <mergeCell ref="FV9:FV10"/>
    <mergeCell ref="FW9:FZ10"/>
    <mergeCell ref="FJ9:FJ10"/>
    <mergeCell ref="FK9:FK10"/>
    <mergeCell ref="FL9:FL10"/>
    <mergeCell ref="FM9:FM10"/>
    <mergeCell ref="FN9:FN10"/>
    <mergeCell ref="EW11:EZ11"/>
    <mergeCell ref="A121:E121"/>
    <mergeCell ref="F121:I121"/>
    <mergeCell ref="AA32:AE32"/>
    <mergeCell ref="AF32:AI32"/>
    <mergeCell ref="AA51:AE52"/>
    <mergeCell ref="AF51:AI52"/>
    <mergeCell ref="AA53:AE53"/>
    <mergeCell ref="AF53:AI53"/>
    <mergeCell ref="AA73:AE74"/>
    <mergeCell ref="AF73:AI74"/>
    <mergeCell ref="AA75:AE75"/>
    <mergeCell ref="AF75:AI75"/>
    <mergeCell ref="AA97:AE98"/>
    <mergeCell ref="AF97:AI98"/>
    <mergeCell ref="AA99:AE99"/>
    <mergeCell ref="AF99:AI99"/>
    <mergeCell ref="CA13:CV13"/>
    <mergeCell ref="DA12:DV12"/>
    <mergeCell ref="DW12:DZ13"/>
    <mergeCell ref="DA13:DV13"/>
    <mergeCell ref="EA12:EV12"/>
    <mergeCell ref="EW12:EZ13"/>
    <mergeCell ref="EA13:EV13"/>
    <mergeCell ref="FA12:FV12"/>
    <mergeCell ref="FW12:FZ13"/>
    <mergeCell ref="FA13:FV13"/>
    <mergeCell ref="GA12:GV12"/>
    <mergeCell ref="GW12:GZ13"/>
    <mergeCell ref="GA13:GV13"/>
    <mergeCell ref="HA12:HV12"/>
    <mergeCell ref="HW12:HZ13"/>
    <mergeCell ref="HA13:HV13"/>
    <mergeCell ref="CA9:CE10"/>
    <mergeCell ref="CF9:CI10"/>
    <mergeCell ref="CA11:CE11"/>
    <mergeCell ref="CF11:CI11"/>
    <mergeCell ref="DA9:DE10"/>
    <mergeCell ref="DF9:DI10"/>
    <mergeCell ref="DA11:DE11"/>
    <mergeCell ref="DF11:DI11"/>
    <mergeCell ref="EA9:EE10"/>
    <mergeCell ref="EF9:EI10"/>
    <mergeCell ref="EA11:EE11"/>
    <mergeCell ref="EF11:EI11"/>
    <mergeCell ref="FA9:FE10"/>
    <mergeCell ref="FF9:FI10"/>
    <mergeCell ref="FA11:FE11"/>
    <mergeCell ref="FF11:FI11"/>
    <mergeCell ref="S211:S212"/>
    <mergeCell ref="T211:T212"/>
    <mergeCell ref="U211:U212"/>
    <mergeCell ref="V211:V212"/>
    <mergeCell ref="M211:M212"/>
    <mergeCell ref="N211:N212"/>
    <mergeCell ref="O211:O212"/>
    <mergeCell ref="P211:P212"/>
    <mergeCell ref="Q211:Q212"/>
    <mergeCell ref="J211:J212"/>
    <mergeCell ref="K211:K212"/>
    <mergeCell ref="L211:L212"/>
    <mergeCell ref="A214:V214"/>
    <mergeCell ref="W214:Z215"/>
    <mergeCell ref="A192:V192"/>
    <mergeCell ref="A198:Z198"/>
    <mergeCell ref="A199:Z199"/>
    <mergeCell ref="A200:Z200"/>
    <mergeCell ref="A201:Z201"/>
    <mergeCell ref="A202:Z202"/>
    <mergeCell ref="A194:Z194"/>
    <mergeCell ref="A195:Z195"/>
    <mergeCell ref="A196:Z196"/>
    <mergeCell ref="A197:Z197"/>
    <mergeCell ref="A203:Z203"/>
    <mergeCell ref="A204:Z205"/>
    <mergeCell ref="A208:I208"/>
    <mergeCell ref="J208:Z208"/>
    <mergeCell ref="A209:I210"/>
    <mergeCell ref="J209:L210"/>
    <mergeCell ref="M209:O210"/>
    <mergeCell ref="P209:U210"/>
    <mergeCell ref="V209:V210"/>
    <mergeCell ref="W209:Z210"/>
    <mergeCell ref="W192:Z193"/>
    <mergeCell ref="W189:Z190"/>
    <mergeCell ref="W191:Z191"/>
    <mergeCell ref="R189:R190"/>
    <mergeCell ref="S189:S190"/>
    <mergeCell ref="T189:T190"/>
    <mergeCell ref="U189:U190"/>
    <mergeCell ref="V189:V190"/>
    <mergeCell ref="M189:M190"/>
    <mergeCell ref="N189:N190"/>
    <mergeCell ref="O189:O190"/>
    <mergeCell ref="P189:P190"/>
    <mergeCell ref="Q189:Q190"/>
    <mergeCell ref="J189:J190"/>
    <mergeCell ref="K189:K190"/>
    <mergeCell ref="L189:L190"/>
    <mergeCell ref="A191:E191"/>
    <mergeCell ref="F191:I191"/>
    <mergeCell ref="A168:V168"/>
    <mergeCell ref="A174:Z174"/>
    <mergeCell ref="A175:Z175"/>
    <mergeCell ref="A176:Z176"/>
    <mergeCell ref="A177:Z177"/>
    <mergeCell ref="A178:Z178"/>
    <mergeCell ref="A170:Z170"/>
    <mergeCell ref="A171:Z171"/>
    <mergeCell ref="A172:Z172"/>
    <mergeCell ref="A173:Z173"/>
    <mergeCell ref="A179:Z179"/>
    <mergeCell ref="A180:Z181"/>
    <mergeCell ref="A186:I186"/>
    <mergeCell ref="J186:Z186"/>
    <mergeCell ref="A187:I188"/>
    <mergeCell ref="J187:L188"/>
    <mergeCell ref="M187:O188"/>
    <mergeCell ref="P187:U188"/>
    <mergeCell ref="V187:V188"/>
    <mergeCell ref="W187:Z188"/>
    <mergeCell ref="W168:Z169"/>
    <mergeCell ref="N165:N166"/>
    <mergeCell ref="O165:O166"/>
    <mergeCell ref="P165:P166"/>
    <mergeCell ref="Q165:Q166"/>
    <mergeCell ref="J165:J166"/>
    <mergeCell ref="K165:K166"/>
    <mergeCell ref="L165:L166"/>
    <mergeCell ref="A146:V146"/>
    <mergeCell ref="A152:Z152"/>
    <mergeCell ref="A153:Z153"/>
    <mergeCell ref="A154:Z154"/>
    <mergeCell ref="A155:Z155"/>
    <mergeCell ref="A156:Z156"/>
    <mergeCell ref="A148:Z148"/>
    <mergeCell ref="A149:Z149"/>
    <mergeCell ref="A150:Z150"/>
    <mergeCell ref="A151:Z151"/>
    <mergeCell ref="A157:Z157"/>
    <mergeCell ref="A158:Z159"/>
    <mergeCell ref="A162:I162"/>
    <mergeCell ref="J162:Z162"/>
    <mergeCell ref="A163:I164"/>
    <mergeCell ref="J163:L164"/>
    <mergeCell ref="M163:O164"/>
    <mergeCell ref="P163:U164"/>
    <mergeCell ref="V163:V164"/>
    <mergeCell ref="W163:Z164"/>
    <mergeCell ref="W146:Z147"/>
    <mergeCell ref="W143:Z144"/>
    <mergeCell ref="W145:Z145"/>
    <mergeCell ref="R143:R144"/>
    <mergeCell ref="S143:S144"/>
    <mergeCell ref="T143:T144"/>
    <mergeCell ref="U143:U144"/>
    <mergeCell ref="V143:V144"/>
    <mergeCell ref="M143:M144"/>
    <mergeCell ref="N143:N144"/>
    <mergeCell ref="O143:O144"/>
    <mergeCell ref="P143:P144"/>
    <mergeCell ref="Q143:Q144"/>
    <mergeCell ref="J143:J144"/>
    <mergeCell ref="K143:K144"/>
    <mergeCell ref="L143:L144"/>
    <mergeCell ref="P141:U142"/>
    <mergeCell ref="V141:V142"/>
    <mergeCell ref="W141:Z142"/>
    <mergeCell ref="A106:Z106"/>
    <mergeCell ref="A107:Z107"/>
    <mergeCell ref="A108:Z108"/>
    <mergeCell ref="A109:Z109"/>
    <mergeCell ref="A102:Z102"/>
    <mergeCell ref="A103:Z103"/>
    <mergeCell ref="A104:Z104"/>
    <mergeCell ref="A110:Z110"/>
    <mergeCell ref="J119:J120"/>
    <mergeCell ref="K119:K120"/>
    <mergeCell ref="L119:L120"/>
    <mergeCell ref="M119:M120"/>
    <mergeCell ref="N119:N120"/>
    <mergeCell ref="O119:O120"/>
    <mergeCell ref="P119:P120"/>
    <mergeCell ref="Q119:Q120"/>
    <mergeCell ref="R119:R120"/>
    <mergeCell ref="S119:S120"/>
    <mergeCell ref="T119:T120"/>
    <mergeCell ref="U119:U120"/>
    <mergeCell ref="V119:V120"/>
    <mergeCell ref="W119:Z120"/>
    <mergeCell ref="A112:Z113"/>
    <mergeCell ref="A116:I116"/>
    <mergeCell ref="J116:Z116"/>
    <mergeCell ref="A117:I118"/>
    <mergeCell ref="J117:L118"/>
    <mergeCell ref="M117:O118"/>
    <mergeCell ref="P117:U118"/>
    <mergeCell ref="V117:V118"/>
    <mergeCell ref="W117:Z118"/>
    <mergeCell ref="W121:Z121"/>
    <mergeCell ref="A122:V122"/>
    <mergeCell ref="W122:Z123"/>
    <mergeCell ref="A133:Z133"/>
    <mergeCell ref="A134:Z135"/>
    <mergeCell ref="A119:E120"/>
    <mergeCell ref="F119:I120"/>
    <mergeCell ref="A76:V76"/>
    <mergeCell ref="A82:Z82"/>
    <mergeCell ref="A83:Z83"/>
    <mergeCell ref="A84:Z84"/>
    <mergeCell ref="A85:Z85"/>
    <mergeCell ref="A86:Z86"/>
    <mergeCell ref="A78:Z78"/>
    <mergeCell ref="A79:Z79"/>
    <mergeCell ref="A80:Z80"/>
    <mergeCell ref="A81:Z81"/>
    <mergeCell ref="A87:Z87"/>
    <mergeCell ref="A88:Z89"/>
    <mergeCell ref="A94:I94"/>
    <mergeCell ref="J94:Z94"/>
    <mergeCell ref="A95:I96"/>
    <mergeCell ref="J95:L96"/>
    <mergeCell ref="M95:O96"/>
    <mergeCell ref="P95:U96"/>
    <mergeCell ref="V95:V96"/>
    <mergeCell ref="W95:Z96"/>
    <mergeCell ref="W76:Z77"/>
    <mergeCell ref="W99:Z99"/>
    <mergeCell ref="A100:V100"/>
    <mergeCell ref="W100:Z101"/>
    <mergeCell ref="A111:Z111"/>
    <mergeCell ref="W73:Z74"/>
    <mergeCell ref="W75:Z75"/>
    <mergeCell ref="R73:R74"/>
    <mergeCell ref="S73:S74"/>
    <mergeCell ref="T73:T74"/>
    <mergeCell ref="U73:U74"/>
    <mergeCell ref="V73:V74"/>
    <mergeCell ref="M73:M74"/>
    <mergeCell ref="N73:N74"/>
    <mergeCell ref="O73:O74"/>
    <mergeCell ref="P73:P74"/>
    <mergeCell ref="Q73:Q74"/>
    <mergeCell ref="J73:J74"/>
    <mergeCell ref="K73:K74"/>
    <mergeCell ref="L73:L74"/>
    <mergeCell ref="A73:E74"/>
    <mergeCell ref="F73:I74"/>
    <mergeCell ref="A75:E75"/>
    <mergeCell ref="F75:I75"/>
    <mergeCell ref="A54:V54"/>
    <mergeCell ref="A60:Z60"/>
    <mergeCell ref="A61:Z61"/>
    <mergeCell ref="A62:Z62"/>
    <mergeCell ref="A63:Z63"/>
    <mergeCell ref="A64:Z64"/>
    <mergeCell ref="A56:Z56"/>
    <mergeCell ref="A57:Z57"/>
    <mergeCell ref="A58:Z58"/>
    <mergeCell ref="A59:Z59"/>
    <mergeCell ref="A65:Z65"/>
    <mergeCell ref="A66:Z67"/>
    <mergeCell ref="A70:I70"/>
    <mergeCell ref="J70:Z70"/>
    <mergeCell ref="A71:I72"/>
    <mergeCell ref="J71:L72"/>
    <mergeCell ref="M71:O72"/>
    <mergeCell ref="P71:U72"/>
    <mergeCell ref="V71:V72"/>
    <mergeCell ref="W71:Z72"/>
    <mergeCell ref="W54:Z55"/>
    <mergeCell ref="A55:V55"/>
    <mergeCell ref="W51:Z52"/>
    <mergeCell ref="W53:Z53"/>
    <mergeCell ref="R51:R52"/>
    <mergeCell ref="S51:S52"/>
    <mergeCell ref="T51:T52"/>
    <mergeCell ref="U51:U52"/>
    <mergeCell ref="V51:V52"/>
    <mergeCell ref="M51:M52"/>
    <mergeCell ref="N51:N52"/>
    <mergeCell ref="O51:O52"/>
    <mergeCell ref="P51:P52"/>
    <mergeCell ref="Q51:Q52"/>
    <mergeCell ref="J51:J52"/>
    <mergeCell ref="K51:K52"/>
    <mergeCell ref="L51:L52"/>
    <mergeCell ref="A51:E52"/>
    <mergeCell ref="F51:I52"/>
    <mergeCell ref="A53:E53"/>
    <mergeCell ref="F53:I53"/>
    <mergeCell ref="A33:V33"/>
    <mergeCell ref="A39:Z39"/>
    <mergeCell ref="A40:Z40"/>
    <mergeCell ref="A41:Z41"/>
    <mergeCell ref="A42:Z42"/>
    <mergeCell ref="A43:Z43"/>
    <mergeCell ref="A35:Z35"/>
    <mergeCell ref="A36:Z36"/>
    <mergeCell ref="A37:Z37"/>
    <mergeCell ref="A38:Z38"/>
    <mergeCell ref="A44:Z44"/>
    <mergeCell ref="A45:Z46"/>
    <mergeCell ref="A48:I48"/>
    <mergeCell ref="J48:Z48"/>
    <mergeCell ref="A49:I50"/>
    <mergeCell ref="J49:L50"/>
    <mergeCell ref="M49:O50"/>
    <mergeCell ref="P49:U50"/>
    <mergeCell ref="V49:V50"/>
    <mergeCell ref="W49:Z50"/>
    <mergeCell ref="W33:Z34"/>
    <mergeCell ref="A34:V34"/>
    <mergeCell ref="W30:Z31"/>
    <mergeCell ref="W32:Z32"/>
    <mergeCell ref="R30:R31"/>
    <mergeCell ref="S30:S31"/>
    <mergeCell ref="T30:T31"/>
    <mergeCell ref="U30:U31"/>
    <mergeCell ref="V30:V31"/>
    <mergeCell ref="M30:M31"/>
    <mergeCell ref="N30:N31"/>
    <mergeCell ref="O30:O31"/>
    <mergeCell ref="P30:P31"/>
    <mergeCell ref="Q30:Q31"/>
    <mergeCell ref="J30:J31"/>
    <mergeCell ref="K30:K31"/>
    <mergeCell ref="L30:L31"/>
    <mergeCell ref="A30:E31"/>
    <mergeCell ref="A32:E32"/>
    <mergeCell ref="F30:I31"/>
    <mergeCell ref="F32:I32"/>
    <mergeCell ref="A20:Z20"/>
    <mergeCell ref="A21:Z21"/>
    <mergeCell ref="A22:Z22"/>
    <mergeCell ref="A14:Z14"/>
    <mergeCell ref="A15:Z15"/>
    <mergeCell ref="A16:Z16"/>
    <mergeCell ref="A17:Z17"/>
    <mergeCell ref="A23:Z23"/>
    <mergeCell ref="A24:Z25"/>
    <mergeCell ref="A27:I27"/>
    <mergeCell ref="J27:Z27"/>
    <mergeCell ref="A28:I29"/>
    <mergeCell ref="J28:L29"/>
    <mergeCell ref="M28:O29"/>
    <mergeCell ref="P28:U29"/>
    <mergeCell ref="V28:V29"/>
    <mergeCell ref="W28:Z29"/>
    <mergeCell ref="W7:Z8"/>
    <mergeCell ref="A2:P2"/>
    <mergeCell ref="A3:P3"/>
    <mergeCell ref="A4:P4"/>
    <mergeCell ref="A7:I8"/>
    <mergeCell ref="A6:I6"/>
    <mergeCell ref="J6:Z6"/>
    <mergeCell ref="O9:O10"/>
    <mergeCell ref="P9:P10"/>
    <mergeCell ref="Q9:Q10"/>
    <mergeCell ref="R9:R10"/>
    <mergeCell ref="S9:S10"/>
    <mergeCell ref="J7:L8"/>
    <mergeCell ref="A18:Z18"/>
    <mergeCell ref="A19:Z19"/>
    <mergeCell ref="W12:Z13"/>
    <mergeCell ref="A12:V12"/>
    <mergeCell ref="A13:V13"/>
    <mergeCell ref="W11:Z11"/>
    <mergeCell ref="Q2:V2"/>
    <mergeCell ref="W2:Z2"/>
    <mergeCell ref="A9:E10"/>
    <mergeCell ref="F9:I10"/>
    <mergeCell ref="F11:I11"/>
    <mergeCell ref="A11:E11"/>
    <mergeCell ref="AA1:AP1"/>
    <mergeCell ref="AQ1:AZ1"/>
    <mergeCell ref="AA2:AP2"/>
    <mergeCell ref="AA3:AP3"/>
    <mergeCell ref="AQ3:AZ3"/>
    <mergeCell ref="AA4:AP4"/>
    <mergeCell ref="AQ4:AZ4"/>
    <mergeCell ref="AA5:AP5"/>
    <mergeCell ref="AQ5:AZ5"/>
    <mergeCell ref="M7:O8"/>
    <mergeCell ref="P7:U8"/>
    <mergeCell ref="V7:V8"/>
    <mergeCell ref="K9:K10"/>
    <mergeCell ref="L9:L10"/>
    <mergeCell ref="T9:T10"/>
    <mergeCell ref="U9:U10"/>
    <mergeCell ref="J9:J10"/>
    <mergeCell ref="V9:V10"/>
    <mergeCell ref="M9:M10"/>
    <mergeCell ref="N9:N10"/>
    <mergeCell ref="Q1:Z1"/>
    <mergeCell ref="Q3:Z3"/>
    <mergeCell ref="Q4:Z4"/>
    <mergeCell ref="Q5:Z5"/>
    <mergeCell ref="A1:P1"/>
    <mergeCell ref="A5:P5"/>
    <mergeCell ref="W9:Z10"/>
    <mergeCell ref="AA6:AI6"/>
    <mergeCell ref="AJ6:AZ6"/>
    <mergeCell ref="AA7:AI8"/>
    <mergeCell ref="AJ7:AL8"/>
    <mergeCell ref="AM7:AO8"/>
    <mergeCell ref="AP7:AU8"/>
    <mergeCell ref="AV7:AV8"/>
    <mergeCell ref="AW7:AZ8"/>
    <mergeCell ref="AJ9:AJ10"/>
    <mergeCell ref="AK9:AK10"/>
    <mergeCell ref="AL9:AL10"/>
    <mergeCell ref="AM9:AM10"/>
    <mergeCell ref="AN9:AN10"/>
    <mergeCell ref="AO9:AO10"/>
    <mergeCell ref="AP9:AP10"/>
    <mergeCell ref="AQ9:AQ10"/>
    <mergeCell ref="AR9:AR10"/>
    <mergeCell ref="AS9:AS10"/>
    <mergeCell ref="AT9:AT10"/>
    <mergeCell ref="AU9:AU10"/>
    <mergeCell ref="AV9:AV10"/>
    <mergeCell ref="AW9:AZ10"/>
    <mergeCell ref="AV30:AV31"/>
    <mergeCell ref="AW30:AZ31"/>
    <mergeCell ref="AA9:AE10"/>
    <mergeCell ref="AF9:AI10"/>
    <mergeCell ref="AA18:AZ18"/>
    <mergeCell ref="AA19:AZ19"/>
    <mergeCell ref="AA20:AZ20"/>
    <mergeCell ref="AA21:AZ21"/>
    <mergeCell ref="AA22:AZ22"/>
    <mergeCell ref="AA23:AZ23"/>
    <mergeCell ref="AA24:AZ25"/>
    <mergeCell ref="AA27:AI27"/>
    <mergeCell ref="AJ27:AZ27"/>
    <mergeCell ref="AW11:AZ11"/>
    <mergeCell ref="AA14:AZ14"/>
    <mergeCell ref="AA15:AZ15"/>
    <mergeCell ref="AA16:AZ16"/>
    <mergeCell ref="AA17:AZ17"/>
    <mergeCell ref="AW12:AZ13"/>
    <mergeCell ref="AA13:AV13"/>
    <mergeCell ref="AA12:AV12"/>
    <mergeCell ref="AA11:AE11"/>
    <mergeCell ref="AF11:AI11"/>
    <mergeCell ref="AA30:AE31"/>
    <mergeCell ref="AF30:AI31"/>
    <mergeCell ref="AA39:AZ39"/>
    <mergeCell ref="AA40:AZ40"/>
    <mergeCell ref="AA41:AZ41"/>
    <mergeCell ref="AA42:AZ42"/>
    <mergeCell ref="AA43:AZ43"/>
    <mergeCell ref="AA44:AZ44"/>
    <mergeCell ref="AA45:AZ46"/>
    <mergeCell ref="AA48:AI48"/>
    <mergeCell ref="AJ48:AZ48"/>
    <mergeCell ref="AW32:AZ32"/>
    <mergeCell ref="AA35:AZ35"/>
    <mergeCell ref="AA36:AZ36"/>
    <mergeCell ref="AA37:AZ37"/>
    <mergeCell ref="AA38:AZ38"/>
    <mergeCell ref="AA28:AI29"/>
    <mergeCell ref="AJ28:AL29"/>
    <mergeCell ref="AM28:AO29"/>
    <mergeCell ref="AP28:AU29"/>
    <mergeCell ref="AV28:AV29"/>
    <mergeCell ref="AW28:AZ29"/>
    <mergeCell ref="AJ30:AJ31"/>
    <mergeCell ref="AK30:AK31"/>
    <mergeCell ref="AL30:AL31"/>
    <mergeCell ref="AM30:AM31"/>
    <mergeCell ref="AN30:AN31"/>
    <mergeCell ref="AO30:AO31"/>
    <mergeCell ref="AP30:AP31"/>
    <mergeCell ref="AQ30:AQ31"/>
    <mergeCell ref="AR30:AR31"/>
    <mergeCell ref="AS30:AS31"/>
    <mergeCell ref="AT30:AT31"/>
    <mergeCell ref="AU30:AU31"/>
    <mergeCell ref="AA49:AI50"/>
    <mergeCell ref="AJ49:AL50"/>
    <mergeCell ref="AM49:AO50"/>
    <mergeCell ref="AP49:AU50"/>
    <mergeCell ref="AV49:AV50"/>
    <mergeCell ref="AW49:AZ50"/>
    <mergeCell ref="AJ51:AJ52"/>
    <mergeCell ref="AK51:AK52"/>
    <mergeCell ref="AL51:AL52"/>
    <mergeCell ref="AM51:AM52"/>
    <mergeCell ref="AN51:AN52"/>
    <mergeCell ref="AO51:AO52"/>
    <mergeCell ref="AP51:AP52"/>
    <mergeCell ref="AQ51:AQ52"/>
    <mergeCell ref="AR51:AR52"/>
    <mergeCell ref="AS51:AS52"/>
    <mergeCell ref="AT51:AT52"/>
    <mergeCell ref="AU51:AU52"/>
    <mergeCell ref="AV51:AV52"/>
    <mergeCell ref="AW51:AZ52"/>
    <mergeCell ref="AM73:AM74"/>
    <mergeCell ref="AN73:AN74"/>
    <mergeCell ref="AO73:AO74"/>
    <mergeCell ref="AP73:AP74"/>
    <mergeCell ref="AQ73:AQ74"/>
    <mergeCell ref="AR73:AR74"/>
    <mergeCell ref="AS73:AS74"/>
    <mergeCell ref="AT73:AT74"/>
    <mergeCell ref="AU73:AU74"/>
    <mergeCell ref="AV73:AV74"/>
    <mergeCell ref="AW73:AZ74"/>
    <mergeCell ref="AS97:AS98"/>
    <mergeCell ref="AT97:AT98"/>
    <mergeCell ref="AU97:AU98"/>
    <mergeCell ref="AV97:AV98"/>
    <mergeCell ref="AW97:AZ98"/>
    <mergeCell ref="AW99:AZ99"/>
    <mergeCell ref="AA100:AV100"/>
    <mergeCell ref="AW100:AZ101"/>
    <mergeCell ref="AA111:AZ111"/>
    <mergeCell ref="AA112:AZ113"/>
    <mergeCell ref="AA82:AZ82"/>
    <mergeCell ref="AA83:AZ83"/>
    <mergeCell ref="AA84:AZ84"/>
    <mergeCell ref="AA85:AZ85"/>
    <mergeCell ref="AA86:AZ86"/>
    <mergeCell ref="AA87:AZ87"/>
    <mergeCell ref="AA88:AZ89"/>
    <mergeCell ref="AA116:AI116"/>
    <mergeCell ref="AJ116:AZ116"/>
    <mergeCell ref="AA117:AI118"/>
    <mergeCell ref="AJ117:AL118"/>
    <mergeCell ref="AM117:AO118"/>
    <mergeCell ref="AP117:AU118"/>
    <mergeCell ref="AV117:AV118"/>
    <mergeCell ref="AW117:AZ118"/>
    <mergeCell ref="AA105:AZ105"/>
    <mergeCell ref="AA106:AZ106"/>
    <mergeCell ref="AA107:AZ107"/>
    <mergeCell ref="AA108:AZ108"/>
    <mergeCell ref="AA109:AZ109"/>
    <mergeCell ref="AA110:AZ110"/>
    <mergeCell ref="AA102:AZ102"/>
    <mergeCell ref="AA103:AZ103"/>
    <mergeCell ref="AA104:AZ104"/>
    <mergeCell ref="AA119:AE120"/>
    <mergeCell ref="AF119:AI120"/>
    <mergeCell ref="AV143:AV144"/>
    <mergeCell ref="AW143:AZ144"/>
    <mergeCell ref="AA127:AZ127"/>
    <mergeCell ref="AA128:AZ128"/>
    <mergeCell ref="AA129:AZ129"/>
    <mergeCell ref="AA130:AZ130"/>
    <mergeCell ref="AA131:AZ131"/>
    <mergeCell ref="AA132:AZ132"/>
    <mergeCell ref="AA140:AI140"/>
    <mergeCell ref="AJ140:AZ140"/>
    <mergeCell ref="AA124:AZ124"/>
    <mergeCell ref="AA125:AZ125"/>
    <mergeCell ref="AA126:AZ126"/>
    <mergeCell ref="AJ119:AJ120"/>
    <mergeCell ref="AK119:AK120"/>
    <mergeCell ref="AL119:AL120"/>
    <mergeCell ref="AM119:AM120"/>
    <mergeCell ref="AN119:AN120"/>
    <mergeCell ref="AO119:AO120"/>
    <mergeCell ref="AP119:AP120"/>
    <mergeCell ref="AQ119:AQ120"/>
    <mergeCell ref="AR119:AR120"/>
    <mergeCell ref="AS119:AS120"/>
    <mergeCell ref="AT119:AT120"/>
    <mergeCell ref="AU119:AU120"/>
    <mergeCell ref="AW121:AZ121"/>
    <mergeCell ref="AA122:AV122"/>
    <mergeCell ref="AW122:AZ123"/>
    <mergeCell ref="AA133:AZ133"/>
    <mergeCell ref="AA134:AZ135"/>
    <mergeCell ref="AA121:AE121"/>
    <mergeCell ref="AF121:AI121"/>
    <mergeCell ref="AA152:AZ152"/>
    <mergeCell ref="AA153:AZ153"/>
    <mergeCell ref="AA154:AZ154"/>
    <mergeCell ref="AA155:AZ155"/>
    <mergeCell ref="AV119:AV120"/>
    <mergeCell ref="AW119:AZ120"/>
    <mergeCell ref="AA156:AZ156"/>
    <mergeCell ref="AA157:AZ157"/>
    <mergeCell ref="AA158:AZ159"/>
    <mergeCell ref="AA162:AI162"/>
    <mergeCell ref="AJ162:AZ162"/>
    <mergeCell ref="AW145:AZ145"/>
    <mergeCell ref="AA148:AZ148"/>
    <mergeCell ref="AA149:AZ149"/>
    <mergeCell ref="AA150:AZ150"/>
    <mergeCell ref="AA151:AZ151"/>
    <mergeCell ref="AA141:AI142"/>
    <mergeCell ref="AJ141:AL142"/>
    <mergeCell ref="AM141:AO142"/>
    <mergeCell ref="AP141:AU142"/>
    <mergeCell ref="AV141:AV142"/>
    <mergeCell ref="AW141:AZ142"/>
    <mergeCell ref="AJ143:AJ144"/>
    <mergeCell ref="AK143:AK144"/>
    <mergeCell ref="AL143:AL144"/>
    <mergeCell ref="AM143:AM144"/>
    <mergeCell ref="AN143:AN144"/>
    <mergeCell ref="AO143:AO144"/>
    <mergeCell ref="AP143:AP144"/>
    <mergeCell ref="AQ143:AQ144"/>
    <mergeCell ref="AR143:AR144"/>
    <mergeCell ref="AS143:AS144"/>
    <mergeCell ref="AT143:AT144"/>
    <mergeCell ref="AU143:AU144"/>
    <mergeCell ref="AJ163:AL164"/>
    <mergeCell ref="AM163:AO164"/>
    <mergeCell ref="AP163:AU164"/>
    <mergeCell ref="AV163:AV164"/>
    <mergeCell ref="AW163:AZ164"/>
    <mergeCell ref="AJ165:AJ166"/>
    <mergeCell ref="AK165:AK166"/>
    <mergeCell ref="AL165:AL166"/>
    <mergeCell ref="AM165:AM166"/>
    <mergeCell ref="AN165:AN166"/>
    <mergeCell ref="AO165:AO166"/>
    <mergeCell ref="AP165:AP166"/>
    <mergeCell ref="AQ165:AQ166"/>
    <mergeCell ref="AR165:AR166"/>
    <mergeCell ref="AS165:AS166"/>
    <mergeCell ref="AT165:AT166"/>
    <mergeCell ref="AU165:AU166"/>
    <mergeCell ref="AV165:AV166"/>
    <mergeCell ref="AW165:AZ166"/>
    <mergeCell ref="AM187:AO188"/>
    <mergeCell ref="AP187:AU188"/>
    <mergeCell ref="AV187:AV188"/>
    <mergeCell ref="AW187:AZ188"/>
    <mergeCell ref="AJ189:AJ190"/>
    <mergeCell ref="AK189:AK190"/>
    <mergeCell ref="AL189:AL190"/>
    <mergeCell ref="AM189:AM190"/>
    <mergeCell ref="AN189:AN190"/>
    <mergeCell ref="AO189:AO190"/>
    <mergeCell ref="AP189:AP190"/>
    <mergeCell ref="AQ189:AQ190"/>
    <mergeCell ref="AR189:AR190"/>
    <mergeCell ref="AS189:AS190"/>
    <mergeCell ref="AT189:AT190"/>
    <mergeCell ref="AU189:AU190"/>
    <mergeCell ref="AV189:AV190"/>
    <mergeCell ref="AW189:AZ190"/>
    <mergeCell ref="AW192:AZ193"/>
    <mergeCell ref="AA189:AE190"/>
    <mergeCell ref="AF189:AI190"/>
    <mergeCell ref="AA191:AE191"/>
    <mergeCell ref="AF191:AI191"/>
    <mergeCell ref="AA219:AZ219"/>
    <mergeCell ref="AA209:AI210"/>
    <mergeCell ref="AJ209:AL210"/>
    <mergeCell ref="AM209:AO210"/>
    <mergeCell ref="AP209:AU210"/>
    <mergeCell ref="AV209:AV210"/>
    <mergeCell ref="AW209:AZ210"/>
    <mergeCell ref="AJ211:AJ212"/>
    <mergeCell ref="AK211:AK212"/>
    <mergeCell ref="AL211:AL212"/>
    <mergeCell ref="AM211:AM212"/>
    <mergeCell ref="AN211:AN212"/>
    <mergeCell ref="AO211:AO212"/>
    <mergeCell ref="AP211:AP212"/>
    <mergeCell ref="AQ211:AQ212"/>
    <mergeCell ref="AR211:AR212"/>
    <mergeCell ref="AS211:AS212"/>
    <mergeCell ref="AT211:AT212"/>
    <mergeCell ref="AU211:AU212"/>
    <mergeCell ref="AV211:AV212"/>
    <mergeCell ref="AW211:AZ212"/>
    <mergeCell ref="AA214:AV214"/>
    <mergeCell ref="AW214:AZ215"/>
    <mergeCell ref="AA211:AE212"/>
    <mergeCell ref="AF211:AI212"/>
    <mergeCell ref="AA213:AE213"/>
    <mergeCell ref="AF213:AI213"/>
    <mergeCell ref="BA1:BP1"/>
    <mergeCell ref="BQ1:BZ1"/>
    <mergeCell ref="BA2:BP2"/>
    <mergeCell ref="BA3:BP3"/>
    <mergeCell ref="BQ3:BZ3"/>
    <mergeCell ref="BA4:BP4"/>
    <mergeCell ref="BQ4:BZ4"/>
    <mergeCell ref="BA5:BP5"/>
    <mergeCell ref="BQ5:BZ5"/>
    <mergeCell ref="BA6:BI6"/>
    <mergeCell ref="BJ6:BZ6"/>
    <mergeCell ref="BA7:BI8"/>
    <mergeCell ref="BJ7:BL8"/>
    <mergeCell ref="BM7:BO8"/>
    <mergeCell ref="BP7:BU8"/>
    <mergeCell ref="BV7:BV8"/>
    <mergeCell ref="AW213:AZ213"/>
    <mergeCell ref="AA198:AZ198"/>
    <mergeCell ref="AA199:AZ199"/>
    <mergeCell ref="AA200:AZ200"/>
    <mergeCell ref="AA201:AZ201"/>
    <mergeCell ref="AA202:AZ202"/>
    <mergeCell ref="AA203:AZ203"/>
    <mergeCell ref="AA204:AZ205"/>
    <mergeCell ref="AA208:AI208"/>
    <mergeCell ref="AJ208:AZ208"/>
    <mergeCell ref="AW191:AZ191"/>
    <mergeCell ref="AA194:AZ194"/>
    <mergeCell ref="BW7:BZ8"/>
    <mergeCell ref="BJ9:BJ10"/>
    <mergeCell ref="BK9:BK10"/>
    <mergeCell ref="BL9:BL10"/>
    <mergeCell ref="BM9:BM10"/>
    <mergeCell ref="BN9:BN10"/>
    <mergeCell ref="BO9:BO10"/>
    <mergeCell ref="BP9:BP10"/>
    <mergeCell ref="BQ9:BQ10"/>
    <mergeCell ref="BR9:BR10"/>
    <mergeCell ref="BS9:BS10"/>
    <mergeCell ref="BT9:BT10"/>
    <mergeCell ref="BU9:BU10"/>
    <mergeCell ref="BV9:BV10"/>
    <mergeCell ref="BW9:BZ10"/>
    <mergeCell ref="BA9:BE10"/>
    <mergeCell ref="BF9:BI10"/>
    <mergeCell ref="BA18:BZ18"/>
    <mergeCell ref="BA19:BZ19"/>
    <mergeCell ref="BA20:BZ20"/>
    <mergeCell ref="BA21:BZ21"/>
    <mergeCell ref="BA22:BZ22"/>
    <mergeCell ref="BA23:BZ23"/>
    <mergeCell ref="BA24:BZ25"/>
    <mergeCell ref="BA27:BI27"/>
    <mergeCell ref="BJ27:BZ27"/>
    <mergeCell ref="BW11:BZ11"/>
    <mergeCell ref="BA14:BZ14"/>
    <mergeCell ref="BA15:BZ15"/>
    <mergeCell ref="BA16:BZ16"/>
    <mergeCell ref="BA17:BZ17"/>
    <mergeCell ref="BA12:BV12"/>
    <mergeCell ref="BW12:BZ13"/>
    <mergeCell ref="BA13:BV13"/>
    <mergeCell ref="BA11:BE11"/>
    <mergeCell ref="BF11:BI11"/>
    <mergeCell ref="BA28:BI29"/>
    <mergeCell ref="BJ28:BL29"/>
    <mergeCell ref="BM28:BO29"/>
    <mergeCell ref="BP28:BU29"/>
    <mergeCell ref="BV28:BV29"/>
    <mergeCell ref="BW28:BZ29"/>
    <mergeCell ref="BJ30:BJ31"/>
    <mergeCell ref="BK30:BK31"/>
    <mergeCell ref="BL30:BL31"/>
    <mergeCell ref="BM30:BM31"/>
    <mergeCell ref="BN30:BN31"/>
    <mergeCell ref="BO30:BO31"/>
    <mergeCell ref="BP30:BP31"/>
    <mergeCell ref="BQ30:BQ31"/>
    <mergeCell ref="BR30:BR31"/>
    <mergeCell ref="BS30:BS31"/>
    <mergeCell ref="BT30:BT31"/>
    <mergeCell ref="BU30:BU31"/>
    <mergeCell ref="BV30:BV31"/>
    <mergeCell ref="BW30:BZ31"/>
    <mergeCell ref="BA30:BE31"/>
    <mergeCell ref="BF30:BI31"/>
    <mergeCell ref="BA39:BZ39"/>
    <mergeCell ref="BA40:BZ40"/>
    <mergeCell ref="BA41:BZ41"/>
    <mergeCell ref="BA42:BZ42"/>
    <mergeCell ref="BA43:BZ43"/>
    <mergeCell ref="BA44:BZ44"/>
    <mergeCell ref="BA45:BZ46"/>
    <mergeCell ref="BA48:BI48"/>
    <mergeCell ref="BJ48:BZ48"/>
    <mergeCell ref="BW32:BZ32"/>
    <mergeCell ref="BA35:BZ35"/>
    <mergeCell ref="BA36:BZ36"/>
    <mergeCell ref="BA37:BZ37"/>
    <mergeCell ref="BA38:BZ38"/>
    <mergeCell ref="BW33:BZ34"/>
    <mergeCell ref="BA32:BE32"/>
    <mergeCell ref="BF32:BI32"/>
    <mergeCell ref="BA49:BI50"/>
    <mergeCell ref="BJ49:BL50"/>
    <mergeCell ref="BM49:BO50"/>
    <mergeCell ref="BP49:BU50"/>
    <mergeCell ref="BV49:BV50"/>
    <mergeCell ref="BW49:BZ50"/>
    <mergeCell ref="BA33:BV33"/>
    <mergeCell ref="BA34:BV34"/>
    <mergeCell ref="BJ51:BJ52"/>
    <mergeCell ref="BK51:BK52"/>
    <mergeCell ref="BL51:BL52"/>
    <mergeCell ref="BM51:BM52"/>
    <mergeCell ref="BN51:BN52"/>
    <mergeCell ref="BO51:BO52"/>
    <mergeCell ref="BP51:BP52"/>
    <mergeCell ref="BQ51:BQ52"/>
    <mergeCell ref="BR51:BR52"/>
    <mergeCell ref="BS51:BS52"/>
    <mergeCell ref="BT51:BT52"/>
    <mergeCell ref="BU51:BU52"/>
    <mergeCell ref="BV51:BV52"/>
    <mergeCell ref="BW51:BZ52"/>
    <mergeCell ref="BA51:BE52"/>
    <mergeCell ref="BF51:BI52"/>
    <mergeCell ref="BS73:BS74"/>
    <mergeCell ref="BT73:BT74"/>
    <mergeCell ref="BU73:BU74"/>
    <mergeCell ref="BV73:BV74"/>
    <mergeCell ref="BW73:BZ74"/>
    <mergeCell ref="BA60:BZ60"/>
    <mergeCell ref="BA61:BZ61"/>
    <mergeCell ref="BA62:BZ62"/>
    <mergeCell ref="BA63:BZ63"/>
    <mergeCell ref="BA64:BZ64"/>
    <mergeCell ref="BA65:BZ65"/>
    <mergeCell ref="BA66:BZ67"/>
    <mergeCell ref="BA70:BI70"/>
    <mergeCell ref="BJ70:BZ70"/>
    <mergeCell ref="BW53:BZ53"/>
    <mergeCell ref="BA56:BZ56"/>
    <mergeCell ref="BA57:BZ57"/>
    <mergeCell ref="BA58:BZ58"/>
    <mergeCell ref="BA59:BZ59"/>
    <mergeCell ref="BW54:BZ55"/>
    <mergeCell ref="BA53:BE53"/>
    <mergeCell ref="BF53:BI53"/>
    <mergeCell ref="BA73:BE74"/>
    <mergeCell ref="BF73:BI74"/>
    <mergeCell ref="BA82:BZ82"/>
    <mergeCell ref="BA83:BZ83"/>
    <mergeCell ref="BA84:BZ84"/>
    <mergeCell ref="BA85:BZ85"/>
    <mergeCell ref="BA86:BZ86"/>
    <mergeCell ref="BA87:BZ87"/>
    <mergeCell ref="BA88:BZ89"/>
    <mergeCell ref="BW75:BZ75"/>
    <mergeCell ref="BA78:BZ78"/>
    <mergeCell ref="BA79:BZ79"/>
    <mergeCell ref="BA80:BZ80"/>
    <mergeCell ref="BA81:BZ81"/>
    <mergeCell ref="BW76:BZ77"/>
    <mergeCell ref="BA71:BI72"/>
    <mergeCell ref="BJ71:BL72"/>
    <mergeCell ref="BM71:BO72"/>
    <mergeCell ref="BP71:BU72"/>
    <mergeCell ref="BV71:BV72"/>
    <mergeCell ref="BW71:BZ72"/>
    <mergeCell ref="BJ73:BJ74"/>
    <mergeCell ref="BK73:BK74"/>
    <mergeCell ref="BL73:BL74"/>
    <mergeCell ref="BM73:BM74"/>
    <mergeCell ref="BN73:BN74"/>
    <mergeCell ref="BO73:BO74"/>
    <mergeCell ref="BP73:BP74"/>
    <mergeCell ref="BQ73:BQ74"/>
    <mergeCell ref="BR73:BR74"/>
    <mergeCell ref="BJ97:BJ98"/>
    <mergeCell ref="BK97:BK98"/>
    <mergeCell ref="BL97:BL98"/>
    <mergeCell ref="BM97:BM98"/>
    <mergeCell ref="BN97:BN98"/>
    <mergeCell ref="BO97:BO98"/>
    <mergeCell ref="BP97:BP98"/>
    <mergeCell ref="BQ97:BQ98"/>
    <mergeCell ref="BR97:BR98"/>
    <mergeCell ref="BS97:BS98"/>
    <mergeCell ref="BT97:BT98"/>
    <mergeCell ref="BU97:BU98"/>
    <mergeCell ref="BV97:BV98"/>
    <mergeCell ref="BJ94:BZ94"/>
    <mergeCell ref="BJ95:BL96"/>
    <mergeCell ref="BM95:BO96"/>
    <mergeCell ref="BP95:BU96"/>
    <mergeCell ref="BV95:BV96"/>
    <mergeCell ref="BW95:BZ96"/>
    <mergeCell ref="BW97:BZ98"/>
    <mergeCell ref="BA106:BZ106"/>
    <mergeCell ref="BA107:BZ107"/>
    <mergeCell ref="BA108:BZ108"/>
    <mergeCell ref="BA109:BZ109"/>
    <mergeCell ref="BA110:BZ110"/>
    <mergeCell ref="BA141:BI142"/>
    <mergeCell ref="BJ141:BL142"/>
    <mergeCell ref="BM141:BO142"/>
    <mergeCell ref="BP141:BU142"/>
    <mergeCell ref="BV141:BV142"/>
    <mergeCell ref="BW141:BZ142"/>
    <mergeCell ref="BJ143:BJ144"/>
    <mergeCell ref="BK143:BK144"/>
    <mergeCell ref="BL143:BL144"/>
    <mergeCell ref="BM143:BM144"/>
    <mergeCell ref="BN143:BN144"/>
    <mergeCell ref="BO143:BO144"/>
    <mergeCell ref="BP143:BP144"/>
    <mergeCell ref="BQ143:BQ144"/>
    <mergeCell ref="BR143:BR144"/>
    <mergeCell ref="BS143:BS144"/>
    <mergeCell ref="BT143:BT144"/>
    <mergeCell ref="BU143:BU144"/>
    <mergeCell ref="BV143:BV144"/>
    <mergeCell ref="BW143:BZ144"/>
    <mergeCell ref="BV117:BV118"/>
    <mergeCell ref="BW117:BZ118"/>
    <mergeCell ref="BJ119:BJ120"/>
    <mergeCell ref="BK119:BK120"/>
    <mergeCell ref="BL119:BL120"/>
    <mergeCell ref="BM119:BM120"/>
    <mergeCell ref="BN119:BN120"/>
    <mergeCell ref="BA152:BZ152"/>
    <mergeCell ref="BA153:BZ153"/>
    <mergeCell ref="BA154:BZ154"/>
    <mergeCell ref="BA155:BZ155"/>
    <mergeCell ref="BA156:BZ156"/>
    <mergeCell ref="BA157:BZ157"/>
    <mergeCell ref="BA158:BZ159"/>
    <mergeCell ref="BA162:BI162"/>
    <mergeCell ref="BJ162:BZ162"/>
    <mergeCell ref="BW145:BZ145"/>
    <mergeCell ref="BA148:BZ148"/>
    <mergeCell ref="BA149:BZ149"/>
    <mergeCell ref="BA150:BZ150"/>
    <mergeCell ref="BA151:BZ151"/>
    <mergeCell ref="BW146:BZ147"/>
    <mergeCell ref="BA163:BI164"/>
    <mergeCell ref="BJ163:BL164"/>
    <mergeCell ref="BM163:BO164"/>
    <mergeCell ref="BP163:BU164"/>
    <mergeCell ref="BV163:BV164"/>
    <mergeCell ref="BW163:BZ164"/>
    <mergeCell ref="BJ165:BJ166"/>
    <mergeCell ref="BK165:BK166"/>
    <mergeCell ref="BL165:BL166"/>
    <mergeCell ref="BM165:BM166"/>
    <mergeCell ref="BN165:BN166"/>
    <mergeCell ref="BO165:BO166"/>
    <mergeCell ref="BP165:BP166"/>
    <mergeCell ref="BQ165:BQ166"/>
    <mergeCell ref="BR165:BR166"/>
    <mergeCell ref="BS165:BS166"/>
    <mergeCell ref="BT165:BT166"/>
    <mergeCell ref="BU165:BU166"/>
    <mergeCell ref="BV165:BV166"/>
    <mergeCell ref="BW165:BZ166"/>
    <mergeCell ref="BA174:BZ174"/>
    <mergeCell ref="BA175:BZ175"/>
    <mergeCell ref="BA176:BZ176"/>
    <mergeCell ref="BA177:BZ177"/>
    <mergeCell ref="BA178:BZ178"/>
    <mergeCell ref="BA179:BZ179"/>
    <mergeCell ref="BA180:BZ181"/>
    <mergeCell ref="BA186:BI186"/>
    <mergeCell ref="BJ186:BZ186"/>
    <mergeCell ref="BW167:BZ167"/>
    <mergeCell ref="BA170:BZ170"/>
    <mergeCell ref="BA171:BZ171"/>
    <mergeCell ref="BA172:BZ172"/>
    <mergeCell ref="BA173:BZ173"/>
    <mergeCell ref="BW168:BZ169"/>
    <mergeCell ref="BA187:BI188"/>
    <mergeCell ref="BJ187:BL188"/>
    <mergeCell ref="BM187:BO188"/>
    <mergeCell ref="BP187:BU188"/>
    <mergeCell ref="BV187:BV188"/>
    <mergeCell ref="BW187:BZ188"/>
    <mergeCell ref="BJ189:BJ190"/>
    <mergeCell ref="BK189:BK190"/>
    <mergeCell ref="BL189:BL190"/>
    <mergeCell ref="BM189:BM190"/>
    <mergeCell ref="BN189:BN190"/>
    <mergeCell ref="BO189:BO190"/>
    <mergeCell ref="BP189:BP190"/>
    <mergeCell ref="BQ189:BQ190"/>
    <mergeCell ref="BR189:BR190"/>
    <mergeCell ref="BS189:BS190"/>
    <mergeCell ref="BT189:BT190"/>
    <mergeCell ref="BU189:BU190"/>
    <mergeCell ref="BV189:BV190"/>
    <mergeCell ref="BW189:BZ190"/>
    <mergeCell ref="BA189:BE190"/>
    <mergeCell ref="BF189:BI190"/>
    <mergeCell ref="BA198:BZ198"/>
    <mergeCell ref="BA199:BZ199"/>
    <mergeCell ref="BA200:BZ200"/>
    <mergeCell ref="BA201:BZ201"/>
    <mergeCell ref="BA202:BZ202"/>
    <mergeCell ref="BA203:BZ203"/>
    <mergeCell ref="BA204:BZ205"/>
    <mergeCell ref="BA208:BI208"/>
    <mergeCell ref="BJ208:BZ208"/>
    <mergeCell ref="BW191:BZ191"/>
    <mergeCell ref="BA194:BZ194"/>
    <mergeCell ref="BA195:BZ195"/>
    <mergeCell ref="BA196:BZ196"/>
    <mergeCell ref="BA197:BZ197"/>
    <mergeCell ref="BW192:BZ193"/>
    <mergeCell ref="BA191:BE191"/>
    <mergeCell ref="BF191:BI191"/>
    <mergeCell ref="BA209:BI210"/>
    <mergeCell ref="BJ209:BL210"/>
    <mergeCell ref="BM209:BO210"/>
    <mergeCell ref="BP209:BU210"/>
    <mergeCell ref="BV209:BV210"/>
    <mergeCell ref="BW209:BZ210"/>
    <mergeCell ref="BJ211:BJ212"/>
    <mergeCell ref="BK211:BK212"/>
    <mergeCell ref="BL211:BL212"/>
    <mergeCell ref="BM211:BM212"/>
    <mergeCell ref="BN211:BN212"/>
    <mergeCell ref="BO211:BO212"/>
    <mergeCell ref="BP211:BP212"/>
    <mergeCell ref="BQ211:BQ212"/>
    <mergeCell ref="BR211:BR212"/>
    <mergeCell ref="BS211:BS212"/>
    <mergeCell ref="BT211:BT212"/>
    <mergeCell ref="BU211:BU212"/>
    <mergeCell ref="BV211:BV212"/>
    <mergeCell ref="BW211:BZ212"/>
    <mergeCell ref="BA211:BE212"/>
    <mergeCell ref="BF211:BI212"/>
    <mergeCell ref="P235:P236"/>
    <mergeCell ref="Q235:Q236"/>
    <mergeCell ref="R235:R236"/>
    <mergeCell ref="S235:S236"/>
    <mergeCell ref="T235:T236"/>
    <mergeCell ref="U235:U236"/>
    <mergeCell ref="V235:V236"/>
    <mergeCell ref="W235:Z236"/>
    <mergeCell ref="BA220:BZ220"/>
    <mergeCell ref="BA221:BZ221"/>
    <mergeCell ref="BA222:BZ222"/>
    <mergeCell ref="BA223:BZ223"/>
    <mergeCell ref="BA224:BZ224"/>
    <mergeCell ref="BA225:BZ225"/>
    <mergeCell ref="BA226:BZ227"/>
    <mergeCell ref="BW213:BZ213"/>
    <mergeCell ref="AA220:AZ220"/>
    <mergeCell ref="AA221:AZ221"/>
    <mergeCell ref="AA222:AZ222"/>
    <mergeCell ref="AA223:AZ223"/>
    <mergeCell ref="AA224:AZ224"/>
    <mergeCell ref="AA225:AZ225"/>
    <mergeCell ref="AA226:AZ227"/>
    <mergeCell ref="AA216:AZ216"/>
    <mergeCell ref="AA217:AZ217"/>
    <mergeCell ref="AA218:AZ218"/>
    <mergeCell ref="W237:Z237"/>
    <mergeCell ref="A240:Z240"/>
    <mergeCell ref="A241:Z241"/>
    <mergeCell ref="A242:Z242"/>
    <mergeCell ref="A243:Z243"/>
    <mergeCell ref="A244:Z244"/>
    <mergeCell ref="A245:Z245"/>
    <mergeCell ref="AJ232:AZ232"/>
    <mergeCell ref="AA233:AI234"/>
    <mergeCell ref="AJ233:AL234"/>
    <mergeCell ref="AM233:AO234"/>
    <mergeCell ref="AP233:AU234"/>
    <mergeCell ref="AV233:AV234"/>
    <mergeCell ref="AW233:AZ234"/>
    <mergeCell ref="AJ235:AJ236"/>
    <mergeCell ref="AK235:AK236"/>
    <mergeCell ref="AL235:AL236"/>
    <mergeCell ref="AM235:AM236"/>
    <mergeCell ref="AN235:AN236"/>
    <mergeCell ref="AO235:AO236"/>
    <mergeCell ref="AP235:AP236"/>
    <mergeCell ref="AQ235:AQ236"/>
    <mergeCell ref="A246:Z246"/>
    <mergeCell ref="A247:Z247"/>
    <mergeCell ref="A248:Z248"/>
    <mergeCell ref="A249:Z249"/>
    <mergeCell ref="A250:Z251"/>
    <mergeCell ref="A254:I254"/>
    <mergeCell ref="J254:Z254"/>
    <mergeCell ref="A232:I232"/>
    <mergeCell ref="J232:Z232"/>
    <mergeCell ref="A233:I234"/>
    <mergeCell ref="J233:L234"/>
    <mergeCell ref="M233:O234"/>
    <mergeCell ref="P233:U234"/>
    <mergeCell ref="V233:V234"/>
    <mergeCell ref="W233:Z234"/>
    <mergeCell ref="J235:J236"/>
    <mergeCell ref="K235:K236"/>
    <mergeCell ref="L235:L236"/>
    <mergeCell ref="M235:M236"/>
    <mergeCell ref="N235:N236"/>
    <mergeCell ref="O235:O236"/>
    <mergeCell ref="A238:V238"/>
    <mergeCell ref="W238:Z239"/>
    <mergeCell ref="A255:I256"/>
    <mergeCell ref="J255:L256"/>
    <mergeCell ref="M255:O256"/>
    <mergeCell ref="P255:U256"/>
    <mergeCell ref="V255:V256"/>
    <mergeCell ref="W255:Z256"/>
    <mergeCell ref="J257:J258"/>
    <mergeCell ref="K257:K258"/>
    <mergeCell ref="L257:L258"/>
    <mergeCell ref="M257:M258"/>
    <mergeCell ref="N257:N258"/>
    <mergeCell ref="O257:O258"/>
    <mergeCell ref="P257:P258"/>
    <mergeCell ref="Q257:Q258"/>
    <mergeCell ref="R257:R258"/>
    <mergeCell ref="S257:S258"/>
    <mergeCell ref="T257:T258"/>
    <mergeCell ref="U257:U258"/>
    <mergeCell ref="V257:V258"/>
    <mergeCell ref="W257:Z258"/>
    <mergeCell ref="W259:Z259"/>
    <mergeCell ref="A262:Z262"/>
    <mergeCell ref="A263:Z263"/>
    <mergeCell ref="A264:Z264"/>
    <mergeCell ref="A265:Z265"/>
    <mergeCell ref="A266:Z266"/>
    <mergeCell ref="A267:Z267"/>
    <mergeCell ref="A268:Z268"/>
    <mergeCell ref="A269:Z269"/>
    <mergeCell ref="A270:Z270"/>
    <mergeCell ref="A271:Z271"/>
    <mergeCell ref="A272:Z273"/>
    <mergeCell ref="A278:I278"/>
    <mergeCell ref="J278:Z278"/>
    <mergeCell ref="A274:Z275"/>
    <mergeCell ref="AA266:AZ266"/>
    <mergeCell ref="AA267:AZ267"/>
    <mergeCell ref="AA268:AZ268"/>
    <mergeCell ref="AA269:AZ269"/>
    <mergeCell ref="AA270:AZ270"/>
    <mergeCell ref="AA263:AZ263"/>
    <mergeCell ref="AA264:AZ264"/>
    <mergeCell ref="AA265:AZ265"/>
    <mergeCell ref="A260:V260"/>
    <mergeCell ref="W260:Z261"/>
    <mergeCell ref="W283:Z283"/>
    <mergeCell ref="A286:Z286"/>
    <mergeCell ref="A287:Z287"/>
    <mergeCell ref="A288:Z288"/>
    <mergeCell ref="A289:Z289"/>
    <mergeCell ref="A290:Z290"/>
    <mergeCell ref="A279:I280"/>
    <mergeCell ref="J279:L280"/>
    <mergeCell ref="M279:O280"/>
    <mergeCell ref="P279:U280"/>
    <mergeCell ref="V279:V280"/>
    <mergeCell ref="W279:Z280"/>
    <mergeCell ref="J281:J282"/>
    <mergeCell ref="K281:K282"/>
    <mergeCell ref="L281:L282"/>
    <mergeCell ref="M281:M282"/>
    <mergeCell ref="N281:N282"/>
    <mergeCell ref="O281:O282"/>
    <mergeCell ref="P281:P282"/>
    <mergeCell ref="Q281:Q282"/>
    <mergeCell ref="R281:R282"/>
    <mergeCell ref="S281:S282"/>
    <mergeCell ref="T281:T282"/>
    <mergeCell ref="A284:V284"/>
    <mergeCell ref="W284:Z285"/>
    <mergeCell ref="W281:Z282"/>
    <mergeCell ref="AA232:AI232"/>
    <mergeCell ref="AA235:AE236"/>
    <mergeCell ref="AF235:AI236"/>
    <mergeCell ref="AW259:AZ259"/>
    <mergeCell ref="AW237:AZ237"/>
    <mergeCell ref="AA240:AZ240"/>
    <mergeCell ref="AA241:AZ241"/>
    <mergeCell ref="AA242:AZ242"/>
    <mergeCell ref="AA243:AZ243"/>
    <mergeCell ref="AA244:AZ244"/>
    <mergeCell ref="AA245:AZ245"/>
    <mergeCell ref="AA246:AZ246"/>
    <mergeCell ref="AA247:AZ247"/>
    <mergeCell ref="AA248:AZ248"/>
    <mergeCell ref="AA249:AZ249"/>
    <mergeCell ref="AA250:AZ251"/>
    <mergeCell ref="AA254:AI254"/>
    <mergeCell ref="AJ254:AZ254"/>
    <mergeCell ref="AA255:AI256"/>
    <mergeCell ref="AJ255:AL256"/>
    <mergeCell ref="AM255:AO256"/>
    <mergeCell ref="AP255:AU256"/>
    <mergeCell ref="AV255:AV256"/>
    <mergeCell ref="AW255:AZ256"/>
    <mergeCell ref="AA238:AV238"/>
    <mergeCell ref="AW238:AZ239"/>
    <mergeCell ref="AW281:AZ282"/>
    <mergeCell ref="AJ257:AJ258"/>
    <mergeCell ref="AK257:AK258"/>
    <mergeCell ref="AL257:AL258"/>
    <mergeCell ref="AM257:AM258"/>
    <mergeCell ref="AN257:AN258"/>
    <mergeCell ref="AO257:AO258"/>
    <mergeCell ref="AP257:AP258"/>
    <mergeCell ref="AQ257:AQ258"/>
    <mergeCell ref="AR257:AR258"/>
    <mergeCell ref="AS257:AS258"/>
    <mergeCell ref="AT257:AT258"/>
    <mergeCell ref="AU257:AU258"/>
    <mergeCell ref="AV257:AV258"/>
    <mergeCell ref="AW257:AZ258"/>
    <mergeCell ref="AA262:AZ262"/>
    <mergeCell ref="AR235:AR236"/>
    <mergeCell ref="AS235:AS236"/>
    <mergeCell ref="AT235:AT236"/>
    <mergeCell ref="AU235:AU236"/>
    <mergeCell ref="AV235:AV236"/>
    <mergeCell ref="AW235:AZ236"/>
    <mergeCell ref="AA260:AV260"/>
    <mergeCell ref="AW260:AZ261"/>
    <mergeCell ref="AA271:AZ271"/>
    <mergeCell ref="AA272:AZ273"/>
    <mergeCell ref="AA278:AI278"/>
    <mergeCell ref="AJ278:AZ278"/>
    <mergeCell ref="AA279:AI280"/>
    <mergeCell ref="AJ279:AL280"/>
    <mergeCell ref="AM279:AO280"/>
    <mergeCell ref="AP279:AU280"/>
    <mergeCell ref="AW283:AZ283"/>
    <mergeCell ref="AA286:AZ286"/>
    <mergeCell ref="AA287:AZ287"/>
    <mergeCell ref="AA288:AZ288"/>
    <mergeCell ref="AA289:AZ289"/>
    <mergeCell ref="AA290:AZ290"/>
    <mergeCell ref="AA291:AZ291"/>
    <mergeCell ref="AA292:AZ292"/>
    <mergeCell ref="AA293:AZ293"/>
    <mergeCell ref="AA294:AZ294"/>
    <mergeCell ref="AA295:AZ295"/>
    <mergeCell ref="AA296:AZ297"/>
    <mergeCell ref="AA300:AI300"/>
    <mergeCell ref="AJ300:AZ300"/>
    <mergeCell ref="AA284:AV284"/>
    <mergeCell ref="AW284:AZ285"/>
    <mergeCell ref="AA237:AE237"/>
    <mergeCell ref="AF237:AI237"/>
    <mergeCell ref="AA257:AE258"/>
    <mergeCell ref="AJ281:AJ282"/>
    <mergeCell ref="AK281:AK282"/>
    <mergeCell ref="AL281:AL282"/>
    <mergeCell ref="AM281:AM282"/>
    <mergeCell ref="AN281:AN282"/>
    <mergeCell ref="AO281:AO282"/>
    <mergeCell ref="AP281:AP282"/>
    <mergeCell ref="AQ281:AQ282"/>
    <mergeCell ref="AR281:AR282"/>
    <mergeCell ref="AS281:AS282"/>
    <mergeCell ref="AT281:AT282"/>
    <mergeCell ref="AU281:AU282"/>
    <mergeCell ref="AV281:AV282"/>
    <mergeCell ref="AA308:AZ308"/>
    <mergeCell ref="AA309:AZ309"/>
    <mergeCell ref="AA310:AZ310"/>
    <mergeCell ref="AA311:AZ311"/>
    <mergeCell ref="AA312:AZ312"/>
    <mergeCell ref="AA313:AZ313"/>
    <mergeCell ref="AA314:AZ314"/>
    <mergeCell ref="AA315:AZ315"/>
    <mergeCell ref="AA316:AZ316"/>
    <mergeCell ref="AA317:AZ317"/>
    <mergeCell ref="AA318:AZ319"/>
    <mergeCell ref="AA301:AI302"/>
    <mergeCell ref="AJ301:AL302"/>
    <mergeCell ref="AM301:AO302"/>
    <mergeCell ref="AP301:AU302"/>
    <mergeCell ref="AV301:AV302"/>
    <mergeCell ref="AW301:AZ302"/>
    <mergeCell ref="AJ303:AJ304"/>
    <mergeCell ref="AK303:AK304"/>
    <mergeCell ref="AL303:AL304"/>
    <mergeCell ref="AM303:AM304"/>
    <mergeCell ref="AN303:AN304"/>
    <mergeCell ref="AO303:AO304"/>
    <mergeCell ref="AP303:AP304"/>
    <mergeCell ref="AQ303:AQ304"/>
    <mergeCell ref="AR303:AR304"/>
    <mergeCell ref="AS303:AS304"/>
    <mergeCell ref="AT303:AT304"/>
    <mergeCell ref="AU303:AU304"/>
    <mergeCell ref="AV303:AV304"/>
    <mergeCell ref="AW303:AZ304"/>
    <mergeCell ref="AW305:AZ305"/>
    <mergeCell ref="A301:I302"/>
    <mergeCell ref="J301:L302"/>
    <mergeCell ref="M301:O302"/>
    <mergeCell ref="P301:U302"/>
    <mergeCell ref="V301:V302"/>
    <mergeCell ref="W301:Z302"/>
    <mergeCell ref="J303:J304"/>
    <mergeCell ref="K303:K304"/>
    <mergeCell ref="L303:L304"/>
    <mergeCell ref="M303:M304"/>
    <mergeCell ref="N303:N304"/>
    <mergeCell ref="O303:O304"/>
    <mergeCell ref="P303:P304"/>
    <mergeCell ref="Q303:Q304"/>
    <mergeCell ref="R303:R304"/>
    <mergeCell ref="S303:S304"/>
    <mergeCell ref="T303:T304"/>
    <mergeCell ref="U303:U304"/>
    <mergeCell ref="V303:V304"/>
    <mergeCell ref="W303:Z304"/>
    <mergeCell ref="BA254:BI254"/>
    <mergeCell ref="BJ254:BZ254"/>
    <mergeCell ref="BA232:BI232"/>
    <mergeCell ref="BJ232:BZ232"/>
    <mergeCell ref="BA233:BI234"/>
    <mergeCell ref="BJ233:BL234"/>
    <mergeCell ref="BM233:BO234"/>
    <mergeCell ref="BP233:BU234"/>
    <mergeCell ref="BV233:BV234"/>
    <mergeCell ref="BW233:BZ234"/>
    <mergeCell ref="BJ235:BJ236"/>
    <mergeCell ref="BK235:BK236"/>
    <mergeCell ref="BL235:BL236"/>
    <mergeCell ref="BM235:BM236"/>
    <mergeCell ref="BN235:BN236"/>
    <mergeCell ref="BO235:BO236"/>
    <mergeCell ref="BP235:BP236"/>
    <mergeCell ref="BQ235:BQ236"/>
    <mergeCell ref="BV255:BV256"/>
    <mergeCell ref="BW255:BZ256"/>
    <mergeCell ref="BJ257:BJ258"/>
    <mergeCell ref="BK257:BK258"/>
    <mergeCell ref="BL257:BL258"/>
    <mergeCell ref="BM257:BM258"/>
    <mergeCell ref="BN257:BN258"/>
    <mergeCell ref="BO257:BO258"/>
    <mergeCell ref="BP257:BP258"/>
    <mergeCell ref="BQ257:BQ258"/>
    <mergeCell ref="BR257:BR258"/>
    <mergeCell ref="BS257:BS258"/>
    <mergeCell ref="BT257:BT258"/>
    <mergeCell ref="BU257:BU258"/>
    <mergeCell ref="BV257:BV258"/>
    <mergeCell ref="BW257:BZ258"/>
    <mergeCell ref="BV281:BV282"/>
    <mergeCell ref="BW281:BZ282"/>
    <mergeCell ref="BW259:BZ259"/>
    <mergeCell ref="BA262:BZ262"/>
    <mergeCell ref="BA263:BZ263"/>
    <mergeCell ref="BA264:BZ264"/>
    <mergeCell ref="BA279:BI280"/>
    <mergeCell ref="BJ279:BL280"/>
    <mergeCell ref="BM279:BO280"/>
    <mergeCell ref="BP279:BU280"/>
    <mergeCell ref="BP301:BU302"/>
    <mergeCell ref="BT281:BT282"/>
    <mergeCell ref="BU281:BU282"/>
    <mergeCell ref="BW283:BZ283"/>
    <mergeCell ref="BA286:BZ286"/>
    <mergeCell ref="BA287:BZ287"/>
    <mergeCell ref="BA288:BZ288"/>
    <mergeCell ref="BA289:BZ289"/>
    <mergeCell ref="BA290:BZ290"/>
    <mergeCell ref="BA291:BZ291"/>
    <mergeCell ref="BA292:BZ292"/>
    <mergeCell ref="BA293:BZ293"/>
    <mergeCell ref="BA294:BZ294"/>
    <mergeCell ref="BA295:BZ295"/>
    <mergeCell ref="BA296:BZ297"/>
    <mergeCell ref="BA300:BI300"/>
    <mergeCell ref="BJ300:BZ300"/>
    <mergeCell ref="BN281:BN282"/>
    <mergeCell ref="BO281:BO282"/>
    <mergeCell ref="BP281:BP282"/>
    <mergeCell ref="BQ281:BQ282"/>
    <mergeCell ref="BR281:BR282"/>
    <mergeCell ref="BS281:BS282"/>
    <mergeCell ref="BW301:BZ302"/>
    <mergeCell ref="AV279:AV280"/>
    <mergeCell ref="AW279:AZ280"/>
    <mergeCell ref="BA265:BZ265"/>
    <mergeCell ref="BA266:BZ266"/>
    <mergeCell ref="BA267:BZ267"/>
    <mergeCell ref="BA268:BZ268"/>
    <mergeCell ref="BA269:BZ269"/>
    <mergeCell ref="BA270:BZ270"/>
    <mergeCell ref="BA271:BZ271"/>
    <mergeCell ref="BA272:BZ273"/>
    <mergeCell ref="A300:I300"/>
    <mergeCell ref="J300:Z300"/>
    <mergeCell ref="W329:Z329"/>
    <mergeCell ref="BA278:BI278"/>
    <mergeCell ref="BJ278:BZ278"/>
    <mergeCell ref="BA247:BZ247"/>
    <mergeCell ref="BA248:BZ248"/>
    <mergeCell ref="BA249:BZ249"/>
    <mergeCell ref="BA250:BZ251"/>
    <mergeCell ref="A310:Z310"/>
    <mergeCell ref="A311:Z311"/>
    <mergeCell ref="A312:Z312"/>
    <mergeCell ref="A313:Z313"/>
    <mergeCell ref="A314:Z314"/>
    <mergeCell ref="A315:Z315"/>
    <mergeCell ref="A316:Z316"/>
    <mergeCell ref="A317:Z317"/>
    <mergeCell ref="A291:Z291"/>
    <mergeCell ref="A292:Z292"/>
    <mergeCell ref="A293:Z293"/>
    <mergeCell ref="A294:Z294"/>
    <mergeCell ref="A295:Z295"/>
    <mergeCell ref="A296:Z297"/>
    <mergeCell ref="U281:U282"/>
    <mergeCell ref="V281:V282"/>
    <mergeCell ref="BV301:BV302"/>
    <mergeCell ref="BV279:BV280"/>
    <mergeCell ref="BW279:BZ280"/>
    <mergeCell ref="BJ281:BJ282"/>
    <mergeCell ref="BK281:BK282"/>
    <mergeCell ref="BL281:BL282"/>
    <mergeCell ref="BM281:BM282"/>
    <mergeCell ref="A347:I348"/>
    <mergeCell ref="J347:L348"/>
    <mergeCell ref="M347:O348"/>
    <mergeCell ref="P347:U348"/>
    <mergeCell ref="V347:V348"/>
    <mergeCell ref="W347:Z348"/>
    <mergeCell ref="J327:J328"/>
    <mergeCell ref="K327:K328"/>
    <mergeCell ref="L327:L328"/>
    <mergeCell ref="M327:M328"/>
    <mergeCell ref="N327:N328"/>
    <mergeCell ref="O327:O328"/>
    <mergeCell ref="P327:P328"/>
    <mergeCell ref="Q327:Q328"/>
    <mergeCell ref="R327:R328"/>
    <mergeCell ref="S327:S328"/>
    <mergeCell ref="T327:T328"/>
    <mergeCell ref="U327:U328"/>
    <mergeCell ref="V327:V328"/>
    <mergeCell ref="W327:Z328"/>
    <mergeCell ref="AA336:AZ336"/>
    <mergeCell ref="AA337:AZ337"/>
    <mergeCell ref="AW2:AZ2"/>
    <mergeCell ref="AQ2:AV2"/>
    <mergeCell ref="AA33:AV33"/>
    <mergeCell ref="AW33:AZ34"/>
    <mergeCell ref="AA54:AV54"/>
    <mergeCell ref="AW54:AZ55"/>
    <mergeCell ref="AA76:AV76"/>
    <mergeCell ref="AW76:AZ77"/>
    <mergeCell ref="AA146:AV146"/>
    <mergeCell ref="AW146:AZ147"/>
    <mergeCell ref="AA168:AV168"/>
    <mergeCell ref="AW168:AZ169"/>
    <mergeCell ref="AA192:AV192"/>
    <mergeCell ref="J349:J350"/>
    <mergeCell ref="K349:K350"/>
    <mergeCell ref="L349:L350"/>
    <mergeCell ref="M349:M350"/>
    <mergeCell ref="N349:N350"/>
    <mergeCell ref="O349:O350"/>
    <mergeCell ref="P349:P350"/>
    <mergeCell ref="Q349:Q350"/>
    <mergeCell ref="R349:R350"/>
    <mergeCell ref="S349:S350"/>
    <mergeCell ref="T349:T350"/>
    <mergeCell ref="U349:U350"/>
    <mergeCell ref="V349:V350"/>
    <mergeCell ref="W349:Z350"/>
    <mergeCell ref="A330:V330"/>
    <mergeCell ref="AA306:AV306"/>
    <mergeCell ref="AW306:AZ307"/>
    <mergeCell ref="AA324:AI324"/>
    <mergeCell ref="AJ324:AZ324"/>
    <mergeCell ref="AA338:AZ338"/>
    <mergeCell ref="AA339:AZ339"/>
    <mergeCell ref="AA340:AZ340"/>
    <mergeCell ref="AA341:AZ341"/>
    <mergeCell ref="AA342:AZ343"/>
    <mergeCell ref="AA346:AI346"/>
    <mergeCell ref="AJ346:AZ346"/>
    <mergeCell ref="AP347:AU348"/>
    <mergeCell ref="AV347:AV348"/>
    <mergeCell ref="AW347:AZ348"/>
    <mergeCell ref="AJ325:AL326"/>
    <mergeCell ref="AM325:AO326"/>
    <mergeCell ref="AP325:AU326"/>
    <mergeCell ref="AV325:AV326"/>
    <mergeCell ref="AW325:AZ326"/>
    <mergeCell ref="AJ327:AJ328"/>
    <mergeCell ref="AK327:AK328"/>
    <mergeCell ref="AL327:AL328"/>
    <mergeCell ref="AM327:AM328"/>
    <mergeCell ref="AN327:AN328"/>
    <mergeCell ref="AO327:AO328"/>
    <mergeCell ref="AP327:AP328"/>
    <mergeCell ref="AQ327:AQ328"/>
    <mergeCell ref="AR327:AR328"/>
    <mergeCell ref="AS327:AS328"/>
    <mergeCell ref="AT327:AT328"/>
    <mergeCell ref="AU327:AU328"/>
    <mergeCell ref="AV327:AV328"/>
    <mergeCell ref="AW327:AZ328"/>
    <mergeCell ref="AJ349:AJ350"/>
    <mergeCell ref="AK349:AK350"/>
    <mergeCell ref="AL349:AL350"/>
    <mergeCell ref="AM349:AM350"/>
    <mergeCell ref="AN349:AN350"/>
    <mergeCell ref="AO349:AO350"/>
    <mergeCell ref="AP349:AP350"/>
    <mergeCell ref="AQ349:AQ350"/>
    <mergeCell ref="AR349:AR350"/>
    <mergeCell ref="AS349:AS350"/>
    <mergeCell ref="AT349:AT350"/>
    <mergeCell ref="AU349:AU350"/>
    <mergeCell ref="AV349:AV350"/>
    <mergeCell ref="AW349:AZ350"/>
    <mergeCell ref="AW351:AZ351"/>
    <mergeCell ref="AA352:AV352"/>
    <mergeCell ref="AW352:AZ353"/>
    <mergeCell ref="BK327:BK328"/>
    <mergeCell ref="BL327:BL328"/>
    <mergeCell ref="BM327:BM328"/>
    <mergeCell ref="BN327:BN328"/>
    <mergeCell ref="AA347:AI348"/>
    <mergeCell ref="AJ347:AL348"/>
    <mergeCell ref="AM347:AO348"/>
    <mergeCell ref="BW214:BZ215"/>
    <mergeCell ref="BA238:BV238"/>
    <mergeCell ref="BW238:BZ239"/>
    <mergeCell ref="BA260:BV260"/>
    <mergeCell ref="BW260:BZ261"/>
    <mergeCell ref="BA284:BV284"/>
    <mergeCell ref="BW284:BZ285"/>
    <mergeCell ref="BA306:BV306"/>
    <mergeCell ref="BW306:BZ307"/>
    <mergeCell ref="BA324:BI324"/>
    <mergeCell ref="BJ324:BZ324"/>
    <mergeCell ref="BA325:BI326"/>
    <mergeCell ref="BJ325:BL326"/>
    <mergeCell ref="BM325:BO326"/>
    <mergeCell ref="BP325:BU326"/>
    <mergeCell ref="BV325:BV326"/>
    <mergeCell ref="BW325:BZ326"/>
    <mergeCell ref="BW305:BZ305"/>
    <mergeCell ref="AW329:AZ329"/>
    <mergeCell ref="AA330:AV330"/>
    <mergeCell ref="AW330:AZ331"/>
    <mergeCell ref="AA332:AZ332"/>
    <mergeCell ref="AA333:AZ333"/>
    <mergeCell ref="AA334:AZ334"/>
    <mergeCell ref="AA335:AZ335"/>
    <mergeCell ref="BJ303:BJ304"/>
    <mergeCell ref="BK303:BK304"/>
    <mergeCell ref="BL303:BL304"/>
    <mergeCell ref="BM303:BM304"/>
    <mergeCell ref="BN303:BN304"/>
    <mergeCell ref="BO303:BO304"/>
    <mergeCell ref="BP303:BP304"/>
    <mergeCell ref="BQ303:BQ304"/>
    <mergeCell ref="BR303:BR304"/>
    <mergeCell ref="BS303:BS304"/>
    <mergeCell ref="BT303:BT304"/>
    <mergeCell ref="BU303:BU304"/>
    <mergeCell ref="BV303:BV304"/>
    <mergeCell ref="BW303:BZ304"/>
    <mergeCell ref="BA54:BV54"/>
    <mergeCell ref="BA76:BV76"/>
    <mergeCell ref="BA146:BV146"/>
    <mergeCell ref="BA168:BV168"/>
    <mergeCell ref="BA192:BV192"/>
    <mergeCell ref="BA214:BV214"/>
    <mergeCell ref="BA255:BI256"/>
    <mergeCell ref="BJ255:BL256"/>
    <mergeCell ref="BM255:BO256"/>
    <mergeCell ref="BP255:BU256"/>
    <mergeCell ref="BR235:BR236"/>
    <mergeCell ref="BS235:BS236"/>
    <mergeCell ref="BT235:BT236"/>
    <mergeCell ref="BU235:BU236"/>
    <mergeCell ref="BA301:BI302"/>
    <mergeCell ref="BJ301:BL302"/>
    <mergeCell ref="BM301:BO302"/>
    <mergeCell ref="BW119:BZ120"/>
    <mergeCell ref="BA327:BE328"/>
    <mergeCell ref="BF327:BI328"/>
    <mergeCell ref="BA329:BE329"/>
    <mergeCell ref="BF329:BI329"/>
    <mergeCell ref="BA335:BZ335"/>
    <mergeCell ref="BA336:BZ336"/>
    <mergeCell ref="BA337:BZ337"/>
    <mergeCell ref="BA338:BZ338"/>
    <mergeCell ref="BA339:BZ339"/>
    <mergeCell ref="BA340:BZ340"/>
    <mergeCell ref="BA341:BZ341"/>
    <mergeCell ref="BA308:BZ308"/>
    <mergeCell ref="BA309:BZ309"/>
    <mergeCell ref="BA310:BZ310"/>
    <mergeCell ref="BA311:BZ311"/>
    <mergeCell ref="BA312:BZ312"/>
    <mergeCell ref="BA313:BZ313"/>
    <mergeCell ref="BA314:BZ314"/>
    <mergeCell ref="BA315:BZ315"/>
    <mergeCell ref="BA316:BZ316"/>
    <mergeCell ref="BA317:BZ317"/>
    <mergeCell ref="BA318:BZ319"/>
    <mergeCell ref="BO327:BO328"/>
    <mergeCell ref="BP327:BP328"/>
    <mergeCell ref="BQ327:BQ328"/>
    <mergeCell ref="BR327:BR328"/>
    <mergeCell ref="BS327:BS328"/>
    <mergeCell ref="BT327:BT328"/>
    <mergeCell ref="BU327:BU328"/>
    <mergeCell ref="BV327:BV328"/>
    <mergeCell ref="BW327:BZ328"/>
    <mergeCell ref="BJ327:BJ328"/>
    <mergeCell ref="BL349:BL350"/>
    <mergeCell ref="BM349:BM350"/>
    <mergeCell ref="BN349:BN350"/>
    <mergeCell ref="BO349:BO350"/>
    <mergeCell ref="BP349:BP350"/>
    <mergeCell ref="BQ349:BQ350"/>
    <mergeCell ref="BR349:BR350"/>
    <mergeCell ref="BS349:BS350"/>
    <mergeCell ref="BT349:BT350"/>
    <mergeCell ref="BU349:BU350"/>
    <mergeCell ref="BV349:BV350"/>
    <mergeCell ref="BW349:BZ350"/>
    <mergeCell ref="BA349:BE350"/>
    <mergeCell ref="BF349:BI350"/>
    <mergeCell ref="BW329:BZ329"/>
    <mergeCell ref="BA330:BV330"/>
    <mergeCell ref="BW330:BZ331"/>
    <mergeCell ref="BA332:BZ332"/>
    <mergeCell ref="BA333:BZ333"/>
    <mergeCell ref="BA334:BZ334"/>
    <mergeCell ref="BA364:BZ365"/>
    <mergeCell ref="CA27:CI27"/>
    <mergeCell ref="CA54:CV54"/>
    <mergeCell ref="CJ73:CJ74"/>
    <mergeCell ref="CK73:CK74"/>
    <mergeCell ref="CL73:CL74"/>
    <mergeCell ref="CM73:CM74"/>
    <mergeCell ref="CN73:CN74"/>
    <mergeCell ref="CO73:CO74"/>
    <mergeCell ref="CP73:CP74"/>
    <mergeCell ref="CQ73:CQ74"/>
    <mergeCell ref="CJ27:CZ27"/>
    <mergeCell ref="CA28:CI29"/>
    <mergeCell ref="CJ28:CL29"/>
    <mergeCell ref="CM28:CO29"/>
    <mergeCell ref="CP28:CU29"/>
    <mergeCell ref="CV28:CV29"/>
    <mergeCell ref="CW28:CZ29"/>
    <mergeCell ref="CJ30:CJ31"/>
    <mergeCell ref="BA342:BZ343"/>
    <mergeCell ref="BA346:BI346"/>
    <mergeCell ref="BJ346:BZ346"/>
    <mergeCell ref="CK30:CK31"/>
    <mergeCell ref="CL30:CL31"/>
    <mergeCell ref="BA347:BI348"/>
    <mergeCell ref="BJ347:BL348"/>
    <mergeCell ref="BM347:BO348"/>
    <mergeCell ref="BP347:BU348"/>
    <mergeCell ref="BV347:BV348"/>
    <mergeCell ref="BW347:BZ348"/>
    <mergeCell ref="BJ349:BJ350"/>
    <mergeCell ref="BK349:BK350"/>
    <mergeCell ref="CM30:CM31"/>
    <mergeCell ref="CN30:CN31"/>
    <mergeCell ref="CO30:CO31"/>
    <mergeCell ref="CP30:CP31"/>
    <mergeCell ref="CQ30:CQ31"/>
    <mergeCell ref="CR30:CR31"/>
    <mergeCell ref="CS30:CS31"/>
    <mergeCell ref="CT30:CT31"/>
    <mergeCell ref="CU30:CU31"/>
    <mergeCell ref="CV30:CV31"/>
    <mergeCell ref="CW30:CZ31"/>
    <mergeCell ref="CW32:CZ32"/>
    <mergeCell ref="CA33:CV33"/>
    <mergeCell ref="CW33:CZ34"/>
    <mergeCell ref="CA35:CZ35"/>
    <mergeCell ref="CA36:CZ36"/>
    <mergeCell ref="CA37:CZ37"/>
    <mergeCell ref="CA38:CZ38"/>
    <mergeCell ref="CA39:CZ39"/>
    <mergeCell ref="CA40:CZ40"/>
    <mergeCell ref="CA41:CZ41"/>
    <mergeCell ref="CA42:CZ42"/>
    <mergeCell ref="CA43:CZ43"/>
    <mergeCell ref="CA44:CZ44"/>
    <mergeCell ref="CA45:CZ46"/>
    <mergeCell ref="CA48:CI48"/>
    <mergeCell ref="CJ48:CZ48"/>
    <mergeCell ref="CA49:CI50"/>
    <mergeCell ref="CJ49:CL50"/>
    <mergeCell ref="CM49:CO50"/>
    <mergeCell ref="CP49:CU50"/>
    <mergeCell ref="CV49:CV50"/>
    <mergeCell ref="CW49:CZ50"/>
    <mergeCell ref="CJ51:CJ52"/>
    <mergeCell ref="CK51:CK52"/>
    <mergeCell ref="CL51:CL52"/>
    <mergeCell ref="CM51:CM52"/>
    <mergeCell ref="CN51:CN52"/>
    <mergeCell ref="CO51:CO52"/>
    <mergeCell ref="CP51:CP52"/>
    <mergeCell ref="CQ51:CQ52"/>
    <mergeCell ref="CR51:CR52"/>
    <mergeCell ref="CS51:CS52"/>
    <mergeCell ref="CT51:CT52"/>
    <mergeCell ref="CU51:CU52"/>
    <mergeCell ref="CV51:CV52"/>
    <mergeCell ref="CW51:CZ52"/>
    <mergeCell ref="CW53:CZ53"/>
    <mergeCell ref="CW54:CZ55"/>
    <mergeCell ref="CA56:CZ56"/>
    <mergeCell ref="CA80:CZ80"/>
    <mergeCell ref="CA81:CZ81"/>
    <mergeCell ref="CA82:CZ82"/>
    <mergeCell ref="CA83:CZ83"/>
    <mergeCell ref="CA102:CZ102"/>
    <mergeCell ref="CA103:CZ103"/>
    <mergeCell ref="CA57:CZ57"/>
    <mergeCell ref="CA58:CZ58"/>
    <mergeCell ref="CA59:CZ59"/>
    <mergeCell ref="CA60:CZ60"/>
    <mergeCell ref="CA61:CZ61"/>
    <mergeCell ref="CA62:CZ62"/>
    <mergeCell ref="CA63:CZ63"/>
    <mergeCell ref="CA64:CZ64"/>
    <mergeCell ref="CA65:CZ65"/>
    <mergeCell ref="CA66:CZ67"/>
    <mergeCell ref="CA70:CI70"/>
    <mergeCell ref="CJ70:CZ70"/>
    <mergeCell ref="CA71:CI72"/>
    <mergeCell ref="CJ71:CL72"/>
    <mergeCell ref="CM71:CO72"/>
    <mergeCell ref="CP71:CU72"/>
    <mergeCell ref="CV71:CV72"/>
    <mergeCell ref="CW71:CZ72"/>
    <mergeCell ref="CA104:CZ104"/>
    <mergeCell ref="CA105:CZ105"/>
    <mergeCell ref="CA106:CZ106"/>
    <mergeCell ref="CA107:CZ107"/>
    <mergeCell ref="CA108:CZ108"/>
    <mergeCell ref="CA109:CZ109"/>
    <mergeCell ref="CA110:CZ110"/>
    <mergeCell ref="CW99:CZ99"/>
    <mergeCell ref="CW100:CZ101"/>
    <mergeCell ref="CA84:CZ84"/>
    <mergeCell ref="CA85:CZ85"/>
    <mergeCell ref="CA86:CZ86"/>
    <mergeCell ref="CA87:CZ87"/>
    <mergeCell ref="CA88:CZ89"/>
    <mergeCell ref="CJ94:CZ94"/>
    <mergeCell ref="CJ95:CL96"/>
    <mergeCell ref="CM95:CO96"/>
    <mergeCell ref="CP95:CU96"/>
    <mergeCell ref="CV95:CV96"/>
    <mergeCell ref="CW95:CZ96"/>
    <mergeCell ref="CJ97:CJ98"/>
    <mergeCell ref="CK97:CK98"/>
    <mergeCell ref="CL97:CL98"/>
    <mergeCell ref="CM97:CM98"/>
    <mergeCell ref="CN97:CN98"/>
    <mergeCell ref="CO97:CO98"/>
    <mergeCell ref="CP97:CP98"/>
    <mergeCell ref="CQ97:CQ98"/>
    <mergeCell ref="CA124:CZ124"/>
    <mergeCell ref="CA125:CZ125"/>
    <mergeCell ref="CA126:CZ126"/>
    <mergeCell ref="CA127:CZ127"/>
    <mergeCell ref="CA128:CZ128"/>
    <mergeCell ref="CA129:CZ129"/>
    <mergeCell ref="CA130:CZ130"/>
    <mergeCell ref="CA131:CZ131"/>
    <mergeCell ref="CA132:CZ132"/>
    <mergeCell ref="CA140:CI140"/>
    <mergeCell ref="CJ140:CZ140"/>
    <mergeCell ref="CJ119:CJ120"/>
    <mergeCell ref="CK119:CK120"/>
    <mergeCell ref="CL119:CL120"/>
    <mergeCell ref="CM119:CM120"/>
    <mergeCell ref="CN119:CN120"/>
    <mergeCell ref="CO119:CO120"/>
    <mergeCell ref="CP119:CP120"/>
    <mergeCell ref="CQ119:CQ120"/>
    <mergeCell ref="CR119:CR120"/>
    <mergeCell ref="CS119:CS120"/>
    <mergeCell ref="CT119:CT120"/>
    <mergeCell ref="CU119:CU120"/>
    <mergeCell ref="CV119:CV120"/>
    <mergeCell ref="CW119:CZ120"/>
    <mergeCell ref="CA141:CI142"/>
    <mergeCell ref="CJ141:CL142"/>
    <mergeCell ref="CM141:CO142"/>
    <mergeCell ref="CP141:CU142"/>
    <mergeCell ref="CV141:CV142"/>
    <mergeCell ref="CW141:CZ142"/>
    <mergeCell ref="CJ143:CJ144"/>
    <mergeCell ref="CK143:CK144"/>
    <mergeCell ref="CL143:CL144"/>
    <mergeCell ref="CM143:CM144"/>
    <mergeCell ref="CN143:CN144"/>
    <mergeCell ref="CO143:CO144"/>
    <mergeCell ref="CP143:CP144"/>
    <mergeCell ref="CQ143:CQ144"/>
    <mergeCell ref="CR143:CR144"/>
    <mergeCell ref="CS143:CS144"/>
    <mergeCell ref="CT143:CT144"/>
    <mergeCell ref="CU143:CU144"/>
    <mergeCell ref="CV143:CV144"/>
    <mergeCell ref="CW143:CZ144"/>
    <mergeCell ref="CW145:CZ145"/>
    <mergeCell ref="CA146:CV146"/>
    <mergeCell ref="CW146:CZ147"/>
    <mergeCell ref="CA148:CZ148"/>
    <mergeCell ref="CA149:CZ149"/>
    <mergeCell ref="CA150:CZ150"/>
    <mergeCell ref="CA151:CZ151"/>
    <mergeCell ref="CA152:CZ152"/>
    <mergeCell ref="CA153:CZ153"/>
    <mergeCell ref="CA154:CZ154"/>
    <mergeCell ref="CA155:CZ155"/>
    <mergeCell ref="CA156:CZ156"/>
    <mergeCell ref="CA157:CZ157"/>
    <mergeCell ref="CA158:CZ159"/>
    <mergeCell ref="CA162:CI162"/>
    <mergeCell ref="CJ162:CZ162"/>
    <mergeCell ref="CA163:CI164"/>
    <mergeCell ref="CJ163:CL164"/>
    <mergeCell ref="CM163:CO164"/>
    <mergeCell ref="CP163:CU164"/>
    <mergeCell ref="CV163:CV164"/>
    <mergeCell ref="CW163:CZ164"/>
    <mergeCell ref="CJ165:CJ166"/>
    <mergeCell ref="CK165:CK166"/>
    <mergeCell ref="CL165:CL166"/>
    <mergeCell ref="CM165:CM166"/>
    <mergeCell ref="CN165:CN166"/>
    <mergeCell ref="CO165:CO166"/>
    <mergeCell ref="CP165:CP166"/>
    <mergeCell ref="CQ165:CQ166"/>
    <mergeCell ref="CR165:CR166"/>
    <mergeCell ref="CS165:CS166"/>
    <mergeCell ref="CT165:CT166"/>
    <mergeCell ref="CU165:CU166"/>
    <mergeCell ref="CV165:CV166"/>
    <mergeCell ref="CW165:CZ166"/>
    <mergeCell ref="CW167:CZ167"/>
    <mergeCell ref="CA168:CV168"/>
    <mergeCell ref="CW168:CZ169"/>
    <mergeCell ref="CA170:CZ170"/>
    <mergeCell ref="CA171:CZ171"/>
    <mergeCell ref="CA172:CZ172"/>
    <mergeCell ref="CA173:CZ173"/>
    <mergeCell ref="CA174:CZ174"/>
    <mergeCell ref="CA175:CZ175"/>
    <mergeCell ref="CA176:CZ176"/>
    <mergeCell ref="CA177:CZ177"/>
    <mergeCell ref="CA178:CZ178"/>
    <mergeCell ref="CA179:CZ179"/>
    <mergeCell ref="CA180:CZ181"/>
    <mergeCell ref="CA186:CI186"/>
    <mergeCell ref="CJ186:CZ186"/>
    <mergeCell ref="CA187:CI188"/>
    <mergeCell ref="CJ187:CL188"/>
    <mergeCell ref="CM187:CO188"/>
    <mergeCell ref="CP187:CU188"/>
    <mergeCell ref="CV187:CV188"/>
    <mergeCell ref="CW187:CZ188"/>
    <mergeCell ref="CJ189:CJ190"/>
    <mergeCell ref="CK189:CK190"/>
    <mergeCell ref="CL189:CL190"/>
    <mergeCell ref="CM189:CM190"/>
    <mergeCell ref="CN189:CN190"/>
    <mergeCell ref="CO189:CO190"/>
    <mergeCell ref="CP189:CP190"/>
    <mergeCell ref="CQ189:CQ190"/>
    <mergeCell ref="CR189:CR190"/>
    <mergeCell ref="CS189:CS190"/>
    <mergeCell ref="CT189:CT190"/>
    <mergeCell ref="CU189:CU190"/>
    <mergeCell ref="CV189:CV190"/>
    <mergeCell ref="CW189:CZ190"/>
    <mergeCell ref="CW191:CZ191"/>
    <mergeCell ref="CA192:CV192"/>
    <mergeCell ref="CW192:CZ193"/>
    <mergeCell ref="CA194:CZ194"/>
    <mergeCell ref="CA195:CZ195"/>
    <mergeCell ref="CA196:CZ196"/>
    <mergeCell ref="CA197:CZ197"/>
    <mergeCell ref="CA198:CZ198"/>
    <mergeCell ref="CA199:CZ199"/>
    <mergeCell ref="CA200:CZ200"/>
    <mergeCell ref="CA201:CZ201"/>
    <mergeCell ref="CA202:CZ202"/>
    <mergeCell ref="CA203:CZ203"/>
    <mergeCell ref="CA204:CZ205"/>
    <mergeCell ref="CA208:CI208"/>
    <mergeCell ref="CJ208:CZ208"/>
    <mergeCell ref="CA191:CE191"/>
    <mergeCell ref="CF191:CI191"/>
    <mergeCell ref="CA209:CI210"/>
    <mergeCell ref="CJ209:CL210"/>
    <mergeCell ref="CM209:CO210"/>
    <mergeCell ref="CP209:CU210"/>
    <mergeCell ref="CV209:CV210"/>
    <mergeCell ref="CW209:CZ210"/>
    <mergeCell ref="CJ211:CJ212"/>
    <mergeCell ref="CK211:CK212"/>
    <mergeCell ref="CL211:CL212"/>
    <mergeCell ref="CM211:CM212"/>
    <mergeCell ref="CN211:CN212"/>
    <mergeCell ref="CO211:CO212"/>
    <mergeCell ref="CP211:CP212"/>
    <mergeCell ref="CQ211:CQ212"/>
    <mergeCell ref="CR211:CR212"/>
    <mergeCell ref="CS211:CS212"/>
    <mergeCell ref="CT211:CT212"/>
    <mergeCell ref="CU211:CU212"/>
    <mergeCell ref="CV211:CV212"/>
    <mergeCell ref="CW211:CZ212"/>
    <mergeCell ref="CA211:CE212"/>
    <mergeCell ref="CF211:CI212"/>
    <mergeCell ref="CW213:CZ213"/>
    <mergeCell ref="CA214:CV214"/>
    <mergeCell ref="CW214:CZ215"/>
    <mergeCell ref="CA216:CZ216"/>
    <mergeCell ref="CA217:CZ217"/>
    <mergeCell ref="CA218:CZ218"/>
    <mergeCell ref="CA219:CZ219"/>
    <mergeCell ref="CA220:CZ220"/>
    <mergeCell ref="CA221:CZ221"/>
    <mergeCell ref="CA222:CZ222"/>
    <mergeCell ref="CA223:CZ223"/>
    <mergeCell ref="CA224:CZ224"/>
    <mergeCell ref="CA225:CZ225"/>
    <mergeCell ref="CA226:CZ227"/>
    <mergeCell ref="CA232:CI232"/>
    <mergeCell ref="CJ232:CZ232"/>
    <mergeCell ref="CA213:CE213"/>
    <mergeCell ref="CF213:CI213"/>
    <mergeCell ref="CA233:CI234"/>
    <mergeCell ref="CJ233:CL234"/>
    <mergeCell ref="CM233:CO234"/>
    <mergeCell ref="CP233:CU234"/>
    <mergeCell ref="CV233:CV234"/>
    <mergeCell ref="CW233:CZ234"/>
    <mergeCell ref="CJ235:CJ236"/>
    <mergeCell ref="CK235:CK236"/>
    <mergeCell ref="CL235:CL236"/>
    <mergeCell ref="CM235:CM236"/>
    <mergeCell ref="CN235:CN236"/>
    <mergeCell ref="CO235:CO236"/>
    <mergeCell ref="CP235:CP236"/>
    <mergeCell ref="CQ235:CQ236"/>
    <mergeCell ref="CR235:CR236"/>
    <mergeCell ref="CS235:CS236"/>
    <mergeCell ref="CT235:CT236"/>
    <mergeCell ref="CU235:CU236"/>
    <mergeCell ref="CV235:CV236"/>
    <mergeCell ref="CW235:CZ236"/>
    <mergeCell ref="CA235:CE236"/>
    <mergeCell ref="CF235:CI236"/>
    <mergeCell ref="CW237:CZ237"/>
    <mergeCell ref="CA238:CV238"/>
    <mergeCell ref="CW238:CZ239"/>
    <mergeCell ref="CA240:CZ240"/>
    <mergeCell ref="CA241:CZ241"/>
    <mergeCell ref="CA242:CZ242"/>
    <mergeCell ref="CA243:CZ243"/>
    <mergeCell ref="CA244:CZ244"/>
    <mergeCell ref="CA245:CZ245"/>
    <mergeCell ref="CA246:CZ246"/>
    <mergeCell ref="CA247:CZ247"/>
    <mergeCell ref="CA248:CZ248"/>
    <mergeCell ref="CA249:CZ249"/>
    <mergeCell ref="CA250:CZ251"/>
    <mergeCell ref="CA254:CI254"/>
    <mergeCell ref="CJ254:CZ254"/>
    <mergeCell ref="CA237:CE237"/>
    <mergeCell ref="CF237:CI237"/>
    <mergeCell ref="CA255:CI256"/>
    <mergeCell ref="CJ255:CL256"/>
    <mergeCell ref="CM255:CO256"/>
    <mergeCell ref="CP255:CU256"/>
    <mergeCell ref="CV255:CV256"/>
    <mergeCell ref="CW255:CZ256"/>
    <mergeCell ref="CJ257:CJ258"/>
    <mergeCell ref="CK257:CK258"/>
    <mergeCell ref="CL257:CL258"/>
    <mergeCell ref="CM257:CM258"/>
    <mergeCell ref="CN257:CN258"/>
    <mergeCell ref="CO257:CO258"/>
    <mergeCell ref="CP257:CP258"/>
    <mergeCell ref="CQ257:CQ258"/>
    <mergeCell ref="CR257:CR258"/>
    <mergeCell ref="CS257:CS258"/>
    <mergeCell ref="CT257:CT258"/>
    <mergeCell ref="CU257:CU258"/>
    <mergeCell ref="CV257:CV258"/>
    <mergeCell ref="CW257:CZ258"/>
    <mergeCell ref="CA257:CE258"/>
    <mergeCell ref="CF257:CI258"/>
    <mergeCell ref="CW259:CZ259"/>
    <mergeCell ref="CA260:CV260"/>
    <mergeCell ref="CW260:CZ261"/>
    <mergeCell ref="CA262:CZ262"/>
    <mergeCell ref="CA263:CZ263"/>
    <mergeCell ref="CA264:CZ264"/>
    <mergeCell ref="CA265:CZ265"/>
    <mergeCell ref="CA266:CZ266"/>
    <mergeCell ref="CA267:CZ267"/>
    <mergeCell ref="CA268:CZ268"/>
    <mergeCell ref="CA269:CZ269"/>
    <mergeCell ref="CA270:CZ270"/>
    <mergeCell ref="CA271:CZ271"/>
    <mergeCell ref="CA272:CZ273"/>
    <mergeCell ref="CA278:CI278"/>
    <mergeCell ref="CJ278:CZ278"/>
    <mergeCell ref="CA259:CE259"/>
    <mergeCell ref="CF259:CI259"/>
    <mergeCell ref="CA279:CI280"/>
    <mergeCell ref="CJ279:CL280"/>
    <mergeCell ref="CM279:CO280"/>
    <mergeCell ref="CP279:CU280"/>
    <mergeCell ref="CV279:CV280"/>
    <mergeCell ref="CW279:CZ280"/>
    <mergeCell ref="CJ281:CJ282"/>
    <mergeCell ref="CK281:CK282"/>
    <mergeCell ref="CL281:CL282"/>
    <mergeCell ref="CM281:CM282"/>
    <mergeCell ref="CN281:CN282"/>
    <mergeCell ref="CO281:CO282"/>
    <mergeCell ref="CP281:CP282"/>
    <mergeCell ref="CQ281:CQ282"/>
    <mergeCell ref="CR281:CR282"/>
    <mergeCell ref="CS281:CS282"/>
    <mergeCell ref="CT281:CT282"/>
    <mergeCell ref="CU281:CU282"/>
    <mergeCell ref="CV281:CV282"/>
    <mergeCell ref="CW281:CZ282"/>
    <mergeCell ref="CA281:CE282"/>
    <mergeCell ref="CF281:CI282"/>
    <mergeCell ref="CW283:CZ283"/>
    <mergeCell ref="CA284:CV284"/>
    <mergeCell ref="CW284:CZ285"/>
    <mergeCell ref="CA286:CZ286"/>
    <mergeCell ref="CA287:CZ287"/>
    <mergeCell ref="CA288:CZ288"/>
    <mergeCell ref="CA289:CZ289"/>
    <mergeCell ref="CA290:CZ290"/>
    <mergeCell ref="CA291:CZ291"/>
    <mergeCell ref="CA292:CZ292"/>
    <mergeCell ref="CA293:CZ293"/>
    <mergeCell ref="CA294:CZ294"/>
    <mergeCell ref="CA295:CZ295"/>
    <mergeCell ref="CA296:CZ297"/>
    <mergeCell ref="CA300:CI300"/>
    <mergeCell ref="CJ300:CZ300"/>
    <mergeCell ref="CA283:CE283"/>
    <mergeCell ref="CF283:CI283"/>
    <mergeCell ref="CA301:CI302"/>
    <mergeCell ref="CJ301:CL302"/>
    <mergeCell ref="CM301:CO302"/>
    <mergeCell ref="CP301:CU302"/>
    <mergeCell ref="CV301:CV302"/>
    <mergeCell ref="CW301:CZ302"/>
    <mergeCell ref="CJ303:CJ304"/>
    <mergeCell ref="CK303:CK304"/>
    <mergeCell ref="CL303:CL304"/>
    <mergeCell ref="CM303:CM304"/>
    <mergeCell ref="CN303:CN304"/>
    <mergeCell ref="CO303:CO304"/>
    <mergeCell ref="CP303:CP304"/>
    <mergeCell ref="CQ303:CQ304"/>
    <mergeCell ref="CR303:CR304"/>
    <mergeCell ref="CS303:CS304"/>
    <mergeCell ref="CT303:CT304"/>
    <mergeCell ref="CU303:CU304"/>
    <mergeCell ref="CV303:CV304"/>
    <mergeCell ref="CW303:CZ304"/>
    <mergeCell ref="CA303:CE304"/>
    <mergeCell ref="CF303:CI304"/>
    <mergeCell ref="CM327:CM328"/>
    <mergeCell ref="CN327:CN328"/>
    <mergeCell ref="CO327:CO328"/>
    <mergeCell ref="CP327:CP328"/>
    <mergeCell ref="CQ327:CQ328"/>
    <mergeCell ref="CR327:CR328"/>
    <mergeCell ref="CS327:CS328"/>
    <mergeCell ref="CT327:CT328"/>
    <mergeCell ref="CU327:CU328"/>
    <mergeCell ref="CV327:CV328"/>
    <mergeCell ref="CW327:CZ328"/>
    <mergeCell ref="CW305:CZ305"/>
    <mergeCell ref="CA306:CV306"/>
    <mergeCell ref="CW306:CZ307"/>
    <mergeCell ref="CA308:CZ308"/>
    <mergeCell ref="CA309:CZ309"/>
    <mergeCell ref="CA310:CZ310"/>
    <mergeCell ref="CA311:CZ311"/>
    <mergeCell ref="CA312:CZ312"/>
    <mergeCell ref="CA313:CZ313"/>
    <mergeCell ref="CA314:CZ314"/>
    <mergeCell ref="CA315:CZ315"/>
    <mergeCell ref="CA316:CZ316"/>
    <mergeCell ref="CA317:CZ317"/>
    <mergeCell ref="CA318:CZ319"/>
    <mergeCell ref="CA324:CI324"/>
    <mergeCell ref="CJ324:CZ324"/>
    <mergeCell ref="CA305:CE305"/>
    <mergeCell ref="CF305:CI305"/>
    <mergeCell ref="CA327:CE328"/>
    <mergeCell ref="CF327:CI328"/>
    <mergeCell ref="CA1:CP1"/>
    <mergeCell ref="CQ1:CZ1"/>
    <mergeCell ref="CA2:CP2"/>
    <mergeCell ref="CQ2:CV2"/>
    <mergeCell ref="CW2:CZ2"/>
    <mergeCell ref="CA3:CP3"/>
    <mergeCell ref="CQ3:CZ3"/>
    <mergeCell ref="CA4:CP4"/>
    <mergeCell ref="CQ4:CZ4"/>
    <mergeCell ref="CA5:CP5"/>
    <mergeCell ref="CQ5:CZ5"/>
    <mergeCell ref="CA6:CI6"/>
    <mergeCell ref="CJ6:CZ6"/>
    <mergeCell ref="CA7:CI8"/>
    <mergeCell ref="CJ7:CL8"/>
    <mergeCell ref="CM7:CO8"/>
    <mergeCell ref="CA23:CZ23"/>
    <mergeCell ref="CU9:CU10"/>
    <mergeCell ref="CV9:CV10"/>
    <mergeCell ref="CW9:CZ10"/>
    <mergeCell ref="CW11:CZ11"/>
    <mergeCell ref="CA14:CZ14"/>
    <mergeCell ref="CA15:CZ15"/>
    <mergeCell ref="CA16:CZ16"/>
    <mergeCell ref="CA17:CZ17"/>
    <mergeCell ref="CA18:CZ18"/>
    <mergeCell ref="CA19:CZ19"/>
    <mergeCell ref="CA20:CZ20"/>
    <mergeCell ref="CA21:CZ21"/>
    <mergeCell ref="CA22:CZ22"/>
    <mergeCell ref="CA12:CV12"/>
    <mergeCell ref="CW12:CZ13"/>
    <mergeCell ref="CA24:CZ25"/>
    <mergeCell ref="CW122:CZ123"/>
    <mergeCell ref="CA133:CZ133"/>
    <mergeCell ref="CA134:CZ135"/>
    <mergeCell ref="CA325:CI326"/>
    <mergeCell ref="CJ325:CL326"/>
    <mergeCell ref="CM325:CO326"/>
    <mergeCell ref="CP325:CU326"/>
    <mergeCell ref="CV325:CV326"/>
    <mergeCell ref="CW325:CZ326"/>
    <mergeCell ref="CJ327:CJ328"/>
    <mergeCell ref="CK327:CK328"/>
    <mergeCell ref="CL327:CL328"/>
    <mergeCell ref="CJ347:CL348"/>
    <mergeCell ref="CM347:CO348"/>
    <mergeCell ref="CP347:CU348"/>
    <mergeCell ref="CV347:CV348"/>
    <mergeCell ref="CW347:CZ348"/>
    <mergeCell ref="CA333:CZ333"/>
    <mergeCell ref="CA334:CZ334"/>
    <mergeCell ref="CA335:CZ335"/>
    <mergeCell ref="CA336:CZ336"/>
    <mergeCell ref="CA337:CZ337"/>
    <mergeCell ref="CA338:CZ338"/>
    <mergeCell ref="CA339:CZ339"/>
    <mergeCell ref="CA340:CZ340"/>
    <mergeCell ref="CA341:CZ341"/>
    <mergeCell ref="CA342:CZ343"/>
    <mergeCell ref="CW329:CZ329"/>
    <mergeCell ref="CA330:CV330"/>
    <mergeCell ref="CW330:CZ331"/>
    <mergeCell ref="CA332:CZ332"/>
    <mergeCell ref="CW351:CZ351"/>
    <mergeCell ref="CA352:CV352"/>
    <mergeCell ref="CW352:CZ353"/>
    <mergeCell ref="CA354:CZ354"/>
    <mergeCell ref="CA355:CZ355"/>
    <mergeCell ref="CA356:CZ356"/>
    <mergeCell ref="CA357:CZ357"/>
    <mergeCell ref="CA358:CZ358"/>
    <mergeCell ref="CA359:CZ359"/>
    <mergeCell ref="CA360:CZ360"/>
    <mergeCell ref="CO349:CO350"/>
    <mergeCell ref="CP349:CP350"/>
    <mergeCell ref="CQ349:CQ350"/>
    <mergeCell ref="CR349:CR350"/>
    <mergeCell ref="CS349:CS350"/>
    <mergeCell ref="CT349:CT350"/>
    <mergeCell ref="CU349:CU350"/>
    <mergeCell ref="CV349:CV350"/>
    <mergeCell ref="CW349:CZ350"/>
    <mergeCell ref="CJ349:CJ350"/>
    <mergeCell ref="CK349:CK350"/>
    <mergeCell ref="CL349:CL350"/>
    <mergeCell ref="CM349:CM350"/>
    <mergeCell ref="CN349:CN350"/>
    <mergeCell ref="BQ2:BV2"/>
    <mergeCell ref="BW2:BZ2"/>
    <mergeCell ref="CP7:CU8"/>
    <mergeCell ref="CV7:CV8"/>
    <mergeCell ref="CW7:CZ8"/>
    <mergeCell ref="CJ9:CJ10"/>
    <mergeCell ref="CK9:CK10"/>
    <mergeCell ref="CL9:CL10"/>
    <mergeCell ref="CM9:CM10"/>
    <mergeCell ref="CN9:CN10"/>
    <mergeCell ref="CO9:CO10"/>
    <mergeCell ref="CP9:CP10"/>
    <mergeCell ref="CQ9:CQ10"/>
    <mergeCell ref="CR9:CR10"/>
    <mergeCell ref="CS9:CS10"/>
    <mergeCell ref="CT9:CT10"/>
    <mergeCell ref="S97:S98"/>
    <mergeCell ref="T97:T98"/>
    <mergeCell ref="U97:U98"/>
    <mergeCell ref="V97:V98"/>
    <mergeCell ref="W97:Z98"/>
    <mergeCell ref="CR73:CR74"/>
    <mergeCell ref="CS73:CS74"/>
    <mergeCell ref="CT73:CT74"/>
    <mergeCell ref="CU73:CU74"/>
    <mergeCell ref="CV73:CV74"/>
    <mergeCell ref="CW73:CZ74"/>
    <mergeCell ref="CW75:CZ75"/>
    <mergeCell ref="CA76:CV76"/>
    <mergeCell ref="CW76:CZ77"/>
    <mergeCell ref="CA78:CZ78"/>
    <mergeCell ref="CA79:CZ79"/>
    <mergeCell ref="J97:J98"/>
    <mergeCell ref="K97:K98"/>
    <mergeCell ref="L97:L98"/>
    <mergeCell ref="M97:M98"/>
    <mergeCell ref="N97:N98"/>
    <mergeCell ref="O97:O98"/>
    <mergeCell ref="P97:P98"/>
    <mergeCell ref="Q97:Q98"/>
    <mergeCell ref="R97:R98"/>
    <mergeCell ref="A105:Z105"/>
    <mergeCell ref="A97:E98"/>
    <mergeCell ref="F97:I98"/>
    <mergeCell ref="A99:E99"/>
    <mergeCell ref="F99:I99"/>
    <mergeCell ref="A370:I370"/>
    <mergeCell ref="J370:Z370"/>
    <mergeCell ref="A371:I372"/>
    <mergeCell ref="J371:L372"/>
    <mergeCell ref="M371:O372"/>
    <mergeCell ref="P371:U372"/>
    <mergeCell ref="V371:V372"/>
    <mergeCell ref="W371:Z372"/>
    <mergeCell ref="A352:V352"/>
    <mergeCell ref="W352:Z353"/>
    <mergeCell ref="A354:Z354"/>
    <mergeCell ref="A355:Z355"/>
    <mergeCell ref="A356:Z356"/>
    <mergeCell ref="A357:Z357"/>
    <mergeCell ref="A358:Z358"/>
    <mergeCell ref="A359:Z359"/>
    <mergeCell ref="A360:Z360"/>
    <mergeCell ref="A361:Z361"/>
    <mergeCell ref="A362:Z362"/>
    <mergeCell ref="A363:Z363"/>
    <mergeCell ref="A364:Z365"/>
    <mergeCell ref="W351:Z351"/>
    <mergeCell ref="W330:Z331"/>
    <mergeCell ref="J373:J374"/>
    <mergeCell ref="K373:K374"/>
    <mergeCell ref="L373:L374"/>
    <mergeCell ref="M373:M374"/>
    <mergeCell ref="N373:N374"/>
    <mergeCell ref="O373:O374"/>
    <mergeCell ref="P373:P374"/>
    <mergeCell ref="Q373:Q374"/>
    <mergeCell ref="R373:R374"/>
    <mergeCell ref="S373:S374"/>
    <mergeCell ref="T373:T374"/>
    <mergeCell ref="U373:U374"/>
    <mergeCell ref="V373:V374"/>
    <mergeCell ref="W373:Z374"/>
    <mergeCell ref="A332:Z332"/>
    <mergeCell ref="A333:Z333"/>
    <mergeCell ref="A334:Z334"/>
    <mergeCell ref="A335:Z335"/>
    <mergeCell ref="A336:Z336"/>
    <mergeCell ref="A337:Z337"/>
    <mergeCell ref="A338:Z338"/>
    <mergeCell ref="A339:Z339"/>
    <mergeCell ref="A340:Z340"/>
    <mergeCell ref="A341:Z341"/>
    <mergeCell ref="A342:Z343"/>
    <mergeCell ref="A346:I346"/>
    <mergeCell ref="J346:Z346"/>
    <mergeCell ref="W375:Z375"/>
    <mergeCell ref="A376:V376"/>
    <mergeCell ref="W376:Z377"/>
    <mergeCell ref="A378:Z378"/>
    <mergeCell ref="A379:Z379"/>
    <mergeCell ref="A380:Z380"/>
    <mergeCell ref="A381:Z381"/>
    <mergeCell ref="A382:Z382"/>
    <mergeCell ref="A383:Z383"/>
    <mergeCell ref="A384:Z384"/>
    <mergeCell ref="A385:Z385"/>
    <mergeCell ref="A386:Z386"/>
    <mergeCell ref="A387:Z387"/>
    <mergeCell ref="A388:Z389"/>
    <mergeCell ref="A392:I392"/>
    <mergeCell ref="J392:Z392"/>
    <mergeCell ref="A393:I394"/>
    <mergeCell ref="J393:L394"/>
    <mergeCell ref="M393:O394"/>
    <mergeCell ref="P393:U394"/>
    <mergeCell ref="V393:V394"/>
    <mergeCell ref="W393:Z394"/>
    <mergeCell ref="J395:J396"/>
    <mergeCell ref="K395:K396"/>
    <mergeCell ref="L395:L396"/>
    <mergeCell ref="M395:M396"/>
    <mergeCell ref="N395:N396"/>
    <mergeCell ref="O395:O396"/>
    <mergeCell ref="P395:P396"/>
    <mergeCell ref="Q395:Q396"/>
    <mergeCell ref="R395:R396"/>
    <mergeCell ref="S395:S396"/>
    <mergeCell ref="T395:T396"/>
    <mergeCell ref="U395:U396"/>
    <mergeCell ref="V395:V396"/>
    <mergeCell ref="W395:Z396"/>
    <mergeCell ref="W397:Z397"/>
    <mergeCell ref="A398:V398"/>
    <mergeCell ref="W398:Z399"/>
    <mergeCell ref="A400:Z400"/>
    <mergeCell ref="A401:Z401"/>
    <mergeCell ref="A402:Z402"/>
    <mergeCell ref="A403:Z403"/>
    <mergeCell ref="A404:Z404"/>
    <mergeCell ref="A405:Z405"/>
    <mergeCell ref="A406:Z406"/>
    <mergeCell ref="A407:Z407"/>
    <mergeCell ref="A408:Z408"/>
    <mergeCell ref="A409:Z409"/>
    <mergeCell ref="A410:Z411"/>
    <mergeCell ref="A416:I416"/>
    <mergeCell ref="J416:Z416"/>
    <mergeCell ref="A417:I418"/>
    <mergeCell ref="J417:L418"/>
    <mergeCell ref="M417:O418"/>
    <mergeCell ref="P417:U418"/>
    <mergeCell ref="V417:V418"/>
    <mergeCell ref="W417:Z418"/>
    <mergeCell ref="L419:L420"/>
    <mergeCell ref="M419:M420"/>
    <mergeCell ref="N419:N420"/>
    <mergeCell ref="O419:O420"/>
    <mergeCell ref="P419:P420"/>
    <mergeCell ref="Q419:Q420"/>
    <mergeCell ref="R419:R420"/>
    <mergeCell ref="S419:S420"/>
    <mergeCell ref="T419:T420"/>
    <mergeCell ref="U419:U420"/>
    <mergeCell ref="V419:V420"/>
    <mergeCell ref="W419:Z420"/>
    <mergeCell ref="W421:Z421"/>
    <mergeCell ref="A419:E420"/>
    <mergeCell ref="F419:I420"/>
    <mergeCell ref="A421:E421"/>
    <mergeCell ref="F421:I421"/>
    <mergeCell ref="A456:Z457"/>
    <mergeCell ref="AA94:AI94"/>
    <mergeCell ref="AJ94:AZ94"/>
    <mergeCell ref="AA95:AI96"/>
    <mergeCell ref="AJ95:AL96"/>
    <mergeCell ref="AM95:AO96"/>
    <mergeCell ref="AP95:AU96"/>
    <mergeCell ref="AV95:AV96"/>
    <mergeCell ref="AW95:AZ96"/>
    <mergeCell ref="AJ97:AJ98"/>
    <mergeCell ref="AK97:AK98"/>
    <mergeCell ref="AL97:AL98"/>
    <mergeCell ref="AM97:AM98"/>
    <mergeCell ref="AN97:AN98"/>
    <mergeCell ref="AO97:AO98"/>
    <mergeCell ref="AP97:AP98"/>
    <mergeCell ref="AQ97:AQ98"/>
    <mergeCell ref="AR97:AR98"/>
    <mergeCell ref="J441:J442"/>
    <mergeCell ref="K441:K442"/>
    <mergeCell ref="L441:L442"/>
    <mergeCell ref="M441:M442"/>
    <mergeCell ref="N441:N442"/>
    <mergeCell ref="O441:O442"/>
    <mergeCell ref="AO373:AO374"/>
    <mergeCell ref="AP373:AP374"/>
    <mergeCell ref="AQ373:AQ374"/>
    <mergeCell ref="AR373:AR374"/>
    <mergeCell ref="A426:Z426"/>
    <mergeCell ref="A427:Z427"/>
    <mergeCell ref="A428:Z428"/>
    <mergeCell ref="A429:Z429"/>
    <mergeCell ref="A422:V422"/>
    <mergeCell ref="W422:Z423"/>
    <mergeCell ref="A424:Z424"/>
    <mergeCell ref="A425:Z425"/>
    <mergeCell ref="AW375:AZ375"/>
    <mergeCell ref="AA376:AV376"/>
    <mergeCell ref="AW376:AZ377"/>
    <mergeCell ref="AA378:AZ378"/>
    <mergeCell ref="AA379:AZ379"/>
    <mergeCell ref="AA380:AZ380"/>
    <mergeCell ref="AA381:AZ381"/>
    <mergeCell ref="AA382:AZ382"/>
    <mergeCell ref="AA383:AZ383"/>
    <mergeCell ref="A452:Z452"/>
    <mergeCell ref="A453:Z453"/>
    <mergeCell ref="A454:Z454"/>
    <mergeCell ref="A455:Z455"/>
    <mergeCell ref="A430:Z430"/>
    <mergeCell ref="A431:Z431"/>
    <mergeCell ref="A432:Z432"/>
    <mergeCell ref="A433:Z433"/>
    <mergeCell ref="A434:Z435"/>
    <mergeCell ref="A438:I438"/>
    <mergeCell ref="J438:Z438"/>
    <mergeCell ref="A439:I440"/>
    <mergeCell ref="J439:L440"/>
    <mergeCell ref="M439:O440"/>
    <mergeCell ref="P439:U440"/>
    <mergeCell ref="V439:V440"/>
    <mergeCell ref="W439:Z440"/>
    <mergeCell ref="J419:J420"/>
    <mergeCell ref="K419:K420"/>
    <mergeCell ref="A444:V444"/>
    <mergeCell ref="W444:Z445"/>
    <mergeCell ref="A446:Z446"/>
    <mergeCell ref="A447:Z447"/>
    <mergeCell ref="A448:Z448"/>
    <mergeCell ref="A449:Z449"/>
    <mergeCell ref="A450:Z450"/>
    <mergeCell ref="A451:Z451"/>
    <mergeCell ref="P441:P442"/>
    <mergeCell ref="Q441:Q442"/>
    <mergeCell ref="R441:R442"/>
    <mergeCell ref="S441:S442"/>
    <mergeCell ref="T441:T442"/>
    <mergeCell ref="U441:U442"/>
    <mergeCell ref="V441:V442"/>
    <mergeCell ref="W441:Z442"/>
    <mergeCell ref="W443:Z443"/>
    <mergeCell ref="A441:E442"/>
    <mergeCell ref="F441:I442"/>
    <mergeCell ref="A443:E443"/>
    <mergeCell ref="F443:I443"/>
    <mergeCell ref="A445:V445"/>
    <mergeCell ref="AQ395:AQ396"/>
    <mergeCell ref="AR395:AR396"/>
    <mergeCell ref="AS395:AS396"/>
    <mergeCell ref="AT395:AT396"/>
    <mergeCell ref="AU395:AU396"/>
    <mergeCell ref="AV395:AV396"/>
    <mergeCell ref="AW395:AZ396"/>
    <mergeCell ref="AA384:AZ384"/>
    <mergeCell ref="AA385:AZ385"/>
    <mergeCell ref="AA386:AZ386"/>
    <mergeCell ref="AA387:AZ387"/>
    <mergeCell ref="AA388:AZ389"/>
    <mergeCell ref="AA370:AI370"/>
    <mergeCell ref="AJ370:AZ370"/>
    <mergeCell ref="AA371:AI372"/>
    <mergeCell ref="AJ371:AL372"/>
    <mergeCell ref="AM371:AO372"/>
    <mergeCell ref="AP371:AU372"/>
    <mergeCell ref="AV371:AV372"/>
    <mergeCell ref="AW371:AZ372"/>
    <mergeCell ref="AJ373:AJ374"/>
    <mergeCell ref="AK373:AK374"/>
    <mergeCell ref="AL373:AL374"/>
    <mergeCell ref="AM373:AM374"/>
    <mergeCell ref="AN373:AN374"/>
    <mergeCell ref="AV373:AV374"/>
    <mergeCell ref="AW373:AZ374"/>
    <mergeCell ref="AW397:AZ397"/>
    <mergeCell ref="AA398:AV398"/>
    <mergeCell ref="AW398:AZ399"/>
    <mergeCell ref="AA400:AZ400"/>
    <mergeCell ref="AA401:AZ401"/>
    <mergeCell ref="AA402:AZ402"/>
    <mergeCell ref="AA403:AZ403"/>
    <mergeCell ref="AA404:AZ404"/>
    <mergeCell ref="AA405:AZ405"/>
    <mergeCell ref="AA406:AZ406"/>
    <mergeCell ref="AA407:AZ407"/>
    <mergeCell ref="AA408:AZ408"/>
    <mergeCell ref="AA409:AZ409"/>
    <mergeCell ref="AA410:AZ411"/>
    <mergeCell ref="AA416:AI416"/>
    <mergeCell ref="AJ416:AZ416"/>
    <mergeCell ref="AA417:AI418"/>
    <mergeCell ref="AJ417:AL418"/>
    <mergeCell ref="AM417:AO418"/>
    <mergeCell ref="AP417:AU418"/>
    <mergeCell ref="AV417:AV418"/>
    <mergeCell ref="AW417:AZ418"/>
    <mergeCell ref="AA397:AE397"/>
    <mergeCell ref="AF397:AI397"/>
    <mergeCell ref="AM419:AM420"/>
    <mergeCell ref="AN419:AN420"/>
    <mergeCell ref="AO419:AO420"/>
    <mergeCell ref="AP419:AP420"/>
    <mergeCell ref="AQ419:AQ420"/>
    <mergeCell ref="AR419:AR420"/>
    <mergeCell ref="AS419:AS420"/>
    <mergeCell ref="AT419:AT420"/>
    <mergeCell ref="AU419:AU420"/>
    <mergeCell ref="AV419:AV420"/>
    <mergeCell ref="AW419:AZ420"/>
    <mergeCell ref="AW421:AZ421"/>
    <mergeCell ref="AA422:AV422"/>
    <mergeCell ref="AW422:AZ423"/>
    <mergeCell ref="AA419:AE420"/>
    <mergeCell ref="AF419:AI420"/>
    <mergeCell ref="AA421:AE421"/>
    <mergeCell ref="AF421:AI421"/>
    <mergeCell ref="AA423:AV423"/>
    <mergeCell ref="AW441:AZ442"/>
    <mergeCell ref="AW443:AZ443"/>
    <mergeCell ref="AA444:AV444"/>
    <mergeCell ref="AW444:AZ445"/>
    <mergeCell ref="AA441:AE442"/>
    <mergeCell ref="AF441:AI442"/>
    <mergeCell ref="AA443:AE443"/>
    <mergeCell ref="AF443:AI443"/>
    <mergeCell ref="AA445:AV445"/>
    <mergeCell ref="AA424:AZ424"/>
    <mergeCell ref="AA425:AZ425"/>
    <mergeCell ref="AA426:AZ426"/>
    <mergeCell ref="AA427:AZ427"/>
    <mergeCell ref="AA428:AZ428"/>
    <mergeCell ref="AA429:AZ429"/>
    <mergeCell ref="AA430:AZ430"/>
    <mergeCell ref="AA431:AZ431"/>
    <mergeCell ref="AA432:AZ432"/>
    <mergeCell ref="AA433:AZ433"/>
    <mergeCell ref="AA434:AZ435"/>
    <mergeCell ref="AA438:AI438"/>
    <mergeCell ref="AJ438:AZ438"/>
    <mergeCell ref="AA439:AI440"/>
    <mergeCell ref="AJ439:AL440"/>
    <mergeCell ref="AM439:AO440"/>
    <mergeCell ref="AP439:AU440"/>
    <mergeCell ref="AV439:AV440"/>
    <mergeCell ref="AW439:AZ440"/>
    <mergeCell ref="AJ441:AJ442"/>
    <mergeCell ref="AK441:AK442"/>
    <mergeCell ref="AL441:AL442"/>
    <mergeCell ref="AM441:AM442"/>
    <mergeCell ref="AA446:AZ446"/>
    <mergeCell ref="AA447:AZ447"/>
    <mergeCell ref="AA448:AZ448"/>
    <mergeCell ref="AA449:AZ449"/>
    <mergeCell ref="AA450:AZ450"/>
    <mergeCell ref="AA451:AZ451"/>
    <mergeCell ref="AA452:AZ452"/>
    <mergeCell ref="AA453:AZ453"/>
    <mergeCell ref="AA454:AZ454"/>
    <mergeCell ref="AA455:AZ455"/>
    <mergeCell ref="AA456:AZ457"/>
    <mergeCell ref="BA94:BI94"/>
    <mergeCell ref="BA95:BI96"/>
    <mergeCell ref="BA122:BV122"/>
    <mergeCell ref="BA133:BZ133"/>
    <mergeCell ref="BA134:BZ135"/>
    <mergeCell ref="BA370:BI370"/>
    <mergeCell ref="BJ370:BZ370"/>
    <mergeCell ref="BA371:BI372"/>
    <mergeCell ref="BJ371:BL372"/>
    <mergeCell ref="BM371:BO372"/>
    <mergeCell ref="BW99:BZ99"/>
    <mergeCell ref="BA100:BV100"/>
    <mergeCell ref="BW100:BZ101"/>
    <mergeCell ref="BA111:BZ111"/>
    <mergeCell ref="BA112:BZ113"/>
    <mergeCell ref="BA116:BI116"/>
    <mergeCell ref="BJ116:BZ116"/>
    <mergeCell ref="BA117:BI118"/>
    <mergeCell ref="BJ117:BL118"/>
    <mergeCell ref="BM117:BO118"/>
    <mergeCell ref="BP117:BU118"/>
    <mergeCell ref="BA102:BZ102"/>
    <mergeCell ref="BA103:BZ103"/>
    <mergeCell ref="BA104:BZ104"/>
    <mergeCell ref="BP371:BU372"/>
    <mergeCell ref="BV371:BV372"/>
    <mergeCell ref="BW371:BZ372"/>
    <mergeCell ref="BJ373:BJ374"/>
    <mergeCell ref="BK373:BK374"/>
    <mergeCell ref="BL373:BL374"/>
    <mergeCell ref="BM373:BM374"/>
    <mergeCell ref="BN373:BN374"/>
    <mergeCell ref="BO373:BO374"/>
    <mergeCell ref="BP373:BP374"/>
    <mergeCell ref="BQ373:BQ374"/>
    <mergeCell ref="BR373:BR374"/>
    <mergeCell ref="BS373:BS374"/>
    <mergeCell ref="BT373:BT374"/>
    <mergeCell ref="BU373:BU374"/>
    <mergeCell ref="BV373:BV374"/>
    <mergeCell ref="BW373:BZ374"/>
    <mergeCell ref="BW351:BZ351"/>
    <mergeCell ref="BA352:BV352"/>
    <mergeCell ref="BW352:BZ353"/>
    <mergeCell ref="BA356:BZ356"/>
    <mergeCell ref="BA357:BZ357"/>
    <mergeCell ref="BA358:BZ358"/>
    <mergeCell ref="BA359:BZ359"/>
    <mergeCell ref="BA360:BZ360"/>
    <mergeCell ref="BA361:BZ361"/>
    <mergeCell ref="BA362:BZ362"/>
    <mergeCell ref="BA363:BZ363"/>
    <mergeCell ref="BP119:BP120"/>
    <mergeCell ref="BW375:BZ375"/>
    <mergeCell ref="BA376:BV376"/>
    <mergeCell ref="BW376:BZ377"/>
    <mergeCell ref="BA378:BZ378"/>
    <mergeCell ref="BA379:BZ379"/>
    <mergeCell ref="BA380:BZ380"/>
    <mergeCell ref="BA381:BZ381"/>
    <mergeCell ref="BA382:BZ382"/>
    <mergeCell ref="BA383:BZ383"/>
    <mergeCell ref="BA384:BZ384"/>
    <mergeCell ref="BA385:BZ385"/>
    <mergeCell ref="BA386:BZ386"/>
    <mergeCell ref="BA387:BZ387"/>
    <mergeCell ref="BA388:BZ389"/>
    <mergeCell ref="BA392:BI392"/>
    <mergeCell ref="BJ392:BZ392"/>
    <mergeCell ref="BA393:BI394"/>
    <mergeCell ref="BJ393:BL394"/>
    <mergeCell ref="BM393:BO394"/>
    <mergeCell ref="BP393:BU394"/>
    <mergeCell ref="BV393:BV394"/>
    <mergeCell ref="BW393:BZ394"/>
    <mergeCell ref="BN419:BN420"/>
    <mergeCell ref="BO419:BO420"/>
    <mergeCell ref="BP419:BP420"/>
    <mergeCell ref="BQ419:BQ420"/>
    <mergeCell ref="BR419:BR420"/>
    <mergeCell ref="BS419:BS420"/>
    <mergeCell ref="BT419:BT420"/>
    <mergeCell ref="BU419:BU420"/>
    <mergeCell ref="BV419:BV420"/>
    <mergeCell ref="BW419:BZ420"/>
    <mergeCell ref="BJ395:BJ396"/>
    <mergeCell ref="BK395:BK396"/>
    <mergeCell ref="BL395:BL396"/>
    <mergeCell ref="BM395:BM396"/>
    <mergeCell ref="BN395:BN396"/>
    <mergeCell ref="BO395:BO396"/>
    <mergeCell ref="BP395:BP396"/>
    <mergeCell ref="BQ395:BQ396"/>
    <mergeCell ref="BR395:BR396"/>
    <mergeCell ref="BS395:BS396"/>
    <mergeCell ref="BT395:BT396"/>
    <mergeCell ref="BU395:BU396"/>
    <mergeCell ref="BV395:BV396"/>
    <mergeCell ref="BW395:BZ396"/>
    <mergeCell ref="BW397:BZ397"/>
    <mergeCell ref="BA398:BV398"/>
    <mergeCell ref="BW398:BZ399"/>
    <mergeCell ref="BA456:BZ457"/>
    <mergeCell ref="CA94:CI94"/>
    <mergeCell ref="CA95:CI96"/>
    <mergeCell ref="CA100:CV100"/>
    <mergeCell ref="CA111:CZ111"/>
    <mergeCell ref="CA112:CZ113"/>
    <mergeCell ref="CA116:CI116"/>
    <mergeCell ref="CJ116:CZ116"/>
    <mergeCell ref="CA117:CI118"/>
    <mergeCell ref="CJ117:CL118"/>
    <mergeCell ref="CM117:CO118"/>
    <mergeCell ref="CP117:CU118"/>
    <mergeCell ref="CV117:CV118"/>
    <mergeCell ref="CW117:CZ118"/>
    <mergeCell ref="CR97:CR98"/>
    <mergeCell ref="CS97:CS98"/>
    <mergeCell ref="CT97:CT98"/>
    <mergeCell ref="CU97:CU98"/>
    <mergeCell ref="CV97:CV98"/>
    <mergeCell ref="CW97:CZ98"/>
    <mergeCell ref="CW121:CZ121"/>
    <mergeCell ref="CA122:CV122"/>
    <mergeCell ref="BJ441:BJ442"/>
    <mergeCell ref="BK441:BK442"/>
    <mergeCell ref="BL441:BL442"/>
    <mergeCell ref="BM441:BM442"/>
    <mergeCell ref="BN441:BN442"/>
    <mergeCell ref="BO441:BO442"/>
    <mergeCell ref="BP441:BP442"/>
    <mergeCell ref="BQ441:BQ442"/>
    <mergeCell ref="BR441:BR442"/>
    <mergeCell ref="BS441:BS442"/>
    <mergeCell ref="CA346:CI346"/>
    <mergeCell ref="CJ346:CZ346"/>
    <mergeCell ref="BA446:BZ446"/>
    <mergeCell ref="BA447:BZ447"/>
    <mergeCell ref="BA448:BZ448"/>
    <mergeCell ref="BA449:BZ449"/>
    <mergeCell ref="BA450:BZ450"/>
    <mergeCell ref="BA451:BZ451"/>
    <mergeCell ref="BA452:BZ452"/>
    <mergeCell ref="BA453:BZ453"/>
    <mergeCell ref="BA454:BZ454"/>
    <mergeCell ref="BA455:BZ455"/>
    <mergeCell ref="BT441:BT442"/>
    <mergeCell ref="BU441:BU442"/>
    <mergeCell ref="BV441:BV442"/>
    <mergeCell ref="BW441:BZ442"/>
    <mergeCell ref="BW443:BZ443"/>
    <mergeCell ref="BA444:BV444"/>
    <mergeCell ref="BW444:BZ445"/>
    <mergeCell ref="BW421:BZ421"/>
    <mergeCell ref="BA422:BV422"/>
    <mergeCell ref="BW422:BZ423"/>
    <mergeCell ref="BA424:BZ424"/>
    <mergeCell ref="BA425:BZ425"/>
    <mergeCell ref="BA426:BZ426"/>
    <mergeCell ref="BA427:BZ427"/>
    <mergeCell ref="BA428:BZ428"/>
    <mergeCell ref="CJ373:CJ374"/>
    <mergeCell ref="CK373:CK374"/>
    <mergeCell ref="CL373:CL374"/>
    <mergeCell ref="CM373:CM374"/>
    <mergeCell ref="CN373:CN374"/>
    <mergeCell ref="CO373:CO374"/>
    <mergeCell ref="CP373:CP374"/>
    <mergeCell ref="CQ373:CQ374"/>
    <mergeCell ref="CR373:CR374"/>
    <mergeCell ref="CS373:CS374"/>
    <mergeCell ref="CT373:CT374"/>
    <mergeCell ref="CU373:CU374"/>
    <mergeCell ref="CV373:CV374"/>
    <mergeCell ref="CW373:CZ374"/>
    <mergeCell ref="CA361:CZ361"/>
    <mergeCell ref="CW375:CZ375"/>
    <mergeCell ref="CA376:CV376"/>
    <mergeCell ref="CW376:CZ377"/>
    <mergeCell ref="CJ370:CZ370"/>
    <mergeCell ref="CA371:CI372"/>
    <mergeCell ref="CJ371:CL372"/>
    <mergeCell ref="CM371:CO372"/>
    <mergeCell ref="CP371:CU372"/>
    <mergeCell ref="CV371:CV372"/>
    <mergeCell ref="CW371:CZ372"/>
    <mergeCell ref="CA362:CZ362"/>
    <mergeCell ref="CA363:CZ363"/>
    <mergeCell ref="CA364:CZ365"/>
    <mergeCell ref="CJ392:CZ392"/>
    <mergeCell ref="CA393:CI394"/>
    <mergeCell ref="CJ393:CL394"/>
    <mergeCell ref="CM393:CO394"/>
    <mergeCell ref="CP393:CU394"/>
    <mergeCell ref="CV393:CV394"/>
    <mergeCell ref="CW393:CZ394"/>
    <mergeCell ref="CJ395:CJ396"/>
    <mergeCell ref="CK395:CK396"/>
    <mergeCell ref="CL395:CL396"/>
    <mergeCell ref="CM395:CM396"/>
    <mergeCell ref="CN395:CN396"/>
    <mergeCell ref="CO395:CO396"/>
    <mergeCell ref="CP395:CP396"/>
    <mergeCell ref="CQ395:CQ396"/>
    <mergeCell ref="CR395:CR396"/>
    <mergeCell ref="CS395:CS396"/>
    <mergeCell ref="CT395:CT396"/>
    <mergeCell ref="CU395:CU396"/>
    <mergeCell ref="CV395:CV396"/>
    <mergeCell ref="CW395:CZ396"/>
    <mergeCell ref="CW397:CZ397"/>
    <mergeCell ref="CA398:CV398"/>
    <mergeCell ref="CW398:CZ399"/>
    <mergeCell ref="CA400:CZ400"/>
    <mergeCell ref="CA401:CZ401"/>
    <mergeCell ref="CA402:CZ402"/>
    <mergeCell ref="CA403:CZ403"/>
    <mergeCell ref="CA404:CZ404"/>
    <mergeCell ref="CA405:CZ405"/>
    <mergeCell ref="CA406:CZ406"/>
    <mergeCell ref="CA407:CZ407"/>
    <mergeCell ref="CA408:CZ408"/>
    <mergeCell ref="CA409:CZ409"/>
    <mergeCell ref="CA410:CZ411"/>
    <mergeCell ref="CA416:CI416"/>
    <mergeCell ref="CJ416:CZ416"/>
    <mergeCell ref="CA417:CI418"/>
    <mergeCell ref="CJ417:CL418"/>
    <mergeCell ref="CM417:CO418"/>
    <mergeCell ref="CP417:CU418"/>
    <mergeCell ref="CV417:CV418"/>
    <mergeCell ref="CW417:CZ418"/>
    <mergeCell ref="CJ419:CJ420"/>
    <mergeCell ref="CK419:CK420"/>
    <mergeCell ref="CL419:CL420"/>
    <mergeCell ref="CM419:CM420"/>
    <mergeCell ref="CN419:CN420"/>
    <mergeCell ref="CO419:CO420"/>
    <mergeCell ref="CP419:CP420"/>
    <mergeCell ref="CQ419:CQ420"/>
    <mergeCell ref="CR419:CR420"/>
    <mergeCell ref="CS419:CS420"/>
    <mergeCell ref="CT419:CT420"/>
    <mergeCell ref="CU419:CU420"/>
    <mergeCell ref="CV419:CV420"/>
    <mergeCell ref="CW419:CZ420"/>
    <mergeCell ref="CW421:CZ421"/>
    <mergeCell ref="CA422:CV422"/>
    <mergeCell ref="CW422:CZ423"/>
    <mergeCell ref="CA424:CZ424"/>
    <mergeCell ref="CA425:CZ425"/>
    <mergeCell ref="CA426:CZ426"/>
    <mergeCell ref="CA427:CZ427"/>
    <mergeCell ref="CA428:CZ428"/>
    <mergeCell ref="CA429:CZ429"/>
    <mergeCell ref="CA430:CZ430"/>
    <mergeCell ref="CA431:CZ431"/>
    <mergeCell ref="CA432:CZ432"/>
    <mergeCell ref="CA433:CZ433"/>
    <mergeCell ref="CA434:CZ435"/>
    <mergeCell ref="CA438:CI438"/>
    <mergeCell ref="CJ438:CZ438"/>
    <mergeCell ref="CA439:CI440"/>
    <mergeCell ref="CJ439:CL440"/>
    <mergeCell ref="CM439:CO440"/>
    <mergeCell ref="CP439:CU440"/>
    <mergeCell ref="CV439:CV440"/>
    <mergeCell ref="CW439:CZ440"/>
    <mergeCell ref="CJ441:CJ442"/>
    <mergeCell ref="CK441:CK442"/>
    <mergeCell ref="CL441:CL442"/>
    <mergeCell ref="CM441:CM442"/>
    <mergeCell ref="CN441:CN442"/>
    <mergeCell ref="CO441:CO442"/>
    <mergeCell ref="CP441:CP442"/>
    <mergeCell ref="CQ441:CQ442"/>
    <mergeCell ref="CR441:CR442"/>
    <mergeCell ref="CS441:CS442"/>
    <mergeCell ref="CT441:CT442"/>
    <mergeCell ref="CU441:CU442"/>
    <mergeCell ref="CV441:CV442"/>
    <mergeCell ref="CW441:CZ442"/>
    <mergeCell ref="CA441:CE442"/>
    <mergeCell ref="CF441:CI442"/>
    <mergeCell ref="CW443:CZ443"/>
    <mergeCell ref="CA443:CE443"/>
    <mergeCell ref="CF443:CI443"/>
    <mergeCell ref="CA444:CV444"/>
    <mergeCell ref="CW444:CZ445"/>
    <mergeCell ref="CA446:CZ446"/>
    <mergeCell ref="CA447:CZ447"/>
    <mergeCell ref="CA448:CZ448"/>
    <mergeCell ref="CA449:CZ449"/>
    <mergeCell ref="CA450:CZ450"/>
    <mergeCell ref="CA451:CZ451"/>
    <mergeCell ref="CA452:CZ452"/>
    <mergeCell ref="CA453:CZ453"/>
    <mergeCell ref="CA454:CZ454"/>
    <mergeCell ref="CA455:CZ455"/>
    <mergeCell ref="CA456:CZ457"/>
    <mergeCell ref="DA27:DI27"/>
    <mergeCell ref="DA54:DV54"/>
    <mergeCell ref="DJ73:DJ74"/>
    <mergeCell ref="DK73:DK74"/>
    <mergeCell ref="DL73:DL74"/>
    <mergeCell ref="DM73:DM74"/>
    <mergeCell ref="DN73:DN74"/>
    <mergeCell ref="DO73:DO74"/>
    <mergeCell ref="DP73:DP74"/>
    <mergeCell ref="DQ73:DQ74"/>
    <mergeCell ref="DJ27:DZ27"/>
    <mergeCell ref="DA28:DI29"/>
    <mergeCell ref="DJ28:DL29"/>
    <mergeCell ref="DM28:DO29"/>
    <mergeCell ref="DP28:DU29"/>
    <mergeCell ref="DV28:DV29"/>
    <mergeCell ref="DW28:DZ29"/>
    <mergeCell ref="DJ30:DJ31"/>
    <mergeCell ref="DK30:DK31"/>
    <mergeCell ref="DL30:DL31"/>
    <mergeCell ref="DM30:DM31"/>
    <mergeCell ref="DN30:DN31"/>
    <mergeCell ref="DO30:DO31"/>
    <mergeCell ref="DP30:DP31"/>
    <mergeCell ref="DQ30:DQ31"/>
    <mergeCell ref="DR30:DR31"/>
    <mergeCell ref="DS30:DS31"/>
    <mergeCell ref="DT30:DT31"/>
    <mergeCell ref="DU30:DU31"/>
    <mergeCell ref="DV30:DV31"/>
    <mergeCell ref="DW30:DZ31"/>
    <mergeCell ref="DW32:DZ32"/>
    <mergeCell ref="DA33:DV33"/>
    <mergeCell ref="DW33:DZ34"/>
    <mergeCell ref="DA35:DZ35"/>
    <mergeCell ref="DA36:DZ36"/>
    <mergeCell ref="DA30:DE31"/>
    <mergeCell ref="DF30:DI31"/>
    <mergeCell ref="DA32:DE32"/>
    <mergeCell ref="DF32:DI32"/>
    <mergeCell ref="DA34:DV34"/>
    <mergeCell ref="DA37:DZ37"/>
    <mergeCell ref="DA38:DZ38"/>
    <mergeCell ref="DA39:DZ39"/>
    <mergeCell ref="DA40:DZ40"/>
    <mergeCell ref="DA41:DZ41"/>
    <mergeCell ref="DA42:DZ42"/>
    <mergeCell ref="DA43:DZ43"/>
    <mergeCell ref="DA44:DZ44"/>
    <mergeCell ref="DA45:DZ46"/>
    <mergeCell ref="DA48:DI48"/>
    <mergeCell ref="DJ48:DZ48"/>
    <mergeCell ref="DA49:DI50"/>
    <mergeCell ref="DJ49:DL50"/>
    <mergeCell ref="DM49:DO50"/>
    <mergeCell ref="DP49:DU50"/>
    <mergeCell ref="DV49:DV50"/>
    <mergeCell ref="DW49:DZ50"/>
    <mergeCell ref="DJ51:DJ52"/>
    <mergeCell ref="DK51:DK52"/>
    <mergeCell ref="DL51:DL52"/>
    <mergeCell ref="DM51:DM52"/>
    <mergeCell ref="DN51:DN52"/>
    <mergeCell ref="DO51:DO52"/>
    <mergeCell ref="DP51:DP52"/>
    <mergeCell ref="DQ51:DQ52"/>
    <mergeCell ref="DR51:DR52"/>
    <mergeCell ref="DS51:DS52"/>
    <mergeCell ref="DT51:DT52"/>
    <mergeCell ref="DU51:DU52"/>
    <mergeCell ref="DV51:DV52"/>
    <mergeCell ref="DW51:DZ52"/>
    <mergeCell ref="DW53:DZ53"/>
    <mergeCell ref="DW54:DZ55"/>
    <mergeCell ref="DA56:DZ56"/>
    <mergeCell ref="DA51:DE52"/>
    <mergeCell ref="DF51:DI52"/>
    <mergeCell ref="DA53:DE53"/>
    <mergeCell ref="DF53:DI53"/>
    <mergeCell ref="DA55:DV55"/>
    <mergeCell ref="DA57:DZ57"/>
    <mergeCell ref="DA58:DZ58"/>
    <mergeCell ref="DA59:DZ59"/>
    <mergeCell ref="DA60:DZ60"/>
    <mergeCell ref="DA61:DZ61"/>
    <mergeCell ref="DA62:DZ62"/>
    <mergeCell ref="DA63:DZ63"/>
    <mergeCell ref="DA64:DZ64"/>
    <mergeCell ref="DA65:DZ65"/>
    <mergeCell ref="DA66:DZ67"/>
    <mergeCell ref="DA70:DI70"/>
    <mergeCell ref="DJ70:DZ70"/>
    <mergeCell ref="DA71:DI72"/>
    <mergeCell ref="DJ71:DL72"/>
    <mergeCell ref="DM71:DO72"/>
    <mergeCell ref="DP71:DU72"/>
    <mergeCell ref="DV71:DV72"/>
    <mergeCell ref="DW71:DZ72"/>
    <mergeCell ref="DR73:DR74"/>
    <mergeCell ref="DS73:DS74"/>
    <mergeCell ref="DT73:DT74"/>
    <mergeCell ref="DU73:DU74"/>
    <mergeCell ref="DV73:DV74"/>
    <mergeCell ref="DW73:DZ74"/>
    <mergeCell ref="DW75:DZ75"/>
    <mergeCell ref="DA76:DV76"/>
    <mergeCell ref="DW76:DZ77"/>
    <mergeCell ref="DA78:DZ78"/>
    <mergeCell ref="DA79:DZ79"/>
    <mergeCell ref="DA80:DZ80"/>
    <mergeCell ref="DA81:DZ81"/>
    <mergeCell ref="DA82:DZ82"/>
    <mergeCell ref="DA83:DZ83"/>
    <mergeCell ref="DA84:DZ84"/>
    <mergeCell ref="DA85:DZ85"/>
    <mergeCell ref="DA73:DE74"/>
    <mergeCell ref="DF73:DI74"/>
    <mergeCell ref="DA75:DE75"/>
    <mergeCell ref="DF75:DI75"/>
    <mergeCell ref="DA77:DV77"/>
    <mergeCell ref="DA86:DZ86"/>
    <mergeCell ref="DA87:DZ87"/>
    <mergeCell ref="DA88:DZ89"/>
    <mergeCell ref="DA94:DI94"/>
    <mergeCell ref="DJ94:DZ94"/>
    <mergeCell ref="DA95:DI96"/>
    <mergeCell ref="DJ95:DL96"/>
    <mergeCell ref="DM95:DO96"/>
    <mergeCell ref="DP95:DU96"/>
    <mergeCell ref="DV95:DV96"/>
    <mergeCell ref="DW95:DZ96"/>
    <mergeCell ref="DJ97:DJ98"/>
    <mergeCell ref="DK97:DK98"/>
    <mergeCell ref="DL97:DL98"/>
    <mergeCell ref="DM97:DM98"/>
    <mergeCell ref="DN97:DN98"/>
    <mergeCell ref="DO97:DO98"/>
    <mergeCell ref="DP97:DP98"/>
    <mergeCell ref="DQ97:DQ98"/>
    <mergeCell ref="DR97:DR98"/>
    <mergeCell ref="DS97:DS98"/>
    <mergeCell ref="DT97:DT98"/>
    <mergeCell ref="DU97:DU98"/>
    <mergeCell ref="DV97:DV98"/>
    <mergeCell ref="DW97:DZ98"/>
    <mergeCell ref="DA97:DE98"/>
    <mergeCell ref="DF97:DI98"/>
    <mergeCell ref="DW99:DZ99"/>
    <mergeCell ref="DA100:DV100"/>
    <mergeCell ref="DW100:DZ101"/>
    <mergeCell ref="DA102:DZ102"/>
    <mergeCell ref="DA103:DZ103"/>
    <mergeCell ref="DA104:DZ104"/>
    <mergeCell ref="DA105:DZ105"/>
    <mergeCell ref="DA106:DZ106"/>
    <mergeCell ref="DA107:DZ107"/>
    <mergeCell ref="DA108:DZ108"/>
    <mergeCell ref="DA109:DZ109"/>
    <mergeCell ref="DA110:DZ110"/>
    <mergeCell ref="DA111:DZ111"/>
    <mergeCell ref="DA112:DZ113"/>
    <mergeCell ref="DA116:DI116"/>
    <mergeCell ref="DJ116:DZ116"/>
    <mergeCell ref="DA117:DI118"/>
    <mergeCell ref="DJ117:DL118"/>
    <mergeCell ref="DM117:DO118"/>
    <mergeCell ref="DP117:DU118"/>
    <mergeCell ref="DV117:DV118"/>
    <mergeCell ref="DW117:DZ118"/>
    <mergeCell ref="DA99:DE99"/>
    <mergeCell ref="DF99:DI99"/>
    <mergeCell ref="DA101:DV101"/>
    <mergeCell ref="DJ119:DJ120"/>
    <mergeCell ref="DK119:DK120"/>
    <mergeCell ref="DL119:DL120"/>
    <mergeCell ref="DM119:DM120"/>
    <mergeCell ref="DN119:DN120"/>
    <mergeCell ref="DO119:DO120"/>
    <mergeCell ref="DP119:DP120"/>
    <mergeCell ref="DQ119:DQ120"/>
    <mergeCell ref="DR119:DR120"/>
    <mergeCell ref="DS119:DS120"/>
    <mergeCell ref="DT119:DT120"/>
    <mergeCell ref="DU119:DU120"/>
    <mergeCell ref="DV119:DV120"/>
    <mergeCell ref="DW119:DZ120"/>
    <mergeCell ref="DW121:DZ121"/>
    <mergeCell ref="DA122:DV122"/>
    <mergeCell ref="DW122:DZ123"/>
    <mergeCell ref="DA119:DE120"/>
    <mergeCell ref="DF119:DI120"/>
    <mergeCell ref="DA121:DE121"/>
    <mergeCell ref="DF121:DI121"/>
    <mergeCell ref="DA123:DV123"/>
    <mergeCell ref="DA124:DZ124"/>
    <mergeCell ref="DA125:DZ125"/>
    <mergeCell ref="DA126:DZ126"/>
    <mergeCell ref="DA127:DZ127"/>
    <mergeCell ref="DA128:DZ128"/>
    <mergeCell ref="DA129:DZ129"/>
    <mergeCell ref="DA130:DZ130"/>
    <mergeCell ref="DA131:DZ131"/>
    <mergeCell ref="DA132:DZ132"/>
    <mergeCell ref="DA133:DZ133"/>
    <mergeCell ref="DA134:DZ135"/>
    <mergeCell ref="DA140:DI140"/>
    <mergeCell ref="DJ140:DZ140"/>
    <mergeCell ref="DA141:DI142"/>
    <mergeCell ref="DJ141:DL142"/>
    <mergeCell ref="DM141:DO142"/>
    <mergeCell ref="DP141:DU142"/>
    <mergeCell ref="DV141:DV142"/>
    <mergeCell ref="DW141:DZ142"/>
    <mergeCell ref="DJ143:DJ144"/>
    <mergeCell ref="DK143:DK144"/>
    <mergeCell ref="DL143:DL144"/>
    <mergeCell ref="DM143:DM144"/>
    <mergeCell ref="DN143:DN144"/>
    <mergeCell ref="DO143:DO144"/>
    <mergeCell ref="DP143:DP144"/>
    <mergeCell ref="DQ143:DQ144"/>
    <mergeCell ref="DR143:DR144"/>
    <mergeCell ref="DS143:DS144"/>
    <mergeCell ref="DT143:DT144"/>
    <mergeCell ref="DU143:DU144"/>
    <mergeCell ref="DV143:DV144"/>
    <mergeCell ref="DW143:DZ144"/>
    <mergeCell ref="DW145:DZ145"/>
    <mergeCell ref="DA146:DV146"/>
    <mergeCell ref="DW146:DZ147"/>
    <mergeCell ref="DA143:DE144"/>
    <mergeCell ref="DF143:DI144"/>
    <mergeCell ref="DA145:DE145"/>
    <mergeCell ref="DF145:DI145"/>
    <mergeCell ref="DA147:DV147"/>
    <mergeCell ref="DA148:DZ148"/>
    <mergeCell ref="DA149:DZ149"/>
    <mergeCell ref="DA150:DZ150"/>
    <mergeCell ref="DA151:DZ151"/>
    <mergeCell ref="DA152:DZ152"/>
    <mergeCell ref="DA153:DZ153"/>
    <mergeCell ref="DA154:DZ154"/>
    <mergeCell ref="DA155:DZ155"/>
    <mergeCell ref="DA156:DZ156"/>
    <mergeCell ref="DA157:DZ157"/>
    <mergeCell ref="DA158:DZ159"/>
    <mergeCell ref="DA162:DI162"/>
    <mergeCell ref="DJ162:DZ162"/>
    <mergeCell ref="DA163:DI164"/>
    <mergeCell ref="DJ163:DL164"/>
    <mergeCell ref="DM163:DO164"/>
    <mergeCell ref="DP163:DU164"/>
    <mergeCell ref="DV163:DV164"/>
    <mergeCell ref="DW163:DZ164"/>
    <mergeCell ref="DJ165:DJ166"/>
    <mergeCell ref="DK165:DK166"/>
    <mergeCell ref="DL165:DL166"/>
    <mergeCell ref="DM165:DM166"/>
    <mergeCell ref="DN165:DN166"/>
    <mergeCell ref="DO165:DO166"/>
    <mergeCell ref="DP165:DP166"/>
    <mergeCell ref="DQ165:DQ166"/>
    <mergeCell ref="DR165:DR166"/>
    <mergeCell ref="DS165:DS166"/>
    <mergeCell ref="DT165:DT166"/>
    <mergeCell ref="DU165:DU166"/>
    <mergeCell ref="DV165:DV166"/>
    <mergeCell ref="DW165:DZ166"/>
    <mergeCell ref="DW167:DZ167"/>
    <mergeCell ref="DA168:DV168"/>
    <mergeCell ref="DW168:DZ169"/>
    <mergeCell ref="DA165:DE166"/>
    <mergeCell ref="DF165:DI166"/>
    <mergeCell ref="DA167:DE167"/>
    <mergeCell ref="DF167:DI167"/>
    <mergeCell ref="DA169:DV169"/>
    <mergeCell ref="DM187:DO188"/>
    <mergeCell ref="DP187:DU188"/>
    <mergeCell ref="DV187:DV188"/>
    <mergeCell ref="DW187:DZ188"/>
    <mergeCell ref="DJ189:DJ190"/>
    <mergeCell ref="DK189:DK190"/>
    <mergeCell ref="DL189:DL190"/>
    <mergeCell ref="DM189:DM190"/>
    <mergeCell ref="DN189:DN190"/>
    <mergeCell ref="DO189:DO190"/>
    <mergeCell ref="DP189:DP190"/>
    <mergeCell ref="DQ189:DQ190"/>
    <mergeCell ref="DR189:DR190"/>
    <mergeCell ref="DS189:DS190"/>
    <mergeCell ref="DT189:DT190"/>
    <mergeCell ref="DU189:DU190"/>
    <mergeCell ref="DV189:DV190"/>
    <mergeCell ref="DW189:DZ190"/>
    <mergeCell ref="DW191:DZ191"/>
    <mergeCell ref="DA192:DV192"/>
    <mergeCell ref="DW192:DZ193"/>
    <mergeCell ref="DA189:DE190"/>
    <mergeCell ref="DF189:DI190"/>
    <mergeCell ref="DA194:DZ194"/>
    <mergeCell ref="DA195:DZ195"/>
    <mergeCell ref="DA196:DZ196"/>
    <mergeCell ref="DA197:DZ197"/>
    <mergeCell ref="DA198:DZ198"/>
    <mergeCell ref="DA199:DZ199"/>
    <mergeCell ref="DA200:DZ200"/>
    <mergeCell ref="DA201:DZ201"/>
    <mergeCell ref="DA202:DZ202"/>
    <mergeCell ref="DA203:DZ203"/>
    <mergeCell ref="DA204:DZ205"/>
    <mergeCell ref="DA208:DI208"/>
    <mergeCell ref="DJ208:DZ208"/>
    <mergeCell ref="DA191:DE191"/>
    <mergeCell ref="DF191:DI191"/>
    <mergeCell ref="DA193:DV193"/>
    <mergeCell ref="DA209:DI210"/>
    <mergeCell ref="DJ209:DL210"/>
    <mergeCell ref="DM209:DO210"/>
    <mergeCell ref="DP209:DU210"/>
    <mergeCell ref="DV209:DV210"/>
    <mergeCell ref="DW209:DZ210"/>
    <mergeCell ref="DJ211:DJ212"/>
    <mergeCell ref="DK211:DK212"/>
    <mergeCell ref="DL211:DL212"/>
    <mergeCell ref="DM211:DM212"/>
    <mergeCell ref="DN211:DN212"/>
    <mergeCell ref="DO211:DO212"/>
    <mergeCell ref="DP211:DP212"/>
    <mergeCell ref="DQ211:DQ212"/>
    <mergeCell ref="DR211:DR212"/>
    <mergeCell ref="DS211:DS212"/>
    <mergeCell ref="DT211:DT212"/>
    <mergeCell ref="DU211:DU212"/>
    <mergeCell ref="DV211:DV212"/>
    <mergeCell ref="DW211:DZ212"/>
    <mergeCell ref="DA211:DE212"/>
    <mergeCell ref="DF211:DI212"/>
    <mergeCell ref="DW237:DZ237"/>
    <mergeCell ref="DA238:DV238"/>
    <mergeCell ref="DV235:DV236"/>
    <mergeCell ref="DW235:DZ236"/>
    <mergeCell ref="DW213:DZ213"/>
    <mergeCell ref="DA214:DV214"/>
    <mergeCell ref="DW214:DZ215"/>
    <mergeCell ref="DA216:DZ216"/>
    <mergeCell ref="DA217:DZ217"/>
    <mergeCell ref="DA218:DZ218"/>
    <mergeCell ref="DA219:DZ219"/>
    <mergeCell ref="DA220:DZ220"/>
    <mergeCell ref="DA221:DZ221"/>
    <mergeCell ref="DA222:DZ222"/>
    <mergeCell ref="DA223:DZ223"/>
    <mergeCell ref="DA224:DZ224"/>
    <mergeCell ref="DA225:DZ225"/>
    <mergeCell ref="DA226:DZ227"/>
    <mergeCell ref="DA232:DI232"/>
    <mergeCell ref="DJ232:DZ232"/>
    <mergeCell ref="DA213:DE213"/>
    <mergeCell ref="DF213:DI213"/>
    <mergeCell ref="DA235:DE236"/>
    <mergeCell ref="DF235:DI236"/>
    <mergeCell ref="DA215:DV215"/>
    <mergeCell ref="DA233:DI234"/>
    <mergeCell ref="DJ233:DL234"/>
    <mergeCell ref="DM233:DO234"/>
    <mergeCell ref="DP233:DU234"/>
    <mergeCell ref="DV233:DV234"/>
    <mergeCell ref="DW233:DZ234"/>
    <mergeCell ref="DJ235:DJ236"/>
    <mergeCell ref="DK235:DK236"/>
    <mergeCell ref="DL235:DL236"/>
    <mergeCell ref="DM235:DM236"/>
    <mergeCell ref="DN235:DN236"/>
    <mergeCell ref="DO235:DO236"/>
    <mergeCell ref="DP235:DP236"/>
    <mergeCell ref="DQ235:DQ236"/>
    <mergeCell ref="DR235:DR236"/>
    <mergeCell ref="DS235:DS236"/>
    <mergeCell ref="DT235:DT236"/>
    <mergeCell ref="DU235:DU236"/>
    <mergeCell ref="DU257:DU258"/>
    <mergeCell ref="DV257:DV258"/>
    <mergeCell ref="DW257:DZ258"/>
    <mergeCell ref="DW260:DZ261"/>
    <mergeCell ref="DA262:DZ262"/>
    <mergeCell ref="DA263:DZ263"/>
    <mergeCell ref="DA241:DZ241"/>
    <mergeCell ref="DA242:DZ242"/>
    <mergeCell ref="DA243:DZ243"/>
    <mergeCell ref="DA244:DZ244"/>
    <mergeCell ref="DA245:DZ245"/>
    <mergeCell ref="DA246:DZ246"/>
    <mergeCell ref="DA247:DZ247"/>
    <mergeCell ref="DA248:DZ248"/>
    <mergeCell ref="DA249:DZ249"/>
    <mergeCell ref="DA250:DZ251"/>
    <mergeCell ref="DA254:DI254"/>
    <mergeCell ref="DJ254:DZ254"/>
    <mergeCell ref="DW238:DZ239"/>
    <mergeCell ref="DA240:DZ240"/>
    <mergeCell ref="DA239:DV239"/>
    <mergeCell ref="DR281:DR282"/>
    <mergeCell ref="DS281:DS282"/>
    <mergeCell ref="DT281:DT282"/>
    <mergeCell ref="DU281:DU282"/>
    <mergeCell ref="DV281:DV282"/>
    <mergeCell ref="DW281:DZ282"/>
    <mergeCell ref="DA266:DZ266"/>
    <mergeCell ref="DA267:DZ267"/>
    <mergeCell ref="DA268:DZ268"/>
    <mergeCell ref="DA269:DZ269"/>
    <mergeCell ref="DA270:DZ270"/>
    <mergeCell ref="DA271:DZ271"/>
    <mergeCell ref="DA272:DZ273"/>
    <mergeCell ref="DA278:DI278"/>
    <mergeCell ref="DJ278:DZ278"/>
    <mergeCell ref="DA255:DI256"/>
    <mergeCell ref="DJ255:DL256"/>
    <mergeCell ref="DM255:DO256"/>
    <mergeCell ref="DP255:DU256"/>
    <mergeCell ref="DV255:DV256"/>
    <mergeCell ref="DW255:DZ256"/>
    <mergeCell ref="DJ257:DJ258"/>
    <mergeCell ref="DK257:DK258"/>
    <mergeCell ref="DL257:DL258"/>
    <mergeCell ref="DM257:DM258"/>
    <mergeCell ref="DN257:DN258"/>
    <mergeCell ref="DO257:DO258"/>
    <mergeCell ref="DP257:DP258"/>
    <mergeCell ref="DQ257:DQ258"/>
    <mergeCell ref="DR257:DR258"/>
    <mergeCell ref="DS257:DS258"/>
    <mergeCell ref="DT257:DT258"/>
    <mergeCell ref="DA264:DZ264"/>
    <mergeCell ref="DA265:DZ265"/>
    <mergeCell ref="DW283:DZ283"/>
    <mergeCell ref="DA284:DV284"/>
    <mergeCell ref="DW284:DZ285"/>
    <mergeCell ref="DA286:DZ286"/>
    <mergeCell ref="DA287:DZ287"/>
    <mergeCell ref="DA288:DZ288"/>
    <mergeCell ref="DA289:DZ289"/>
    <mergeCell ref="DA290:DZ290"/>
    <mergeCell ref="DA291:DZ291"/>
    <mergeCell ref="DA292:DZ292"/>
    <mergeCell ref="DA293:DZ293"/>
    <mergeCell ref="DA294:DZ294"/>
    <mergeCell ref="DA295:DZ295"/>
    <mergeCell ref="DA296:DZ297"/>
    <mergeCell ref="DA300:DI300"/>
    <mergeCell ref="DJ300:DZ300"/>
    <mergeCell ref="DA279:DI280"/>
    <mergeCell ref="DJ279:DL280"/>
    <mergeCell ref="DM279:DO280"/>
    <mergeCell ref="DP279:DU280"/>
    <mergeCell ref="DV279:DV280"/>
    <mergeCell ref="DW279:DZ280"/>
    <mergeCell ref="DJ281:DJ282"/>
    <mergeCell ref="DK281:DK282"/>
    <mergeCell ref="DL281:DL282"/>
    <mergeCell ref="DM281:DM282"/>
    <mergeCell ref="DN281:DN282"/>
    <mergeCell ref="DO281:DO282"/>
    <mergeCell ref="DP281:DP282"/>
    <mergeCell ref="DQ281:DQ282"/>
    <mergeCell ref="DA301:DI302"/>
    <mergeCell ref="DJ301:DL302"/>
    <mergeCell ref="DM301:DO302"/>
    <mergeCell ref="DP301:DU302"/>
    <mergeCell ref="DV301:DV302"/>
    <mergeCell ref="DW301:DZ302"/>
    <mergeCell ref="DJ303:DJ304"/>
    <mergeCell ref="DK303:DK304"/>
    <mergeCell ref="DL303:DL304"/>
    <mergeCell ref="DM303:DM304"/>
    <mergeCell ref="DN303:DN304"/>
    <mergeCell ref="DO303:DO304"/>
    <mergeCell ref="DP303:DP304"/>
    <mergeCell ref="DQ303:DQ304"/>
    <mergeCell ref="DR303:DR304"/>
    <mergeCell ref="DS303:DS304"/>
    <mergeCell ref="DT303:DT304"/>
    <mergeCell ref="DU303:DU304"/>
    <mergeCell ref="DV303:DV304"/>
    <mergeCell ref="DW303:DZ304"/>
    <mergeCell ref="DW305:DZ305"/>
    <mergeCell ref="DA306:DV306"/>
    <mergeCell ref="DW306:DZ307"/>
    <mergeCell ref="DJ325:DL326"/>
    <mergeCell ref="DM325:DO326"/>
    <mergeCell ref="DP325:DU326"/>
    <mergeCell ref="DV325:DV326"/>
    <mergeCell ref="DW325:DZ326"/>
    <mergeCell ref="DJ327:DJ328"/>
    <mergeCell ref="DK327:DK328"/>
    <mergeCell ref="DL327:DL328"/>
    <mergeCell ref="DM327:DM328"/>
    <mergeCell ref="DN327:DN328"/>
    <mergeCell ref="DO327:DO328"/>
    <mergeCell ref="DP327:DP328"/>
    <mergeCell ref="DQ327:DQ328"/>
    <mergeCell ref="DR327:DR328"/>
    <mergeCell ref="DS327:DS328"/>
    <mergeCell ref="DT327:DT328"/>
    <mergeCell ref="DU327:DU328"/>
    <mergeCell ref="DV327:DV328"/>
    <mergeCell ref="DW327:DZ328"/>
    <mergeCell ref="DA327:DE328"/>
    <mergeCell ref="DF327:DI328"/>
    <mergeCell ref="DA330:DV330"/>
    <mergeCell ref="DW330:DZ331"/>
    <mergeCell ref="DA332:DZ332"/>
    <mergeCell ref="DA333:DZ333"/>
    <mergeCell ref="DA334:DZ334"/>
    <mergeCell ref="DA335:DZ335"/>
    <mergeCell ref="DA336:DZ336"/>
    <mergeCell ref="DA337:DZ337"/>
    <mergeCell ref="DA338:DZ338"/>
    <mergeCell ref="DA339:DZ339"/>
    <mergeCell ref="DA340:DZ340"/>
    <mergeCell ref="DA341:DZ341"/>
    <mergeCell ref="DA342:DZ343"/>
    <mergeCell ref="DA346:DI346"/>
    <mergeCell ref="DJ346:DZ346"/>
    <mergeCell ref="DA347:DI348"/>
    <mergeCell ref="DJ347:DL348"/>
    <mergeCell ref="DM347:DO348"/>
    <mergeCell ref="DP347:DU348"/>
    <mergeCell ref="DV347:DV348"/>
    <mergeCell ref="DW347:DZ348"/>
    <mergeCell ref="DJ349:DJ350"/>
    <mergeCell ref="DK349:DK350"/>
    <mergeCell ref="DL349:DL350"/>
    <mergeCell ref="DM349:DM350"/>
    <mergeCell ref="DN349:DN350"/>
    <mergeCell ref="DO349:DO350"/>
    <mergeCell ref="DP349:DP350"/>
    <mergeCell ref="DQ349:DQ350"/>
    <mergeCell ref="DR349:DR350"/>
    <mergeCell ref="DS349:DS350"/>
    <mergeCell ref="DT349:DT350"/>
    <mergeCell ref="DU349:DU350"/>
    <mergeCell ref="DV349:DV350"/>
    <mergeCell ref="DW349:DZ350"/>
    <mergeCell ref="DA349:DE350"/>
    <mergeCell ref="DF349:DI350"/>
    <mergeCell ref="DW351:DZ351"/>
    <mergeCell ref="DA352:DV352"/>
    <mergeCell ref="DW352:DZ353"/>
    <mergeCell ref="DA354:DZ354"/>
    <mergeCell ref="DA355:DZ355"/>
    <mergeCell ref="DA356:DZ356"/>
    <mergeCell ref="DA357:DZ357"/>
    <mergeCell ref="DA358:DZ358"/>
    <mergeCell ref="DA359:DZ359"/>
    <mergeCell ref="DA360:DZ360"/>
    <mergeCell ref="DA361:DZ361"/>
    <mergeCell ref="DA362:DZ362"/>
    <mergeCell ref="DA363:DZ363"/>
    <mergeCell ref="DA364:DZ365"/>
    <mergeCell ref="DA370:DI370"/>
    <mergeCell ref="DJ370:DZ370"/>
    <mergeCell ref="DA351:DE351"/>
    <mergeCell ref="DF351:DI351"/>
    <mergeCell ref="DA371:DI372"/>
    <mergeCell ref="DJ371:DL372"/>
    <mergeCell ref="DM371:DO372"/>
    <mergeCell ref="DP371:DU372"/>
    <mergeCell ref="DV371:DV372"/>
    <mergeCell ref="DW371:DZ372"/>
    <mergeCell ref="DJ373:DJ374"/>
    <mergeCell ref="DK373:DK374"/>
    <mergeCell ref="DL373:DL374"/>
    <mergeCell ref="DM373:DM374"/>
    <mergeCell ref="DN373:DN374"/>
    <mergeCell ref="DO373:DO374"/>
    <mergeCell ref="DP373:DP374"/>
    <mergeCell ref="DQ373:DQ374"/>
    <mergeCell ref="DR373:DR374"/>
    <mergeCell ref="DS373:DS374"/>
    <mergeCell ref="DT373:DT374"/>
    <mergeCell ref="DU373:DU374"/>
    <mergeCell ref="DV373:DV374"/>
    <mergeCell ref="DW373:DZ374"/>
    <mergeCell ref="DA373:DE374"/>
    <mergeCell ref="DF373:DI374"/>
    <mergeCell ref="DW375:DZ375"/>
    <mergeCell ref="DA376:DV376"/>
    <mergeCell ref="DW376:DZ377"/>
    <mergeCell ref="DA378:DZ378"/>
    <mergeCell ref="DA379:DZ379"/>
    <mergeCell ref="DA380:DZ380"/>
    <mergeCell ref="DA381:DZ381"/>
    <mergeCell ref="DA382:DZ382"/>
    <mergeCell ref="DA383:DZ383"/>
    <mergeCell ref="DA384:DZ384"/>
    <mergeCell ref="DA385:DZ385"/>
    <mergeCell ref="DA386:DZ386"/>
    <mergeCell ref="DA387:DZ387"/>
    <mergeCell ref="DA388:DZ389"/>
    <mergeCell ref="DA392:DI392"/>
    <mergeCell ref="DJ392:DZ392"/>
    <mergeCell ref="DA375:DE375"/>
    <mergeCell ref="DF375:DI375"/>
    <mergeCell ref="DA393:DI394"/>
    <mergeCell ref="DJ393:DL394"/>
    <mergeCell ref="DM393:DO394"/>
    <mergeCell ref="DP393:DU394"/>
    <mergeCell ref="DV393:DV394"/>
    <mergeCell ref="DW393:DZ394"/>
    <mergeCell ref="DJ395:DJ396"/>
    <mergeCell ref="DK395:DK396"/>
    <mergeCell ref="DL395:DL396"/>
    <mergeCell ref="DM395:DM396"/>
    <mergeCell ref="DN395:DN396"/>
    <mergeCell ref="DO395:DO396"/>
    <mergeCell ref="DP395:DP396"/>
    <mergeCell ref="DQ395:DQ396"/>
    <mergeCell ref="DR395:DR396"/>
    <mergeCell ref="DS395:DS396"/>
    <mergeCell ref="DT395:DT396"/>
    <mergeCell ref="DU395:DU396"/>
    <mergeCell ref="DV395:DV396"/>
    <mergeCell ref="DW395:DZ396"/>
    <mergeCell ref="DA395:DE396"/>
    <mergeCell ref="DF395:DI396"/>
    <mergeCell ref="DW397:DZ397"/>
    <mergeCell ref="DA398:DV398"/>
    <mergeCell ref="DW398:DZ399"/>
    <mergeCell ref="DA400:DZ400"/>
    <mergeCell ref="DA401:DZ401"/>
    <mergeCell ref="DA402:DZ402"/>
    <mergeCell ref="DA403:DZ403"/>
    <mergeCell ref="DA404:DZ404"/>
    <mergeCell ref="DA405:DZ405"/>
    <mergeCell ref="DA406:DZ406"/>
    <mergeCell ref="DA407:DZ407"/>
    <mergeCell ref="DA408:DZ408"/>
    <mergeCell ref="DA409:DZ409"/>
    <mergeCell ref="DA410:DZ411"/>
    <mergeCell ref="DA416:DI416"/>
    <mergeCell ref="DJ416:DZ416"/>
    <mergeCell ref="DA397:DE397"/>
    <mergeCell ref="DF397:DI397"/>
    <mergeCell ref="DA417:DI418"/>
    <mergeCell ref="DJ417:DL418"/>
    <mergeCell ref="DM417:DO418"/>
    <mergeCell ref="DP417:DU418"/>
    <mergeCell ref="DV417:DV418"/>
    <mergeCell ref="DW417:DZ418"/>
    <mergeCell ref="DJ419:DJ420"/>
    <mergeCell ref="DK419:DK420"/>
    <mergeCell ref="DL419:DL420"/>
    <mergeCell ref="DM419:DM420"/>
    <mergeCell ref="DN419:DN420"/>
    <mergeCell ref="DO419:DO420"/>
    <mergeCell ref="DP419:DP420"/>
    <mergeCell ref="DQ419:DQ420"/>
    <mergeCell ref="DR419:DR420"/>
    <mergeCell ref="DS419:DS420"/>
    <mergeCell ref="DT419:DT420"/>
    <mergeCell ref="DU419:DU420"/>
    <mergeCell ref="DV419:DV420"/>
    <mergeCell ref="DW419:DZ420"/>
    <mergeCell ref="DA419:DE420"/>
    <mergeCell ref="DF419:DI420"/>
    <mergeCell ref="DT441:DT442"/>
    <mergeCell ref="DU441:DU442"/>
    <mergeCell ref="DV441:DV442"/>
    <mergeCell ref="DW441:DZ442"/>
    <mergeCell ref="DA441:DE442"/>
    <mergeCell ref="DF441:DI442"/>
    <mergeCell ref="DW421:DZ421"/>
    <mergeCell ref="DA422:DV422"/>
    <mergeCell ref="DW422:DZ423"/>
    <mergeCell ref="DA424:DZ424"/>
    <mergeCell ref="DA425:DZ425"/>
    <mergeCell ref="DA426:DZ426"/>
    <mergeCell ref="DA427:DZ427"/>
    <mergeCell ref="DA428:DZ428"/>
    <mergeCell ref="DA429:DZ429"/>
    <mergeCell ref="DA430:DZ430"/>
    <mergeCell ref="DA431:DZ431"/>
    <mergeCell ref="DA432:DZ432"/>
    <mergeCell ref="DA433:DZ433"/>
    <mergeCell ref="DA434:DZ435"/>
    <mergeCell ref="DA438:DI438"/>
    <mergeCell ref="DJ438:DZ438"/>
    <mergeCell ref="DA421:DE421"/>
    <mergeCell ref="DF421:DI421"/>
    <mergeCell ref="DA444:DV444"/>
    <mergeCell ref="DW444:DZ445"/>
    <mergeCell ref="DA446:DZ446"/>
    <mergeCell ref="DA447:DZ447"/>
    <mergeCell ref="DA448:DZ448"/>
    <mergeCell ref="DA449:DZ449"/>
    <mergeCell ref="DA450:DZ450"/>
    <mergeCell ref="DA451:DZ451"/>
    <mergeCell ref="DA452:DZ452"/>
    <mergeCell ref="DA453:DZ453"/>
    <mergeCell ref="DA454:DZ454"/>
    <mergeCell ref="DA455:DZ455"/>
    <mergeCell ref="DA456:DZ457"/>
    <mergeCell ref="DA1:DP1"/>
    <mergeCell ref="DQ1:DZ1"/>
    <mergeCell ref="DA2:DP2"/>
    <mergeCell ref="DQ2:DV2"/>
    <mergeCell ref="DW2:DZ2"/>
    <mergeCell ref="DA3:DP3"/>
    <mergeCell ref="DQ3:DZ3"/>
    <mergeCell ref="DA4:DP4"/>
    <mergeCell ref="DQ4:DZ4"/>
    <mergeCell ref="DA5:DP5"/>
    <mergeCell ref="DQ5:DZ5"/>
    <mergeCell ref="DA6:DI6"/>
    <mergeCell ref="DJ6:DZ6"/>
    <mergeCell ref="DA7:DI8"/>
    <mergeCell ref="DJ7:DL8"/>
    <mergeCell ref="DM7:DO8"/>
    <mergeCell ref="DW259:DZ259"/>
    <mergeCell ref="DA260:DV260"/>
    <mergeCell ref="DA439:DI440"/>
    <mergeCell ref="DV7:DV8"/>
    <mergeCell ref="DW7:DZ8"/>
    <mergeCell ref="DJ9:DJ10"/>
    <mergeCell ref="DK9:DK10"/>
    <mergeCell ref="DL9:DL10"/>
    <mergeCell ref="DM9:DM10"/>
    <mergeCell ref="DN9:DN10"/>
    <mergeCell ref="DO9:DO10"/>
    <mergeCell ref="DP9:DP10"/>
    <mergeCell ref="DQ9:DQ10"/>
    <mergeCell ref="DR9:DR10"/>
    <mergeCell ref="DS9:DS10"/>
    <mergeCell ref="DT9:DT10"/>
    <mergeCell ref="DU9:DU10"/>
    <mergeCell ref="DV9:DV10"/>
    <mergeCell ref="DW9:DZ10"/>
    <mergeCell ref="DW443:DZ443"/>
    <mergeCell ref="DJ439:DL440"/>
    <mergeCell ref="DM439:DO440"/>
    <mergeCell ref="DP439:DU440"/>
    <mergeCell ref="DV439:DV440"/>
    <mergeCell ref="DW439:DZ440"/>
    <mergeCell ref="DJ441:DJ442"/>
    <mergeCell ref="DK441:DK442"/>
    <mergeCell ref="DL441:DL442"/>
    <mergeCell ref="DM441:DM442"/>
    <mergeCell ref="DN441:DN442"/>
    <mergeCell ref="DO441:DO442"/>
    <mergeCell ref="DP441:DP442"/>
    <mergeCell ref="DQ441:DQ442"/>
    <mergeCell ref="DR441:DR442"/>
    <mergeCell ref="DS441:DS442"/>
    <mergeCell ref="EA5:EP5"/>
    <mergeCell ref="EQ5:EZ5"/>
    <mergeCell ref="FA5:FP5"/>
    <mergeCell ref="FQ5:FZ5"/>
    <mergeCell ref="EA6:EI6"/>
    <mergeCell ref="EJ6:EZ6"/>
    <mergeCell ref="FA6:FI6"/>
    <mergeCell ref="FJ6:FZ6"/>
    <mergeCell ref="AA228:AZ229"/>
    <mergeCell ref="AA274:AZ275"/>
    <mergeCell ref="BA228:BZ229"/>
    <mergeCell ref="BA274:BZ275"/>
    <mergeCell ref="CA228:CZ229"/>
    <mergeCell ref="CA274:CZ275"/>
    <mergeCell ref="DA228:DZ229"/>
    <mergeCell ref="DA274:DZ275"/>
    <mergeCell ref="EJ7:EL8"/>
    <mergeCell ref="EM7:EO8"/>
    <mergeCell ref="EP7:EU8"/>
    <mergeCell ref="EV7:EV8"/>
    <mergeCell ref="EW7:EZ8"/>
    <mergeCell ref="FA7:FI8"/>
    <mergeCell ref="FJ7:FL8"/>
    <mergeCell ref="FM7:FO8"/>
    <mergeCell ref="FP7:FU8"/>
    <mergeCell ref="FV7:FV8"/>
    <mergeCell ref="FW7:FZ8"/>
    <mergeCell ref="FO9:FO10"/>
    <mergeCell ref="FW11:FZ11"/>
    <mergeCell ref="EJ9:EJ10"/>
    <mergeCell ref="DW11:DZ11"/>
    <mergeCell ref="DA14:DZ14"/>
    <mergeCell ref="DA15:DZ15"/>
    <mergeCell ref="DA16:DZ16"/>
    <mergeCell ref="DA17:DZ17"/>
    <mergeCell ref="DA18:DZ18"/>
    <mergeCell ref="DA19:DZ19"/>
    <mergeCell ref="DA20:DZ20"/>
    <mergeCell ref="DA21:DZ21"/>
    <mergeCell ref="DA22:DZ22"/>
    <mergeCell ref="DA23:DZ23"/>
    <mergeCell ref="DA24:DZ25"/>
    <mergeCell ref="EA1:EP1"/>
    <mergeCell ref="EQ1:EZ1"/>
    <mergeCell ref="FA1:FP1"/>
    <mergeCell ref="FQ1:FZ1"/>
    <mergeCell ref="EA2:EP2"/>
    <mergeCell ref="EQ2:EV2"/>
    <mergeCell ref="EW2:EZ2"/>
    <mergeCell ref="FA2:FP2"/>
    <mergeCell ref="FQ2:FV2"/>
    <mergeCell ref="FW2:FZ2"/>
    <mergeCell ref="EA3:EP3"/>
    <mergeCell ref="EQ3:EZ3"/>
    <mergeCell ref="FA3:FP3"/>
    <mergeCell ref="FQ3:FZ3"/>
    <mergeCell ref="EA4:EP4"/>
    <mergeCell ref="EQ4:EZ4"/>
    <mergeCell ref="FA4:FP4"/>
    <mergeCell ref="FQ4:FZ4"/>
    <mergeCell ref="EA7:EI8"/>
    <mergeCell ref="DP7:DU8"/>
    <mergeCell ref="EK9:EK10"/>
    <mergeCell ref="EL9:EL10"/>
    <mergeCell ref="EM9:EM10"/>
    <mergeCell ref="EN9:EN10"/>
    <mergeCell ref="EO9:EO10"/>
    <mergeCell ref="EP9:EP10"/>
    <mergeCell ref="EQ9:EQ10"/>
    <mergeCell ref="ER9:ER10"/>
    <mergeCell ref="ES9:ES10"/>
    <mergeCell ref="ET9:ET10"/>
    <mergeCell ref="EU9:EU10"/>
    <mergeCell ref="EV9:EV10"/>
    <mergeCell ref="EW9:EZ10"/>
    <mergeCell ref="EA14:EZ14"/>
    <mergeCell ref="FA14:FZ14"/>
    <mergeCell ref="EA15:EZ15"/>
    <mergeCell ref="FA15:FZ15"/>
    <mergeCell ref="EA16:EZ16"/>
    <mergeCell ref="FA16:FZ16"/>
    <mergeCell ref="EA17:EZ17"/>
    <mergeCell ref="FA17:FZ17"/>
    <mergeCell ref="EA18:EZ18"/>
    <mergeCell ref="FA18:FZ18"/>
    <mergeCell ref="EA19:EZ19"/>
    <mergeCell ref="FA19:FZ19"/>
    <mergeCell ref="EA20:EZ20"/>
    <mergeCell ref="FA20:FZ20"/>
    <mergeCell ref="ES30:ES31"/>
    <mergeCell ref="ET30:ET31"/>
    <mergeCell ref="EU30:EU31"/>
    <mergeCell ref="EV30:EV31"/>
    <mergeCell ref="EW30:EZ31"/>
    <mergeCell ref="EA21:EZ21"/>
    <mergeCell ref="FA21:FZ21"/>
    <mergeCell ref="EA22:EZ22"/>
    <mergeCell ref="FA22:FZ22"/>
    <mergeCell ref="EA23:EZ23"/>
    <mergeCell ref="FA23:FZ23"/>
    <mergeCell ref="EA24:EZ25"/>
    <mergeCell ref="FA24:FZ25"/>
    <mergeCell ref="EA27:EI27"/>
    <mergeCell ref="EJ27:EZ27"/>
    <mergeCell ref="FA27:FI27"/>
    <mergeCell ref="FJ27:FZ27"/>
    <mergeCell ref="EA28:EI29"/>
    <mergeCell ref="EJ28:EL29"/>
    <mergeCell ref="EM28:EO29"/>
    <mergeCell ref="EJ30:EJ31"/>
    <mergeCell ref="EK30:EK31"/>
    <mergeCell ref="EP28:EU29"/>
    <mergeCell ref="EV28:EV29"/>
    <mergeCell ref="EW28:EZ29"/>
    <mergeCell ref="FA28:FI29"/>
    <mergeCell ref="FJ28:FL29"/>
    <mergeCell ref="FM28:FO29"/>
    <mergeCell ref="FP28:FU29"/>
    <mergeCell ref="FV28:FV29"/>
    <mergeCell ref="FW28:FZ29"/>
    <mergeCell ref="FJ30:FJ31"/>
    <mergeCell ref="FK30:FK31"/>
    <mergeCell ref="FL30:FL31"/>
    <mergeCell ref="FM30:FM31"/>
    <mergeCell ref="FN30:FN31"/>
    <mergeCell ref="FO30:FO31"/>
    <mergeCell ref="FP30:FP31"/>
    <mergeCell ref="FQ30:FQ31"/>
    <mergeCell ref="FR30:FR31"/>
    <mergeCell ref="FS30:FS31"/>
    <mergeCell ref="FT30:FT31"/>
    <mergeCell ref="FU30:FU31"/>
    <mergeCell ref="FV30:FV31"/>
    <mergeCell ref="FW30:FZ31"/>
    <mergeCell ref="FA30:FE31"/>
    <mergeCell ref="FF30:FI31"/>
    <mergeCell ref="EL30:EL31"/>
    <mergeCell ref="EM30:EM31"/>
    <mergeCell ref="EN30:EN31"/>
    <mergeCell ref="EO30:EO31"/>
    <mergeCell ref="EP30:EP31"/>
    <mergeCell ref="EQ30:EQ31"/>
    <mergeCell ref="ER30:ER31"/>
    <mergeCell ref="EA33:EV33"/>
    <mergeCell ref="EW33:EZ34"/>
    <mergeCell ref="FA33:FV33"/>
    <mergeCell ref="FW33:FZ34"/>
    <mergeCell ref="EA35:EZ35"/>
    <mergeCell ref="FA35:FZ35"/>
    <mergeCell ref="FA39:FZ39"/>
    <mergeCell ref="EA40:EZ40"/>
    <mergeCell ref="FA40:FZ40"/>
    <mergeCell ref="EA41:EZ41"/>
    <mergeCell ref="FA41:FZ41"/>
    <mergeCell ref="FA34:FV34"/>
    <mergeCell ref="EA36:EZ36"/>
    <mergeCell ref="FA36:FZ36"/>
    <mergeCell ref="EA37:EZ37"/>
    <mergeCell ref="FA37:FZ37"/>
    <mergeCell ref="EA38:EZ38"/>
    <mergeCell ref="FA38:FZ38"/>
    <mergeCell ref="EA39:EZ39"/>
    <mergeCell ref="EW32:EZ32"/>
    <mergeCell ref="FW32:FZ32"/>
    <mergeCell ref="FA32:FE32"/>
    <mergeCell ref="FF32:FI32"/>
    <mergeCell ref="EA48:EI48"/>
    <mergeCell ref="EJ48:EZ48"/>
    <mergeCell ref="FA48:FI48"/>
    <mergeCell ref="FJ48:FZ48"/>
    <mergeCell ref="EA49:EI50"/>
    <mergeCell ref="EJ49:EL50"/>
    <mergeCell ref="EM49:EO50"/>
    <mergeCell ref="EP49:EU50"/>
    <mergeCell ref="EV49:EV50"/>
    <mergeCell ref="EW49:EZ50"/>
    <mergeCell ref="FA49:FI50"/>
    <mergeCell ref="FJ49:FL50"/>
    <mergeCell ref="FM49:FO50"/>
    <mergeCell ref="FP49:FU50"/>
    <mergeCell ref="FV49:FV50"/>
    <mergeCell ref="FW49:FZ50"/>
    <mergeCell ref="EA42:EZ42"/>
    <mergeCell ref="FA42:FZ42"/>
    <mergeCell ref="EA43:EZ43"/>
    <mergeCell ref="FA43:FZ43"/>
    <mergeCell ref="EA44:EZ44"/>
    <mergeCell ref="FA44:FZ44"/>
    <mergeCell ref="EA45:EZ46"/>
    <mergeCell ref="FA45:FZ46"/>
    <mergeCell ref="FO51:FO52"/>
    <mergeCell ref="FP51:FP52"/>
    <mergeCell ref="FQ51:FQ52"/>
    <mergeCell ref="FR51:FR52"/>
    <mergeCell ref="FS51:FS52"/>
    <mergeCell ref="FT51:FT52"/>
    <mergeCell ref="FU51:FU52"/>
    <mergeCell ref="FV51:FV52"/>
    <mergeCell ref="FW51:FZ52"/>
    <mergeCell ref="FJ51:FJ52"/>
    <mergeCell ref="FK51:FK52"/>
    <mergeCell ref="FL51:FL52"/>
    <mergeCell ref="FM51:FM52"/>
    <mergeCell ref="FN51:FN52"/>
    <mergeCell ref="EA63:EZ63"/>
    <mergeCell ref="FA63:FZ63"/>
    <mergeCell ref="EA64:EZ64"/>
    <mergeCell ref="FA64:FZ64"/>
    <mergeCell ref="EA60:EZ60"/>
    <mergeCell ref="FA60:FZ60"/>
    <mergeCell ref="EA61:EZ61"/>
    <mergeCell ref="FA61:FZ61"/>
    <mergeCell ref="EA62:EZ62"/>
    <mergeCell ref="FA62:FZ62"/>
    <mergeCell ref="FA55:FV55"/>
    <mergeCell ref="FA51:FE52"/>
    <mergeCell ref="FF51:FI52"/>
    <mergeCell ref="FA53:FE53"/>
    <mergeCell ref="FF53:FI53"/>
    <mergeCell ref="EA65:EZ65"/>
    <mergeCell ref="FA65:FZ65"/>
    <mergeCell ref="EA66:EZ67"/>
    <mergeCell ref="FA66:FZ67"/>
    <mergeCell ref="EW53:EZ53"/>
    <mergeCell ref="FW53:FZ53"/>
    <mergeCell ref="EJ51:EJ52"/>
    <mergeCell ref="EK51:EK52"/>
    <mergeCell ref="EL51:EL52"/>
    <mergeCell ref="EM51:EM52"/>
    <mergeCell ref="EN51:EN52"/>
    <mergeCell ref="EO51:EO52"/>
    <mergeCell ref="EP51:EP52"/>
    <mergeCell ref="EQ51:EQ52"/>
    <mergeCell ref="ER51:ER52"/>
    <mergeCell ref="ES51:ES52"/>
    <mergeCell ref="ET51:ET52"/>
    <mergeCell ref="EU51:EU52"/>
    <mergeCell ref="EV51:EV52"/>
    <mergeCell ref="EW51:EZ52"/>
    <mergeCell ref="EA54:EV54"/>
    <mergeCell ref="EW54:EZ55"/>
    <mergeCell ref="FA54:FV54"/>
    <mergeCell ref="FW54:FZ55"/>
    <mergeCell ref="EA56:EZ56"/>
    <mergeCell ref="FA56:FZ56"/>
    <mergeCell ref="EA57:EZ57"/>
    <mergeCell ref="FA57:FZ57"/>
    <mergeCell ref="EA58:EZ58"/>
    <mergeCell ref="FA58:FZ58"/>
    <mergeCell ref="EA59:EZ59"/>
    <mergeCell ref="FA59:FZ59"/>
    <mergeCell ref="EA78:EZ78"/>
    <mergeCell ref="FA78:FZ78"/>
    <mergeCell ref="EA79:EZ79"/>
    <mergeCell ref="FA79:FZ79"/>
    <mergeCell ref="EA80:EZ80"/>
    <mergeCell ref="FA80:FZ80"/>
    <mergeCell ref="EA81:EZ81"/>
    <mergeCell ref="FA81:FZ81"/>
    <mergeCell ref="EA82:EZ82"/>
    <mergeCell ref="FA82:FZ82"/>
    <mergeCell ref="EA70:EI70"/>
    <mergeCell ref="EJ70:EZ70"/>
    <mergeCell ref="FA70:FI70"/>
    <mergeCell ref="FJ70:FZ70"/>
    <mergeCell ref="EA71:EI72"/>
    <mergeCell ref="EJ71:EL72"/>
    <mergeCell ref="EM71:EO72"/>
    <mergeCell ref="EP71:EU72"/>
    <mergeCell ref="EV71:EV72"/>
    <mergeCell ref="EW71:EZ72"/>
    <mergeCell ref="FA71:FI72"/>
    <mergeCell ref="FJ71:FL72"/>
    <mergeCell ref="FM71:FO72"/>
    <mergeCell ref="FP71:FU72"/>
    <mergeCell ref="FV71:FV72"/>
    <mergeCell ref="FW71:FZ72"/>
    <mergeCell ref="FO73:FO74"/>
    <mergeCell ref="FP73:FP74"/>
    <mergeCell ref="FQ73:FQ74"/>
    <mergeCell ref="FR73:FR74"/>
    <mergeCell ref="FS73:FS74"/>
    <mergeCell ref="FT73:FT74"/>
    <mergeCell ref="EW75:EZ75"/>
    <mergeCell ref="FW75:FZ75"/>
    <mergeCell ref="EJ73:EJ74"/>
    <mergeCell ref="EK73:EK74"/>
    <mergeCell ref="EL73:EL74"/>
    <mergeCell ref="EM73:EM74"/>
    <mergeCell ref="EN73:EN74"/>
    <mergeCell ref="EO73:EO74"/>
    <mergeCell ref="EP73:EP74"/>
    <mergeCell ref="EQ73:EQ74"/>
    <mergeCell ref="ER73:ER74"/>
    <mergeCell ref="ES73:ES74"/>
    <mergeCell ref="ET73:ET74"/>
    <mergeCell ref="EU73:EU74"/>
    <mergeCell ref="EV73:EV74"/>
    <mergeCell ref="EW73:EZ74"/>
    <mergeCell ref="EA76:EV76"/>
    <mergeCell ref="EW76:EZ77"/>
    <mergeCell ref="FA76:FV76"/>
    <mergeCell ref="FW76:FZ77"/>
    <mergeCell ref="FU73:FU74"/>
    <mergeCell ref="FV73:FV74"/>
    <mergeCell ref="FW73:FZ74"/>
    <mergeCell ref="FJ73:FJ74"/>
    <mergeCell ref="FK73:FK74"/>
    <mergeCell ref="FL73:FL74"/>
    <mergeCell ref="FM73:FM74"/>
    <mergeCell ref="FN73:FN74"/>
    <mergeCell ref="FA77:FV77"/>
    <mergeCell ref="FA73:FE74"/>
    <mergeCell ref="FF73:FI74"/>
    <mergeCell ref="FA75:FE75"/>
    <mergeCell ref="EA83:EZ83"/>
    <mergeCell ref="FA83:FZ83"/>
    <mergeCell ref="EA84:EZ84"/>
    <mergeCell ref="FA84:FZ84"/>
    <mergeCell ref="EA94:EI94"/>
    <mergeCell ref="EJ94:EZ94"/>
    <mergeCell ref="FA94:FI94"/>
    <mergeCell ref="FJ94:FZ94"/>
    <mergeCell ref="EA95:EI96"/>
    <mergeCell ref="EJ95:EL96"/>
    <mergeCell ref="EM95:EO96"/>
    <mergeCell ref="EP95:EU96"/>
    <mergeCell ref="EV95:EV96"/>
    <mergeCell ref="EW95:EZ96"/>
    <mergeCell ref="FA95:FI96"/>
    <mergeCell ref="FJ95:FL96"/>
    <mergeCell ref="FM95:FO96"/>
    <mergeCell ref="FP95:FU96"/>
    <mergeCell ref="FV95:FV96"/>
    <mergeCell ref="FW95:FZ96"/>
    <mergeCell ref="EA85:EZ85"/>
    <mergeCell ref="FA85:FZ85"/>
    <mergeCell ref="EA86:EZ86"/>
    <mergeCell ref="FA86:FZ86"/>
    <mergeCell ref="EA87:EZ87"/>
    <mergeCell ref="FA87:FZ87"/>
    <mergeCell ref="EA88:EZ89"/>
    <mergeCell ref="FA88:FZ89"/>
    <mergeCell ref="FO97:FO98"/>
    <mergeCell ref="FP97:FP98"/>
    <mergeCell ref="FQ97:FQ98"/>
    <mergeCell ref="FR97:FR98"/>
    <mergeCell ref="FS97:FS98"/>
    <mergeCell ref="FT97:FT98"/>
    <mergeCell ref="FU97:FU98"/>
    <mergeCell ref="FV97:FV98"/>
    <mergeCell ref="FW97:FZ98"/>
    <mergeCell ref="FJ97:FJ98"/>
    <mergeCell ref="FK97:FK98"/>
    <mergeCell ref="FL97:FL98"/>
    <mergeCell ref="FM97:FM98"/>
    <mergeCell ref="FN97:FN98"/>
    <mergeCell ref="EA109:EZ109"/>
    <mergeCell ref="FA109:FZ109"/>
    <mergeCell ref="EA110:EZ110"/>
    <mergeCell ref="FA110:FZ110"/>
    <mergeCell ref="EA106:EZ106"/>
    <mergeCell ref="FA106:FZ106"/>
    <mergeCell ref="EA107:EZ107"/>
    <mergeCell ref="FA107:FZ107"/>
    <mergeCell ref="EA108:EZ108"/>
    <mergeCell ref="FA108:FZ108"/>
    <mergeCell ref="FA101:FV101"/>
    <mergeCell ref="EA111:EZ111"/>
    <mergeCell ref="FA111:FZ111"/>
    <mergeCell ref="EA112:EZ113"/>
    <mergeCell ref="FA112:FZ113"/>
    <mergeCell ref="EW99:EZ99"/>
    <mergeCell ref="FW99:FZ99"/>
    <mergeCell ref="EJ97:EJ98"/>
    <mergeCell ref="EK97:EK98"/>
    <mergeCell ref="EL97:EL98"/>
    <mergeCell ref="EM97:EM98"/>
    <mergeCell ref="EN97:EN98"/>
    <mergeCell ref="EO97:EO98"/>
    <mergeCell ref="EP97:EP98"/>
    <mergeCell ref="EQ97:EQ98"/>
    <mergeCell ref="ER97:ER98"/>
    <mergeCell ref="ES97:ES98"/>
    <mergeCell ref="ET97:ET98"/>
    <mergeCell ref="EU97:EU98"/>
    <mergeCell ref="EV97:EV98"/>
    <mergeCell ref="EW97:EZ98"/>
    <mergeCell ref="EA100:EV100"/>
    <mergeCell ref="EW100:EZ101"/>
    <mergeCell ref="FA100:FV100"/>
    <mergeCell ref="FW100:FZ101"/>
    <mergeCell ref="EA102:EZ102"/>
    <mergeCell ref="FA102:FZ102"/>
    <mergeCell ref="EA103:EZ103"/>
    <mergeCell ref="FA103:FZ103"/>
    <mergeCell ref="EA104:EZ104"/>
    <mergeCell ref="FA104:FZ104"/>
    <mergeCell ref="EA105:EZ105"/>
    <mergeCell ref="FA105:FZ105"/>
    <mergeCell ref="EA124:EZ124"/>
    <mergeCell ref="FA124:FZ124"/>
    <mergeCell ref="EA125:EZ125"/>
    <mergeCell ref="FA125:FZ125"/>
    <mergeCell ref="EA126:EZ126"/>
    <mergeCell ref="FA126:FZ126"/>
    <mergeCell ref="EA127:EZ127"/>
    <mergeCell ref="FA127:FZ127"/>
    <mergeCell ref="EA128:EZ128"/>
    <mergeCell ref="FA128:FZ128"/>
    <mergeCell ref="EA116:EI116"/>
    <mergeCell ref="EJ116:EZ116"/>
    <mergeCell ref="FA116:FI116"/>
    <mergeCell ref="FJ116:FZ116"/>
    <mergeCell ref="EA117:EI118"/>
    <mergeCell ref="EJ117:EL118"/>
    <mergeCell ref="EM117:EO118"/>
    <mergeCell ref="EP117:EU118"/>
    <mergeCell ref="EV117:EV118"/>
    <mergeCell ref="EW117:EZ118"/>
    <mergeCell ref="FA117:FI118"/>
    <mergeCell ref="FJ117:FL118"/>
    <mergeCell ref="FM117:FO118"/>
    <mergeCell ref="FP117:FU118"/>
    <mergeCell ref="FV117:FV118"/>
    <mergeCell ref="FW117:FZ118"/>
    <mergeCell ref="FO119:FO120"/>
    <mergeCell ref="FP119:FP120"/>
    <mergeCell ref="FQ119:FQ120"/>
    <mergeCell ref="FR119:FR120"/>
    <mergeCell ref="FS119:FS120"/>
    <mergeCell ref="FT119:FT120"/>
    <mergeCell ref="EW121:EZ121"/>
    <mergeCell ref="FW121:FZ121"/>
    <mergeCell ref="EJ119:EJ120"/>
    <mergeCell ref="EK119:EK120"/>
    <mergeCell ref="EL119:EL120"/>
    <mergeCell ref="EM119:EM120"/>
    <mergeCell ref="EN119:EN120"/>
    <mergeCell ref="EO119:EO120"/>
    <mergeCell ref="EP119:EP120"/>
    <mergeCell ref="EQ119:EQ120"/>
    <mergeCell ref="ER119:ER120"/>
    <mergeCell ref="ES119:ES120"/>
    <mergeCell ref="ET119:ET120"/>
    <mergeCell ref="EU119:EU120"/>
    <mergeCell ref="EV119:EV120"/>
    <mergeCell ref="EW119:EZ120"/>
    <mergeCell ref="EA122:EV122"/>
    <mergeCell ref="EW122:EZ123"/>
    <mergeCell ref="FA122:FV122"/>
    <mergeCell ref="FW122:FZ123"/>
    <mergeCell ref="FU119:FU120"/>
    <mergeCell ref="FV119:FV120"/>
    <mergeCell ref="FW119:FZ120"/>
    <mergeCell ref="FJ119:FJ120"/>
    <mergeCell ref="FK119:FK120"/>
    <mergeCell ref="FL119:FL120"/>
    <mergeCell ref="FM119:FM120"/>
    <mergeCell ref="FN119:FN120"/>
    <mergeCell ref="FA123:FV123"/>
    <mergeCell ref="EA129:EZ129"/>
    <mergeCell ref="FA129:FZ129"/>
    <mergeCell ref="EA130:EZ130"/>
    <mergeCell ref="FA130:FZ130"/>
    <mergeCell ref="EA140:EI140"/>
    <mergeCell ref="EJ140:EZ140"/>
    <mergeCell ref="FA140:FI140"/>
    <mergeCell ref="FJ140:FZ140"/>
    <mergeCell ref="EA141:EI142"/>
    <mergeCell ref="EJ141:EL142"/>
    <mergeCell ref="EM141:EO142"/>
    <mergeCell ref="EP141:EU142"/>
    <mergeCell ref="EV141:EV142"/>
    <mergeCell ref="EW141:EZ142"/>
    <mergeCell ref="FA141:FI142"/>
    <mergeCell ref="FJ141:FL142"/>
    <mergeCell ref="FM141:FO142"/>
    <mergeCell ref="FP141:FU142"/>
    <mergeCell ref="FV141:FV142"/>
    <mergeCell ref="FW141:FZ142"/>
    <mergeCell ref="EA131:EZ131"/>
    <mergeCell ref="FA131:FZ131"/>
    <mergeCell ref="EA132:EZ132"/>
    <mergeCell ref="FA132:FZ132"/>
    <mergeCell ref="EA133:EZ133"/>
    <mergeCell ref="FA133:FZ133"/>
    <mergeCell ref="EA134:EZ135"/>
    <mergeCell ref="FA134:FZ135"/>
    <mergeCell ref="FO143:FO144"/>
    <mergeCell ref="FP143:FP144"/>
    <mergeCell ref="FQ143:FQ144"/>
    <mergeCell ref="FR143:FR144"/>
    <mergeCell ref="FS143:FS144"/>
    <mergeCell ref="FT143:FT144"/>
    <mergeCell ref="FU143:FU144"/>
    <mergeCell ref="FV143:FV144"/>
    <mergeCell ref="FW143:FZ144"/>
    <mergeCell ref="FJ143:FJ144"/>
    <mergeCell ref="FK143:FK144"/>
    <mergeCell ref="FL143:FL144"/>
    <mergeCell ref="FM143:FM144"/>
    <mergeCell ref="FN143:FN144"/>
    <mergeCell ref="EA155:EZ155"/>
    <mergeCell ref="FA155:FZ155"/>
    <mergeCell ref="EA156:EZ156"/>
    <mergeCell ref="FA156:FZ156"/>
    <mergeCell ref="EA152:EZ152"/>
    <mergeCell ref="FA152:FZ152"/>
    <mergeCell ref="EA153:EZ153"/>
    <mergeCell ref="FA153:FZ153"/>
    <mergeCell ref="EA154:EZ154"/>
    <mergeCell ref="FA154:FZ154"/>
    <mergeCell ref="FA147:FV147"/>
    <mergeCell ref="EA157:EZ157"/>
    <mergeCell ref="FA157:FZ157"/>
    <mergeCell ref="EA158:EZ159"/>
    <mergeCell ref="FA158:FZ159"/>
    <mergeCell ref="EW145:EZ145"/>
    <mergeCell ref="FW145:FZ145"/>
    <mergeCell ref="EJ143:EJ144"/>
    <mergeCell ref="EK143:EK144"/>
    <mergeCell ref="EL143:EL144"/>
    <mergeCell ref="EM143:EM144"/>
    <mergeCell ref="EN143:EN144"/>
    <mergeCell ref="EO143:EO144"/>
    <mergeCell ref="EP143:EP144"/>
    <mergeCell ref="EQ143:EQ144"/>
    <mergeCell ref="ER143:ER144"/>
    <mergeCell ref="ES143:ES144"/>
    <mergeCell ref="ET143:ET144"/>
    <mergeCell ref="EU143:EU144"/>
    <mergeCell ref="EV143:EV144"/>
    <mergeCell ref="EW143:EZ144"/>
    <mergeCell ref="EA146:EV146"/>
    <mergeCell ref="EW146:EZ147"/>
    <mergeCell ref="FA146:FV146"/>
    <mergeCell ref="FW146:FZ147"/>
    <mergeCell ref="EA148:EZ148"/>
    <mergeCell ref="FA148:FZ148"/>
    <mergeCell ref="EA149:EZ149"/>
    <mergeCell ref="FA149:FZ149"/>
    <mergeCell ref="EA150:EZ150"/>
    <mergeCell ref="FA150:FZ150"/>
    <mergeCell ref="EA151:EZ151"/>
    <mergeCell ref="FA151:FZ151"/>
    <mergeCell ref="EA162:EI162"/>
    <mergeCell ref="EJ162:EZ162"/>
    <mergeCell ref="FA162:FI162"/>
    <mergeCell ref="FJ162:FZ162"/>
    <mergeCell ref="EA163:EI164"/>
    <mergeCell ref="EJ163:EL164"/>
    <mergeCell ref="EM163:EO164"/>
    <mergeCell ref="EP163:EU164"/>
    <mergeCell ref="EV163:EV164"/>
    <mergeCell ref="EW163:EZ164"/>
    <mergeCell ref="FA163:FI164"/>
    <mergeCell ref="FJ163:FL164"/>
    <mergeCell ref="FM163:FO164"/>
    <mergeCell ref="FP163:FU164"/>
    <mergeCell ref="FV163:FV164"/>
    <mergeCell ref="FW163:FZ164"/>
    <mergeCell ref="FO165:FO166"/>
    <mergeCell ref="FP165:FP166"/>
    <mergeCell ref="FQ165:FQ166"/>
    <mergeCell ref="FR165:FR166"/>
    <mergeCell ref="FS165:FS166"/>
    <mergeCell ref="FT165:FT166"/>
    <mergeCell ref="FU165:FU166"/>
    <mergeCell ref="FV165:FV166"/>
    <mergeCell ref="FW165:FZ166"/>
    <mergeCell ref="FJ165:FJ166"/>
    <mergeCell ref="FK165:FK166"/>
    <mergeCell ref="FL165:FL166"/>
    <mergeCell ref="FM165:FM166"/>
    <mergeCell ref="FN165:FN166"/>
    <mergeCell ref="EA177:EZ177"/>
    <mergeCell ref="FA177:FZ177"/>
    <mergeCell ref="EA178:EZ178"/>
    <mergeCell ref="FA178:FZ178"/>
    <mergeCell ref="EA179:EZ179"/>
    <mergeCell ref="FA179:FZ179"/>
    <mergeCell ref="EA180:EZ181"/>
    <mergeCell ref="FA180:FZ181"/>
    <mergeCell ref="EW167:EZ167"/>
    <mergeCell ref="FW167:FZ167"/>
    <mergeCell ref="EJ165:EJ166"/>
    <mergeCell ref="EK165:EK166"/>
    <mergeCell ref="EL165:EL166"/>
    <mergeCell ref="EM165:EM166"/>
    <mergeCell ref="EN165:EN166"/>
    <mergeCell ref="EO165:EO166"/>
    <mergeCell ref="EP165:EP166"/>
    <mergeCell ref="EQ165:EQ166"/>
    <mergeCell ref="ER165:ER166"/>
    <mergeCell ref="ES165:ES166"/>
    <mergeCell ref="ET165:ET166"/>
    <mergeCell ref="EU165:EU166"/>
    <mergeCell ref="EV165:EV166"/>
    <mergeCell ref="EW165:EZ166"/>
    <mergeCell ref="FA167:FE167"/>
    <mergeCell ref="EA168:EV168"/>
    <mergeCell ref="EW168:EZ169"/>
    <mergeCell ref="FA168:FV168"/>
    <mergeCell ref="FW168:FZ169"/>
    <mergeCell ref="EA170:EZ170"/>
    <mergeCell ref="FA170:FZ170"/>
    <mergeCell ref="EA171:EZ171"/>
    <mergeCell ref="EA192:EV192"/>
    <mergeCell ref="EW192:EZ193"/>
    <mergeCell ref="FA192:FV192"/>
    <mergeCell ref="FW192:FZ193"/>
    <mergeCell ref="EA194:EZ194"/>
    <mergeCell ref="FA194:FZ194"/>
    <mergeCell ref="EA195:EZ195"/>
    <mergeCell ref="FA195:FZ195"/>
    <mergeCell ref="EA172:EZ172"/>
    <mergeCell ref="FA172:FZ172"/>
    <mergeCell ref="EA173:EZ173"/>
    <mergeCell ref="FA173:FZ173"/>
    <mergeCell ref="EA174:EZ174"/>
    <mergeCell ref="FA174:FZ174"/>
    <mergeCell ref="EA175:EZ175"/>
    <mergeCell ref="FA175:FZ175"/>
    <mergeCell ref="EA176:EZ176"/>
    <mergeCell ref="FA176:FZ176"/>
    <mergeCell ref="EA186:EI186"/>
    <mergeCell ref="EJ186:EZ186"/>
    <mergeCell ref="FA186:FI186"/>
    <mergeCell ref="FJ186:FZ186"/>
    <mergeCell ref="EA187:EI188"/>
    <mergeCell ref="EJ187:EL188"/>
    <mergeCell ref="EM187:EO188"/>
    <mergeCell ref="EP187:EU188"/>
    <mergeCell ref="EV187:EV188"/>
    <mergeCell ref="EW187:EZ188"/>
    <mergeCell ref="FA187:FI188"/>
    <mergeCell ref="FJ187:FL188"/>
    <mergeCell ref="FM187:FO188"/>
    <mergeCell ref="FP187:FU188"/>
    <mergeCell ref="EW191:EZ191"/>
    <mergeCell ref="FW191:FZ191"/>
    <mergeCell ref="EJ189:EJ190"/>
    <mergeCell ref="EK189:EK190"/>
    <mergeCell ref="EL189:EL190"/>
    <mergeCell ref="EM189:EM190"/>
    <mergeCell ref="EN189:EN190"/>
    <mergeCell ref="EO189:EO190"/>
    <mergeCell ref="EP189:EP190"/>
    <mergeCell ref="EQ189:EQ190"/>
    <mergeCell ref="ER189:ER190"/>
    <mergeCell ref="ES189:ES190"/>
    <mergeCell ref="ET189:ET190"/>
    <mergeCell ref="EU189:EU190"/>
    <mergeCell ref="EV189:EV190"/>
    <mergeCell ref="EW189:EZ190"/>
    <mergeCell ref="EA191:EE191"/>
    <mergeCell ref="EF191:EI191"/>
    <mergeCell ref="FF189:FI190"/>
    <mergeCell ref="FA191:FE191"/>
    <mergeCell ref="FF191:FI191"/>
    <mergeCell ref="EA197:EZ197"/>
    <mergeCell ref="FA197:FZ197"/>
    <mergeCell ref="EA198:EZ198"/>
    <mergeCell ref="FA198:FZ198"/>
    <mergeCell ref="EA199:EZ199"/>
    <mergeCell ref="FA199:FZ199"/>
    <mergeCell ref="EA200:EZ200"/>
    <mergeCell ref="FA200:FZ200"/>
    <mergeCell ref="EA208:EI208"/>
    <mergeCell ref="EJ208:EZ208"/>
    <mergeCell ref="FA208:FI208"/>
    <mergeCell ref="FJ208:FZ208"/>
    <mergeCell ref="EA209:EI210"/>
    <mergeCell ref="EJ209:EL210"/>
    <mergeCell ref="EM209:EO210"/>
    <mergeCell ref="EP209:EU210"/>
    <mergeCell ref="EV209:EV210"/>
    <mergeCell ref="EW209:EZ210"/>
    <mergeCell ref="FA209:FI210"/>
    <mergeCell ref="FJ209:FL210"/>
    <mergeCell ref="FM209:FO210"/>
    <mergeCell ref="FP209:FU210"/>
    <mergeCell ref="FV209:FV210"/>
    <mergeCell ref="FW209:FZ210"/>
    <mergeCell ref="FA201:FZ201"/>
    <mergeCell ref="EA202:EZ202"/>
    <mergeCell ref="FA202:FZ202"/>
    <mergeCell ref="EA203:EZ203"/>
    <mergeCell ref="FA203:FZ203"/>
    <mergeCell ref="EA204:EZ205"/>
    <mergeCell ref="FA204:FZ205"/>
    <mergeCell ref="FM211:FM212"/>
    <mergeCell ref="FN211:FN212"/>
    <mergeCell ref="EW213:EZ213"/>
    <mergeCell ref="FW213:FZ213"/>
    <mergeCell ref="EJ211:EJ212"/>
    <mergeCell ref="EK211:EK212"/>
    <mergeCell ref="EL211:EL212"/>
    <mergeCell ref="EM211:EM212"/>
    <mergeCell ref="EN211:EN212"/>
    <mergeCell ref="EO211:EO212"/>
    <mergeCell ref="EP211:EP212"/>
    <mergeCell ref="EQ211:EQ212"/>
    <mergeCell ref="ER211:ER212"/>
    <mergeCell ref="ES211:ES212"/>
    <mergeCell ref="ET211:ET212"/>
    <mergeCell ref="EU211:EU212"/>
    <mergeCell ref="EV211:EV212"/>
    <mergeCell ref="EW211:EZ212"/>
    <mergeCell ref="FA211:FE212"/>
    <mergeCell ref="FF211:FI212"/>
    <mergeCell ref="FA213:FE213"/>
    <mergeCell ref="FF213:FI213"/>
    <mergeCell ref="FM233:FO234"/>
    <mergeCell ref="FP233:FU234"/>
    <mergeCell ref="FV233:FV234"/>
    <mergeCell ref="FW233:FZ234"/>
    <mergeCell ref="EA214:EV214"/>
    <mergeCell ref="EW214:EZ215"/>
    <mergeCell ref="FA214:FV214"/>
    <mergeCell ref="FW214:FZ215"/>
    <mergeCell ref="EA216:EZ216"/>
    <mergeCell ref="FA216:FZ216"/>
    <mergeCell ref="EA217:EZ217"/>
    <mergeCell ref="FA217:FZ217"/>
    <mergeCell ref="EA218:EZ218"/>
    <mergeCell ref="FA218:FZ218"/>
    <mergeCell ref="EA219:EZ219"/>
    <mergeCell ref="FA219:FZ219"/>
    <mergeCell ref="EA220:EZ220"/>
    <mergeCell ref="FA220:FZ220"/>
    <mergeCell ref="EA221:EZ221"/>
    <mergeCell ref="FA221:FZ221"/>
    <mergeCell ref="EA222:EZ222"/>
    <mergeCell ref="FA222:FZ222"/>
    <mergeCell ref="EA238:EV238"/>
    <mergeCell ref="EW238:EZ239"/>
    <mergeCell ref="FA238:FV238"/>
    <mergeCell ref="FW238:FZ239"/>
    <mergeCell ref="EA240:EZ240"/>
    <mergeCell ref="FA240:FZ240"/>
    <mergeCell ref="EA241:EZ241"/>
    <mergeCell ref="EV235:EV236"/>
    <mergeCell ref="EW235:EZ236"/>
    <mergeCell ref="FA241:FZ241"/>
    <mergeCell ref="EA242:EZ242"/>
    <mergeCell ref="FA242:FZ242"/>
    <mergeCell ref="EA223:EZ223"/>
    <mergeCell ref="FA223:FZ223"/>
    <mergeCell ref="EA224:EZ224"/>
    <mergeCell ref="FA224:FZ224"/>
    <mergeCell ref="EA225:EZ225"/>
    <mergeCell ref="FA225:FZ225"/>
    <mergeCell ref="EA226:EZ227"/>
    <mergeCell ref="FA226:FZ227"/>
    <mergeCell ref="EA228:EZ229"/>
    <mergeCell ref="FA228:FZ229"/>
    <mergeCell ref="EA232:EI232"/>
    <mergeCell ref="EJ232:EZ232"/>
    <mergeCell ref="FA232:FI232"/>
    <mergeCell ref="FJ232:FZ232"/>
    <mergeCell ref="EA233:EI234"/>
    <mergeCell ref="EJ233:EL234"/>
    <mergeCell ref="EM233:EO234"/>
    <mergeCell ref="EP233:EU234"/>
    <mergeCell ref="FA233:FI234"/>
    <mergeCell ref="FJ233:FL234"/>
    <mergeCell ref="FJ235:FJ236"/>
    <mergeCell ref="FK235:FK236"/>
    <mergeCell ref="FL235:FL236"/>
    <mergeCell ref="FM235:FM236"/>
    <mergeCell ref="FN235:FN236"/>
    <mergeCell ref="FO235:FO236"/>
    <mergeCell ref="FP235:FP236"/>
    <mergeCell ref="FQ235:FQ236"/>
    <mergeCell ref="FR235:FR236"/>
    <mergeCell ref="FS235:FS236"/>
    <mergeCell ref="FT235:FT236"/>
    <mergeCell ref="FU235:FU236"/>
    <mergeCell ref="FV235:FV236"/>
    <mergeCell ref="FW235:FZ236"/>
    <mergeCell ref="EW237:EZ237"/>
    <mergeCell ref="FW237:FZ237"/>
    <mergeCell ref="EJ235:EJ236"/>
    <mergeCell ref="FA235:FE236"/>
    <mergeCell ref="FF235:FI236"/>
    <mergeCell ref="FA237:FE237"/>
    <mergeCell ref="FF237:FI237"/>
    <mergeCell ref="EA243:EZ243"/>
    <mergeCell ref="FA243:FZ243"/>
    <mergeCell ref="EA244:EZ244"/>
    <mergeCell ref="FA244:FZ244"/>
    <mergeCell ref="EA245:EZ245"/>
    <mergeCell ref="FA245:FZ245"/>
    <mergeCell ref="EA246:EZ246"/>
    <mergeCell ref="FA246:FZ246"/>
    <mergeCell ref="EA254:EI254"/>
    <mergeCell ref="EJ254:EZ254"/>
    <mergeCell ref="FA254:FI254"/>
    <mergeCell ref="FJ254:FZ254"/>
    <mergeCell ref="EA255:EI256"/>
    <mergeCell ref="EJ255:EL256"/>
    <mergeCell ref="EM255:EO256"/>
    <mergeCell ref="EP255:EU256"/>
    <mergeCell ref="EV255:EV256"/>
    <mergeCell ref="EW255:EZ256"/>
    <mergeCell ref="FA255:FI256"/>
    <mergeCell ref="FJ255:FL256"/>
    <mergeCell ref="FM255:FO256"/>
    <mergeCell ref="FP255:FU256"/>
    <mergeCell ref="FV255:FV256"/>
    <mergeCell ref="FW255:FZ256"/>
    <mergeCell ref="EA247:EZ247"/>
    <mergeCell ref="FA247:FZ247"/>
    <mergeCell ref="EA248:EZ248"/>
    <mergeCell ref="FA248:FZ248"/>
    <mergeCell ref="EA249:EZ249"/>
    <mergeCell ref="FA249:FZ249"/>
    <mergeCell ref="EA250:EZ251"/>
    <mergeCell ref="FA250:FZ251"/>
    <mergeCell ref="FO257:FO258"/>
    <mergeCell ref="FP257:FP258"/>
    <mergeCell ref="FQ257:FQ258"/>
    <mergeCell ref="FR257:FR258"/>
    <mergeCell ref="FS257:FS258"/>
    <mergeCell ref="FT257:FT258"/>
    <mergeCell ref="FU257:FU258"/>
    <mergeCell ref="FV257:FV258"/>
    <mergeCell ref="FW257:FZ258"/>
    <mergeCell ref="FJ257:FJ258"/>
    <mergeCell ref="FK257:FK258"/>
    <mergeCell ref="FL257:FL258"/>
    <mergeCell ref="FM257:FM258"/>
    <mergeCell ref="FN257:FN258"/>
    <mergeCell ref="EW259:EZ259"/>
    <mergeCell ref="FW259:FZ259"/>
    <mergeCell ref="EJ257:EJ258"/>
    <mergeCell ref="EK257:EK258"/>
    <mergeCell ref="EL257:EL258"/>
    <mergeCell ref="EM257:EM258"/>
    <mergeCell ref="EN257:EN258"/>
    <mergeCell ref="EO257:EO258"/>
    <mergeCell ref="EP257:EP258"/>
    <mergeCell ref="EQ257:EQ258"/>
    <mergeCell ref="ER257:ER258"/>
    <mergeCell ref="ES257:ES258"/>
    <mergeCell ref="ET257:ET258"/>
    <mergeCell ref="EU257:EU258"/>
    <mergeCell ref="EV257:EV258"/>
    <mergeCell ref="EW257:EZ258"/>
    <mergeCell ref="FA257:FE258"/>
    <mergeCell ref="FF257:FI258"/>
    <mergeCell ref="FW279:FZ280"/>
    <mergeCell ref="EA260:EV260"/>
    <mergeCell ref="EW260:EZ261"/>
    <mergeCell ref="FA260:FV260"/>
    <mergeCell ref="FW260:FZ261"/>
    <mergeCell ref="EA262:EZ262"/>
    <mergeCell ref="FA262:FZ262"/>
    <mergeCell ref="EA263:EZ263"/>
    <mergeCell ref="FA263:FZ263"/>
    <mergeCell ref="EA264:EZ264"/>
    <mergeCell ref="FA264:FZ264"/>
    <mergeCell ref="EA265:EZ265"/>
    <mergeCell ref="FA265:FZ265"/>
    <mergeCell ref="EA266:EZ266"/>
    <mergeCell ref="FA266:FZ266"/>
    <mergeCell ref="EA267:EZ267"/>
    <mergeCell ref="FA267:FZ267"/>
    <mergeCell ref="EA268:EZ268"/>
    <mergeCell ref="FA268:FZ268"/>
    <mergeCell ref="EQ281:EQ282"/>
    <mergeCell ref="ER281:ER282"/>
    <mergeCell ref="ES281:ES282"/>
    <mergeCell ref="ET281:ET282"/>
    <mergeCell ref="EU281:EU282"/>
    <mergeCell ref="EV281:EV282"/>
    <mergeCell ref="EW281:EZ282"/>
    <mergeCell ref="EA269:EZ269"/>
    <mergeCell ref="FA269:FZ269"/>
    <mergeCell ref="EA270:EZ270"/>
    <mergeCell ref="FA270:FZ270"/>
    <mergeCell ref="EA271:EZ271"/>
    <mergeCell ref="FA271:FZ271"/>
    <mergeCell ref="EA272:EZ273"/>
    <mergeCell ref="FA272:FZ273"/>
    <mergeCell ref="EA274:EZ275"/>
    <mergeCell ref="FA274:FZ275"/>
    <mergeCell ref="EA278:EI278"/>
    <mergeCell ref="EJ278:EZ278"/>
    <mergeCell ref="FA278:FI278"/>
    <mergeCell ref="FJ278:FZ278"/>
    <mergeCell ref="EA279:EI280"/>
    <mergeCell ref="EJ279:EL280"/>
    <mergeCell ref="EM279:EO280"/>
    <mergeCell ref="EP279:EU280"/>
    <mergeCell ref="EV279:EV280"/>
    <mergeCell ref="EW279:EZ280"/>
    <mergeCell ref="FA279:FI280"/>
    <mergeCell ref="FJ279:FL280"/>
    <mergeCell ref="FM279:FO280"/>
    <mergeCell ref="FP279:FU280"/>
    <mergeCell ref="FV279:FV280"/>
    <mergeCell ref="EA296:EZ297"/>
    <mergeCell ref="FA296:FZ297"/>
    <mergeCell ref="FJ281:FJ282"/>
    <mergeCell ref="FK281:FK282"/>
    <mergeCell ref="FL281:FL282"/>
    <mergeCell ref="FM281:FM282"/>
    <mergeCell ref="FN281:FN282"/>
    <mergeCell ref="FO281:FO282"/>
    <mergeCell ref="FP281:FP282"/>
    <mergeCell ref="FQ281:FQ282"/>
    <mergeCell ref="FR281:FR282"/>
    <mergeCell ref="FS281:FS282"/>
    <mergeCell ref="FT281:FT282"/>
    <mergeCell ref="FU281:FU282"/>
    <mergeCell ref="FV281:FV282"/>
    <mergeCell ref="FW281:FZ282"/>
    <mergeCell ref="EW283:EZ283"/>
    <mergeCell ref="FW283:FZ283"/>
    <mergeCell ref="EJ281:EJ282"/>
    <mergeCell ref="EA284:EV284"/>
    <mergeCell ref="EW284:EZ285"/>
    <mergeCell ref="FA284:FV284"/>
    <mergeCell ref="FW284:FZ285"/>
    <mergeCell ref="EA286:EZ286"/>
    <mergeCell ref="FA286:FZ286"/>
    <mergeCell ref="EA287:EZ287"/>
    <mergeCell ref="EK281:EK282"/>
    <mergeCell ref="EL281:EL282"/>
    <mergeCell ref="EM281:EM282"/>
    <mergeCell ref="EN281:EN282"/>
    <mergeCell ref="EO281:EO282"/>
    <mergeCell ref="EP281:EP282"/>
    <mergeCell ref="EA288:EZ288"/>
    <mergeCell ref="FA288:FZ288"/>
    <mergeCell ref="EA289:EZ289"/>
    <mergeCell ref="FA289:FZ289"/>
    <mergeCell ref="EA290:EZ290"/>
    <mergeCell ref="FA290:FZ290"/>
    <mergeCell ref="EA291:EZ291"/>
    <mergeCell ref="FA291:FZ291"/>
    <mergeCell ref="EA292:EZ292"/>
    <mergeCell ref="FA292:FZ292"/>
    <mergeCell ref="EA300:EI300"/>
    <mergeCell ref="EJ300:EZ300"/>
    <mergeCell ref="FA300:FI300"/>
    <mergeCell ref="FJ300:FZ300"/>
    <mergeCell ref="EA301:EI302"/>
    <mergeCell ref="EJ301:EL302"/>
    <mergeCell ref="EM301:EO302"/>
    <mergeCell ref="EP301:EU302"/>
    <mergeCell ref="EV301:EV302"/>
    <mergeCell ref="EW301:EZ302"/>
    <mergeCell ref="FA301:FI302"/>
    <mergeCell ref="FJ301:FL302"/>
    <mergeCell ref="FM301:FO302"/>
    <mergeCell ref="FP301:FU302"/>
    <mergeCell ref="FV301:FV302"/>
    <mergeCell ref="FW301:FZ302"/>
    <mergeCell ref="EA293:EZ293"/>
    <mergeCell ref="FA293:FZ293"/>
    <mergeCell ref="EA294:EZ294"/>
    <mergeCell ref="FA294:FZ294"/>
    <mergeCell ref="EA295:EZ295"/>
    <mergeCell ref="FA295:FZ295"/>
    <mergeCell ref="FN303:FN304"/>
    <mergeCell ref="EA303:EE304"/>
    <mergeCell ref="EA315:EZ315"/>
    <mergeCell ref="FA315:FZ315"/>
    <mergeCell ref="EA316:EZ316"/>
    <mergeCell ref="FA316:FZ316"/>
    <mergeCell ref="EA317:EZ317"/>
    <mergeCell ref="FA317:FZ317"/>
    <mergeCell ref="EA318:EZ319"/>
    <mergeCell ref="FA318:FZ319"/>
    <mergeCell ref="EW305:EZ305"/>
    <mergeCell ref="FW305:FZ305"/>
    <mergeCell ref="EJ303:EJ304"/>
    <mergeCell ref="EK303:EK304"/>
    <mergeCell ref="EL303:EL304"/>
    <mergeCell ref="EM303:EM304"/>
    <mergeCell ref="EN303:EN304"/>
    <mergeCell ref="EO303:EO304"/>
    <mergeCell ref="EP303:EP304"/>
    <mergeCell ref="EQ303:EQ304"/>
    <mergeCell ref="ER303:ER304"/>
    <mergeCell ref="ES303:ES304"/>
    <mergeCell ref="ET303:ET304"/>
    <mergeCell ref="EU303:EU304"/>
    <mergeCell ref="EV303:EV304"/>
    <mergeCell ref="EW303:EZ304"/>
    <mergeCell ref="EF303:EI304"/>
    <mergeCell ref="EA306:EV306"/>
    <mergeCell ref="EW306:EZ307"/>
    <mergeCell ref="FA306:FV306"/>
    <mergeCell ref="FW306:FZ307"/>
    <mergeCell ref="EA308:EZ308"/>
    <mergeCell ref="FA308:FZ308"/>
    <mergeCell ref="EA309:EZ309"/>
    <mergeCell ref="FA309:FZ309"/>
    <mergeCell ref="EA310:EZ310"/>
    <mergeCell ref="FA310:FZ310"/>
    <mergeCell ref="EA311:EZ311"/>
    <mergeCell ref="FA311:FZ311"/>
    <mergeCell ref="EA312:EZ312"/>
    <mergeCell ref="FA312:FZ312"/>
    <mergeCell ref="EA313:EZ313"/>
    <mergeCell ref="FA313:FZ313"/>
    <mergeCell ref="EA314:EZ314"/>
    <mergeCell ref="FA314:FZ314"/>
    <mergeCell ref="EA324:EI324"/>
    <mergeCell ref="EJ324:EZ324"/>
    <mergeCell ref="FA324:FI324"/>
    <mergeCell ref="FJ324:FZ324"/>
    <mergeCell ref="FA332:FZ332"/>
    <mergeCell ref="EA333:EZ333"/>
    <mergeCell ref="FA333:FZ333"/>
    <mergeCell ref="EA334:EZ334"/>
    <mergeCell ref="EJ325:EL326"/>
    <mergeCell ref="EM325:EO326"/>
    <mergeCell ref="EP325:EU326"/>
    <mergeCell ref="EV325:EV326"/>
    <mergeCell ref="EW325:EZ326"/>
    <mergeCell ref="FA325:FI326"/>
    <mergeCell ref="FJ325:FL326"/>
    <mergeCell ref="FM325:FO326"/>
    <mergeCell ref="FP325:FU326"/>
    <mergeCell ref="FV325:FV326"/>
    <mergeCell ref="FW325:FZ326"/>
    <mergeCell ref="FO327:FO328"/>
    <mergeCell ref="FP327:FP328"/>
    <mergeCell ref="FQ327:FQ328"/>
    <mergeCell ref="FR327:FR328"/>
    <mergeCell ref="FS327:FS328"/>
    <mergeCell ref="FT327:FT328"/>
    <mergeCell ref="FU327:FU328"/>
    <mergeCell ref="FV327:FV328"/>
    <mergeCell ref="FW327:FZ328"/>
    <mergeCell ref="FJ327:FJ328"/>
    <mergeCell ref="FK327:FK328"/>
    <mergeCell ref="FL327:FL328"/>
    <mergeCell ref="FM327:FM328"/>
    <mergeCell ref="FN327:FN328"/>
    <mergeCell ref="EA329:EE329"/>
    <mergeCell ref="EF329:EI329"/>
    <mergeCell ref="EW329:EZ329"/>
    <mergeCell ref="FW329:FZ329"/>
    <mergeCell ref="EJ327:EJ328"/>
    <mergeCell ref="EK327:EK328"/>
    <mergeCell ref="EL327:EL328"/>
    <mergeCell ref="EM327:EM328"/>
    <mergeCell ref="EN327:EN328"/>
    <mergeCell ref="EO327:EO328"/>
    <mergeCell ref="EP327:EP328"/>
    <mergeCell ref="EQ327:EQ328"/>
    <mergeCell ref="ER327:ER328"/>
    <mergeCell ref="ES327:ES328"/>
    <mergeCell ref="ET327:ET328"/>
    <mergeCell ref="EU327:EU328"/>
    <mergeCell ref="EV327:EV328"/>
    <mergeCell ref="EW327:EZ328"/>
    <mergeCell ref="EA330:EV330"/>
    <mergeCell ref="EW330:EZ331"/>
    <mergeCell ref="FA330:FV330"/>
    <mergeCell ref="FW330:FZ331"/>
    <mergeCell ref="FA334:FZ334"/>
    <mergeCell ref="EA335:EZ335"/>
    <mergeCell ref="FA335:FZ335"/>
    <mergeCell ref="EA336:EZ336"/>
    <mergeCell ref="FA336:FZ336"/>
    <mergeCell ref="EA337:EZ337"/>
    <mergeCell ref="FA337:FZ337"/>
    <mergeCell ref="EA338:EZ338"/>
    <mergeCell ref="FA338:FZ338"/>
    <mergeCell ref="EA346:EI346"/>
    <mergeCell ref="EJ346:EZ346"/>
    <mergeCell ref="FA346:FI346"/>
    <mergeCell ref="FJ346:FZ346"/>
    <mergeCell ref="EA347:EI348"/>
    <mergeCell ref="EJ347:EL348"/>
    <mergeCell ref="EM347:EO348"/>
    <mergeCell ref="EP347:EU348"/>
    <mergeCell ref="EV347:EV348"/>
    <mergeCell ref="EW347:EZ348"/>
    <mergeCell ref="FA347:FI348"/>
    <mergeCell ref="FJ347:FL348"/>
    <mergeCell ref="FM347:FO348"/>
    <mergeCell ref="FP347:FU348"/>
    <mergeCell ref="FV347:FV348"/>
    <mergeCell ref="FW347:FZ348"/>
    <mergeCell ref="FA339:FZ339"/>
    <mergeCell ref="EA340:EZ340"/>
    <mergeCell ref="FA340:FZ340"/>
    <mergeCell ref="EA341:EZ341"/>
    <mergeCell ref="FA341:FZ341"/>
    <mergeCell ref="EA342:EZ343"/>
    <mergeCell ref="FA342:FZ343"/>
    <mergeCell ref="FQ349:FQ350"/>
    <mergeCell ref="FR349:FR350"/>
    <mergeCell ref="FS349:FS350"/>
    <mergeCell ref="FT349:FT350"/>
    <mergeCell ref="FU349:FU350"/>
    <mergeCell ref="FV349:FV350"/>
    <mergeCell ref="FW349:FZ350"/>
    <mergeCell ref="FJ349:FJ350"/>
    <mergeCell ref="FK349:FK350"/>
    <mergeCell ref="FL349:FL350"/>
    <mergeCell ref="FM349:FM350"/>
    <mergeCell ref="FN349:FN350"/>
    <mergeCell ref="EA361:EZ361"/>
    <mergeCell ref="FA361:FZ361"/>
    <mergeCell ref="EA362:EZ362"/>
    <mergeCell ref="FA362:FZ362"/>
    <mergeCell ref="FA358:FZ358"/>
    <mergeCell ref="EA359:EZ359"/>
    <mergeCell ref="FA359:FZ359"/>
    <mergeCell ref="EA360:EZ360"/>
    <mergeCell ref="FA360:FZ360"/>
    <mergeCell ref="EA349:EE350"/>
    <mergeCell ref="EF349:EI350"/>
    <mergeCell ref="EA351:EE351"/>
    <mergeCell ref="EF351:EI351"/>
    <mergeCell ref="FA364:FZ365"/>
    <mergeCell ref="EW351:EZ351"/>
    <mergeCell ref="FW351:FZ351"/>
    <mergeCell ref="EJ349:EJ350"/>
    <mergeCell ref="EK349:EK350"/>
    <mergeCell ref="EL349:EL350"/>
    <mergeCell ref="EM349:EM350"/>
    <mergeCell ref="EN349:EN350"/>
    <mergeCell ref="EO349:EO350"/>
    <mergeCell ref="EP349:EP350"/>
    <mergeCell ref="EQ349:EQ350"/>
    <mergeCell ref="ER349:ER350"/>
    <mergeCell ref="ES349:ES350"/>
    <mergeCell ref="ET349:ET350"/>
    <mergeCell ref="EU349:EU350"/>
    <mergeCell ref="EV349:EV350"/>
    <mergeCell ref="EW349:EZ350"/>
    <mergeCell ref="EA352:EV352"/>
    <mergeCell ref="EW352:EZ353"/>
    <mergeCell ref="FA352:FV352"/>
    <mergeCell ref="FW352:FZ353"/>
    <mergeCell ref="EA354:EZ354"/>
    <mergeCell ref="FA354:FZ354"/>
    <mergeCell ref="EA355:EZ355"/>
    <mergeCell ref="FA355:FZ355"/>
    <mergeCell ref="EA356:EZ356"/>
    <mergeCell ref="FA356:FZ356"/>
    <mergeCell ref="EA357:EZ357"/>
    <mergeCell ref="FA357:FZ357"/>
    <mergeCell ref="EA358:EZ358"/>
    <mergeCell ref="FO349:FO350"/>
    <mergeCell ref="FP349:FP350"/>
    <mergeCell ref="EM371:EO372"/>
    <mergeCell ref="EP371:EU372"/>
    <mergeCell ref="EV371:EV372"/>
    <mergeCell ref="EW371:EZ372"/>
    <mergeCell ref="FA371:FI372"/>
    <mergeCell ref="FJ371:FL372"/>
    <mergeCell ref="FM371:FO372"/>
    <mergeCell ref="FP371:FU372"/>
    <mergeCell ref="FV371:FV372"/>
    <mergeCell ref="FW371:FZ372"/>
    <mergeCell ref="FO373:FO374"/>
    <mergeCell ref="FP373:FP374"/>
    <mergeCell ref="FQ373:FQ374"/>
    <mergeCell ref="FR373:FR374"/>
    <mergeCell ref="FS373:FS374"/>
    <mergeCell ref="FT373:FT374"/>
    <mergeCell ref="FU373:FU374"/>
    <mergeCell ref="FV373:FV374"/>
    <mergeCell ref="FW373:FZ374"/>
    <mergeCell ref="FJ373:FJ374"/>
    <mergeCell ref="EA373:EE374"/>
    <mergeCell ref="EF373:EI374"/>
    <mergeCell ref="EA386:EZ386"/>
    <mergeCell ref="FA386:FZ386"/>
    <mergeCell ref="EA387:EZ387"/>
    <mergeCell ref="FA387:FZ387"/>
    <mergeCell ref="EA388:EZ389"/>
    <mergeCell ref="FA388:FZ389"/>
    <mergeCell ref="EV373:EV374"/>
    <mergeCell ref="EW373:EZ374"/>
    <mergeCell ref="FA375:FE375"/>
    <mergeCell ref="FK373:FK374"/>
    <mergeCell ref="FL373:FL374"/>
    <mergeCell ref="FM373:FM374"/>
    <mergeCell ref="FN373:FN374"/>
    <mergeCell ref="FF375:FI375"/>
    <mergeCell ref="FA380:FZ380"/>
    <mergeCell ref="EA381:EZ381"/>
    <mergeCell ref="FA381:FZ381"/>
    <mergeCell ref="EA382:EZ382"/>
    <mergeCell ref="FA382:FZ382"/>
    <mergeCell ref="EA383:EZ383"/>
    <mergeCell ref="FA383:FZ383"/>
    <mergeCell ref="EA384:EZ384"/>
    <mergeCell ref="FA384:FZ384"/>
    <mergeCell ref="FA376:FV376"/>
    <mergeCell ref="FW376:FZ377"/>
    <mergeCell ref="EA378:EZ378"/>
    <mergeCell ref="FA378:FZ378"/>
    <mergeCell ref="EA379:EZ379"/>
    <mergeCell ref="FA379:FZ379"/>
    <mergeCell ref="EW375:EZ375"/>
    <mergeCell ref="FW375:FZ375"/>
    <mergeCell ref="EA375:EE375"/>
    <mergeCell ref="EA408:EZ408"/>
    <mergeCell ref="FA408:FZ408"/>
    <mergeCell ref="EA404:EZ404"/>
    <mergeCell ref="FA404:FZ404"/>
    <mergeCell ref="EA405:EZ405"/>
    <mergeCell ref="FA405:FZ405"/>
    <mergeCell ref="EA406:EZ406"/>
    <mergeCell ref="FA406:FZ406"/>
    <mergeCell ref="FA395:FE396"/>
    <mergeCell ref="FF395:FI396"/>
    <mergeCell ref="FA397:FE397"/>
    <mergeCell ref="FF397:FI397"/>
    <mergeCell ref="EA392:EI392"/>
    <mergeCell ref="EJ392:EZ392"/>
    <mergeCell ref="FA392:FI392"/>
    <mergeCell ref="FJ392:FZ392"/>
    <mergeCell ref="EA393:EI394"/>
    <mergeCell ref="EJ393:EL394"/>
    <mergeCell ref="EM393:EO394"/>
    <mergeCell ref="EP393:EU394"/>
    <mergeCell ref="EV393:EV394"/>
    <mergeCell ref="EW393:EZ394"/>
    <mergeCell ref="FA393:FI394"/>
    <mergeCell ref="FJ393:FL394"/>
    <mergeCell ref="FM393:FO394"/>
    <mergeCell ref="FP393:FU394"/>
    <mergeCell ref="FV393:FV394"/>
    <mergeCell ref="FW393:FZ394"/>
    <mergeCell ref="EA403:EZ403"/>
    <mergeCell ref="FA403:FZ403"/>
    <mergeCell ref="FO395:FO396"/>
    <mergeCell ref="FP395:FP396"/>
    <mergeCell ref="FQ395:FQ396"/>
    <mergeCell ref="FR395:FR396"/>
    <mergeCell ref="FS395:FS396"/>
    <mergeCell ref="FT395:FT396"/>
    <mergeCell ref="FU395:FU396"/>
    <mergeCell ref="FV395:FV396"/>
    <mergeCell ref="FW395:FZ396"/>
    <mergeCell ref="FJ395:FJ396"/>
    <mergeCell ref="FK395:FK396"/>
    <mergeCell ref="FL395:FL396"/>
    <mergeCell ref="FM395:FM396"/>
    <mergeCell ref="FN395:FN396"/>
    <mergeCell ref="EA407:EZ407"/>
    <mergeCell ref="FA407:FZ407"/>
    <mergeCell ref="EA419:EE420"/>
    <mergeCell ref="FA419:FE420"/>
    <mergeCell ref="EA409:EZ409"/>
    <mergeCell ref="FA409:FZ409"/>
    <mergeCell ref="EA410:EZ411"/>
    <mergeCell ref="FA410:FZ411"/>
    <mergeCell ref="EW397:EZ397"/>
    <mergeCell ref="FW397:FZ397"/>
    <mergeCell ref="EJ395:EJ396"/>
    <mergeCell ref="EK395:EK396"/>
    <mergeCell ref="EL395:EL396"/>
    <mergeCell ref="EM395:EM396"/>
    <mergeCell ref="EN395:EN396"/>
    <mergeCell ref="EO395:EO396"/>
    <mergeCell ref="EP395:EP396"/>
    <mergeCell ref="EQ395:EQ396"/>
    <mergeCell ref="ER395:ER396"/>
    <mergeCell ref="ES395:ES396"/>
    <mergeCell ref="ET395:ET396"/>
    <mergeCell ref="EU395:EU396"/>
    <mergeCell ref="EV395:EV396"/>
    <mergeCell ref="EW395:EZ396"/>
    <mergeCell ref="EA398:EV398"/>
    <mergeCell ref="EW398:EZ399"/>
    <mergeCell ref="FA398:FV398"/>
    <mergeCell ref="FW398:FZ399"/>
    <mergeCell ref="EA400:EZ400"/>
    <mergeCell ref="FA400:FZ400"/>
    <mergeCell ref="EA401:EZ401"/>
    <mergeCell ref="FA401:FZ401"/>
    <mergeCell ref="EA402:EZ402"/>
    <mergeCell ref="FA402:FZ402"/>
    <mergeCell ref="EA422:EV422"/>
    <mergeCell ref="EW422:EZ423"/>
    <mergeCell ref="FA422:FV422"/>
    <mergeCell ref="FW422:FZ423"/>
    <mergeCell ref="EL419:EL420"/>
    <mergeCell ref="EM419:EM420"/>
    <mergeCell ref="EN419:EN420"/>
    <mergeCell ref="EO419:EO420"/>
    <mergeCell ref="EP419:EP420"/>
    <mergeCell ref="EQ419:EQ420"/>
    <mergeCell ref="ER419:ER420"/>
    <mergeCell ref="ES419:ES420"/>
    <mergeCell ref="ET419:ET420"/>
    <mergeCell ref="EU419:EU420"/>
    <mergeCell ref="EV419:EV420"/>
    <mergeCell ref="EW419:EZ420"/>
    <mergeCell ref="EA438:EI438"/>
    <mergeCell ref="EJ438:EZ438"/>
    <mergeCell ref="FA438:FI438"/>
    <mergeCell ref="FJ438:FZ438"/>
    <mergeCell ref="EA424:EZ424"/>
    <mergeCell ref="FA424:FZ424"/>
    <mergeCell ref="EA425:EZ425"/>
    <mergeCell ref="FF419:FI420"/>
    <mergeCell ref="FA421:FE421"/>
    <mergeCell ref="FF421:FI421"/>
    <mergeCell ref="FA425:FZ425"/>
    <mergeCell ref="EA426:EZ426"/>
    <mergeCell ref="EA416:EI416"/>
    <mergeCell ref="EJ416:EZ416"/>
    <mergeCell ref="FA416:FI416"/>
    <mergeCell ref="FJ416:FZ416"/>
    <mergeCell ref="EA417:EI418"/>
    <mergeCell ref="EJ417:EL418"/>
    <mergeCell ref="EM417:EO418"/>
    <mergeCell ref="EP417:EU418"/>
    <mergeCell ref="EV417:EV418"/>
    <mergeCell ref="EW417:EZ418"/>
    <mergeCell ref="FA417:FI418"/>
    <mergeCell ref="FJ417:FL418"/>
    <mergeCell ref="FM417:FO418"/>
    <mergeCell ref="FP417:FU418"/>
    <mergeCell ref="FV417:FV418"/>
    <mergeCell ref="FW417:FZ418"/>
    <mergeCell ref="FO419:FO420"/>
    <mergeCell ref="FP419:FP420"/>
    <mergeCell ref="FQ419:FQ420"/>
    <mergeCell ref="FR419:FR420"/>
    <mergeCell ref="EA431:EZ431"/>
    <mergeCell ref="FA431:FZ431"/>
    <mergeCell ref="EA432:EZ432"/>
    <mergeCell ref="FA432:FZ432"/>
    <mergeCell ref="EA433:EZ433"/>
    <mergeCell ref="FA433:FZ433"/>
    <mergeCell ref="EA434:EZ435"/>
    <mergeCell ref="FA434:FZ435"/>
    <mergeCell ref="EF419:EI420"/>
    <mergeCell ref="FS419:FS420"/>
    <mergeCell ref="FT419:FT420"/>
    <mergeCell ref="FU419:FU420"/>
    <mergeCell ref="FV419:FV420"/>
    <mergeCell ref="FW419:FZ420"/>
    <mergeCell ref="FJ419:FJ420"/>
    <mergeCell ref="FK419:FK420"/>
    <mergeCell ref="FL419:FL420"/>
    <mergeCell ref="FM419:FM420"/>
    <mergeCell ref="FN419:FN420"/>
    <mergeCell ref="EA429:EZ429"/>
    <mergeCell ref="FA429:FZ429"/>
    <mergeCell ref="EA430:EZ430"/>
    <mergeCell ref="FA430:FZ430"/>
    <mergeCell ref="EW421:EZ421"/>
    <mergeCell ref="FW421:FZ421"/>
    <mergeCell ref="EJ419:EJ420"/>
    <mergeCell ref="EK419:EK420"/>
    <mergeCell ref="ET441:ET442"/>
    <mergeCell ref="EU441:EU442"/>
    <mergeCell ref="EV441:EV442"/>
    <mergeCell ref="EW441:EZ442"/>
    <mergeCell ref="FA441:FE442"/>
    <mergeCell ref="FF441:FI442"/>
    <mergeCell ref="FA443:FE443"/>
    <mergeCell ref="FF443:FI443"/>
    <mergeCell ref="EA439:EI440"/>
    <mergeCell ref="EJ439:EL440"/>
    <mergeCell ref="EM439:EO440"/>
    <mergeCell ref="EP439:EU440"/>
    <mergeCell ref="EV439:EV440"/>
    <mergeCell ref="EW439:EZ440"/>
    <mergeCell ref="FA439:FI440"/>
    <mergeCell ref="FJ439:FL440"/>
    <mergeCell ref="FM439:FO440"/>
    <mergeCell ref="EA441:EE442"/>
    <mergeCell ref="EF441:EI442"/>
    <mergeCell ref="EA443:EE443"/>
    <mergeCell ref="EF443:EI443"/>
    <mergeCell ref="EA446:EZ446"/>
    <mergeCell ref="FA446:FZ446"/>
    <mergeCell ref="EA447:EZ447"/>
    <mergeCell ref="FA447:FZ447"/>
    <mergeCell ref="EA448:EZ448"/>
    <mergeCell ref="FA448:FZ448"/>
    <mergeCell ref="EA449:EZ449"/>
    <mergeCell ref="FA449:FZ449"/>
    <mergeCell ref="EA450:EZ450"/>
    <mergeCell ref="FA450:FZ450"/>
    <mergeCell ref="EA451:EZ451"/>
    <mergeCell ref="FA451:FZ451"/>
    <mergeCell ref="EA452:EZ452"/>
    <mergeCell ref="FA452:FZ452"/>
    <mergeCell ref="FW441:FZ442"/>
    <mergeCell ref="FJ441:FJ442"/>
    <mergeCell ref="FK441:FK442"/>
    <mergeCell ref="FL441:FL442"/>
    <mergeCell ref="FM441:FM442"/>
    <mergeCell ref="FN441:FN442"/>
    <mergeCell ref="EW443:EZ443"/>
    <mergeCell ref="FW443:FZ443"/>
    <mergeCell ref="EJ441:EJ442"/>
    <mergeCell ref="EK441:EK442"/>
    <mergeCell ref="EL441:EL442"/>
    <mergeCell ref="EM441:EM442"/>
    <mergeCell ref="EN441:EN442"/>
    <mergeCell ref="EO441:EO442"/>
    <mergeCell ref="EP441:EP442"/>
    <mergeCell ref="EQ441:EQ442"/>
    <mergeCell ref="ER441:ER442"/>
    <mergeCell ref="ES441:ES442"/>
    <mergeCell ref="EA453:EZ453"/>
    <mergeCell ref="FA453:FZ453"/>
    <mergeCell ref="EA454:EZ454"/>
    <mergeCell ref="FA454:FZ454"/>
    <mergeCell ref="EA455:EZ455"/>
    <mergeCell ref="FA455:FZ455"/>
    <mergeCell ref="EA456:EZ457"/>
    <mergeCell ref="FA456:FZ457"/>
    <mergeCell ref="GA1:GP1"/>
    <mergeCell ref="GQ1:GZ1"/>
    <mergeCell ref="HA1:HP1"/>
    <mergeCell ref="HQ1:HZ1"/>
    <mergeCell ref="GA2:GP2"/>
    <mergeCell ref="GQ2:GV2"/>
    <mergeCell ref="GW2:GZ2"/>
    <mergeCell ref="HA2:HP2"/>
    <mergeCell ref="HQ2:HV2"/>
    <mergeCell ref="HW2:HZ2"/>
    <mergeCell ref="GA3:GP3"/>
    <mergeCell ref="GQ3:GZ3"/>
    <mergeCell ref="HA3:HP3"/>
    <mergeCell ref="HQ3:HZ3"/>
    <mergeCell ref="GA4:GP4"/>
    <mergeCell ref="GQ4:GZ4"/>
    <mergeCell ref="HA4:HP4"/>
    <mergeCell ref="HQ4:HZ4"/>
    <mergeCell ref="GA5:GP5"/>
    <mergeCell ref="GQ5:GZ5"/>
    <mergeCell ref="HA5:HP5"/>
    <mergeCell ref="HQ5:HZ5"/>
    <mergeCell ref="GA6:GI6"/>
    <mergeCell ref="GJ6:GZ6"/>
    <mergeCell ref="HA6:HI6"/>
    <mergeCell ref="HJ6:HZ6"/>
    <mergeCell ref="GA7:GI8"/>
    <mergeCell ref="GJ7:GL8"/>
    <mergeCell ref="GM7:GO8"/>
    <mergeCell ref="GP7:GU8"/>
    <mergeCell ref="GV7:GV8"/>
    <mergeCell ref="GW7:GZ8"/>
    <mergeCell ref="HA7:HI8"/>
    <mergeCell ref="HJ7:HL8"/>
    <mergeCell ref="HM7:HO8"/>
    <mergeCell ref="HP7:HU8"/>
    <mergeCell ref="HV7:HV8"/>
    <mergeCell ref="HW7:HZ8"/>
    <mergeCell ref="GJ9:GJ10"/>
    <mergeCell ref="GK9:GK10"/>
    <mergeCell ref="GL9:GL10"/>
    <mergeCell ref="GM9:GM10"/>
    <mergeCell ref="GN9:GN10"/>
    <mergeCell ref="GO9:GO10"/>
    <mergeCell ref="GP9:GP10"/>
    <mergeCell ref="GQ9:GQ10"/>
    <mergeCell ref="GR9:GR10"/>
    <mergeCell ref="GS9:GS10"/>
    <mergeCell ref="GT9:GT10"/>
    <mergeCell ref="GU9:GU10"/>
    <mergeCell ref="GV9:GV10"/>
    <mergeCell ref="GW9:GZ10"/>
    <mergeCell ref="HJ9:HJ10"/>
    <mergeCell ref="HK9:HK10"/>
    <mergeCell ref="HL9:HL10"/>
    <mergeCell ref="HM9:HM10"/>
    <mergeCell ref="HN9:HN10"/>
    <mergeCell ref="HO9:HO10"/>
    <mergeCell ref="HP9:HP10"/>
    <mergeCell ref="HQ9:HQ10"/>
    <mergeCell ref="HR9:HR10"/>
    <mergeCell ref="HS9:HS10"/>
    <mergeCell ref="HT9:HT10"/>
    <mergeCell ref="HU9:HU10"/>
    <mergeCell ref="HV9:HV10"/>
    <mergeCell ref="HW9:HZ10"/>
    <mergeCell ref="GW11:GZ11"/>
    <mergeCell ref="HW11:HZ11"/>
    <mergeCell ref="GF9:GI10"/>
    <mergeCell ref="GF11:GI11"/>
    <mergeCell ref="HA9:HE10"/>
    <mergeCell ref="HF9:HI10"/>
    <mergeCell ref="HA11:HE11"/>
    <mergeCell ref="HF11:HI11"/>
    <mergeCell ref="GA14:GZ14"/>
    <mergeCell ref="HA14:HZ14"/>
    <mergeCell ref="GA15:GZ15"/>
    <mergeCell ref="HA15:HZ15"/>
    <mergeCell ref="GA16:GZ16"/>
    <mergeCell ref="HA16:HZ16"/>
    <mergeCell ref="GA17:GZ17"/>
    <mergeCell ref="HA17:HZ17"/>
    <mergeCell ref="GA18:GZ18"/>
    <mergeCell ref="HA18:HZ18"/>
    <mergeCell ref="GA19:GZ19"/>
    <mergeCell ref="HA19:HZ19"/>
    <mergeCell ref="GA20:GZ20"/>
    <mergeCell ref="HA20:HZ20"/>
    <mergeCell ref="GS30:GS31"/>
    <mergeCell ref="GT30:GT31"/>
    <mergeCell ref="GU30:GU31"/>
    <mergeCell ref="GV30:GV31"/>
    <mergeCell ref="GW30:GZ31"/>
    <mergeCell ref="GA21:GZ21"/>
    <mergeCell ref="HA21:HZ21"/>
    <mergeCell ref="GA22:GZ22"/>
    <mergeCell ref="HA22:HZ22"/>
    <mergeCell ref="GA23:GZ23"/>
    <mergeCell ref="HA23:HZ23"/>
    <mergeCell ref="GA24:GZ25"/>
    <mergeCell ref="HA24:HZ25"/>
    <mergeCell ref="GA27:GI27"/>
    <mergeCell ref="GJ27:GZ27"/>
    <mergeCell ref="HA27:HI27"/>
    <mergeCell ref="HJ27:HZ27"/>
    <mergeCell ref="GA28:GI29"/>
    <mergeCell ref="GA36:GZ36"/>
    <mergeCell ref="HA36:HZ36"/>
    <mergeCell ref="GA37:GZ37"/>
    <mergeCell ref="HA37:HZ37"/>
    <mergeCell ref="GA38:GZ38"/>
    <mergeCell ref="HA38:HZ38"/>
    <mergeCell ref="GA39:GZ39"/>
    <mergeCell ref="GJ28:GL29"/>
    <mergeCell ref="GM28:GO29"/>
    <mergeCell ref="GP28:GU29"/>
    <mergeCell ref="GV28:GV29"/>
    <mergeCell ref="GW28:GZ29"/>
    <mergeCell ref="HA28:HI29"/>
    <mergeCell ref="HJ28:HL29"/>
    <mergeCell ref="HM28:HO29"/>
    <mergeCell ref="HP28:HU29"/>
    <mergeCell ref="HV28:HV29"/>
    <mergeCell ref="HW28:HZ29"/>
    <mergeCell ref="HJ30:HJ31"/>
    <mergeCell ref="HK30:HK31"/>
    <mergeCell ref="HL30:HL31"/>
    <mergeCell ref="HM30:HM31"/>
    <mergeCell ref="HN30:HN31"/>
    <mergeCell ref="HO30:HO31"/>
    <mergeCell ref="HP30:HP31"/>
    <mergeCell ref="HQ30:HQ31"/>
    <mergeCell ref="HR30:HR31"/>
    <mergeCell ref="HS30:HS31"/>
    <mergeCell ref="HT30:HT31"/>
    <mergeCell ref="HU30:HU31"/>
    <mergeCell ref="HV30:HV31"/>
    <mergeCell ref="HW30:HZ31"/>
    <mergeCell ref="GW32:GZ32"/>
    <mergeCell ref="HW32:HZ32"/>
    <mergeCell ref="GJ30:GJ31"/>
    <mergeCell ref="GK30:GK31"/>
    <mergeCell ref="GL30:GL31"/>
    <mergeCell ref="GM30:GM31"/>
    <mergeCell ref="GN30:GN31"/>
    <mergeCell ref="GO30:GO31"/>
    <mergeCell ref="GP30:GP31"/>
    <mergeCell ref="GQ30:GQ31"/>
    <mergeCell ref="GR30:GR31"/>
    <mergeCell ref="GA33:GV33"/>
    <mergeCell ref="GW33:GZ34"/>
    <mergeCell ref="HA33:HV33"/>
    <mergeCell ref="HW33:HZ34"/>
    <mergeCell ref="GA35:GZ35"/>
    <mergeCell ref="HA35:HZ35"/>
    <mergeCell ref="GA34:GV34"/>
    <mergeCell ref="HA34:HV34"/>
    <mergeCell ref="GA30:GE31"/>
    <mergeCell ref="GF30:GI31"/>
    <mergeCell ref="GA32:GE32"/>
    <mergeCell ref="GF32:GI32"/>
    <mergeCell ref="HA39:HZ39"/>
    <mergeCell ref="GA40:GZ40"/>
    <mergeCell ref="HA40:HZ40"/>
    <mergeCell ref="GA41:GZ41"/>
    <mergeCell ref="HA41:HZ41"/>
    <mergeCell ref="GA48:GI48"/>
    <mergeCell ref="GJ48:GZ48"/>
    <mergeCell ref="HA48:HI48"/>
    <mergeCell ref="HJ48:HZ48"/>
    <mergeCell ref="GA49:GI50"/>
    <mergeCell ref="GJ49:GL50"/>
    <mergeCell ref="GM49:GO50"/>
    <mergeCell ref="GP49:GU50"/>
    <mergeCell ref="GV49:GV50"/>
    <mergeCell ref="GW49:GZ50"/>
    <mergeCell ref="HA49:HI50"/>
    <mergeCell ref="HJ49:HL50"/>
    <mergeCell ref="HM49:HO50"/>
    <mergeCell ref="HP49:HU50"/>
    <mergeCell ref="HV49:HV50"/>
    <mergeCell ref="HW49:HZ50"/>
    <mergeCell ref="GA42:GZ42"/>
    <mergeCell ref="HA42:HZ42"/>
    <mergeCell ref="GA43:GZ43"/>
    <mergeCell ref="HA43:HZ43"/>
    <mergeCell ref="GA44:GZ44"/>
    <mergeCell ref="HA44:HZ44"/>
    <mergeCell ref="GA45:GZ46"/>
    <mergeCell ref="HA45:HZ46"/>
    <mergeCell ref="HO51:HO52"/>
    <mergeCell ref="HP51:HP52"/>
    <mergeCell ref="HQ51:HQ52"/>
    <mergeCell ref="HR51:HR52"/>
    <mergeCell ref="HS51:HS52"/>
    <mergeCell ref="HT51:HT52"/>
    <mergeCell ref="HU51:HU52"/>
    <mergeCell ref="HV51:HV52"/>
    <mergeCell ref="HW51:HZ52"/>
    <mergeCell ref="HJ51:HJ52"/>
    <mergeCell ref="HK51:HK52"/>
    <mergeCell ref="HL51:HL52"/>
    <mergeCell ref="HM51:HM52"/>
    <mergeCell ref="HN51:HN52"/>
    <mergeCell ref="GA63:GZ63"/>
    <mergeCell ref="HA63:HZ63"/>
    <mergeCell ref="GA64:GZ64"/>
    <mergeCell ref="HA64:HZ64"/>
    <mergeCell ref="GA60:GZ60"/>
    <mergeCell ref="HA60:HZ60"/>
    <mergeCell ref="GA61:GZ61"/>
    <mergeCell ref="HA61:HZ61"/>
    <mergeCell ref="GA62:GZ62"/>
    <mergeCell ref="HA62:HZ62"/>
    <mergeCell ref="GA55:GV55"/>
    <mergeCell ref="HA55:HV55"/>
    <mergeCell ref="GA51:GE52"/>
    <mergeCell ref="GF51:GI52"/>
    <mergeCell ref="GA53:GE53"/>
    <mergeCell ref="GF53:GI53"/>
    <mergeCell ref="GA65:GZ65"/>
    <mergeCell ref="HA65:HZ65"/>
    <mergeCell ref="GA66:GZ67"/>
    <mergeCell ref="HA66:HZ67"/>
    <mergeCell ref="GW53:GZ53"/>
    <mergeCell ref="HW53:HZ53"/>
    <mergeCell ref="GJ51:GJ52"/>
    <mergeCell ref="GK51:GK52"/>
    <mergeCell ref="GL51:GL52"/>
    <mergeCell ref="GM51:GM52"/>
    <mergeCell ref="GN51:GN52"/>
    <mergeCell ref="GO51:GO52"/>
    <mergeCell ref="GP51:GP52"/>
    <mergeCell ref="GQ51:GQ52"/>
    <mergeCell ref="GR51:GR52"/>
    <mergeCell ref="GS51:GS52"/>
    <mergeCell ref="GT51:GT52"/>
    <mergeCell ref="GU51:GU52"/>
    <mergeCell ref="GV51:GV52"/>
    <mergeCell ref="GW51:GZ52"/>
    <mergeCell ref="GA54:GV54"/>
    <mergeCell ref="GW54:GZ55"/>
    <mergeCell ref="HA54:HV54"/>
    <mergeCell ref="HW54:HZ55"/>
    <mergeCell ref="GA56:GZ56"/>
    <mergeCell ref="HA56:HZ56"/>
    <mergeCell ref="GA57:GZ57"/>
    <mergeCell ref="HA57:HZ57"/>
    <mergeCell ref="GA58:GZ58"/>
    <mergeCell ref="HA58:HZ58"/>
    <mergeCell ref="GA59:GZ59"/>
    <mergeCell ref="HA59:HZ59"/>
    <mergeCell ref="GA78:GZ78"/>
    <mergeCell ref="HA78:HZ78"/>
    <mergeCell ref="GA79:GZ79"/>
    <mergeCell ref="HA79:HZ79"/>
    <mergeCell ref="GA80:GZ80"/>
    <mergeCell ref="HA80:HZ80"/>
    <mergeCell ref="GA81:GZ81"/>
    <mergeCell ref="HA81:HZ81"/>
    <mergeCell ref="GA82:GZ82"/>
    <mergeCell ref="HA82:HZ82"/>
    <mergeCell ref="GA70:GI70"/>
    <mergeCell ref="GJ70:GZ70"/>
    <mergeCell ref="HA70:HI70"/>
    <mergeCell ref="HJ70:HZ70"/>
    <mergeCell ref="GA71:GI72"/>
    <mergeCell ref="GJ71:GL72"/>
    <mergeCell ref="GM71:GO72"/>
    <mergeCell ref="GP71:GU72"/>
    <mergeCell ref="GV71:GV72"/>
    <mergeCell ref="GW71:GZ72"/>
    <mergeCell ref="HA71:HI72"/>
    <mergeCell ref="HJ71:HL72"/>
    <mergeCell ref="HM71:HO72"/>
    <mergeCell ref="HP71:HU72"/>
    <mergeCell ref="HV71:HV72"/>
    <mergeCell ref="HW71:HZ72"/>
    <mergeCell ref="HO73:HO74"/>
    <mergeCell ref="HP73:HP74"/>
    <mergeCell ref="HQ73:HQ74"/>
    <mergeCell ref="HR73:HR74"/>
    <mergeCell ref="HS73:HS74"/>
    <mergeCell ref="HT73:HT74"/>
    <mergeCell ref="GW75:GZ75"/>
    <mergeCell ref="HW75:HZ75"/>
    <mergeCell ref="GJ73:GJ74"/>
    <mergeCell ref="GK73:GK74"/>
    <mergeCell ref="GL73:GL74"/>
    <mergeCell ref="GM73:GM74"/>
    <mergeCell ref="GN73:GN74"/>
    <mergeCell ref="GO73:GO74"/>
    <mergeCell ref="GP73:GP74"/>
    <mergeCell ref="GQ73:GQ74"/>
    <mergeCell ref="GR73:GR74"/>
    <mergeCell ref="GS73:GS74"/>
    <mergeCell ref="GT73:GT74"/>
    <mergeCell ref="GU73:GU74"/>
    <mergeCell ref="GV73:GV74"/>
    <mergeCell ref="GW73:GZ74"/>
    <mergeCell ref="GA76:GV76"/>
    <mergeCell ref="GW76:GZ77"/>
    <mergeCell ref="HA76:HV76"/>
    <mergeCell ref="HW76:HZ77"/>
    <mergeCell ref="HU73:HU74"/>
    <mergeCell ref="HV73:HV74"/>
    <mergeCell ref="HW73:HZ74"/>
    <mergeCell ref="HJ73:HJ74"/>
    <mergeCell ref="HK73:HK74"/>
    <mergeCell ref="HL73:HL74"/>
    <mergeCell ref="HM73:HM74"/>
    <mergeCell ref="HN73:HN74"/>
    <mergeCell ref="GA73:GE74"/>
    <mergeCell ref="GF73:GI74"/>
    <mergeCell ref="GA75:GE75"/>
    <mergeCell ref="GF75:GI75"/>
    <mergeCell ref="GA83:GZ83"/>
    <mergeCell ref="HA83:HZ83"/>
    <mergeCell ref="GA84:GZ84"/>
    <mergeCell ref="HA84:HZ84"/>
    <mergeCell ref="GA94:GI94"/>
    <mergeCell ref="GJ94:GZ94"/>
    <mergeCell ref="HA94:HI94"/>
    <mergeCell ref="HJ94:HZ94"/>
    <mergeCell ref="GA95:GI96"/>
    <mergeCell ref="GJ95:GL96"/>
    <mergeCell ref="GM95:GO96"/>
    <mergeCell ref="GP95:GU96"/>
    <mergeCell ref="GV95:GV96"/>
    <mergeCell ref="GW95:GZ96"/>
    <mergeCell ref="HA95:HI96"/>
    <mergeCell ref="HJ95:HL96"/>
    <mergeCell ref="HM95:HO96"/>
    <mergeCell ref="HP95:HU96"/>
    <mergeCell ref="HV95:HV96"/>
    <mergeCell ref="HW95:HZ96"/>
    <mergeCell ref="GA85:GZ85"/>
    <mergeCell ref="HA85:HZ85"/>
    <mergeCell ref="GA86:GZ86"/>
    <mergeCell ref="HA86:HZ86"/>
    <mergeCell ref="GA87:GZ87"/>
    <mergeCell ref="HA87:HZ87"/>
    <mergeCell ref="GA88:GZ89"/>
    <mergeCell ref="HA88:HZ89"/>
    <mergeCell ref="HO97:HO98"/>
    <mergeCell ref="HP97:HP98"/>
    <mergeCell ref="HQ97:HQ98"/>
    <mergeCell ref="HR97:HR98"/>
    <mergeCell ref="HS97:HS98"/>
    <mergeCell ref="HT97:HT98"/>
    <mergeCell ref="HU97:HU98"/>
    <mergeCell ref="HV97:HV98"/>
    <mergeCell ref="HW97:HZ98"/>
    <mergeCell ref="HJ97:HJ98"/>
    <mergeCell ref="HK97:HK98"/>
    <mergeCell ref="HL97:HL98"/>
    <mergeCell ref="HM97:HM98"/>
    <mergeCell ref="HN97:HN98"/>
    <mergeCell ref="GA109:GZ109"/>
    <mergeCell ref="HA109:HZ109"/>
    <mergeCell ref="GA110:GZ110"/>
    <mergeCell ref="HA110:HZ110"/>
    <mergeCell ref="GA106:GZ106"/>
    <mergeCell ref="HA106:HZ106"/>
    <mergeCell ref="GA107:GZ107"/>
    <mergeCell ref="HA107:HZ107"/>
    <mergeCell ref="GA108:GZ108"/>
    <mergeCell ref="HA108:HZ108"/>
    <mergeCell ref="GA97:GE98"/>
    <mergeCell ref="GF97:GI98"/>
    <mergeCell ref="GA99:GE99"/>
    <mergeCell ref="GF99:GI99"/>
    <mergeCell ref="GA111:GZ111"/>
    <mergeCell ref="HA111:HZ111"/>
    <mergeCell ref="GA112:GZ113"/>
    <mergeCell ref="HA112:HZ113"/>
    <mergeCell ref="GW99:GZ99"/>
    <mergeCell ref="HW99:HZ99"/>
    <mergeCell ref="GJ97:GJ98"/>
    <mergeCell ref="GK97:GK98"/>
    <mergeCell ref="GL97:GL98"/>
    <mergeCell ref="GM97:GM98"/>
    <mergeCell ref="GN97:GN98"/>
    <mergeCell ref="GO97:GO98"/>
    <mergeCell ref="GP97:GP98"/>
    <mergeCell ref="GQ97:GQ98"/>
    <mergeCell ref="GR97:GR98"/>
    <mergeCell ref="GS97:GS98"/>
    <mergeCell ref="GT97:GT98"/>
    <mergeCell ref="GU97:GU98"/>
    <mergeCell ref="GV97:GV98"/>
    <mergeCell ref="GW97:GZ98"/>
    <mergeCell ref="GA100:GV100"/>
    <mergeCell ref="GW100:GZ101"/>
    <mergeCell ref="HA100:HV100"/>
    <mergeCell ref="HW100:HZ101"/>
    <mergeCell ref="GA102:GZ102"/>
    <mergeCell ref="HA102:HZ102"/>
    <mergeCell ref="GA103:GZ103"/>
    <mergeCell ref="HA103:HZ103"/>
    <mergeCell ref="GA104:GZ104"/>
    <mergeCell ref="HA104:HZ104"/>
    <mergeCell ref="GA105:GZ105"/>
    <mergeCell ref="HA105:HZ105"/>
    <mergeCell ref="HA122:HV122"/>
    <mergeCell ref="HW122:HZ123"/>
    <mergeCell ref="GA124:GZ124"/>
    <mergeCell ref="HA124:HZ124"/>
    <mergeCell ref="GA125:GZ125"/>
    <mergeCell ref="GA126:GZ126"/>
    <mergeCell ref="HA126:HZ126"/>
    <mergeCell ref="GA127:GZ127"/>
    <mergeCell ref="HA127:HZ127"/>
    <mergeCell ref="GA128:GZ128"/>
    <mergeCell ref="HA128:HZ128"/>
    <mergeCell ref="GA116:GI116"/>
    <mergeCell ref="GJ116:GZ116"/>
    <mergeCell ref="HA116:HI116"/>
    <mergeCell ref="HJ116:HZ116"/>
    <mergeCell ref="GA117:GI118"/>
    <mergeCell ref="GJ117:GL118"/>
    <mergeCell ref="GM117:GO118"/>
    <mergeCell ref="GP117:GU118"/>
    <mergeCell ref="GV117:GV118"/>
    <mergeCell ref="GW117:GZ118"/>
    <mergeCell ref="HA117:HI118"/>
    <mergeCell ref="HJ117:HL118"/>
    <mergeCell ref="HM117:HO118"/>
    <mergeCell ref="HP117:HU118"/>
    <mergeCell ref="HV117:HV118"/>
    <mergeCell ref="HW117:HZ118"/>
    <mergeCell ref="HO119:HO120"/>
    <mergeCell ref="HP119:HP120"/>
    <mergeCell ref="HQ119:HQ120"/>
    <mergeCell ref="GW121:GZ121"/>
    <mergeCell ref="HW121:HZ121"/>
    <mergeCell ref="GM119:GM120"/>
    <mergeCell ref="GN119:GN120"/>
    <mergeCell ref="GO119:GO120"/>
    <mergeCell ref="GP119:GP120"/>
    <mergeCell ref="GQ119:GQ120"/>
    <mergeCell ref="GR119:GR120"/>
    <mergeCell ref="GS119:GS120"/>
    <mergeCell ref="GT119:GT120"/>
    <mergeCell ref="GU119:GU120"/>
    <mergeCell ref="GV119:GV120"/>
    <mergeCell ref="GW119:GZ120"/>
    <mergeCell ref="GF121:GI121"/>
    <mergeCell ref="HR119:HR120"/>
    <mergeCell ref="HS119:HS120"/>
    <mergeCell ref="HT119:HT120"/>
    <mergeCell ref="HU119:HU120"/>
    <mergeCell ref="HV119:HV120"/>
    <mergeCell ref="HW119:HZ120"/>
    <mergeCell ref="HJ119:HJ120"/>
    <mergeCell ref="HK119:HK120"/>
    <mergeCell ref="HL119:HL120"/>
    <mergeCell ref="HM119:HM120"/>
    <mergeCell ref="HN119:HN120"/>
    <mergeCell ref="HA129:HZ129"/>
    <mergeCell ref="GA130:GZ130"/>
    <mergeCell ref="HA130:HZ130"/>
    <mergeCell ref="GA140:GI140"/>
    <mergeCell ref="GJ140:GZ140"/>
    <mergeCell ref="HA140:HI140"/>
    <mergeCell ref="HJ140:HZ140"/>
    <mergeCell ref="GA141:GI142"/>
    <mergeCell ref="GJ141:GL142"/>
    <mergeCell ref="GM141:GO142"/>
    <mergeCell ref="GP141:GU142"/>
    <mergeCell ref="GV141:GV142"/>
    <mergeCell ref="GW141:GZ142"/>
    <mergeCell ref="HA141:HI142"/>
    <mergeCell ref="HJ141:HL142"/>
    <mergeCell ref="HM141:HO142"/>
    <mergeCell ref="HP141:HU142"/>
    <mergeCell ref="HV141:HV142"/>
    <mergeCell ref="HW141:HZ142"/>
    <mergeCell ref="GA131:GZ131"/>
    <mergeCell ref="HA131:HZ131"/>
    <mergeCell ref="GA132:GZ132"/>
    <mergeCell ref="HA132:HZ132"/>
    <mergeCell ref="GA133:GZ133"/>
    <mergeCell ref="HA133:HZ133"/>
    <mergeCell ref="GA134:GZ135"/>
    <mergeCell ref="HA134:HZ135"/>
    <mergeCell ref="HA155:HZ155"/>
    <mergeCell ref="GA156:GZ156"/>
    <mergeCell ref="HA156:HZ156"/>
    <mergeCell ref="GA157:GZ157"/>
    <mergeCell ref="HA157:HZ157"/>
    <mergeCell ref="GA158:GZ159"/>
    <mergeCell ref="HA158:HZ159"/>
    <mergeCell ref="GW145:GZ145"/>
    <mergeCell ref="HW145:HZ145"/>
    <mergeCell ref="GJ143:GJ144"/>
    <mergeCell ref="GK143:GK144"/>
    <mergeCell ref="GL143:GL144"/>
    <mergeCell ref="GM143:GM144"/>
    <mergeCell ref="GN143:GN144"/>
    <mergeCell ref="GO143:GO144"/>
    <mergeCell ref="GP143:GP144"/>
    <mergeCell ref="GQ143:GQ144"/>
    <mergeCell ref="GR143:GR144"/>
    <mergeCell ref="GS143:GS144"/>
    <mergeCell ref="GT143:GT144"/>
    <mergeCell ref="GU143:GU144"/>
    <mergeCell ref="GV143:GV144"/>
    <mergeCell ref="GW143:GZ144"/>
    <mergeCell ref="GF143:GI144"/>
    <mergeCell ref="GA146:GV146"/>
    <mergeCell ref="GW146:GZ147"/>
    <mergeCell ref="HA146:HV146"/>
    <mergeCell ref="HW146:HZ147"/>
    <mergeCell ref="GA148:GZ148"/>
    <mergeCell ref="HA148:HZ148"/>
    <mergeCell ref="HA163:HI164"/>
    <mergeCell ref="HJ163:HL164"/>
    <mergeCell ref="HM163:HO164"/>
    <mergeCell ref="HP163:HU164"/>
    <mergeCell ref="HV163:HV164"/>
    <mergeCell ref="HW163:HZ164"/>
    <mergeCell ref="HO165:HO166"/>
    <mergeCell ref="HP165:HP166"/>
    <mergeCell ref="HQ165:HQ166"/>
    <mergeCell ref="HR165:HR166"/>
    <mergeCell ref="HS165:HS166"/>
    <mergeCell ref="HT165:HT166"/>
    <mergeCell ref="HU165:HU166"/>
    <mergeCell ref="HV165:HV166"/>
    <mergeCell ref="HW165:HZ166"/>
    <mergeCell ref="HJ165:HJ166"/>
    <mergeCell ref="HK165:HK166"/>
    <mergeCell ref="HL165:HL166"/>
    <mergeCell ref="HM165:HM166"/>
    <mergeCell ref="HN165:HN166"/>
    <mergeCell ref="HW167:HZ167"/>
    <mergeCell ref="GJ165:GJ166"/>
    <mergeCell ref="GK165:GK166"/>
    <mergeCell ref="GL165:GL166"/>
    <mergeCell ref="GM165:GM166"/>
    <mergeCell ref="GN165:GN166"/>
    <mergeCell ref="GO165:GO166"/>
    <mergeCell ref="GP165:GP166"/>
    <mergeCell ref="GQ165:GQ166"/>
    <mergeCell ref="GR165:GR166"/>
    <mergeCell ref="GS165:GS166"/>
    <mergeCell ref="GT165:GT166"/>
    <mergeCell ref="GU165:GU166"/>
    <mergeCell ref="GV165:GV166"/>
    <mergeCell ref="GW165:GZ166"/>
    <mergeCell ref="GA168:GV168"/>
    <mergeCell ref="GW168:GZ169"/>
    <mergeCell ref="HA168:HV168"/>
    <mergeCell ref="HW168:HZ169"/>
    <mergeCell ref="HA186:HI186"/>
    <mergeCell ref="HJ186:HZ186"/>
    <mergeCell ref="GA187:GI188"/>
    <mergeCell ref="GJ187:GL188"/>
    <mergeCell ref="GM187:GO188"/>
    <mergeCell ref="GP187:GU188"/>
    <mergeCell ref="GV187:GV188"/>
    <mergeCell ref="GW187:GZ188"/>
    <mergeCell ref="HA187:HI188"/>
    <mergeCell ref="HJ187:HL188"/>
    <mergeCell ref="HM187:HO188"/>
    <mergeCell ref="HP187:HU188"/>
    <mergeCell ref="HV187:HV188"/>
    <mergeCell ref="HW187:HZ188"/>
    <mergeCell ref="HO189:HO190"/>
    <mergeCell ref="HP189:HP190"/>
    <mergeCell ref="HQ189:HQ190"/>
    <mergeCell ref="HR189:HR190"/>
    <mergeCell ref="GT189:GT190"/>
    <mergeCell ref="GU189:GU190"/>
    <mergeCell ref="GV189:GV190"/>
    <mergeCell ref="GW189:GZ190"/>
    <mergeCell ref="HA170:HZ170"/>
    <mergeCell ref="GA171:GZ171"/>
    <mergeCell ref="HA171:HZ171"/>
    <mergeCell ref="GA172:GZ172"/>
    <mergeCell ref="HA172:HZ172"/>
    <mergeCell ref="GA173:GZ173"/>
    <mergeCell ref="HA173:HZ173"/>
    <mergeCell ref="GA174:GZ174"/>
    <mergeCell ref="GA194:GZ194"/>
    <mergeCell ref="HA194:HZ194"/>
    <mergeCell ref="GA195:GZ195"/>
    <mergeCell ref="HA195:HZ195"/>
    <mergeCell ref="GA177:GZ177"/>
    <mergeCell ref="HA177:HZ177"/>
    <mergeCell ref="GA178:GZ178"/>
    <mergeCell ref="HA178:HZ178"/>
    <mergeCell ref="HA174:HZ174"/>
    <mergeCell ref="GA175:GZ175"/>
    <mergeCell ref="HA175:HZ175"/>
    <mergeCell ref="GA176:GZ176"/>
    <mergeCell ref="HA176:HZ176"/>
    <mergeCell ref="HA179:HZ179"/>
    <mergeCell ref="GA180:GZ181"/>
    <mergeCell ref="HA180:HZ181"/>
    <mergeCell ref="GA192:GV192"/>
    <mergeCell ref="GW192:GZ193"/>
    <mergeCell ref="HA192:HV192"/>
    <mergeCell ref="HW192:HZ193"/>
    <mergeCell ref="HN189:HN190"/>
    <mergeCell ref="HA189:HE190"/>
    <mergeCell ref="HF189:HI190"/>
    <mergeCell ref="HA191:HE191"/>
    <mergeCell ref="HF191:HI191"/>
    <mergeCell ref="HA196:HZ196"/>
    <mergeCell ref="GA197:GZ197"/>
    <mergeCell ref="HA197:HZ197"/>
    <mergeCell ref="GA198:GZ198"/>
    <mergeCell ref="HA198:HZ198"/>
    <mergeCell ref="GA199:GZ199"/>
    <mergeCell ref="HA199:HZ199"/>
    <mergeCell ref="GA200:GZ200"/>
    <mergeCell ref="HA200:HZ200"/>
    <mergeCell ref="HL189:HL190"/>
    <mergeCell ref="HM189:HM190"/>
    <mergeCell ref="GW191:GZ191"/>
    <mergeCell ref="HW191:HZ191"/>
    <mergeCell ref="GJ189:GJ190"/>
    <mergeCell ref="GK189:GK190"/>
    <mergeCell ref="GL189:GL190"/>
    <mergeCell ref="GM189:GM190"/>
    <mergeCell ref="GN189:GN190"/>
    <mergeCell ref="GO189:GO190"/>
    <mergeCell ref="GP189:GP190"/>
    <mergeCell ref="GQ189:GQ190"/>
    <mergeCell ref="GR189:GR190"/>
    <mergeCell ref="GS189:GS190"/>
    <mergeCell ref="HA208:HI208"/>
    <mergeCell ref="HJ208:HZ208"/>
    <mergeCell ref="GA209:GI210"/>
    <mergeCell ref="GJ209:GL210"/>
    <mergeCell ref="GM209:GO210"/>
    <mergeCell ref="GP209:GU210"/>
    <mergeCell ref="GV209:GV210"/>
    <mergeCell ref="GW209:GZ210"/>
    <mergeCell ref="HA209:HI210"/>
    <mergeCell ref="HJ209:HL210"/>
    <mergeCell ref="HM209:HO210"/>
    <mergeCell ref="HP209:HU210"/>
    <mergeCell ref="HV209:HV210"/>
    <mergeCell ref="HW209:HZ210"/>
    <mergeCell ref="HA201:HZ201"/>
    <mergeCell ref="GA202:GZ202"/>
    <mergeCell ref="HA202:HZ202"/>
    <mergeCell ref="GA203:GZ203"/>
    <mergeCell ref="HA203:HZ203"/>
    <mergeCell ref="GA204:GZ205"/>
    <mergeCell ref="HA204:HZ205"/>
    <mergeCell ref="HO211:HO212"/>
    <mergeCell ref="HP211:HP212"/>
    <mergeCell ref="HQ211:HQ212"/>
    <mergeCell ref="HR211:HR212"/>
    <mergeCell ref="HS211:HS212"/>
    <mergeCell ref="HT211:HT212"/>
    <mergeCell ref="HU211:HU212"/>
    <mergeCell ref="HV211:HV212"/>
    <mergeCell ref="HW211:HZ212"/>
    <mergeCell ref="HJ211:HJ212"/>
    <mergeCell ref="HK211:HK212"/>
    <mergeCell ref="HL211:HL212"/>
    <mergeCell ref="HM211:HM212"/>
    <mergeCell ref="HN211:HN212"/>
    <mergeCell ref="GW213:GZ213"/>
    <mergeCell ref="HW213:HZ213"/>
    <mergeCell ref="GJ211:GJ212"/>
    <mergeCell ref="GK211:GK212"/>
    <mergeCell ref="GL211:GL212"/>
    <mergeCell ref="GM211:GM212"/>
    <mergeCell ref="GN211:GN212"/>
    <mergeCell ref="GO211:GO212"/>
    <mergeCell ref="GP211:GP212"/>
    <mergeCell ref="GQ211:GQ212"/>
    <mergeCell ref="GR211:GR212"/>
    <mergeCell ref="GS211:GS212"/>
    <mergeCell ref="GT211:GT212"/>
    <mergeCell ref="GU211:GU212"/>
    <mergeCell ref="GV211:GV212"/>
    <mergeCell ref="GW211:GZ212"/>
    <mergeCell ref="HA211:HE212"/>
    <mergeCell ref="HF211:HI212"/>
    <mergeCell ref="HA214:HV214"/>
    <mergeCell ref="HW214:HZ215"/>
    <mergeCell ref="GA216:GZ216"/>
    <mergeCell ref="HA216:HZ216"/>
    <mergeCell ref="GA217:GZ217"/>
    <mergeCell ref="HA217:HZ217"/>
    <mergeCell ref="GA218:GZ218"/>
    <mergeCell ref="HA218:HZ218"/>
    <mergeCell ref="GA219:GZ219"/>
    <mergeCell ref="HA219:HZ219"/>
    <mergeCell ref="GA220:GZ220"/>
    <mergeCell ref="HA220:HZ220"/>
    <mergeCell ref="GA221:GZ221"/>
    <mergeCell ref="HA221:HZ221"/>
    <mergeCell ref="GA222:GZ222"/>
    <mergeCell ref="HA222:HZ222"/>
    <mergeCell ref="GA223:GZ223"/>
    <mergeCell ref="HA223:HZ223"/>
    <mergeCell ref="HA224:HZ224"/>
    <mergeCell ref="GA225:GZ225"/>
    <mergeCell ref="HA225:HZ225"/>
    <mergeCell ref="GA226:GZ227"/>
    <mergeCell ref="HA226:HZ227"/>
    <mergeCell ref="GA228:GZ229"/>
    <mergeCell ref="HA228:HZ229"/>
    <mergeCell ref="GA232:GI232"/>
    <mergeCell ref="GJ232:GZ232"/>
    <mergeCell ref="HA232:HI232"/>
    <mergeCell ref="HJ232:HZ232"/>
    <mergeCell ref="GA233:GI234"/>
    <mergeCell ref="GJ233:GL234"/>
    <mergeCell ref="GM233:GO234"/>
    <mergeCell ref="GP233:GU234"/>
    <mergeCell ref="HA233:HI234"/>
    <mergeCell ref="HJ233:HL234"/>
    <mergeCell ref="HM233:HO234"/>
    <mergeCell ref="HP233:HU234"/>
    <mergeCell ref="HV233:HV234"/>
    <mergeCell ref="HW233:HZ234"/>
    <mergeCell ref="GA250:GZ251"/>
    <mergeCell ref="HA250:HZ251"/>
    <mergeCell ref="HJ235:HJ236"/>
    <mergeCell ref="HK235:HK236"/>
    <mergeCell ref="HL235:HL236"/>
    <mergeCell ref="HM235:HM236"/>
    <mergeCell ref="HN235:HN236"/>
    <mergeCell ref="HO235:HO236"/>
    <mergeCell ref="HP235:HP236"/>
    <mergeCell ref="HQ235:HQ236"/>
    <mergeCell ref="HR235:HR236"/>
    <mergeCell ref="HS235:HS236"/>
    <mergeCell ref="HT235:HT236"/>
    <mergeCell ref="HU235:HU236"/>
    <mergeCell ref="HV235:HV236"/>
    <mergeCell ref="HW235:HZ236"/>
    <mergeCell ref="GW237:GZ237"/>
    <mergeCell ref="HW237:HZ237"/>
    <mergeCell ref="GJ235:GJ236"/>
    <mergeCell ref="GA238:GV238"/>
    <mergeCell ref="GW238:GZ239"/>
    <mergeCell ref="HA238:HV238"/>
    <mergeCell ref="HW238:HZ239"/>
    <mergeCell ref="GA240:GZ240"/>
    <mergeCell ref="HA240:HZ240"/>
    <mergeCell ref="GA241:GZ241"/>
    <mergeCell ref="GR235:GR236"/>
    <mergeCell ref="GS235:GS236"/>
    <mergeCell ref="GT235:GT236"/>
    <mergeCell ref="GU235:GU236"/>
    <mergeCell ref="GV235:GV236"/>
    <mergeCell ref="GW235:GZ236"/>
    <mergeCell ref="GA242:GZ242"/>
    <mergeCell ref="HA242:HZ242"/>
    <mergeCell ref="GA243:GZ243"/>
    <mergeCell ref="HA243:HZ243"/>
    <mergeCell ref="GA244:GZ244"/>
    <mergeCell ref="HA244:HZ244"/>
    <mergeCell ref="GA245:GZ245"/>
    <mergeCell ref="HA245:HZ245"/>
    <mergeCell ref="GA246:GZ246"/>
    <mergeCell ref="HA246:HZ246"/>
    <mergeCell ref="GA254:GI254"/>
    <mergeCell ref="GJ254:GZ254"/>
    <mergeCell ref="HA254:HI254"/>
    <mergeCell ref="HJ254:HZ254"/>
    <mergeCell ref="GA255:GI256"/>
    <mergeCell ref="GJ255:GL256"/>
    <mergeCell ref="GM255:GO256"/>
    <mergeCell ref="GP255:GU256"/>
    <mergeCell ref="GV255:GV256"/>
    <mergeCell ref="GW255:GZ256"/>
    <mergeCell ref="HA255:HI256"/>
    <mergeCell ref="HJ255:HL256"/>
    <mergeCell ref="HM255:HO256"/>
    <mergeCell ref="HP255:HU256"/>
    <mergeCell ref="HV255:HV256"/>
    <mergeCell ref="HW255:HZ256"/>
    <mergeCell ref="GA247:GZ247"/>
    <mergeCell ref="HA247:HZ247"/>
    <mergeCell ref="GA248:GZ248"/>
    <mergeCell ref="HA248:HZ248"/>
    <mergeCell ref="GA249:GZ249"/>
    <mergeCell ref="HA249:HZ249"/>
    <mergeCell ref="HN257:HN258"/>
    <mergeCell ref="GA257:GE258"/>
    <mergeCell ref="GW259:GZ259"/>
    <mergeCell ref="HW259:HZ259"/>
    <mergeCell ref="GJ257:GJ258"/>
    <mergeCell ref="GK257:GK258"/>
    <mergeCell ref="GL257:GL258"/>
    <mergeCell ref="GM257:GM258"/>
    <mergeCell ref="GN257:GN258"/>
    <mergeCell ref="GO257:GO258"/>
    <mergeCell ref="GP257:GP258"/>
    <mergeCell ref="GQ257:GQ258"/>
    <mergeCell ref="GR257:GR258"/>
    <mergeCell ref="GS257:GS258"/>
    <mergeCell ref="GT257:GT258"/>
    <mergeCell ref="GU257:GU258"/>
    <mergeCell ref="GV257:GV258"/>
    <mergeCell ref="GW257:GZ258"/>
    <mergeCell ref="GF257:GI258"/>
    <mergeCell ref="GA259:GE259"/>
    <mergeCell ref="GF259:GI259"/>
    <mergeCell ref="GA260:GV260"/>
    <mergeCell ref="GW260:GZ261"/>
    <mergeCell ref="HA260:HV260"/>
    <mergeCell ref="HW260:HZ261"/>
    <mergeCell ref="GA262:GZ262"/>
    <mergeCell ref="HA262:HZ262"/>
    <mergeCell ref="GA263:GZ263"/>
    <mergeCell ref="HA263:HZ263"/>
    <mergeCell ref="GA264:GZ264"/>
    <mergeCell ref="HA264:HZ264"/>
    <mergeCell ref="GA265:GZ265"/>
    <mergeCell ref="HA265:HZ265"/>
    <mergeCell ref="GA266:GZ266"/>
    <mergeCell ref="HA266:HZ266"/>
    <mergeCell ref="GA267:GZ267"/>
    <mergeCell ref="HA267:HZ267"/>
    <mergeCell ref="GA268:GZ268"/>
    <mergeCell ref="HA268:HZ268"/>
    <mergeCell ref="GA269:GZ269"/>
    <mergeCell ref="HA269:HZ269"/>
    <mergeCell ref="GA270:GZ270"/>
    <mergeCell ref="HA270:HZ270"/>
    <mergeCell ref="GA271:GZ271"/>
    <mergeCell ref="HA271:HZ271"/>
    <mergeCell ref="GA272:GZ273"/>
    <mergeCell ref="HA272:HZ273"/>
    <mergeCell ref="GA274:GZ275"/>
    <mergeCell ref="HA274:HZ275"/>
    <mergeCell ref="GA278:GI278"/>
    <mergeCell ref="GJ278:GZ278"/>
    <mergeCell ref="HA278:HI278"/>
    <mergeCell ref="HJ278:HZ278"/>
    <mergeCell ref="GA279:GI280"/>
    <mergeCell ref="GJ279:GL280"/>
    <mergeCell ref="GM279:GO280"/>
    <mergeCell ref="GP279:GU280"/>
    <mergeCell ref="GV279:GV280"/>
    <mergeCell ref="GW279:GZ280"/>
    <mergeCell ref="HA279:HI280"/>
    <mergeCell ref="HJ279:HL280"/>
    <mergeCell ref="HM279:HO280"/>
    <mergeCell ref="HP279:HU280"/>
    <mergeCell ref="HV279:HV280"/>
    <mergeCell ref="HW279:HZ280"/>
    <mergeCell ref="GR281:GR282"/>
    <mergeCell ref="GS281:GS282"/>
    <mergeCell ref="GT281:GT282"/>
    <mergeCell ref="GU281:GU282"/>
    <mergeCell ref="GV281:GV282"/>
    <mergeCell ref="GW281:GZ282"/>
    <mergeCell ref="GA281:GE282"/>
    <mergeCell ref="GF281:GI282"/>
    <mergeCell ref="GA283:GE283"/>
    <mergeCell ref="GF283:GI283"/>
    <mergeCell ref="HJ281:HJ282"/>
    <mergeCell ref="HK281:HK282"/>
    <mergeCell ref="HL281:HL282"/>
    <mergeCell ref="HM281:HM282"/>
    <mergeCell ref="HN281:HN282"/>
    <mergeCell ref="HO281:HO282"/>
    <mergeCell ref="HP281:HP282"/>
    <mergeCell ref="HQ281:HQ282"/>
    <mergeCell ref="HR281:HR282"/>
    <mergeCell ref="HS281:HS282"/>
    <mergeCell ref="HT281:HT282"/>
    <mergeCell ref="HU281:HU282"/>
    <mergeCell ref="HV281:HV282"/>
    <mergeCell ref="HW281:HZ282"/>
    <mergeCell ref="GW283:GZ283"/>
    <mergeCell ref="HW283:HZ283"/>
    <mergeCell ref="GJ281:GJ282"/>
    <mergeCell ref="HA288:HZ288"/>
    <mergeCell ref="GA289:GZ289"/>
    <mergeCell ref="HA289:HZ289"/>
    <mergeCell ref="GA290:GZ290"/>
    <mergeCell ref="HA290:HZ290"/>
    <mergeCell ref="GA291:GZ291"/>
    <mergeCell ref="HA291:HZ291"/>
    <mergeCell ref="GA284:GV284"/>
    <mergeCell ref="GW284:GZ285"/>
    <mergeCell ref="HA284:HV284"/>
    <mergeCell ref="HW284:HZ285"/>
    <mergeCell ref="GA286:GZ286"/>
    <mergeCell ref="HA286:HZ286"/>
    <mergeCell ref="GA287:GZ287"/>
    <mergeCell ref="HA287:HZ287"/>
    <mergeCell ref="GK281:GK282"/>
    <mergeCell ref="GL281:GL282"/>
    <mergeCell ref="GM281:GM282"/>
    <mergeCell ref="GN281:GN282"/>
    <mergeCell ref="GO281:GO282"/>
    <mergeCell ref="GP281:GP282"/>
    <mergeCell ref="GQ281:GQ282"/>
    <mergeCell ref="HA292:HZ292"/>
    <mergeCell ref="GA300:GI300"/>
    <mergeCell ref="GJ300:GZ300"/>
    <mergeCell ref="HA300:HI300"/>
    <mergeCell ref="HJ300:HZ300"/>
    <mergeCell ref="GA301:GI302"/>
    <mergeCell ref="GJ301:GL302"/>
    <mergeCell ref="GM301:GO302"/>
    <mergeCell ref="GP301:GU302"/>
    <mergeCell ref="GV301:GV302"/>
    <mergeCell ref="GW301:GZ302"/>
    <mergeCell ref="HA301:HI302"/>
    <mergeCell ref="HJ301:HL302"/>
    <mergeCell ref="HM301:HO302"/>
    <mergeCell ref="HP301:HU302"/>
    <mergeCell ref="HV301:HV302"/>
    <mergeCell ref="HW301:HZ302"/>
    <mergeCell ref="HA293:HZ293"/>
    <mergeCell ref="GA294:GZ294"/>
    <mergeCell ref="HA294:HZ294"/>
    <mergeCell ref="GA295:GZ295"/>
    <mergeCell ref="HA295:HZ295"/>
    <mergeCell ref="GA296:GZ297"/>
    <mergeCell ref="HA296:HZ297"/>
    <mergeCell ref="HO303:HO304"/>
    <mergeCell ref="HP303:HP304"/>
    <mergeCell ref="HQ303:HQ304"/>
    <mergeCell ref="HR303:HR304"/>
    <mergeCell ref="HS303:HS304"/>
    <mergeCell ref="HT303:HT304"/>
    <mergeCell ref="HU303:HU304"/>
    <mergeCell ref="HV303:HV304"/>
    <mergeCell ref="HW303:HZ304"/>
    <mergeCell ref="HJ303:HJ304"/>
    <mergeCell ref="HK303:HK304"/>
    <mergeCell ref="HL303:HL304"/>
    <mergeCell ref="HM303:HM304"/>
    <mergeCell ref="HN303:HN304"/>
    <mergeCell ref="GA315:GZ315"/>
    <mergeCell ref="HA315:HZ315"/>
    <mergeCell ref="GA316:GZ316"/>
    <mergeCell ref="HA316:HZ316"/>
    <mergeCell ref="HA312:HZ312"/>
    <mergeCell ref="GA313:GZ313"/>
    <mergeCell ref="HA313:HZ313"/>
    <mergeCell ref="GA314:GZ314"/>
    <mergeCell ref="HA314:HZ314"/>
    <mergeCell ref="GA303:GE304"/>
    <mergeCell ref="GF303:GI304"/>
    <mergeCell ref="GA305:GE305"/>
    <mergeCell ref="GF305:GI305"/>
    <mergeCell ref="HA317:HZ317"/>
    <mergeCell ref="GA318:GZ319"/>
    <mergeCell ref="HA318:HZ319"/>
    <mergeCell ref="GW305:GZ305"/>
    <mergeCell ref="HW305:HZ305"/>
    <mergeCell ref="GJ303:GJ304"/>
    <mergeCell ref="GK303:GK304"/>
    <mergeCell ref="GL303:GL304"/>
    <mergeCell ref="GM303:GM304"/>
    <mergeCell ref="GN303:GN304"/>
    <mergeCell ref="GO303:GO304"/>
    <mergeCell ref="GP303:GP304"/>
    <mergeCell ref="GQ303:GQ304"/>
    <mergeCell ref="GR303:GR304"/>
    <mergeCell ref="GS303:GS304"/>
    <mergeCell ref="GT303:GT304"/>
    <mergeCell ref="GU303:GU304"/>
    <mergeCell ref="GV303:GV304"/>
    <mergeCell ref="GW303:GZ304"/>
    <mergeCell ref="GA306:GV306"/>
    <mergeCell ref="GW306:GZ307"/>
    <mergeCell ref="HA306:HV306"/>
    <mergeCell ref="HW306:HZ307"/>
    <mergeCell ref="GA308:GZ308"/>
    <mergeCell ref="HA308:HZ308"/>
    <mergeCell ref="GA309:GZ309"/>
    <mergeCell ref="HA309:HZ309"/>
    <mergeCell ref="GA310:GZ310"/>
    <mergeCell ref="HA310:HZ310"/>
    <mergeCell ref="GA311:GZ311"/>
    <mergeCell ref="HA311:HZ311"/>
    <mergeCell ref="GA312:GZ312"/>
    <mergeCell ref="HA324:HI324"/>
    <mergeCell ref="HJ324:HZ324"/>
    <mergeCell ref="GA325:GI326"/>
    <mergeCell ref="GJ325:GL326"/>
    <mergeCell ref="GM325:GO326"/>
    <mergeCell ref="GP325:GU326"/>
    <mergeCell ref="GV325:GV326"/>
    <mergeCell ref="GW325:GZ326"/>
    <mergeCell ref="HA325:HI326"/>
    <mergeCell ref="HJ325:HL326"/>
    <mergeCell ref="HM325:HO326"/>
    <mergeCell ref="HP325:HU326"/>
    <mergeCell ref="HV325:HV326"/>
    <mergeCell ref="HW325:HZ326"/>
    <mergeCell ref="HO327:HO328"/>
    <mergeCell ref="HP327:HP328"/>
    <mergeCell ref="HQ327:HQ328"/>
    <mergeCell ref="HR327:HR328"/>
    <mergeCell ref="HS327:HS328"/>
    <mergeCell ref="HT327:HT328"/>
    <mergeCell ref="HU327:HU328"/>
    <mergeCell ref="HV327:HV328"/>
    <mergeCell ref="HW327:HZ328"/>
    <mergeCell ref="HJ327:HJ328"/>
    <mergeCell ref="HK327:HK328"/>
    <mergeCell ref="HL327:HL328"/>
    <mergeCell ref="HM327:HM328"/>
    <mergeCell ref="HN327:HN328"/>
    <mergeCell ref="GJ327:GJ328"/>
    <mergeCell ref="GK327:GK328"/>
    <mergeCell ref="GL327:GL328"/>
    <mergeCell ref="GM327:GM328"/>
    <mergeCell ref="HA329:HE329"/>
    <mergeCell ref="GA330:GV330"/>
    <mergeCell ref="GW330:GZ331"/>
    <mergeCell ref="HA330:HV330"/>
    <mergeCell ref="HW330:HZ331"/>
    <mergeCell ref="GA332:GZ332"/>
    <mergeCell ref="HA332:HZ332"/>
    <mergeCell ref="GA333:GZ333"/>
    <mergeCell ref="HA333:HZ333"/>
    <mergeCell ref="GA334:GZ334"/>
    <mergeCell ref="HA334:HZ334"/>
    <mergeCell ref="GA327:GE328"/>
    <mergeCell ref="GF327:GI328"/>
    <mergeCell ref="GA329:GE329"/>
    <mergeCell ref="GF329:GI329"/>
    <mergeCell ref="HF329:HI329"/>
    <mergeCell ref="HW329:HZ329"/>
    <mergeCell ref="HA335:HZ335"/>
    <mergeCell ref="GA336:GZ336"/>
    <mergeCell ref="HA336:HZ336"/>
    <mergeCell ref="GA337:GZ337"/>
    <mergeCell ref="HA337:HZ337"/>
    <mergeCell ref="GA338:GZ338"/>
    <mergeCell ref="HA338:HZ338"/>
    <mergeCell ref="GA346:GI346"/>
    <mergeCell ref="GJ346:GZ346"/>
    <mergeCell ref="HA346:HI346"/>
    <mergeCell ref="HJ346:HZ346"/>
    <mergeCell ref="GA347:GI348"/>
    <mergeCell ref="GJ347:GL348"/>
    <mergeCell ref="GM347:GO348"/>
    <mergeCell ref="GP347:GU348"/>
    <mergeCell ref="GV347:GV348"/>
    <mergeCell ref="GW347:GZ348"/>
    <mergeCell ref="HA347:HI348"/>
    <mergeCell ref="HJ347:HL348"/>
    <mergeCell ref="HM347:HO348"/>
    <mergeCell ref="HP347:HU348"/>
    <mergeCell ref="HV347:HV348"/>
    <mergeCell ref="HW347:HZ348"/>
    <mergeCell ref="HM349:HM350"/>
    <mergeCell ref="HN349:HN350"/>
    <mergeCell ref="GA361:GZ361"/>
    <mergeCell ref="HA361:HZ361"/>
    <mergeCell ref="GA362:GZ362"/>
    <mergeCell ref="HA362:HZ362"/>
    <mergeCell ref="GA363:GZ363"/>
    <mergeCell ref="HA363:HZ363"/>
    <mergeCell ref="GA364:GZ365"/>
    <mergeCell ref="HA364:HZ365"/>
    <mergeCell ref="GW351:GZ351"/>
    <mergeCell ref="HW351:HZ351"/>
    <mergeCell ref="GJ349:GJ350"/>
    <mergeCell ref="GK349:GK350"/>
    <mergeCell ref="GL349:GL350"/>
    <mergeCell ref="GM349:GM350"/>
    <mergeCell ref="GN349:GN350"/>
    <mergeCell ref="GO349:GO350"/>
    <mergeCell ref="GP349:GP350"/>
    <mergeCell ref="GQ349:GQ350"/>
    <mergeCell ref="GR349:GR350"/>
    <mergeCell ref="GS349:GS350"/>
    <mergeCell ref="GT349:GT350"/>
    <mergeCell ref="GU349:GU350"/>
    <mergeCell ref="GV349:GV350"/>
    <mergeCell ref="GW349:GZ350"/>
    <mergeCell ref="GA352:GV352"/>
    <mergeCell ref="GW352:GZ353"/>
    <mergeCell ref="HA352:HV352"/>
    <mergeCell ref="HW352:HZ353"/>
    <mergeCell ref="GA354:GZ354"/>
    <mergeCell ref="HA354:HZ354"/>
    <mergeCell ref="HA355:HZ355"/>
    <mergeCell ref="GA356:GZ356"/>
    <mergeCell ref="HA356:HZ356"/>
    <mergeCell ref="GA357:GZ357"/>
    <mergeCell ref="HA357:HZ357"/>
    <mergeCell ref="GA358:GZ358"/>
    <mergeCell ref="HA358:HZ358"/>
    <mergeCell ref="GA359:GZ359"/>
    <mergeCell ref="HA359:HZ359"/>
    <mergeCell ref="GA360:GZ360"/>
    <mergeCell ref="HA360:HZ360"/>
    <mergeCell ref="GA370:GI370"/>
    <mergeCell ref="GJ370:GZ370"/>
    <mergeCell ref="HA370:HI370"/>
    <mergeCell ref="HJ370:HZ370"/>
    <mergeCell ref="GA371:GI372"/>
    <mergeCell ref="GJ371:GL372"/>
    <mergeCell ref="GM371:GO372"/>
    <mergeCell ref="GP371:GU372"/>
    <mergeCell ref="GV371:GV372"/>
    <mergeCell ref="GW371:GZ372"/>
    <mergeCell ref="HA371:HI372"/>
    <mergeCell ref="HJ371:HL372"/>
    <mergeCell ref="HM371:HO372"/>
    <mergeCell ref="HP371:HU372"/>
    <mergeCell ref="HV371:HV372"/>
    <mergeCell ref="HW371:HZ372"/>
    <mergeCell ref="HO373:HO374"/>
    <mergeCell ref="HP373:HP374"/>
    <mergeCell ref="HQ373:HQ374"/>
    <mergeCell ref="HR373:HR374"/>
    <mergeCell ref="HS373:HS374"/>
    <mergeCell ref="HT373:HT374"/>
    <mergeCell ref="HU373:HU374"/>
    <mergeCell ref="HV373:HV374"/>
    <mergeCell ref="HW373:HZ374"/>
    <mergeCell ref="HJ373:HJ374"/>
    <mergeCell ref="HK373:HK374"/>
    <mergeCell ref="HL373:HL374"/>
    <mergeCell ref="HM373:HM374"/>
    <mergeCell ref="HN373:HN374"/>
    <mergeCell ref="HA387:HZ387"/>
    <mergeCell ref="GA388:GZ389"/>
    <mergeCell ref="HA388:HZ389"/>
    <mergeCell ref="GW375:GZ375"/>
    <mergeCell ref="HW375:HZ375"/>
    <mergeCell ref="GJ373:GJ374"/>
    <mergeCell ref="GK373:GK374"/>
    <mergeCell ref="GL373:GL374"/>
    <mergeCell ref="GM373:GM374"/>
    <mergeCell ref="GN373:GN374"/>
    <mergeCell ref="GO373:GO374"/>
    <mergeCell ref="GP373:GP374"/>
    <mergeCell ref="GQ373:GQ374"/>
    <mergeCell ref="GR373:GR374"/>
    <mergeCell ref="GS373:GS374"/>
    <mergeCell ref="GT373:GT374"/>
    <mergeCell ref="GU373:GU374"/>
    <mergeCell ref="GV373:GV374"/>
    <mergeCell ref="HV393:HV394"/>
    <mergeCell ref="HW393:HZ394"/>
    <mergeCell ref="GA385:GZ385"/>
    <mergeCell ref="HA385:HZ385"/>
    <mergeCell ref="GA386:GZ386"/>
    <mergeCell ref="HA386:HZ386"/>
    <mergeCell ref="GA387:GZ387"/>
    <mergeCell ref="GA375:GE375"/>
    <mergeCell ref="GA376:GV376"/>
    <mergeCell ref="GW376:GZ377"/>
    <mergeCell ref="HA376:HV376"/>
    <mergeCell ref="HW376:HZ377"/>
    <mergeCell ref="GA378:GZ378"/>
    <mergeCell ref="HA378:HZ378"/>
    <mergeCell ref="GA379:GZ379"/>
    <mergeCell ref="GF375:GI375"/>
    <mergeCell ref="HA379:HZ379"/>
    <mergeCell ref="GA380:GZ380"/>
    <mergeCell ref="HA380:HZ380"/>
    <mergeCell ref="GA381:GZ381"/>
    <mergeCell ref="HA381:HZ381"/>
    <mergeCell ref="GA382:GZ382"/>
    <mergeCell ref="HA382:HZ382"/>
    <mergeCell ref="GA383:GZ383"/>
    <mergeCell ref="HA383:HZ383"/>
    <mergeCell ref="HM395:HM396"/>
    <mergeCell ref="HN395:HN396"/>
    <mergeCell ref="GA407:GZ407"/>
    <mergeCell ref="HA407:HZ407"/>
    <mergeCell ref="GA408:GZ408"/>
    <mergeCell ref="HA408:HZ408"/>
    <mergeCell ref="GA404:GZ404"/>
    <mergeCell ref="HA404:HZ404"/>
    <mergeCell ref="GA405:GZ405"/>
    <mergeCell ref="HA405:HZ405"/>
    <mergeCell ref="GA406:GZ406"/>
    <mergeCell ref="HA406:HZ406"/>
    <mergeCell ref="GA395:GE396"/>
    <mergeCell ref="GF395:GI396"/>
    <mergeCell ref="GA397:GE397"/>
    <mergeCell ref="GF397:GI397"/>
    <mergeCell ref="GA384:GZ384"/>
    <mergeCell ref="HA384:HZ384"/>
    <mergeCell ref="GA392:GI392"/>
    <mergeCell ref="GJ392:GZ392"/>
    <mergeCell ref="HA392:HI392"/>
    <mergeCell ref="HJ392:HZ392"/>
    <mergeCell ref="GA393:GI394"/>
    <mergeCell ref="GJ393:GL394"/>
    <mergeCell ref="GM393:GO394"/>
    <mergeCell ref="GP393:GU394"/>
    <mergeCell ref="GV393:GV394"/>
    <mergeCell ref="GW393:GZ394"/>
    <mergeCell ref="HA393:HI394"/>
    <mergeCell ref="HJ393:HL394"/>
    <mergeCell ref="HM393:HO394"/>
    <mergeCell ref="HP393:HU394"/>
    <mergeCell ref="GA409:GZ409"/>
    <mergeCell ref="HA409:HZ409"/>
    <mergeCell ref="GA410:GZ411"/>
    <mergeCell ref="HA410:HZ411"/>
    <mergeCell ref="GW397:GZ397"/>
    <mergeCell ref="HW397:HZ397"/>
    <mergeCell ref="GJ395:GJ396"/>
    <mergeCell ref="GK395:GK396"/>
    <mergeCell ref="GL395:GL396"/>
    <mergeCell ref="GM395:GM396"/>
    <mergeCell ref="GN395:GN396"/>
    <mergeCell ref="GO395:GO396"/>
    <mergeCell ref="GP395:GP396"/>
    <mergeCell ref="GQ395:GQ396"/>
    <mergeCell ref="GR395:GR396"/>
    <mergeCell ref="GS395:GS396"/>
    <mergeCell ref="GT395:GT396"/>
    <mergeCell ref="GU395:GU396"/>
    <mergeCell ref="GV395:GV396"/>
    <mergeCell ref="GW395:GZ396"/>
    <mergeCell ref="GA398:GV398"/>
    <mergeCell ref="GW398:GZ399"/>
    <mergeCell ref="HA398:HV398"/>
    <mergeCell ref="HW398:HZ399"/>
    <mergeCell ref="GA400:GZ400"/>
    <mergeCell ref="HA400:HZ400"/>
    <mergeCell ref="GA401:GZ401"/>
    <mergeCell ref="HA401:HZ401"/>
    <mergeCell ref="GA402:GZ402"/>
    <mergeCell ref="HA402:HZ402"/>
    <mergeCell ref="GA403:GZ403"/>
    <mergeCell ref="HA403:HZ403"/>
    <mergeCell ref="GA424:GZ424"/>
    <mergeCell ref="HA424:HZ424"/>
    <mergeCell ref="GA425:GZ425"/>
    <mergeCell ref="HA425:HZ425"/>
    <mergeCell ref="GA421:GE421"/>
    <mergeCell ref="GF421:GI421"/>
    <mergeCell ref="GA426:GZ426"/>
    <mergeCell ref="HA426:HZ426"/>
    <mergeCell ref="GA427:GZ427"/>
    <mergeCell ref="HA427:HZ427"/>
    <mergeCell ref="GA416:GI416"/>
    <mergeCell ref="GJ416:GZ416"/>
    <mergeCell ref="HA416:HI416"/>
    <mergeCell ref="HJ416:HZ416"/>
    <mergeCell ref="GA417:GI418"/>
    <mergeCell ref="GJ417:GL418"/>
    <mergeCell ref="GM417:GO418"/>
    <mergeCell ref="GP417:GU418"/>
    <mergeCell ref="GV417:GV418"/>
    <mergeCell ref="GW417:GZ418"/>
    <mergeCell ref="HA417:HI418"/>
    <mergeCell ref="HJ417:HL418"/>
    <mergeCell ref="HM417:HO418"/>
    <mergeCell ref="HP417:HU418"/>
    <mergeCell ref="HV417:HV418"/>
    <mergeCell ref="HW417:HZ418"/>
    <mergeCell ref="HO419:HO420"/>
    <mergeCell ref="HP419:HP420"/>
    <mergeCell ref="HQ419:HQ420"/>
    <mergeCell ref="HR419:HR420"/>
    <mergeCell ref="HS419:HS420"/>
    <mergeCell ref="HT419:HT420"/>
    <mergeCell ref="GW421:GZ421"/>
    <mergeCell ref="HW421:HZ421"/>
    <mergeCell ref="GJ419:GJ420"/>
    <mergeCell ref="GK419:GK420"/>
    <mergeCell ref="GL419:GL420"/>
    <mergeCell ref="GM419:GM420"/>
    <mergeCell ref="GN419:GN420"/>
    <mergeCell ref="GO419:GO420"/>
    <mergeCell ref="GP419:GP420"/>
    <mergeCell ref="GQ419:GQ420"/>
    <mergeCell ref="GR419:GR420"/>
    <mergeCell ref="GS419:GS420"/>
    <mergeCell ref="GT419:GT420"/>
    <mergeCell ref="GU419:GU420"/>
    <mergeCell ref="GV419:GV420"/>
    <mergeCell ref="GW419:GZ420"/>
    <mergeCell ref="GA422:GV422"/>
    <mergeCell ref="GW422:GZ423"/>
    <mergeCell ref="HA422:HV422"/>
    <mergeCell ref="HW422:HZ423"/>
    <mergeCell ref="HU419:HU420"/>
    <mergeCell ref="HV419:HV420"/>
    <mergeCell ref="HW419:HZ420"/>
    <mergeCell ref="HJ419:HJ420"/>
    <mergeCell ref="HK419:HK420"/>
    <mergeCell ref="HL419:HL420"/>
    <mergeCell ref="HM419:HM420"/>
    <mergeCell ref="HN419:HN420"/>
    <mergeCell ref="GA419:GE420"/>
    <mergeCell ref="GF419:GI420"/>
    <mergeCell ref="GA430:GZ430"/>
    <mergeCell ref="HA430:HZ430"/>
    <mergeCell ref="GA438:GI438"/>
    <mergeCell ref="GJ438:GZ438"/>
    <mergeCell ref="HA438:HI438"/>
    <mergeCell ref="HJ438:HZ438"/>
    <mergeCell ref="GA439:GI440"/>
    <mergeCell ref="GJ439:GL440"/>
    <mergeCell ref="GM439:GO440"/>
    <mergeCell ref="GP439:GU440"/>
    <mergeCell ref="GV439:GV440"/>
    <mergeCell ref="GW439:GZ440"/>
    <mergeCell ref="HA439:HI440"/>
    <mergeCell ref="HJ439:HL440"/>
    <mergeCell ref="HM439:HO440"/>
    <mergeCell ref="HP439:HU440"/>
    <mergeCell ref="HV439:HV440"/>
    <mergeCell ref="HW439:HZ440"/>
    <mergeCell ref="GA431:GZ431"/>
    <mergeCell ref="HA431:HZ431"/>
    <mergeCell ref="GA432:GZ432"/>
    <mergeCell ref="HA432:HZ432"/>
    <mergeCell ref="GA433:GZ433"/>
    <mergeCell ref="HA433:HZ433"/>
    <mergeCell ref="GA434:GZ435"/>
    <mergeCell ref="HA434:HZ435"/>
    <mergeCell ref="GW441:GZ442"/>
    <mergeCell ref="HF441:HI442"/>
    <mergeCell ref="HA443:HE443"/>
    <mergeCell ref="HF443:HI443"/>
    <mergeCell ref="HO441:HO442"/>
    <mergeCell ref="HP441:HP442"/>
    <mergeCell ref="HQ441:HQ442"/>
    <mergeCell ref="HR441:HR442"/>
    <mergeCell ref="HS441:HS442"/>
    <mergeCell ref="HT441:HT442"/>
    <mergeCell ref="HU441:HU442"/>
    <mergeCell ref="HV441:HV442"/>
    <mergeCell ref="HW441:HZ442"/>
    <mergeCell ref="HJ441:HJ442"/>
    <mergeCell ref="HK441:HK442"/>
    <mergeCell ref="HL441:HL442"/>
    <mergeCell ref="HM441:HM442"/>
    <mergeCell ref="HN441:HN442"/>
    <mergeCell ref="HA441:HE442"/>
    <mergeCell ref="GW443:GZ443"/>
    <mergeCell ref="HW443:HZ443"/>
    <mergeCell ref="GA453:GZ453"/>
    <mergeCell ref="HA453:HZ453"/>
    <mergeCell ref="GA454:GZ454"/>
    <mergeCell ref="HA454:HZ454"/>
    <mergeCell ref="GA455:GZ455"/>
    <mergeCell ref="HA455:HZ455"/>
    <mergeCell ref="GA456:GZ457"/>
    <mergeCell ref="HA456:HZ457"/>
    <mergeCell ref="GA444:GV444"/>
    <mergeCell ref="GW444:GZ445"/>
    <mergeCell ref="HA444:HV444"/>
    <mergeCell ref="HW444:HZ445"/>
    <mergeCell ref="GA446:GZ446"/>
    <mergeCell ref="HA446:HZ446"/>
    <mergeCell ref="GA447:GZ447"/>
    <mergeCell ref="HA447:HZ447"/>
    <mergeCell ref="GA448:GZ448"/>
    <mergeCell ref="HA448:HZ448"/>
    <mergeCell ref="GA449:GZ449"/>
    <mergeCell ref="HA449:HZ449"/>
    <mergeCell ref="GA450:GZ450"/>
    <mergeCell ref="HA450:HZ450"/>
    <mergeCell ref="GA451:GZ451"/>
    <mergeCell ref="HA451:HZ451"/>
    <mergeCell ref="GA452:GZ452"/>
    <mergeCell ref="HA452:HZ452"/>
    <mergeCell ref="AA34:AV34"/>
    <mergeCell ref="AA55:AV55"/>
    <mergeCell ref="AA77:AV77"/>
    <mergeCell ref="AA101:AV101"/>
    <mergeCell ref="AA123:AV123"/>
    <mergeCell ref="AA147:AV147"/>
    <mergeCell ref="AA169:AV169"/>
    <mergeCell ref="AA193:AV193"/>
    <mergeCell ref="AA215:AV215"/>
    <mergeCell ref="AA239:AV239"/>
    <mergeCell ref="AA261:AV261"/>
    <mergeCell ref="AA285:AV285"/>
    <mergeCell ref="AA307:AV307"/>
    <mergeCell ref="AA331:AV331"/>
    <mergeCell ref="AA353:AV353"/>
    <mergeCell ref="AA377:AV377"/>
    <mergeCell ref="AA399:AV399"/>
    <mergeCell ref="AA392:AI392"/>
    <mergeCell ref="AJ392:AZ392"/>
    <mergeCell ref="AA393:AI394"/>
    <mergeCell ref="AJ393:AL394"/>
    <mergeCell ref="AM393:AO394"/>
    <mergeCell ref="AP393:AU394"/>
    <mergeCell ref="AV393:AV394"/>
    <mergeCell ref="AW393:AZ394"/>
    <mergeCell ref="AJ395:AJ396"/>
    <mergeCell ref="AK395:AK396"/>
    <mergeCell ref="AL395:AL396"/>
    <mergeCell ref="AM395:AM396"/>
    <mergeCell ref="AN395:AN396"/>
    <mergeCell ref="AO395:AO396"/>
    <mergeCell ref="AP395:AP396"/>
    <mergeCell ref="AO441:AO442"/>
    <mergeCell ref="AP441:AP442"/>
    <mergeCell ref="AQ441:AQ442"/>
    <mergeCell ref="AR441:AR442"/>
    <mergeCell ref="AS441:AS442"/>
    <mergeCell ref="AT441:AT442"/>
    <mergeCell ref="AU441:AU442"/>
    <mergeCell ref="AV441:AV442"/>
    <mergeCell ref="BA331:BV331"/>
    <mergeCell ref="BA353:BV353"/>
    <mergeCell ref="BA377:BV377"/>
    <mergeCell ref="BA399:BV399"/>
    <mergeCell ref="BA423:BV423"/>
    <mergeCell ref="BA429:BZ429"/>
    <mergeCell ref="BA430:BZ430"/>
    <mergeCell ref="BA431:BZ431"/>
    <mergeCell ref="BA432:BZ432"/>
    <mergeCell ref="BA433:BZ433"/>
    <mergeCell ref="BA434:BZ435"/>
    <mergeCell ref="BA438:BI438"/>
    <mergeCell ref="BJ438:BZ438"/>
    <mergeCell ref="BA439:BI440"/>
    <mergeCell ref="BJ439:BL440"/>
    <mergeCell ref="BM439:BO440"/>
    <mergeCell ref="BP439:BU440"/>
    <mergeCell ref="BV439:BV440"/>
    <mergeCell ref="BW439:BZ440"/>
    <mergeCell ref="BW417:BZ418"/>
    <mergeCell ref="BJ419:BJ420"/>
    <mergeCell ref="BK419:BK420"/>
    <mergeCell ref="BL419:BL420"/>
    <mergeCell ref="BM419:BM420"/>
    <mergeCell ref="A77:V77"/>
    <mergeCell ref="A101:V101"/>
    <mergeCell ref="A123:V123"/>
    <mergeCell ref="A147:V147"/>
    <mergeCell ref="A169:V169"/>
    <mergeCell ref="A193:V193"/>
    <mergeCell ref="A215:V215"/>
    <mergeCell ref="A239:V239"/>
    <mergeCell ref="A261:V261"/>
    <mergeCell ref="A285:V285"/>
    <mergeCell ref="A307:V307"/>
    <mergeCell ref="A331:V331"/>
    <mergeCell ref="A353:V353"/>
    <mergeCell ref="A377:V377"/>
    <mergeCell ref="A399:V399"/>
    <mergeCell ref="A423:V423"/>
    <mergeCell ref="BO119:BO120"/>
    <mergeCell ref="BA101:BV101"/>
    <mergeCell ref="BA123:BV123"/>
    <mergeCell ref="BA147:BV147"/>
    <mergeCell ref="BA169:BV169"/>
    <mergeCell ref="BA193:BV193"/>
    <mergeCell ref="BA215:BV215"/>
    <mergeCell ref="BA239:BV239"/>
    <mergeCell ref="BA261:BV261"/>
    <mergeCell ref="BA285:BV285"/>
    <mergeCell ref="BA307:BV307"/>
    <mergeCell ref="A228:Z229"/>
    <mergeCell ref="BJ417:BL418"/>
    <mergeCell ref="BM417:BO418"/>
    <mergeCell ref="BP417:BU418"/>
    <mergeCell ref="BV417:BV418"/>
    <mergeCell ref="BQ119:BQ120"/>
    <mergeCell ref="BR119:BR120"/>
    <mergeCell ref="BS119:BS120"/>
    <mergeCell ref="BT119:BT120"/>
    <mergeCell ref="BU119:BU120"/>
    <mergeCell ref="BV119:BV120"/>
    <mergeCell ref="AJ419:AJ420"/>
    <mergeCell ref="AK419:AK420"/>
    <mergeCell ref="AL419:AL420"/>
    <mergeCell ref="BA445:BV445"/>
    <mergeCell ref="CA34:CV34"/>
    <mergeCell ref="CA55:CV55"/>
    <mergeCell ref="CA77:CV77"/>
    <mergeCell ref="CA101:CV101"/>
    <mergeCell ref="CA123:CV123"/>
    <mergeCell ref="CA147:CV147"/>
    <mergeCell ref="CA169:CV169"/>
    <mergeCell ref="CA193:CV193"/>
    <mergeCell ref="CA215:CV215"/>
    <mergeCell ref="CA239:CV239"/>
    <mergeCell ref="CA261:CV261"/>
    <mergeCell ref="CA285:CV285"/>
    <mergeCell ref="CA307:CV307"/>
    <mergeCell ref="CA331:CV331"/>
    <mergeCell ref="CA353:CV353"/>
    <mergeCell ref="CA377:CV377"/>
    <mergeCell ref="CA399:CV399"/>
    <mergeCell ref="CA423:CV423"/>
    <mergeCell ref="CA445:CV445"/>
    <mergeCell ref="BA55:BV55"/>
    <mergeCell ref="BA77:BV77"/>
    <mergeCell ref="AN441:AN442"/>
    <mergeCell ref="DA261:DV261"/>
    <mergeCell ref="DA285:DV285"/>
    <mergeCell ref="DA307:DV307"/>
    <mergeCell ref="DA331:DV331"/>
    <mergeCell ref="DA353:DV353"/>
    <mergeCell ref="DA377:DV377"/>
    <mergeCell ref="DA399:DV399"/>
    <mergeCell ref="DA423:DV423"/>
    <mergeCell ref="DA445:DV445"/>
    <mergeCell ref="EA34:EV34"/>
    <mergeCell ref="EA55:EV55"/>
    <mergeCell ref="EA77:EV77"/>
    <mergeCell ref="EA101:EV101"/>
    <mergeCell ref="EA123:EV123"/>
    <mergeCell ref="EA147:EV147"/>
    <mergeCell ref="EA169:EV169"/>
    <mergeCell ref="EA193:EV193"/>
    <mergeCell ref="EA215:EV215"/>
    <mergeCell ref="EA239:EV239"/>
    <mergeCell ref="EA261:EV261"/>
    <mergeCell ref="EA285:EV285"/>
    <mergeCell ref="EA307:EV307"/>
    <mergeCell ref="EA331:EV331"/>
    <mergeCell ref="EA353:EV353"/>
    <mergeCell ref="EA377:EV377"/>
    <mergeCell ref="EA399:EV399"/>
    <mergeCell ref="EA423:EV423"/>
    <mergeCell ref="EA445:EV445"/>
    <mergeCell ref="EA444:EV444"/>
    <mergeCell ref="EA427:EZ427"/>
    <mergeCell ref="EA428:EZ428"/>
    <mergeCell ref="EW444:EZ445"/>
    <mergeCell ref="FA193:FV193"/>
    <mergeCell ref="FA215:FV215"/>
    <mergeCell ref="FA239:FV239"/>
    <mergeCell ref="FA261:FV261"/>
    <mergeCell ref="FA285:FV285"/>
    <mergeCell ref="FA307:FV307"/>
    <mergeCell ref="FA331:FV331"/>
    <mergeCell ref="FA353:FV353"/>
    <mergeCell ref="FA377:FV377"/>
    <mergeCell ref="FA399:FV399"/>
    <mergeCell ref="FA423:FV423"/>
    <mergeCell ref="FA445:FV445"/>
    <mergeCell ref="FO441:FO442"/>
    <mergeCell ref="FP441:FP442"/>
    <mergeCell ref="FQ441:FQ442"/>
    <mergeCell ref="FR441:FR442"/>
    <mergeCell ref="FS441:FS442"/>
    <mergeCell ref="FT441:FT442"/>
    <mergeCell ref="FU441:FU442"/>
    <mergeCell ref="FV441:FV442"/>
    <mergeCell ref="FA426:FZ426"/>
    <mergeCell ref="FA427:FZ427"/>
    <mergeCell ref="FA428:FZ428"/>
    <mergeCell ref="FA385:FZ385"/>
    <mergeCell ref="FA370:FI370"/>
    <mergeCell ref="FJ370:FZ370"/>
    <mergeCell ref="FA363:FZ363"/>
    <mergeCell ref="FA444:FV444"/>
    <mergeCell ref="FW444:FZ445"/>
    <mergeCell ref="FP439:FU440"/>
    <mergeCell ref="FV439:FV440"/>
    <mergeCell ref="FW439:FZ440"/>
    <mergeCell ref="GA77:GV77"/>
    <mergeCell ref="GA101:GV101"/>
    <mergeCell ref="GA123:GV123"/>
    <mergeCell ref="GA147:GV147"/>
    <mergeCell ref="GA169:GV169"/>
    <mergeCell ref="GA193:GV193"/>
    <mergeCell ref="GA215:GV215"/>
    <mergeCell ref="GA239:GV239"/>
    <mergeCell ref="GA261:GV261"/>
    <mergeCell ref="GA285:GV285"/>
    <mergeCell ref="GA307:GV307"/>
    <mergeCell ref="GA331:GV331"/>
    <mergeCell ref="GA353:GV353"/>
    <mergeCell ref="GA377:GV377"/>
    <mergeCell ref="GA399:GV399"/>
    <mergeCell ref="GA423:GV423"/>
    <mergeCell ref="GA445:GV445"/>
    <mergeCell ref="GJ441:GJ442"/>
    <mergeCell ref="GK441:GK442"/>
    <mergeCell ref="GL441:GL442"/>
    <mergeCell ref="GM441:GM442"/>
    <mergeCell ref="GN441:GN442"/>
    <mergeCell ref="GO441:GO442"/>
    <mergeCell ref="GP441:GP442"/>
    <mergeCell ref="GQ441:GQ442"/>
    <mergeCell ref="GR441:GR442"/>
    <mergeCell ref="GS441:GS442"/>
    <mergeCell ref="GT441:GT442"/>
    <mergeCell ref="GU441:GU442"/>
    <mergeCell ref="GV441:GV442"/>
    <mergeCell ref="GA428:GZ428"/>
    <mergeCell ref="GA429:GZ429"/>
    <mergeCell ref="IA445:IV445"/>
    <mergeCell ref="HA77:HV77"/>
    <mergeCell ref="HA101:HV101"/>
    <mergeCell ref="HA123:HV123"/>
    <mergeCell ref="HA147:HV147"/>
    <mergeCell ref="HA169:HV169"/>
    <mergeCell ref="HA193:HV193"/>
    <mergeCell ref="HA215:HV215"/>
    <mergeCell ref="HA239:HV239"/>
    <mergeCell ref="HA261:HV261"/>
    <mergeCell ref="HA285:HV285"/>
    <mergeCell ref="HA307:HV307"/>
    <mergeCell ref="HA331:HV331"/>
    <mergeCell ref="HA353:HV353"/>
    <mergeCell ref="HA377:HV377"/>
    <mergeCell ref="HA399:HV399"/>
    <mergeCell ref="HA423:HV423"/>
    <mergeCell ref="HA445:HV445"/>
    <mergeCell ref="HA428:HZ428"/>
    <mergeCell ref="HA429:HZ429"/>
    <mergeCell ref="HO395:HO396"/>
    <mergeCell ref="HP395:HP396"/>
    <mergeCell ref="HQ395:HQ396"/>
    <mergeCell ref="HR395:HR396"/>
    <mergeCell ref="HS395:HS396"/>
    <mergeCell ref="HT395:HT396"/>
    <mergeCell ref="HU395:HU396"/>
    <mergeCell ref="HV395:HV396"/>
    <mergeCell ref="HW395:HZ396"/>
    <mergeCell ref="HJ395:HJ396"/>
    <mergeCell ref="HK395:HK396"/>
    <mergeCell ref="HL395:HL396"/>
  </mergeCells>
  <pageMargins left="0.15748031496062992" right="0.15748031496062992" top="0.74803149606299213" bottom="0.74803149606299213" header="0.31496062992125984" footer="0.31496062992125984"/>
  <pageSetup orientation="portrait" horizontalDpi="4294967293" verticalDpi="4294967293"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Productos!$K$19:$K$25</xm:f>
          </x14:formula1>
          <xm:sqref>HW168 HW54 HW12:HZ13 GW168 EW168 EW54 EW76 W168 HW76 W54 W76 W192 W100 W214 W238 EW192 EW100 EW214 EW238 EW122 EW146 EW260 W122 W146 W260 W284 W306 W330 W352 W376 W12:Z13 HW192 HW100 HW214 HW238 HW122 HW146 HW260 HW284 HW306 HW330 HW352 HW376 HW398 HW422 AW12:AZ13 GW54 HW33 BW12:BZ13 GW76 HW444 IW12:IZ13 W398 W422 CW12:CZ13 DW12:DZ13 EW12:EZ13 FW12:FZ13 GW192 GW100 GW214 GW238 GW122 GW146 GW260 GW284 GW306 GW330 GW352 GW376 GW398 GW422 GW33 W33 GW444 W444 AW168 AW54 AW76 AW192 AW100 AW214 AW238 AW122 AW146 AW260 AW284 AW306 AW330 AW352 AW376 AW398 AW422 AW33 AW444 CW168 BW168 BW54 BW76 BW192 BW100 BW214 BW238 BW122 BW146 BW260 BW284 BW306 BW330 BW352 BW376 BW398 BW422 BW33 BW444 CW54 CW76 CW192 CW100 CW214 CW238 CW122 CW146 CW260 CW284 CW306 CW330 CW352 CW376 CW398 CW422 CW33 CW444 EW284 DW168 DW54 DW76 DW192 DW100 DW214 DW238 DW122 DW146 DW260 DW284 DW306 DW330 DW352 DW376 DW398 DW422 DW33 DW444 EW306 EW330 EW352 EW376 EW398 EW422 EW33 EW444 FW168 FW54 FW76 FW192 FW100 FW214 FW238 FW122 FW146 FW260 FW284 FW306 FW330 FW352 FW376 FW398 FW422 FW33 FW444 GW12:GZ13 IW168 IW54 IW76 IW192 IW100 IW214 IW238 IW122 IW146 IW260 IW284 IW306 IW330 IW352 IW376 IW398 IW422 IW33 IW444</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41</vt:i4>
      </vt:variant>
    </vt:vector>
  </HeadingPairs>
  <TitlesOfParts>
    <vt:vector size="49" baseType="lpstr">
      <vt:lpstr>Productos</vt:lpstr>
      <vt:lpstr>Materiales</vt:lpstr>
      <vt:lpstr>Clientes</vt:lpstr>
      <vt:lpstr>Compras</vt:lpstr>
      <vt:lpstr>Inv</vt:lpstr>
      <vt:lpstr>Resumen</vt:lpstr>
      <vt:lpstr>Pedidos</vt:lpstr>
      <vt:lpstr>Procesos</vt:lpstr>
      <vt:lpstr>_4C</vt:lpstr>
      <vt:lpstr>_6C</vt:lpstr>
      <vt:lpstr>Acc</vt:lpstr>
      <vt:lpstr>Clientes!Área_de_extracción</vt:lpstr>
      <vt:lpstr>Pedidos!Área_de_extracción</vt:lpstr>
      <vt:lpstr>Productos!Área_de_extracción</vt:lpstr>
      <vt:lpstr>Cierre</vt:lpstr>
      <vt:lpstr>Clothes</vt:lpstr>
      <vt:lpstr>Color</vt:lpstr>
      <vt:lpstr>Color_Fajon</vt:lpstr>
      <vt:lpstr>ColoresCordon</vt:lpstr>
      <vt:lpstr>Compra</vt:lpstr>
      <vt:lpstr>Cor_Color</vt:lpstr>
      <vt:lpstr>CordonV</vt:lpstr>
      <vt:lpstr>Pedidos!Criterios</vt:lpstr>
      <vt:lpstr>Productos!Criterios</vt:lpstr>
      <vt:lpstr>Fabric</vt:lpstr>
      <vt:lpstr>Fecha</vt:lpstr>
      <vt:lpstr>Forro</vt:lpstr>
      <vt:lpstr>Hilo</vt:lpstr>
      <vt:lpstr>L</vt:lpstr>
      <vt:lpstr>Lista_Pedidos</vt:lpstr>
      <vt:lpstr>M</vt:lpstr>
      <vt:lpstr>Material</vt:lpstr>
      <vt:lpstr>PO</vt:lpstr>
      <vt:lpstr>Ref</vt:lpstr>
      <vt:lpstr>RM</vt:lpstr>
      <vt:lpstr>S</vt:lpstr>
      <vt:lpstr>SKU</vt:lpstr>
      <vt:lpstr>Soul_Dancer</vt:lpstr>
      <vt:lpstr>Talla</vt:lpstr>
      <vt:lpstr>Tamaño</vt:lpstr>
      <vt:lpstr>UndCompra</vt:lpstr>
      <vt:lpstr>UndV</vt:lpstr>
      <vt:lpstr>XL</vt:lpstr>
      <vt:lpstr>XS</vt:lpstr>
      <vt:lpstr>XXL</vt:lpstr>
      <vt:lpstr>YL</vt:lpstr>
      <vt:lpstr>YM</vt:lpstr>
      <vt:lpstr>YS</vt:lpstr>
      <vt:lpstr>YXS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Felipe Jaramillo</dc:creator>
  <cp:lastModifiedBy>Felipe Jaramillo</cp:lastModifiedBy>
  <cp:lastPrinted>2020-06-29T19:32:19Z</cp:lastPrinted>
  <dcterms:created xsi:type="dcterms:W3CDTF">2020-05-29T02:05:26Z</dcterms:created>
  <dcterms:modified xsi:type="dcterms:W3CDTF">2020-07-09T00:23:01Z</dcterms:modified>
</cp:coreProperties>
</file>